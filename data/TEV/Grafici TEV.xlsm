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O:\RISK MANAGEMENT\TEV monitoraggio settimanale\"/>
    </mc:Choice>
  </mc:AlternateContent>
  <xr:revisionPtr revIDLastSave="0" documentId="13_ncr:1_{16B78AF7-D5F7-434A-B563-E0E9310FE8DF}" xr6:coauthVersionLast="47" xr6:coauthVersionMax="47" xr10:uidLastSave="{00000000-0000-0000-0000-000000000000}"/>
  <bookViews>
    <workbookView xWindow="-90" yWindow="-90" windowWidth="19380" windowHeight="11460" firstSheet="4" activeTab="7" xr2:uid="{00000000-000D-0000-FFFF-FFFF00000000}"/>
  </bookViews>
  <sheets>
    <sheet name="Output Fondi" sheetId="1" r:id="rId1"/>
    <sheet name="Dati OS" sheetId="6" r:id="rId2"/>
    <sheet name="Mensile" sheetId="2" r:id="rId3"/>
    <sheet name="Giornaliero" sheetId="3" r:id="rId4"/>
    <sheet name="Fasce" sheetId="12" r:id="rId5"/>
    <sheet name="Tabelle Pivot" sheetId="8" r:id="rId6"/>
    <sheet name="Grafici" sheetId="10" r:id="rId7"/>
    <sheet name="Dati Excel CdA" sheetId="11" r:id="rId8"/>
  </sheets>
  <definedNames>
    <definedName name="_xlnm._FilterDatabase" localSheetId="0" hidden="1">'Output Fondi'!$A$1:$N$1</definedName>
  </definedNames>
  <calcPr calcId="191028" calcMode="manual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5" i="3" l="1"/>
  <c r="B505" i="3" s="1" a="1"/>
  <c r="C505" i="3" a="1"/>
  <c r="C505" i="3"/>
  <c r="D505" i="3" a="1"/>
  <c r="D505" i="3"/>
  <c r="E505" i="3" a="1"/>
  <c r="E505" i="3"/>
  <c r="F505" i="3" a="1"/>
  <c r="F505" i="3"/>
  <c r="G505" i="3" a="1"/>
  <c r="G505" i="3"/>
  <c r="H505" i="3" a="1"/>
  <c r="R505" i="3" s="1" a="1"/>
  <c r="H505" i="3"/>
  <c r="I505" i="3" a="1"/>
  <c r="I505" i="3" s="1"/>
  <c r="J505" i="3" a="1"/>
  <c r="J505" i="3" s="1"/>
  <c r="U505" i="3" s="1" a="1"/>
  <c r="U505" i="3" s="1"/>
  <c r="K505" i="3" a="1"/>
  <c r="K505" i="3"/>
  <c r="M505" i="3" a="1"/>
  <c r="M505" i="3"/>
  <c r="N505" i="3" a="1"/>
  <c r="N505" i="3"/>
  <c r="O505" i="3" a="1"/>
  <c r="O505" i="3"/>
  <c r="P505" i="3" a="1"/>
  <c r="P505" i="3"/>
  <c r="Q505" i="3" a="1"/>
  <c r="Q505" i="3" s="1"/>
  <c r="V505" i="3" a="1"/>
  <c r="V505" i="3"/>
  <c r="W505" i="3"/>
  <c r="X505" i="3"/>
  <c r="Y505" i="3"/>
  <c r="Z505" i="3"/>
  <c r="AA505" i="3"/>
  <c r="AB505" i="3"/>
  <c r="AC505" i="3"/>
  <c r="AD505" i="3"/>
  <c r="AE505" i="3"/>
  <c r="AF505" i="3"/>
  <c r="L499" i="1"/>
  <c r="B505" i="6"/>
  <c r="A504" i="3"/>
  <c r="D504" i="3" s="1" a="1"/>
  <c r="B504" i="3" a="1"/>
  <c r="B504" i="3" s="1"/>
  <c r="C504" i="3" a="1"/>
  <c r="C504" i="3" s="1"/>
  <c r="M504" i="3" s="1" a="1"/>
  <c r="M504" i="3" s="1"/>
  <c r="E504" i="3" a="1"/>
  <c r="E504" i="3"/>
  <c r="F504" i="3" a="1"/>
  <c r="F504" i="3"/>
  <c r="G504" i="3" a="1"/>
  <c r="G504" i="3"/>
  <c r="H504" i="3" a="1"/>
  <c r="R504" i="3" s="1" a="1"/>
  <c r="H504" i="3"/>
  <c r="I504" i="3" a="1"/>
  <c r="I504" i="3" s="1"/>
  <c r="J504" i="3" a="1"/>
  <c r="J504" i="3" s="1"/>
  <c r="U504" i="3" s="1" a="1"/>
  <c r="U504" i="3" s="1"/>
  <c r="K504" i="3" a="1"/>
  <c r="K504" i="3" s="1"/>
  <c r="V504" i="3" s="1" a="1"/>
  <c r="V504" i="3" s="1"/>
  <c r="O504" i="3" a="1"/>
  <c r="O504" i="3"/>
  <c r="P504" i="3" a="1"/>
  <c r="P504" i="3"/>
  <c r="Q504" i="3" a="1"/>
  <c r="Q504" i="3" s="1"/>
  <c r="W504" i="3"/>
  <c r="X504" i="3"/>
  <c r="Y504" i="3"/>
  <c r="Z504" i="3"/>
  <c r="AA504" i="3"/>
  <c r="AB504" i="3"/>
  <c r="AC504" i="3"/>
  <c r="AD504" i="3"/>
  <c r="AE504" i="3"/>
  <c r="AF504" i="3"/>
  <c r="L498" i="1"/>
  <c r="B504" i="6"/>
  <c r="A503" i="3"/>
  <c r="B503" i="3" a="1"/>
  <c r="B503" i="3" s="1"/>
  <c r="L503" i="3" s="1" a="1"/>
  <c r="L503" i="3" s="1"/>
  <c r="C503" i="3" a="1"/>
  <c r="C503" i="3"/>
  <c r="D503" i="3" a="1"/>
  <c r="D503" i="3"/>
  <c r="E503" i="3" a="1"/>
  <c r="E503" i="3"/>
  <c r="F503" i="3" a="1"/>
  <c r="F503" i="3"/>
  <c r="G503" i="3" a="1"/>
  <c r="G503" i="3"/>
  <c r="H503" i="3" a="1"/>
  <c r="H503" i="3" s="1"/>
  <c r="R503" i="3" s="1" a="1"/>
  <c r="R503" i="3" s="1"/>
  <c r="S503" i="3" s="1" a="1"/>
  <c r="S503" i="3" s="1"/>
  <c r="I503" i="3" a="1"/>
  <c r="I503" i="3" s="1"/>
  <c r="T503" i="3" s="1" a="1"/>
  <c r="T503" i="3" s="1"/>
  <c r="J503" i="3" a="1"/>
  <c r="J503" i="3" s="1"/>
  <c r="U503" i="3" s="1" a="1"/>
  <c r="U503" i="3" s="1"/>
  <c r="K503" i="3" a="1"/>
  <c r="K503" i="3"/>
  <c r="M503" i="3" a="1"/>
  <c r="M503" i="3" s="1"/>
  <c r="N503" i="3" a="1"/>
  <c r="N503" i="3"/>
  <c r="O503" i="3" a="1"/>
  <c r="O503" i="3"/>
  <c r="P503" i="3" a="1"/>
  <c r="P503" i="3" s="1"/>
  <c r="Q503" i="3" a="1"/>
  <c r="Q503" i="3" s="1"/>
  <c r="V503" i="3" a="1"/>
  <c r="V503" i="3"/>
  <c r="W503" i="3"/>
  <c r="X503" i="3"/>
  <c r="Y503" i="3"/>
  <c r="Z503" i="3"/>
  <c r="AA503" i="3"/>
  <c r="AB503" i="3"/>
  <c r="AC503" i="3"/>
  <c r="AD503" i="3"/>
  <c r="AE503" i="3"/>
  <c r="AF503" i="3"/>
  <c r="L497" i="1"/>
  <c r="A497" i="3" s="1"/>
  <c r="B503" i="6"/>
  <c r="A502" i="3"/>
  <c r="E502" i="3" s="1" a="1"/>
  <c r="E502" i="3" s="1"/>
  <c r="O502" i="3" s="1" a="1"/>
  <c r="O502" i="3" s="1"/>
  <c r="B502" i="3" a="1"/>
  <c r="B502" i="3"/>
  <c r="C502" i="3" a="1"/>
  <c r="C502" i="3"/>
  <c r="M502" i="3" s="1" a="1"/>
  <c r="M502" i="3" s="1"/>
  <c r="D502" i="3" a="1"/>
  <c r="D502" i="3" s="1"/>
  <c r="N502" i="3" s="1" a="1"/>
  <c r="N502" i="3" s="1"/>
  <c r="F502" i="3" a="1"/>
  <c r="F502" i="3" s="1"/>
  <c r="P502" i="3" s="1" a="1"/>
  <c r="P502" i="3" s="1"/>
  <c r="G502" i="3" a="1"/>
  <c r="G502" i="3" s="1"/>
  <c r="Q502" i="3" s="1" a="1"/>
  <c r="Q502" i="3" s="1"/>
  <c r="H502" i="3" a="1"/>
  <c r="H502" i="3"/>
  <c r="R502" i="3" s="1" a="1"/>
  <c r="R502" i="3" s="1"/>
  <c r="S502" i="3" s="1" a="1"/>
  <c r="S502" i="3" s="1"/>
  <c r="I502" i="3" a="1"/>
  <c r="I502" i="3" s="1"/>
  <c r="T502" i="3" s="1" a="1"/>
  <c r="T502" i="3" s="1"/>
  <c r="J502" i="3" a="1"/>
  <c r="J502" i="3"/>
  <c r="U502" i="3" s="1" a="1"/>
  <c r="U502" i="3" s="1"/>
  <c r="K502" i="3" a="1"/>
  <c r="K502" i="3"/>
  <c r="V502" i="3" s="1" a="1"/>
  <c r="V502" i="3" s="1"/>
  <c r="L502" i="3" a="1"/>
  <c r="L502" i="3" s="1"/>
  <c r="W502" i="3"/>
  <c r="X502" i="3"/>
  <c r="Y502" i="3"/>
  <c r="Z502" i="3"/>
  <c r="AA502" i="3"/>
  <c r="AB502" i="3"/>
  <c r="AC502" i="3"/>
  <c r="AD502" i="3"/>
  <c r="AE502" i="3"/>
  <c r="AF502" i="3"/>
  <c r="L496" i="1"/>
  <c r="B502" i="6"/>
  <c r="A501" i="3"/>
  <c r="B501" i="3" a="1"/>
  <c r="B501" i="3" s="1"/>
  <c r="L501" i="3" s="1" a="1"/>
  <c r="L501" i="3" s="1"/>
  <c r="C501" i="3" a="1"/>
  <c r="C501" i="3" s="1"/>
  <c r="M501" i="3" s="1" a="1"/>
  <c r="M501" i="3" s="1"/>
  <c r="D501" i="3" a="1"/>
  <c r="D501" i="3" s="1"/>
  <c r="N501" i="3" s="1" a="1"/>
  <c r="N501" i="3" s="1"/>
  <c r="E501" i="3" a="1"/>
  <c r="E501" i="3"/>
  <c r="F501" i="3" a="1"/>
  <c r="F501" i="3" s="1"/>
  <c r="P501" i="3" s="1" a="1"/>
  <c r="P501" i="3" s="1"/>
  <c r="G501" i="3" a="1"/>
  <c r="G501" i="3" s="1"/>
  <c r="Q501" i="3" s="1" a="1"/>
  <c r="Q501" i="3" s="1"/>
  <c r="H501" i="3" a="1"/>
  <c r="H501" i="3"/>
  <c r="R501" i="3" s="1" a="1"/>
  <c r="R501" i="3" s="1"/>
  <c r="S501" i="3" s="1" a="1"/>
  <c r="S501" i="3" s="1"/>
  <c r="I501" i="3" a="1"/>
  <c r="I501" i="3" s="1"/>
  <c r="T501" i="3" s="1" a="1"/>
  <c r="T501" i="3" s="1"/>
  <c r="J501" i="3" a="1"/>
  <c r="J501" i="3" s="1"/>
  <c r="U501" i="3" s="1" a="1"/>
  <c r="U501" i="3" s="1"/>
  <c r="K501" i="3" a="1"/>
  <c r="K501" i="3" s="1"/>
  <c r="V501" i="3" s="1" a="1"/>
  <c r="V501" i="3" s="1"/>
  <c r="O501" i="3" a="1"/>
  <c r="O501" i="3" s="1"/>
  <c r="W501" i="3"/>
  <c r="X501" i="3"/>
  <c r="Y501" i="3"/>
  <c r="Z501" i="3"/>
  <c r="AA501" i="3"/>
  <c r="AB501" i="3"/>
  <c r="AC501" i="3"/>
  <c r="AD501" i="3"/>
  <c r="AE501" i="3"/>
  <c r="AF501" i="3"/>
  <c r="L495" i="1"/>
  <c r="A495" i="3" s="1"/>
  <c r="B501" i="6"/>
  <c r="A500" i="3"/>
  <c r="C500" i="3" s="1" a="1"/>
  <c r="C500" i="3" s="1"/>
  <c r="M500" i="3" s="1" a="1"/>
  <c r="M500" i="3" s="1"/>
  <c r="B500" i="3" a="1"/>
  <c r="B500" i="3"/>
  <c r="D500" i="3" a="1"/>
  <c r="D500" i="3" s="1"/>
  <c r="N500" i="3" s="1" a="1"/>
  <c r="N500" i="3" s="1"/>
  <c r="F500" i="3" a="1"/>
  <c r="F500" i="3" s="1"/>
  <c r="P500" i="3" s="1" a="1"/>
  <c r="P500" i="3" s="1"/>
  <c r="G500" i="3" a="1"/>
  <c r="G500" i="3"/>
  <c r="H500" i="3" a="1"/>
  <c r="H500" i="3"/>
  <c r="R500" i="3" s="1" a="1"/>
  <c r="R500" i="3" s="1"/>
  <c r="S500" i="3" s="1" a="1"/>
  <c r="S500" i="3" s="1"/>
  <c r="I500" i="3" a="1"/>
  <c r="I500" i="3" s="1"/>
  <c r="T500" i="3" s="1" a="1"/>
  <c r="T500" i="3" s="1"/>
  <c r="J500" i="3" a="1"/>
  <c r="J500" i="3"/>
  <c r="U500" i="3" s="1" a="1"/>
  <c r="U500" i="3" s="1"/>
  <c r="L500" i="3" a="1"/>
  <c r="L500" i="3" s="1"/>
  <c r="Q500" i="3" a="1"/>
  <c r="Q500" i="3" s="1"/>
  <c r="W500" i="3"/>
  <c r="X500" i="3"/>
  <c r="Y500" i="3"/>
  <c r="Z500" i="3"/>
  <c r="AA500" i="3"/>
  <c r="AB500" i="3"/>
  <c r="AC500" i="3"/>
  <c r="AD500" i="3"/>
  <c r="AE500" i="3"/>
  <c r="AF500" i="3"/>
  <c r="L494" i="1"/>
  <c r="A494" i="3" s="1"/>
  <c r="B500" i="6"/>
  <c r="A499" i="3"/>
  <c r="D499" i="3" s="1" a="1"/>
  <c r="D499" i="3" s="1"/>
  <c r="N499" i="3" s="1" a="1"/>
  <c r="N499" i="3" s="1"/>
  <c r="B499" i="3" a="1"/>
  <c r="B499" i="3" s="1"/>
  <c r="L499" i="3" s="1" a="1"/>
  <c r="L499" i="3" s="1"/>
  <c r="W499" i="3"/>
  <c r="X499" i="3"/>
  <c r="Y499" i="3"/>
  <c r="Z499" i="3"/>
  <c r="AA499" i="3"/>
  <c r="AB499" i="3"/>
  <c r="AC499" i="3"/>
  <c r="AD499" i="3"/>
  <c r="AE499" i="3"/>
  <c r="AF499" i="3"/>
  <c r="L493" i="1"/>
  <c r="A493" i="3" s="1"/>
  <c r="B493" i="3" s="1" a="1"/>
  <c r="B493" i="3" s="1"/>
  <c r="L493" i="3" s="1" a="1"/>
  <c r="L493" i="3" s="1"/>
  <c r="B499" i="6"/>
  <c r="A498" i="3"/>
  <c r="D498" i="3" s="1" a="1"/>
  <c r="D498" i="3" s="1"/>
  <c r="N498" i="3" s="1" a="1"/>
  <c r="N498" i="3" s="1"/>
  <c r="B498" i="3" a="1"/>
  <c r="B498" i="3" s="1"/>
  <c r="L498" i="3" s="1" a="1"/>
  <c r="L498" i="3" s="1"/>
  <c r="C498" i="3" a="1"/>
  <c r="C498" i="3" s="1"/>
  <c r="W498" i="3"/>
  <c r="X498" i="3"/>
  <c r="Y498" i="3"/>
  <c r="Z498" i="3"/>
  <c r="AA498" i="3"/>
  <c r="AB498" i="3"/>
  <c r="AC498" i="3"/>
  <c r="AD498" i="3"/>
  <c r="AE498" i="3"/>
  <c r="AF498" i="3"/>
  <c r="L492" i="1"/>
  <c r="A492" i="3" s="1"/>
  <c r="E492" i="3" s="1" a="1"/>
  <c r="E492" i="3" s="1"/>
  <c r="O492" i="3" s="1" a="1"/>
  <c r="O492" i="3" s="1"/>
  <c r="B498" i="6"/>
  <c r="W497" i="3"/>
  <c r="X497" i="3"/>
  <c r="Y497" i="3"/>
  <c r="Z497" i="3"/>
  <c r="AA497" i="3"/>
  <c r="AB497" i="3"/>
  <c r="AC497" i="3"/>
  <c r="AD497" i="3"/>
  <c r="AE497" i="3"/>
  <c r="AF497" i="3"/>
  <c r="L491" i="1"/>
  <c r="B497" i="6"/>
  <c r="W496" i="3"/>
  <c r="X496" i="3"/>
  <c r="Y496" i="3"/>
  <c r="Z496" i="3"/>
  <c r="AA496" i="3"/>
  <c r="AB496" i="3"/>
  <c r="AC496" i="3"/>
  <c r="AD496" i="3"/>
  <c r="AE496" i="3"/>
  <c r="AF496" i="3"/>
  <c r="L490" i="1"/>
  <c r="B496" i="6"/>
  <c r="W495" i="3"/>
  <c r="X495" i="3"/>
  <c r="Y495" i="3"/>
  <c r="Z495" i="3"/>
  <c r="AA495" i="3"/>
  <c r="AB495" i="3"/>
  <c r="AC495" i="3"/>
  <c r="AD495" i="3"/>
  <c r="AE495" i="3"/>
  <c r="AF495" i="3"/>
  <c r="L489" i="1"/>
  <c r="A489" i="3" s="1"/>
  <c r="B495" i="6"/>
  <c r="W494" i="3"/>
  <c r="X494" i="3"/>
  <c r="Y494" i="3"/>
  <c r="Z494" i="3"/>
  <c r="AA494" i="3"/>
  <c r="AB494" i="3"/>
  <c r="AC494" i="3"/>
  <c r="AD494" i="3"/>
  <c r="AE494" i="3"/>
  <c r="AF494" i="3"/>
  <c r="L488" i="1"/>
  <c r="A488" i="3" s="1"/>
  <c r="C488" i="3" s="1" a="1"/>
  <c r="C488" i="3" s="1"/>
  <c r="M488" i="3" s="1" a="1"/>
  <c r="M488" i="3" s="1"/>
  <c r="B494" i="6"/>
  <c r="W493" i="3"/>
  <c r="X493" i="3"/>
  <c r="Y493" i="3"/>
  <c r="Z493" i="3"/>
  <c r="AA493" i="3"/>
  <c r="AB493" i="3"/>
  <c r="AC493" i="3"/>
  <c r="AD493" i="3"/>
  <c r="AE493" i="3"/>
  <c r="AF493" i="3"/>
  <c r="L487" i="1"/>
  <c r="A487" i="3" s="1"/>
  <c r="B493" i="6"/>
  <c r="W492" i="3"/>
  <c r="X492" i="3"/>
  <c r="Y492" i="3"/>
  <c r="Z492" i="3"/>
  <c r="AA492" i="3"/>
  <c r="AB492" i="3"/>
  <c r="AC492" i="3"/>
  <c r="AD492" i="3"/>
  <c r="AE492" i="3"/>
  <c r="AF492" i="3"/>
  <c r="L486" i="1"/>
  <c r="A486" i="3" s="1"/>
  <c r="B492" i="6"/>
  <c r="W491" i="3"/>
  <c r="X491" i="3"/>
  <c r="Y491" i="3"/>
  <c r="Z491" i="3"/>
  <c r="AA491" i="3"/>
  <c r="AB491" i="3"/>
  <c r="AC491" i="3"/>
  <c r="AD491" i="3"/>
  <c r="AE491" i="3"/>
  <c r="AF491" i="3"/>
  <c r="L485" i="1"/>
  <c r="A485" i="3" s="1"/>
  <c r="B485" i="3" s="1" a="1"/>
  <c r="B485" i="3" s="1"/>
  <c r="L485" i="3" s="1" a="1"/>
  <c r="L485" i="3" s="1"/>
  <c r="B491" i="6"/>
  <c r="W490" i="3"/>
  <c r="X490" i="3"/>
  <c r="Y490" i="3"/>
  <c r="Z490" i="3"/>
  <c r="AA490" i="3"/>
  <c r="AB490" i="3"/>
  <c r="AC490" i="3"/>
  <c r="AD490" i="3"/>
  <c r="AE490" i="3"/>
  <c r="AF490" i="3"/>
  <c r="L484" i="1"/>
  <c r="A484" i="3" s="1"/>
  <c r="B490" i="6"/>
  <c r="W489" i="3"/>
  <c r="X489" i="3"/>
  <c r="Y489" i="3"/>
  <c r="Z489" i="3"/>
  <c r="AA489" i="3"/>
  <c r="AB489" i="3"/>
  <c r="AC489" i="3"/>
  <c r="AD489" i="3"/>
  <c r="AE489" i="3"/>
  <c r="AF489" i="3"/>
  <c r="L483" i="1"/>
  <c r="A483" i="3" s="1"/>
  <c r="B483" i="3" s="1" a="1"/>
  <c r="B483" i="3" s="1"/>
  <c r="L483" i="3" s="1" a="1"/>
  <c r="L483" i="3" s="1"/>
  <c r="B489" i="6"/>
  <c r="W488" i="3"/>
  <c r="X488" i="3"/>
  <c r="Y488" i="3"/>
  <c r="Z488" i="3"/>
  <c r="AA488" i="3"/>
  <c r="AB488" i="3"/>
  <c r="AC488" i="3"/>
  <c r="AD488" i="3"/>
  <c r="AE488" i="3"/>
  <c r="AF488" i="3"/>
  <c r="L482" i="1"/>
  <c r="A482" i="3" s="1"/>
  <c r="B488" i="6"/>
  <c r="W487" i="3"/>
  <c r="X487" i="3"/>
  <c r="Y487" i="3"/>
  <c r="Z487" i="3"/>
  <c r="AA487" i="3"/>
  <c r="AB487" i="3"/>
  <c r="AC487" i="3"/>
  <c r="AD487" i="3"/>
  <c r="AE487" i="3"/>
  <c r="AF487" i="3"/>
  <c r="L481" i="1"/>
  <c r="A481" i="3" s="1"/>
  <c r="B481" i="3" s="1" a="1"/>
  <c r="B481" i="3" s="1"/>
  <c r="L481" i="3" s="1" a="1"/>
  <c r="L481" i="3" s="1"/>
  <c r="B487" i="6"/>
  <c r="W486" i="3"/>
  <c r="X486" i="3"/>
  <c r="Y486" i="3"/>
  <c r="Z486" i="3"/>
  <c r="AA486" i="3"/>
  <c r="AB486" i="3"/>
  <c r="AC486" i="3"/>
  <c r="AD486" i="3"/>
  <c r="AE486" i="3"/>
  <c r="AF486" i="3"/>
  <c r="L480" i="1"/>
  <c r="A480" i="3" s="1"/>
  <c r="D480" i="3" s="1" a="1"/>
  <c r="D480" i="3" s="1"/>
  <c r="N480" i="3" s="1" a="1"/>
  <c r="N480" i="3" s="1"/>
  <c r="B486" i="6"/>
  <c r="W485" i="3"/>
  <c r="X485" i="3"/>
  <c r="Y485" i="3"/>
  <c r="Z485" i="3"/>
  <c r="AA485" i="3"/>
  <c r="AB485" i="3"/>
  <c r="AC485" i="3"/>
  <c r="AD485" i="3"/>
  <c r="AE485" i="3"/>
  <c r="AF485" i="3"/>
  <c r="L479" i="1"/>
  <c r="A479" i="3" s="1"/>
  <c r="B485" i="6"/>
  <c r="W484" i="3"/>
  <c r="X484" i="3"/>
  <c r="Y484" i="3"/>
  <c r="Z484" i="3"/>
  <c r="AA484" i="3"/>
  <c r="AB484" i="3"/>
  <c r="AC484" i="3"/>
  <c r="AD484" i="3"/>
  <c r="AE484" i="3"/>
  <c r="AF484" i="3"/>
  <c r="L478" i="1"/>
  <c r="A478" i="3" s="1"/>
  <c r="B478" i="3" s="1" a="1"/>
  <c r="B478" i="3" s="1"/>
  <c r="L478" i="3" s="1" a="1"/>
  <c r="L478" i="3" s="1"/>
  <c r="B484" i="6"/>
  <c r="W483" i="3"/>
  <c r="X483" i="3"/>
  <c r="Y483" i="3"/>
  <c r="Z483" i="3"/>
  <c r="AA483" i="3"/>
  <c r="AB483" i="3"/>
  <c r="AC483" i="3"/>
  <c r="AD483" i="3"/>
  <c r="AE483" i="3"/>
  <c r="AF483" i="3"/>
  <c r="L477" i="1"/>
  <c r="A477" i="3" s="1"/>
  <c r="B483" i="6"/>
  <c r="W482" i="3"/>
  <c r="X482" i="3"/>
  <c r="Y482" i="3"/>
  <c r="Z482" i="3"/>
  <c r="AA482" i="3"/>
  <c r="AB482" i="3"/>
  <c r="AC482" i="3"/>
  <c r="AD482" i="3"/>
  <c r="AE482" i="3"/>
  <c r="AF482" i="3"/>
  <c r="L476" i="1"/>
  <c r="A476" i="3" s="1"/>
  <c r="B482" i="6"/>
  <c r="W481" i="3"/>
  <c r="X481" i="3"/>
  <c r="Y481" i="3"/>
  <c r="Z481" i="3"/>
  <c r="AA481" i="3"/>
  <c r="AB481" i="3"/>
  <c r="AC481" i="3"/>
  <c r="AD481" i="3"/>
  <c r="AE481" i="3"/>
  <c r="AF481" i="3"/>
  <c r="B481" i="6"/>
  <c r="W480" i="3"/>
  <c r="X480" i="3"/>
  <c r="Y480" i="3"/>
  <c r="Z480" i="3"/>
  <c r="AA480" i="3"/>
  <c r="AB480" i="3"/>
  <c r="AC480" i="3"/>
  <c r="AD480" i="3"/>
  <c r="AE480" i="3"/>
  <c r="AF480" i="3"/>
  <c r="L475" i="1"/>
  <c r="A475" i="3" s="1"/>
  <c r="B480" i="6"/>
  <c r="W479" i="3"/>
  <c r="X479" i="3"/>
  <c r="Y479" i="3"/>
  <c r="Z479" i="3"/>
  <c r="AA479" i="3"/>
  <c r="AB479" i="3"/>
  <c r="AC479" i="3"/>
  <c r="AD479" i="3"/>
  <c r="AE479" i="3"/>
  <c r="AF479" i="3"/>
  <c r="L474" i="1"/>
  <c r="A474" i="3" s="1"/>
  <c r="B479" i="6"/>
  <c r="W478" i="3"/>
  <c r="X478" i="3"/>
  <c r="Y478" i="3"/>
  <c r="Z478" i="3"/>
  <c r="AA478" i="3"/>
  <c r="AB478" i="3"/>
  <c r="AC478" i="3"/>
  <c r="AD478" i="3"/>
  <c r="AE478" i="3"/>
  <c r="AF478" i="3"/>
  <c r="B478" i="6"/>
  <c r="W477" i="3"/>
  <c r="X477" i="3"/>
  <c r="Y477" i="3"/>
  <c r="Z477" i="3"/>
  <c r="AA477" i="3"/>
  <c r="AB477" i="3"/>
  <c r="AC477" i="3"/>
  <c r="AD477" i="3"/>
  <c r="AE477" i="3"/>
  <c r="AF477" i="3"/>
  <c r="L473" i="1"/>
  <c r="A473" i="3" s="1"/>
  <c r="B477" i="6"/>
  <c r="W476" i="3"/>
  <c r="X476" i="3"/>
  <c r="Y476" i="3"/>
  <c r="Z476" i="3"/>
  <c r="AA476" i="3"/>
  <c r="AB476" i="3"/>
  <c r="AC476" i="3"/>
  <c r="AD476" i="3"/>
  <c r="AE476" i="3"/>
  <c r="AF476" i="3"/>
  <c r="L472" i="1"/>
  <c r="A472" i="3" s="1"/>
  <c r="B476" i="6"/>
  <c r="W475" i="3"/>
  <c r="X475" i="3"/>
  <c r="Y475" i="3"/>
  <c r="Z475" i="3"/>
  <c r="AA475" i="3"/>
  <c r="AB475" i="3"/>
  <c r="AC475" i="3"/>
  <c r="AD475" i="3"/>
  <c r="AE475" i="3"/>
  <c r="AF475" i="3"/>
  <c r="B475" i="6"/>
  <c r="W474" i="3"/>
  <c r="X474" i="3"/>
  <c r="Y474" i="3"/>
  <c r="Z474" i="3"/>
  <c r="AA474" i="3"/>
  <c r="AB474" i="3"/>
  <c r="AC474" i="3"/>
  <c r="AD474" i="3"/>
  <c r="AE474" i="3"/>
  <c r="AF474" i="3"/>
  <c r="B474" i="6"/>
  <c r="W473" i="3"/>
  <c r="X473" i="3"/>
  <c r="Y473" i="3"/>
  <c r="Z473" i="3"/>
  <c r="AA473" i="3"/>
  <c r="AB473" i="3"/>
  <c r="AC473" i="3"/>
  <c r="AD473" i="3"/>
  <c r="AE473" i="3"/>
  <c r="AF473" i="3"/>
  <c r="B473" i="6"/>
  <c r="W472" i="3"/>
  <c r="X472" i="3"/>
  <c r="Y472" i="3"/>
  <c r="Z472" i="3"/>
  <c r="AA472" i="3"/>
  <c r="AB472" i="3"/>
  <c r="AC472" i="3"/>
  <c r="AD472" i="3"/>
  <c r="AE472" i="3"/>
  <c r="AF472" i="3"/>
  <c r="B472" i="6"/>
  <c r="W471" i="3"/>
  <c r="X471" i="3"/>
  <c r="Y471" i="3"/>
  <c r="Z471" i="3"/>
  <c r="AA471" i="3"/>
  <c r="AB471" i="3"/>
  <c r="AC471" i="3"/>
  <c r="AD471" i="3"/>
  <c r="AE471" i="3"/>
  <c r="AF471" i="3"/>
  <c r="L471" i="1"/>
  <c r="A471" i="3" s="1"/>
  <c r="B471" i="6"/>
  <c r="W470" i="3"/>
  <c r="X470" i="3"/>
  <c r="Y470" i="3"/>
  <c r="Z470" i="3"/>
  <c r="AA470" i="3"/>
  <c r="AB470" i="3"/>
  <c r="AC470" i="3"/>
  <c r="AD470" i="3"/>
  <c r="AE470" i="3"/>
  <c r="AF470" i="3"/>
  <c r="L470" i="1"/>
  <c r="A470" i="3" s="1"/>
  <c r="B470" i="6"/>
  <c r="W469" i="3"/>
  <c r="X469" i="3"/>
  <c r="Y469" i="3"/>
  <c r="Z469" i="3"/>
  <c r="AA469" i="3"/>
  <c r="AB469" i="3"/>
  <c r="AC469" i="3"/>
  <c r="AD469" i="3"/>
  <c r="AE469" i="3"/>
  <c r="AF469" i="3"/>
  <c r="L469" i="1"/>
  <c r="A469" i="3" s="1"/>
  <c r="B469" i="6"/>
  <c r="W468" i="3"/>
  <c r="X468" i="3"/>
  <c r="Y468" i="3"/>
  <c r="Z468" i="3"/>
  <c r="AA468" i="3"/>
  <c r="AB468" i="3"/>
  <c r="AC468" i="3"/>
  <c r="AD468" i="3"/>
  <c r="AE468" i="3"/>
  <c r="AF468" i="3"/>
  <c r="L468" i="1"/>
  <c r="A468" i="3" s="1"/>
  <c r="B468" i="6"/>
  <c r="W467" i="3"/>
  <c r="X467" i="3"/>
  <c r="Y467" i="3"/>
  <c r="Z467" i="3"/>
  <c r="AA467" i="3"/>
  <c r="AB467" i="3"/>
  <c r="AC467" i="3"/>
  <c r="AD467" i="3"/>
  <c r="AE467" i="3"/>
  <c r="AF467" i="3"/>
  <c r="L467" i="1"/>
  <c r="A467" i="3" s="1"/>
  <c r="B467" i="6"/>
  <c r="W466" i="3"/>
  <c r="X466" i="3"/>
  <c r="Y466" i="3"/>
  <c r="Z466" i="3"/>
  <c r="AA466" i="3"/>
  <c r="AB466" i="3"/>
  <c r="AC466" i="3"/>
  <c r="AD466" i="3"/>
  <c r="AE466" i="3"/>
  <c r="AF466" i="3"/>
  <c r="L466" i="1"/>
  <c r="A466" i="3" s="1"/>
  <c r="B466" i="6"/>
  <c r="W465" i="3"/>
  <c r="X465" i="3"/>
  <c r="Y465" i="3"/>
  <c r="Z465" i="3"/>
  <c r="AA465" i="3"/>
  <c r="AB465" i="3"/>
  <c r="AC465" i="3"/>
  <c r="AD465" i="3"/>
  <c r="AE465" i="3"/>
  <c r="AF465" i="3"/>
  <c r="L465" i="1"/>
  <c r="A465" i="3" s="1"/>
  <c r="B465" i="6"/>
  <c r="W464" i="3"/>
  <c r="X464" i="3"/>
  <c r="Y464" i="3"/>
  <c r="Z464" i="3"/>
  <c r="AA464" i="3"/>
  <c r="AB464" i="3"/>
  <c r="AC464" i="3"/>
  <c r="AD464" i="3"/>
  <c r="AE464" i="3"/>
  <c r="AF464" i="3"/>
  <c r="L464" i="1"/>
  <c r="A464" i="3" s="1"/>
  <c r="B464" i="6"/>
  <c r="W463" i="3"/>
  <c r="X463" i="3"/>
  <c r="Y463" i="3"/>
  <c r="Z463" i="3"/>
  <c r="AA463" i="3"/>
  <c r="AB463" i="3"/>
  <c r="AC463" i="3"/>
  <c r="AD463" i="3"/>
  <c r="AE463" i="3"/>
  <c r="AF463" i="3"/>
  <c r="L463" i="1"/>
  <c r="A463" i="3" s="1"/>
  <c r="B463" i="6"/>
  <c r="W462" i="3"/>
  <c r="X462" i="3"/>
  <c r="Y462" i="3"/>
  <c r="Z462" i="3"/>
  <c r="AA462" i="3"/>
  <c r="AB462" i="3"/>
  <c r="AC462" i="3"/>
  <c r="AD462" i="3"/>
  <c r="AE462" i="3"/>
  <c r="AF462" i="3"/>
  <c r="L462" i="1"/>
  <c r="A462" i="3" s="1"/>
  <c r="B462" i="6"/>
  <c r="W461" i="3"/>
  <c r="X461" i="3"/>
  <c r="Y461" i="3"/>
  <c r="Z461" i="3"/>
  <c r="AA461" i="3"/>
  <c r="AB461" i="3"/>
  <c r="AC461" i="3"/>
  <c r="AD461" i="3"/>
  <c r="AE461" i="3"/>
  <c r="AF461" i="3"/>
  <c r="L461" i="1"/>
  <c r="A461" i="3" s="1"/>
  <c r="B461" i="6"/>
  <c r="W460" i="3"/>
  <c r="X460" i="3"/>
  <c r="Y460" i="3"/>
  <c r="Z460" i="3"/>
  <c r="AA460" i="3"/>
  <c r="AB460" i="3"/>
  <c r="AC460" i="3"/>
  <c r="AD460" i="3"/>
  <c r="AE460" i="3"/>
  <c r="AF460" i="3"/>
  <c r="L460" i="1"/>
  <c r="A460" i="3" s="1"/>
  <c r="B460" i="6"/>
  <c r="W459" i="3"/>
  <c r="X459" i="3"/>
  <c r="Y459" i="3"/>
  <c r="Z459" i="3"/>
  <c r="AA459" i="3"/>
  <c r="AB459" i="3"/>
  <c r="AC459" i="3"/>
  <c r="AD459" i="3"/>
  <c r="AE459" i="3"/>
  <c r="AF459" i="3"/>
  <c r="L459" i="1"/>
  <c r="A459" i="3" s="1"/>
  <c r="B459" i="6"/>
  <c r="W458" i="3"/>
  <c r="X458" i="3"/>
  <c r="Y458" i="3"/>
  <c r="Z458" i="3"/>
  <c r="AA458" i="3"/>
  <c r="AB458" i="3"/>
  <c r="AC458" i="3"/>
  <c r="AD458" i="3"/>
  <c r="AE458" i="3"/>
  <c r="AF458" i="3"/>
  <c r="L458" i="1"/>
  <c r="A458" i="3" s="1"/>
  <c r="B458" i="6"/>
  <c r="W457" i="3"/>
  <c r="X457" i="3"/>
  <c r="Y457" i="3"/>
  <c r="Z457" i="3"/>
  <c r="AA457" i="3"/>
  <c r="AB457" i="3"/>
  <c r="AC457" i="3"/>
  <c r="AD457" i="3"/>
  <c r="AE457" i="3"/>
  <c r="AF457" i="3"/>
  <c r="L457" i="1"/>
  <c r="A457" i="3" s="1"/>
  <c r="B457" i="6"/>
  <c r="W456" i="3"/>
  <c r="X456" i="3"/>
  <c r="Y456" i="3"/>
  <c r="Z456" i="3"/>
  <c r="AA456" i="3"/>
  <c r="AB456" i="3"/>
  <c r="AC456" i="3"/>
  <c r="AD456" i="3"/>
  <c r="AE456" i="3"/>
  <c r="AF456" i="3"/>
  <c r="L456" i="1"/>
  <c r="A456" i="3" s="1"/>
  <c r="B456" i="6"/>
  <c r="W455" i="3"/>
  <c r="X455" i="3"/>
  <c r="Y455" i="3"/>
  <c r="Z455" i="3"/>
  <c r="AA455" i="3"/>
  <c r="AB455" i="3"/>
  <c r="AC455" i="3"/>
  <c r="AD455" i="3"/>
  <c r="AE455" i="3"/>
  <c r="AF455" i="3"/>
  <c r="L455" i="1"/>
  <c r="A455" i="3" s="1"/>
  <c r="B455" i="6"/>
  <c r="W454" i="3"/>
  <c r="X454" i="3"/>
  <c r="Y454" i="3"/>
  <c r="Z454" i="3"/>
  <c r="AA454" i="3"/>
  <c r="AB454" i="3"/>
  <c r="AC454" i="3"/>
  <c r="AD454" i="3"/>
  <c r="AE454" i="3"/>
  <c r="AF454" i="3"/>
  <c r="L454" i="1"/>
  <c r="A454" i="3" s="1"/>
  <c r="B454" i="6"/>
  <c r="W453" i="3"/>
  <c r="X453" i="3"/>
  <c r="Y453" i="3"/>
  <c r="Z453" i="3"/>
  <c r="AA453" i="3"/>
  <c r="AB453" i="3"/>
  <c r="AC453" i="3"/>
  <c r="AD453" i="3"/>
  <c r="AE453" i="3"/>
  <c r="AF453" i="3"/>
  <c r="L453" i="1"/>
  <c r="A453" i="3" s="1"/>
  <c r="B453" i="6"/>
  <c r="W452" i="3"/>
  <c r="X452" i="3"/>
  <c r="Y452" i="3"/>
  <c r="Z452" i="3"/>
  <c r="AA452" i="3"/>
  <c r="AB452" i="3"/>
  <c r="AC452" i="3"/>
  <c r="AD452" i="3"/>
  <c r="AE452" i="3"/>
  <c r="AF452" i="3"/>
  <c r="L452" i="1"/>
  <c r="A452" i="3" s="1"/>
  <c r="B452" i="6"/>
  <c r="W451" i="3"/>
  <c r="X451" i="3"/>
  <c r="Y451" i="3"/>
  <c r="Z451" i="3"/>
  <c r="AA451" i="3"/>
  <c r="AB451" i="3"/>
  <c r="AC451" i="3"/>
  <c r="AD451" i="3"/>
  <c r="AE451" i="3"/>
  <c r="AF451" i="3"/>
  <c r="L451" i="1"/>
  <c r="A451" i="3" s="1"/>
  <c r="B451" i="6"/>
  <c r="W450" i="3"/>
  <c r="X450" i="3"/>
  <c r="Y450" i="3"/>
  <c r="Z450" i="3"/>
  <c r="AA450" i="3"/>
  <c r="AB450" i="3"/>
  <c r="AC450" i="3"/>
  <c r="AD450" i="3"/>
  <c r="AE450" i="3"/>
  <c r="AF450" i="3"/>
  <c r="L450" i="1"/>
  <c r="A450" i="3" s="1"/>
  <c r="B450" i="6"/>
  <c r="W449" i="3"/>
  <c r="X449" i="3"/>
  <c r="Y449" i="3"/>
  <c r="Z449" i="3"/>
  <c r="AA449" i="3"/>
  <c r="AB449" i="3"/>
  <c r="AC449" i="3"/>
  <c r="AD449" i="3"/>
  <c r="AE449" i="3"/>
  <c r="AF449" i="3"/>
  <c r="L449" i="1"/>
  <c r="A449" i="3" s="1"/>
  <c r="B449" i="6"/>
  <c r="W448" i="3"/>
  <c r="X448" i="3"/>
  <c r="Y448" i="3"/>
  <c r="Z448" i="3"/>
  <c r="AA448" i="3"/>
  <c r="AB448" i="3"/>
  <c r="AC448" i="3"/>
  <c r="AD448" i="3"/>
  <c r="AE448" i="3"/>
  <c r="AF448" i="3"/>
  <c r="L448" i="1"/>
  <c r="A448" i="3" s="1"/>
  <c r="B448" i="6"/>
  <c r="W447" i="3"/>
  <c r="X447" i="3"/>
  <c r="Y447" i="3"/>
  <c r="Z447" i="3"/>
  <c r="AA447" i="3"/>
  <c r="AB447" i="3"/>
  <c r="AC447" i="3"/>
  <c r="AD447" i="3"/>
  <c r="AE447" i="3"/>
  <c r="AF447" i="3"/>
  <c r="L447" i="1"/>
  <c r="A447" i="3" s="1"/>
  <c r="B447" i="6"/>
  <c r="W446" i="3"/>
  <c r="X446" i="3"/>
  <c r="Y446" i="3"/>
  <c r="Z446" i="3"/>
  <c r="AA446" i="3"/>
  <c r="AB446" i="3"/>
  <c r="AC446" i="3"/>
  <c r="AD446" i="3"/>
  <c r="AE446" i="3"/>
  <c r="AF446" i="3"/>
  <c r="L446" i="1"/>
  <c r="A446" i="3" s="1"/>
  <c r="B446" i="6"/>
  <c r="W445" i="3"/>
  <c r="X445" i="3"/>
  <c r="Y445" i="3"/>
  <c r="Z445" i="3"/>
  <c r="AA445" i="3"/>
  <c r="AB445" i="3"/>
  <c r="AC445" i="3"/>
  <c r="AD445" i="3"/>
  <c r="AE445" i="3"/>
  <c r="AF445" i="3"/>
  <c r="L445" i="1"/>
  <c r="A445" i="3" s="1"/>
  <c r="B445" i="6"/>
  <c r="W444" i="3"/>
  <c r="X444" i="3"/>
  <c r="Y444" i="3"/>
  <c r="Z444" i="3"/>
  <c r="AA444" i="3"/>
  <c r="AB444" i="3"/>
  <c r="AC444" i="3"/>
  <c r="AD444" i="3"/>
  <c r="AE444" i="3"/>
  <c r="AF444" i="3"/>
  <c r="L444" i="1"/>
  <c r="A444" i="3" s="1"/>
  <c r="B444" i="6"/>
  <c r="W443" i="3"/>
  <c r="X443" i="3"/>
  <c r="Y443" i="3"/>
  <c r="Z443" i="3"/>
  <c r="AA443" i="3"/>
  <c r="AB443" i="3"/>
  <c r="AC443" i="3"/>
  <c r="AD443" i="3"/>
  <c r="AE443" i="3"/>
  <c r="AF443" i="3"/>
  <c r="L443" i="1"/>
  <c r="A443" i="3" s="1"/>
  <c r="B443" i="6"/>
  <c r="W442" i="3"/>
  <c r="X442" i="3"/>
  <c r="Y442" i="3"/>
  <c r="Z442" i="3"/>
  <c r="AA442" i="3"/>
  <c r="AB442" i="3"/>
  <c r="AC442" i="3"/>
  <c r="AD442" i="3"/>
  <c r="AE442" i="3"/>
  <c r="AF442" i="3"/>
  <c r="L442" i="1"/>
  <c r="A442" i="3" s="1"/>
  <c r="B442" i="6"/>
  <c r="W441" i="3"/>
  <c r="X441" i="3"/>
  <c r="Y441" i="3"/>
  <c r="Z441" i="3"/>
  <c r="AA441" i="3"/>
  <c r="AB441" i="3"/>
  <c r="AC441" i="3"/>
  <c r="AD441" i="3"/>
  <c r="AE441" i="3"/>
  <c r="AF441" i="3"/>
  <c r="L441" i="1"/>
  <c r="A441" i="3" s="1"/>
  <c r="B441" i="6"/>
  <c r="W440" i="3"/>
  <c r="X440" i="3"/>
  <c r="Y440" i="3"/>
  <c r="Z440" i="3"/>
  <c r="AA440" i="3"/>
  <c r="AB440" i="3"/>
  <c r="AC440" i="3"/>
  <c r="AD440" i="3"/>
  <c r="AE440" i="3"/>
  <c r="AF440" i="3"/>
  <c r="L440" i="1"/>
  <c r="A440" i="3" s="1"/>
  <c r="B440" i="6"/>
  <c r="W439" i="3"/>
  <c r="X439" i="3"/>
  <c r="Y439" i="3"/>
  <c r="Z439" i="3"/>
  <c r="AA439" i="3"/>
  <c r="AB439" i="3"/>
  <c r="AC439" i="3"/>
  <c r="AD439" i="3"/>
  <c r="AE439" i="3"/>
  <c r="AF439" i="3"/>
  <c r="L439" i="1"/>
  <c r="A439" i="3" s="1"/>
  <c r="B439" i="6"/>
  <c r="W438" i="3"/>
  <c r="X438" i="3"/>
  <c r="Y438" i="3"/>
  <c r="Z438" i="3"/>
  <c r="AA438" i="3"/>
  <c r="AB438" i="3"/>
  <c r="AC438" i="3"/>
  <c r="AD438" i="3"/>
  <c r="AE438" i="3"/>
  <c r="AF438" i="3"/>
  <c r="L438" i="1"/>
  <c r="A438" i="3" s="1"/>
  <c r="B438" i="6"/>
  <c r="AF437" i="3"/>
  <c r="AE437" i="3"/>
  <c r="AD437" i="3"/>
  <c r="AC437" i="3"/>
  <c r="AB437" i="3"/>
  <c r="AA437" i="3"/>
  <c r="Z437" i="3"/>
  <c r="Y437" i="3"/>
  <c r="X437" i="3"/>
  <c r="W437" i="3"/>
  <c r="L437" i="1"/>
  <c r="A437" i="3" s="1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Z2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B2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F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B437" i="6"/>
  <c r="I19" i="2"/>
  <c r="J19" i="2"/>
  <c r="K19" i="2"/>
  <c r="I20" i="2"/>
  <c r="J20" i="2"/>
  <c r="K20" i="2"/>
  <c r="I21" i="2"/>
  <c r="J21" i="2"/>
  <c r="K21" i="2"/>
  <c r="I22" i="2"/>
  <c r="J22" i="2"/>
  <c r="K22" i="2"/>
  <c r="B426" i="6"/>
  <c r="H426" i="1" s="1"/>
  <c r="AC426" i="3" s="1"/>
  <c r="B427" i="6"/>
  <c r="H427" i="1" s="1"/>
  <c r="AC427" i="3" s="1"/>
  <c r="B428" i="6"/>
  <c r="H428" i="1" s="1"/>
  <c r="AC428" i="3" s="1"/>
  <c r="B429" i="6"/>
  <c r="H429" i="1" s="1"/>
  <c r="AC429" i="3" s="1"/>
  <c r="B430" i="6"/>
  <c r="H430" i="1" s="1"/>
  <c r="AC430" i="3" s="1"/>
  <c r="B431" i="6"/>
  <c r="H431" i="1" s="1"/>
  <c r="AC431" i="3" s="1"/>
  <c r="B432" i="6"/>
  <c r="H432" i="1" s="1"/>
  <c r="AC432" i="3" s="1"/>
  <c r="B433" i="6"/>
  <c r="H433" i="1" s="1"/>
  <c r="AC433" i="3" s="1"/>
  <c r="B434" i="6"/>
  <c r="H434" i="1" s="1"/>
  <c r="AC434" i="3" s="1"/>
  <c r="B435" i="6"/>
  <c r="H435" i="1" s="1"/>
  <c r="AC435" i="3" s="1"/>
  <c r="B436" i="6"/>
  <c r="H436" i="1" s="1"/>
  <c r="AC436" i="3" s="1"/>
  <c r="L432" i="1"/>
  <c r="A432" i="3" s="1"/>
  <c r="L433" i="1"/>
  <c r="A433" i="3" s="1"/>
  <c r="L434" i="1"/>
  <c r="A434" i="3" s="1"/>
  <c r="L435" i="1"/>
  <c r="A435" i="3" s="1"/>
  <c r="L436" i="1"/>
  <c r="A436" i="3" s="1"/>
  <c r="L426" i="1"/>
  <c r="A426" i="3" s="1"/>
  <c r="L427" i="1"/>
  <c r="A427" i="3" s="1"/>
  <c r="L428" i="1"/>
  <c r="A428" i="3" s="1"/>
  <c r="L429" i="1"/>
  <c r="A429" i="3" s="1"/>
  <c r="L430" i="1"/>
  <c r="A430" i="3" s="1"/>
  <c r="L431" i="1"/>
  <c r="A431" i="3" s="1"/>
  <c r="B424" i="6"/>
  <c r="H424" i="1" s="1"/>
  <c r="AC424" i="3" s="1"/>
  <c r="B425" i="6"/>
  <c r="H425" i="1" s="1"/>
  <c r="AC425" i="3" s="1"/>
  <c r="L424" i="1"/>
  <c r="A424" i="3" s="1"/>
  <c r="L425" i="1"/>
  <c r="A425" i="3" s="1"/>
  <c r="B421" i="6"/>
  <c r="H421" i="1" s="1"/>
  <c r="AC421" i="3" s="1"/>
  <c r="B422" i="6"/>
  <c r="H422" i="1" s="1"/>
  <c r="AC422" i="3" s="1"/>
  <c r="B423" i="6"/>
  <c r="H423" i="1" s="1"/>
  <c r="AC423" i="3" s="1"/>
  <c r="L421" i="1"/>
  <c r="A421" i="3" s="1"/>
  <c r="L422" i="1"/>
  <c r="A422" i="3" s="1"/>
  <c r="L423" i="1"/>
  <c r="A423" i="3" s="1"/>
  <c r="B400" i="6"/>
  <c r="H400" i="1" s="1"/>
  <c r="AC400" i="3" s="1"/>
  <c r="B401" i="6"/>
  <c r="H401" i="1" s="1"/>
  <c r="AC401" i="3" s="1"/>
  <c r="B402" i="6"/>
  <c r="H402" i="1" s="1"/>
  <c r="AC402" i="3" s="1"/>
  <c r="B403" i="6"/>
  <c r="H403" i="1" s="1"/>
  <c r="AC403" i="3" s="1"/>
  <c r="B404" i="6"/>
  <c r="H404" i="1" s="1"/>
  <c r="AC404" i="3" s="1"/>
  <c r="B405" i="6"/>
  <c r="H405" i="1" s="1"/>
  <c r="AC405" i="3" s="1"/>
  <c r="B406" i="6"/>
  <c r="H406" i="1" s="1"/>
  <c r="AC406" i="3" s="1"/>
  <c r="B407" i="6"/>
  <c r="H407" i="1" s="1"/>
  <c r="AC407" i="3" s="1"/>
  <c r="B408" i="6"/>
  <c r="H408" i="1" s="1"/>
  <c r="AC408" i="3" s="1"/>
  <c r="B409" i="6"/>
  <c r="H409" i="1" s="1"/>
  <c r="AC409" i="3" s="1"/>
  <c r="B410" i="6"/>
  <c r="H410" i="1" s="1"/>
  <c r="AC410" i="3" s="1"/>
  <c r="B411" i="6"/>
  <c r="H411" i="1" s="1"/>
  <c r="AC411" i="3" s="1"/>
  <c r="B412" i="6"/>
  <c r="H412" i="1" s="1"/>
  <c r="AC412" i="3" s="1"/>
  <c r="B413" i="6"/>
  <c r="H413" i="1" s="1"/>
  <c r="AC413" i="3" s="1"/>
  <c r="B414" i="6"/>
  <c r="H414" i="1" s="1"/>
  <c r="AC414" i="3" s="1"/>
  <c r="B415" i="6"/>
  <c r="H415" i="1" s="1"/>
  <c r="AC415" i="3" s="1"/>
  <c r="B416" i="6"/>
  <c r="H416" i="1" s="1"/>
  <c r="AC416" i="3" s="1"/>
  <c r="B417" i="6"/>
  <c r="H417" i="1" s="1"/>
  <c r="AC417" i="3" s="1"/>
  <c r="B418" i="6"/>
  <c r="H418" i="1" s="1"/>
  <c r="AC418" i="3" s="1"/>
  <c r="B419" i="6"/>
  <c r="H419" i="1" s="1"/>
  <c r="AC419" i="3" s="1"/>
  <c r="B420" i="6"/>
  <c r="H420" i="1" s="1"/>
  <c r="AC420" i="3" s="1"/>
  <c r="L416" i="1"/>
  <c r="A416" i="3" s="1"/>
  <c r="L417" i="1"/>
  <c r="A417" i="3" s="1"/>
  <c r="L418" i="1"/>
  <c r="A418" i="3" s="1"/>
  <c r="L419" i="1"/>
  <c r="A419" i="3" s="1"/>
  <c r="L420" i="1"/>
  <c r="A420" i="3" s="1"/>
  <c r="L412" i="1"/>
  <c r="A412" i="3" s="1"/>
  <c r="L413" i="1"/>
  <c r="A413" i="3" s="1"/>
  <c r="L414" i="1"/>
  <c r="A414" i="3" s="1"/>
  <c r="L415" i="1"/>
  <c r="A415" i="3" s="1"/>
  <c r="L406" i="1"/>
  <c r="A406" i="3" s="1"/>
  <c r="L407" i="1"/>
  <c r="A407" i="3" s="1"/>
  <c r="L408" i="1"/>
  <c r="A408" i="3" s="1"/>
  <c r="L409" i="1"/>
  <c r="A409" i="3" s="1"/>
  <c r="L410" i="1"/>
  <c r="A410" i="3" s="1"/>
  <c r="L411" i="1"/>
  <c r="A411" i="3" s="1"/>
  <c r="M499" i="1" a="1"/>
  <c r="M473" i="1" a="1"/>
  <c r="M486" i="1" a="1"/>
  <c r="M471" i="1" a="1"/>
  <c r="M433" i="1" a="1"/>
  <c r="M446" i="1" a="1"/>
  <c r="M481" i="1" a="1"/>
  <c r="M478" i="1" a="1"/>
  <c r="M475" i="1" a="1"/>
  <c r="M489" i="1" a="1"/>
  <c r="M469" i="1" a="1"/>
  <c r="M484" i="1" a="1"/>
  <c r="M477" i="1" a="1"/>
  <c r="M464" i="1" a="1"/>
  <c r="M488" i="1" a="1"/>
  <c r="M487" i="1" a="1"/>
  <c r="M414" i="1" a="1"/>
  <c r="M490" i="1" a="1"/>
  <c r="M479" i="1" a="1"/>
  <c r="M491" i="1" a="1"/>
  <c r="M455" i="1" a="1"/>
  <c r="M432" i="1" a="1"/>
  <c r="M472" i="1" a="1"/>
  <c r="M470" i="1" a="1"/>
  <c r="M408" i="1" a="1"/>
  <c r="M441" i="1" a="1"/>
  <c r="M492" i="1" a="1"/>
  <c r="M497" i="1" a="1"/>
  <c r="M476" i="1" a="1"/>
  <c r="M498" i="1" a="1"/>
  <c r="M474" i="1" a="1"/>
  <c r="M468" i="1" a="1"/>
  <c r="M493" i="1" a="1"/>
  <c r="M485" i="1" a="1"/>
  <c r="M480" i="1" a="1"/>
  <c r="M496" i="1" a="1"/>
  <c r="M483" i="1" a="1"/>
  <c r="M495" i="1" a="1"/>
  <c r="M453" i="1" a="1"/>
  <c r="M438" i="1" a="1"/>
  <c r="M417" i="1" a="1"/>
  <c r="M499" i="1" l="1"/>
  <c r="R505" i="3"/>
  <c r="S505" i="3" s="1" a="1"/>
  <c r="S505" i="3" s="1"/>
  <c r="B505" i="3"/>
  <c r="L505" i="3" a="1"/>
  <c r="L505" i="3" s="1"/>
  <c r="K499" i="3" a="1"/>
  <c r="K499" i="3" s="1"/>
  <c r="V499" i="3" s="1" a="1"/>
  <c r="V499" i="3" s="1"/>
  <c r="H499" i="3" a="1"/>
  <c r="H499" i="3" s="1"/>
  <c r="R499" i="3" s="1" a="1"/>
  <c r="R499" i="3" s="1"/>
  <c r="S499" i="3" s="1" a="1"/>
  <c r="S499" i="3" s="1"/>
  <c r="J499" i="3" a="1"/>
  <c r="G499" i="3" a="1"/>
  <c r="F499" i="3" a="1"/>
  <c r="F499" i="3" s="1"/>
  <c r="P499" i="3" s="1" a="1"/>
  <c r="P499" i="3" s="1"/>
  <c r="E499" i="3" a="1"/>
  <c r="E499" i="3" s="1"/>
  <c r="O499" i="3" s="1" a="1"/>
  <c r="O499" i="3" s="1"/>
  <c r="C499" i="3" a="1"/>
  <c r="C499" i="3" s="1"/>
  <c r="M499" i="3" s="1" a="1"/>
  <c r="M499" i="3" s="1"/>
  <c r="I499" i="3" a="1"/>
  <c r="I499" i="3" s="1"/>
  <c r="T499" i="3" s="1" a="1"/>
  <c r="T499" i="3" s="1"/>
  <c r="T505" i="3" a="1"/>
  <c r="T505" i="3" s="1"/>
  <c r="M498" i="1"/>
  <c r="F497" i="3" a="1"/>
  <c r="F497" i="3" s="1"/>
  <c r="P497" i="3" s="1" a="1"/>
  <c r="P497" i="3" s="1"/>
  <c r="E497" i="3" a="1"/>
  <c r="E497" i="3" s="1"/>
  <c r="O497" i="3" s="1" a="1"/>
  <c r="O497" i="3" s="1"/>
  <c r="K497" i="3" a="1"/>
  <c r="K497" i="3" s="1"/>
  <c r="V497" i="3" s="1" a="1"/>
  <c r="V497" i="3" s="1"/>
  <c r="D497" i="3" a="1"/>
  <c r="D497" i="3" s="1"/>
  <c r="N497" i="3" s="1" a="1"/>
  <c r="N497" i="3" s="1"/>
  <c r="C497" i="3" a="1"/>
  <c r="C497" i="3" s="1"/>
  <c r="M497" i="3" s="1" a="1"/>
  <c r="M497" i="3" s="1"/>
  <c r="R504" i="3"/>
  <c r="S504" i="3" a="1"/>
  <c r="S504" i="3" s="1"/>
  <c r="D504" i="3"/>
  <c r="N504" i="3" a="1"/>
  <c r="N504" i="3" s="1"/>
  <c r="G498" i="3" a="1"/>
  <c r="T504" i="3" a="1"/>
  <c r="T504" i="3" s="1"/>
  <c r="L504" i="3" a="1"/>
  <c r="L504" i="3" s="1"/>
  <c r="I498" i="3" a="1"/>
  <c r="I498" i="3" s="1"/>
  <c r="T498" i="3" s="1" a="1"/>
  <c r="T498" i="3" s="1"/>
  <c r="H498" i="3" a="1"/>
  <c r="H498" i="3" s="1"/>
  <c r="R498" i="3" s="1" a="1"/>
  <c r="R498" i="3" s="1"/>
  <c r="S498" i="3" s="1" a="1"/>
  <c r="S498" i="3" s="1"/>
  <c r="F498" i="3" a="1"/>
  <c r="F498" i="3" s="1"/>
  <c r="P498" i="3" s="1" a="1"/>
  <c r="P498" i="3" s="1"/>
  <c r="M498" i="3" a="1"/>
  <c r="M498" i="3" s="1"/>
  <c r="J498" i="3" a="1"/>
  <c r="J498" i="3" s="1"/>
  <c r="U498" i="3" s="1" a="1"/>
  <c r="U498" i="3" s="1"/>
  <c r="E498" i="3" a="1"/>
  <c r="E498" i="3" s="1"/>
  <c r="O498" i="3" s="1" a="1"/>
  <c r="O498" i="3" s="1"/>
  <c r="K498" i="3" a="1"/>
  <c r="M497" i="1"/>
  <c r="K495" i="3" a="1"/>
  <c r="K495" i="3" s="1"/>
  <c r="V495" i="3" s="1" a="1"/>
  <c r="V495" i="3" s="1"/>
  <c r="H495" i="3" a="1"/>
  <c r="H495" i="3" s="1"/>
  <c r="R495" i="3" s="1" a="1"/>
  <c r="R495" i="3" s="1"/>
  <c r="S495" i="3" s="1" a="1"/>
  <c r="S495" i="3" s="1"/>
  <c r="F495" i="3" a="1"/>
  <c r="F495" i="3" s="1"/>
  <c r="P495" i="3" s="1" a="1"/>
  <c r="P495" i="3" s="1"/>
  <c r="M496" i="1"/>
  <c r="A496" i="3"/>
  <c r="J496" i="3" s="1" a="1"/>
  <c r="J496" i="3" s="1"/>
  <c r="U496" i="3" s="1" a="1"/>
  <c r="U496" i="3" s="1"/>
  <c r="J495" i="3" a="1"/>
  <c r="J495" i="3" s="1"/>
  <c r="U495" i="3" s="1" a="1"/>
  <c r="U495" i="3" s="1"/>
  <c r="M495" i="1"/>
  <c r="I495" i="3" a="1"/>
  <c r="I495" i="3" s="1"/>
  <c r="T495" i="3" s="1" a="1"/>
  <c r="T495" i="3" s="1"/>
  <c r="G495" i="3" a="1"/>
  <c r="G495" i="3" s="1"/>
  <c r="Q495" i="3" s="1" a="1"/>
  <c r="Q495" i="3" s="1"/>
  <c r="E495" i="3" a="1"/>
  <c r="E495" i="3" s="1"/>
  <c r="O495" i="3" s="1" a="1"/>
  <c r="O495" i="3" s="1"/>
  <c r="D495" i="3" a="1"/>
  <c r="D495" i="3" s="1"/>
  <c r="N495" i="3" s="1" a="1"/>
  <c r="N495" i="3" s="1"/>
  <c r="C495" i="3" a="1"/>
  <c r="C495" i="3" s="1"/>
  <c r="M495" i="3" s="1" a="1"/>
  <c r="M495" i="3" s="1"/>
  <c r="B495" i="3" a="1"/>
  <c r="B495" i="3" s="1"/>
  <c r="L495" i="3" s="1" a="1"/>
  <c r="L495" i="3" s="1"/>
  <c r="C494" i="3" a="1"/>
  <c r="C494" i="3" s="1"/>
  <c r="M494" i="3" s="1" a="1"/>
  <c r="M494" i="3" s="1"/>
  <c r="B494" i="3" a="1"/>
  <c r="B494" i="3" s="1"/>
  <c r="L494" i="3" s="1" a="1"/>
  <c r="L494" i="3" s="1"/>
  <c r="E500" i="3" a="1"/>
  <c r="E500" i="3" s="1"/>
  <c r="O500" i="3" s="1" a="1"/>
  <c r="O500" i="3" s="1"/>
  <c r="K500" i="3" a="1"/>
  <c r="K500" i="3" s="1"/>
  <c r="V500" i="3" s="1" a="1"/>
  <c r="V500" i="3" s="1"/>
  <c r="J493" i="3" a="1"/>
  <c r="J493" i="3" s="1"/>
  <c r="U493" i="3" s="1" a="1"/>
  <c r="U493" i="3" s="1"/>
  <c r="M493" i="1"/>
  <c r="B492" i="3" a="1"/>
  <c r="B492" i="3" s="1"/>
  <c r="L492" i="3" s="1" a="1"/>
  <c r="L492" i="3" s="1"/>
  <c r="M492" i="1"/>
  <c r="H493" i="3" a="1"/>
  <c r="H493" i="3" s="1"/>
  <c r="R493" i="3" s="1" a="1"/>
  <c r="R493" i="3" s="1"/>
  <c r="S493" i="3" s="1" a="1"/>
  <c r="S493" i="3" s="1"/>
  <c r="J494" i="3" a="1"/>
  <c r="J494" i="3" s="1"/>
  <c r="U494" i="3" s="1" a="1"/>
  <c r="U494" i="3" s="1"/>
  <c r="I494" i="3" a="1"/>
  <c r="I494" i="3" s="1"/>
  <c r="T494" i="3" s="1" a="1"/>
  <c r="T494" i="3" s="1"/>
  <c r="K492" i="3" a="1"/>
  <c r="K492" i="3" s="1"/>
  <c r="V492" i="3" s="1" a="1"/>
  <c r="V492" i="3" s="1"/>
  <c r="G493" i="3" a="1"/>
  <c r="G493" i="3" s="1"/>
  <c r="Q493" i="3" s="1" a="1"/>
  <c r="Q493" i="3" s="1"/>
  <c r="B497" i="3" a="1"/>
  <c r="B497" i="3" s="1"/>
  <c r="L497" i="3" s="1" a="1"/>
  <c r="L497" i="3" s="1"/>
  <c r="I493" i="3" a="1"/>
  <c r="I493" i="3" s="1"/>
  <c r="T493" i="3" s="1" a="1"/>
  <c r="T493" i="3" s="1"/>
  <c r="G494" i="3" a="1"/>
  <c r="G494" i="3" s="1"/>
  <c r="Q494" i="3" s="1" a="1"/>
  <c r="Q494" i="3" s="1"/>
  <c r="J497" i="3" a="1"/>
  <c r="J497" i="3" s="1"/>
  <c r="U497" i="3" s="1" a="1"/>
  <c r="U497" i="3" s="1"/>
  <c r="I492" i="3" a="1"/>
  <c r="I492" i="3" s="1"/>
  <c r="T492" i="3" s="1" a="1"/>
  <c r="T492" i="3" s="1"/>
  <c r="F493" i="3" a="1"/>
  <c r="F493" i="3" s="1"/>
  <c r="P493" i="3" s="1" a="1"/>
  <c r="P493" i="3" s="1"/>
  <c r="H492" i="3" a="1"/>
  <c r="H492" i="3" s="1"/>
  <c r="R492" i="3" s="1" a="1"/>
  <c r="R492" i="3" s="1"/>
  <c r="S492" i="3" s="1" a="1"/>
  <c r="S492" i="3" s="1"/>
  <c r="E493" i="3" a="1"/>
  <c r="E493" i="3" s="1"/>
  <c r="O493" i="3" s="1" a="1"/>
  <c r="O493" i="3" s="1"/>
  <c r="I497" i="3" a="1"/>
  <c r="I497" i="3" s="1"/>
  <c r="T497" i="3" s="1" a="1"/>
  <c r="T497" i="3" s="1"/>
  <c r="F494" i="3" a="1"/>
  <c r="F494" i="3" s="1"/>
  <c r="P494" i="3" s="1" a="1"/>
  <c r="P494" i="3" s="1"/>
  <c r="G492" i="3" a="1"/>
  <c r="G492" i="3" s="1"/>
  <c r="Q492" i="3" s="1" a="1"/>
  <c r="Q492" i="3" s="1"/>
  <c r="D493" i="3" a="1"/>
  <c r="D493" i="3" s="1"/>
  <c r="N493" i="3" s="1" a="1"/>
  <c r="N493" i="3" s="1"/>
  <c r="E494" i="3" a="1"/>
  <c r="E494" i="3" s="1"/>
  <c r="O494" i="3" s="1" a="1"/>
  <c r="O494" i="3" s="1"/>
  <c r="I496" i="3" a="1"/>
  <c r="I496" i="3" s="1"/>
  <c r="T496" i="3" s="1" a="1"/>
  <c r="T496" i="3" s="1"/>
  <c r="H497" i="3" a="1"/>
  <c r="H497" i="3" s="1"/>
  <c r="R497" i="3" s="1" a="1"/>
  <c r="R497" i="3" s="1"/>
  <c r="S497" i="3" s="1" a="1"/>
  <c r="S497" i="3" s="1"/>
  <c r="F492" i="3" a="1"/>
  <c r="F492" i="3" s="1"/>
  <c r="P492" i="3" s="1" a="1"/>
  <c r="P492" i="3" s="1"/>
  <c r="D492" i="3" a="1"/>
  <c r="D492" i="3" s="1"/>
  <c r="N492" i="3" s="1" a="1"/>
  <c r="N492" i="3" s="1"/>
  <c r="C493" i="3" a="1"/>
  <c r="C493" i="3" s="1"/>
  <c r="M493" i="3" s="1" a="1"/>
  <c r="M493" i="3" s="1"/>
  <c r="D494" i="3" a="1"/>
  <c r="D494" i="3" s="1"/>
  <c r="N494" i="3" s="1" a="1"/>
  <c r="N494" i="3" s="1"/>
  <c r="G497" i="3" a="1"/>
  <c r="G497" i="3" s="1"/>
  <c r="Q497" i="3" s="1" a="1"/>
  <c r="Q497" i="3" s="1"/>
  <c r="K494" i="3" a="1"/>
  <c r="K494" i="3" s="1"/>
  <c r="V494" i="3" s="1" a="1"/>
  <c r="V494" i="3" s="1"/>
  <c r="J492" i="3" a="1"/>
  <c r="J492" i="3" s="1"/>
  <c r="U492" i="3" s="1" a="1"/>
  <c r="U492" i="3" s="1"/>
  <c r="H494" i="3" a="1"/>
  <c r="H494" i="3" s="1"/>
  <c r="R494" i="3" s="1" a="1"/>
  <c r="R494" i="3" s="1"/>
  <c r="S494" i="3" s="1" a="1"/>
  <c r="S494" i="3" s="1"/>
  <c r="K493" i="3" a="1"/>
  <c r="K493" i="3" s="1"/>
  <c r="V493" i="3" s="1" a="1"/>
  <c r="V493" i="3" s="1"/>
  <c r="C492" i="3" a="1"/>
  <c r="C492" i="3" s="1"/>
  <c r="M492" i="3" s="1" a="1"/>
  <c r="M492" i="3" s="1"/>
  <c r="M491" i="1"/>
  <c r="I489" i="3" a="1"/>
  <c r="I489" i="3" s="1"/>
  <c r="T489" i="3" s="1" a="1"/>
  <c r="T489" i="3" s="1"/>
  <c r="B489" i="3" a="1"/>
  <c r="B489" i="3" s="1"/>
  <c r="L489" i="3" s="1" a="1"/>
  <c r="L489" i="3" s="1"/>
  <c r="A491" i="3"/>
  <c r="D491" i="3" s="1" a="1"/>
  <c r="D491" i="3" s="1"/>
  <c r="N491" i="3" s="1" a="1"/>
  <c r="N491" i="3" s="1"/>
  <c r="M490" i="1"/>
  <c r="C486" i="3" a="1"/>
  <c r="C486" i="3" s="1"/>
  <c r="M486" i="3" s="1" a="1"/>
  <c r="M486" i="3" s="1"/>
  <c r="K486" i="3" a="1"/>
  <c r="K486" i="3" s="1"/>
  <c r="V486" i="3" s="1" a="1"/>
  <c r="V486" i="3" s="1"/>
  <c r="K489" i="3" a="1"/>
  <c r="K489" i="3" s="1"/>
  <c r="V489" i="3" s="1" a="1"/>
  <c r="V489" i="3" s="1"/>
  <c r="H489" i="3" a="1"/>
  <c r="H489" i="3" s="1"/>
  <c r="R489" i="3" s="1" a="1"/>
  <c r="R489" i="3" s="1"/>
  <c r="S489" i="3" s="1" a="1"/>
  <c r="S489" i="3" s="1"/>
  <c r="G489" i="3" a="1"/>
  <c r="G489" i="3" s="1"/>
  <c r="Q489" i="3" s="1" a="1"/>
  <c r="Q489" i="3" s="1"/>
  <c r="F489" i="3" a="1"/>
  <c r="F489" i="3" s="1"/>
  <c r="P489" i="3" s="1" a="1"/>
  <c r="P489" i="3" s="1"/>
  <c r="E489" i="3" a="1"/>
  <c r="E489" i="3" s="1"/>
  <c r="O489" i="3" s="1" a="1"/>
  <c r="O489" i="3" s="1"/>
  <c r="D489" i="3" a="1"/>
  <c r="D489" i="3" s="1"/>
  <c r="N489" i="3" s="1" a="1"/>
  <c r="N489" i="3" s="1"/>
  <c r="A490" i="3"/>
  <c r="B490" i="3" s="1" a="1"/>
  <c r="B490" i="3" s="1"/>
  <c r="L490" i="3" s="1" a="1"/>
  <c r="L490" i="3" s="1"/>
  <c r="C489" i="3" a="1"/>
  <c r="C489" i="3" s="1"/>
  <c r="M489" i="3" s="1" a="1"/>
  <c r="M489" i="3" s="1"/>
  <c r="M489" i="1"/>
  <c r="J486" i="3" a="1"/>
  <c r="J486" i="3" s="1"/>
  <c r="U486" i="3" s="1" a="1"/>
  <c r="U486" i="3" s="1"/>
  <c r="J489" i="3" a="1"/>
  <c r="J489" i="3" s="1"/>
  <c r="U489" i="3" s="1" a="1"/>
  <c r="U489" i="3" s="1"/>
  <c r="B488" i="3" a="1"/>
  <c r="B488" i="3" s="1"/>
  <c r="L488" i="3" s="1" a="1"/>
  <c r="L488" i="3" s="1"/>
  <c r="M488" i="1"/>
  <c r="K487" i="3" a="1"/>
  <c r="K487" i="3" s="1"/>
  <c r="V487" i="3" s="1" a="1"/>
  <c r="V487" i="3" s="1"/>
  <c r="B487" i="3" a="1"/>
  <c r="B487" i="3" s="1"/>
  <c r="L487" i="3" s="1" a="1"/>
  <c r="L487" i="3" s="1"/>
  <c r="C487" i="3" a="1"/>
  <c r="C487" i="3" s="1"/>
  <c r="M487" i="3" s="1" a="1"/>
  <c r="M487" i="3" s="1"/>
  <c r="I487" i="3" a="1"/>
  <c r="I487" i="3" s="1"/>
  <c r="T487" i="3" s="1" a="1"/>
  <c r="T487" i="3" s="1"/>
  <c r="J487" i="3" a="1"/>
  <c r="J487" i="3" s="1"/>
  <c r="U487" i="3" s="1" a="1"/>
  <c r="U487" i="3" s="1"/>
  <c r="D487" i="3" a="1"/>
  <c r="D487" i="3" s="1"/>
  <c r="N487" i="3" s="1" a="1"/>
  <c r="N487" i="3" s="1"/>
  <c r="E487" i="3" a="1"/>
  <c r="E487" i="3" s="1"/>
  <c r="O487" i="3" s="1" a="1"/>
  <c r="O487" i="3" s="1"/>
  <c r="G487" i="3" a="1"/>
  <c r="G487" i="3" s="1"/>
  <c r="Q487" i="3" s="1" a="1"/>
  <c r="Q487" i="3" s="1"/>
  <c r="F487" i="3" a="1"/>
  <c r="F487" i="3" s="1"/>
  <c r="P487" i="3" s="1" a="1"/>
  <c r="P487" i="3" s="1"/>
  <c r="H487" i="3" a="1"/>
  <c r="H487" i="3" s="1"/>
  <c r="R487" i="3" s="1" a="1"/>
  <c r="R487" i="3" s="1"/>
  <c r="S487" i="3" s="1" a="1"/>
  <c r="S487" i="3" s="1"/>
  <c r="K488" i="3" a="1"/>
  <c r="K488" i="3" s="1"/>
  <c r="V488" i="3" s="1" a="1"/>
  <c r="V488" i="3" s="1"/>
  <c r="J488" i="3" a="1"/>
  <c r="J488" i="3" s="1"/>
  <c r="U488" i="3" s="1" a="1"/>
  <c r="U488" i="3" s="1"/>
  <c r="I488" i="3" a="1"/>
  <c r="I488" i="3" s="1"/>
  <c r="T488" i="3" s="1" a="1"/>
  <c r="T488" i="3" s="1"/>
  <c r="H488" i="3" a="1"/>
  <c r="H488" i="3" s="1"/>
  <c r="R488" i="3" s="1" a="1"/>
  <c r="R488" i="3" s="1"/>
  <c r="S488" i="3" s="1" a="1"/>
  <c r="S488" i="3" s="1"/>
  <c r="G488" i="3" a="1"/>
  <c r="G488" i="3" s="1"/>
  <c r="Q488" i="3" s="1" a="1"/>
  <c r="Q488" i="3" s="1"/>
  <c r="F488" i="3" a="1"/>
  <c r="F488" i="3" s="1"/>
  <c r="P488" i="3" s="1" a="1"/>
  <c r="P488" i="3" s="1"/>
  <c r="E488" i="3" a="1"/>
  <c r="E488" i="3" s="1"/>
  <c r="O488" i="3" s="1" a="1"/>
  <c r="O488" i="3" s="1"/>
  <c r="D488" i="3" a="1"/>
  <c r="D488" i="3" s="1"/>
  <c r="N488" i="3" s="1" a="1"/>
  <c r="N488" i="3" s="1"/>
  <c r="M487" i="1"/>
  <c r="M486" i="1"/>
  <c r="I486" i="3" a="1"/>
  <c r="I486" i="3" s="1"/>
  <c r="T486" i="3" s="1" a="1"/>
  <c r="T486" i="3" s="1"/>
  <c r="H486" i="3" a="1"/>
  <c r="H486" i="3" s="1"/>
  <c r="R486" i="3" s="1" a="1"/>
  <c r="R486" i="3" s="1"/>
  <c r="S486" i="3" s="1" a="1"/>
  <c r="S486" i="3" s="1"/>
  <c r="G486" i="3" a="1"/>
  <c r="G486" i="3" s="1"/>
  <c r="Q486" i="3" s="1" a="1"/>
  <c r="Q486" i="3" s="1"/>
  <c r="F486" i="3" a="1"/>
  <c r="F486" i="3" s="1"/>
  <c r="P486" i="3" s="1" a="1"/>
  <c r="P486" i="3" s="1"/>
  <c r="E486" i="3" a="1"/>
  <c r="E486" i="3" s="1"/>
  <c r="O486" i="3" s="1" a="1"/>
  <c r="O486" i="3" s="1"/>
  <c r="D486" i="3" a="1"/>
  <c r="D486" i="3" s="1"/>
  <c r="N486" i="3" s="1" a="1"/>
  <c r="N486" i="3" s="1"/>
  <c r="B486" i="3" a="1"/>
  <c r="B486" i="3" s="1"/>
  <c r="L486" i="3" s="1" a="1"/>
  <c r="L486" i="3" s="1"/>
  <c r="M485" i="1"/>
  <c r="B479" i="3" a="1"/>
  <c r="B479" i="3" s="1"/>
  <c r="L479" i="3" s="1" a="1"/>
  <c r="L479" i="3" s="1"/>
  <c r="K479" i="3" a="1"/>
  <c r="K479" i="3" s="1"/>
  <c r="V479" i="3" s="1" a="1"/>
  <c r="V479" i="3" s="1"/>
  <c r="H485" i="3" a="1"/>
  <c r="H485" i="3" s="1"/>
  <c r="R485" i="3" s="1" a="1"/>
  <c r="R485" i="3" s="1"/>
  <c r="S485" i="3" s="1" a="1"/>
  <c r="S485" i="3" s="1"/>
  <c r="K491" i="3" a="1"/>
  <c r="K491" i="3" s="1"/>
  <c r="V491" i="3" s="1" a="1"/>
  <c r="V491" i="3" s="1"/>
  <c r="E485" i="3" a="1"/>
  <c r="E485" i="3" s="1"/>
  <c r="O485" i="3" s="1" a="1"/>
  <c r="O485" i="3" s="1"/>
  <c r="M484" i="1"/>
  <c r="B484" i="3" a="1"/>
  <c r="B484" i="3" s="1"/>
  <c r="L484" i="3" s="1" a="1"/>
  <c r="L484" i="3" s="1"/>
  <c r="F484" i="3" a="1"/>
  <c r="F484" i="3" s="1"/>
  <c r="P484" i="3" s="1" a="1"/>
  <c r="P484" i="3" s="1"/>
  <c r="J484" i="3" a="1"/>
  <c r="J484" i="3" s="1"/>
  <c r="U484" i="3" s="1" a="1"/>
  <c r="U484" i="3" s="1"/>
  <c r="C484" i="3" a="1"/>
  <c r="C484" i="3" s="1"/>
  <c r="M484" i="3" s="1" a="1"/>
  <c r="M484" i="3" s="1"/>
  <c r="G484" i="3" a="1"/>
  <c r="G484" i="3" s="1"/>
  <c r="Q484" i="3" s="1" a="1"/>
  <c r="Q484" i="3" s="1"/>
  <c r="K484" i="3" a="1"/>
  <c r="K484" i="3" s="1"/>
  <c r="V484" i="3" s="1" a="1"/>
  <c r="V484" i="3" s="1"/>
  <c r="D484" i="3" a="1"/>
  <c r="D484" i="3" s="1"/>
  <c r="N484" i="3" s="1" a="1"/>
  <c r="N484" i="3" s="1"/>
  <c r="H484" i="3" a="1"/>
  <c r="H484" i="3" s="1"/>
  <c r="R484" i="3" s="1" a="1"/>
  <c r="R484" i="3" s="1"/>
  <c r="S484" i="3" s="1" a="1"/>
  <c r="S484" i="3" s="1"/>
  <c r="E484" i="3" a="1"/>
  <c r="E484" i="3" s="1"/>
  <c r="O484" i="3" s="1" a="1"/>
  <c r="O484" i="3" s="1"/>
  <c r="I484" i="3" a="1"/>
  <c r="I484" i="3" s="1"/>
  <c r="T484" i="3" s="1" a="1"/>
  <c r="T484" i="3" s="1"/>
  <c r="H483" i="3" a="1"/>
  <c r="H483" i="3" s="1"/>
  <c r="R483" i="3" s="1" a="1"/>
  <c r="R483" i="3" s="1"/>
  <c r="S483" i="3" s="1" a="1"/>
  <c r="S483" i="3" s="1"/>
  <c r="G481" i="3" a="1"/>
  <c r="G481" i="3" s="1"/>
  <c r="Q481" i="3" s="1" a="1"/>
  <c r="Q481" i="3" s="1"/>
  <c r="M483" i="1"/>
  <c r="G479" i="3" a="1"/>
  <c r="G479" i="3" s="1"/>
  <c r="Q479" i="3" s="1" a="1"/>
  <c r="Q479" i="3" s="1"/>
  <c r="K481" i="3" a="1"/>
  <c r="K481" i="3" s="1"/>
  <c r="V481" i="3" s="1" a="1"/>
  <c r="V481" i="3" s="1"/>
  <c r="E481" i="3" a="1"/>
  <c r="E481" i="3" s="1"/>
  <c r="O481" i="3" s="1" a="1"/>
  <c r="O481" i="3" s="1"/>
  <c r="K483" i="3" a="1"/>
  <c r="K483" i="3" s="1"/>
  <c r="V483" i="3" s="1" a="1"/>
  <c r="V483" i="3" s="1"/>
  <c r="F483" i="3" a="1"/>
  <c r="F483" i="3" s="1"/>
  <c r="P483" i="3" s="1" a="1"/>
  <c r="P483" i="3" s="1"/>
  <c r="F479" i="3" a="1"/>
  <c r="F479" i="3" s="1"/>
  <c r="P479" i="3" s="1" a="1"/>
  <c r="P479" i="3" s="1"/>
  <c r="I481" i="3" a="1"/>
  <c r="I481" i="3" s="1"/>
  <c r="T481" i="3" s="1" a="1"/>
  <c r="T481" i="3" s="1"/>
  <c r="D481" i="3" a="1"/>
  <c r="D481" i="3" s="1"/>
  <c r="N481" i="3" s="1" a="1"/>
  <c r="N481" i="3" s="1"/>
  <c r="J483" i="3" a="1"/>
  <c r="J483" i="3" s="1"/>
  <c r="U483" i="3" s="1" a="1"/>
  <c r="U483" i="3" s="1"/>
  <c r="D483" i="3" a="1"/>
  <c r="D483" i="3" s="1"/>
  <c r="N483" i="3" s="1" a="1"/>
  <c r="N483" i="3" s="1"/>
  <c r="D479" i="3" a="1"/>
  <c r="D479" i="3" s="1"/>
  <c r="N479" i="3" s="1" a="1"/>
  <c r="N479" i="3" s="1"/>
  <c r="H481" i="3" a="1"/>
  <c r="H481" i="3" s="1"/>
  <c r="R481" i="3" s="1" a="1"/>
  <c r="R481" i="3" s="1"/>
  <c r="S481" i="3" s="1" a="1"/>
  <c r="S481" i="3" s="1"/>
  <c r="C481" i="3" a="1"/>
  <c r="C481" i="3" s="1"/>
  <c r="M481" i="3" s="1" a="1"/>
  <c r="M481" i="3" s="1"/>
  <c r="I483" i="3" a="1"/>
  <c r="I483" i="3" s="1"/>
  <c r="T483" i="3" s="1" a="1"/>
  <c r="T483" i="3" s="1"/>
  <c r="C483" i="3" a="1"/>
  <c r="C483" i="3" s="1"/>
  <c r="M483" i="3" s="1" a="1"/>
  <c r="M483" i="3" s="1"/>
  <c r="E482" i="3" a="1"/>
  <c r="E482" i="3" s="1"/>
  <c r="O482" i="3" s="1" a="1"/>
  <c r="O482" i="3" s="1"/>
  <c r="H482" i="3" a="1"/>
  <c r="H482" i="3" s="1"/>
  <c r="R482" i="3" s="1" a="1"/>
  <c r="R482" i="3" s="1"/>
  <c r="S482" i="3" s="1" a="1"/>
  <c r="S482" i="3" s="1"/>
  <c r="C482" i="3" a="1"/>
  <c r="C482" i="3" s="1"/>
  <c r="M482" i="3" s="1" a="1"/>
  <c r="M482" i="3" s="1"/>
  <c r="I482" i="3" a="1"/>
  <c r="I482" i="3" s="1"/>
  <c r="T482" i="3" s="1" a="1"/>
  <c r="T482" i="3" s="1"/>
  <c r="D482" i="3" a="1"/>
  <c r="D482" i="3" s="1"/>
  <c r="N482" i="3" s="1" a="1"/>
  <c r="N482" i="3" s="1"/>
  <c r="K482" i="3" a="1"/>
  <c r="K482" i="3" s="1"/>
  <c r="V482" i="3" s="1" a="1"/>
  <c r="V482" i="3" s="1"/>
  <c r="F482" i="3" a="1"/>
  <c r="F482" i="3" s="1"/>
  <c r="P482" i="3" s="1" a="1"/>
  <c r="P482" i="3" s="1"/>
  <c r="J480" i="3" a="1"/>
  <c r="J480" i="3" s="1"/>
  <c r="U480" i="3" s="1" a="1"/>
  <c r="U480" i="3" s="1"/>
  <c r="F480" i="3" a="1"/>
  <c r="F480" i="3" s="1"/>
  <c r="P480" i="3" s="1" a="1"/>
  <c r="P480" i="3" s="1"/>
  <c r="J481" i="3" a="1"/>
  <c r="J481" i="3" s="1"/>
  <c r="U481" i="3" s="1" a="1"/>
  <c r="U481" i="3" s="1"/>
  <c r="F481" i="3" a="1"/>
  <c r="F481" i="3" s="1"/>
  <c r="P481" i="3" s="1" a="1"/>
  <c r="P481" i="3" s="1"/>
  <c r="M481" i="1"/>
  <c r="F478" i="3" a="1"/>
  <c r="F478" i="3" s="1"/>
  <c r="P478" i="3" s="1" a="1"/>
  <c r="P478" i="3" s="1"/>
  <c r="H480" i="3" a="1"/>
  <c r="H480" i="3" s="1"/>
  <c r="R480" i="3" s="1" a="1"/>
  <c r="R480" i="3" s="1"/>
  <c r="S480" i="3" s="1" a="1"/>
  <c r="S480" i="3" s="1"/>
  <c r="C480" i="3" a="1"/>
  <c r="C480" i="3" s="1"/>
  <c r="M480" i="3" s="1" a="1"/>
  <c r="M480" i="3" s="1"/>
  <c r="K480" i="3" a="1"/>
  <c r="K480" i="3" s="1"/>
  <c r="V480" i="3" s="1" a="1"/>
  <c r="V480" i="3" s="1"/>
  <c r="G480" i="3" a="1"/>
  <c r="G480" i="3" s="1"/>
  <c r="Q480" i="3" s="1" a="1"/>
  <c r="Q480" i="3" s="1"/>
  <c r="B480" i="3" a="1"/>
  <c r="B480" i="3" s="1"/>
  <c r="L480" i="3" s="1" a="1"/>
  <c r="L480" i="3" s="1"/>
  <c r="K478" i="3" a="1"/>
  <c r="K478" i="3" s="1"/>
  <c r="V478" i="3" s="1" a="1"/>
  <c r="V478" i="3" s="1"/>
  <c r="H479" i="3" a="1"/>
  <c r="H479" i="3" s="1"/>
  <c r="R479" i="3" s="1" a="1"/>
  <c r="R479" i="3" s="1"/>
  <c r="S479" i="3" s="1" a="1"/>
  <c r="S479" i="3" s="1"/>
  <c r="C479" i="3" a="1"/>
  <c r="C479" i="3" s="1"/>
  <c r="M479" i="3" s="1" a="1"/>
  <c r="M479" i="3" s="1"/>
  <c r="I480" i="3" a="1"/>
  <c r="I480" i="3" s="1"/>
  <c r="T480" i="3" s="1" a="1"/>
  <c r="T480" i="3" s="1"/>
  <c r="E480" i="3" a="1"/>
  <c r="E480" i="3" s="1"/>
  <c r="O480" i="3" s="1" a="1"/>
  <c r="O480" i="3" s="1"/>
  <c r="M480" i="1"/>
  <c r="E479" i="3" a="1"/>
  <c r="E479" i="3" s="1"/>
  <c r="O479" i="3" s="1" a="1"/>
  <c r="O479" i="3" s="1"/>
  <c r="G482" i="3" a="1"/>
  <c r="G482" i="3" s="1"/>
  <c r="Q482" i="3" s="1" a="1"/>
  <c r="Q482" i="3" s="1"/>
  <c r="B482" i="3" a="1"/>
  <c r="B482" i="3" s="1"/>
  <c r="L482" i="3" s="1" a="1"/>
  <c r="L482" i="3" s="1"/>
  <c r="I485" i="3" a="1"/>
  <c r="I485" i="3" s="1"/>
  <c r="T485" i="3" s="1" a="1"/>
  <c r="T485" i="3" s="1"/>
  <c r="D485" i="3" a="1"/>
  <c r="D485" i="3" s="1"/>
  <c r="N485" i="3" s="1" a="1"/>
  <c r="N485" i="3" s="1"/>
  <c r="K485" i="3" a="1"/>
  <c r="K485" i="3" s="1"/>
  <c r="V485" i="3" s="1" a="1"/>
  <c r="V485" i="3" s="1"/>
  <c r="F485" i="3" a="1"/>
  <c r="F485" i="3" s="1"/>
  <c r="P485" i="3" s="1" a="1"/>
  <c r="P485" i="3" s="1"/>
  <c r="C485" i="3" a="1"/>
  <c r="C485" i="3" s="1"/>
  <c r="M485" i="3" s="1" a="1"/>
  <c r="M485" i="3" s="1"/>
  <c r="J482" i="3" a="1"/>
  <c r="J482" i="3" s="1"/>
  <c r="U482" i="3" s="1" a="1"/>
  <c r="U482" i="3" s="1"/>
  <c r="G483" i="3" a="1"/>
  <c r="G483" i="3" s="1"/>
  <c r="Q483" i="3" s="1" a="1"/>
  <c r="Q483" i="3" s="1"/>
  <c r="E483" i="3" a="1"/>
  <c r="E483" i="3" s="1"/>
  <c r="O483" i="3" s="1" a="1"/>
  <c r="O483" i="3" s="1"/>
  <c r="J485" i="3" a="1"/>
  <c r="J485" i="3" s="1"/>
  <c r="U485" i="3" s="1" a="1"/>
  <c r="U485" i="3" s="1"/>
  <c r="G485" i="3" a="1"/>
  <c r="G485" i="3" s="1"/>
  <c r="Q485" i="3" s="1" a="1"/>
  <c r="Q485" i="3" s="1"/>
  <c r="M479" i="1"/>
  <c r="J478" i="3" a="1"/>
  <c r="J478" i="3" s="1"/>
  <c r="U478" i="3" s="1" a="1"/>
  <c r="U478" i="3" s="1"/>
  <c r="E478" i="3" a="1"/>
  <c r="E478" i="3" s="1"/>
  <c r="O478" i="3" s="1" a="1"/>
  <c r="O478" i="3" s="1"/>
  <c r="H478" i="3" a="1"/>
  <c r="H478" i="3" s="1"/>
  <c r="R478" i="3" s="1" a="1"/>
  <c r="R478" i="3" s="1"/>
  <c r="S478" i="3" s="1" a="1"/>
  <c r="S478" i="3" s="1"/>
  <c r="D478" i="3" a="1"/>
  <c r="D478" i="3" s="1"/>
  <c r="N478" i="3" s="1" a="1"/>
  <c r="N478" i="3" s="1"/>
  <c r="G478" i="3" a="1"/>
  <c r="G478" i="3" s="1"/>
  <c r="Q478" i="3" s="1" a="1"/>
  <c r="Q478" i="3" s="1"/>
  <c r="C478" i="3" a="1"/>
  <c r="C478" i="3" s="1"/>
  <c r="M478" i="3" s="1" a="1"/>
  <c r="M478" i="3" s="1"/>
  <c r="J479" i="3" a="1"/>
  <c r="J479" i="3" s="1"/>
  <c r="U479" i="3" s="1" a="1"/>
  <c r="U479" i="3" s="1"/>
  <c r="M478" i="1"/>
  <c r="M477" i="1"/>
  <c r="G477" i="3" a="1"/>
  <c r="G477" i="3" s="1"/>
  <c r="Q477" i="3" s="1" a="1"/>
  <c r="Q477" i="3" s="1"/>
  <c r="D477" i="3" a="1"/>
  <c r="D477" i="3" s="1"/>
  <c r="N477" i="3" s="1" a="1"/>
  <c r="N477" i="3" s="1"/>
  <c r="H477" i="3" a="1"/>
  <c r="H477" i="3" s="1"/>
  <c r="R477" i="3" s="1" a="1"/>
  <c r="R477" i="3" s="1"/>
  <c r="S477" i="3" s="1" a="1"/>
  <c r="S477" i="3" s="1"/>
  <c r="F477" i="3" a="1"/>
  <c r="F477" i="3" s="1"/>
  <c r="P477" i="3" s="1" a="1"/>
  <c r="P477" i="3" s="1"/>
  <c r="I477" i="3" a="1"/>
  <c r="I477" i="3" s="1"/>
  <c r="T477" i="3" s="1" a="1"/>
  <c r="T477" i="3" s="1"/>
  <c r="J477" i="3" a="1"/>
  <c r="J477" i="3" s="1"/>
  <c r="U477" i="3" s="1" a="1"/>
  <c r="U477" i="3" s="1"/>
  <c r="K477" i="3" a="1"/>
  <c r="K477" i="3" s="1"/>
  <c r="V477" i="3" s="1" a="1"/>
  <c r="V477" i="3" s="1"/>
  <c r="B477" i="3" a="1"/>
  <c r="B477" i="3" s="1"/>
  <c r="L477" i="3" s="1" a="1"/>
  <c r="L477" i="3" s="1"/>
  <c r="C477" i="3" a="1"/>
  <c r="C477" i="3" s="1"/>
  <c r="M477" i="3" s="1" a="1"/>
  <c r="M477" i="3" s="1"/>
  <c r="E477" i="3" a="1"/>
  <c r="E477" i="3" s="1"/>
  <c r="O477" i="3" s="1" a="1"/>
  <c r="O477" i="3" s="1"/>
  <c r="M476" i="1"/>
  <c r="B476" i="3" a="1"/>
  <c r="B476" i="3" s="1"/>
  <c r="L476" i="3" s="1" a="1"/>
  <c r="L476" i="3" s="1"/>
  <c r="F476" i="3" a="1"/>
  <c r="F476" i="3" s="1"/>
  <c r="P476" i="3" s="1" a="1"/>
  <c r="P476" i="3" s="1"/>
  <c r="E476" i="3" a="1"/>
  <c r="E476" i="3" s="1"/>
  <c r="O476" i="3" s="1" a="1"/>
  <c r="O476" i="3" s="1"/>
  <c r="C476" i="3" a="1"/>
  <c r="C476" i="3" s="1"/>
  <c r="M476" i="3" s="1" a="1"/>
  <c r="M476" i="3" s="1"/>
  <c r="D476" i="3" a="1"/>
  <c r="D476" i="3" s="1"/>
  <c r="N476" i="3" s="1" a="1"/>
  <c r="N476" i="3" s="1"/>
  <c r="G476" i="3" a="1"/>
  <c r="G476" i="3" s="1"/>
  <c r="Q476" i="3" s="1" a="1"/>
  <c r="Q476" i="3" s="1"/>
  <c r="J476" i="3" a="1"/>
  <c r="J476" i="3" s="1"/>
  <c r="U476" i="3" s="1" a="1"/>
  <c r="U476" i="3" s="1"/>
  <c r="H476" i="3" a="1"/>
  <c r="H476" i="3" s="1"/>
  <c r="R476" i="3" s="1" a="1"/>
  <c r="R476" i="3" s="1"/>
  <c r="S476" i="3" s="1" a="1"/>
  <c r="S476" i="3" s="1"/>
  <c r="K476" i="3" a="1"/>
  <c r="K476" i="3" s="1"/>
  <c r="V476" i="3" s="1" a="1"/>
  <c r="V476" i="3" s="1"/>
  <c r="G475" i="3" a="1"/>
  <c r="G475" i="3" s="1"/>
  <c r="Q475" i="3" s="1" a="1"/>
  <c r="Q475" i="3" s="1"/>
  <c r="D475" i="3" a="1"/>
  <c r="D475" i="3" s="1"/>
  <c r="N475" i="3" s="1" a="1"/>
  <c r="N475" i="3" s="1"/>
  <c r="K475" i="3" a="1"/>
  <c r="K475" i="3" s="1"/>
  <c r="V475" i="3" s="1" a="1"/>
  <c r="V475" i="3" s="1"/>
  <c r="J475" i="3" a="1"/>
  <c r="J475" i="3" s="1"/>
  <c r="U475" i="3" s="1" a="1"/>
  <c r="U475" i="3" s="1"/>
  <c r="H475" i="3" a="1"/>
  <c r="H475" i="3" s="1"/>
  <c r="R475" i="3" s="1" a="1"/>
  <c r="R475" i="3" s="1"/>
  <c r="S475" i="3" s="1" a="1"/>
  <c r="S475" i="3" s="1"/>
  <c r="F475" i="3" a="1"/>
  <c r="F475" i="3" s="1"/>
  <c r="P475" i="3" s="1" a="1"/>
  <c r="P475" i="3" s="1"/>
  <c r="M475" i="1"/>
  <c r="E475" i="3" a="1"/>
  <c r="E475" i="3" s="1"/>
  <c r="O475" i="3" s="1" a="1"/>
  <c r="O475" i="3" s="1"/>
  <c r="C475" i="3" a="1"/>
  <c r="C475" i="3" s="1"/>
  <c r="M475" i="3" s="1" a="1"/>
  <c r="M475" i="3" s="1"/>
  <c r="B475" i="3" a="1"/>
  <c r="B475" i="3" s="1"/>
  <c r="L475" i="3" s="1" a="1"/>
  <c r="L475" i="3" s="1"/>
  <c r="I475" i="3" a="1"/>
  <c r="I475" i="3" s="1"/>
  <c r="T475" i="3" s="1" a="1"/>
  <c r="T475" i="3" s="1"/>
  <c r="M474" i="1"/>
  <c r="E474" i="3" a="1"/>
  <c r="E474" i="3" s="1"/>
  <c r="O474" i="3" s="1" a="1"/>
  <c r="O474" i="3" s="1"/>
  <c r="H474" i="3" a="1"/>
  <c r="H474" i="3" s="1"/>
  <c r="R474" i="3" s="1" a="1"/>
  <c r="R474" i="3" s="1"/>
  <c r="S474" i="3" s="1" a="1"/>
  <c r="S474" i="3" s="1"/>
  <c r="B474" i="3" a="1"/>
  <c r="B474" i="3" s="1"/>
  <c r="L474" i="3" s="1" a="1"/>
  <c r="L474" i="3" s="1"/>
  <c r="D474" i="3" a="1"/>
  <c r="D474" i="3" s="1"/>
  <c r="N474" i="3" s="1" a="1"/>
  <c r="N474" i="3" s="1"/>
  <c r="F474" i="3" a="1"/>
  <c r="F474" i="3" s="1"/>
  <c r="P474" i="3" s="1" a="1"/>
  <c r="P474" i="3" s="1"/>
  <c r="G474" i="3" a="1"/>
  <c r="G474" i="3" s="1"/>
  <c r="Q474" i="3" s="1" a="1"/>
  <c r="Q474" i="3" s="1"/>
  <c r="C474" i="3" a="1"/>
  <c r="C474" i="3" s="1"/>
  <c r="M474" i="3" s="1" a="1"/>
  <c r="M474" i="3" s="1"/>
  <c r="I474" i="3" a="1"/>
  <c r="I474" i="3" s="1"/>
  <c r="T474" i="3" s="1" a="1"/>
  <c r="T474" i="3" s="1"/>
  <c r="J474" i="3" a="1"/>
  <c r="J474" i="3" s="1"/>
  <c r="U474" i="3" s="1" a="1"/>
  <c r="U474" i="3" s="1"/>
  <c r="K474" i="3" a="1"/>
  <c r="K474" i="3" s="1"/>
  <c r="V474" i="3" s="1" a="1"/>
  <c r="V474" i="3" s="1"/>
  <c r="I479" i="3" a="1"/>
  <c r="I479" i="3" s="1"/>
  <c r="T479" i="3" s="1" a="1"/>
  <c r="T479" i="3" s="1"/>
  <c r="I478" i="3" a="1"/>
  <c r="I478" i="3" s="1"/>
  <c r="T478" i="3" s="1" a="1"/>
  <c r="T478" i="3" s="1"/>
  <c r="M473" i="1"/>
  <c r="G473" i="3" a="1"/>
  <c r="G473" i="3" s="1"/>
  <c r="Q473" i="3" s="1" a="1"/>
  <c r="Q473" i="3" s="1"/>
  <c r="F473" i="3" a="1"/>
  <c r="F473" i="3" s="1"/>
  <c r="P473" i="3" s="1" a="1"/>
  <c r="P473" i="3" s="1"/>
  <c r="H473" i="3" a="1"/>
  <c r="H473" i="3" s="1"/>
  <c r="R473" i="3" s="1" a="1"/>
  <c r="R473" i="3" s="1"/>
  <c r="S473" i="3" s="1" a="1"/>
  <c r="S473" i="3" s="1"/>
  <c r="I473" i="3" a="1"/>
  <c r="I473" i="3" s="1"/>
  <c r="T473" i="3" s="1" a="1"/>
  <c r="T473" i="3" s="1"/>
  <c r="J473" i="3" a="1"/>
  <c r="J473" i="3" s="1"/>
  <c r="U473" i="3" s="1" a="1"/>
  <c r="U473" i="3" s="1"/>
  <c r="K473" i="3" a="1"/>
  <c r="K473" i="3" s="1"/>
  <c r="V473" i="3" s="1" a="1"/>
  <c r="V473" i="3" s="1"/>
  <c r="B473" i="3" a="1"/>
  <c r="B473" i="3" s="1"/>
  <c r="L473" i="3" s="1" a="1"/>
  <c r="L473" i="3" s="1"/>
  <c r="C473" i="3" a="1"/>
  <c r="C473" i="3" s="1"/>
  <c r="M473" i="3" s="1" a="1"/>
  <c r="M473" i="3" s="1"/>
  <c r="D473" i="3" a="1"/>
  <c r="D473" i="3" s="1"/>
  <c r="N473" i="3" s="1" a="1"/>
  <c r="N473" i="3" s="1"/>
  <c r="E473" i="3" a="1"/>
  <c r="E473" i="3" s="1"/>
  <c r="O473" i="3" s="1" a="1"/>
  <c r="O473" i="3" s="1"/>
  <c r="M472" i="1"/>
  <c r="I472" i="3" a="1"/>
  <c r="I472" i="3" s="1"/>
  <c r="T472" i="3" s="1" a="1"/>
  <c r="T472" i="3" s="1"/>
  <c r="C472" i="3" a="1"/>
  <c r="C472" i="3" s="1"/>
  <c r="M472" i="3" s="1" a="1"/>
  <c r="M472" i="3" s="1"/>
  <c r="J472" i="3" a="1"/>
  <c r="J472" i="3" s="1"/>
  <c r="U472" i="3" s="1" a="1"/>
  <c r="U472" i="3" s="1"/>
  <c r="K472" i="3" a="1"/>
  <c r="K472" i="3" s="1"/>
  <c r="V472" i="3" s="1" a="1"/>
  <c r="V472" i="3" s="1"/>
  <c r="B472" i="3" a="1"/>
  <c r="B472" i="3" s="1"/>
  <c r="L472" i="3" s="1" a="1"/>
  <c r="L472" i="3" s="1"/>
  <c r="D472" i="3" a="1"/>
  <c r="D472" i="3" s="1"/>
  <c r="N472" i="3" s="1" a="1"/>
  <c r="N472" i="3" s="1"/>
  <c r="E472" i="3" a="1"/>
  <c r="E472" i="3" s="1"/>
  <c r="O472" i="3" s="1" a="1"/>
  <c r="O472" i="3" s="1"/>
  <c r="F472" i="3" a="1"/>
  <c r="F472" i="3" s="1"/>
  <c r="P472" i="3" s="1" a="1"/>
  <c r="P472" i="3" s="1"/>
  <c r="G472" i="3" a="1"/>
  <c r="G472" i="3" s="1"/>
  <c r="Q472" i="3" s="1" a="1"/>
  <c r="Q472" i="3" s="1"/>
  <c r="H472" i="3" a="1"/>
  <c r="H472" i="3" s="1"/>
  <c r="R472" i="3" s="1" a="1"/>
  <c r="R472" i="3" s="1"/>
  <c r="S472" i="3" s="1" a="1"/>
  <c r="S472" i="3" s="1"/>
  <c r="I476" i="3" a="1"/>
  <c r="I476" i="3" s="1"/>
  <c r="T476" i="3" s="1" a="1"/>
  <c r="T476" i="3" s="1"/>
  <c r="M471" i="1"/>
  <c r="B471" i="3" a="1"/>
  <c r="B471" i="3" s="1"/>
  <c r="L471" i="3" s="1" a="1"/>
  <c r="L471" i="3" s="1"/>
  <c r="I471" i="3" a="1"/>
  <c r="I471" i="3" s="1"/>
  <c r="T471" i="3" s="1" a="1"/>
  <c r="T471" i="3" s="1"/>
  <c r="F471" i="3" a="1"/>
  <c r="F471" i="3" s="1"/>
  <c r="P471" i="3" s="1" a="1"/>
  <c r="P471" i="3" s="1"/>
  <c r="H471" i="3" a="1"/>
  <c r="H471" i="3" s="1"/>
  <c r="R471" i="3" s="1" a="1"/>
  <c r="R471" i="3" s="1"/>
  <c r="S471" i="3" s="1" a="1"/>
  <c r="S471" i="3" s="1"/>
  <c r="C471" i="3" a="1"/>
  <c r="C471" i="3" s="1"/>
  <c r="M471" i="3" s="1" a="1"/>
  <c r="M471" i="3" s="1"/>
  <c r="J471" i="3" a="1"/>
  <c r="J471" i="3" s="1"/>
  <c r="U471" i="3" s="1" a="1"/>
  <c r="U471" i="3" s="1"/>
  <c r="D471" i="3" a="1"/>
  <c r="D471" i="3" s="1"/>
  <c r="N471" i="3" s="1" a="1"/>
  <c r="N471" i="3" s="1"/>
  <c r="K471" i="3" a="1"/>
  <c r="K471" i="3" s="1"/>
  <c r="V471" i="3" s="1" a="1"/>
  <c r="V471" i="3" s="1"/>
  <c r="E471" i="3" a="1"/>
  <c r="E471" i="3" s="1"/>
  <c r="O471" i="3" s="1" a="1"/>
  <c r="O471" i="3" s="1"/>
  <c r="G471" i="3" a="1"/>
  <c r="G471" i="3" s="1"/>
  <c r="Q471" i="3" s="1" a="1"/>
  <c r="Q471" i="3" s="1"/>
  <c r="M470" i="1"/>
  <c r="B470" i="3" a="1"/>
  <c r="B470" i="3" s="1"/>
  <c r="L470" i="3" s="1" a="1"/>
  <c r="L470" i="3" s="1"/>
  <c r="I470" i="3" a="1"/>
  <c r="I470" i="3" s="1"/>
  <c r="T470" i="3" s="1" a="1"/>
  <c r="T470" i="3" s="1"/>
  <c r="C470" i="3" a="1"/>
  <c r="C470" i="3" s="1"/>
  <c r="M470" i="3" s="1" a="1"/>
  <c r="M470" i="3" s="1"/>
  <c r="J470" i="3" a="1"/>
  <c r="J470" i="3" s="1"/>
  <c r="U470" i="3" s="1" a="1"/>
  <c r="U470" i="3" s="1"/>
  <c r="H470" i="3" a="1"/>
  <c r="H470" i="3" s="1"/>
  <c r="R470" i="3" s="1" a="1"/>
  <c r="R470" i="3" s="1"/>
  <c r="S470" i="3" s="1" a="1"/>
  <c r="S470" i="3" s="1"/>
  <c r="D470" i="3" a="1"/>
  <c r="D470" i="3" s="1"/>
  <c r="N470" i="3" s="1" a="1"/>
  <c r="N470" i="3" s="1"/>
  <c r="K470" i="3" a="1"/>
  <c r="K470" i="3" s="1"/>
  <c r="V470" i="3" s="1" a="1"/>
  <c r="V470" i="3" s="1"/>
  <c r="G470" i="3" a="1"/>
  <c r="G470" i="3" s="1"/>
  <c r="Q470" i="3" s="1" a="1"/>
  <c r="Q470" i="3" s="1"/>
  <c r="E470" i="3" a="1"/>
  <c r="E470" i="3" s="1"/>
  <c r="O470" i="3" s="1" a="1"/>
  <c r="O470" i="3" s="1"/>
  <c r="F470" i="3" a="1"/>
  <c r="F470" i="3" s="1"/>
  <c r="P470" i="3" s="1" a="1"/>
  <c r="P470" i="3" s="1"/>
  <c r="M469" i="1"/>
  <c r="B469" i="3" a="1"/>
  <c r="B469" i="3" s="1"/>
  <c r="L469" i="3" s="1" a="1"/>
  <c r="L469" i="3" s="1"/>
  <c r="I469" i="3" a="1"/>
  <c r="I469" i="3" s="1"/>
  <c r="T469" i="3" s="1" a="1"/>
  <c r="T469" i="3" s="1"/>
  <c r="C469" i="3" a="1"/>
  <c r="C469" i="3" s="1"/>
  <c r="M469" i="3" s="1" a="1"/>
  <c r="M469" i="3" s="1"/>
  <c r="J469" i="3" a="1"/>
  <c r="J469" i="3" s="1"/>
  <c r="U469" i="3" s="1" a="1"/>
  <c r="U469" i="3" s="1"/>
  <c r="G469" i="3" a="1"/>
  <c r="G469" i="3" s="1"/>
  <c r="Q469" i="3" s="1" a="1"/>
  <c r="Q469" i="3" s="1"/>
  <c r="D469" i="3" a="1"/>
  <c r="D469" i="3" s="1"/>
  <c r="N469" i="3" s="1" a="1"/>
  <c r="N469" i="3" s="1"/>
  <c r="K469" i="3" a="1"/>
  <c r="K469" i="3" s="1"/>
  <c r="V469" i="3" s="1" a="1"/>
  <c r="V469" i="3" s="1"/>
  <c r="E469" i="3" a="1"/>
  <c r="E469" i="3" s="1"/>
  <c r="O469" i="3" s="1" a="1"/>
  <c r="O469" i="3" s="1"/>
  <c r="F469" i="3" a="1"/>
  <c r="F469" i="3" s="1"/>
  <c r="P469" i="3" s="1" a="1"/>
  <c r="P469" i="3" s="1"/>
  <c r="H469" i="3" a="1"/>
  <c r="H469" i="3" s="1"/>
  <c r="R469" i="3" s="1" a="1"/>
  <c r="R469" i="3" s="1"/>
  <c r="S469" i="3" s="1" a="1"/>
  <c r="S469" i="3" s="1"/>
  <c r="M468" i="1"/>
  <c r="D468" i="3" a="1"/>
  <c r="D468" i="3" s="1"/>
  <c r="N468" i="3" s="1" a="1"/>
  <c r="N468" i="3" s="1"/>
  <c r="B468" i="3" a="1"/>
  <c r="B468" i="3" s="1"/>
  <c r="L468" i="3" s="1" a="1"/>
  <c r="L468" i="3" s="1"/>
  <c r="I468" i="3" a="1"/>
  <c r="I468" i="3" s="1"/>
  <c r="T468" i="3" s="1" a="1"/>
  <c r="T468" i="3" s="1"/>
  <c r="G468" i="3" a="1"/>
  <c r="G468" i="3" s="1"/>
  <c r="Q468" i="3" s="1" a="1"/>
  <c r="Q468" i="3" s="1"/>
  <c r="K468" i="3" a="1"/>
  <c r="K468" i="3" s="1"/>
  <c r="V468" i="3" s="1" a="1"/>
  <c r="V468" i="3" s="1"/>
  <c r="C468" i="3" a="1"/>
  <c r="C468" i="3" s="1"/>
  <c r="M468" i="3" s="1" a="1"/>
  <c r="M468" i="3" s="1"/>
  <c r="J468" i="3" a="1"/>
  <c r="J468" i="3" s="1"/>
  <c r="U468" i="3" s="1" a="1"/>
  <c r="U468" i="3" s="1"/>
  <c r="E468" i="3" a="1"/>
  <c r="E468" i="3" s="1"/>
  <c r="O468" i="3" s="1" a="1"/>
  <c r="O468" i="3" s="1"/>
  <c r="H468" i="3" a="1"/>
  <c r="H468" i="3" s="1"/>
  <c r="R468" i="3" s="1" a="1"/>
  <c r="R468" i="3" s="1"/>
  <c r="S468" i="3" s="1" a="1"/>
  <c r="S468" i="3" s="1"/>
  <c r="F468" i="3" a="1"/>
  <c r="F468" i="3" s="1"/>
  <c r="P468" i="3" s="1" a="1"/>
  <c r="P468" i="3" s="1"/>
  <c r="B467" i="3" a="1"/>
  <c r="B467" i="3" s="1"/>
  <c r="L467" i="3" s="1" a="1"/>
  <c r="L467" i="3" s="1"/>
  <c r="D467" i="3" a="1"/>
  <c r="D467" i="3" s="1"/>
  <c r="N467" i="3" s="1" a="1"/>
  <c r="N467" i="3" s="1"/>
  <c r="F467" i="3" a="1"/>
  <c r="F467" i="3" s="1"/>
  <c r="P467" i="3" s="1" a="1"/>
  <c r="P467" i="3" s="1"/>
  <c r="H467" i="3" a="1"/>
  <c r="H467" i="3" s="1"/>
  <c r="R467" i="3" s="1" a="1"/>
  <c r="R467" i="3" s="1"/>
  <c r="S467" i="3" s="1" a="1"/>
  <c r="S467" i="3" s="1"/>
  <c r="J467" i="3" a="1"/>
  <c r="J467" i="3" s="1"/>
  <c r="U467" i="3" s="1" a="1"/>
  <c r="U467" i="3" s="1"/>
  <c r="C467" i="3" a="1"/>
  <c r="C467" i="3" s="1"/>
  <c r="M467" i="3" s="1" a="1"/>
  <c r="M467" i="3" s="1"/>
  <c r="E467" i="3" a="1"/>
  <c r="E467" i="3" s="1"/>
  <c r="O467" i="3" s="1" a="1"/>
  <c r="O467" i="3" s="1"/>
  <c r="G467" i="3" a="1"/>
  <c r="G467" i="3" s="1"/>
  <c r="Q467" i="3" s="1" a="1"/>
  <c r="Q467" i="3" s="1"/>
  <c r="I467" i="3" a="1"/>
  <c r="I467" i="3" s="1"/>
  <c r="T467" i="3" s="1" a="1"/>
  <c r="T467" i="3" s="1"/>
  <c r="K467" i="3" a="1"/>
  <c r="K467" i="3" s="1"/>
  <c r="V467" i="3" s="1" a="1"/>
  <c r="V467" i="3" s="1"/>
  <c r="B466" i="3" a="1"/>
  <c r="B466" i="3" s="1"/>
  <c r="L466" i="3" s="1" a="1"/>
  <c r="L466" i="3" s="1"/>
  <c r="D466" i="3" a="1"/>
  <c r="D466" i="3" s="1"/>
  <c r="N466" i="3" s="1" a="1"/>
  <c r="N466" i="3" s="1"/>
  <c r="F466" i="3" a="1"/>
  <c r="F466" i="3" s="1"/>
  <c r="P466" i="3" s="1" a="1"/>
  <c r="P466" i="3" s="1"/>
  <c r="H466" i="3" a="1"/>
  <c r="H466" i="3" s="1"/>
  <c r="R466" i="3" s="1" a="1"/>
  <c r="R466" i="3" s="1"/>
  <c r="S466" i="3" s="1" a="1"/>
  <c r="S466" i="3" s="1"/>
  <c r="J466" i="3" a="1"/>
  <c r="J466" i="3" s="1"/>
  <c r="U466" i="3" s="1" a="1"/>
  <c r="U466" i="3" s="1"/>
  <c r="C466" i="3" a="1"/>
  <c r="C466" i="3" s="1"/>
  <c r="M466" i="3" s="1" a="1"/>
  <c r="M466" i="3" s="1"/>
  <c r="E466" i="3" a="1"/>
  <c r="E466" i="3" s="1"/>
  <c r="O466" i="3" s="1" a="1"/>
  <c r="O466" i="3" s="1"/>
  <c r="G466" i="3" a="1"/>
  <c r="G466" i="3" s="1"/>
  <c r="Q466" i="3" s="1" a="1"/>
  <c r="Q466" i="3" s="1"/>
  <c r="I466" i="3" a="1"/>
  <c r="I466" i="3" s="1"/>
  <c r="T466" i="3" s="1" a="1"/>
  <c r="T466" i="3" s="1"/>
  <c r="K466" i="3" a="1"/>
  <c r="K466" i="3" s="1"/>
  <c r="V466" i="3" s="1" a="1"/>
  <c r="V466" i="3" s="1"/>
  <c r="B465" i="3" a="1"/>
  <c r="B465" i="3" s="1"/>
  <c r="L465" i="3" s="1" a="1"/>
  <c r="L465" i="3" s="1"/>
  <c r="D465" i="3" a="1"/>
  <c r="D465" i="3" s="1"/>
  <c r="N465" i="3" s="1" a="1"/>
  <c r="N465" i="3" s="1"/>
  <c r="F465" i="3" a="1"/>
  <c r="F465" i="3" s="1"/>
  <c r="P465" i="3" s="1" a="1"/>
  <c r="P465" i="3" s="1"/>
  <c r="H465" i="3" a="1"/>
  <c r="H465" i="3" s="1"/>
  <c r="R465" i="3" s="1" a="1"/>
  <c r="R465" i="3" s="1"/>
  <c r="S465" i="3" s="1" a="1"/>
  <c r="S465" i="3" s="1"/>
  <c r="J465" i="3" a="1"/>
  <c r="J465" i="3" s="1"/>
  <c r="U465" i="3" s="1" a="1"/>
  <c r="U465" i="3" s="1"/>
  <c r="C465" i="3" a="1"/>
  <c r="C465" i="3" s="1"/>
  <c r="M465" i="3" s="1" a="1"/>
  <c r="M465" i="3" s="1"/>
  <c r="E465" i="3" a="1"/>
  <c r="E465" i="3" s="1"/>
  <c r="O465" i="3" s="1" a="1"/>
  <c r="O465" i="3" s="1"/>
  <c r="G465" i="3" a="1"/>
  <c r="G465" i="3" s="1"/>
  <c r="Q465" i="3" s="1" a="1"/>
  <c r="Q465" i="3" s="1"/>
  <c r="I465" i="3" a="1"/>
  <c r="I465" i="3" s="1"/>
  <c r="T465" i="3" s="1" a="1"/>
  <c r="T465" i="3" s="1"/>
  <c r="K465" i="3" a="1"/>
  <c r="K465" i="3" s="1"/>
  <c r="V465" i="3" s="1" a="1"/>
  <c r="V465" i="3" s="1"/>
  <c r="M464" i="1"/>
  <c r="E464" i="3" a="1"/>
  <c r="E464" i="3" s="1"/>
  <c r="O464" i="3" s="1" a="1"/>
  <c r="O464" i="3" s="1"/>
  <c r="B464" i="3" a="1"/>
  <c r="B464" i="3" s="1"/>
  <c r="L464" i="3" s="1" a="1"/>
  <c r="L464" i="3" s="1"/>
  <c r="D464" i="3" a="1"/>
  <c r="D464" i="3" s="1"/>
  <c r="N464" i="3" s="1" a="1"/>
  <c r="N464" i="3" s="1"/>
  <c r="F464" i="3" a="1"/>
  <c r="F464" i="3" s="1"/>
  <c r="P464" i="3" s="1" a="1"/>
  <c r="P464" i="3" s="1"/>
  <c r="H464" i="3" a="1"/>
  <c r="H464" i="3" s="1"/>
  <c r="R464" i="3" s="1" a="1"/>
  <c r="R464" i="3" s="1"/>
  <c r="S464" i="3" s="1" a="1"/>
  <c r="S464" i="3" s="1"/>
  <c r="J464" i="3" a="1"/>
  <c r="J464" i="3" s="1"/>
  <c r="U464" i="3" s="1" a="1"/>
  <c r="U464" i="3" s="1"/>
  <c r="G464" i="3" a="1"/>
  <c r="G464" i="3" s="1"/>
  <c r="Q464" i="3" s="1" a="1"/>
  <c r="Q464" i="3" s="1"/>
  <c r="I464" i="3" a="1"/>
  <c r="I464" i="3" s="1"/>
  <c r="T464" i="3" s="1" a="1"/>
  <c r="T464" i="3" s="1"/>
  <c r="C464" i="3" a="1"/>
  <c r="C464" i="3" s="1"/>
  <c r="M464" i="3" s="1" a="1"/>
  <c r="M464" i="3" s="1"/>
  <c r="K464" i="3" a="1"/>
  <c r="K464" i="3" s="1"/>
  <c r="V464" i="3" s="1" a="1"/>
  <c r="V464" i="3" s="1"/>
  <c r="B463" i="3" a="1"/>
  <c r="B463" i="3" s="1"/>
  <c r="L463" i="3" s="1" a="1"/>
  <c r="L463" i="3" s="1"/>
  <c r="D463" i="3" a="1"/>
  <c r="D463" i="3" s="1"/>
  <c r="N463" i="3" s="1" a="1"/>
  <c r="N463" i="3" s="1"/>
  <c r="F463" i="3" a="1"/>
  <c r="F463" i="3" s="1"/>
  <c r="P463" i="3" s="1" a="1"/>
  <c r="P463" i="3" s="1"/>
  <c r="H463" i="3" a="1"/>
  <c r="H463" i="3" s="1"/>
  <c r="R463" i="3" s="1" a="1"/>
  <c r="R463" i="3" s="1"/>
  <c r="S463" i="3" s="1" a="1"/>
  <c r="S463" i="3" s="1"/>
  <c r="J463" i="3" a="1"/>
  <c r="J463" i="3" s="1"/>
  <c r="U463" i="3" s="1" a="1"/>
  <c r="U463" i="3" s="1"/>
  <c r="C463" i="3" a="1"/>
  <c r="C463" i="3" s="1"/>
  <c r="M463" i="3" s="1" a="1"/>
  <c r="M463" i="3" s="1"/>
  <c r="E463" i="3" a="1"/>
  <c r="E463" i="3" s="1"/>
  <c r="O463" i="3" s="1" a="1"/>
  <c r="O463" i="3" s="1"/>
  <c r="G463" i="3" a="1"/>
  <c r="G463" i="3" s="1"/>
  <c r="Q463" i="3" s="1" a="1"/>
  <c r="Q463" i="3" s="1"/>
  <c r="I463" i="3" a="1"/>
  <c r="I463" i="3" s="1"/>
  <c r="T463" i="3" s="1" a="1"/>
  <c r="T463" i="3" s="1"/>
  <c r="K463" i="3" a="1"/>
  <c r="K463" i="3" s="1"/>
  <c r="V463" i="3" s="1" a="1"/>
  <c r="V463" i="3" s="1"/>
  <c r="B462" i="3" a="1"/>
  <c r="B462" i="3" s="1"/>
  <c r="L462" i="3" s="1" a="1"/>
  <c r="L462" i="3" s="1"/>
  <c r="D462" i="3" a="1"/>
  <c r="D462" i="3" s="1"/>
  <c r="N462" i="3" s="1" a="1"/>
  <c r="N462" i="3" s="1"/>
  <c r="F462" i="3" a="1"/>
  <c r="F462" i="3" s="1"/>
  <c r="P462" i="3" s="1" a="1"/>
  <c r="P462" i="3" s="1"/>
  <c r="H462" i="3" a="1"/>
  <c r="H462" i="3" s="1"/>
  <c r="R462" i="3" s="1" a="1"/>
  <c r="R462" i="3" s="1"/>
  <c r="S462" i="3" s="1" a="1"/>
  <c r="S462" i="3" s="1"/>
  <c r="J462" i="3" a="1"/>
  <c r="J462" i="3" s="1"/>
  <c r="U462" i="3" s="1" a="1"/>
  <c r="U462" i="3" s="1"/>
  <c r="C462" i="3" a="1"/>
  <c r="C462" i="3" s="1"/>
  <c r="M462" i="3" s="1" a="1"/>
  <c r="M462" i="3" s="1"/>
  <c r="E462" i="3" a="1"/>
  <c r="E462" i="3" s="1"/>
  <c r="O462" i="3" s="1" a="1"/>
  <c r="O462" i="3" s="1"/>
  <c r="G462" i="3" a="1"/>
  <c r="G462" i="3" s="1"/>
  <c r="Q462" i="3" s="1" a="1"/>
  <c r="Q462" i="3" s="1"/>
  <c r="I462" i="3" a="1"/>
  <c r="I462" i="3" s="1"/>
  <c r="T462" i="3" s="1" a="1"/>
  <c r="T462" i="3" s="1"/>
  <c r="K462" i="3" a="1"/>
  <c r="K462" i="3" s="1"/>
  <c r="V462" i="3" s="1" a="1"/>
  <c r="V462" i="3" s="1"/>
  <c r="B461" i="3" a="1"/>
  <c r="B461" i="3" s="1"/>
  <c r="L461" i="3" s="1" a="1"/>
  <c r="L461" i="3" s="1"/>
  <c r="D461" i="3" a="1"/>
  <c r="D461" i="3" s="1"/>
  <c r="N461" i="3" s="1" a="1"/>
  <c r="N461" i="3" s="1"/>
  <c r="F461" i="3" a="1"/>
  <c r="F461" i="3" s="1"/>
  <c r="P461" i="3" s="1" a="1"/>
  <c r="P461" i="3" s="1"/>
  <c r="H461" i="3" a="1"/>
  <c r="H461" i="3" s="1"/>
  <c r="R461" i="3" s="1" a="1"/>
  <c r="R461" i="3" s="1"/>
  <c r="S461" i="3" s="1" a="1"/>
  <c r="S461" i="3" s="1"/>
  <c r="J461" i="3" a="1"/>
  <c r="J461" i="3" s="1"/>
  <c r="U461" i="3" s="1" a="1"/>
  <c r="U461" i="3" s="1"/>
  <c r="C461" i="3" a="1"/>
  <c r="C461" i="3" s="1"/>
  <c r="M461" i="3" s="1" a="1"/>
  <c r="M461" i="3" s="1"/>
  <c r="E461" i="3" a="1"/>
  <c r="E461" i="3" s="1"/>
  <c r="O461" i="3" s="1" a="1"/>
  <c r="O461" i="3" s="1"/>
  <c r="G461" i="3" a="1"/>
  <c r="G461" i="3" s="1"/>
  <c r="Q461" i="3" s="1" a="1"/>
  <c r="Q461" i="3" s="1"/>
  <c r="I461" i="3" a="1"/>
  <c r="I461" i="3" s="1"/>
  <c r="T461" i="3" s="1" a="1"/>
  <c r="T461" i="3" s="1"/>
  <c r="K461" i="3" a="1"/>
  <c r="K461" i="3" s="1"/>
  <c r="V461" i="3" s="1" a="1"/>
  <c r="V461" i="3" s="1"/>
  <c r="B460" i="3" a="1"/>
  <c r="B460" i="3" s="1"/>
  <c r="L460" i="3" s="1" a="1"/>
  <c r="L460" i="3" s="1"/>
  <c r="D460" i="3" a="1"/>
  <c r="D460" i="3" s="1"/>
  <c r="N460" i="3" s="1" a="1"/>
  <c r="N460" i="3" s="1"/>
  <c r="F460" i="3" a="1"/>
  <c r="F460" i="3" s="1"/>
  <c r="P460" i="3" s="1" a="1"/>
  <c r="P460" i="3" s="1"/>
  <c r="H460" i="3" a="1"/>
  <c r="H460" i="3" s="1"/>
  <c r="R460" i="3" s="1" a="1"/>
  <c r="R460" i="3" s="1"/>
  <c r="S460" i="3" s="1" a="1"/>
  <c r="S460" i="3" s="1"/>
  <c r="J460" i="3" a="1"/>
  <c r="J460" i="3" s="1"/>
  <c r="U460" i="3" s="1" a="1"/>
  <c r="U460" i="3" s="1"/>
  <c r="C460" i="3" a="1"/>
  <c r="C460" i="3" s="1"/>
  <c r="M460" i="3" s="1" a="1"/>
  <c r="M460" i="3" s="1"/>
  <c r="E460" i="3" a="1"/>
  <c r="E460" i="3" s="1"/>
  <c r="O460" i="3" s="1" a="1"/>
  <c r="O460" i="3" s="1"/>
  <c r="G460" i="3" a="1"/>
  <c r="G460" i="3" s="1"/>
  <c r="Q460" i="3" s="1" a="1"/>
  <c r="Q460" i="3" s="1"/>
  <c r="I460" i="3" a="1"/>
  <c r="I460" i="3" s="1"/>
  <c r="T460" i="3" s="1" a="1"/>
  <c r="T460" i="3" s="1"/>
  <c r="K460" i="3" a="1"/>
  <c r="K460" i="3" s="1"/>
  <c r="V460" i="3" s="1" a="1"/>
  <c r="V460" i="3" s="1"/>
  <c r="B459" i="3" a="1"/>
  <c r="B459" i="3" s="1"/>
  <c r="L459" i="3" s="1" a="1"/>
  <c r="L459" i="3" s="1"/>
  <c r="D459" i="3" a="1"/>
  <c r="D459" i="3" s="1"/>
  <c r="N459" i="3" s="1" a="1"/>
  <c r="N459" i="3" s="1"/>
  <c r="F459" i="3" a="1"/>
  <c r="F459" i="3" s="1"/>
  <c r="P459" i="3" s="1" a="1"/>
  <c r="P459" i="3" s="1"/>
  <c r="H459" i="3" a="1"/>
  <c r="H459" i="3" s="1"/>
  <c r="R459" i="3" s="1" a="1"/>
  <c r="R459" i="3" s="1"/>
  <c r="S459" i="3" s="1" a="1"/>
  <c r="S459" i="3" s="1"/>
  <c r="J459" i="3" a="1"/>
  <c r="J459" i="3" s="1"/>
  <c r="U459" i="3" s="1" a="1"/>
  <c r="U459" i="3" s="1"/>
  <c r="C459" i="3" a="1"/>
  <c r="C459" i="3" s="1"/>
  <c r="M459" i="3" s="1" a="1"/>
  <c r="M459" i="3" s="1"/>
  <c r="E459" i="3" a="1"/>
  <c r="E459" i="3" s="1"/>
  <c r="O459" i="3" s="1" a="1"/>
  <c r="O459" i="3" s="1"/>
  <c r="G459" i="3" a="1"/>
  <c r="G459" i="3" s="1"/>
  <c r="Q459" i="3" s="1" a="1"/>
  <c r="Q459" i="3" s="1"/>
  <c r="I459" i="3" a="1"/>
  <c r="I459" i="3" s="1"/>
  <c r="T459" i="3" s="1" a="1"/>
  <c r="T459" i="3" s="1"/>
  <c r="K459" i="3" a="1"/>
  <c r="K459" i="3" s="1"/>
  <c r="V459" i="3" s="1" a="1"/>
  <c r="V459" i="3" s="1"/>
  <c r="B458" i="3" a="1"/>
  <c r="B458" i="3" s="1"/>
  <c r="L458" i="3" s="1" a="1"/>
  <c r="L458" i="3" s="1"/>
  <c r="D458" i="3" a="1"/>
  <c r="D458" i="3" s="1"/>
  <c r="N458" i="3" s="1" a="1"/>
  <c r="N458" i="3" s="1"/>
  <c r="F458" i="3" a="1"/>
  <c r="F458" i="3" s="1"/>
  <c r="P458" i="3" s="1" a="1"/>
  <c r="P458" i="3" s="1"/>
  <c r="H458" i="3" a="1"/>
  <c r="H458" i="3" s="1"/>
  <c r="R458" i="3" s="1" a="1"/>
  <c r="R458" i="3" s="1"/>
  <c r="S458" i="3" s="1" a="1"/>
  <c r="S458" i="3" s="1"/>
  <c r="J458" i="3" a="1"/>
  <c r="J458" i="3" s="1"/>
  <c r="U458" i="3" s="1" a="1"/>
  <c r="U458" i="3" s="1"/>
  <c r="C458" i="3" a="1"/>
  <c r="C458" i="3" s="1"/>
  <c r="M458" i="3" s="1" a="1"/>
  <c r="M458" i="3" s="1"/>
  <c r="E458" i="3" a="1"/>
  <c r="E458" i="3" s="1"/>
  <c r="O458" i="3" s="1" a="1"/>
  <c r="O458" i="3" s="1"/>
  <c r="G458" i="3" a="1"/>
  <c r="G458" i="3" s="1"/>
  <c r="Q458" i="3" s="1" a="1"/>
  <c r="Q458" i="3" s="1"/>
  <c r="I458" i="3" a="1"/>
  <c r="I458" i="3" s="1"/>
  <c r="T458" i="3" s="1" a="1"/>
  <c r="T458" i="3" s="1"/>
  <c r="K458" i="3" a="1"/>
  <c r="K458" i="3" s="1"/>
  <c r="V458" i="3" s="1" a="1"/>
  <c r="V458" i="3" s="1"/>
  <c r="B457" i="3" a="1"/>
  <c r="B457" i="3" s="1"/>
  <c r="L457" i="3" s="1" a="1"/>
  <c r="L457" i="3" s="1"/>
  <c r="D457" i="3" a="1"/>
  <c r="D457" i="3" s="1"/>
  <c r="N457" i="3" s="1" a="1"/>
  <c r="N457" i="3" s="1"/>
  <c r="F457" i="3" a="1"/>
  <c r="F457" i="3" s="1"/>
  <c r="P457" i="3" s="1" a="1"/>
  <c r="P457" i="3" s="1"/>
  <c r="H457" i="3" a="1"/>
  <c r="H457" i="3" s="1"/>
  <c r="R457" i="3" s="1" a="1"/>
  <c r="R457" i="3" s="1"/>
  <c r="S457" i="3" s="1" a="1"/>
  <c r="S457" i="3" s="1"/>
  <c r="J457" i="3" a="1"/>
  <c r="J457" i="3" s="1"/>
  <c r="U457" i="3" s="1" a="1"/>
  <c r="U457" i="3" s="1"/>
  <c r="C457" i="3" a="1"/>
  <c r="C457" i="3" s="1"/>
  <c r="M457" i="3" s="1" a="1"/>
  <c r="M457" i="3" s="1"/>
  <c r="E457" i="3" a="1"/>
  <c r="E457" i="3" s="1"/>
  <c r="O457" i="3" s="1" a="1"/>
  <c r="O457" i="3" s="1"/>
  <c r="G457" i="3" a="1"/>
  <c r="G457" i="3" s="1"/>
  <c r="Q457" i="3" s="1" a="1"/>
  <c r="Q457" i="3" s="1"/>
  <c r="I457" i="3" a="1"/>
  <c r="I457" i="3" s="1"/>
  <c r="T457" i="3" s="1" a="1"/>
  <c r="T457" i="3" s="1"/>
  <c r="K457" i="3" a="1"/>
  <c r="K457" i="3" s="1"/>
  <c r="V457" i="3" s="1" a="1"/>
  <c r="V457" i="3" s="1"/>
  <c r="B456" i="3" a="1"/>
  <c r="B456" i="3" s="1"/>
  <c r="L456" i="3" s="1" a="1"/>
  <c r="L456" i="3" s="1"/>
  <c r="D456" i="3" a="1"/>
  <c r="D456" i="3" s="1"/>
  <c r="N456" i="3" s="1" a="1"/>
  <c r="N456" i="3" s="1"/>
  <c r="F456" i="3" a="1"/>
  <c r="F456" i="3" s="1"/>
  <c r="P456" i="3" s="1" a="1"/>
  <c r="P456" i="3" s="1"/>
  <c r="H456" i="3" a="1"/>
  <c r="H456" i="3" s="1"/>
  <c r="R456" i="3" s="1" a="1"/>
  <c r="R456" i="3" s="1"/>
  <c r="S456" i="3" s="1" a="1"/>
  <c r="S456" i="3" s="1"/>
  <c r="J456" i="3" a="1"/>
  <c r="J456" i="3" s="1"/>
  <c r="U456" i="3" s="1" a="1"/>
  <c r="U456" i="3" s="1"/>
  <c r="C456" i="3" a="1"/>
  <c r="C456" i="3" s="1"/>
  <c r="M456" i="3" s="1" a="1"/>
  <c r="M456" i="3" s="1"/>
  <c r="E456" i="3" a="1"/>
  <c r="E456" i="3" s="1"/>
  <c r="O456" i="3" s="1" a="1"/>
  <c r="O456" i="3" s="1"/>
  <c r="G456" i="3" a="1"/>
  <c r="G456" i="3" s="1"/>
  <c r="Q456" i="3" s="1" a="1"/>
  <c r="Q456" i="3" s="1"/>
  <c r="I456" i="3" a="1"/>
  <c r="I456" i="3" s="1"/>
  <c r="T456" i="3" s="1" a="1"/>
  <c r="T456" i="3" s="1"/>
  <c r="K456" i="3" a="1"/>
  <c r="K456" i="3" s="1"/>
  <c r="V456" i="3" s="1" a="1"/>
  <c r="V456" i="3" s="1"/>
  <c r="M455" i="1"/>
  <c r="B455" i="3" a="1"/>
  <c r="B455" i="3" s="1"/>
  <c r="L455" i="3" s="1" a="1"/>
  <c r="L455" i="3" s="1"/>
  <c r="D455" i="3" a="1"/>
  <c r="D455" i="3" s="1"/>
  <c r="N455" i="3" s="1" a="1"/>
  <c r="N455" i="3" s="1"/>
  <c r="F455" i="3" a="1"/>
  <c r="F455" i="3" s="1"/>
  <c r="P455" i="3" s="1" a="1"/>
  <c r="P455" i="3" s="1"/>
  <c r="H455" i="3" a="1"/>
  <c r="H455" i="3" s="1"/>
  <c r="R455" i="3" s="1" a="1"/>
  <c r="R455" i="3" s="1"/>
  <c r="S455" i="3" s="1" a="1"/>
  <c r="S455" i="3" s="1"/>
  <c r="J455" i="3" a="1"/>
  <c r="J455" i="3" s="1"/>
  <c r="U455" i="3" s="1" a="1"/>
  <c r="U455" i="3" s="1"/>
  <c r="E455" i="3" a="1"/>
  <c r="E455" i="3" s="1"/>
  <c r="O455" i="3" s="1" a="1"/>
  <c r="O455" i="3" s="1"/>
  <c r="G455" i="3" a="1"/>
  <c r="G455" i="3" s="1"/>
  <c r="Q455" i="3" s="1" a="1"/>
  <c r="Q455" i="3" s="1"/>
  <c r="C455" i="3" a="1"/>
  <c r="C455" i="3" s="1"/>
  <c r="M455" i="3" s="1" a="1"/>
  <c r="M455" i="3" s="1"/>
  <c r="I455" i="3" a="1"/>
  <c r="I455" i="3" s="1"/>
  <c r="T455" i="3" s="1" a="1"/>
  <c r="T455" i="3" s="1"/>
  <c r="K455" i="3" a="1"/>
  <c r="K455" i="3" s="1"/>
  <c r="V455" i="3" s="1" a="1"/>
  <c r="V455" i="3" s="1"/>
  <c r="B454" i="3" a="1"/>
  <c r="B454" i="3" s="1"/>
  <c r="L454" i="3" s="1" a="1"/>
  <c r="L454" i="3" s="1"/>
  <c r="D454" i="3" a="1"/>
  <c r="D454" i="3" s="1"/>
  <c r="N454" i="3" s="1" a="1"/>
  <c r="N454" i="3" s="1"/>
  <c r="F454" i="3" a="1"/>
  <c r="F454" i="3" s="1"/>
  <c r="P454" i="3" s="1" a="1"/>
  <c r="P454" i="3" s="1"/>
  <c r="H454" i="3" a="1"/>
  <c r="H454" i="3" s="1"/>
  <c r="R454" i="3" s="1" a="1"/>
  <c r="R454" i="3" s="1"/>
  <c r="S454" i="3" s="1" a="1"/>
  <c r="S454" i="3" s="1"/>
  <c r="J454" i="3" a="1"/>
  <c r="J454" i="3" s="1"/>
  <c r="U454" i="3" s="1" a="1"/>
  <c r="U454" i="3" s="1"/>
  <c r="C454" i="3" a="1"/>
  <c r="C454" i="3" s="1"/>
  <c r="M454" i="3" s="1" a="1"/>
  <c r="M454" i="3" s="1"/>
  <c r="E454" i="3" a="1"/>
  <c r="E454" i="3" s="1"/>
  <c r="O454" i="3" s="1" a="1"/>
  <c r="O454" i="3" s="1"/>
  <c r="G454" i="3" a="1"/>
  <c r="G454" i="3" s="1"/>
  <c r="Q454" i="3" s="1" a="1"/>
  <c r="Q454" i="3" s="1"/>
  <c r="I454" i="3" a="1"/>
  <c r="I454" i="3" s="1"/>
  <c r="T454" i="3" s="1" a="1"/>
  <c r="T454" i="3" s="1"/>
  <c r="K454" i="3" a="1"/>
  <c r="K454" i="3" s="1"/>
  <c r="V454" i="3" s="1" a="1"/>
  <c r="V454" i="3" s="1"/>
  <c r="M453" i="1"/>
  <c r="K453" i="3" a="1"/>
  <c r="K453" i="3" s="1"/>
  <c r="V453" i="3" s="1" a="1"/>
  <c r="V453" i="3" s="1"/>
  <c r="B453" i="3" a="1"/>
  <c r="B453" i="3" s="1"/>
  <c r="L453" i="3" s="1" a="1"/>
  <c r="L453" i="3" s="1"/>
  <c r="D453" i="3" a="1"/>
  <c r="D453" i="3" s="1"/>
  <c r="N453" i="3" s="1" a="1"/>
  <c r="N453" i="3" s="1"/>
  <c r="F453" i="3" a="1"/>
  <c r="F453" i="3" s="1"/>
  <c r="P453" i="3" s="1" a="1"/>
  <c r="P453" i="3" s="1"/>
  <c r="H453" i="3" a="1"/>
  <c r="H453" i="3" s="1"/>
  <c r="R453" i="3" s="1" a="1"/>
  <c r="R453" i="3" s="1"/>
  <c r="S453" i="3" s="1" a="1"/>
  <c r="S453" i="3" s="1"/>
  <c r="J453" i="3" a="1"/>
  <c r="J453" i="3" s="1"/>
  <c r="U453" i="3" s="1" a="1"/>
  <c r="U453" i="3" s="1"/>
  <c r="C453" i="3" a="1"/>
  <c r="C453" i="3" s="1"/>
  <c r="M453" i="3" s="1" a="1"/>
  <c r="M453" i="3" s="1"/>
  <c r="E453" i="3" a="1"/>
  <c r="E453" i="3" s="1"/>
  <c r="O453" i="3" s="1" a="1"/>
  <c r="O453" i="3" s="1"/>
  <c r="G453" i="3" a="1"/>
  <c r="G453" i="3" s="1"/>
  <c r="Q453" i="3" s="1" a="1"/>
  <c r="Q453" i="3" s="1"/>
  <c r="I453" i="3" a="1"/>
  <c r="I453" i="3" s="1"/>
  <c r="T453" i="3" s="1" a="1"/>
  <c r="T453" i="3" s="1"/>
  <c r="B452" i="3" a="1"/>
  <c r="B452" i="3" s="1"/>
  <c r="L452" i="3" s="1" a="1"/>
  <c r="L452" i="3" s="1"/>
  <c r="D452" i="3" a="1"/>
  <c r="D452" i="3" s="1"/>
  <c r="N452" i="3" s="1" a="1"/>
  <c r="N452" i="3" s="1"/>
  <c r="F452" i="3" a="1"/>
  <c r="F452" i="3" s="1"/>
  <c r="P452" i="3" s="1" a="1"/>
  <c r="P452" i="3" s="1"/>
  <c r="H452" i="3" a="1"/>
  <c r="H452" i="3" s="1"/>
  <c r="R452" i="3" s="1" a="1"/>
  <c r="R452" i="3" s="1"/>
  <c r="S452" i="3" s="1" a="1"/>
  <c r="S452" i="3" s="1"/>
  <c r="J452" i="3" a="1"/>
  <c r="J452" i="3" s="1"/>
  <c r="U452" i="3" s="1" a="1"/>
  <c r="U452" i="3" s="1"/>
  <c r="C452" i="3" a="1"/>
  <c r="C452" i="3" s="1"/>
  <c r="M452" i="3" s="1" a="1"/>
  <c r="M452" i="3" s="1"/>
  <c r="E452" i="3" a="1"/>
  <c r="E452" i="3" s="1"/>
  <c r="O452" i="3" s="1" a="1"/>
  <c r="O452" i="3" s="1"/>
  <c r="G452" i="3" a="1"/>
  <c r="G452" i="3" s="1"/>
  <c r="Q452" i="3" s="1" a="1"/>
  <c r="Q452" i="3" s="1"/>
  <c r="I452" i="3" a="1"/>
  <c r="I452" i="3" s="1"/>
  <c r="T452" i="3" s="1" a="1"/>
  <c r="T452" i="3" s="1"/>
  <c r="K452" i="3" a="1"/>
  <c r="K452" i="3" s="1"/>
  <c r="V452" i="3" s="1" a="1"/>
  <c r="V452" i="3" s="1"/>
  <c r="B451" i="3" a="1"/>
  <c r="B451" i="3" s="1"/>
  <c r="L451" i="3" s="1" a="1"/>
  <c r="L451" i="3" s="1"/>
  <c r="D451" i="3" a="1"/>
  <c r="D451" i="3" s="1"/>
  <c r="N451" i="3" s="1" a="1"/>
  <c r="N451" i="3" s="1"/>
  <c r="F451" i="3" a="1"/>
  <c r="F451" i="3" s="1"/>
  <c r="P451" i="3" s="1" a="1"/>
  <c r="P451" i="3" s="1"/>
  <c r="H451" i="3" a="1"/>
  <c r="H451" i="3" s="1"/>
  <c r="R451" i="3" s="1" a="1"/>
  <c r="R451" i="3" s="1"/>
  <c r="S451" i="3" s="1" a="1"/>
  <c r="S451" i="3" s="1"/>
  <c r="J451" i="3" a="1"/>
  <c r="J451" i="3" s="1"/>
  <c r="U451" i="3" s="1" a="1"/>
  <c r="U451" i="3" s="1"/>
  <c r="C451" i="3" a="1"/>
  <c r="C451" i="3" s="1"/>
  <c r="M451" i="3" s="1" a="1"/>
  <c r="M451" i="3" s="1"/>
  <c r="E451" i="3" a="1"/>
  <c r="E451" i="3" s="1"/>
  <c r="O451" i="3" s="1" a="1"/>
  <c r="O451" i="3" s="1"/>
  <c r="G451" i="3" a="1"/>
  <c r="G451" i="3" s="1"/>
  <c r="Q451" i="3" s="1" a="1"/>
  <c r="Q451" i="3" s="1"/>
  <c r="I451" i="3" a="1"/>
  <c r="I451" i="3" s="1"/>
  <c r="T451" i="3" s="1" a="1"/>
  <c r="T451" i="3" s="1"/>
  <c r="K451" i="3" a="1"/>
  <c r="K451" i="3" s="1"/>
  <c r="V451" i="3" s="1" a="1"/>
  <c r="V451" i="3" s="1"/>
  <c r="B450" i="3" a="1"/>
  <c r="B450" i="3" s="1"/>
  <c r="L450" i="3" s="1" a="1"/>
  <c r="L450" i="3" s="1"/>
  <c r="D450" i="3" a="1"/>
  <c r="D450" i="3" s="1"/>
  <c r="N450" i="3" s="1" a="1"/>
  <c r="N450" i="3" s="1"/>
  <c r="F450" i="3" a="1"/>
  <c r="F450" i="3" s="1"/>
  <c r="P450" i="3" s="1" a="1"/>
  <c r="P450" i="3" s="1"/>
  <c r="H450" i="3" a="1"/>
  <c r="H450" i="3" s="1"/>
  <c r="R450" i="3" s="1" a="1"/>
  <c r="R450" i="3" s="1"/>
  <c r="S450" i="3" s="1" a="1"/>
  <c r="S450" i="3" s="1"/>
  <c r="J450" i="3" a="1"/>
  <c r="J450" i="3" s="1"/>
  <c r="U450" i="3" s="1" a="1"/>
  <c r="U450" i="3" s="1"/>
  <c r="C450" i="3" a="1"/>
  <c r="C450" i="3" s="1"/>
  <c r="M450" i="3" s="1" a="1"/>
  <c r="M450" i="3" s="1"/>
  <c r="E450" i="3" a="1"/>
  <c r="E450" i="3" s="1"/>
  <c r="O450" i="3" s="1" a="1"/>
  <c r="O450" i="3" s="1"/>
  <c r="G450" i="3" a="1"/>
  <c r="G450" i="3" s="1"/>
  <c r="Q450" i="3" s="1" a="1"/>
  <c r="Q450" i="3" s="1"/>
  <c r="I450" i="3" a="1"/>
  <c r="I450" i="3" s="1"/>
  <c r="T450" i="3" s="1" a="1"/>
  <c r="T450" i="3" s="1"/>
  <c r="K450" i="3" a="1"/>
  <c r="K450" i="3" s="1"/>
  <c r="V450" i="3" s="1" a="1"/>
  <c r="V450" i="3" s="1"/>
  <c r="B449" i="3" a="1"/>
  <c r="B449" i="3" s="1"/>
  <c r="L449" i="3" s="1" a="1"/>
  <c r="L449" i="3" s="1"/>
  <c r="D449" i="3" a="1"/>
  <c r="D449" i="3" s="1"/>
  <c r="N449" i="3" s="1" a="1"/>
  <c r="N449" i="3" s="1"/>
  <c r="F449" i="3" a="1"/>
  <c r="F449" i="3" s="1"/>
  <c r="P449" i="3" s="1" a="1"/>
  <c r="P449" i="3" s="1"/>
  <c r="H449" i="3" a="1"/>
  <c r="H449" i="3" s="1"/>
  <c r="R449" i="3" s="1" a="1"/>
  <c r="R449" i="3" s="1"/>
  <c r="S449" i="3" s="1" a="1"/>
  <c r="S449" i="3" s="1"/>
  <c r="J449" i="3" a="1"/>
  <c r="J449" i="3" s="1"/>
  <c r="U449" i="3" s="1" a="1"/>
  <c r="U449" i="3" s="1"/>
  <c r="C449" i="3" a="1"/>
  <c r="C449" i="3" s="1"/>
  <c r="M449" i="3" s="1" a="1"/>
  <c r="M449" i="3" s="1"/>
  <c r="E449" i="3" a="1"/>
  <c r="E449" i="3" s="1"/>
  <c r="O449" i="3" s="1" a="1"/>
  <c r="O449" i="3" s="1"/>
  <c r="G449" i="3" a="1"/>
  <c r="G449" i="3" s="1"/>
  <c r="Q449" i="3" s="1" a="1"/>
  <c r="Q449" i="3" s="1"/>
  <c r="I449" i="3" a="1"/>
  <c r="I449" i="3" s="1"/>
  <c r="T449" i="3" s="1" a="1"/>
  <c r="T449" i="3" s="1"/>
  <c r="K449" i="3" a="1"/>
  <c r="K449" i="3" s="1"/>
  <c r="V449" i="3" s="1" a="1"/>
  <c r="V449" i="3" s="1"/>
  <c r="B448" i="3" a="1"/>
  <c r="B448" i="3" s="1"/>
  <c r="L448" i="3" s="1" a="1"/>
  <c r="L448" i="3" s="1"/>
  <c r="D448" i="3" a="1"/>
  <c r="D448" i="3" s="1"/>
  <c r="N448" i="3" s="1" a="1"/>
  <c r="N448" i="3" s="1"/>
  <c r="F448" i="3" a="1"/>
  <c r="F448" i="3" s="1"/>
  <c r="P448" i="3" s="1" a="1"/>
  <c r="P448" i="3" s="1"/>
  <c r="H448" i="3" a="1"/>
  <c r="H448" i="3" s="1"/>
  <c r="R448" i="3" s="1" a="1"/>
  <c r="R448" i="3" s="1"/>
  <c r="S448" i="3" s="1" a="1"/>
  <c r="S448" i="3" s="1"/>
  <c r="J448" i="3" a="1"/>
  <c r="J448" i="3" s="1"/>
  <c r="U448" i="3" s="1" a="1"/>
  <c r="U448" i="3" s="1"/>
  <c r="C448" i="3" a="1"/>
  <c r="C448" i="3" s="1"/>
  <c r="M448" i="3" s="1" a="1"/>
  <c r="M448" i="3" s="1"/>
  <c r="E448" i="3" a="1"/>
  <c r="E448" i="3" s="1"/>
  <c r="O448" i="3" s="1" a="1"/>
  <c r="O448" i="3" s="1"/>
  <c r="G448" i="3" a="1"/>
  <c r="G448" i="3" s="1"/>
  <c r="Q448" i="3" s="1" a="1"/>
  <c r="Q448" i="3" s="1"/>
  <c r="I448" i="3" a="1"/>
  <c r="I448" i="3" s="1"/>
  <c r="T448" i="3" s="1" a="1"/>
  <c r="T448" i="3" s="1"/>
  <c r="K448" i="3" a="1"/>
  <c r="K448" i="3" s="1"/>
  <c r="V448" i="3" s="1" a="1"/>
  <c r="V448" i="3" s="1"/>
  <c r="B447" i="3" a="1"/>
  <c r="B447" i="3" s="1"/>
  <c r="L447" i="3" s="1" a="1"/>
  <c r="L447" i="3" s="1"/>
  <c r="D447" i="3" a="1"/>
  <c r="D447" i="3" s="1"/>
  <c r="N447" i="3" s="1" a="1"/>
  <c r="N447" i="3" s="1"/>
  <c r="F447" i="3" a="1"/>
  <c r="F447" i="3" s="1"/>
  <c r="P447" i="3" s="1" a="1"/>
  <c r="P447" i="3" s="1"/>
  <c r="H447" i="3" a="1"/>
  <c r="H447" i="3" s="1"/>
  <c r="R447" i="3" s="1" a="1"/>
  <c r="R447" i="3" s="1"/>
  <c r="S447" i="3" s="1" a="1"/>
  <c r="S447" i="3" s="1"/>
  <c r="J447" i="3" a="1"/>
  <c r="J447" i="3" s="1"/>
  <c r="U447" i="3" s="1" a="1"/>
  <c r="U447" i="3" s="1"/>
  <c r="C447" i="3" a="1"/>
  <c r="C447" i="3" s="1"/>
  <c r="M447" i="3" s="1" a="1"/>
  <c r="M447" i="3" s="1"/>
  <c r="E447" i="3" a="1"/>
  <c r="E447" i="3" s="1"/>
  <c r="O447" i="3" s="1" a="1"/>
  <c r="O447" i="3" s="1"/>
  <c r="G447" i="3" a="1"/>
  <c r="G447" i="3" s="1"/>
  <c r="Q447" i="3" s="1" a="1"/>
  <c r="Q447" i="3" s="1"/>
  <c r="I447" i="3" a="1"/>
  <c r="I447" i="3" s="1"/>
  <c r="T447" i="3" s="1" a="1"/>
  <c r="T447" i="3" s="1"/>
  <c r="K447" i="3" a="1"/>
  <c r="K447" i="3" s="1"/>
  <c r="V447" i="3" s="1" a="1"/>
  <c r="V447" i="3" s="1"/>
  <c r="M446" i="1"/>
  <c r="B446" i="3" a="1"/>
  <c r="B446" i="3" s="1"/>
  <c r="L446" i="3" s="1" a="1"/>
  <c r="L446" i="3" s="1"/>
  <c r="D446" i="3" a="1"/>
  <c r="D446" i="3" s="1"/>
  <c r="N446" i="3" s="1" a="1"/>
  <c r="N446" i="3" s="1"/>
  <c r="F446" i="3" a="1"/>
  <c r="F446" i="3" s="1"/>
  <c r="P446" i="3" s="1" a="1"/>
  <c r="P446" i="3" s="1"/>
  <c r="H446" i="3" a="1"/>
  <c r="H446" i="3" s="1"/>
  <c r="R446" i="3" s="1" a="1"/>
  <c r="R446" i="3" s="1"/>
  <c r="S446" i="3" s="1" a="1"/>
  <c r="S446" i="3" s="1"/>
  <c r="J446" i="3" a="1"/>
  <c r="J446" i="3" s="1"/>
  <c r="U446" i="3" s="1" a="1"/>
  <c r="U446" i="3" s="1"/>
  <c r="C446" i="3" a="1"/>
  <c r="C446" i="3" s="1"/>
  <c r="M446" i="3" s="1" a="1"/>
  <c r="M446" i="3" s="1"/>
  <c r="E446" i="3" a="1"/>
  <c r="E446" i="3" s="1"/>
  <c r="O446" i="3" s="1" a="1"/>
  <c r="O446" i="3" s="1"/>
  <c r="G446" i="3" a="1"/>
  <c r="G446" i="3" s="1"/>
  <c r="Q446" i="3" s="1" a="1"/>
  <c r="Q446" i="3" s="1"/>
  <c r="I446" i="3" a="1"/>
  <c r="I446" i="3" s="1"/>
  <c r="T446" i="3" s="1" a="1"/>
  <c r="T446" i="3" s="1"/>
  <c r="K446" i="3" a="1"/>
  <c r="K446" i="3" s="1"/>
  <c r="V446" i="3" s="1" a="1"/>
  <c r="V446" i="3" s="1"/>
  <c r="B445" i="3" a="1"/>
  <c r="B445" i="3" s="1"/>
  <c r="L445" i="3" s="1" a="1"/>
  <c r="L445" i="3" s="1"/>
  <c r="D445" i="3" a="1"/>
  <c r="D445" i="3" s="1"/>
  <c r="N445" i="3" s="1" a="1"/>
  <c r="N445" i="3" s="1"/>
  <c r="F445" i="3" a="1"/>
  <c r="F445" i="3" s="1"/>
  <c r="P445" i="3" s="1" a="1"/>
  <c r="P445" i="3" s="1"/>
  <c r="H445" i="3" a="1"/>
  <c r="H445" i="3" s="1"/>
  <c r="R445" i="3" s="1" a="1"/>
  <c r="R445" i="3" s="1"/>
  <c r="S445" i="3" s="1" a="1"/>
  <c r="S445" i="3" s="1"/>
  <c r="J445" i="3" a="1"/>
  <c r="J445" i="3" s="1"/>
  <c r="U445" i="3" s="1" a="1"/>
  <c r="U445" i="3" s="1"/>
  <c r="C445" i="3" a="1"/>
  <c r="C445" i="3" s="1"/>
  <c r="M445" i="3" s="1" a="1"/>
  <c r="M445" i="3" s="1"/>
  <c r="E445" i="3" a="1"/>
  <c r="E445" i="3" s="1"/>
  <c r="O445" i="3" s="1" a="1"/>
  <c r="O445" i="3" s="1"/>
  <c r="G445" i="3" a="1"/>
  <c r="G445" i="3" s="1"/>
  <c r="Q445" i="3" s="1" a="1"/>
  <c r="Q445" i="3" s="1"/>
  <c r="I445" i="3" a="1"/>
  <c r="I445" i="3" s="1"/>
  <c r="T445" i="3" s="1" a="1"/>
  <c r="T445" i="3" s="1"/>
  <c r="K445" i="3" a="1"/>
  <c r="K445" i="3" s="1"/>
  <c r="V445" i="3" s="1" a="1"/>
  <c r="V445" i="3" s="1"/>
  <c r="B444" i="3" a="1"/>
  <c r="B444" i="3" s="1"/>
  <c r="L444" i="3" s="1" a="1"/>
  <c r="L444" i="3" s="1"/>
  <c r="D444" i="3" a="1"/>
  <c r="D444" i="3" s="1"/>
  <c r="N444" i="3" s="1" a="1"/>
  <c r="N444" i="3" s="1"/>
  <c r="F444" i="3" a="1"/>
  <c r="F444" i="3" s="1"/>
  <c r="P444" i="3" s="1" a="1"/>
  <c r="P444" i="3" s="1"/>
  <c r="H444" i="3" a="1"/>
  <c r="H444" i="3" s="1"/>
  <c r="R444" i="3" s="1" a="1"/>
  <c r="R444" i="3" s="1"/>
  <c r="S444" i="3" s="1" a="1"/>
  <c r="S444" i="3" s="1"/>
  <c r="J444" i="3" a="1"/>
  <c r="J444" i="3" s="1"/>
  <c r="U444" i="3" s="1" a="1"/>
  <c r="U444" i="3" s="1"/>
  <c r="C444" i="3" a="1"/>
  <c r="C444" i="3" s="1"/>
  <c r="M444" i="3" s="1" a="1"/>
  <c r="M444" i="3" s="1"/>
  <c r="E444" i="3" a="1"/>
  <c r="E444" i="3" s="1"/>
  <c r="O444" i="3" s="1" a="1"/>
  <c r="O444" i="3" s="1"/>
  <c r="G444" i="3" a="1"/>
  <c r="G444" i="3" s="1"/>
  <c r="Q444" i="3" s="1" a="1"/>
  <c r="Q444" i="3" s="1"/>
  <c r="I444" i="3" a="1"/>
  <c r="I444" i="3" s="1"/>
  <c r="T444" i="3" s="1" a="1"/>
  <c r="T444" i="3" s="1"/>
  <c r="K444" i="3" a="1"/>
  <c r="K444" i="3" s="1"/>
  <c r="V444" i="3" s="1" a="1"/>
  <c r="V444" i="3" s="1"/>
  <c r="B443" i="3" a="1"/>
  <c r="B443" i="3" s="1"/>
  <c r="L443" i="3" s="1" a="1"/>
  <c r="L443" i="3" s="1"/>
  <c r="D443" i="3" a="1"/>
  <c r="D443" i="3" s="1"/>
  <c r="N443" i="3" s="1" a="1"/>
  <c r="N443" i="3" s="1"/>
  <c r="F443" i="3" a="1"/>
  <c r="F443" i="3" s="1"/>
  <c r="P443" i="3" s="1" a="1"/>
  <c r="P443" i="3" s="1"/>
  <c r="H443" i="3" a="1"/>
  <c r="H443" i="3" s="1"/>
  <c r="R443" i="3" s="1" a="1"/>
  <c r="R443" i="3" s="1"/>
  <c r="S443" i="3" s="1" a="1"/>
  <c r="S443" i="3" s="1"/>
  <c r="J443" i="3" a="1"/>
  <c r="J443" i="3" s="1"/>
  <c r="U443" i="3" s="1" a="1"/>
  <c r="U443" i="3" s="1"/>
  <c r="C443" i="3" a="1"/>
  <c r="C443" i="3" s="1"/>
  <c r="M443" i="3" s="1" a="1"/>
  <c r="M443" i="3" s="1"/>
  <c r="E443" i="3" a="1"/>
  <c r="E443" i="3" s="1"/>
  <c r="O443" i="3" s="1" a="1"/>
  <c r="O443" i="3" s="1"/>
  <c r="G443" i="3" a="1"/>
  <c r="G443" i="3" s="1"/>
  <c r="Q443" i="3" s="1" a="1"/>
  <c r="Q443" i="3" s="1"/>
  <c r="I443" i="3" a="1"/>
  <c r="I443" i="3" s="1"/>
  <c r="T443" i="3" s="1" a="1"/>
  <c r="T443" i="3" s="1"/>
  <c r="K443" i="3" a="1"/>
  <c r="K443" i="3" s="1"/>
  <c r="V443" i="3" s="1" a="1"/>
  <c r="V443" i="3" s="1"/>
  <c r="B442" i="3" a="1"/>
  <c r="B442" i="3" s="1"/>
  <c r="L442" i="3" s="1" a="1"/>
  <c r="L442" i="3" s="1"/>
  <c r="D442" i="3" a="1"/>
  <c r="D442" i="3" s="1"/>
  <c r="N442" i="3" s="1" a="1"/>
  <c r="N442" i="3" s="1"/>
  <c r="F442" i="3" a="1"/>
  <c r="F442" i="3" s="1"/>
  <c r="P442" i="3" s="1" a="1"/>
  <c r="P442" i="3" s="1"/>
  <c r="H442" i="3" a="1"/>
  <c r="H442" i="3" s="1"/>
  <c r="R442" i="3" s="1" a="1"/>
  <c r="R442" i="3" s="1"/>
  <c r="S442" i="3" s="1" a="1"/>
  <c r="S442" i="3" s="1"/>
  <c r="J442" i="3" a="1"/>
  <c r="J442" i="3" s="1"/>
  <c r="U442" i="3" s="1" a="1"/>
  <c r="U442" i="3" s="1"/>
  <c r="C442" i="3" a="1"/>
  <c r="C442" i="3" s="1"/>
  <c r="M442" i="3" s="1" a="1"/>
  <c r="M442" i="3" s="1"/>
  <c r="E442" i="3" a="1"/>
  <c r="E442" i="3" s="1"/>
  <c r="O442" i="3" s="1" a="1"/>
  <c r="O442" i="3" s="1"/>
  <c r="G442" i="3" a="1"/>
  <c r="G442" i="3" s="1"/>
  <c r="Q442" i="3" s="1" a="1"/>
  <c r="Q442" i="3" s="1"/>
  <c r="I442" i="3" a="1"/>
  <c r="I442" i="3" s="1"/>
  <c r="T442" i="3" s="1" a="1"/>
  <c r="T442" i="3" s="1"/>
  <c r="K442" i="3" a="1"/>
  <c r="K442" i="3" s="1"/>
  <c r="V442" i="3" s="1" a="1"/>
  <c r="V442" i="3" s="1"/>
  <c r="M441" i="1"/>
  <c r="B441" i="3" a="1"/>
  <c r="B441" i="3" s="1"/>
  <c r="L441" i="3" s="1" a="1"/>
  <c r="L441" i="3" s="1"/>
  <c r="D441" i="3" a="1"/>
  <c r="D441" i="3" s="1"/>
  <c r="N441" i="3" s="1" a="1"/>
  <c r="N441" i="3" s="1"/>
  <c r="F441" i="3" a="1"/>
  <c r="F441" i="3" s="1"/>
  <c r="P441" i="3" s="1" a="1"/>
  <c r="P441" i="3" s="1"/>
  <c r="H441" i="3" a="1"/>
  <c r="H441" i="3" s="1"/>
  <c r="R441" i="3" s="1" a="1"/>
  <c r="R441" i="3" s="1"/>
  <c r="S441" i="3" s="1" a="1"/>
  <c r="S441" i="3" s="1"/>
  <c r="J441" i="3" a="1"/>
  <c r="J441" i="3" s="1"/>
  <c r="U441" i="3" s="1" a="1"/>
  <c r="U441" i="3" s="1"/>
  <c r="C441" i="3" a="1"/>
  <c r="C441" i="3" s="1"/>
  <c r="M441" i="3" s="1" a="1"/>
  <c r="M441" i="3" s="1"/>
  <c r="E441" i="3" a="1"/>
  <c r="E441" i="3" s="1"/>
  <c r="O441" i="3" s="1" a="1"/>
  <c r="O441" i="3" s="1"/>
  <c r="G441" i="3" a="1"/>
  <c r="G441" i="3" s="1"/>
  <c r="Q441" i="3" s="1" a="1"/>
  <c r="Q441" i="3" s="1"/>
  <c r="I441" i="3" a="1"/>
  <c r="I441" i="3" s="1"/>
  <c r="T441" i="3" s="1" a="1"/>
  <c r="T441" i="3" s="1"/>
  <c r="K441" i="3" a="1"/>
  <c r="K441" i="3" s="1"/>
  <c r="V441" i="3" s="1" a="1"/>
  <c r="V441" i="3" s="1"/>
  <c r="B440" i="3" a="1"/>
  <c r="B440" i="3" s="1"/>
  <c r="L440" i="3" s="1" a="1"/>
  <c r="L440" i="3" s="1"/>
  <c r="D440" i="3" a="1"/>
  <c r="D440" i="3" s="1"/>
  <c r="N440" i="3" s="1" a="1"/>
  <c r="N440" i="3" s="1"/>
  <c r="F440" i="3" a="1"/>
  <c r="F440" i="3" s="1"/>
  <c r="P440" i="3" s="1" a="1"/>
  <c r="P440" i="3" s="1"/>
  <c r="H440" i="3" a="1"/>
  <c r="H440" i="3" s="1"/>
  <c r="R440" i="3" s="1" a="1"/>
  <c r="R440" i="3" s="1"/>
  <c r="S440" i="3" s="1" a="1"/>
  <c r="S440" i="3" s="1"/>
  <c r="J440" i="3" a="1"/>
  <c r="J440" i="3" s="1"/>
  <c r="U440" i="3" s="1" a="1"/>
  <c r="U440" i="3" s="1"/>
  <c r="C440" i="3" a="1"/>
  <c r="C440" i="3" s="1"/>
  <c r="M440" i="3" s="1" a="1"/>
  <c r="M440" i="3" s="1"/>
  <c r="E440" i="3" a="1"/>
  <c r="E440" i="3" s="1"/>
  <c r="O440" i="3" s="1" a="1"/>
  <c r="O440" i="3" s="1"/>
  <c r="G440" i="3" a="1"/>
  <c r="G440" i="3" s="1"/>
  <c r="Q440" i="3" s="1" a="1"/>
  <c r="Q440" i="3" s="1"/>
  <c r="I440" i="3" a="1"/>
  <c r="I440" i="3" s="1"/>
  <c r="T440" i="3" s="1" a="1"/>
  <c r="T440" i="3" s="1"/>
  <c r="K440" i="3" a="1"/>
  <c r="K440" i="3" s="1"/>
  <c r="V440" i="3" s="1" a="1"/>
  <c r="V440" i="3" s="1"/>
  <c r="B439" i="3" a="1"/>
  <c r="B439" i="3" s="1"/>
  <c r="L439" i="3" s="1" a="1"/>
  <c r="L439" i="3" s="1"/>
  <c r="D439" i="3" a="1"/>
  <c r="D439" i="3" s="1"/>
  <c r="N439" i="3" s="1" a="1"/>
  <c r="N439" i="3" s="1"/>
  <c r="F439" i="3" a="1"/>
  <c r="F439" i="3" s="1"/>
  <c r="P439" i="3" s="1" a="1"/>
  <c r="P439" i="3" s="1"/>
  <c r="H439" i="3" a="1"/>
  <c r="H439" i="3" s="1"/>
  <c r="R439" i="3" s="1" a="1"/>
  <c r="R439" i="3" s="1"/>
  <c r="S439" i="3" s="1" a="1"/>
  <c r="S439" i="3" s="1"/>
  <c r="J439" i="3" a="1"/>
  <c r="J439" i="3" s="1"/>
  <c r="U439" i="3" s="1" a="1"/>
  <c r="U439" i="3" s="1"/>
  <c r="C439" i="3" a="1"/>
  <c r="C439" i="3" s="1"/>
  <c r="M439" i="3" s="1" a="1"/>
  <c r="M439" i="3" s="1"/>
  <c r="E439" i="3" a="1"/>
  <c r="E439" i="3" s="1"/>
  <c r="O439" i="3" s="1" a="1"/>
  <c r="O439" i="3" s="1"/>
  <c r="G439" i="3" a="1"/>
  <c r="G439" i="3" s="1"/>
  <c r="Q439" i="3" s="1" a="1"/>
  <c r="Q439" i="3" s="1"/>
  <c r="I439" i="3" a="1"/>
  <c r="I439" i="3" s="1"/>
  <c r="T439" i="3" s="1" a="1"/>
  <c r="T439" i="3" s="1"/>
  <c r="K439" i="3" a="1"/>
  <c r="K439" i="3" s="1"/>
  <c r="V439" i="3" s="1" a="1"/>
  <c r="V439" i="3" s="1"/>
  <c r="M438" i="1"/>
  <c r="C438" i="3" a="1"/>
  <c r="C438" i="3" s="1"/>
  <c r="M438" i="3" s="1" a="1"/>
  <c r="M438" i="3" s="1"/>
  <c r="B438" i="3" a="1"/>
  <c r="B438" i="3" s="1"/>
  <c r="L438" i="3" s="1" a="1"/>
  <c r="L438" i="3" s="1"/>
  <c r="D438" i="3" a="1"/>
  <c r="D438" i="3" s="1"/>
  <c r="N438" i="3" s="1" a="1"/>
  <c r="N438" i="3" s="1"/>
  <c r="F438" i="3" a="1"/>
  <c r="F438" i="3" s="1"/>
  <c r="P438" i="3" s="1" a="1"/>
  <c r="P438" i="3" s="1"/>
  <c r="H438" i="3" a="1"/>
  <c r="H438" i="3" s="1"/>
  <c r="R438" i="3" s="1" a="1"/>
  <c r="R438" i="3" s="1"/>
  <c r="S438" i="3" s="1" a="1"/>
  <c r="S438" i="3" s="1"/>
  <c r="J438" i="3" a="1"/>
  <c r="J438" i="3" s="1"/>
  <c r="U438" i="3" s="1" a="1"/>
  <c r="U438" i="3" s="1"/>
  <c r="E438" i="3" a="1"/>
  <c r="E438" i="3" s="1"/>
  <c r="O438" i="3" s="1" a="1"/>
  <c r="O438" i="3" s="1"/>
  <c r="G438" i="3" a="1"/>
  <c r="G438" i="3" s="1"/>
  <c r="Q438" i="3" s="1" a="1"/>
  <c r="Q438" i="3" s="1"/>
  <c r="I438" i="3" a="1"/>
  <c r="I438" i="3" s="1"/>
  <c r="T438" i="3" s="1" a="1"/>
  <c r="T438" i="3" s="1"/>
  <c r="K438" i="3" a="1"/>
  <c r="K438" i="3" s="1"/>
  <c r="V438" i="3" s="1" a="1"/>
  <c r="V438" i="3" s="1"/>
  <c r="K437" i="3" a="1"/>
  <c r="K437" i="3" s="1"/>
  <c r="V437" i="3" s="1" a="1"/>
  <c r="V437" i="3" s="1"/>
  <c r="I437" i="3" a="1"/>
  <c r="I437" i="3" s="1"/>
  <c r="T437" i="3" s="1" a="1"/>
  <c r="T437" i="3" s="1"/>
  <c r="G437" i="3" a="1"/>
  <c r="G437" i="3" s="1"/>
  <c r="Q437" i="3" s="1" a="1"/>
  <c r="Q437" i="3" s="1"/>
  <c r="E437" i="3" a="1"/>
  <c r="E437" i="3" s="1"/>
  <c r="O437" i="3" s="1" a="1"/>
  <c r="O437" i="3" s="1"/>
  <c r="C437" i="3" a="1"/>
  <c r="C437" i="3" s="1"/>
  <c r="M437" i="3" s="1" a="1"/>
  <c r="M437" i="3" s="1"/>
  <c r="J437" i="3" a="1"/>
  <c r="J437" i="3" s="1"/>
  <c r="U437" i="3" s="1" a="1"/>
  <c r="U437" i="3" s="1"/>
  <c r="H437" i="3" a="1"/>
  <c r="H437" i="3" s="1"/>
  <c r="R437" i="3" s="1" a="1"/>
  <c r="R437" i="3" s="1"/>
  <c r="S437" i="3" s="1" a="1"/>
  <c r="S437" i="3" s="1"/>
  <c r="F437" i="3" a="1"/>
  <c r="F437" i="3" s="1"/>
  <c r="P437" i="3" s="1" a="1"/>
  <c r="P437" i="3" s="1"/>
  <c r="D437" i="3" a="1"/>
  <c r="D437" i="3" s="1"/>
  <c r="N437" i="3" s="1" a="1"/>
  <c r="N437" i="3" s="1"/>
  <c r="B437" i="3" a="1"/>
  <c r="B437" i="3" s="1"/>
  <c r="L437" i="3" s="1" a="1"/>
  <c r="L437" i="3" s="1"/>
  <c r="B415" i="3" a="1"/>
  <c r="B415" i="3" s="1"/>
  <c r="L415" i="3" s="1" a="1"/>
  <c r="L415" i="3" s="1"/>
  <c r="C415" i="3" a="1"/>
  <c r="C415" i="3" s="1"/>
  <c r="M415" i="3" s="1" a="1"/>
  <c r="M415" i="3" s="1"/>
  <c r="D415" i="3" a="1"/>
  <c r="D415" i="3" s="1"/>
  <c r="N415" i="3" s="1" a="1"/>
  <c r="N415" i="3" s="1"/>
  <c r="F415" i="3" a="1"/>
  <c r="F415" i="3" s="1"/>
  <c r="P415" i="3" s="1" a="1"/>
  <c r="P415" i="3" s="1"/>
  <c r="E415" i="3" a="1"/>
  <c r="E415" i="3" s="1"/>
  <c r="O415" i="3" s="1" a="1"/>
  <c r="O415" i="3" s="1"/>
  <c r="G415" i="3" a="1"/>
  <c r="G415" i="3" s="1"/>
  <c r="Q415" i="3" s="1" a="1"/>
  <c r="Q415" i="3" s="1"/>
  <c r="H415" i="3" a="1"/>
  <c r="H415" i="3" s="1"/>
  <c r="R415" i="3" s="1" a="1"/>
  <c r="R415" i="3" s="1"/>
  <c r="S415" i="3" s="1" a="1"/>
  <c r="S415" i="3" s="1"/>
  <c r="I415" i="3" a="1"/>
  <c r="I415" i="3" s="1"/>
  <c r="T415" i="3" s="1" a="1"/>
  <c r="T415" i="3" s="1"/>
  <c r="J415" i="3" a="1"/>
  <c r="J415" i="3" s="1"/>
  <c r="U415" i="3" s="1" a="1"/>
  <c r="U415" i="3" s="1"/>
  <c r="K415" i="3" a="1"/>
  <c r="K415" i="3" s="1"/>
  <c r="V415" i="3" s="1" a="1"/>
  <c r="V415" i="3" s="1"/>
  <c r="B420" i="3" a="1"/>
  <c r="B420" i="3" s="1"/>
  <c r="L420" i="3" s="1" a="1"/>
  <c r="L420" i="3" s="1"/>
  <c r="C420" i="3" a="1"/>
  <c r="C420" i="3" s="1"/>
  <c r="M420" i="3" s="1" a="1"/>
  <c r="M420" i="3" s="1"/>
  <c r="D420" i="3" a="1"/>
  <c r="D420" i="3" s="1"/>
  <c r="N420" i="3" s="1" a="1"/>
  <c r="N420" i="3" s="1"/>
  <c r="E420" i="3" a="1"/>
  <c r="E420" i="3" s="1"/>
  <c r="O420" i="3" s="1" a="1"/>
  <c r="O420" i="3" s="1"/>
  <c r="F420" i="3" a="1"/>
  <c r="F420" i="3" s="1"/>
  <c r="P420" i="3" s="1" a="1"/>
  <c r="P420" i="3" s="1"/>
  <c r="G420" i="3" a="1"/>
  <c r="G420" i="3" s="1"/>
  <c r="Q420" i="3" s="1" a="1"/>
  <c r="Q420" i="3" s="1"/>
  <c r="I420" i="3" a="1"/>
  <c r="I420" i="3" s="1"/>
  <c r="T420" i="3" s="1" a="1"/>
  <c r="T420" i="3" s="1"/>
  <c r="H420" i="3" a="1"/>
  <c r="H420" i="3" s="1"/>
  <c r="R420" i="3" s="1" a="1"/>
  <c r="R420" i="3" s="1"/>
  <c r="S420" i="3" s="1" a="1"/>
  <c r="S420" i="3" s="1"/>
  <c r="J420" i="3" a="1"/>
  <c r="J420" i="3" s="1"/>
  <c r="U420" i="3" s="1" a="1"/>
  <c r="U420" i="3" s="1"/>
  <c r="K420" i="3" a="1"/>
  <c r="K420" i="3" s="1"/>
  <c r="V420" i="3" s="1" a="1"/>
  <c r="V420" i="3" s="1"/>
  <c r="B425" i="3" a="1"/>
  <c r="B425" i="3" s="1"/>
  <c r="L425" i="3" s="1" a="1"/>
  <c r="L425" i="3" s="1"/>
  <c r="C425" i="3" a="1"/>
  <c r="C425" i="3" s="1"/>
  <c r="M425" i="3" s="1" a="1"/>
  <c r="M425" i="3" s="1"/>
  <c r="D425" i="3" a="1"/>
  <c r="D425" i="3" s="1"/>
  <c r="N425" i="3" s="1" a="1"/>
  <c r="N425" i="3" s="1"/>
  <c r="E425" i="3" a="1"/>
  <c r="E425" i="3" s="1"/>
  <c r="O425" i="3" s="1" a="1"/>
  <c r="O425" i="3" s="1"/>
  <c r="F425" i="3" a="1"/>
  <c r="F425" i="3" s="1"/>
  <c r="P425" i="3" s="1" a="1"/>
  <c r="P425" i="3" s="1"/>
  <c r="G425" i="3" a="1"/>
  <c r="G425" i="3" s="1"/>
  <c r="Q425" i="3" s="1" a="1"/>
  <c r="Q425" i="3" s="1"/>
  <c r="I425" i="3" a="1"/>
  <c r="I425" i="3" s="1"/>
  <c r="T425" i="3" s="1" a="1"/>
  <c r="T425" i="3" s="1"/>
  <c r="H425" i="3" a="1"/>
  <c r="H425" i="3" s="1"/>
  <c r="R425" i="3" s="1" a="1"/>
  <c r="R425" i="3" s="1"/>
  <c r="S425" i="3" s="1" a="1"/>
  <c r="S425" i="3" s="1"/>
  <c r="K425" i="3" a="1"/>
  <c r="K425" i="3" s="1"/>
  <c r="V425" i="3" s="1" a="1"/>
  <c r="V425" i="3" s="1"/>
  <c r="J425" i="3" a="1"/>
  <c r="J425" i="3" s="1"/>
  <c r="U425" i="3" s="1" a="1"/>
  <c r="U425" i="3" s="1"/>
  <c r="B435" i="3" a="1"/>
  <c r="B435" i="3" s="1"/>
  <c r="L435" i="3" s="1" a="1"/>
  <c r="L435" i="3" s="1"/>
  <c r="C435" i="3" a="1"/>
  <c r="C435" i="3" s="1"/>
  <c r="M435" i="3" s="1" a="1"/>
  <c r="M435" i="3" s="1"/>
  <c r="D435" i="3" a="1"/>
  <c r="D435" i="3" s="1"/>
  <c r="N435" i="3" s="1" a="1"/>
  <c r="N435" i="3" s="1"/>
  <c r="F435" i="3" a="1"/>
  <c r="F435" i="3" s="1"/>
  <c r="P435" i="3" s="1" a="1"/>
  <c r="P435" i="3" s="1"/>
  <c r="E435" i="3" a="1"/>
  <c r="E435" i="3" s="1"/>
  <c r="O435" i="3" s="1" a="1"/>
  <c r="O435" i="3" s="1"/>
  <c r="G435" i="3" a="1"/>
  <c r="G435" i="3" s="1"/>
  <c r="Q435" i="3" s="1" a="1"/>
  <c r="Q435" i="3" s="1"/>
  <c r="H435" i="3" a="1"/>
  <c r="H435" i="3" s="1"/>
  <c r="R435" i="3" s="1" a="1"/>
  <c r="R435" i="3" s="1"/>
  <c r="S435" i="3" s="1" a="1"/>
  <c r="S435" i="3" s="1"/>
  <c r="I435" i="3" a="1"/>
  <c r="I435" i="3" s="1"/>
  <c r="T435" i="3" s="1" a="1"/>
  <c r="T435" i="3" s="1"/>
  <c r="J435" i="3" a="1"/>
  <c r="J435" i="3" s="1"/>
  <c r="U435" i="3" s="1" a="1"/>
  <c r="U435" i="3" s="1"/>
  <c r="K435" i="3" a="1"/>
  <c r="K435" i="3" s="1"/>
  <c r="V435" i="3" s="1" a="1"/>
  <c r="V435" i="3" s="1"/>
  <c r="B408" i="3" a="1"/>
  <c r="B408" i="3" s="1"/>
  <c r="L408" i="3" s="1" a="1"/>
  <c r="L408" i="3" s="1"/>
  <c r="C408" i="3" a="1"/>
  <c r="C408" i="3" s="1"/>
  <c r="M408" i="3" s="1" a="1"/>
  <c r="M408" i="3" s="1"/>
  <c r="D408" i="3" a="1"/>
  <c r="D408" i="3" s="1"/>
  <c r="N408" i="3" s="1" a="1"/>
  <c r="N408" i="3" s="1"/>
  <c r="E408" i="3" a="1"/>
  <c r="E408" i="3" s="1"/>
  <c r="O408" i="3" s="1" a="1"/>
  <c r="O408" i="3" s="1"/>
  <c r="F408" i="3" a="1"/>
  <c r="F408" i="3" s="1"/>
  <c r="P408" i="3" s="1" a="1"/>
  <c r="P408" i="3" s="1"/>
  <c r="I408" i="3" a="1"/>
  <c r="I408" i="3" s="1"/>
  <c r="T408" i="3" s="1" a="1"/>
  <c r="T408" i="3" s="1"/>
  <c r="H408" i="3" a="1"/>
  <c r="H408" i="3" s="1"/>
  <c r="R408" i="3" s="1" a="1"/>
  <c r="R408" i="3" s="1"/>
  <c r="S408" i="3" s="1" a="1"/>
  <c r="S408" i="3" s="1"/>
  <c r="G408" i="3" a="1"/>
  <c r="G408" i="3" s="1"/>
  <c r="Q408" i="3" s="1" a="1"/>
  <c r="Q408" i="3" s="1"/>
  <c r="J408" i="3" a="1"/>
  <c r="J408" i="3" s="1"/>
  <c r="U408" i="3" s="1" a="1"/>
  <c r="U408" i="3" s="1"/>
  <c r="K408" i="3" a="1"/>
  <c r="K408" i="3" s="1"/>
  <c r="V408" i="3" s="1" a="1"/>
  <c r="V408" i="3" s="1"/>
  <c r="B414" i="3" a="1"/>
  <c r="B414" i="3" s="1"/>
  <c r="L414" i="3" s="1" a="1"/>
  <c r="L414" i="3" s="1"/>
  <c r="C414" i="3" a="1"/>
  <c r="C414" i="3" s="1"/>
  <c r="M414" i="3" s="1" a="1"/>
  <c r="M414" i="3" s="1"/>
  <c r="D414" i="3" a="1"/>
  <c r="D414" i="3" s="1"/>
  <c r="N414" i="3" s="1" a="1"/>
  <c r="N414" i="3" s="1"/>
  <c r="E414" i="3" a="1"/>
  <c r="E414" i="3" s="1"/>
  <c r="O414" i="3" s="1" a="1"/>
  <c r="O414" i="3" s="1"/>
  <c r="F414" i="3" a="1"/>
  <c r="F414" i="3" s="1"/>
  <c r="P414" i="3" s="1" a="1"/>
  <c r="P414" i="3" s="1"/>
  <c r="G414" i="3" a="1"/>
  <c r="G414" i="3" s="1"/>
  <c r="Q414" i="3" s="1" a="1"/>
  <c r="Q414" i="3" s="1"/>
  <c r="I414" i="3" a="1"/>
  <c r="I414" i="3" s="1"/>
  <c r="T414" i="3" s="1" a="1"/>
  <c r="T414" i="3" s="1"/>
  <c r="H414" i="3" a="1"/>
  <c r="H414" i="3" s="1"/>
  <c r="R414" i="3" s="1" a="1"/>
  <c r="R414" i="3" s="1"/>
  <c r="S414" i="3" s="1" a="1"/>
  <c r="S414" i="3" s="1"/>
  <c r="K414" i="3" a="1"/>
  <c r="K414" i="3" s="1"/>
  <c r="V414" i="3" s="1" a="1"/>
  <c r="V414" i="3" s="1"/>
  <c r="J414" i="3" a="1"/>
  <c r="J414" i="3" s="1"/>
  <c r="U414" i="3" s="1" a="1"/>
  <c r="U414" i="3" s="1"/>
  <c r="B419" i="3" a="1"/>
  <c r="B419" i="3" s="1"/>
  <c r="L419" i="3" s="1" a="1"/>
  <c r="L419" i="3" s="1"/>
  <c r="C419" i="3" a="1"/>
  <c r="C419" i="3" s="1"/>
  <c r="M419" i="3" s="1" a="1"/>
  <c r="M419" i="3" s="1"/>
  <c r="D419" i="3" a="1"/>
  <c r="D419" i="3" s="1"/>
  <c r="N419" i="3" s="1" a="1"/>
  <c r="N419" i="3" s="1"/>
  <c r="F419" i="3" a="1"/>
  <c r="F419" i="3" s="1"/>
  <c r="P419" i="3" s="1" a="1"/>
  <c r="P419" i="3" s="1"/>
  <c r="E419" i="3" a="1"/>
  <c r="E419" i="3" s="1"/>
  <c r="O419" i="3" s="1" a="1"/>
  <c r="O419" i="3" s="1"/>
  <c r="G419" i="3" a="1"/>
  <c r="G419" i="3" s="1"/>
  <c r="Q419" i="3" s="1" a="1"/>
  <c r="Q419" i="3" s="1"/>
  <c r="H419" i="3" a="1"/>
  <c r="H419" i="3" s="1"/>
  <c r="R419" i="3" s="1" a="1"/>
  <c r="R419" i="3" s="1"/>
  <c r="S419" i="3" s="1" a="1"/>
  <c r="S419" i="3" s="1"/>
  <c r="I419" i="3" a="1"/>
  <c r="I419" i="3" s="1"/>
  <c r="T419" i="3" s="1" a="1"/>
  <c r="T419" i="3" s="1"/>
  <c r="J419" i="3" a="1"/>
  <c r="J419" i="3" s="1"/>
  <c r="U419" i="3" s="1" a="1"/>
  <c r="U419" i="3" s="1"/>
  <c r="K419" i="3" a="1"/>
  <c r="K419" i="3" s="1"/>
  <c r="V419" i="3" s="1" a="1"/>
  <c r="V419" i="3" s="1"/>
  <c r="B424" i="3" a="1"/>
  <c r="B424" i="3" s="1"/>
  <c r="L424" i="3" s="1" a="1"/>
  <c r="L424" i="3" s="1"/>
  <c r="C424" i="3" a="1"/>
  <c r="C424" i="3" s="1"/>
  <c r="M424" i="3" s="1" a="1"/>
  <c r="M424" i="3" s="1"/>
  <c r="D424" i="3" a="1"/>
  <c r="D424" i="3" s="1"/>
  <c r="N424" i="3" s="1" a="1"/>
  <c r="N424" i="3" s="1"/>
  <c r="E424" i="3" a="1"/>
  <c r="E424" i="3" s="1"/>
  <c r="O424" i="3" s="1" a="1"/>
  <c r="O424" i="3" s="1"/>
  <c r="F424" i="3" a="1"/>
  <c r="F424" i="3" s="1"/>
  <c r="P424" i="3" s="1" a="1"/>
  <c r="P424" i="3" s="1"/>
  <c r="I424" i="3" a="1"/>
  <c r="I424" i="3" s="1"/>
  <c r="T424" i="3" s="1" a="1"/>
  <c r="T424" i="3" s="1"/>
  <c r="H424" i="3" a="1"/>
  <c r="H424" i="3" s="1"/>
  <c r="R424" i="3" s="1" a="1"/>
  <c r="R424" i="3" s="1"/>
  <c r="S424" i="3" s="1" a="1"/>
  <c r="S424" i="3" s="1"/>
  <c r="G424" i="3" a="1"/>
  <c r="G424" i="3" s="1"/>
  <c r="Q424" i="3" s="1" a="1"/>
  <c r="Q424" i="3" s="1"/>
  <c r="J424" i="3" a="1"/>
  <c r="J424" i="3" s="1"/>
  <c r="U424" i="3" s="1" a="1"/>
  <c r="U424" i="3" s="1"/>
  <c r="K424" i="3" a="1"/>
  <c r="K424" i="3" s="1"/>
  <c r="V424" i="3" s="1" a="1"/>
  <c r="V424" i="3" s="1"/>
  <c r="B431" i="3" a="1"/>
  <c r="B431" i="3" s="1"/>
  <c r="L431" i="3" s="1" a="1"/>
  <c r="L431" i="3" s="1"/>
  <c r="C431" i="3" a="1"/>
  <c r="C431" i="3" s="1"/>
  <c r="M431" i="3" s="1" a="1"/>
  <c r="M431" i="3" s="1"/>
  <c r="D431" i="3" a="1"/>
  <c r="D431" i="3" s="1"/>
  <c r="N431" i="3" s="1" a="1"/>
  <c r="N431" i="3" s="1"/>
  <c r="F431" i="3" a="1"/>
  <c r="F431" i="3" s="1"/>
  <c r="P431" i="3" s="1" a="1"/>
  <c r="P431" i="3" s="1"/>
  <c r="E431" i="3" a="1"/>
  <c r="E431" i="3" s="1"/>
  <c r="O431" i="3" s="1" a="1"/>
  <c r="O431" i="3" s="1"/>
  <c r="G431" i="3" a="1"/>
  <c r="G431" i="3" s="1"/>
  <c r="Q431" i="3" s="1" a="1"/>
  <c r="Q431" i="3" s="1"/>
  <c r="H431" i="3" a="1"/>
  <c r="H431" i="3" s="1"/>
  <c r="R431" i="3" s="1" a="1"/>
  <c r="R431" i="3" s="1"/>
  <c r="S431" i="3" s="1" a="1"/>
  <c r="S431" i="3" s="1"/>
  <c r="I431" i="3" a="1"/>
  <c r="I431" i="3" s="1"/>
  <c r="T431" i="3" s="1" a="1"/>
  <c r="T431" i="3" s="1"/>
  <c r="J431" i="3" a="1"/>
  <c r="J431" i="3" s="1"/>
  <c r="U431" i="3" s="1" a="1"/>
  <c r="U431" i="3" s="1"/>
  <c r="K431" i="3" a="1"/>
  <c r="K431" i="3" s="1"/>
  <c r="V431" i="3" s="1" a="1"/>
  <c r="V431" i="3" s="1"/>
  <c r="B427" i="3" a="1"/>
  <c r="B427" i="3" s="1"/>
  <c r="L427" i="3" s="1" a="1"/>
  <c r="L427" i="3" s="1"/>
  <c r="C427" i="3" a="1"/>
  <c r="C427" i="3" s="1"/>
  <c r="M427" i="3" s="1" a="1"/>
  <c r="M427" i="3" s="1"/>
  <c r="D427" i="3" a="1"/>
  <c r="D427" i="3" s="1"/>
  <c r="N427" i="3" s="1" a="1"/>
  <c r="N427" i="3" s="1"/>
  <c r="F427" i="3" a="1"/>
  <c r="F427" i="3" s="1"/>
  <c r="P427" i="3" s="1" a="1"/>
  <c r="P427" i="3" s="1"/>
  <c r="E427" i="3" a="1"/>
  <c r="E427" i="3" s="1"/>
  <c r="O427" i="3" s="1" a="1"/>
  <c r="O427" i="3" s="1"/>
  <c r="G427" i="3" a="1"/>
  <c r="G427" i="3" s="1"/>
  <c r="Q427" i="3" s="1" a="1"/>
  <c r="Q427" i="3" s="1"/>
  <c r="H427" i="3" a="1"/>
  <c r="H427" i="3" s="1"/>
  <c r="R427" i="3" s="1" a="1"/>
  <c r="R427" i="3" s="1"/>
  <c r="S427" i="3" s="1" a="1"/>
  <c r="S427" i="3" s="1"/>
  <c r="I427" i="3" a="1"/>
  <c r="I427" i="3" s="1"/>
  <c r="T427" i="3" s="1" a="1"/>
  <c r="T427" i="3" s="1"/>
  <c r="J427" i="3" a="1"/>
  <c r="J427" i="3" s="1"/>
  <c r="U427" i="3" s="1" a="1"/>
  <c r="U427" i="3" s="1"/>
  <c r="K427" i="3" a="1"/>
  <c r="K427" i="3" s="1"/>
  <c r="V427" i="3" s="1" a="1"/>
  <c r="V427" i="3" s="1"/>
  <c r="B434" i="3" a="1"/>
  <c r="B434" i="3" s="1"/>
  <c r="L434" i="3" s="1" a="1"/>
  <c r="L434" i="3" s="1"/>
  <c r="C434" i="3" a="1"/>
  <c r="C434" i="3" s="1"/>
  <c r="M434" i="3" s="1" a="1"/>
  <c r="M434" i="3" s="1"/>
  <c r="D434" i="3" a="1"/>
  <c r="D434" i="3" s="1"/>
  <c r="N434" i="3" s="1" a="1"/>
  <c r="N434" i="3" s="1"/>
  <c r="E434" i="3" a="1"/>
  <c r="E434" i="3" s="1"/>
  <c r="O434" i="3" s="1" a="1"/>
  <c r="O434" i="3" s="1"/>
  <c r="F434" i="3" a="1"/>
  <c r="F434" i="3" s="1"/>
  <c r="P434" i="3" s="1" a="1"/>
  <c r="P434" i="3" s="1"/>
  <c r="I434" i="3" a="1"/>
  <c r="I434" i="3" s="1"/>
  <c r="T434" i="3" s="1" a="1"/>
  <c r="T434" i="3" s="1"/>
  <c r="G434" i="3" a="1"/>
  <c r="G434" i="3" s="1"/>
  <c r="Q434" i="3" s="1" a="1"/>
  <c r="Q434" i="3" s="1"/>
  <c r="H434" i="3" a="1"/>
  <c r="H434" i="3" s="1"/>
  <c r="R434" i="3" s="1" a="1"/>
  <c r="R434" i="3" s="1"/>
  <c r="S434" i="3" s="1" a="1"/>
  <c r="S434" i="3" s="1"/>
  <c r="K434" i="3" a="1"/>
  <c r="K434" i="3" s="1"/>
  <c r="V434" i="3" s="1" a="1"/>
  <c r="V434" i="3" s="1"/>
  <c r="J434" i="3" a="1"/>
  <c r="J434" i="3" s="1"/>
  <c r="U434" i="3" s="1" a="1"/>
  <c r="U434" i="3" s="1"/>
  <c r="B409" i="3" a="1"/>
  <c r="B409" i="3" s="1"/>
  <c r="L409" i="3" s="1" a="1"/>
  <c r="L409" i="3" s="1"/>
  <c r="C409" i="3" a="1"/>
  <c r="C409" i="3" s="1"/>
  <c r="M409" i="3" s="1" a="1"/>
  <c r="M409" i="3" s="1"/>
  <c r="D409" i="3" a="1"/>
  <c r="D409" i="3" s="1"/>
  <c r="N409" i="3" s="1" a="1"/>
  <c r="N409" i="3" s="1"/>
  <c r="E409" i="3" a="1"/>
  <c r="E409" i="3" s="1"/>
  <c r="O409" i="3" s="1" a="1"/>
  <c r="O409" i="3" s="1"/>
  <c r="F409" i="3" a="1"/>
  <c r="F409" i="3" s="1"/>
  <c r="P409" i="3" s="1" a="1"/>
  <c r="P409" i="3" s="1"/>
  <c r="G409" i="3" a="1"/>
  <c r="G409" i="3" s="1"/>
  <c r="Q409" i="3" s="1" a="1"/>
  <c r="Q409" i="3" s="1"/>
  <c r="I409" i="3" a="1"/>
  <c r="I409" i="3" s="1"/>
  <c r="T409" i="3" s="1" a="1"/>
  <c r="T409" i="3" s="1"/>
  <c r="H409" i="3" a="1"/>
  <c r="H409" i="3" s="1"/>
  <c r="R409" i="3" s="1" a="1"/>
  <c r="R409" i="3" s="1"/>
  <c r="S409" i="3" s="1" a="1"/>
  <c r="S409" i="3" s="1"/>
  <c r="K409" i="3" a="1"/>
  <c r="K409" i="3" s="1"/>
  <c r="V409" i="3" s="1" a="1"/>
  <c r="V409" i="3" s="1"/>
  <c r="J409" i="3" a="1"/>
  <c r="J409" i="3" s="1"/>
  <c r="U409" i="3" s="1" a="1"/>
  <c r="U409" i="3" s="1"/>
  <c r="B416" i="3" a="1"/>
  <c r="B416" i="3" s="1"/>
  <c r="L416" i="3" s="1" a="1"/>
  <c r="L416" i="3" s="1"/>
  <c r="C416" i="3" a="1"/>
  <c r="C416" i="3" s="1"/>
  <c r="M416" i="3" s="1" a="1"/>
  <c r="M416" i="3" s="1"/>
  <c r="D416" i="3" a="1"/>
  <c r="D416" i="3" s="1"/>
  <c r="N416" i="3" s="1" a="1"/>
  <c r="N416" i="3" s="1"/>
  <c r="E416" i="3" a="1"/>
  <c r="E416" i="3" s="1"/>
  <c r="O416" i="3" s="1" a="1"/>
  <c r="O416" i="3" s="1"/>
  <c r="F416" i="3" a="1"/>
  <c r="F416" i="3" s="1"/>
  <c r="P416" i="3" s="1" a="1"/>
  <c r="P416" i="3" s="1"/>
  <c r="I416" i="3" a="1"/>
  <c r="I416" i="3" s="1"/>
  <c r="T416" i="3" s="1" a="1"/>
  <c r="T416" i="3" s="1"/>
  <c r="H416" i="3" a="1"/>
  <c r="H416" i="3" s="1"/>
  <c r="R416" i="3" s="1" a="1"/>
  <c r="R416" i="3" s="1"/>
  <c r="S416" i="3" s="1" a="1"/>
  <c r="S416" i="3" s="1"/>
  <c r="G416" i="3" a="1"/>
  <c r="G416" i="3" s="1"/>
  <c r="Q416" i="3" s="1" a="1"/>
  <c r="Q416" i="3" s="1"/>
  <c r="J416" i="3" a="1"/>
  <c r="J416" i="3" s="1"/>
  <c r="U416" i="3" s="1" a="1"/>
  <c r="U416" i="3" s="1"/>
  <c r="K416" i="3" a="1"/>
  <c r="K416" i="3" s="1"/>
  <c r="V416" i="3" s="1" a="1"/>
  <c r="V416" i="3" s="1"/>
  <c r="B421" i="3" a="1"/>
  <c r="B421" i="3" s="1"/>
  <c r="L421" i="3" s="1" a="1"/>
  <c r="L421" i="3" s="1"/>
  <c r="C421" i="3" a="1"/>
  <c r="C421" i="3" s="1"/>
  <c r="M421" i="3" s="1" a="1"/>
  <c r="M421" i="3" s="1"/>
  <c r="D421" i="3" a="1"/>
  <c r="D421" i="3" s="1"/>
  <c r="N421" i="3" s="1" a="1"/>
  <c r="N421" i="3" s="1"/>
  <c r="E421" i="3" a="1"/>
  <c r="E421" i="3" s="1"/>
  <c r="O421" i="3" s="1" a="1"/>
  <c r="O421" i="3" s="1"/>
  <c r="F421" i="3" a="1"/>
  <c r="F421" i="3" s="1"/>
  <c r="P421" i="3" s="1" a="1"/>
  <c r="P421" i="3" s="1"/>
  <c r="G421" i="3" a="1"/>
  <c r="G421" i="3" s="1"/>
  <c r="Q421" i="3" s="1" a="1"/>
  <c r="Q421" i="3" s="1"/>
  <c r="I421" i="3" a="1"/>
  <c r="I421" i="3" s="1"/>
  <c r="T421" i="3" s="1" a="1"/>
  <c r="T421" i="3" s="1"/>
  <c r="H421" i="3" a="1"/>
  <c r="H421" i="3" s="1"/>
  <c r="R421" i="3" s="1" a="1"/>
  <c r="R421" i="3" s="1"/>
  <c r="S421" i="3" s="1" a="1"/>
  <c r="S421" i="3" s="1"/>
  <c r="J421" i="3" a="1"/>
  <c r="J421" i="3" s="1"/>
  <c r="U421" i="3" s="1" a="1"/>
  <c r="U421" i="3" s="1"/>
  <c r="K421" i="3" a="1"/>
  <c r="K421" i="3" s="1"/>
  <c r="V421" i="3" s="1" a="1"/>
  <c r="V421" i="3" s="1"/>
  <c r="B428" i="3" a="1"/>
  <c r="B428" i="3" s="1"/>
  <c r="L428" i="3" s="1" a="1"/>
  <c r="L428" i="3" s="1"/>
  <c r="C428" i="3" a="1"/>
  <c r="C428" i="3" s="1"/>
  <c r="M428" i="3" s="1" a="1"/>
  <c r="M428" i="3" s="1"/>
  <c r="D428" i="3" a="1"/>
  <c r="D428" i="3" s="1"/>
  <c r="N428" i="3" s="1" a="1"/>
  <c r="N428" i="3" s="1"/>
  <c r="E428" i="3" a="1"/>
  <c r="E428" i="3" s="1"/>
  <c r="O428" i="3" s="1" a="1"/>
  <c r="O428" i="3" s="1"/>
  <c r="F428" i="3" a="1"/>
  <c r="F428" i="3" s="1"/>
  <c r="P428" i="3" s="1" a="1"/>
  <c r="P428" i="3" s="1"/>
  <c r="G428" i="3" a="1"/>
  <c r="G428" i="3" s="1"/>
  <c r="Q428" i="3" s="1" a="1"/>
  <c r="Q428" i="3" s="1"/>
  <c r="I428" i="3" a="1"/>
  <c r="I428" i="3" s="1"/>
  <c r="T428" i="3" s="1" a="1"/>
  <c r="T428" i="3" s="1"/>
  <c r="H428" i="3" a="1"/>
  <c r="H428" i="3" s="1"/>
  <c r="R428" i="3" s="1" a="1"/>
  <c r="R428" i="3" s="1"/>
  <c r="S428" i="3" s="1" a="1"/>
  <c r="S428" i="3" s="1"/>
  <c r="J428" i="3" a="1"/>
  <c r="J428" i="3" s="1"/>
  <c r="U428" i="3" s="1" a="1"/>
  <c r="U428" i="3" s="1"/>
  <c r="K428" i="3" a="1"/>
  <c r="K428" i="3" s="1"/>
  <c r="V428" i="3" s="1" a="1"/>
  <c r="V428" i="3" s="1"/>
  <c r="B411" i="3" a="1"/>
  <c r="B411" i="3" s="1"/>
  <c r="L411" i="3" s="1" a="1"/>
  <c r="L411" i="3" s="1"/>
  <c r="C411" i="3" a="1"/>
  <c r="C411" i="3" s="1"/>
  <c r="M411" i="3" s="1" a="1"/>
  <c r="M411" i="3" s="1"/>
  <c r="D411" i="3" a="1"/>
  <c r="D411" i="3" s="1"/>
  <c r="N411" i="3" s="1" a="1"/>
  <c r="N411" i="3" s="1"/>
  <c r="F411" i="3" a="1"/>
  <c r="F411" i="3" s="1"/>
  <c r="P411" i="3" s="1" a="1"/>
  <c r="P411" i="3" s="1"/>
  <c r="E411" i="3" a="1"/>
  <c r="E411" i="3" s="1"/>
  <c r="O411" i="3" s="1" a="1"/>
  <c r="O411" i="3" s="1"/>
  <c r="G411" i="3" a="1"/>
  <c r="G411" i="3" s="1"/>
  <c r="Q411" i="3" s="1" a="1"/>
  <c r="Q411" i="3" s="1"/>
  <c r="H411" i="3" a="1"/>
  <c r="H411" i="3" s="1"/>
  <c r="R411" i="3" s="1" a="1"/>
  <c r="R411" i="3" s="1"/>
  <c r="S411" i="3" s="1" a="1"/>
  <c r="S411" i="3" s="1"/>
  <c r="I411" i="3" a="1"/>
  <c r="I411" i="3" s="1"/>
  <c r="T411" i="3" s="1" a="1"/>
  <c r="T411" i="3" s="1"/>
  <c r="J411" i="3" a="1"/>
  <c r="J411" i="3" s="1"/>
  <c r="U411" i="3" s="1" a="1"/>
  <c r="U411" i="3" s="1"/>
  <c r="K411" i="3" a="1"/>
  <c r="K411" i="3" s="1"/>
  <c r="V411" i="3" s="1" a="1"/>
  <c r="V411" i="3" s="1"/>
  <c r="B407" i="3" a="1"/>
  <c r="B407" i="3" s="1"/>
  <c r="L407" i="3" s="1" a="1"/>
  <c r="L407" i="3" s="1"/>
  <c r="C407" i="3" a="1"/>
  <c r="C407" i="3" s="1"/>
  <c r="M407" i="3" s="1" a="1"/>
  <c r="M407" i="3" s="1"/>
  <c r="D407" i="3" a="1"/>
  <c r="D407" i="3" s="1"/>
  <c r="N407" i="3" s="1" a="1"/>
  <c r="N407" i="3" s="1"/>
  <c r="F407" i="3" a="1"/>
  <c r="F407" i="3" s="1"/>
  <c r="P407" i="3" s="1" a="1"/>
  <c r="P407" i="3" s="1"/>
  <c r="E407" i="3" a="1"/>
  <c r="E407" i="3" s="1"/>
  <c r="O407" i="3" s="1" a="1"/>
  <c r="O407" i="3" s="1"/>
  <c r="G407" i="3" a="1"/>
  <c r="G407" i="3" s="1"/>
  <c r="Q407" i="3" s="1" a="1"/>
  <c r="Q407" i="3" s="1"/>
  <c r="H407" i="3" a="1"/>
  <c r="H407" i="3" s="1"/>
  <c r="R407" i="3" s="1" a="1"/>
  <c r="R407" i="3" s="1"/>
  <c r="S407" i="3" s="1" a="1"/>
  <c r="S407" i="3" s="1"/>
  <c r="I407" i="3" a="1"/>
  <c r="I407" i="3" s="1"/>
  <c r="T407" i="3" s="1" a="1"/>
  <c r="T407" i="3" s="1"/>
  <c r="J407" i="3" a="1"/>
  <c r="J407" i="3" s="1"/>
  <c r="U407" i="3" s="1" a="1"/>
  <c r="U407" i="3" s="1"/>
  <c r="K407" i="3" a="1"/>
  <c r="K407" i="3" s="1"/>
  <c r="V407" i="3" s="1" a="1"/>
  <c r="V407" i="3" s="1"/>
  <c r="B413" i="3" a="1"/>
  <c r="B413" i="3" s="1"/>
  <c r="L413" i="3" s="1" a="1"/>
  <c r="L413" i="3" s="1"/>
  <c r="C413" i="3" a="1"/>
  <c r="C413" i="3" s="1"/>
  <c r="M413" i="3" s="1" a="1"/>
  <c r="M413" i="3" s="1"/>
  <c r="D413" i="3" a="1"/>
  <c r="D413" i="3" s="1"/>
  <c r="N413" i="3" s="1" a="1"/>
  <c r="N413" i="3" s="1"/>
  <c r="E413" i="3" a="1"/>
  <c r="E413" i="3" s="1"/>
  <c r="O413" i="3" s="1" a="1"/>
  <c r="O413" i="3" s="1"/>
  <c r="F413" i="3" a="1"/>
  <c r="F413" i="3" s="1"/>
  <c r="P413" i="3" s="1" a="1"/>
  <c r="P413" i="3" s="1"/>
  <c r="G413" i="3" a="1"/>
  <c r="G413" i="3" s="1"/>
  <c r="Q413" i="3" s="1" a="1"/>
  <c r="Q413" i="3" s="1"/>
  <c r="I413" i="3" a="1"/>
  <c r="I413" i="3" s="1"/>
  <c r="T413" i="3" s="1" a="1"/>
  <c r="T413" i="3" s="1"/>
  <c r="H413" i="3" a="1"/>
  <c r="H413" i="3" s="1"/>
  <c r="R413" i="3" s="1" a="1"/>
  <c r="R413" i="3" s="1"/>
  <c r="S413" i="3" s="1" a="1"/>
  <c r="S413" i="3" s="1"/>
  <c r="J413" i="3" a="1"/>
  <c r="J413" i="3" s="1"/>
  <c r="U413" i="3" s="1" a="1"/>
  <c r="U413" i="3" s="1"/>
  <c r="K413" i="3" a="1"/>
  <c r="K413" i="3" s="1"/>
  <c r="V413" i="3" s="1" a="1"/>
  <c r="V413" i="3" s="1"/>
  <c r="B418" i="3" a="1"/>
  <c r="B418" i="3" s="1"/>
  <c r="L418" i="3" s="1" a="1"/>
  <c r="L418" i="3" s="1"/>
  <c r="C418" i="3" a="1"/>
  <c r="C418" i="3" s="1"/>
  <c r="M418" i="3" s="1" a="1"/>
  <c r="M418" i="3" s="1"/>
  <c r="D418" i="3" a="1"/>
  <c r="D418" i="3" s="1"/>
  <c r="N418" i="3" s="1" a="1"/>
  <c r="N418" i="3" s="1"/>
  <c r="E418" i="3" a="1"/>
  <c r="E418" i="3" s="1"/>
  <c r="O418" i="3" s="1" a="1"/>
  <c r="O418" i="3" s="1"/>
  <c r="F418" i="3" a="1"/>
  <c r="F418" i="3" s="1"/>
  <c r="P418" i="3" s="1" a="1"/>
  <c r="P418" i="3" s="1"/>
  <c r="I418" i="3" a="1"/>
  <c r="I418" i="3" s="1"/>
  <c r="T418" i="3" s="1" a="1"/>
  <c r="T418" i="3" s="1"/>
  <c r="G418" i="3" a="1"/>
  <c r="G418" i="3" s="1"/>
  <c r="Q418" i="3" s="1" a="1"/>
  <c r="Q418" i="3" s="1"/>
  <c r="H418" i="3" a="1"/>
  <c r="H418" i="3" s="1"/>
  <c r="R418" i="3" s="1" a="1"/>
  <c r="R418" i="3" s="1"/>
  <c r="S418" i="3" s="1" a="1"/>
  <c r="S418" i="3" s="1"/>
  <c r="K418" i="3" a="1"/>
  <c r="K418" i="3" s="1"/>
  <c r="V418" i="3" s="1" a="1"/>
  <c r="V418" i="3" s="1"/>
  <c r="J418" i="3" a="1"/>
  <c r="J418" i="3" s="1"/>
  <c r="U418" i="3" s="1" a="1"/>
  <c r="U418" i="3" s="1"/>
  <c r="B423" i="3" a="1"/>
  <c r="B423" i="3" s="1"/>
  <c r="L423" i="3" s="1" a="1"/>
  <c r="L423" i="3" s="1"/>
  <c r="C423" i="3" a="1"/>
  <c r="C423" i="3" s="1"/>
  <c r="M423" i="3" s="1" a="1"/>
  <c r="M423" i="3" s="1"/>
  <c r="D423" i="3" a="1"/>
  <c r="D423" i="3" s="1"/>
  <c r="N423" i="3" s="1" a="1"/>
  <c r="N423" i="3" s="1"/>
  <c r="F423" i="3" a="1"/>
  <c r="F423" i="3" s="1"/>
  <c r="P423" i="3" s="1" a="1"/>
  <c r="P423" i="3" s="1"/>
  <c r="E423" i="3" a="1"/>
  <c r="E423" i="3" s="1"/>
  <c r="O423" i="3" s="1" a="1"/>
  <c r="O423" i="3" s="1"/>
  <c r="G423" i="3" a="1"/>
  <c r="G423" i="3" s="1"/>
  <c r="Q423" i="3" s="1" a="1"/>
  <c r="Q423" i="3" s="1"/>
  <c r="H423" i="3" a="1"/>
  <c r="H423" i="3" s="1"/>
  <c r="R423" i="3" s="1" a="1"/>
  <c r="R423" i="3" s="1"/>
  <c r="S423" i="3" s="1" a="1"/>
  <c r="S423" i="3" s="1"/>
  <c r="I423" i="3" a="1"/>
  <c r="I423" i="3" s="1"/>
  <c r="T423" i="3" s="1" a="1"/>
  <c r="T423" i="3" s="1"/>
  <c r="J423" i="3" a="1"/>
  <c r="J423" i="3" s="1"/>
  <c r="U423" i="3" s="1" a="1"/>
  <c r="U423" i="3" s="1"/>
  <c r="K423" i="3" a="1"/>
  <c r="K423" i="3" s="1"/>
  <c r="V423" i="3" s="1" a="1"/>
  <c r="V423" i="3" s="1"/>
  <c r="B430" i="3" a="1"/>
  <c r="B430" i="3" s="1"/>
  <c r="L430" i="3" s="1" a="1"/>
  <c r="L430" i="3" s="1"/>
  <c r="C430" i="3" a="1"/>
  <c r="C430" i="3" s="1"/>
  <c r="M430" i="3" s="1" a="1"/>
  <c r="M430" i="3" s="1"/>
  <c r="D430" i="3" a="1"/>
  <c r="D430" i="3" s="1"/>
  <c r="N430" i="3" s="1" a="1"/>
  <c r="N430" i="3" s="1"/>
  <c r="E430" i="3" a="1"/>
  <c r="E430" i="3" s="1"/>
  <c r="O430" i="3" s="1" a="1"/>
  <c r="O430" i="3" s="1"/>
  <c r="F430" i="3" a="1"/>
  <c r="F430" i="3" s="1"/>
  <c r="P430" i="3" s="1" a="1"/>
  <c r="P430" i="3" s="1"/>
  <c r="G430" i="3" a="1"/>
  <c r="G430" i="3" s="1"/>
  <c r="Q430" i="3" s="1" a="1"/>
  <c r="Q430" i="3" s="1"/>
  <c r="I430" i="3" a="1"/>
  <c r="I430" i="3" s="1"/>
  <c r="T430" i="3" s="1" a="1"/>
  <c r="T430" i="3" s="1"/>
  <c r="H430" i="3" a="1"/>
  <c r="H430" i="3" s="1"/>
  <c r="R430" i="3" s="1" a="1"/>
  <c r="R430" i="3" s="1"/>
  <c r="S430" i="3" s="1" a="1"/>
  <c r="S430" i="3" s="1"/>
  <c r="K430" i="3" a="1"/>
  <c r="K430" i="3" s="1"/>
  <c r="V430" i="3" s="1" a="1"/>
  <c r="V430" i="3" s="1"/>
  <c r="J430" i="3" a="1"/>
  <c r="J430" i="3" s="1"/>
  <c r="U430" i="3" s="1" a="1"/>
  <c r="U430" i="3" s="1"/>
  <c r="B426" i="3" a="1"/>
  <c r="B426" i="3" s="1"/>
  <c r="L426" i="3" s="1" a="1"/>
  <c r="L426" i="3" s="1"/>
  <c r="C426" i="3" a="1"/>
  <c r="C426" i="3" s="1"/>
  <c r="M426" i="3" s="1" a="1"/>
  <c r="M426" i="3" s="1"/>
  <c r="D426" i="3" a="1"/>
  <c r="D426" i="3" s="1"/>
  <c r="N426" i="3" s="1" a="1"/>
  <c r="N426" i="3" s="1"/>
  <c r="E426" i="3" a="1"/>
  <c r="E426" i="3" s="1"/>
  <c r="O426" i="3" s="1" a="1"/>
  <c r="O426" i="3" s="1"/>
  <c r="F426" i="3" a="1"/>
  <c r="F426" i="3" s="1"/>
  <c r="P426" i="3" s="1" a="1"/>
  <c r="P426" i="3" s="1"/>
  <c r="I426" i="3" a="1"/>
  <c r="I426" i="3" s="1"/>
  <c r="T426" i="3" s="1" a="1"/>
  <c r="T426" i="3" s="1"/>
  <c r="G426" i="3" a="1"/>
  <c r="G426" i="3" s="1"/>
  <c r="Q426" i="3" s="1" a="1"/>
  <c r="Q426" i="3" s="1"/>
  <c r="H426" i="3" a="1"/>
  <c r="H426" i="3" s="1"/>
  <c r="R426" i="3" s="1" a="1"/>
  <c r="R426" i="3" s="1"/>
  <c r="S426" i="3" s="1" a="1"/>
  <c r="S426" i="3" s="1"/>
  <c r="K426" i="3" a="1"/>
  <c r="K426" i="3" s="1"/>
  <c r="V426" i="3" s="1" a="1"/>
  <c r="V426" i="3" s="1"/>
  <c r="J426" i="3" a="1"/>
  <c r="J426" i="3" s="1"/>
  <c r="U426" i="3" s="1" a="1"/>
  <c r="U426" i="3" s="1"/>
  <c r="B433" i="3" a="1"/>
  <c r="B433" i="3" s="1"/>
  <c r="L433" i="3" s="1" a="1"/>
  <c r="L433" i="3" s="1"/>
  <c r="C433" i="3" a="1"/>
  <c r="C433" i="3" s="1"/>
  <c r="M433" i="3" s="1" a="1"/>
  <c r="M433" i="3" s="1"/>
  <c r="D433" i="3" a="1"/>
  <c r="D433" i="3" s="1"/>
  <c r="N433" i="3" s="1" a="1"/>
  <c r="N433" i="3" s="1"/>
  <c r="E433" i="3" a="1"/>
  <c r="E433" i="3" s="1"/>
  <c r="O433" i="3" s="1" a="1"/>
  <c r="O433" i="3" s="1"/>
  <c r="F433" i="3" a="1"/>
  <c r="F433" i="3" s="1"/>
  <c r="P433" i="3" s="1" a="1"/>
  <c r="P433" i="3" s="1"/>
  <c r="G433" i="3" a="1"/>
  <c r="G433" i="3" s="1"/>
  <c r="Q433" i="3" s="1" a="1"/>
  <c r="Q433" i="3" s="1"/>
  <c r="I433" i="3" a="1"/>
  <c r="I433" i="3" s="1"/>
  <c r="T433" i="3" s="1" a="1"/>
  <c r="T433" i="3" s="1"/>
  <c r="H433" i="3" a="1"/>
  <c r="H433" i="3" s="1"/>
  <c r="R433" i="3" s="1" a="1"/>
  <c r="R433" i="3" s="1"/>
  <c r="S433" i="3" s="1" a="1"/>
  <c r="S433" i="3" s="1"/>
  <c r="K433" i="3" a="1"/>
  <c r="K433" i="3" s="1"/>
  <c r="V433" i="3" s="1" a="1"/>
  <c r="V433" i="3" s="1"/>
  <c r="J433" i="3" a="1"/>
  <c r="J433" i="3" s="1"/>
  <c r="U433" i="3" s="1" a="1"/>
  <c r="U433" i="3" s="1"/>
  <c r="B410" i="3" a="1"/>
  <c r="B410" i="3" s="1"/>
  <c r="L410" i="3" s="1" a="1"/>
  <c r="L410" i="3" s="1"/>
  <c r="C410" i="3" a="1"/>
  <c r="C410" i="3" s="1"/>
  <c r="M410" i="3" s="1" a="1"/>
  <c r="M410" i="3" s="1"/>
  <c r="D410" i="3" a="1"/>
  <c r="D410" i="3" s="1"/>
  <c r="N410" i="3" s="1" a="1"/>
  <c r="N410" i="3" s="1"/>
  <c r="E410" i="3" a="1"/>
  <c r="E410" i="3" s="1"/>
  <c r="O410" i="3" s="1" a="1"/>
  <c r="O410" i="3" s="1"/>
  <c r="F410" i="3" a="1"/>
  <c r="F410" i="3" s="1"/>
  <c r="P410" i="3" s="1" a="1"/>
  <c r="P410" i="3" s="1"/>
  <c r="I410" i="3" a="1"/>
  <c r="I410" i="3" s="1"/>
  <c r="T410" i="3" s="1" a="1"/>
  <c r="T410" i="3" s="1"/>
  <c r="G410" i="3" a="1"/>
  <c r="G410" i="3" s="1"/>
  <c r="Q410" i="3" s="1" a="1"/>
  <c r="Q410" i="3" s="1"/>
  <c r="H410" i="3" a="1"/>
  <c r="H410" i="3" s="1"/>
  <c r="R410" i="3" s="1" a="1"/>
  <c r="R410" i="3" s="1"/>
  <c r="S410" i="3" s="1" a="1"/>
  <c r="S410" i="3" s="1"/>
  <c r="K410" i="3" a="1"/>
  <c r="K410" i="3" s="1"/>
  <c r="V410" i="3" s="1" a="1"/>
  <c r="V410" i="3" s="1"/>
  <c r="J410" i="3" a="1"/>
  <c r="J410" i="3" s="1"/>
  <c r="U410" i="3" s="1" a="1"/>
  <c r="U410" i="3" s="1"/>
  <c r="B406" i="3" a="1"/>
  <c r="B406" i="3" s="1"/>
  <c r="L406" i="3" s="1" a="1"/>
  <c r="L406" i="3" s="1"/>
  <c r="C406" i="3" a="1"/>
  <c r="C406" i="3" s="1"/>
  <c r="M406" i="3" s="1" a="1"/>
  <c r="M406" i="3" s="1"/>
  <c r="D406" i="3" a="1"/>
  <c r="D406" i="3" s="1"/>
  <c r="N406" i="3" s="1" a="1"/>
  <c r="N406" i="3" s="1"/>
  <c r="E406" i="3" a="1"/>
  <c r="E406" i="3" s="1"/>
  <c r="O406" i="3" s="1" a="1"/>
  <c r="O406" i="3" s="1"/>
  <c r="F406" i="3" a="1"/>
  <c r="F406" i="3" s="1"/>
  <c r="P406" i="3" s="1" a="1"/>
  <c r="P406" i="3" s="1"/>
  <c r="G406" i="3" a="1"/>
  <c r="G406" i="3" s="1"/>
  <c r="Q406" i="3" s="1" a="1"/>
  <c r="Q406" i="3" s="1"/>
  <c r="I406" i="3" a="1"/>
  <c r="I406" i="3" s="1"/>
  <c r="T406" i="3" s="1" a="1"/>
  <c r="T406" i="3" s="1"/>
  <c r="H406" i="3" a="1"/>
  <c r="H406" i="3" s="1"/>
  <c r="R406" i="3" s="1" a="1"/>
  <c r="R406" i="3" s="1"/>
  <c r="S406" i="3" s="1" a="1"/>
  <c r="S406" i="3" s="1"/>
  <c r="K406" i="3" a="1"/>
  <c r="K406" i="3" s="1"/>
  <c r="V406" i="3" s="1" a="1"/>
  <c r="V406" i="3" s="1"/>
  <c r="J406" i="3" a="1"/>
  <c r="J406" i="3" s="1"/>
  <c r="U406" i="3" s="1" a="1"/>
  <c r="U406" i="3" s="1"/>
  <c r="B412" i="3" a="1"/>
  <c r="B412" i="3" s="1"/>
  <c r="L412" i="3" s="1" a="1"/>
  <c r="L412" i="3" s="1"/>
  <c r="C412" i="3" a="1"/>
  <c r="C412" i="3" s="1"/>
  <c r="M412" i="3" s="1" a="1"/>
  <c r="M412" i="3" s="1"/>
  <c r="D412" i="3" a="1"/>
  <c r="D412" i="3" s="1"/>
  <c r="N412" i="3" s="1" a="1"/>
  <c r="N412" i="3" s="1"/>
  <c r="E412" i="3" a="1"/>
  <c r="E412" i="3" s="1"/>
  <c r="O412" i="3" s="1" a="1"/>
  <c r="O412" i="3" s="1"/>
  <c r="F412" i="3" a="1"/>
  <c r="F412" i="3" s="1"/>
  <c r="P412" i="3" s="1" a="1"/>
  <c r="P412" i="3" s="1"/>
  <c r="G412" i="3" a="1"/>
  <c r="G412" i="3" s="1"/>
  <c r="Q412" i="3" s="1" a="1"/>
  <c r="Q412" i="3" s="1"/>
  <c r="I412" i="3" a="1"/>
  <c r="I412" i="3" s="1"/>
  <c r="T412" i="3" s="1" a="1"/>
  <c r="T412" i="3" s="1"/>
  <c r="H412" i="3" a="1"/>
  <c r="H412" i="3" s="1"/>
  <c r="R412" i="3" s="1" a="1"/>
  <c r="R412" i="3" s="1"/>
  <c r="S412" i="3" s="1" a="1"/>
  <c r="S412" i="3" s="1"/>
  <c r="J412" i="3" a="1"/>
  <c r="J412" i="3" s="1"/>
  <c r="U412" i="3" s="1" a="1"/>
  <c r="U412" i="3" s="1"/>
  <c r="K412" i="3" a="1"/>
  <c r="K412" i="3" s="1"/>
  <c r="V412" i="3" s="1" a="1"/>
  <c r="V412" i="3" s="1"/>
  <c r="B417" i="3" a="1"/>
  <c r="B417" i="3" s="1"/>
  <c r="L417" i="3" s="1" a="1"/>
  <c r="L417" i="3" s="1"/>
  <c r="C417" i="3" a="1"/>
  <c r="C417" i="3" s="1"/>
  <c r="M417" i="3" s="1" a="1"/>
  <c r="M417" i="3" s="1"/>
  <c r="D417" i="3" a="1"/>
  <c r="D417" i="3" s="1"/>
  <c r="N417" i="3" s="1" a="1"/>
  <c r="N417" i="3" s="1"/>
  <c r="E417" i="3" a="1"/>
  <c r="E417" i="3" s="1"/>
  <c r="O417" i="3" s="1" a="1"/>
  <c r="O417" i="3" s="1"/>
  <c r="F417" i="3" a="1"/>
  <c r="F417" i="3" s="1"/>
  <c r="P417" i="3" s="1" a="1"/>
  <c r="P417" i="3" s="1"/>
  <c r="G417" i="3" a="1"/>
  <c r="G417" i="3" s="1"/>
  <c r="Q417" i="3" s="1" a="1"/>
  <c r="Q417" i="3" s="1"/>
  <c r="I417" i="3" a="1"/>
  <c r="I417" i="3" s="1"/>
  <c r="T417" i="3" s="1" a="1"/>
  <c r="T417" i="3" s="1"/>
  <c r="H417" i="3" a="1"/>
  <c r="H417" i="3" s="1"/>
  <c r="R417" i="3" s="1" a="1"/>
  <c r="R417" i="3" s="1"/>
  <c r="S417" i="3" s="1" a="1"/>
  <c r="S417" i="3" s="1"/>
  <c r="K417" i="3" a="1"/>
  <c r="K417" i="3" s="1"/>
  <c r="V417" i="3" s="1" a="1"/>
  <c r="V417" i="3" s="1"/>
  <c r="J417" i="3" a="1"/>
  <c r="J417" i="3" s="1"/>
  <c r="U417" i="3" s="1" a="1"/>
  <c r="U417" i="3" s="1"/>
  <c r="B422" i="3" a="1"/>
  <c r="B422" i="3" s="1"/>
  <c r="L422" i="3" s="1" a="1"/>
  <c r="L422" i="3" s="1"/>
  <c r="C422" i="3" a="1"/>
  <c r="C422" i="3" s="1"/>
  <c r="M422" i="3" s="1" a="1"/>
  <c r="M422" i="3" s="1"/>
  <c r="D422" i="3" a="1"/>
  <c r="D422" i="3" s="1"/>
  <c r="N422" i="3" s="1" a="1"/>
  <c r="N422" i="3" s="1"/>
  <c r="E422" i="3" a="1"/>
  <c r="E422" i="3" s="1"/>
  <c r="O422" i="3" s="1" a="1"/>
  <c r="O422" i="3" s="1"/>
  <c r="F422" i="3" a="1"/>
  <c r="F422" i="3" s="1"/>
  <c r="P422" i="3" s="1" a="1"/>
  <c r="P422" i="3" s="1"/>
  <c r="G422" i="3" a="1"/>
  <c r="G422" i="3" s="1"/>
  <c r="Q422" i="3" s="1" a="1"/>
  <c r="Q422" i="3" s="1"/>
  <c r="I422" i="3" a="1"/>
  <c r="I422" i="3" s="1"/>
  <c r="T422" i="3" s="1" a="1"/>
  <c r="T422" i="3" s="1"/>
  <c r="H422" i="3" a="1"/>
  <c r="H422" i="3" s="1"/>
  <c r="R422" i="3" s="1" a="1"/>
  <c r="R422" i="3" s="1"/>
  <c r="S422" i="3" s="1" a="1"/>
  <c r="S422" i="3" s="1"/>
  <c r="K422" i="3" a="1"/>
  <c r="K422" i="3" s="1"/>
  <c r="V422" i="3" s="1" a="1"/>
  <c r="V422" i="3" s="1"/>
  <c r="J422" i="3" a="1"/>
  <c r="J422" i="3" s="1"/>
  <c r="U422" i="3" s="1" a="1"/>
  <c r="U422" i="3" s="1"/>
  <c r="B429" i="3" a="1"/>
  <c r="B429" i="3" s="1"/>
  <c r="L429" i="3" s="1" a="1"/>
  <c r="L429" i="3" s="1"/>
  <c r="C429" i="3" a="1"/>
  <c r="C429" i="3" s="1"/>
  <c r="M429" i="3" s="1" a="1"/>
  <c r="M429" i="3" s="1"/>
  <c r="D429" i="3" a="1"/>
  <c r="D429" i="3" s="1"/>
  <c r="N429" i="3" s="1" a="1"/>
  <c r="N429" i="3" s="1"/>
  <c r="E429" i="3" a="1"/>
  <c r="E429" i="3" s="1"/>
  <c r="O429" i="3" s="1" a="1"/>
  <c r="O429" i="3" s="1"/>
  <c r="F429" i="3" a="1"/>
  <c r="F429" i="3" s="1"/>
  <c r="P429" i="3" s="1" a="1"/>
  <c r="P429" i="3" s="1"/>
  <c r="G429" i="3" a="1"/>
  <c r="G429" i="3" s="1"/>
  <c r="Q429" i="3" s="1" a="1"/>
  <c r="Q429" i="3" s="1"/>
  <c r="I429" i="3" a="1"/>
  <c r="I429" i="3" s="1"/>
  <c r="T429" i="3" s="1" a="1"/>
  <c r="T429" i="3" s="1"/>
  <c r="H429" i="3" a="1"/>
  <c r="H429" i="3" s="1"/>
  <c r="R429" i="3" s="1" a="1"/>
  <c r="R429" i="3" s="1"/>
  <c r="S429" i="3" s="1" a="1"/>
  <c r="S429" i="3" s="1"/>
  <c r="J429" i="3" a="1"/>
  <c r="J429" i="3" s="1"/>
  <c r="U429" i="3" s="1" a="1"/>
  <c r="U429" i="3" s="1"/>
  <c r="K429" i="3" a="1"/>
  <c r="K429" i="3" s="1"/>
  <c r="V429" i="3" s="1" a="1"/>
  <c r="V429" i="3" s="1"/>
  <c r="B436" i="3" a="1"/>
  <c r="B436" i="3" s="1"/>
  <c r="L436" i="3" s="1" a="1"/>
  <c r="L436" i="3" s="1"/>
  <c r="C436" i="3" a="1"/>
  <c r="C436" i="3" s="1"/>
  <c r="M436" i="3" s="1" a="1"/>
  <c r="M436" i="3" s="1"/>
  <c r="D436" i="3" a="1"/>
  <c r="D436" i="3" s="1"/>
  <c r="N436" i="3" s="1" a="1"/>
  <c r="N436" i="3" s="1"/>
  <c r="E436" i="3" a="1"/>
  <c r="E436" i="3" s="1"/>
  <c r="O436" i="3" s="1" a="1"/>
  <c r="O436" i="3" s="1"/>
  <c r="F436" i="3" a="1"/>
  <c r="F436" i="3" s="1"/>
  <c r="P436" i="3" s="1" a="1"/>
  <c r="P436" i="3" s="1"/>
  <c r="G436" i="3" a="1"/>
  <c r="G436" i="3" s="1"/>
  <c r="Q436" i="3" s="1" a="1"/>
  <c r="Q436" i="3" s="1"/>
  <c r="I436" i="3" a="1"/>
  <c r="I436" i="3" s="1"/>
  <c r="T436" i="3" s="1" a="1"/>
  <c r="T436" i="3" s="1"/>
  <c r="H436" i="3" a="1"/>
  <c r="H436" i="3" s="1"/>
  <c r="R436" i="3" s="1" a="1"/>
  <c r="R436" i="3" s="1"/>
  <c r="S436" i="3" s="1" a="1"/>
  <c r="S436" i="3" s="1"/>
  <c r="J436" i="3" a="1"/>
  <c r="J436" i="3" s="1"/>
  <c r="U436" i="3" s="1" a="1"/>
  <c r="U436" i="3" s="1"/>
  <c r="K436" i="3" a="1"/>
  <c r="K436" i="3" s="1"/>
  <c r="V436" i="3" s="1" a="1"/>
  <c r="V436" i="3" s="1"/>
  <c r="B432" i="3" a="1"/>
  <c r="B432" i="3" s="1"/>
  <c r="L432" i="3" s="1" a="1"/>
  <c r="L432" i="3" s="1"/>
  <c r="C432" i="3" a="1"/>
  <c r="C432" i="3" s="1"/>
  <c r="M432" i="3" s="1" a="1"/>
  <c r="M432" i="3" s="1"/>
  <c r="D432" i="3" a="1"/>
  <c r="D432" i="3" s="1"/>
  <c r="N432" i="3" s="1" a="1"/>
  <c r="N432" i="3" s="1"/>
  <c r="E432" i="3" a="1"/>
  <c r="E432" i="3" s="1"/>
  <c r="O432" i="3" s="1" a="1"/>
  <c r="O432" i="3" s="1"/>
  <c r="F432" i="3" a="1"/>
  <c r="F432" i="3" s="1"/>
  <c r="P432" i="3" s="1" a="1"/>
  <c r="P432" i="3" s="1"/>
  <c r="I432" i="3" a="1"/>
  <c r="I432" i="3" s="1"/>
  <c r="T432" i="3" s="1" a="1"/>
  <c r="T432" i="3" s="1"/>
  <c r="H432" i="3" a="1"/>
  <c r="H432" i="3" s="1"/>
  <c r="R432" i="3" s="1" a="1"/>
  <c r="R432" i="3" s="1"/>
  <c r="S432" i="3" s="1" a="1"/>
  <c r="S432" i="3" s="1"/>
  <c r="G432" i="3" a="1"/>
  <c r="G432" i="3" s="1"/>
  <c r="Q432" i="3" s="1" a="1"/>
  <c r="Q432" i="3" s="1"/>
  <c r="J432" i="3" a="1"/>
  <c r="J432" i="3" s="1"/>
  <c r="U432" i="3" s="1" a="1"/>
  <c r="U432" i="3" s="1"/>
  <c r="K432" i="3" a="1"/>
  <c r="K432" i="3" s="1"/>
  <c r="V432" i="3" s="1" a="1"/>
  <c r="V432" i="3" s="1"/>
  <c r="M433" i="1"/>
  <c r="M432" i="1"/>
  <c r="M417" i="1"/>
  <c r="M414" i="1"/>
  <c r="M408" i="1"/>
  <c r="M445" i="1" a="1"/>
  <c r="M463" i="1" a="1"/>
  <c r="M409" i="1" a="1"/>
  <c r="M454" i="1" a="1"/>
  <c r="M424" i="1" a="1"/>
  <c r="M412" i="1" a="1"/>
  <c r="M447" i="1" a="1"/>
  <c r="M462" i="1" a="1"/>
  <c r="M434" i="1" a="1"/>
  <c r="M457" i="1" a="1"/>
  <c r="M426" i="1" a="1"/>
  <c r="M494" i="1" a="1"/>
  <c r="M421" i="1" a="1"/>
  <c r="M466" i="1" a="1"/>
  <c r="M429" i="1" a="1"/>
  <c r="M427" i="1" a="1"/>
  <c r="M456" i="1" a="1"/>
  <c r="M451" i="1" a="1"/>
  <c r="M416" i="1" a="1"/>
  <c r="M425" i="1" a="1"/>
  <c r="M435" i="1" a="1"/>
  <c r="M406" i="1" a="1"/>
  <c r="M450" i="1" a="1"/>
  <c r="M482" i="1" a="1"/>
  <c r="M422" i="1" a="1"/>
  <c r="M410" i="1" a="1"/>
  <c r="M440" i="1" a="1"/>
  <c r="M431" i="1" a="1"/>
  <c r="M452" i="1" a="1"/>
  <c r="M436" i="1" a="1"/>
  <c r="M442" i="1" a="1"/>
  <c r="M449" i="1" a="1"/>
  <c r="M418" i="1" a="1"/>
  <c r="M419" i="1" a="1"/>
  <c r="M467" i="1" a="1"/>
  <c r="M443" i="1" a="1"/>
  <c r="M461" i="1" a="1"/>
  <c r="M413" i="1" a="1"/>
  <c r="M407" i="1" a="1"/>
  <c r="M428" i="1" a="1"/>
  <c r="M437" i="1" a="1"/>
  <c r="M439" i="1" a="1"/>
  <c r="M460" i="1" a="1"/>
  <c r="M459" i="1" a="1"/>
  <c r="M448" i="1" a="1"/>
  <c r="M415" i="1" a="1"/>
  <c r="M458" i="1" a="1"/>
  <c r="M411" i="1" a="1"/>
  <c r="M420" i="1" a="1"/>
  <c r="M465" i="1" a="1"/>
  <c r="M430" i="1" a="1"/>
  <c r="M444" i="1" a="1"/>
  <c r="M423" i="1" a="1"/>
  <c r="G499" i="3" l="1"/>
  <c r="Q499" i="3" s="1" a="1"/>
  <c r="Q499" i="3" s="1"/>
  <c r="J499" i="3"/>
  <c r="U499" i="3" a="1"/>
  <c r="U499" i="3" s="1"/>
  <c r="F496" i="3" a="1"/>
  <c r="F496" i="3" s="1"/>
  <c r="P496" i="3" s="1" a="1"/>
  <c r="P496" i="3" s="1"/>
  <c r="K498" i="3"/>
  <c r="V498" i="3" s="1" a="1"/>
  <c r="V498" i="3" s="1"/>
  <c r="H496" i="3" a="1"/>
  <c r="H496" i="3" s="1"/>
  <c r="R496" i="3" s="1" a="1"/>
  <c r="R496" i="3" s="1"/>
  <c r="S496" i="3" s="1" a="1"/>
  <c r="S496" i="3" s="1"/>
  <c r="G498" i="3"/>
  <c r="Q498" i="3" s="1" a="1"/>
  <c r="Q498" i="3" s="1"/>
  <c r="K496" i="3" a="1"/>
  <c r="K496" i="3" s="1"/>
  <c r="V496" i="3" s="1" a="1"/>
  <c r="V496" i="3" s="1"/>
  <c r="E496" i="3" a="1"/>
  <c r="E496" i="3" s="1"/>
  <c r="O496" i="3" s="1" a="1"/>
  <c r="O496" i="3" s="1"/>
  <c r="G496" i="3" a="1"/>
  <c r="G496" i="3" s="1"/>
  <c r="Q496" i="3" s="1" a="1"/>
  <c r="Q496" i="3" s="1"/>
  <c r="D496" i="3" a="1"/>
  <c r="D496" i="3" s="1"/>
  <c r="N496" i="3" s="1" a="1"/>
  <c r="N496" i="3" s="1"/>
  <c r="B496" i="3" a="1"/>
  <c r="B496" i="3" s="1"/>
  <c r="L496" i="3" s="1" a="1"/>
  <c r="L496" i="3" s="1"/>
  <c r="C496" i="3" a="1"/>
  <c r="C496" i="3" s="1"/>
  <c r="M496" i="3" s="1" a="1"/>
  <c r="M496" i="3" s="1"/>
  <c r="M494" i="1"/>
  <c r="J490" i="3" a="1"/>
  <c r="J490" i="3" s="1"/>
  <c r="U490" i="3" s="1" a="1"/>
  <c r="U490" i="3" s="1"/>
  <c r="C490" i="3" a="1"/>
  <c r="C490" i="3" s="1"/>
  <c r="M490" i="3" s="1" a="1"/>
  <c r="M490" i="3" s="1"/>
  <c r="E490" i="3" a="1"/>
  <c r="E490" i="3" s="1"/>
  <c r="O490" i="3" s="1" a="1"/>
  <c r="O490" i="3" s="1"/>
  <c r="G490" i="3" a="1"/>
  <c r="G490" i="3" s="1"/>
  <c r="Q490" i="3" s="1" a="1"/>
  <c r="Q490" i="3" s="1"/>
  <c r="K490" i="3" a="1"/>
  <c r="K490" i="3" s="1"/>
  <c r="V490" i="3" s="1" a="1"/>
  <c r="V490" i="3" s="1"/>
  <c r="C491" i="3" a="1"/>
  <c r="C491" i="3" s="1"/>
  <c r="M491" i="3" s="1" a="1"/>
  <c r="M491" i="3" s="1"/>
  <c r="J491" i="3" a="1"/>
  <c r="J491" i="3" s="1"/>
  <c r="U491" i="3" s="1" a="1"/>
  <c r="U491" i="3" s="1"/>
  <c r="E491" i="3" a="1"/>
  <c r="E491" i="3" s="1"/>
  <c r="O491" i="3" s="1" a="1"/>
  <c r="O491" i="3" s="1"/>
  <c r="H491" i="3" a="1"/>
  <c r="H491" i="3" s="1"/>
  <c r="R491" i="3" s="1" a="1"/>
  <c r="R491" i="3" s="1"/>
  <c r="S491" i="3" s="1" a="1"/>
  <c r="S491" i="3" s="1"/>
  <c r="B491" i="3" a="1"/>
  <c r="B491" i="3" s="1"/>
  <c r="L491" i="3" s="1" a="1"/>
  <c r="L491" i="3" s="1"/>
  <c r="I491" i="3" a="1"/>
  <c r="I491" i="3" s="1"/>
  <c r="T491" i="3" s="1" a="1"/>
  <c r="T491" i="3" s="1"/>
  <c r="F491" i="3" a="1"/>
  <c r="F491" i="3" s="1"/>
  <c r="P491" i="3" s="1" a="1"/>
  <c r="P491" i="3" s="1"/>
  <c r="G491" i="3" a="1"/>
  <c r="G491" i="3" s="1"/>
  <c r="Q491" i="3" s="1" a="1"/>
  <c r="Q491" i="3" s="1"/>
  <c r="D490" i="3" a="1"/>
  <c r="D490" i="3" s="1"/>
  <c r="N490" i="3" s="1" a="1"/>
  <c r="N490" i="3" s="1"/>
  <c r="F490" i="3" a="1"/>
  <c r="F490" i="3" s="1"/>
  <c r="P490" i="3" s="1" a="1"/>
  <c r="P490" i="3" s="1"/>
  <c r="H490" i="3" a="1"/>
  <c r="H490" i="3" s="1"/>
  <c r="R490" i="3" s="1" a="1"/>
  <c r="R490" i="3" s="1"/>
  <c r="S490" i="3" s="1" a="1"/>
  <c r="S490" i="3" s="1"/>
  <c r="I490" i="3" a="1"/>
  <c r="I490" i="3" s="1"/>
  <c r="T490" i="3" s="1" a="1"/>
  <c r="T490" i="3" s="1"/>
  <c r="M482" i="1"/>
  <c r="M467" i="1"/>
  <c r="M466" i="1"/>
  <c r="M465" i="1"/>
  <c r="M463" i="1"/>
  <c r="M462" i="1"/>
  <c r="M461" i="1"/>
  <c r="M460" i="1"/>
  <c r="M459" i="1"/>
  <c r="M458" i="1"/>
  <c r="M457" i="1"/>
  <c r="M456" i="1"/>
  <c r="M454" i="1"/>
  <c r="M452" i="1"/>
  <c r="M451" i="1"/>
  <c r="M450" i="1"/>
  <c r="M449" i="1"/>
  <c r="M448" i="1"/>
  <c r="M447" i="1"/>
  <c r="M445" i="1"/>
  <c r="M444" i="1"/>
  <c r="M443" i="1"/>
  <c r="M442" i="1"/>
  <c r="M440" i="1"/>
  <c r="M439" i="1"/>
  <c r="M437" i="1"/>
  <c r="M429" i="1"/>
  <c r="M422" i="1"/>
  <c r="M412" i="1"/>
  <c r="M406" i="1"/>
  <c r="M436" i="1"/>
  <c r="M409" i="1"/>
  <c r="M420" i="1"/>
  <c r="M411" i="1"/>
  <c r="M421" i="1"/>
  <c r="M416" i="1"/>
  <c r="M435" i="1"/>
  <c r="M428" i="1"/>
  <c r="M425" i="1"/>
  <c r="M415" i="1"/>
  <c r="M410" i="1"/>
  <c r="M427" i="1"/>
  <c r="M418" i="1"/>
  <c r="M430" i="1"/>
  <c r="M407" i="1"/>
  <c r="M413" i="1"/>
  <c r="M424" i="1"/>
  <c r="M419" i="1"/>
  <c r="M434" i="1"/>
  <c r="M423" i="1"/>
  <c r="M426" i="1"/>
  <c r="M431" i="1"/>
  <c r="L400" i="1"/>
  <c r="A400" i="3" s="1"/>
  <c r="L401" i="1"/>
  <c r="A401" i="3" s="1"/>
  <c r="L402" i="1"/>
  <c r="A402" i="3" s="1"/>
  <c r="L403" i="1"/>
  <c r="A403" i="3" s="1"/>
  <c r="L404" i="1"/>
  <c r="A404" i="3" s="1"/>
  <c r="L405" i="1"/>
  <c r="A405" i="3" s="1"/>
  <c r="B383" i="6"/>
  <c r="H383" i="1" s="1"/>
  <c r="AC383" i="3" s="1"/>
  <c r="B384" i="6"/>
  <c r="H384" i="1" s="1"/>
  <c r="AC384" i="3" s="1"/>
  <c r="B385" i="6"/>
  <c r="H385" i="1" s="1"/>
  <c r="AC385" i="3" s="1"/>
  <c r="B386" i="6"/>
  <c r="H386" i="1" s="1"/>
  <c r="AC386" i="3" s="1"/>
  <c r="B387" i="6"/>
  <c r="H387" i="1" s="1"/>
  <c r="AC387" i="3" s="1"/>
  <c r="B388" i="6"/>
  <c r="H388" i="1" s="1"/>
  <c r="AC388" i="3" s="1"/>
  <c r="B389" i="6"/>
  <c r="H389" i="1" s="1"/>
  <c r="AC389" i="3" s="1"/>
  <c r="B390" i="6"/>
  <c r="H390" i="1" s="1"/>
  <c r="AC390" i="3" s="1"/>
  <c r="B391" i="6"/>
  <c r="H391" i="1" s="1"/>
  <c r="AC391" i="3" s="1"/>
  <c r="B392" i="6"/>
  <c r="H392" i="1" s="1"/>
  <c r="AC392" i="3" s="1"/>
  <c r="B393" i="6"/>
  <c r="H393" i="1" s="1"/>
  <c r="AC393" i="3" s="1"/>
  <c r="B394" i="6"/>
  <c r="H394" i="1" s="1"/>
  <c r="AC394" i="3" s="1"/>
  <c r="B395" i="6"/>
  <c r="H395" i="1" s="1"/>
  <c r="AC395" i="3" s="1"/>
  <c r="B396" i="6"/>
  <c r="H396" i="1" s="1"/>
  <c r="AC396" i="3" s="1"/>
  <c r="B397" i="6"/>
  <c r="H397" i="1" s="1"/>
  <c r="AC397" i="3" s="1"/>
  <c r="B398" i="6"/>
  <c r="H398" i="1" s="1"/>
  <c r="AC398" i="3" s="1"/>
  <c r="B399" i="6"/>
  <c r="H399" i="1" s="1"/>
  <c r="AC399" i="3" s="1"/>
  <c r="M403" i="1" a="1"/>
  <c r="B401" i="3" l="1" a="1"/>
  <c r="B401" i="3" s="1"/>
  <c r="L401" i="3" s="1" a="1"/>
  <c r="L401" i="3" s="1"/>
  <c r="C401" i="3" a="1"/>
  <c r="C401" i="3" s="1"/>
  <c r="M401" i="3" s="1" a="1"/>
  <c r="M401" i="3" s="1"/>
  <c r="D401" i="3" a="1"/>
  <c r="D401" i="3" s="1"/>
  <c r="N401" i="3" s="1" a="1"/>
  <c r="N401" i="3" s="1"/>
  <c r="E401" i="3" a="1"/>
  <c r="E401" i="3" s="1"/>
  <c r="O401" i="3" s="1" a="1"/>
  <c r="O401" i="3" s="1"/>
  <c r="F401" i="3" a="1"/>
  <c r="F401" i="3" s="1"/>
  <c r="P401" i="3" s="1" a="1"/>
  <c r="P401" i="3" s="1"/>
  <c r="G401" i="3" a="1"/>
  <c r="G401" i="3" s="1"/>
  <c r="Q401" i="3" s="1" a="1"/>
  <c r="Q401" i="3" s="1"/>
  <c r="I401" i="3" a="1"/>
  <c r="I401" i="3" s="1"/>
  <c r="T401" i="3" s="1" a="1"/>
  <c r="T401" i="3" s="1"/>
  <c r="H401" i="3" a="1"/>
  <c r="H401" i="3" s="1"/>
  <c r="R401" i="3" s="1" a="1"/>
  <c r="R401" i="3" s="1"/>
  <c r="S401" i="3" s="1" a="1"/>
  <c r="S401" i="3" s="1"/>
  <c r="K401" i="3" a="1"/>
  <c r="K401" i="3" s="1"/>
  <c r="V401" i="3" s="1" a="1"/>
  <c r="V401" i="3" s="1"/>
  <c r="J401" i="3" a="1"/>
  <c r="J401" i="3" s="1"/>
  <c r="U401" i="3" s="1" a="1"/>
  <c r="U401" i="3" s="1"/>
  <c r="B403" i="3" a="1"/>
  <c r="B403" i="3" s="1"/>
  <c r="L403" i="3" s="1" a="1"/>
  <c r="L403" i="3" s="1"/>
  <c r="C403" i="3" a="1"/>
  <c r="C403" i="3" s="1"/>
  <c r="M403" i="3" s="1" a="1"/>
  <c r="M403" i="3" s="1"/>
  <c r="D403" i="3" a="1"/>
  <c r="D403" i="3" s="1"/>
  <c r="N403" i="3" s="1" a="1"/>
  <c r="N403" i="3" s="1"/>
  <c r="F403" i="3" a="1"/>
  <c r="F403" i="3" s="1"/>
  <c r="P403" i="3" s="1" a="1"/>
  <c r="P403" i="3" s="1"/>
  <c r="E403" i="3" a="1"/>
  <c r="E403" i="3" s="1"/>
  <c r="O403" i="3" s="1" a="1"/>
  <c r="O403" i="3" s="1"/>
  <c r="G403" i="3" a="1"/>
  <c r="G403" i="3" s="1"/>
  <c r="Q403" i="3" s="1" a="1"/>
  <c r="Q403" i="3" s="1"/>
  <c r="H403" i="3" a="1"/>
  <c r="H403" i="3" s="1"/>
  <c r="R403" i="3" s="1" a="1"/>
  <c r="R403" i="3" s="1"/>
  <c r="S403" i="3" s="1" a="1"/>
  <c r="S403" i="3" s="1"/>
  <c r="I403" i="3" a="1"/>
  <c r="I403" i="3" s="1"/>
  <c r="T403" i="3" s="1" a="1"/>
  <c r="T403" i="3" s="1"/>
  <c r="J403" i="3" a="1"/>
  <c r="J403" i="3" s="1"/>
  <c r="U403" i="3" s="1" a="1"/>
  <c r="U403" i="3" s="1"/>
  <c r="K403" i="3" a="1"/>
  <c r="K403" i="3" s="1"/>
  <c r="V403" i="3" s="1" a="1"/>
  <c r="V403" i="3" s="1"/>
  <c r="B405" i="3" a="1"/>
  <c r="B405" i="3" s="1"/>
  <c r="L405" i="3" s="1" a="1"/>
  <c r="L405" i="3" s="1"/>
  <c r="C405" i="3" a="1"/>
  <c r="C405" i="3" s="1"/>
  <c r="M405" i="3" s="1" a="1"/>
  <c r="M405" i="3" s="1"/>
  <c r="D405" i="3" a="1"/>
  <c r="D405" i="3" s="1"/>
  <c r="N405" i="3" s="1" a="1"/>
  <c r="N405" i="3" s="1"/>
  <c r="E405" i="3" a="1"/>
  <c r="E405" i="3" s="1"/>
  <c r="O405" i="3" s="1" a="1"/>
  <c r="O405" i="3" s="1"/>
  <c r="F405" i="3" a="1"/>
  <c r="F405" i="3" s="1"/>
  <c r="P405" i="3" s="1" a="1"/>
  <c r="P405" i="3" s="1"/>
  <c r="G405" i="3" a="1"/>
  <c r="G405" i="3" s="1"/>
  <c r="Q405" i="3" s="1" a="1"/>
  <c r="Q405" i="3" s="1"/>
  <c r="I405" i="3" a="1"/>
  <c r="I405" i="3" s="1"/>
  <c r="T405" i="3" s="1" a="1"/>
  <c r="T405" i="3" s="1"/>
  <c r="H405" i="3" a="1"/>
  <c r="H405" i="3" s="1"/>
  <c r="R405" i="3" s="1" a="1"/>
  <c r="R405" i="3" s="1"/>
  <c r="S405" i="3" s="1" a="1"/>
  <c r="S405" i="3" s="1"/>
  <c r="J405" i="3" a="1"/>
  <c r="J405" i="3" s="1"/>
  <c r="U405" i="3" s="1" a="1"/>
  <c r="U405" i="3" s="1"/>
  <c r="K405" i="3" a="1"/>
  <c r="K405" i="3" s="1"/>
  <c r="V405" i="3" s="1" a="1"/>
  <c r="V405" i="3" s="1"/>
  <c r="B404" i="3" a="1"/>
  <c r="B404" i="3" s="1"/>
  <c r="L404" i="3" s="1" a="1"/>
  <c r="L404" i="3" s="1"/>
  <c r="C404" i="3" a="1"/>
  <c r="C404" i="3" s="1"/>
  <c r="M404" i="3" s="1" a="1"/>
  <c r="M404" i="3" s="1"/>
  <c r="D404" i="3" a="1"/>
  <c r="D404" i="3" s="1"/>
  <c r="N404" i="3" s="1" a="1"/>
  <c r="N404" i="3" s="1"/>
  <c r="E404" i="3" a="1"/>
  <c r="E404" i="3" s="1"/>
  <c r="O404" i="3" s="1" a="1"/>
  <c r="O404" i="3" s="1"/>
  <c r="F404" i="3" a="1"/>
  <c r="F404" i="3" s="1"/>
  <c r="P404" i="3" s="1" a="1"/>
  <c r="P404" i="3" s="1"/>
  <c r="G404" i="3" a="1"/>
  <c r="G404" i="3" s="1"/>
  <c r="Q404" i="3" s="1" a="1"/>
  <c r="Q404" i="3" s="1"/>
  <c r="I404" i="3" a="1"/>
  <c r="I404" i="3" s="1"/>
  <c r="T404" i="3" s="1" a="1"/>
  <c r="T404" i="3" s="1"/>
  <c r="H404" i="3" a="1"/>
  <c r="H404" i="3" s="1"/>
  <c r="R404" i="3" s="1" a="1"/>
  <c r="R404" i="3" s="1"/>
  <c r="S404" i="3" s="1" a="1"/>
  <c r="S404" i="3" s="1"/>
  <c r="J404" i="3" a="1"/>
  <c r="J404" i="3" s="1"/>
  <c r="U404" i="3" s="1" a="1"/>
  <c r="U404" i="3" s="1"/>
  <c r="K404" i="3" a="1"/>
  <c r="K404" i="3" s="1"/>
  <c r="V404" i="3" s="1" a="1"/>
  <c r="V404" i="3" s="1"/>
  <c r="B400" i="3" a="1"/>
  <c r="B400" i="3" s="1"/>
  <c r="L400" i="3" s="1" a="1"/>
  <c r="L400" i="3" s="1"/>
  <c r="C400" i="3" a="1"/>
  <c r="C400" i="3" s="1"/>
  <c r="M400" i="3" s="1" a="1"/>
  <c r="M400" i="3" s="1"/>
  <c r="D400" i="3" a="1"/>
  <c r="D400" i="3" s="1"/>
  <c r="N400" i="3" s="1" a="1"/>
  <c r="N400" i="3" s="1"/>
  <c r="E400" i="3" a="1"/>
  <c r="E400" i="3" s="1"/>
  <c r="O400" i="3" s="1" a="1"/>
  <c r="O400" i="3" s="1"/>
  <c r="F400" i="3" a="1"/>
  <c r="F400" i="3" s="1"/>
  <c r="P400" i="3" s="1" a="1"/>
  <c r="P400" i="3" s="1"/>
  <c r="I400" i="3" a="1"/>
  <c r="I400" i="3" s="1"/>
  <c r="T400" i="3" s="1" a="1"/>
  <c r="T400" i="3" s="1"/>
  <c r="H400" i="3" a="1"/>
  <c r="H400" i="3" s="1"/>
  <c r="R400" i="3" s="1" a="1"/>
  <c r="R400" i="3" s="1"/>
  <c r="S400" i="3" s="1" a="1"/>
  <c r="S400" i="3" s="1"/>
  <c r="G400" i="3" a="1"/>
  <c r="G400" i="3" s="1"/>
  <c r="Q400" i="3" s="1" a="1"/>
  <c r="Q400" i="3" s="1"/>
  <c r="J400" i="3" a="1"/>
  <c r="J400" i="3" s="1"/>
  <c r="U400" i="3" s="1" a="1"/>
  <c r="U400" i="3" s="1"/>
  <c r="K400" i="3" a="1"/>
  <c r="K400" i="3" s="1"/>
  <c r="V400" i="3" s="1" a="1"/>
  <c r="V400" i="3" s="1"/>
  <c r="B402" i="3" a="1"/>
  <c r="B402" i="3" s="1"/>
  <c r="L402" i="3" s="1" a="1"/>
  <c r="L402" i="3" s="1"/>
  <c r="C402" i="3" a="1"/>
  <c r="C402" i="3" s="1"/>
  <c r="M402" i="3" s="1" a="1"/>
  <c r="M402" i="3" s="1"/>
  <c r="D402" i="3" a="1"/>
  <c r="D402" i="3" s="1"/>
  <c r="N402" i="3" s="1" a="1"/>
  <c r="N402" i="3" s="1"/>
  <c r="E402" i="3" a="1"/>
  <c r="E402" i="3" s="1"/>
  <c r="O402" i="3" s="1" a="1"/>
  <c r="O402" i="3" s="1"/>
  <c r="F402" i="3" a="1"/>
  <c r="F402" i="3" s="1"/>
  <c r="P402" i="3" s="1" a="1"/>
  <c r="P402" i="3" s="1"/>
  <c r="I402" i="3" a="1"/>
  <c r="I402" i="3" s="1"/>
  <c r="T402" i="3" s="1" a="1"/>
  <c r="T402" i="3" s="1"/>
  <c r="G402" i="3" a="1"/>
  <c r="G402" i="3" s="1"/>
  <c r="Q402" i="3" s="1" a="1"/>
  <c r="Q402" i="3" s="1"/>
  <c r="H402" i="3" a="1"/>
  <c r="H402" i="3" s="1"/>
  <c r="R402" i="3" s="1" a="1"/>
  <c r="R402" i="3" s="1"/>
  <c r="S402" i="3" s="1" a="1"/>
  <c r="S402" i="3" s="1"/>
  <c r="K402" i="3" a="1"/>
  <c r="K402" i="3" s="1"/>
  <c r="V402" i="3" s="1" a="1"/>
  <c r="V402" i="3" s="1"/>
  <c r="J402" i="3" a="1"/>
  <c r="J402" i="3" s="1"/>
  <c r="U402" i="3" s="1" a="1"/>
  <c r="U402" i="3" s="1"/>
  <c r="M403" i="1"/>
  <c r="L392" i="1"/>
  <c r="A392" i="3" s="1"/>
  <c r="L393" i="1"/>
  <c r="A393" i="3" s="1"/>
  <c r="L394" i="1"/>
  <c r="A394" i="3" s="1"/>
  <c r="L395" i="1"/>
  <c r="A395" i="3" s="1"/>
  <c r="L396" i="1"/>
  <c r="A396" i="3" s="1"/>
  <c r="L397" i="1"/>
  <c r="A397" i="3" s="1"/>
  <c r="L398" i="1"/>
  <c r="A398" i="3" s="1"/>
  <c r="L399" i="1"/>
  <c r="A399" i="3" s="1"/>
  <c r="L391" i="1"/>
  <c r="A391" i="3" s="1"/>
  <c r="L383" i="1"/>
  <c r="A383" i="3" s="1"/>
  <c r="L384" i="1"/>
  <c r="A384" i="3" s="1"/>
  <c r="L385" i="1"/>
  <c r="A385" i="3" s="1"/>
  <c r="L386" i="1"/>
  <c r="A386" i="3" s="1"/>
  <c r="L387" i="1"/>
  <c r="A387" i="3" s="1"/>
  <c r="L388" i="1"/>
  <c r="A388" i="3" s="1"/>
  <c r="L389" i="1"/>
  <c r="A389" i="3" s="1"/>
  <c r="L390" i="1"/>
  <c r="A390" i="3" s="1"/>
  <c r="E3" i="11"/>
  <c r="M400" i="1" a="1"/>
  <c r="M398" i="1" a="1"/>
  <c r="M405" i="1" a="1"/>
  <c r="M401" i="1" a="1"/>
  <c r="M402" i="1" a="1"/>
  <c r="M388" i="1" a="1"/>
  <c r="M404" i="1" a="1"/>
  <c r="M402" i="1" l="1"/>
  <c r="M405" i="1"/>
  <c r="M401" i="1"/>
  <c r="B387" i="3" a="1"/>
  <c r="B387" i="3" s="1"/>
  <c r="L387" i="3" s="1" a="1"/>
  <c r="L387" i="3" s="1"/>
  <c r="C387" i="3" a="1"/>
  <c r="C387" i="3" s="1"/>
  <c r="M387" i="3" s="1" a="1"/>
  <c r="M387" i="3" s="1"/>
  <c r="D387" i="3" a="1"/>
  <c r="D387" i="3" s="1"/>
  <c r="N387" i="3" s="1" a="1"/>
  <c r="N387" i="3" s="1"/>
  <c r="F387" i="3" a="1"/>
  <c r="F387" i="3" s="1"/>
  <c r="P387" i="3" s="1" a="1"/>
  <c r="P387" i="3" s="1"/>
  <c r="E387" i="3" a="1"/>
  <c r="E387" i="3" s="1"/>
  <c r="O387" i="3" s="1" a="1"/>
  <c r="O387" i="3" s="1"/>
  <c r="G387" i="3" a="1"/>
  <c r="G387" i="3" s="1"/>
  <c r="Q387" i="3" s="1" a="1"/>
  <c r="Q387" i="3" s="1"/>
  <c r="H387" i="3" a="1"/>
  <c r="H387" i="3" s="1"/>
  <c r="R387" i="3" s="1" a="1"/>
  <c r="R387" i="3" s="1"/>
  <c r="S387" i="3" s="1" a="1"/>
  <c r="S387" i="3" s="1"/>
  <c r="I387" i="3" a="1"/>
  <c r="I387" i="3" s="1"/>
  <c r="T387" i="3" s="1" a="1"/>
  <c r="T387" i="3" s="1"/>
  <c r="J387" i="3" a="1"/>
  <c r="J387" i="3" s="1"/>
  <c r="U387" i="3" s="1" a="1"/>
  <c r="U387" i="3" s="1"/>
  <c r="K387" i="3" a="1"/>
  <c r="K387" i="3" s="1"/>
  <c r="V387" i="3" s="1" a="1"/>
  <c r="V387" i="3" s="1"/>
  <c r="B397" i="3" a="1"/>
  <c r="B397" i="3" s="1"/>
  <c r="L397" i="3" s="1" a="1"/>
  <c r="L397" i="3" s="1"/>
  <c r="C397" i="3" a="1"/>
  <c r="C397" i="3" s="1"/>
  <c r="M397" i="3" s="1" a="1"/>
  <c r="M397" i="3" s="1"/>
  <c r="D397" i="3" a="1"/>
  <c r="D397" i="3" s="1"/>
  <c r="N397" i="3" s="1" a="1"/>
  <c r="N397" i="3" s="1"/>
  <c r="E397" i="3" a="1"/>
  <c r="E397" i="3" s="1"/>
  <c r="O397" i="3" s="1" a="1"/>
  <c r="O397" i="3" s="1"/>
  <c r="F397" i="3" a="1"/>
  <c r="F397" i="3" s="1"/>
  <c r="P397" i="3" s="1" a="1"/>
  <c r="P397" i="3" s="1"/>
  <c r="G397" i="3" a="1"/>
  <c r="G397" i="3" s="1"/>
  <c r="Q397" i="3" s="1" a="1"/>
  <c r="Q397" i="3" s="1"/>
  <c r="I397" i="3" a="1"/>
  <c r="I397" i="3" s="1"/>
  <c r="T397" i="3" s="1" a="1"/>
  <c r="T397" i="3" s="1"/>
  <c r="H397" i="3" a="1"/>
  <c r="H397" i="3" s="1"/>
  <c r="R397" i="3" s="1" a="1"/>
  <c r="R397" i="3" s="1"/>
  <c r="S397" i="3" s="1" a="1"/>
  <c r="S397" i="3" s="1"/>
  <c r="J397" i="3" a="1"/>
  <c r="J397" i="3" s="1"/>
  <c r="U397" i="3" s="1" a="1"/>
  <c r="U397" i="3" s="1"/>
  <c r="K397" i="3" a="1"/>
  <c r="K397" i="3" s="1"/>
  <c r="V397" i="3" s="1" a="1"/>
  <c r="V397" i="3" s="1"/>
  <c r="B386" i="3" a="1"/>
  <c r="B386" i="3" s="1"/>
  <c r="L386" i="3" s="1" a="1"/>
  <c r="L386" i="3" s="1"/>
  <c r="C386" i="3" a="1"/>
  <c r="C386" i="3" s="1"/>
  <c r="M386" i="3" s="1" a="1"/>
  <c r="M386" i="3" s="1"/>
  <c r="D386" i="3" a="1"/>
  <c r="D386" i="3" s="1"/>
  <c r="N386" i="3" s="1" a="1"/>
  <c r="N386" i="3" s="1"/>
  <c r="E386" i="3" a="1"/>
  <c r="E386" i="3" s="1"/>
  <c r="O386" i="3" s="1" a="1"/>
  <c r="O386" i="3" s="1"/>
  <c r="F386" i="3" a="1"/>
  <c r="F386" i="3" s="1"/>
  <c r="P386" i="3" s="1" a="1"/>
  <c r="P386" i="3" s="1"/>
  <c r="I386" i="3" a="1"/>
  <c r="I386" i="3" s="1"/>
  <c r="T386" i="3" s="1" a="1"/>
  <c r="T386" i="3" s="1"/>
  <c r="G386" i="3" a="1"/>
  <c r="G386" i="3" s="1"/>
  <c r="Q386" i="3" s="1" a="1"/>
  <c r="Q386" i="3" s="1"/>
  <c r="H386" i="3" a="1"/>
  <c r="H386" i="3" s="1"/>
  <c r="R386" i="3" s="1" a="1"/>
  <c r="R386" i="3" s="1"/>
  <c r="S386" i="3" s="1" a="1"/>
  <c r="S386" i="3" s="1"/>
  <c r="K386" i="3" a="1"/>
  <c r="K386" i="3" s="1"/>
  <c r="V386" i="3" s="1" a="1"/>
  <c r="V386" i="3" s="1"/>
  <c r="J386" i="3" a="1"/>
  <c r="J386" i="3" s="1"/>
  <c r="U386" i="3" s="1" a="1"/>
  <c r="U386" i="3" s="1"/>
  <c r="B396" i="3" a="1"/>
  <c r="B396" i="3" s="1"/>
  <c r="L396" i="3" s="1" a="1"/>
  <c r="L396" i="3" s="1"/>
  <c r="C396" i="3" a="1"/>
  <c r="C396" i="3" s="1"/>
  <c r="M396" i="3" s="1" a="1"/>
  <c r="M396" i="3" s="1"/>
  <c r="D396" i="3" a="1"/>
  <c r="D396" i="3" s="1"/>
  <c r="N396" i="3" s="1" a="1"/>
  <c r="N396" i="3" s="1"/>
  <c r="E396" i="3" a="1"/>
  <c r="E396" i="3" s="1"/>
  <c r="O396" i="3" s="1" a="1"/>
  <c r="O396" i="3" s="1"/>
  <c r="F396" i="3" a="1"/>
  <c r="F396" i="3" s="1"/>
  <c r="P396" i="3" s="1" a="1"/>
  <c r="P396" i="3" s="1"/>
  <c r="G396" i="3" a="1"/>
  <c r="G396" i="3" s="1"/>
  <c r="Q396" i="3" s="1" a="1"/>
  <c r="Q396" i="3" s="1"/>
  <c r="I396" i="3" a="1"/>
  <c r="I396" i="3" s="1"/>
  <c r="T396" i="3" s="1" a="1"/>
  <c r="T396" i="3" s="1"/>
  <c r="H396" i="3" a="1"/>
  <c r="H396" i="3" s="1"/>
  <c r="R396" i="3" s="1" a="1"/>
  <c r="R396" i="3" s="1"/>
  <c r="S396" i="3" s="1" a="1"/>
  <c r="S396" i="3" s="1"/>
  <c r="J396" i="3" a="1"/>
  <c r="J396" i="3" s="1"/>
  <c r="U396" i="3" s="1" a="1"/>
  <c r="U396" i="3" s="1"/>
  <c r="K396" i="3" a="1"/>
  <c r="K396" i="3" s="1"/>
  <c r="V396" i="3" s="1" a="1"/>
  <c r="V396" i="3" s="1"/>
  <c r="B389" i="3" a="1"/>
  <c r="B389" i="3" s="1"/>
  <c r="L389" i="3" s="1" a="1"/>
  <c r="L389" i="3" s="1"/>
  <c r="C389" i="3" a="1"/>
  <c r="C389" i="3" s="1"/>
  <c r="M389" i="3" s="1" a="1"/>
  <c r="M389" i="3" s="1"/>
  <c r="D389" i="3" a="1"/>
  <c r="D389" i="3" s="1"/>
  <c r="N389" i="3" s="1" a="1"/>
  <c r="N389" i="3" s="1"/>
  <c r="E389" i="3" a="1"/>
  <c r="E389" i="3" s="1"/>
  <c r="O389" i="3" s="1" a="1"/>
  <c r="O389" i="3" s="1"/>
  <c r="F389" i="3" a="1"/>
  <c r="F389" i="3" s="1"/>
  <c r="P389" i="3" s="1" a="1"/>
  <c r="P389" i="3" s="1"/>
  <c r="G389" i="3" a="1"/>
  <c r="G389" i="3" s="1"/>
  <c r="Q389" i="3" s="1" a="1"/>
  <c r="Q389" i="3" s="1"/>
  <c r="I389" i="3" a="1"/>
  <c r="I389" i="3" s="1"/>
  <c r="T389" i="3" s="1" a="1"/>
  <c r="T389" i="3" s="1"/>
  <c r="H389" i="3" a="1"/>
  <c r="H389" i="3" s="1"/>
  <c r="R389" i="3" s="1" a="1"/>
  <c r="R389" i="3" s="1"/>
  <c r="S389" i="3" s="1" a="1"/>
  <c r="S389" i="3" s="1"/>
  <c r="J389" i="3" a="1"/>
  <c r="J389" i="3" s="1"/>
  <c r="U389" i="3" s="1" a="1"/>
  <c r="U389" i="3" s="1"/>
  <c r="K389" i="3" a="1"/>
  <c r="K389" i="3" s="1"/>
  <c r="V389" i="3" s="1" a="1"/>
  <c r="V389" i="3" s="1"/>
  <c r="B399" i="3" a="1"/>
  <c r="B399" i="3" s="1"/>
  <c r="L399" i="3" s="1" a="1"/>
  <c r="L399" i="3" s="1"/>
  <c r="C399" i="3" a="1"/>
  <c r="C399" i="3" s="1"/>
  <c r="M399" i="3" s="1" a="1"/>
  <c r="M399" i="3" s="1"/>
  <c r="D399" i="3" a="1"/>
  <c r="D399" i="3" s="1"/>
  <c r="N399" i="3" s="1" a="1"/>
  <c r="N399" i="3" s="1"/>
  <c r="F399" i="3" a="1"/>
  <c r="F399" i="3" s="1"/>
  <c r="P399" i="3" s="1" a="1"/>
  <c r="P399" i="3" s="1"/>
  <c r="E399" i="3" a="1"/>
  <c r="E399" i="3" s="1"/>
  <c r="O399" i="3" s="1" a="1"/>
  <c r="O399" i="3" s="1"/>
  <c r="G399" i="3" a="1"/>
  <c r="G399" i="3" s="1"/>
  <c r="Q399" i="3" s="1" a="1"/>
  <c r="Q399" i="3" s="1"/>
  <c r="H399" i="3" a="1"/>
  <c r="H399" i="3" s="1"/>
  <c r="R399" i="3" s="1" a="1"/>
  <c r="R399" i="3" s="1"/>
  <c r="S399" i="3" s="1" a="1"/>
  <c r="S399" i="3" s="1"/>
  <c r="I399" i="3" a="1"/>
  <c r="I399" i="3" s="1"/>
  <c r="T399" i="3" s="1" a="1"/>
  <c r="T399" i="3" s="1"/>
  <c r="J399" i="3" a="1"/>
  <c r="J399" i="3" s="1"/>
  <c r="U399" i="3" s="1" a="1"/>
  <c r="U399" i="3" s="1"/>
  <c r="K399" i="3" a="1"/>
  <c r="K399" i="3" s="1"/>
  <c r="V399" i="3" s="1" a="1"/>
  <c r="V399" i="3" s="1"/>
  <c r="B383" i="3" a="1"/>
  <c r="B383" i="3" s="1"/>
  <c r="L383" i="3" s="1" a="1"/>
  <c r="L383" i="3" s="1"/>
  <c r="C383" i="3" a="1"/>
  <c r="C383" i="3" s="1"/>
  <c r="M383" i="3" s="1" a="1"/>
  <c r="M383" i="3" s="1"/>
  <c r="D383" i="3" a="1"/>
  <c r="D383" i="3" s="1"/>
  <c r="N383" i="3" s="1" a="1"/>
  <c r="N383" i="3" s="1"/>
  <c r="F383" i="3" a="1"/>
  <c r="F383" i="3" s="1"/>
  <c r="P383" i="3" s="1" a="1"/>
  <c r="P383" i="3" s="1"/>
  <c r="E383" i="3" a="1"/>
  <c r="E383" i="3" s="1"/>
  <c r="O383" i="3" s="1" a="1"/>
  <c r="O383" i="3" s="1"/>
  <c r="G383" i="3" a="1"/>
  <c r="G383" i="3" s="1"/>
  <c r="Q383" i="3" s="1" a="1"/>
  <c r="Q383" i="3" s="1"/>
  <c r="H383" i="3" a="1"/>
  <c r="H383" i="3" s="1"/>
  <c r="R383" i="3" s="1" a="1"/>
  <c r="R383" i="3" s="1"/>
  <c r="S383" i="3" s="1" a="1"/>
  <c r="S383" i="3" s="1"/>
  <c r="I383" i="3" a="1"/>
  <c r="I383" i="3" s="1"/>
  <c r="T383" i="3" s="1" a="1"/>
  <c r="T383" i="3" s="1"/>
  <c r="J383" i="3" a="1"/>
  <c r="J383" i="3" s="1"/>
  <c r="U383" i="3" s="1" a="1"/>
  <c r="U383" i="3" s="1"/>
  <c r="K383" i="3" a="1"/>
  <c r="K383" i="3" s="1"/>
  <c r="V383" i="3" s="1" a="1"/>
  <c r="V383" i="3" s="1"/>
  <c r="B393" i="3" a="1"/>
  <c r="B393" i="3" s="1"/>
  <c r="L393" i="3" s="1" a="1"/>
  <c r="L393" i="3" s="1"/>
  <c r="C393" i="3" a="1"/>
  <c r="C393" i="3" s="1"/>
  <c r="M393" i="3" s="1" a="1"/>
  <c r="M393" i="3" s="1"/>
  <c r="D393" i="3" a="1"/>
  <c r="D393" i="3" s="1"/>
  <c r="N393" i="3" s="1" a="1"/>
  <c r="N393" i="3" s="1"/>
  <c r="E393" i="3" a="1"/>
  <c r="E393" i="3" s="1"/>
  <c r="O393" i="3" s="1" a="1"/>
  <c r="O393" i="3" s="1"/>
  <c r="F393" i="3" a="1"/>
  <c r="F393" i="3" s="1"/>
  <c r="P393" i="3" s="1" a="1"/>
  <c r="P393" i="3" s="1"/>
  <c r="G393" i="3" a="1"/>
  <c r="G393" i="3" s="1"/>
  <c r="Q393" i="3" s="1" a="1"/>
  <c r="Q393" i="3" s="1"/>
  <c r="I393" i="3" a="1"/>
  <c r="I393" i="3" s="1"/>
  <c r="T393" i="3" s="1" a="1"/>
  <c r="T393" i="3" s="1"/>
  <c r="H393" i="3" a="1"/>
  <c r="H393" i="3" s="1"/>
  <c r="R393" i="3" s="1" a="1"/>
  <c r="R393" i="3" s="1"/>
  <c r="S393" i="3" s="1" a="1"/>
  <c r="S393" i="3" s="1"/>
  <c r="K393" i="3" a="1"/>
  <c r="K393" i="3" s="1"/>
  <c r="V393" i="3" s="1" a="1"/>
  <c r="V393" i="3" s="1"/>
  <c r="J393" i="3" a="1"/>
  <c r="J393" i="3" s="1"/>
  <c r="U393" i="3" s="1" a="1"/>
  <c r="U393" i="3" s="1"/>
  <c r="B390" i="3" a="1"/>
  <c r="B390" i="3" s="1"/>
  <c r="L390" i="3" s="1" a="1"/>
  <c r="L390" i="3" s="1"/>
  <c r="C390" i="3" a="1"/>
  <c r="C390" i="3" s="1"/>
  <c r="M390" i="3" s="1" a="1"/>
  <c r="M390" i="3" s="1"/>
  <c r="D390" i="3" a="1"/>
  <c r="D390" i="3" s="1"/>
  <c r="N390" i="3" s="1" a="1"/>
  <c r="N390" i="3" s="1"/>
  <c r="E390" i="3" a="1"/>
  <c r="E390" i="3" s="1"/>
  <c r="O390" i="3" s="1" a="1"/>
  <c r="O390" i="3" s="1"/>
  <c r="F390" i="3" a="1"/>
  <c r="F390" i="3" s="1"/>
  <c r="P390" i="3" s="1" a="1"/>
  <c r="P390" i="3" s="1"/>
  <c r="G390" i="3" a="1"/>
  <c r="G390" i="3" s="1"/>
  <c r="Q390" i="3" s="1" a="1"/>
  <c r="Q390" i="3" s="1"/>
  <c r="I390" i="3" a="1"/>
  <c r="I390" i="3" s="1"/>
  <c r="T390" i="3" s="1" a="1"/>
  <c r="T390" i="3" s="1"/>
  <c r="H390" i="3" a="1"/>
  <c r="H390" i="3" s="1"/>
  <c r="R390" i="3" s="1" a="1"/>
  <c r="R390" i="3" s="1"/>
  <c r="S390" i="3" s="1" a="1"/>
  <c r="S390" i="3" s="1"/>
  <c r="K390" i="3" a="1"/>
  <c r="K390" i="3" s="1"/>
  <c r="V390" i="3" s="1" a="1"/>
  <c r="V390" i="3" s="1"/>
  <c r="J390" i="3" a="1"/>
  <c r="J390" i="3" s="1"/>
  <c r="U390" i="3" s="1" a="1"/>
  <c r="U390" i="3" s="1"/>
  <c r="B391" i="3" a="1"/>
  <c r="B391" i="3" s="1"/>
  <c r="L391" i="3" s="1" a="1"/>
  <c r="L391" i="3" s="1"/>
  <c r="C391" i="3" a="1"/>
  <c r="C391" i="3" s="1"/>
  <c r="M391" i="3" s="1" a="1"/>
  <c r="M391" i="3" s="1"/>
  <c r="D391" i="3" a="1"/>
  <c r="D391" i="3" s="1"/>
  <c r="N391" i="3" s="1" a="1"/>
  <c r="N391" i="3" s="1"/>
  <c r="F391" i="3" a="1"/>
  <c r="F391" i="3" s="1"/>
  <c r="P391" i="3" s="1" a="1"/>
  <c r="P391" i="3" s="1"/>
  <c r="E391" i="3" a="1"/>
  <c r="E391" i="3" s="1"/>
  <c r="O391" i="3" s="1" a="1"/>
  <c r="O391" i="3" s="1"/>
  <c r="G391" i="3" a="1"/>
  <c r="G391" i="3" s="1"/>
  <c r="Q391" i="3" s="1" a="1"/>
  <c r="Q391" i="3" s="1"/>
  <c r="H391" i="3" a="1"/>
  <c r="H391" i="3" s="1"/>
  <c r="R391" i="3" s="1" a="1"/>
  <c r="R391" i="3" s="1"/>
  <c r="S391" i="3" s="1" a="1"/>
  <c r="S391" i="3" s="1"/>
  <c r="I391" i="3" a="1"/>
  <c r="I391" i="3" s="1"/>
  <c r="T391" i="3" s="1" a="1"/>
  <c r="T391" i="3" s="1"/>
  <c r="J391" i="3" a="1"/>
  <c r="J391" i="3" s="1"/>
  <c r="U391" i="3" s="1" a="1"/>
  <c r="U391" i="3" s="1"/>
  <c r="K391" i="3" a="1"/>
  <c r="K391" i="3" s="1"/>
  <c r="V391" i="3" s="1" a="1"/>
  <c r="V391" i="3" s="1"/>
  <c r="B392" i="3" a="1"/>
  <c r="B392" i="3" s="1"/>
  <c r="L392" i="3" s="1" a="1"/>
  <c r="L392" i="3" s="1"/>
  <c r="C392" i="3" a="1"/>
  <c r="C392" i="3" s="1"/>
  <c r="M392" i="3" s="1" a="1"/>
  <c r="M392" i="3" s="1"/>
  <c r="D392" i="3" a="1"/>
  <c r="D392" i="3" s="1"/>
  <c r="N392" i="3" s="1" a="1"/>
  <c r="N392" i="3" s="1"/>
  <c r="E392" i="3" a="1"/>
  <c r="E392" i="3" s="1"/>
  <c r="O392" i="3" s="1" a="1"/>
  <c r="O392" i="3" s="1"/>
  <c r="F392" i="3" a="1"/>
  <c r="F392" i="3" s="1"/>
  <c r="P392" i="3" s="1" a="1"/>
  <c r="P392" i="3" s="1"/>
  <c r="I392" i="3" a="1"/>
  <c r="I392" i="3" s="1"/>
  <c r="T392" i="3" s="1" a="1"/>
  <c r="T392" i="3" s="1"/>
  <c r="H392" i="3" a="1"/>
  <c r="H392" i="3" s="1"/>
  <c r="R392" i="3" s="1" a="1"/>
  <c r="R392" i="3" s="1"/>
  <c r="S392" i="3" s="1" a="1"/>
  <c r="S392" i="3" s="1"/>
  <c r="G392" i="3" a="1"/>
  <c r="G392" i="3" s="1"/>
  <c r="Q392" i="3" s="1" a="1"/>
  <c r="Q392" i="3" s="1"/>
  <c r="J392" i="3" a="1"/>
  <c r="J392" i="3" s="1"/>
  <c r="U392" i="3" s="1" a="1"/>
  <c r="U392" i="3" s="1"/>
  <c r="K392" i="3" a="1"/>
  <c r="K392" i="3" s="1"/>
  <c r="V392" i="3" s="1" a="1"/>
  <c r="V392" i="3" s="1"/>
  <c r="B385" i="3" a="1"/>
  <c r="B385" i="3" s="1"/>
  <c r="L385" i="3" s="1" a="1"/>
  <c r="L385" i="3" s="1"/>
  <c r="C385" i="3" a="1"/>
  <c r="C385" i="3" s="1"/>
  <c r="M385" i="3" s="1" a="1"/>
  <c r="M385" i="3" s="1"/>
  <c r="D385" i="3" a="1"/>
  <c r="D385" i="3" s="1"/>
  <c r="N385" i="3" s="1" a="1"/>
  <c r="N385" i="3" s="1"/>
  <c r="E385" i="3" a="1"/>
  <c r="E385" i="3" s="1"/>
  <c r="O385" i="3" s="1" a="1"/>
  <c r="O385" i="3" s="1"/>
  <c r="F385" i="3" a="1"/>
  <c r="F385" i="3" s="1"/>
  <c r="P385" i="3" s="1" a="1"/>
  <c r="P385" i="3" s="1"/>
  <c r="G385" i="3" a="1"/>
  <c r="G385" i="3" s="1"/>
  <c r="Q385" i="3" s="1" a="1"/>
  <c r="Q385" i="3" s="1"/>
  <c r="I385" i="3" a="1"/>
  <c r="I385" i="3" s="1"/>
  <c r="T385" i="3" s="1" a="1"/>
  <c r="T385" i="3" s="1"/>
  <c r="H385" i="3" a="1"/>
  <c r="H385" i="3" s="1"/>
  <c r="R385" i="3" s="1" a="1"/>
  <c r="R385" i="3" s="1"/>
  <c r="S385" i="3" s="1" a="1"/>
  <c r="S385" i="3" s="1"/>
  <c r="K385" i="3" a="1"/>
  <c r="K385" i="3" s="1"/>
  <c r="V385" i="3" s="1" a="1"/>
  <c r="V385" i="3" s="1"/>
  <c r="J385" i="3" a="1"/>
  <c r="J385" i="3" s="1"/>
  <c r="U385" i="3" s="1" a="1"/>
  <c r="U385" i="3" s="1"/>
  <c r="B395" i="3" a="1"/>
  <c r="B395" i="3" s="1"/>
  <c r="L395" i="3" s="1" a="1"/>
  <c r="L395" i="3" s="1"/>
  <c r="C395" i="3" a="1"/>
  <c r="C395" i="3" s="1"/>
  <c r="M395" i="3" s="1" a="1"/>
  <c r="M395" i="3" s="1"/>
  <c r="D395" i="3" a="1"/>
  <c r="D395" i="3" s="1"/>
  <c r="N395" i="3" s="1" a="1"/>
  <c r="N395" i="3" s="1"/>
  <c r="F395" i="3" a="1"/>
  <c r="F395" i="3" s="1"/>
  <c r="P395" i="3" s="1" a="1"/>
  <c r="P395" i="3" s="1"/>
  <c r="E395" i="3" a="1"/>
  <c r="E395" i="3" s="1"/>
  <c r="O395" i="3" s="1" a="1"/>
  <c r="O395" i="3" s="1"/>
  <c r="G395" i="3" a="1"/>
  <c r="G395" i="3" s="1"/>
  <c r="Q395" i="3" s="1" a="1"/>
  <c r="Q395" i="3" s="1"/>
  <c r="H395" i="3" a="1"/>
  <c r="H395" i="3" s="1"/>
  <c r="R395" i="3" s="1" a="1"/>
  <c r="R395" i="3" s="1"/>
  <c r="S395" i="3" s="1" a="1"/>
  <c r="S395" i="3" s="1"/>
  <c r="I395" i="3" a="1"/>
  <c r="I395" i="3" s="1"/>
  <c r="T395" i="3" s="1" a="1"/>
  <c r="T395" i="3" s="1"/>
  <c r="J395" i="3" a="1"/>
  <c r="J395" i="3" s="1"/>
  <c r="U395" i="3" s="1" a="1"/>
  <c r="U395" i="3" s="1"/>
  <c r="K395" i="3" a="1"/>
  <c r="K395" i="3" s="1"/>
  <c r="V395" i="3" s="1" a="1"/>
  <c r="V395" i="3" s="1"/>
  <c r="B388" i="3" a="1"/>
  <c r="B388" i="3" s="1"/>
  <c r="L388" i="3" s="1" a="1"/>
  <c r="L388" i="3" s="1"/>
  <c r="C388" i="3" a="1"/>
  <c r="C388" i="3" s="1"/>
  <c r="M388" i="3" s="1" a="1"/>
  <c r="M388" i="3" s="1"/>
  <c r="D388" i="3" a="1"/>
  <c r="D388" i="3" s="1"/>
  <c r="N388" i="3" s="1" a="1"/>
  <c r="N388" i="3" s="1"/>
  <c r="E388" i="3" a="1"/>
  <c r="E388" i="3" s="1"/>
  <c r="O388" i="3" s="1" a="1"/>
  <c r="O388" i="3" s="1"/>
  <c r="F388" i="3" a="1"/>
  <c r="F388" i="3" s="1"/>
  <c r="P388" i="3" s="1" a="1"/>
  <c r="P388" i="3" s="1"/>
  <c r="G388" i="3" a="1"/>
  <c r="G388" i="3" s="1"/>
  <c r="Q388" i="3" s="1" a="1"/>
  <c r="Q388" i="3" s="1"/>
  <c r="I388" i="3" a="1"/>
  <c r="I388" i="3" s="1"/>
  <c r="T388" i="3" s="1" a="1"/>
  <c r="T388" i="3" s="1"/>
  <c r="H388" i="3" a="1"/>
  <c r="H388" i="3" s="1"/>
  <c r="R388" i="3" s="1" a="1"/>
  <c r="R388" i="3" s="1"/>
  <c r="S388" i="3" s="1" a="1"/>
  <c r="S388" i="3" s="1"/>
  <c r="J388" i="3" a="1"/>
  <c r="J388" i="3" s="1"/>
  <c r="U388" i="3" s="1" a="1"/>
  <c r="U388" i="3" s="1"/>
  <c r="K388" i="3" a="1"/>
  <c r="K388" i="3" s="1"/>
  <c r="V388" i="3" s="1" a="1"/>
  <c r="V388" i="3" s="1"/>
  <c r="B384" i="3" a="1"/>
  <c r="B384" i="3" s="1"/>
  <c r="L384" i="3" s="1" a="1"/>
  <c r="L384" i="3" s="1"/>
  <c r="C384" i="3" a="1"/>
  <c r="C384" i="3" s="1"/>
  <c r="M384" i="3" s="1" a="1"/>
  <c r="M384" i="3" s="1"/>
  <c r="D384" i="3" a="1"/>
  <c r="D384" i="3" s="1"/>
  <c r="N384" i="3" s="1" a="1"/>
  <c r="N384" i="3" s="1"/>
  <c r="E384" i="3" a="1"/>
  <c r="E384" i="3" s="1"/>
  <c r="O384" i="3" s="1" a="1"/>
  <c r="O384" i="3" s="1"/>
  <c r="F384" i="3" a="1"/>
  <c r="F384" i="3" s="1"/>
  <c r="P384" i="3" s="1" a="1"/>
  <c r="P384" i="3" s="1"/>
  <c r="I384" i="3" a="1"/>
  <c r="I384" i="3" s="1"/>
  <c r="T384" i="3" s="1" a="1"/>
  <c r="T384" i="3" s="1"/>
  <c r="H384" i="3" a="1"/>
  <c r="H384" i="3" s="1"/>
  <c r="R384" i="3" s="1" a="1"/>
  <c r="R384" i="3" s="1"/>
  <c r="S384" i="3" s="1" a="1"/>
  <c r="S384" i="3" s="1"/>
  <c r="G384" i="3" a="1"/>
  <c r="G384" i="3" s="1"/>
  <c r="Q384" i="3" s="1" a="1"/>
  <c r="Q384" i="3" s="1"/>
  <c r="J384" i="3" a="1"/>
  <c r="J384" i="3" s="1"/>
  <c r="U384" i="3" s="1" a="1"/>
  <c r="U384" i="3" s="1"/>
  <c r="K384" i="3" a="1"/>
  <c r="K384" i="3" s="1"/>
  <c r="V384" i="3" s="1" a="1"/>
  <c r="V384" i="3" s="1"/>
  <c r="B398" i="3" a="1"/>
  <c r="B398" i="3" s="1"/>
  <c r="L398" i="3" s="1" a="1"/>
  <c r="L398" i="3" s="1"/>
  <c r="C398" i="3" a="1"/>
  <c r="C398" i="3" s="1"/>
  <c r="M398" i="3" s="1" a="1"/>
  <c r="M398" i="3" s="1"/>
  <c r="D398" i="3" a="1"/>
  <c r="D398" i="3" s="1"/>
  <c r="N398" i="3" s="1" a="1"/>
  <c r="N398" i="3" s="1"/>
  <c r="E398" i="3" a="1"/>
  <c r="E398" i="3" s="1"/>
  <c r="O398" i="3" s="1" a="1"/>
  <c r="O398" i="3" s="1"/>
  <c r="F398" i="3" a="1"/>
  <c r="F398" i="3" s="1"/>
  <c r="P398" i="3" s="1" a="1"/>
  <c r="P398" i="3" s="1"/>
  <c r="G398" i="3" a="1"/>
  <c r="G398" i="3" s="1"/>
  <c r="Q398" i="3" s="1" a="1"/>
  <c r="Q398" i="3" s="1"/>
  <c r="I398" i="3" a="1"/>
  <c r="I398" i="3" s="1"/>
  <c r="T398" i="3" s="1" a="1"/>
  <c r="T398" i="3" s="1"/>
  <c r="H398" i="3" a="1"/>
  <c r="H398" i="3" s="1"/>
  <c r="R398" i="3" s="1" a="1"/>
  <c r="R398" i="3" s="1"/>
  <c r="S398" i="3" s="1" a="1"/>
  <c r="S398" i="3" s="1"/>
  <c r="K398" i="3" a="1"/>
  <c r="K398" i="3" s="1"/>
  <c r="V398" i="3" s="1" a="1"/>
  <c r="V398" i="3" s="1"/>
  <c r="J398" i="3" a="1"/>
  <c r="J398" i="3" s="1"/>
  <c r="U398" i="3" s="1" a="1"/>
  <c r="U398" i="3" s="1"/>
  <c r="B394" i="3" a="1"/>
  <c r="B394" i="3" s="1"/>
  <c r="L394" i="3" s="1" a="1"/>
  <c r="L394" i="3" s="1"/>
  <c r="C394" i="3" a="1"/>
  <c r="C394" i="3" s="1"/>
  <c r="M394" i="3" s="1" a="1"/>
  <c r="M394" i="3" s="1"/>
  <c r="D394" i="3" a="1"/>
  <c r="D394" i="3" s="1"/>
  <c r="N394" i="3" s="1" a="1"/>
  <c r="N394" i="3" s="1"/>
  <c r="E394" i="3" a="1"/>
  <c r="E394" i="3" s="1"/>
  <c r="O394" i="3" s="1" a="1"/>
  <c r="O394" i="3" s="1"/>
  <c r="F394" i="3" a="1"/>
  <c r="F394" i="3" s="1"/>
  <c r="P394" i="3" s="1" a="1"/>
  <c r="P394" i="3" s="1"/>
  <c r="I394" i="3" a="1"/>
  <c r="I394" i="3" s="1"/>
  <c r="T394" i="3" s="1" a="1"/>
  <c r="T394" i="3" s="1"/>
  <c r="G394" i="3" a="1"/>
  <c r="G394" i="3" s="1"/>
  <c r="Q394" i="3" s="1" a="1"/>
  <c r="Q394" i="3" s="1"/>
  <c r="H394" i="3" a="1"/>
  <c r="H394" i="3" s="1"/>
  <c r="R394" i="3" s="1" a="1"/>
  <c r="R394" i="3" s="1"/>
  <c r="S394" i="3" s="1" a="1"/>
  <c r="S394" i="3" s="1"/>
  <c r="K394" i="3" a="1"/>
  <c r="K394" i="3" s="1"/>
  <c r="V394" i="3" s="1" a="1"/>
  <c r="V394" i="3" s="1"/>
  <c r="J394" i="3" a="1"/>
  <c r="J394" i="3" s="1"/>
  <c r="U394" i="3" s="1" a="1"/>
  <c r="U394" i="3" s="1"/>
  <c r="M400" i="1"/>
  <c r="M404" i="1"/>
  <c r="M398" i="1"/>
  <c r="M388" i="1"/>
  <c r="B375" i="6"/>
  <c r="H375" i="1" s="1"/>
  <c r="AC375" i="3" s="1"/>
  <c r="B376" i="6"/>
  <c r="H376" i="1" s="1"/>
  <c r="AC376" i="3" s="1"/>
  <c r="B377" i="6"/>
  <c r="H377" i="1" s="1"/>
  <c r="AC377" i="3" s="1"/>
  <c r="B378" i="6"/>
  <c r="H378" i="1" s="1"/>
  <c r="AC378" i="3" s="1"/>
  <c r="B379" i="6"/>
  <c r="H379" i="1" s="1"/>
  <c r="AC379" i="3" s="1"/>
  <c r="B380" i="6"/>
  <c r="H380" i="1" s="1"/>
  <c r="AC380" i="3" s="1"/>
  <c r="B381" i="6"/>
  <c r="H381" i="1" s="1"/>
  <c r="AC381" i="3" s="1"/>
  <c r="B382" i="6"/>
  <c r="H382" i="1" s="1"/>
  <c r="AC382" i="3" s="1"/>
  <c r="L381" i="1"/>
  <c r="A381" i="3" s="1"/>
  <c r="L382" i="1"/>
  <c r="A382" i="3" s="1"/>
  <c r="L378" i="1"/>
  <c r="A378" i="3" s="1"/>
  <c r="L379" i="1"/>
  <c r="A379" i="3" s="1"/>
  <c r="L380" i="1"/>
  <c r="A380" i="3" s="1"/>
  <c r="L375" i="1"/>
  <c r="A375" i="3" s="1"/>
  <c r="L376" i="1"/>
  <c r="A376" i="3" s="1"/>
  <c r="L377" i="1"/>
  <c r="A377" i="3" s="1"/>
  <c r="B373" i="6"/>
  <c r="H373" i="1" s="1"/>
  <c r="AC373" i="3" s="1"/>
  <c r="B374" i="6"/>
  <c r="H374" i="1" s="1"/>
  <c r="AC374" i="3" s="1"/>
  <c r="L373" i="1"/>
  <c r="A373" i="3" s="1"/>
  <c r="L374" i="1"/>
  <c r="A374" i="3" s="1"/>
  <c r="B363" i="6"/>
  <c r="H363" i="1" s="1"/>
  <c r="AC363" i="3" s="1"/>
  <c r="B364" i="6"/>
  <c r="H364" i="1" s="1"/>
  <c r="AC364" i="3" s="1"/>
  <c r="B365" i="6"/>
  <c r="H365" i="1" s="1"/>
  <c r="AC365" i="3" s="1"/>
  <c r="B366" i="6"/>
  <c r="H366" i="1" s="1"/>
  <c r="AC366" i="3" s="1"/>
  <c r="B367" i="6"/>
  <c r="H367" i="1" s="1"/>
  <c r="AC367" i="3" s="1"/>
  <c r="B368" i="6"/>
  <c r="H368" i="1" s="1"/>
  <c r="AC368" i="3" s="1"/>
  <c r="B369" i="6"/>
  <c r="H369" i="1" s="1"/>
  <c r="AC369" i="3" s="1"/>
  <c r="B370" i="6"/>
  <c r="H370" i="1" s="1"/>
  <c r="AC370" i="3" s="1"/>
  <c r="B371" i="6"/>
  <c r="H371" i="1" s="1"/>
  <c r="AC371" i="3" s="1"/>
  <c r="B372" i="6"/>
  <c r="H372" i="1" s="1"/>
  <c r="AC372" i="3" s="1"/>
  <c r="L363" i="1"/>
  <c r="A363" i="3" s="1"/>
  <c r="L364" i="1"/>
  <c r="A364" i="3" s="1"/>
  <c r="L365" i="1"/>
  <c r="A365" i="3" s="1"/>
  <c r="L366" i="1"/>
  <c r="A366" i="3" s="1"/>
  <c r="L367" i="1"/>
  <c r="A367" i="3" s="1"/>
  <c r="L368" i="1"/>
  <c r="A368" i="3" s="1"/>
  <c r="L369" i="1"/>
  <c r="A369" i="3" s="1"/>
  <c r="L370" i="1"/>
  <c r="A370" i="3" s="1"/>
  <c r="L371" i="1"/>
  <c r="A371" i="3" s="1"/>
  <c r="L372" i="1"/>
  <c r="A372" i="3" s="1"/>
  <c r="B356" i="6"/>
  <c r="H356" i="1" s="1"/>
  <c r="AC356" i="3" s="1"/>
  <c r="B357" i="6"/>
  <c r="H357" i="1" s="1"/>
  <c r="AC357" i="3" s="1"/>
  <c r="B358" i="6"/>
  <c r="H358" i="1" s="1"/>
  <c r="AC358" i="3" s="1"/>
  <c r="B359" i="6"/>
  <c r="H359" i="1" s="1"/>
  <c r="AC359" i="3" s="1"/>
  <c r="B360" i="6"/>
  <c r="H360" i="1" s="1"/>
  <c r="AC360" i="3" s="1"/>
  <c r="B361" i="6"/>
  <c r="H361" i="1" s="1"/>
  <c r="AC361" i="3" s="1"/>
  <c r="B362" i="6"/>
  <c r="H362" i="1" s="1"/>
  <c r="AC362" i="3" s="1"/>
  <c r="L359" i="1"/>
  <c r="A359" i="3" s="1"/>
  <c r="L360" i="1"/>
  <c r="A360" i="3" s="1"/>
  <c r="L361" i="1"/>
  <c r="A361" i="3" s="1"/>
  <c r="L362" i="1"/>
  <c r="A362" i="3" s="1"/>
  <c r="L356" i="1"/>
  <c r="A356" i="3" s="1"/>
  <c r="L357" i="1"/>
  <c r="A357" i="3" s="1"/>
  <c r="L358" i="1"/>
  <c r="A358" i="3" s="1"/>
  <c r="B353" i="6"/>
  <c r="H353" i="1" s="1"/>
  <c r="AC353" i="3" s="1"/>
  <c r="B354" i="6"/>
  <c r="H354" i="1" s="1"/>
  <c r="AC354" i="3" s="1"/>
  <c r="B355" i="6"/>
  <c r="H355" i="1" s="1"/>
  <c r="AC355" i="3" s="1"/>
  <c r="L353" i="1"/>
  <c r="A353" i="3" s="1"/>
  <c r="L354" i="1"/>
  <c r="A354" i="3" s="1"/>
  <c r="L355" i="1"/>
  <c r="A355" i="3" s="1"/>
  <c r="M383" i="1" a="1"/>
  <c r="M377" i="1" a="1"/>
  <c r="M363" i="1" a="1"/>
  <c r="M396" i="1" a="1"/>
  <c r="M356" i="1" a="1"/>
  <c r="M386" i="1" a="1"/>
  <c r="M387" i="1" a="1"/>
  <c r="M372" i="1" a="1"/>
  <c r="M390" i="1" a="1"/>
  <c r="M394" i="1" a="1"/>
  <c r="M395" i="1" a="1"/>
  <c r="M384" i="1" a="1"/>
  <c r="M382" i="1" a="1"/>
  <c r="M385" i="1" a="1"/>
  <c r="M381" i="1" a="1"/>
  <c r="M361" i="1" a="1"/>
  <c r="M399" i="1" a="1"/>
  <c r="M374" i="1" a="1"/>
  <c r="M358" i="1" a="1"/>
  <c r="M389" i="1" a="1"/>
  <c r="M391" i="1" a="1"/>
  <c r="M397" i="1" a="1"/>
  <c r="M392" i="1" a="1"/>
  <c r="M393" i="1" a="1"/>
  <c r="M359" i="1" a="1"/>
  <c r="M384" i="1" l="1"/>
  <c r="M394" i="1"/>
  <c r="M386" i="1"/>
  <c r="M390" i="1"/>
  <c r="M389" i="1"/>
  <c r="M391" i="1"/>
  <c r="M395" i="1"/>
  <c r="M392" i="1"/>
  <c r="M396" i="1"/>
  <c r="B357" i="3" a="1"/>
  <c r="B357" i="3" s="1"/>
  <c r="L357" i="3" s="1" a="1"/>
  <c r="L357" i="3" s="1"/>
  <c r="C357" i="3" a="1"/>
  <c r="C357" i="3" s="1"/>
  <c r="M357" i="3" s="1" a="1"/>
  <c r="M357" i="3" s="1"/>
  <c r="D357" i="3" a="1"/>
  <c r="D357" i="3" s="1"/>
  <c r="N357" i="3" s="1" a="1"/>
  <c r="N357" i="3" s="1"/>
  <c r="E357" i="3" a="1"/>
  <c r="E357" i="3" s="1"/>
  <c r="O357" i="3" s="1" a="1"/>
  <c r="O357" i="3" s="1"/>
  <c r="F357" i="3" a="1"/>
  <c r="F357" i="3" s="1"/>
  <c r="P357" i="3" s="1" a="1"/>
  <c r="P357" i="3" s="1"/>
  <c r="G357" i="3" a="1"/>
  <c r="G357" i="3" s="1"/>
  <c r="Q357" i="3" s="1" a="1"/>
  <c r="Q357" i="3" s="1"/>
  <c r="I357" i="3" a="1"/>
  <c r="I357" i="3" s="1"/>
  <c r="T357" i="3" s="1" a="1"/>
  <c r="T357" i="3" s="1"/>
  <c r="H357" i="3" a="1"/>
  <c r="H357" i="3" s="1"/>
  <c r="R357" i="3" s="1" a="1"/>
  <c r="R357" i="3" s="1"/>
  <c r="S357" i="3" s="1" a="1"/>
  <c r="S357" i="3" s="1"/>
  <c r="J357" i="3" a="1"/>
  <c r="J357" i="3" s="1"/>
  <c r="U357" i="3" s="1" a="1"/>
  <c r="U357" i="3" s="1"/>
  <c r="K357" i="3" a="1"/>
  <c r="K357" i="3" s="1"/>
  <c r="V357" i="3" s="1" a="1"/>
  <c r="V357" i="3" s="1"/>
  <c r="B369" i="3" a="1"/>
  <c r="B369" i="3" s="1"/>
  <c r="L369" i="3" s="1" a="1"/>
  <c r="L369" i="3" s="1"/>
  <c r="C369" i="3" a="1"/>
  <c r="C369" i="3" s="1"/>
  <c r="M369" i="3" s="1" a="1"/>
  <c r="M369" i="3" s="1"/>
  <c r="D369" i="3" a="1"/>
  <c r="D369" i="3" s="1"/>
  <c r="N369" i="3" s="1" a="1"/>
  <c r="N369" i="3" s="1"/>
  <c r="E369" i="3" a="1"/>
  <c r="E369" i="3" s="1"/>
  <c r="O369" i="3" s="1" a="1"/>
  <c r="O369" i="3" s="1"/>
  <c r="F369" i="3" a="1"/>
  <c r="F369" i="3" s="1"/>
  <c r="P369" i="3" s="1" a="1"/>
  <c r="P369" i="3" s="1"/>
  <c r="G369" i="3" a="1"/>
  <c r="G369" i="3" s="1"/>
  <c r="Q369" i="3" s="1" a="1"/>
  <c r="Q369" i="3" s="1"/>
  <c r="I369" i="3" a="1"/>
  <c r="I369" i="3" s="1"/>
  <c r="T369" i="3" s="1" a="1"/>
  <c r="T369" i="3" s="1"/>
  <c r="H369" i="3" a="1"/>
  <c r="H369" i="3" s="1"/>
  <c r="R369" i="3" s="1" a="1"/>
  <c r="R369" i="3" s="1"/>
  <c r="S369" i="3" s="1" a="1"/>
  <c r="S369" i="3" s="1"/>
  <c r="J369" i="3" a="1"/>
  <c r="J369" i="3" s="1"/>
  <c r="U369" i="3" s="1" a="1"/>
  <c r="U369" i="3" s="1"/>
  <c r="K369" i="3" a="1"/>
  <c r="K369" i="3" s="1"/>
  <c r="V369" i="3" s="1" a="1"/>
  <c r="V369" i="3" s="1"/>
  <c r="B381" i="3" a="1"/>
  <c r="B381" i="3" s="1"/>
  <c r="L381" i="3" s="1" a="1"/>
  <c r="L381" i="3" s="1"/>
  <c r="C381" i="3" a="1"/>
  <c r="C381" i="3" s="1"/>
  <c r="M381" i="3" s="1" a="1"/>
  <c r="M381" i="3" s="1"/>
  <c r="D381" i="3" a="1"/>
  <c r="D381" i="3" s="1"/>
  <c r="N381" i="3" s="1" a="1"/>
  <c r="N381" i="3" s="1"/>
  <c r="E381" i="3" a="1"/>
  <c r="E381" i="3" s="1"/>
  <c r="O381" i="3" s="1" a="1"/>
  <c r="O381" i="3" s="1"/>
  <c r="F381" i="3" a="1"/>
  <c r="F381" i="3" s="1"/>
  <c r="P381" i="3" s="1" a="1"/>
  <c r="P381" i="3" s="1"/>
  <c r="G381" i="3" a="1"/>
  <c r="G381" i="3" s="1"/>
  <c r="Q381" i="3" s="1" a="1"/>
  <c r="Q381" i="3" s="1"/>
  <c r="I381" i="3" a="1"/>
  <c r="I381" i="3" s="1"/>
  <c r="T381" i="3" s="1" a="1"/>
  <c r="T381" i="3" s="1"/>
  <c r="H381" i="3" a="1"/>
  <c r="H381" i="3" s="1"/>
  <c r="R381" i="3" s="1" a="1"/>
  <c r="R381" i="3" s="1"/>
  <c r="S381" i="3" s="1" a="1"/>
  <c r="S381" i="3" s="1"/>
  <c r="J381" i="3" a="1"/>
  <c r="J381" i="3" s="1"/>
  <c r="U381" i="3" s="1" a="1"/>
  <c r="U381" i="3" s="1"/>
  <c r="K381" i="3" a="1"/>
  <c r="K381" i="3" s="1"/>
  <c r="V381" i="3" s="1" a="1"/>
  <c r="V381" i="3" s="1"/>
  <c r="B355" i="3" a="1"/>
  <c r="B355" i="3" s="1"/>
  <c r="L355" i="3" s="1" a="1"/>
  <c r="L355" i="3" s="1"/>
  <c r="C355" i="3" a="1"/>
  <c r="C355" i="3" s="1"/>
  <c r="M355" i="3" s="1" a="1"/>
  <c r="M355" i="3" s="1"/>
  <c r="D355" i="3" a="1"/>
  <c r="D355" i="3" s="1"/>
  <c r="N355" i="3" s="1" a="1"/>
  <c r="N355" i="3" s="1"/>
  <c r="F355" i="3" a="1"/>
  <c r="F355" i="3" s="1"/>
  <c r="P355" i="3" s="1" a="1"/>
  <c r="P355" i="3" s="1"/>
  <c r="E355" i="3" a="1"/>
  <c r="E355" i="3" s="1"/>
  <c r="O355" i="3" s="1" a="1"/>
  <c r="O355" i="3" s="1"/>
  <c r="G355" i="3" a="1"/>
  <c r="G355" i="3" s="1"/>
  <c r="Q355" i="3" s="1" a="1"/>
  <c r="Q355" i="3" s="1"/>
  <c r="H355" i="3" a="1"/>
  <c r="H355" i="3" s="1"/>
  <c r="R355" i="3" s="1" a="1"/>
  <c r="R355" i="3" s="1"/>
  <c r="S355" i="3" s="1" a="1"/>
  <c r="S355" i="3" s="1"/>
  <c r="I355" i="3" a="1"/>
  <c r="I355" i="3" s="1"/>
  <c r="T355" i="3" s="1" a="1"/>
  <c r="T355" i="3" s="1"/>
  <c r="K355" i="3" a="1"/>
  <c r="K355" i="3" s="1"/>
  <c r="V355" i="3" s="1" a="1"/>
  <c r="V355" i="3" s="1"/>
  <c r="J355" i="3" a="1"/>
  <c r="J355" i="3" s="1"/>
  <c r="U355" i="3" s="1" a="1"/>
  <c r="U355" i="3" s="1"/>
  <c r="B359" i="3" a="1"/>
  <c r="B359" i="3" s="1"/>
  <c r="L359" i="3" s="1" a="1"/>
  <c r="L359" i="3" s="1"/>
  <c r="C359" i="3" a="1"/>
  <c r="C359" i="3" s="1"/>
  <c r="M359" i="3" s="1" a="1"/>
  <c r="M359" i="3" s="1"/>
  <c r="D359" i="3" a="1"/>
  <c r="D359" i="3" s="1"/>
  <c r="N359" i="3" s="1" a="1"/>
  <c r="N359" i="3" s="1"/>
  <c r="F359" i="3" a="1"/>
  <c r="F359" i="3" s="1"/>
  <c r="P359" i="3" s="1" a="1"/>
  <c r="P359" i="3" s="1"/>
  <c r="E359" i="3" a="1"/>
  <c r="E359" i="3" s="1"/>
  <c r="O359" i="3" s="1" a="1"/>
  <c r="O359" i="3" s="1"/>
  <c r="G359" i="3" a="1"/>
  <c r="G359" i="3" s="1"/>
  <c r="Q359" i="3" s="1" a="1"/>
  <c r="Q359" i="3" s="1"/>
  <c r="H359" i="3" a="1"/>
  <c r="H359" i="3" s="1"/>
  <c r="R359" i="3" s="1" a="1"/>
  <c r="R359" i="3" s="1"/>
  <c r="S359" i="3" s="1" a="1"/>
  <c r="S359" i="3" s="1"/>
  <c r="I359" i="3" a="1"/>
  <c r="I359" i="3" s="1"/>
  <c r="T359" i="3" s="1" a="1"/>
  <c r="T359" i="3" s="1"/>
  <c r="J359" i="3" a="1"/>
  <c r="J359" i="3" s="1"/>
  <c r="U359" i="3" s="1" a="1"/>
  <c r="U359" i="3" s="1"/>
  <c r="K359" i="3" a="1"/>
  <c r="K359" i="3" s="1"/>
  <c r="V359" i="3" s="1" a="1"/>
  <c r="V359" i="3" s="1"/>
  <c r="B368" i="3" a="1"/>
  <c r="B368" i="3" s="1"/>
  <c r="L368" i="3" s="1" a="1"/>
  <c r="L368" i="3" s="1"/>
  <c r="C368" i="3" a="1"/>
  <c r="C368" i="3" s="1"/>
  <c r="M368" i="3" s="1" a="1"/>
  <c r="M368" i="3" s="1"/>
  <c r="D368" i="3" a="1"/>
  <c r="D368" i="3" s="1"/>
  <c r="N368" i="3" s="1" a="1"/>
  <c r="N368" i="3" s="1"/>
  <c r="E368" i="3" a="1"/>
  <c r="E368" i="3" s="1"/>
  <c r="O368" i="3" s="1" a="1"/>
  <c r="O368" i="3" s="1"/>
  <c r="F368" i="3" a="1"/>
  <c r="F368" i="3" s="1"/>
  <c r="P368" i="3" s="1" a="1"/>
  <c r="P368" i="3" s="1"/>
  <c r="I368" i="3" a="1"/>
  <c r="I368" i="3" s="1"/>
  <c r="T368" i="3" s="1" a="1"/>
  <c r="T368" i="3" s="1"/>
  <c r="H368" i="3" a="1"/>
  <c r="H368" i="3" s="1"/>
  <c r="R368" i="3" s="1" a="1"/>
  <c r="R368" i="3" s="1"/>
  <c r="S368" i="3" s="1" a="1"/>
  <c r="S368" i="3" s="1"/>
  <c r="J368" i="3" a="1"/>
  <c r="J368" i="3" s="1"/>
  <c r="U368" i="3" s="1" a="1"/>
  <c r="U368" i="3" s="1"/>
  <c r="G368" i="3" a="1"/>
  <c r="G368" i="3" s="1"/>
  <c r="Q368" i="3" s="1" a="1"/>
  <c r="Q368" i="3" s="1"/>
  <c r="K368" i="3" a="1"/>
  <c r="K368" i="3" s="1"/>
  <c r="V368" i="3" s="1" a="1"/>
  <c r="V368" i="3" s="1"/>
  <c r="B374" i="3" a="1"/>
  <c r="B374" i="3" s="1"/>
  <c r="L374" i="3" s="1" a="1"/>
  <c r="L374" i="3" s="1"/>
  <c r="C374" i="3" a="1"/>
  <c r="C374" i="3" s="1"/>
  <c r="M374" i="3" s="1" a="1"/>
  <c r="M374" i="3" s="1"/>
  <c r="D374" i="3" a="1"/>
  <c r="D374" i="3" s="1"/>
  <c r="N374" i="3" s="1" a="1"/>
  <c r="N374" i="3" s="1"/>
  <c r="E374" i="3" a="1"/>
  <c r="E374" i="3" s="1"/>
  <c r="O374" i="3" s="1" a="1"/>
  <c r="O374" i="3" s="1"/>
  <c r="F374" i="3" a="1"/>
  <c r="F374" i="3" s="1"/>
  <c r="P374" i="3" s="1" a="1"/>
  <c r="P374" i="3" s="1"/>
  <c r="G374" i="3" a="1"/>
  <c r="G374" i="3" s="1"/>
  <c r="Q374" i="3" s="1" a="1"/>
  <c r="Q374" i="3" s="1"/>
  <c r="J374" i="3" a="1"/>
  <c r="J374" i="3" s="1"/>
  <c r="U374" i="3" s="1" a="1"/>
  <c r="U374" i="3" s="1"/>
  <c r="I374" i="3" a="1"/>
  <c r="I374" i="3" s="1"/>
  <c r="T374" i="3" s="1" a="1"/>
  <c r="T374" i="3" s="1"/>
  <c r="H374" i="3" a="1"/>
  <c r="H374" i="3" s="1"/>
  <c r="R374" i="3" s="1" a="1"/>
  <c r="R374" i="3" s="1"/>
  <c r="S374" i="3" s="1" a="1"/>
  <c r="S374" i="3" s="1"/>
  <c r="K374" i="3" a="1"/>
  <c r="K374" i="3" s="1"/>
  <c r="V374" i="3" s="1" a="1"/>
  <c r="V374" i="3" s="1"/>
  <c r="B379" i="3" a="1"/>
  <c r="B379" i="3" s="1"/>
  <c r="L379" i="3" s="1" a="1"/>
  <c r="L379" i="3" s="1"/>
  <c r="C379" i="3" a="1"/>
  <c r="C379" i="3" s="1"/>
  <c r="M379" i="3" s="1" a="1"/>
  <c r="M379" i="3" s="1"/>
  <c r="D379" i="3" a="1"/>
  <c r="D379" i="3" s="1"/>
  <c r="N379" i="3" s="1" a="1"/>
  <c r="N379" i="3" s="1"/>
  <c r="F379" i="3" a="1"/>
  <c r="F379" i="3" s="1"/>
  <c r="P379" i="3" s="1" a="1"/>
  <c r="P379" i="3" s="1"/>
  <c r="E379" i="3" a="1"/>
  <c r="E379" i="3" s="1"/>
  <c r="O379" i="3" s="1" a="1"/>
  <c r="O379" i="3" s="1"/>
  <c r="G379" i="3" a="1"/>
  <c r="G379" i="3" s="1"/>
  <c r="Q379" i="3" s="1" a="1"/>
  <c r="Q379" i="3" s="1"/>
  <c r="H379" i="3" a="1"/>
  <c r="H379" i="3" s="1"/>
  <c r="R379" i="3" s="1" a="1"/>
  <c r="R379" i="3" s="1"/>
  <c r="S379" i="3" s="1" a="1"/>
  <c r="S379" i="3" s="1"/>
  <c r="I379" i="3" a="1"/>
  <c r="I379" i="3" s="1"/>
  <c r="T379" i="3" s="1" a="1"/>
  <c r="T379" i="3" s="1"/>
  <c r="J379" i="3" a="1"/>
  <c r="J379" i="3" s="1"/>
  <c r="U379" i="3" s="1" a="1"/>
  <c r="U379" i="3" s="1"/>
  <c r="K379" i="3" a="1"/>
  <c r="K379" i="3" s="1"/>
  <c r="V379" i="3" s="1" a="1"/>
  <c r="V379" i="3" s="1"/>
  <c r="B354" i="3" a="1"/>
  <c r="B354" i="3" s="1"/>
  <c r="L354" i="3" s="1" a="1"/>
  <c r="L354" i="3" s="1"/>
  <c r="C354" i="3" a="1"/>
  <c r="C354" i="3" s="1"/>
  <c r="M354" i="3" s="1" a="1"/>
  <c r="M354" i="3" s="1"/>
  <c r="D354" i="3" a="1"/>
  <c r="D354" i="3" s="1"/>
  <c r="N354" i="3" s="1" a="1"/>
  <c r="N354" i="3" s="1"/>
  <c r="E354" i="3" a="1"/>
  <c r="E354" i="3" s="1"/>
  <c r="O354" i="3" s="1" a="1"/>
  <c r="O354" i="3" s="1"/>
  <c r="F354" i="3" a="1"/>
  <c r="F354" i="3" s="1"/>
  <c r="P354" i="3" s="1" a="1"/>
  <c r="P354" i="3" s="1"/>
  <c r="H354" i="3" a="1"/>
  <c r="H354" i="3" s="1"/>
  <c r="R354" i="3" s="1" a="1"/>
  <c r="R354" i="3" s="1"/>
  <c r="S354" i="3" s="1" a="1"/>
  <c r="S354" i="3" s="1"/>
  <c r="J354" i="3" a="1"/>
  <c r="J354" i="3" s="1"/>
  <c r="U354" i="3" s="1" a="1"/>
  <c r="U354" i="3" s="1"/>
  <c r="I354" i="3" a="1"/>
  <c r="I354" i="3" s="1"/>
  <c r="T354" i="3" s="1" a="1"/>
  <c r="T354" i="3" s="1"/>
  <c r="G354" i="3" a="1"/>
  <c r="G354" i="3" s="1"/>
  <c r="Q354" i="3" s="1" a="1"/>
  <c r="Q354" i="3" s="1"/>
  <c r="K354" i="3" a="1"/>
  <c r="K354" i="3" s="1"/>
  <c r="V354" i="3" s="1" a="1"/>
  <c r="V354" i="3" s="1"/>
  <c r="B362" i="3" a="1"/>
  <c r="B362" i="3" s="1"/>
  <c r="L362" i="3" s="1" a="1"/>
  <c r="L362" i="3" s="1"/>
  <c r="C362" i="3" a="1"/>
  <c r="C362" i="3" s="1"/>
  <c r="M362" i="3" s="1" a="1"/>
  <c r="M362" i="3" s="1"/>
  <c r="D362" i="3" a="1"/>
  <c r="D362" i="3" s="1"/>
  <c r="N362" i="3" s="1" a="1"/>
  <c r="N362" i="3" s="1"/>
  <c r="E362" i="3" a="1"/>
  <c r="E362" i="3" s="1"/>
  <c r="O362" i="3" s="1" a="1"/>
  <c r="O362" i="3" s="1"/>
  <c r="F362" i="3" a="1"/>
  <c r="F362" i="3" s="1"/>
  <c r="P362" i="3" s="1" a="1"/>
  <c r="P362" i="3" s="1"/>
  <c r="H362" i="3" a="1"/>
  <c r="H362" i="3" s="1"/>
  <c r="R362" i="3" s="1" a="1"/>
  <c r="R362" i="3" s="1"/>
  <c r="S362" i="3" s="1" a="1"/>
  <c r="S362" i="3" s="1"/>
  <c r="J362" i="3" a="1"/>
  <c r="J362" i="3" s="1"/>
  <c r="U362" i="3" s="1" a="1"/>
  <c r="U362" i="3" s="1"/>
  <c r="I362" i="3" a="1"/>
  <c r="I362" i="3" s="1"/>
  <c r="T362" i="3" s="1" a="1"/>
  <c r="T362" i="3" s="1"/>
  <c r="G362" i="3" a="1"/>
  <c r="G362" i="3" s="1"/>
  <c r="Q362" i="3" s="1" a="1"/>
  <c r="Q362" i="3" s="1"/>
  <c r="K362" i="3" a="1"/>
  <c r="K362" i="3" s="1"/>
  <c r="V362" i="3" s="1" a="1"/>
  <c r="V362" i="3" s="1"/>
  <c r="B371" i="3" a="1"/>
  <c r="B371" i="3" s="1"/>
  <c r="L371" i="3" s="1" a="1"/>
  <c r="L371" i="3" s="1"/>
  <c r="C371" i="3" a="1"/>
  <c r="C371" i="3" s="1"/>
  <c r="M371" i="3" s="1" a="1"/>
  <c r="M371" i="3" s="1"/>
  <c r="D371" i="3" a="1"/>
  <c r="D371" i="3" s="1"/>
  <c r="N371" i="3" s="1" a="1"/>
  <c r="N371" i="3" s="1"/>
  <c r="F371" i="3" a="1"/>
  <c r="F371" i="3" s="1"/>
  <c r="P371" i="3" s="1" a="1"/>
  <c r="P371" i="3" s="1"/>
  <c r="E371" i="3" a="1"/>
  <c r="E371" i="3" s="1"/>
  <c r="O371" i="3" s="1" a="1"/>
  <c r="O371" i="3" s="1"/>
  <c r="G371" i="3" a="1"/>
  <c r="G371" i="3" s="1"/>
  <c r="Q371" i="3" s="1" a="1"/>
  <c r="Q371" i="3" s="1"/>
  <c r="H371" i="3" a="1"/>
  <c r="H371" i="3" s="1"/>
  <c r="R371" i="3" s="1" a="1"/>
  <c r="R371" i="3" s="1"/>
  <c r="S371" i="3" s="1" a="1"/>
  <c r="S371" i="3" s="1"/>
  <c r="I371" i="3" a="1"/>
  <c r="I371" i="3" s="1"/>
  <c r="T371" i="3" s="1" a="1"/>
  <c r="T371" i="3" s="1"/>
  <c r="K371" i="3" a="1"/>
  <c r="K371" i="3" s="1"/>
  <c r="V371" i="3" s="1" a="1"/>
  <c r="V371" i="3" s="1"/>
  <c r="J371" i="3" a="1"/>
  <c r="J371" i="3" s="1"/>
  <c r="U371" i="3" s="1" a="1"/>
  <c r="U371" i="3" s="1"/>
  <c r="B367" i="3" a="1"/>
  <c r="B367" i="3" s="1"/>
  <c r="L367" i="3" s="1" a="1"/>
  <c r="L367" i="3" s="1"/>
  <c r="C367" i="3" a="1"/>
  <c r="C367" i="3" s="1"/>
  <c r="M367" i="3" s="1" a="1"/>
  <c r="M367" i="3" s="1"/>
  <c r="D367" i="3" a="1"/>
  <c r="D367" i="3" s="1"/>
  <c r="N367" i="3" s="1" a="1"/>
  <c r="N367" i="3" s="1"/>
  <c r="F367" i="3" a="1"/>
  <c r="F367" i="3" s="1"/>
  <c r="P367" i="3" s="1" a="1"/>
  <c r="P367" i="3" s="1"/>
  <c r="E367" i="3" a="1"/>
  <c r="E367" i="3" s="1"/>
  <c r="O367" i="3" s="1" a="1"/>
  <c r="O367" i="3" s="1"/>
  <c r="G367" i="3" a="1"/>
  <c r="G367" i="3" s="1"/>
  <c r="Q367" i="3" s="1" a="1"/>
  <c r="Q367" i="3" s="1"/>
  <c r="H367" i="3" a="1"/>
  <c r="H367" i="3" s="1"/>
  <c r="R367" i="3" s="1" a="1"/>
  <c r="R367" i="3" s="1"/>
  <c r="S367" i="3" s="1" a="1"/>
  <c r="S367" i="3" s="1"/>
  <c r="I367" i="3" a="1"/>
  <c r="I367" i="3" s="1"/>
  <c r="T367" i="3" s="1" a="1"/>
  <c r="T367" i="3" s="1"/>
  <c r="J367" i="3" a="1"/>
  <c r="J367" i="3" s="1"/>
  <c r="U367" i="3" s="1" a="1"/>
  <c r="U367" i="3" s="1"/>
  <c r="K367" i="3" a="1"/>
  <c r="K367" i="3" s="1"/>
  <c r="V367" i="3" s="1" a="1"/>
  <c r="V367" i="3" s="1"/>
  <c r="B363" i="3" a="1"/>
  <c r="B363" i="3" s="1"/>
  <c r="L363" i="3" s="1" a="1"/>
  <c r="L363" i="3" s="1"/>
  <c r="C363" i="3" a="1"/>
  <c r="C363" i="3" s="1"/>
  <c r="M363" i="3" s="1" a="1"/>
  <c r="M363" i="3" s="1"/>
  <c r="D363" i="3" a="1"/>
  <c r="D363" i="3" s="1"/>
  <c r="N363" i="3" s="1" a="1"/>
  <c r="N363" i="3" s="1"/>
  <c r="F363" i="3" a="1"/>
  <c r="F363" i="3" s="1"/>
  <c r="P363" i="3" s="1" a="1"/>
  <c r="P363" i="3" s="1"/>
  <c r="E363" i="3" a="1"/>
  <c r="E363" i="3" s="1"/>
  <c r="O363" i="3" s="1" a="1"/>
  <c r="O363" i="3" s="1"/>
  <c r="G363" i="3" a="1"/>
  <c r="G363" i="3" s="1"/>
  <c r="Q363" i="3" s="1" a="1"/>
  <c r="Q363" i="3" s="1"/>
  <c r="H363" i="3" a="1"/>
  <c r="H363" i="3" s="1"/>
  <c r="R363" i="3" s="1" a="1"/>
  <c r="R363" i="3" s="1"/>
  <c r="S363" i="3" s="1" a="1"/>
  <c r="S363" i="3" s="1"/>
  <c r="I363" i="3" a="1"/>
  <c r="I363" i="3" s="1"/>
  <c r="T363" i="3" s="1" a="1"/>
  <c r="T363" i="3" s="1"/>
  <c r="K363" i="3" a="1"/>
  <c r="K363" i="3" s="1"/>
  <c r="V363" i="3" s="1" a="1"/>
  <c r="V363" i="3" s="1"/>
  <c r="J363" i="3" a="1"/>
  <c r="J363" i="3" s="1"/>
  <c r="U363" i="3" s="1" a="1"/>
  <c r="U363" i="3" s="1"/>
  <c r="B373" i="3" a="1"/>
  <c r="B373" i="3" s="1"/>
  <c r="L373" i="3" s="1" a="1"/>
  <c r="L373" i="3" s="1"/>
  <c r="C373" i="3" a="1"/>
  <c r="C373" i="3" s="1"/>
  <c r="M373" i="3" s="1" a="1"/>
  <c r="M373" i="3" s="1"/>
  <c r="D373" i="3" a="1"/>
  <c r="D373" i="3" s="1"/>
  <c r="N373" i="3" s="1" a="1"/>
  <c r="N373" i="3" s="1"/>
  <c r="E373" i="3" a="1"/>
  <c r="E373" i="3" s="1"/>
  <c r="O373" i="3" s="1" a="1"/>
  <c r="O373" i="3" s="1"/>
  <c r="F373" i="3" a="1"/>
  <c r="F373" i="3" s="1"/>
  <c r="P373" i="3" s="1" a="1"/>
  <c r="P373" i="3" s="1"/>
  <c r="G373" i="3" a="1"/>
  <c r="G373" i="3" s="1"/>
  <c r="Q373" i="3" s="1" a="1"/>
  <c r="Q373" i="3" s="1"/>
  <c r="I373" i="3" a="1"/>
  <c r="I373" i="3" s="1"/>
  <c r="T373" i="3" s="1" a="1"/>
  <c r="T373" i="3" s="1"/>
  <c r="H373" i="3" a="1"/>
  <c r="H373" i="3" s="1"/>
  <c r="R373" i="3" s="1" a="1"/>
  <c r="R373" i="3" s="1"/>
  <c r="S373" i="3" s="1" a="1"/>
  <c r="S373" i="3" s="1"/>
  <c r="J373" i="3" a="1"/>
  <c r="J373" i="3" s="1"/>
  <c r="U373" i="3" s="1" a="1"/>
  <c r="U373" i="3" s="1"/>
  <c r="K373" i="3" a="1"/>
  <c r="K373" i="3" s="1"/>
  <c r="V373" i="3" s="1" a="1"/>
  <c r="V373" i="3" s="1"/>
  <c r="B376" i="3" a="1"/>
  <c r="B376" i="3" s="1"/>
  <c r="L376" i="3" s="1" a="1"/>
  <c r="L376" i="3" s="1"/>
  <c r="C376" i="3" a="1"/>
  <c r="C376" i="3" s="1"/>
  <c r="M376" i="3" s="1" a="1"/>
  <c r="M376" i="3" s="1"/>
  <c r="D376" i="3" a="1"/>
  <c r="D376" i="3" s="1"/>
  <c r="N376" i="3" s="1" a="1"/>
  <c r="N376" i="3" s="1"/>
  <c r="E376" i="3" a="1"/>
  <c r="E376" i="3" s="1"/>
  <c r="O376" i="3" s="1" a="1"/>
  <c r="O376" i="3" s="1"/>
  <c r="F376" i="3" a="1"/>
  <c r="F376" i="3" s="1"/>
  <c r="P376" i="3" s="1" a="1"/>
  <c r="P376" i="3" s="1"/>
  <c r="I376" i="3" a="1"/>
  <c r="I376" i="3" s="1"/>
  <c r="T376" i="3" s="1" a="1"/>
  <c r="T376" i="3" s="1"/>
  <c r="H376" i="3" a="1"/>
  <c r="H376" i="3" s="1"/>
  <c r="R376" i="3" s="1" a="1"/>
  <c r="R376" i="3" s="1"/>
  <c r="S376" i="3" s="1" a="1"/>
  <c r="S376" i="3" s="1"/>
  <c r="G376" i="3" a="1"/>
  <c r="G376" i="3" s="1"/>
  <c r="Q376" i="3" s="1" a="1"/>
  <c r="Q376" i="3" s="1"/>
  <c r="J376" i="3" a="1"/>
  <c r="J376" i="3" s="1"/>
  <c r="U376" i="3" s="1" a="1"/>
  <c r="U376" i="3" s="1"/>
  <c r="K376" i="3" a="1"/>
  <c r="K376" i="3" s="1"/>
  <c r="V376" i="3" s="1" a="1"/>
  <c r="V376" i="3" s="1"/>
  <c r="B378" i="3" a="1"/>
  <c r="B378" i="3" s="1"/>
  <c r="L378" i="3" s="1" a="1"/>
  <c r="L378" i="3" s="1"/>
  <c r="C378" i="3" a="1"/>
  <c r="C378" i="3" s="1"/>
  <c r="M378" i="3" s="1" a="1"/>
  <c r="M378" i="3" s="1"/>
  <c r="D378" i="3" a="1"/>
  <c r="D378" i="3" s="1"/>
  <c r="N378" i="3" s="1" a="1"/>
  <c r="N378" i="3" s="1"/>
  <c r="E378" i="3" a="1"/>
  <c r="E378" i="3" s="1"/>
  <c r="O378" i="3" s="1" a="1"/>
  <c r="O378" i="3" s="1"/>
  <c r="F378" i="3" a="1"/>
  <c r="F378" i="3" s="1"/>
  <c r="P378" i="3" s="1" a="1"/>
  <c r="P378" i="3" s="1"/>
  <c r="I378" i="3" a="1"/>
  <c r="I378" i="3" s="1"/>
  <c r="T378" i="3" s="1" a="1"/>
  <c r="T378" i="3" s="1"/>
  <c r="G378" i="3" a="1"/>
  <c r="G378" i="3" s="1"/>
  <c r="Q378" i="3" s="1" a="1"/>
  <c r="Q378" i="3" s="1"/>
  <c r="H378" i="3" a="1"/>
  <c r="H378" i="3" s="1"/>
  <c r="R378" i="3" s="1" a="1"/>
  <c r="R378" i="3" s="1"/>
  <c r="S378" i="3" s="1" a="1"/>
  <c r="S378" i="3" s="1"/>
  <c r="K378" i="3" a="1"/>
  <c r="K378" i="3" s="1"/>
  <c r="V378" i="3" s="1" a="1"/>
  <c r="V378" i="3" s="1"/>
  <c r="J378" i="3" a="1"/>
  <c r="J378" i="3" s="1"/>
  <c r="U378" i="3" s="1" a="1"/>
  <c r="U378" i="3" s="1"/>
  <c r="B360" i="3" a="1"/>
  <c r="B360" i="3" s="1"/>
  <c r="L360" i="3" s="1" a="1"/>
  <c r="L360" i="3" s="1"/>
  <c r="C360" i="3" a="1"/>
  <c r="C360" i="3" s="1"/>
  <c r="M360" i="3" s="1" a="1"/>
  <c r="M360" i="3" s="1"/>
  <c r="D360" i="3" a="1"/>
  <c r="D360" i="3" s="1"/>
  <c r="N360" i="3" s="1" a="1"/>
  <c r="N360" i="3" s="1"/>
  <c r="E360" i="3" a="1"/>
  <c r="E360" i="3" s="1"/>
  <c r="O360" i="3" s="1" a="1"/>
  <c r="O360" i="3" s="1"/>
  <c r="F360" i="3" a="1"/>
  <c r="F360" i="3" s="1"/>
  <c r="P360" i="3" s="1" a="1"/>
  <c r="P360" i="3" s="1"/>
  <c r="H360" i="3" a="1"/>
  <c r="H360" i="3" s="1"/>
  <c r="R360" i="3" s="1" a="1"/>
  <c r="R360" i="3" s="1"/>
  <c r="S360" i="3" s="1" a="1"/>
  <c r="S360" i="3" s="1"/>
  <c r="I360" i="3" a="1"/>
  <c r="I360" i="3" s="1"/>
  <c r="T360" i="3" s="1" a="1"/>
  <c r="T360" i="3" s="1"/>
  <c r="J360" i="3" a="1"/>
  <c r="J360" i="3" s="1"/>
  <c r="U360" i="3" s="1" a="1"/>
  <c r="U360" i="3" s="1"/>
  <c r="G360" i="3" a="1"/>
  <c r="G360" i="3" s="1"/>
  <c r="Q360" i="3" s="1" a="1"/>
  <c r="Q360" i="3" s="1"/>
  <c r="K360" i="3" a="1"/>
  <c r="K360" i="3" s="1"/>
  <c r="V360" i="3" s="1" a="1"/>
  <c r="V360" i="3" s="1"/>
  <c r="B365" i="3" a="1"/>
  <c r="B365" i="3" s="1"/>
  <c r="L365" i="3" s="1" a="1"/>
  <c r="L365" i="3" s="1"/>
  <c r="C365" i="3" a="1"/>
  <c r="C365" i="3" s="1"/>
  <c r="M365" i="3" s="1" a="1"/>
  <c r="M365" i="3" s="1"/>
  <c r="D365" i="3" a="1"/>
  <c r="D365" i="3" s="1"/>
  <c r="N365" i="3" s="1" a="1"/>
  <c r="N365" i="3" s="1"/>
  <c r="E365" i="3" a="1"/>
  <c r="E365" i="3" s="1"/>
  <c r="O365" i="3" s="1" a="1"/>
  <c r="O365" i="3" s="1"/>
  <c r="F365" i="3" a="1"/>
  <c r="F365" i="3" s="1"/>
  <c r="P365" i="3" s="1" a="1"/>
  <c r="P365" i="3" s="1"/>
  <c r="G365" i="3" a="1"/>
  <c r="G365" i="3" s="1"/>
  <c r="Q365" i="3" s="1" a="1"/>
  <c r="Q365" i="3" s="1"/>
  <c r="I365" i="3" a="1"/>
  <c r="I365" i="3" s="1"/>
  <c r="T365" i="3" s="1" a="1"/>
  <c r="T365" i="3" s="1"/>
  <c r="H365" i="3" a="1"/>
  <c r="H365" i="3" s="1"/>
  <c r="R365" i="3" s="1" a="1"/>
  <c r="R365" i="3" s="1"/>
  <c r="S365" i="3" s="1" a="1"/>
  <c r="S365" i="3" s="1"/>
  <c r="J365" i="3" a="1"/>
  <c r="J365" i="3" s="1"/>
  <c r="U365" i="3" s="1" a="1"/>
  <c r="U365" i="3" s="1"/>
  <c r="K365" i="3" a="1"/>
  <c r="K365" i="3" s="1"/>
  <c r="V365" i="3" s="1" a="1"/>
  <c r="V365" i="3" s="1"/>
  <c r="B380" i="3" a="1"/>
  <c r="B380" i="3" s="1"/>
  <c r="L380" i="3" s="1" a="1"/>
  <c r="L380" i="3" s="1"/>
  <c r="C380" i="3" a="1"/>
  <c r="C380" i="3" s="1"/>
  <c r="M380" i="3" s="1" a="1"/>
  <c r="M380" i="3" s="1"/>
  <c r="D380" i="3" a="1"/>
  <c r="D380" i="3" s="1"/>
  <c r="N380" i="3" s="1" a="1"/>
  <c r="N380" i="3" s="1"/>
  <c r="E380" i="3" a="1"/>
  <c r="E380" i="3" s="1"/>
  <c r="O380" i="3" s="1" a="1"/>
  <c r="O380" i="3" s="1"/>
  <c r="F380" i="3" a="1"/>
  <c r="F380" i="3" s="1"/>
  <c r="P380" i="3" s="1" a="1"/>
  <c r="P380" i="3" s="1"/>
  <c r="G380" i="3" a="1"/>
  <c r="G380" i="3" s="1"/>
  <c r="Q380" i="3" s="1" a="1"/>
  <c r="Q380" i="3" s="1"/>
  <c r="I380" i="3" a="1"/>
  <c r="I380" i="3" s="1"/>
  <c r="T380" i="3" s="1" a="1"/>
  <c r="T380" i="3" s="1"/>
  <c r="H380" i="3" a="1"/>
  <c r="H380" i="3" s="1"/>
  <c r="R380" i="3" s="1" a="1"/>
  <c r="R380" i="3" s="1"/>
  <c r="S380" i="3" s="1" a="1"/>
  <c r="S380" i="3" s="1"/>
  <c r="J380" i="3" a="1"/>
  <c r="J380" i="3" s="1"/>
  <c r="U380" i="3" s="1" a="1"/>
  <c r="U380" i="3" s="1"/>
  <c r="K380" i="3" a="1"/>
  <c r="K380" i="3" s="1"/>
  <c r="V380" i="3" s="1" a="1"/>
  <c r="V380" i="3" s="1"/>
  <c r="B356" i="3" a="1"/>
  <c r="B356" i="3" s="1"/>
  <c r="L356" i="3" s="1" a="1"/>
  <c r="L356" i="3" s="1"/>
  <c r="C356" i="3" a="1"/>
  <c r="C356" i="3" s="1"/>
  <c r="M356" i="3" s="1" a="1"/>
  <c r="M356" i="3" s="1"/>
  <c r="D356" i="3" a="1"/>
  <c r="D356" i="3" s="1"/>
  <c r="N356" i="3" s="1" a="1"/>
  <c r="N356" i="3" s="1"/>
  <c r="E356" i="3" a="1"/>
  <c r="E356" i="3" s="1"/>
  <c r="O356" i="3" s="1" a="1"/>
  <c r="O356" i="3" s="1"/>
  <c r="F356" i="3" a="1"/>
  <c r="F356" i="3" s="1"/>
  <c r="P356" i="3" s="1" a="1"/>
  <c r="P356" i="3" s="1"/>
  <c r="H356" i="3" a="1"/>
  <c r="H356" i="3" s="1"/>
  <c r="R356" i="3" s="1" a="1"/>
  <c r="R356" i="3" s="1"/>
  <c r="S356" i="3" s="1" a="1"/>
  <c r="S356" i="3" s="1"/>
  <c r="G356" i="3" a="1"/>
  <c r="G356" i="3" s="1"/>
  <c r="Q356" i="3" s="1" a="1"/>
  <c r="Q356" i="3" s="1"/>
  <c r="I356" i="3" a="1"/>
  <c r="I356" i="3" s="1"/>
  <c r="T356" i="3" s="1" a="1"/>
  <c r="T356" i="3" s="1"/>
  <c r="J356" i="3" a="1"/>
  <c r="J356" i="3" s="1"/>
  <c r="U356" i="3" s="1" a="1"/>
  <c r="U356" i="3" s="1"/>
  <c r="K356" i="3" a="1"/>
  <c r="K356" i="3" s="1"/>
  <c r="V356" i="3" s="1" a="1"/>
  <c r="V356" i="3" s="1"/>
  <c r="B372" i="3" a="1"/>
  <c r="B372" i="3" s="1"/>
  <c r="L372" i="3" s="1" a="1"/>
  <c r="L372" i="3" s="1"/>
  <c r="C372" i="3" a="1"/>
  <c r="C372" i="3" s="1"/>
  <c r="M372" i="3" s="1" a="1"/>
  <c r="M372" i="3" s="1"/>
  <c r="D372" i="3" a="1"/>
  <c r="D372" i="3" s="1"/>
  <c r="N372" i="3" s="1" a="1"/>
  <c r="N372" i="3" s="1"/>
  <c r="E372" i="3" a="1"/>
  <c r="E372" i="3" s="1"/>
  <c r="O372" i="3" s="1" a="1"/>
  <c r="O372" i="3" s="1"/>
  <c r="F372" i="3" a="1"/>
  <c r="F372" i="3" s="1"/>
  <c r="P372" i="3" s="1" a="1"/>
  <c r="P372" i="3" s="1"/>
  <c r="G372" i="3" a="1"/>
  <c r="G372" i="3" s="1"/>
  <c r="Q372" i="3" s="1" a="1"/>
  <c r="Q372" i="3" s="1"/>
  <c r="I372" i="3" a="1"/>
  <c r="I372" i="3" s="1"/>
  <c r="T372" i="3" s="1" a="1"/>
  <c r="T372" i="3" s="1"/>
  <c r="H372" i="3" a="1"/>
  <c r="H372" i="3" s="1"/>
  <c r="R372" i="3" s="1" a="1"/>
  <c r="R372" i="3" s="1"/>
  <c r="S372" i="3" s="1" a="1"/>
  <c r="S372" i="3" s="1"/>
  <c r="J372" i="3" a="1"/>
  <c r="J372" i="3" s="1"/>
  <c r="U372" i="3" s="1" a="1"/>
  <c r="U372" i="3" s="1"/>
  <c r="K372" i="3" a="1"/>
  <c r="K372" i="3" s="1"/>
  <c r="V372" i="3" s="1" a="1"/>
  <c r="V372" i="3" s="1"/>
  <c r="B364" i="3" a="1"/>
  <c r="B364" i="3" s="1"/>
  <c r="L364" i="3" s="1" a="1"/>
  <c r="L364" i="3" s="1"/>
  <c r="C364" i="3" a="1"/>
  <c r="C364" i="3" s="1"/>
  <c r="M364" i="3" s="1" a="1"/>
  <c r="M364" i="3" s="1"/>
  <c r="D364" i="3" a="1"/>
  <c r="D364" i="3" s="1"/>
  <c r="N364" i="3" s="1" a="1"/>
  <c r="N364" i="3" s="1"/>
  <c r="E364" i="3" a="1"/>
  <c r="E364" i="3" s="1"/>
  <c r="O364" i="3" s="1" a="1"/>
  <c r="O364" i="3" s="1"/>
  <c r="F364" i="3" a="1"/>
  <c r="F364" i="3" s="1"/>
  <c r="P364" i="3" s="1" a="1"/>
  <c r="P364" i="3" s="1"/>
  <c r="H364" i="3" a="1"/>
  <c r="H364" i="3" s="1"/>
  <c r="R364" i="3" s="1" a="1"/>
  <c r="R364" i="3" s="1"/>
  <c r="S364" i="3" s="1" a="1"/>
  <c r="S364" i="3" s="1"/>
  <c r="G364" i="3" a="1"/>
  <c r="G364" i="3" s="1"/>
  <c r="Q364" i="3" s="1" a="1"/>
  <c r="Q364" i="3" s="1"/>
  <c r="I364" i="3" a="1"/>
  <c r="I364" i="3" s="1"/>
  <c r="T364" i="3" s="1" a="1"/>
  <c r="T364" i="3" s="1"/>
  <c r="J364" i="3" a="1"/>
  <c r="J364" i="3" s="1"/>
  <c r="U364" i="3" s="1" a="1"/>
  <c r="U364" i="3" s="1"/>
  <c r="K364" i="3" a="1"/>
  <c r="K364" i="3" s="1"/>
  <c r="V364" i="3" s="1" a="1"/>
  <c r="V364" i="3" s="1"/>
  <c r="B377" i="3" a="1"/>
  <c r="B377" i="3" s="1"/>
  <c r="L377" i="3" s="1" a="1"/>
  <c r="L377" i="3" s="1"/>
  <c r="C377" i="3" a="1"/>
  <c r="C377" i="3" s="1"/>
  <c r="M377" i="3" s="1" a="1"/>
  <c r="M377" i="3" s="1"/>
  <c r="D377" i="3" a="1"/>
  <c r="D377" i="3" s="1"/>
  <c r="N377" i="3" s="1" a="1"/>
  <c r="N377" i="3" s="1"/>
  <c r="E377" i="3" a="1"/>
  <c r="E377" i="3" s="1"/>
  <c r="O377" i="3" s="1" a="1"/>
  <c r="O377" i="3" s="1"/>
  <c r="F377" i="3" a="1"/>
  <c r="F377" i="3" s="1"/>
  <c r="P377" i="3" s="1" a="1"/>
  <c r="P377" i="3" s="1"/>
  <c r="G377" i="3" a="1"/>
  <c r="G377" i="3" s="1"/>
  <c r="Q377" i="3" s="1" a="1"/>
  <c r="Q377" i="3" s="1"/>
  <c r="I377" i="3" a="1"/>
  <c r="I377" i="3" s="1"/>
  <c r="T377" i="3" s="1" a="1"/>
  <c r="T377" i="3" s="1"/>
  <c r="H377" i="3" a="1"/>
  <c r="H377" i="3" s="1"/>
  <c r="R377" i="3" s="1" a="1"/>
  <c r="R377" i="3" s="1"/>
  <c r="S377" i="3" s="1" a="1"/>
  <c r="S377" i="3" s="1"/>
  <c r="K377" i="3" a="1"/>
  <c r="K377" i="3" s="1"/>
  <c r="V377" i="3" s="1" a="1"/>
  <c r="V377" i="3" s="1"/>
  <c r="J377" i="3" a="1"/>
  <c r="J377" i="3" s="1"/>
  <c r="U377" i="3" s="1" a="1"/>
  <c r="U377" i="3" s="1"/>
  <c r="B353" i="3" a="1"/>
  <c r="B353" i="3" s="1"/>
  <c r="L353" i="3" s="1" a="1"/>
  <c r="L353" i="3" s="1"/>
  <c r="C353" i="3" a="1"/>
  <c r="C353" i="3" s="1"/>
  <c r="M353" i="3" s="1" a="1"/>
  <c r="M353" i="3" s="1"/>
  <c r="D353" i="3" a="1"/>
  <c r="D353" i="3" s="1"/>
  <c r="N353" i="3" s="1" a="1"/>
  <c r="N353" i="3" s="1"/>
  <c r="E353" i="3" a="1"/>
  <c r="E353" i="3" s="1"/>
  <c r="O353" i="3" s="1" a="1"/>
  <c r="O353" i="3" s="1"/>
  <c r="F353" i="3" a="1"/>
  <c r="F353" i="3" s="1"/>
  <c r="P353" i="3" s="1" a="1"/>
  <c r="P353" i="3" s="1"/>
  <c r="G353" i="3" a="1"/>
  <c r="G353" i="3" s="1"/>
  <c r="Q353" i="3" s="1" a="1"/>
  <c r="Q353" i="3" s="1"/>
  <c r="H353" i="3" a="1"/>
  <c r="H353" i="3" s="1"/>
  <c r="R353" i="3" s="1" a="1"/>
  <c r="R353" i="3" s="1"/>
  <c r="S353" i="3" s="1" a="1"/>
  <c r="S353" i="3" s="1"/>
  <c r="I353" i="3" a="1"/>
  <c r="I353" i="3" s="1"/>
  <c r="T353" i="3" s="1" a="1"/>
  <c r="T353" i="3" s="1"/>
  <c r="J353" i="3" a="1"/>
  <c r="J353" i="3" s="1"/>
  <c r="U353" i="3" s="1" a="1"/>
  <c r="U353" i="3" s="1"/>
  <c r="K353" i="3" a="1"/>
  <c r="K353" i="3" s="1"/>
  <c r="V353" i="3" s="1" a="1"/>
  <c r="V353" i="3" s="1"/>
  <c r="B358" i="3" a="1"/>
  <c r="B358" i="3" s="1"/>
  <c r="L358" i="3" s="1" a="1"/>
  <c r="L358" i="3" s="1"/>
  <c r="C358" i="3" a="1"/>
  <c r="C358" i="3" s="1"/>
  <c r="M358" i="3" s="1" a="1"/>
  <c r="M358" i="3" s="1"/>
  <c r="D358" i="3" a="1"/>
  <c r="D358" i="3" s="1"/>
  <c r="N358" i="3" s="1" a="1"/>
  <c r="N358" i="3" s="1"/>
  <c r="E358" i="3" a="1"/>
  <c r="E358" i="3" s="1"/>
  <c r="O358" i="3" s="1" a="1"/>
  <c r="O358" i="3" s="1"/>
  <c r="F358" i="3" a="1"/>
  <c r="F358" i="3" s="1"/>
  <c r="P358" i="3" s="1" a="1"/>
  <c r="P358" i="3" s="1"/>
  <c r="H358" i="3" a="1"/>
  <c r="H358" i="3" s="1"/>
  <c r="R358" i="3" s="1" a="1"/>
  <c r="R358" i="3" s="1"/>
  <c r="S358" i="3" s="1" a="1"/>
  <c r="S358" i="3" s="1"/>
  <c r="G358" i="3" a="1"/>
  <c r="G358" i="3" s="1"/>
  <c r="Q358" i="3" s="1" a="1"/>
  <c r="Q358" i="3" s="1"/>
  <c r="J358" i="3" a="1"/>
  <c r="J358" i="3" s="1"/>
  <c r="U358" i="3" s="1" a="1"/>
  <c r="U358" i="3" s="1"/>
  <c r="I358" i="3" a="1"/>
  <c r="I358" i="3" s="1"/>
  <c r="T358" i="3" s="1" a="1"/>
  <c r="T358" i="3" s="1"/>
  <c r="K358" i="3" a="1"/>
  <c r="K358" i="3" s="1"/>
  <c r="V358" i="3" s="1" a="1"/>
  <c r="V358" i="3" s="1"/>
  <c r="B361" i="3" a="1"/>
  <c r="B361" i="3" s="1"/>
  <c r="L361" i="3" s="1" a="1"/>
  <c r="L361" i="3" s="1"/>
  <c r="C361" i="3" a="1"/>
  <c r="C361" i="3" s="1"/>
  <c r="M361" i="3" s="1" a="1"/>
  <c r="M361" i="3" s="1"/>
  <c r="D361" i="3" a="1"/>
  <c r="D361" i="3" s="1"/>
  <c r="N361" i="3" s="1" a="1"/>
  <c r="N361" i="3" s="1"/>
  <c r="E361" i="3" a="1"/>
  <c r="E361" i="3" s="1"/>
  <c r="O361" i="3" s="1" a="1"/>
  <c r="O361" i="3" s="1"/>
  <c r="F361" i="3" a="1"/>
  <c r="F361" i="3" s="1"/>
  <c r="P361" i="3" s="1" a="1"/>
  <c r="P361" i="3" s="1"/>
  <c r="G361" i="3" a="1"/>
  <c r="G361" i="3" s="1"/>
  <c r="Q361" i="3" s="1" a="1"/>
  <c r="Q361" i="3" s="1"/>
  <c r="H361" i="3" a="1"/>
  <c r="H361" i="3" s="1"/>
  <c r="R361" i="3" s="1" a="1"/>
  <c r="R361" i="3" s="1"/>
  <c r="S361" i="3" s="1" a="1"/>
  <c r="S361" i="3" s="1"/>
  <c r="I361" i="3" a="1"/>
  <c r="I361" i="3" s="1"/>
  <c r="T361" i="3" s="1" a="1"/>
  <c r="T361" i="3" s="1"/>
  <c r="J361" i="3" a="1"/>
  <c r="J361" i="3" s="1"/>
  <c r="U361" i="3" s="1" a="1"/>
  <c r="U361" i="3" s="1"/>
  <c r="K361" i="3" a="1"/>
  <c r="K361" i="3" s="1"/>
  <c r="V361" i="3" s="1" a="1"/>
  <c r="V361" i="3" s="1"/>
  <c r="B370" i="3" a="1"/>
  <c r="B370" i="3" s="1"/>
  <c r="L370" i="3" s="1" a="1"/>
  <c r="L370" i="3" s="1"/>
  <c r="C370" i="3" a="1"/>
  <c r="C370" i="3" s="1"/>
  <c r="M370" i="3" s="1" a="1"/>
  <c r="M370" i="3" s="1"/>
  <c r="D370" i="3" a="1"/>
  <c r="D370" i="3" s="1"/>
  <c r="N370" i="3" s="1" a="1"/>
  <c r="N370" i="3" s="1"/>
  <c r="E370" i="3" a="1"/>
  <c r="E370" i="3" s="1"/>
  <c r="O370" i="3" s="1" a="1"/>
  <c r="O370" i="3" s="1"/>
  <c r="F370" i="3" a="1"/>
  <c r="F370" i="3" s="1"/>
  <c r="P370" i="3" s="1" a="1"/>
  <c r="P370" i="3" s="1"/>
  <c r="J370" i="3" a="1"/>
  <c r="J370" i="3" s="1"/>
  <c r="U370" i="3" s="1" a="1"/>
  <c r="U370" i="3" s="1"/>
  <c r="I370" i="3" a="1"/>
  <c r="I370" i="3" s="1"/>
  <c r="T370" i="3" s="1" a="1"/>
  <c r="T370" i="3" s="1"/>
  <c r="G370" i="3" a="1"/>
  <c r="G370" i="3" s="1"/>
  <c r="Q370" i="3" s="1" a="1"/>
  <c r="Q370" i="3" s="1"/>
  <c r="H370" i="3" a="1"/>
  <c r="H370" i="3" s="1"/>
  <c r="R370" i="3" s="1" a="1"/>
  <c r="R370" i="3" s="1"/>
  <c r="S370" i="3" s="1" a="1"/>
  <c r="S370" i="3" s="1"/>
  <c r="K370" i="3" a="1"/>
  <c r="K370" i="3" s="1"/>
  <c r="V370" i="3" s="1" a="1"/>
  <c r="V370" i="3" s="1"/>
  <c r="B366" i="3" a="1"/>
  <c r="B366" i="3" s="1"/>
  <c r="L366" i="3" s="1" a="1"/>
  <c r="L366" i="3" s="1"/>
  <c r="C366" i="3" a="1"/>
  <c r="C366" i="3" s="1"/>
  <c r="M366" i="3" s="1" a="1"/>
  <c r="M366" i="3" s="1"/>
  <c r="D366" i="3" a="1"/>
  <c r="D366" i="3" s="1"/>
  <c r="N366" i="3" s="1" a="1"/>
  <c r="N366" i="3" s="1"/>
  <c r="E366" i="3" a="1"/>
  <c r="E366" i="3" s="1"/>
  <c r="O366" i="3" s="1" a="1"/>
  <c r="O366" i="3" s="1"/>
  <c r="F366" i="3" a="1"/>
  <c r="F366" i="3" s="1"/>
  <c r="P366" i="3" s="1" a="1"/>
  <c r="P366" i="3" s="1"/>
  <c r="G366" i="3" a="1"/>
  <c r="G366" i="3" s="1"/>
  <c r="Q366" i="3" s="1" a="1"/>
  <c r="Q366" i="3" s="1"/>
  <c r="J366" i="3" a="1"/>
  <c r="J366" i="3" s="1"/>
  <c r="U366" i="3" s="1" a="1"/>
  <c r="U366" i="3" s="1"/>
  <c r="I366" i="3" a="1"/>
  <c r="I366" i="3" s="1"/>
  <c r="T366" i="3" s="1" a="1"/>
  <c r="T366" i="3" s="1"/>
  <c r="H366" i="3" a="1"/>
  <c r="H366" i="3" s="1"/>
  <c r="R366" i="3" s="1" a="1"/>
  <c r="R366" i="3" s="1"/>
  <c r="S366" i="3" s="1" a="1"/>
  <c r="S366" i="3" s="1"/>
  <c r="K366" i="3" a="1"/>
  <c r="K366" i="3" s="1"/>
  <c r="V366" i="3" s="1" a="1"/>
  <c r="V366" i="3" s="1"/>
  <c r="B375" i="3" a="1"/>
  <c r="B375" i="3" s="1"/>
  <c r="L375" i="3" s="1" a="1"/>
  <c r="L375" i="3" s="1"/>
  <c r="C375" i="3" a="1"/>
  <c r="C375" i="3" s="1"/>
  <c r="M375" i="3" s="1" a="1"/>
  <c r="M375" i="3" s="1"/>
  <c r="D375" i="3" a="1"/>
  <c r="D375" i="3" s="1"/>
  <c r="N375" i="3" s="1" a="1"/>
  <c r="N375" i="3" s="1"/>
  <c r="F375" i="3" a="1"/>
  <c r="F375" i="3" s="1"/>
  <c r="P375" i="3" s="1" a="1"/>
  <c r="P375" i="3" s="1"/>
  <c r="E375" i="3" a="1"/>
  <c r="E375" i="3" s="1"/>
  <c r="O375" i="3" s="1" a="1"/>
  <c r="O375" i="3" s="1"/>
  <c r="G375" i="3" a="1"/>
  <c r="G375" i="3" s="1"/>
  <c r="Q375" i="3" s="1" a="1"/>
  <c r="Q375" i="3" s="1"/>
  <c r="H375" i="3" a="1"/>
  <c r="H375" i="3" s="1"/>
  <c r="R375" i="3" s="1" a="1"/>
  <c r="R375" i="3" s="1"/>
  <c r="S375" i="3" s="1" a="1"/>
  <c r="S375" i="3" s="1"/>
  <c r="I375" i="3" a="1"/>
  <c r="I375" i="3" s="1"/>
  <c r="T375" i="3" s="1" a="1"/>
  <c r="T375" i="3" s="1"/>
  <c r="J375" i="3" a="1"/>
  <c r="J375" i="3" s="1"/>
  <c r="U375" i="3" s="1" a="1"/>
  <c r="U375" i="3" s="1"/>
  <c r="K375" i="3" a="1"/>
  <c r="K375" i="3" s="1"/>
  <c r="V375" i="3" s="1" a="1"/>
  <c r="V375" i="3" s="1"/>
  <c r="B382" i="3" a="1"/>
  <c r="B382" i="3" s="1"/>
  <c r="L382" i="3" s="1" a="1"/>
  <c r="L382" i="3" s="1"/>
  <c r="C382" i="3" a="1"/>
  <c r="C382" i="3" s="1"/>
  <c r="M382" i="3" s="1" a="1"/>
  <c r="M382" i="3" s="1"/>
  <c r="D382" i="3" a="1"/>
  <c r="D382" i="3" s="1"/>
  <c r="N382" i="3" s="1" a="1"/>
  <c r="N382" i="3" s="1"/>
  <c r="E382" i="3" a="1"/>
  <c r="E382" i="3" s="1"/>
  <c r="O382" i="3" s="1" a="1"/>
  <c r="O382" i="3" s="1"/>
  <c r="F382" i="3" a="1"/>
  <c r="F382" i="3" s="1"/>
  <c r="P382" i="3" s="1" a="1"/>
  <c r="P382" i="3" s="1"/>
  <c r="G382" i="3" a="1"/>
  <c r="G382" i="3" s="1"/>
  <c r="Q382" i="3" s="1" a="1"/>
  <c r="Q382" i="3" s="1"/>
  <c r="I382" i="3" a="1"/>
  <c r="I382" i="3" s="1"/>
  <c r="T382" i="3" s="1" a="1"/>
  <c r="T382" i="3" s="1"/>
  <c r="H382" i="3" a="1"/>
  <c r="H382" i="3" s="1"/>
  <c r="R382" i="3" s="1" a="1"/>
  <c r="R382" i="3" s="1"/>
  <c r="S382" i="3" s="1" a="1"/>
  <c r="S382" i="3" s="1"/>
  <c r="K382" i="3" a="1"/>
  <c r="K382" i="3" s="1"/>
  <c r="V382" i="3" s="1" a="1"/>
  <c r="V382" i="3" s="1"/>
  <c r="J382" i="3" a="1"/>
  <c r="J382" i="3" s="1"/>
  <c r="U382" i="3" s="1" a="1"/>
  <c r="U382" i="3" s="1"/>
  <c r="M383" i="1"/>
  <c r="M397" i="1"/>
  <c r="M385" i="1"/>
  <c r="M399" i="1"/>
  <c r="M387" i="1"/>
  <c r="M393" i="1"/>
  <c r="M382" i="1"/>
  <c r="M381" i="1"/>
  <c r="M377" i="1"/>
  <c r="M374" i="1"/>
  <c r="M372" i="1"/>
  <c r="M363" i="1"/>
  <c r="M361" i="1"/>
  <c r="M359" i="1"/>
  <c r="M358" i="1"/>
  <c r="M356" i="1"/>
  <c r="B351" i="6"/>
  <c r="H351" i="1" s="1"/>
  <c r="AC351" i="3" s="1"/>
  <c r="B352" i="6"/>
  <c r="H352" i="1" s="1"/>
  <c r="AC352" i="3" s="1"/>
  <c r="L351" i="1"/>
  <c r="A351" i="3" s="1"/>
  <c r="L352" i="1"/>
  <c r="A352" i="3" s="1"/>
  <c r="B349" i="6"/>
  <c r="H349" i="1" s="1"/>
  <c r="AC349" i="3" s="1"/>
  <c r="B350" i="6"/>
  <c r="H350" i="1" s="1"/>
  <c r="AC350" i="3" s="1"/>
  <c r="M362" i="1" a="1"/>
  <c r="M376" i="1" a="1"/>
  <c r="M360" i="1" a="1"/>
  <c r="M379" i="1" a="1"/>
  <c r="M367" i="1" a="1"/>
  <c r="M368" i="1" a="1"/>
  <c r="M366" i="1" a="1"/>
  <c r="M375" i="1" a="1"/>
  <c r="M364" i="1" a="1"/>
  <c r="M357" i="1" a="1"/>
  <c r="M380" i="1" a="1"/>
  <c r="M373" i="1" a="1"/>
  <c r="M365" i="1" a="1"/>
  <c r="M371" i="1" a="1"/>
  <c r="M378" i="1" a="1"/>
  <c r="M355" i="1" a="1"/>
  <c r="M370" i="1" a="1"/>
  <c r="M353" i="1" a="1"/>
  <c r="M369" i="1" a="1"/>
  <c r="M354" i="1" a="1"/>
  <c r="M371" i="1" l="1"/>
  <c r="M375" i="1"/>
  <c r="M354" i="1"/>
  <c r="M366" i="1"/>
  <c r="M376" i="1"/>
  <c r="M367" i="1"/>
  <c r="M370" i="1"/>
  <c r="M373" i="1"/>
  <c r="M353" i="1"/>
  <c r="M362" i="1"/>
  <c r="M378" i="1"/>
  <c r="M364" i="1"/>
  <c r="M357" i="1"/>
  <c r="M379" i="1"/>
  <c r="M368" i="1"/>
  <c r="M365" i="1"/>
  <c r="M380" i="1"/>
  <c r="B351" i="3" a="1"/>
  <c r="B351" i="3" s="1"/>
  <c r="L351" i="3" s="1" a="1"/>
  <c r="L351" i="3" s="1"/>
  <c r="C351" i="3" a="1"/>
  <c r="C351" i="3" s="1"/>
  <c r="M351" i="3" s="1" a="1"/>
  <c r="M351" i="3" s="1"/>
  <c r="D351" i="3" a="1"/>
  <c r="D351" i="3" s="1"/>
  <c r="N351" i="3" s="1" a="1"/>
  <c r="N351" i="3" s="1"/>
  <c r="F351" i="3" a="1"/>
  <c r="F351" i="3" s="1"/>
  <c r="P351" i="3" s="1" a="1"/>
  <c r="P351" i="3" s="1"/>
  <c r="E351" i="3" a="1"/>
  <c r="E351" i="3" s="1"/>
  <c r="O351" i="3" s="1" a="1"/>
  <c r="O351" i="3" s="1"/>
  <c r="G351" i="3" a="1"/>
  <c r="G351" i="3" s="1"/>
  <c r="Q351" i="3" s="1" a="1"/>
  <c r="Q351" i="3" s="1"/>
  <c r="H351" i="3" a="1"/>
  <c r="H351" i="3" s="1"/>
  <c r="R351" i="3" s="1" a="1"/>
  <c r="R351" i="3" s="1"/>
  <c r="S351" i="3" s="1" a="1"/>
  <c r="S351" i="3" s="1"/>
  <c r="I351" i="3" a="1"/>
  <c r="I351" i="3" s="1"/>
  <c r="T351" i="3" s="1" a="1"/>
  <c r="T351" i="3" s="1"/>
  <c r="J351" i="3" a="1"/>
  <c r="J351" i="3" s="1"/>
  <c r="U351" i="3" s="1" a="1"/>
  <c r="U351" i="3" s="1"/>
  <c r="K351" i="3" a="1"/>
  <c r="K351" i="3" s="1"/>
  <c r="V351" i="3" s="1" a="1"/>
  <c r="V351" i="3" s="1"/>
  <c r="B352" i="3" a="1"/>
  <c r="B352" i="3" s="1"/>
  <c r="L352" i="3" s="1" a="1"/>
  <c r="L352" i="3" s="1"/>
  <c r="C352" i="3" a="1"/>
  <c r="C352" i="3" s="1"/>
  <c r="M352" i="3" s="1" a="1"/>
  <c r="M352" i="3" s="1"/>
  <c r="D352" i="3" a="1"/>
  <c r="D352" i="3" s="1"/>
  <c r="N352" i="3" s="1" a="1"/>
  <c r="N352" i="3" s="1"/>
  <c r="E352" i="3" a="1"/>
  <c r="E352" i="3" s="1"/>
  <c r="O352" i="3" s="1" a="1"/>
  <c r="O352" i="3" s="1"/>
  <c r="F352" i="3" a="1"/>
  <c r="F352" i="3" s="1"/>
  <c r="P352" i="3" s="1" a="1"/>
  <c r="P352" i="3" s="1"/>
  <c r="H352" i="3" a="1"/>
  <c r="H352" i="3" s="1"/>
  <c r="R352" i="3" s="1" a="1"/>
  <c r="R352" i="3" s="1"/>
  <c r="S352" i="3" s="1" a="1"/>
  <c r="S352" i="3" s="1"/>
  <c r="I352" i="3" a="1"/>
  <c r="I352" i="3" s="1"/>
  <c r="T352" i="3" s="1" a="1"/>
  <c r="T352" i="3" s="1"/>
  <c r="J352" i="3" a="1"/>
  <c r="J352" i="3" s="1"/>
  <c r="U352" i="3" s="1" a="1"/>
  <c r="U352" i="3" s="1"/>
  <c r="G352" i="3" a="1"/>
  <c r="G352" i="3" s="1"/>
  <c r="Q352" i="3" s="1" a="1"/>
  <c r="Q352" i="3" s="1"/>
  <c r="K352" i="3" a="1"/>
  <c r="K352" i="3" s="1"/>
  <c r="V352" i="3" s="1" a="1"/>
  <c r="V352" i="3" s="1"/>
  <c r="M355" i="1"/>
  <c r="M360" i="1"/>
  <c r="M369" i="1"/>
  <c r="L349" i="1"/>
  <c r="A349" i="3" s="1"/>
  <c r="L350" i="1"/>
  <c r="A350" i="3" s="1"/>
  <c r="M352" i="1" a="1"/>
  <c r="M351" i="1" a="1"/>
  <c r="B350" i="3" l="1" a="1"/>
  <c r="B350" i="3" s="1"/>
  <c r="L350" i="3" s="1" a="1"/>
  <c r="L350" i="3" s="1"/>
  <c r="C350" i="3" a="1"/>
  <c r="C350" i="3" s="1"/>
  <c r="M350" i="3" s="1" a="1"/>
  <c r="M350" i="3" s="1"/>
  <c r="D350" i="3" a="1"/>
  <c r="D350" i="3" s="1"/>
  <c r="N350" i="3" s="1" a="1"/>
  <c r="N350" i="3" s="1"/>
  <c r="E350" i="3" a="1"/>
  <c r="E350" i="3" s="1"/>
  <c r="O350" i="3" s="1" a="1"/>
  <c r="O350" i="3" s="1"/>
  <c r="F350" i="3" a="1"/>
  <c r="F350" i="3" s="1"/>
  <c r="P350" i="3" s="1" a="1"/>
  <c r="P350" i="3" s="1"/>
  <c r="H350" i="3" a="1"/>
  <c r="H350" i="3" s="1"/>
  <c r="R350" i="3" s="1" a="1"/>
  <c r="R350" i="3" s="1"/>
  <c r="S350" i="3" s="1" a="1"/>
  <c r="S350" i="3" s="1"/>
  <c r="G350" i="3" a="1"/>
  <c r="G350" i="3" s="1"/>
  <c r="Q350" i="3" s="1" a="1"/>
  <c r="Q350" i="3" s="1"/>
  <c r="J350" i="3" a="1"/>
  <c r="J350" i="3" s="1"/>
  <c r="U350" i="3" s="1" a="1"/>
  <c r="U350" i="3" s="1"/>
  <c r="I350" i="3" a="1"/>
  <c r="I350" i="3" s="1"/>
  <c r="T350" i="3" s="1" a="1"/>
  <c r="T350" i="3" s="1"/>
  <c r="K350" i="3" a="1"/>
  <c r="K350" i="3" s="1"/>
  <c r="V350" i="3" s="1" a="1"/>
  <c r="V350" i="3" s="1"/>
  <c r="B349" i="3" a="1"/>
  <c r="B349" i="3" s="1"/>
  <c r="L349" i="3" s="1" a="1"/>
  <c r="L349" i="3" s="1"/>
  <c r="C349" i="3" a="1"/>
  <c r="C349" i="3" s="1"/>
  <c r="M349" i="3" s="1" a="1"/>
  <c r="M349" i="3" s="1"/>
  <c r="D349" i="3" a="1"/>
  <c r="D349" i="3" s="1"/>
  <c r="N349" i="3" s="1" a="1"/>
  <c r="N349" i="3" s="1"/>
  <c r="E349" i="3" a="1"/>
  <c r="E349" i="3" s="1"/>
  <c r="O349" i="3" s="1" a="1"/>
  <c r="O349" i="3" s="1"/>
  <c r="F349" i="3" a="1"/>
  <c r="F349" i="3" s="1"/>
  <c r="P349" i="3" s="1" a="1"/>
  <c r="P349" i="3" s="1"/>
  <c r="G349" i="3" a="1"/>
  <c r="G349" i="3" s="1"/>
  <c r="Q349" i="3" s="1" a="1"/>
  <c r="Q349" i="3" s="1"/>
  <c r="I349" i="3" a="1"/>
  <c r="I349" i="3" s="1"/>
  <c r="T349" i="3" s="1" a="1"/>
  <c r="T349" i="3" s="1"/>
  <c r="H349" i="3" a="1"/>
  <c r="H349" i="3" s="1"/>
  <c r="R349" i="3" s="1" a="1"/>
  <c r="R349" i="3" s="1"/>
  <c r="S349" i="3" s="1" a="1"/>
  <c r="S349" i="3" s="1"/>
  <c r="J349" i="3" a="1"/>
  <c r="J349" i="3" s="1"/>
  <c r="U349" i="3" s="1" a="1"/>
  <c r="U349" i="3" s="1"/>
  <c r="K349" i="3" a="1"/>
  <c r="K349" i="3" s="1"/>
  <c r="V349" i="3" s="1" a="1"/>
  <c r="V349" i="3" s="1"/>
  <c r="M352" i="1"/>
  <c r="M351" i="1"/>
  <c r="M349" i="1" a="1"/>
  <c r="M350" i="1" a="1"/>
  <c r="M349" i="1" l="1"/>
  <c r="M350" i="1"/>
  <c r="B346" i="6"/>
  <c r="H346" i="1" s="1"/>
  <c r="AC346" i="3" s="1"/>
  <c r="B347" i="6"/>
  <c r="H347" i="1" s="1"/>
  <c r="AC347" i="3" s="1"/>
  <c r="B348" i="6"/>
  <c r="H348" i="1" s="1"/>
  <c r="AC348" i="3" s="1"/>
  <c r="L346" i="1"/>
  <c r="A346" i="3" s="1"/>
  <c r="L347" i="1"/>
  <c r="A347" i="3" s="1"/>
  <c r="L348" i="1"/>
  <c r="A348" i="3" s="1"/>
  <c r="E10000" i="6"/>
  <c r="B343" i="6"/>
  <c r="H343" i="1" s="1"/>
  <c r="AC343" i="3" s="1"/>
  <c r="B344" i="6"/>
  <c r="H344" i="1" s="1"/>
  <c r="AC344" i="3" s="1"/>
  <c r="B345" i="6"/>
  <c r="H345" i="1" s="1"/>
  <c r="AC345" i="3" s="1"/>
  <c r="L342" i="1"/>
  <c r="A342" i="3" s="1"/>
  <c r="L344" i="1"/>
  <c r="A344" i="3" s="1"/>
  <c r="L345" i="1"/>
  <c r="A345" i="3" s="1"/>
  <c r="B342" i="6"/>
  <c r="H342" i="1" s="1"/>
  <c r="AC342" i="3" s="1"/>
  <c r="L343" i="1"/>
  <c r="A343" i="3" s="1"/>
  <c r="L340" i="1"/>
  <c r="A340" i="3" s="1"/>
  <c r="L341" i="1"/>
  <c r="A341" i="3" s="1"/>
  <c r="B340" i="6"/>
  <c r="H340" i="1" s="1"/>
  <c r="AC340" i="3" s="1"/>
  <c r="B341" i="6"/>
  <c r="H341" i="1" s="1"/>
  <c r="AC341" i="3" s="1"/>
  <c r="B338" i="6"/>
  <c r="H338" i="1" s="1"/>
  <c r="AC338" i="3" s="1"/>
  <c r="B339" i="6"/>
  <c r="H339" i="1" s="1"/>
  <c r="AC339" i="3" s="1"/>
  <c r="L338" i="1"/>
  <c r="A338" i="3" s="1"/>
  <c r="L339" i="1"/>
  <c r="A339" i="3" s="1"/>
  <c r="B337" i="6"/>
  <c r="H337" i="1" s="1"/>
  <c r="AC337" i="3" s="1"/>
  <c r="M342" i="1" a="1"/>
  <c r="M346" i="1" a="1"/>
  <c r="M344" i="1" a="1"/>
  <c r="M347" i="1" a="1"/>
  <c r="M340" i="1" a="1"/>
  <c r="M339" i="1" a="1"/>
  <c r="M341" i="1" a="1"/>
  <c r="M343" i="1" a="1"/>
  <c r="B338" i="3" l="1" a="1"/>
  <c r="B338" i="3" s="1"/>
  <c r="L338" i="3" s="1" a="1"/>
  <c r="L338" i="3" s="1"/>
  <c r="C338" i="3" a="1"/>
  <c r="C338" i="3" s="1"/>
  <c r="M338" i="3" s="1" a="1"/>
  <c r="M338" i="3" s="1"/>
  <c r="D338" i="3" a="1"/>
  <c r="D338" i="3" s="1"/>
  <c r="N338" i="3" s="1" a="1"/>
  <c r="N338" i="3" s="1"/>
  <c r="E338" i="3" a="1"/>
  <c r="E338" i="3" s="1"/>
  <c r="O338" i="3" s="1" a="1"/>
  <c r="O338" i="3" s="1"/>
  <c r="F338" i="3" a="1"/>
  <c r="F338" i="3" s="1"/>
  <c r="P338" i="3" s="1" a="1"/>
  <c r="P338" i="3" s="1"/>
  <c r="H338" i="3" a="1"/>
  <c r="H338" i="3" s="1"/>
  <c r="R338" i="3" s="1" a="1"/>
  <c r="R338" i="3" s="1"/>
  <c r="S338" i="3" s="1" a="1"/>
  <c r="S338" i="3" s="1"/>
  <c r="J338" i="3" a="1"/>
  <c r="J338" i="3" s="1"/>
  <c r="U338" i="3" s="1" a="1"/>
  <c r="U338" i="3" s="1"/>
  <c r="I338" i="3" a="1"/>
  <c r="I338" i="3" s="1"/>
  <c r="T338" i="3" s="1" a="1"/>
  <c r="T338" i="3" s="1"/>
  <c r="G338" i="3" a="1"/>
  <c r="G338" i="3" s="1"/>
  <c r="Q338" i="3" s="1" a="1"/>
  <c r="Q338" i="3" s="1"/>
  <c r="K338" i="3" a="1"/>
  <c r="K338" i="3" s="1"/>
  <c r="V338" i="3" s="1" a="1"/>
  <c r="V338" i="3" s="1"/>
  <c r="B348" i="3" a="1"/>
  <c r="B348" i="3" s="1"/>
  <c r="L348" i="3" s="1" a="1"/>
  <c r="L348" i="3" s="1"/>
  <c r="C348" i="3" a="1"/>
  <c r="C348" i="3" s="1"/>
  <c r="M348" i="3" s="1" a="1"/>
  <c r="M348" i="3" s="1"/>
  <c r="D348" i="3" a="1"/>
  <c r="D348" i="3" s="1"/>
  <c r="N348" i="3" s="1" a="1"/>
  <c r="N348" i="3" s="1"/>
  <c r="E348" i="3" a="1"/>
  <c r="E348" i="3" s="1"/>
  <c r="O348" i="3" s="1" a="1"/>
  <c r="O348" i="3" s="1"/>
  <c r="F348" i="3" a="1"/>
  <c r="F348" i="3" s="1"/>
  <c r="P348" i="3" s="1" a="1"/>
  <c r="P348" i="3" s="1"/>
  <c r="H348" i="3" a="1"/>
  <c r="H348" i="3" s="1"/>
  <c r="R348" i="3" s="1" a="1"/>
  <c r="R348" i="3" s="1"/>
  <c r="S348" i="3" s="1" a="1"/>
  <c r="S348" i="3" s="1"/>
  <c r="G348" i="3" a="1"/>
  <c r="G348" i="3" s="1"/>
  <c r="Q348" i="3" s="1" a="1"/>
  <c r="Q348" i="3" s="1"/>
  <c r="I348" i="3" a="1"/>
  <c r="I348" i="3" s="1"/>
  <c r="T348" i="3" s="1" a="1"/>
  <c r="T348" i="3" s="1"/>
  <c r="J348" i="3" a="1"/>
  <c r="J348" i="3" s="1"/>
  <c r="U348" i="3" s="1" a="1"/>
  <c r="U348" i="3" s="1"/>
  <c r="K348" i="3" a="1"/>
  <c r="K348" i="3" s="1"/>
  <c r="V348" i="3" s="1" a="1"/>
  <c r="V348" i="3" s="1"/>
  <c r="B341" i="3" a="1"/>
  <c r="B341" i="3" s="1"/>
  <c r="L341" i="3" s="1" a="1"/>
  <c r="L341" i="3" s="1"/>
  <c r="C341" i="3" a="1"/>
  <c r="C341" i="3" s="1"/>
  <c r="M341" i="3" s="1" a="1"/>
  <c r="M341" i="3" s="1"/>
  <c r="D341" i="3" a="1"/>
  <c r="D341" i="3" s="1"/>
  <c r="N341" i="3" s="1" a="1"/>
  <c r="N341" i="3" s="1"/>
  <c r="E341" i="3" a="1"/>
  <c r="E341" i="3" s="1"/>
  <c r="O341" i="3" s="1" a="1"/>
  <c r="O341" i="3" s="1"/>
  <c r="F341" i="3" a="1"/>
  <c r="F341" i="3" s="1"/>
  <c r="P341" i="3" s="1" a="1"/>
  <c r="P341" i="3" s="1"/>
  <c r="G341" i="3" a="1"/>
  <c r="G341" i="3" s="1"/>
  <c r="Q341" i="3" s="1" a="1"/>
  <c r="Q341" i="3" s="1"/>
  <c r="I341" i="3" a="1"/>
  <c r="I341" i="3" s="1"/>
  <c r="T341" i="3" s="1" a="1"/>
  <c r="T341" i="3" s="1"/>
  <c r="H341" i="3" a="1"/>
  <c r="H341" i="3" s="1"/>
  <c r="R341" i="3" s="1" a="1"/>
  <c r="R341" i="3" s="1"/>
  <c r="S341" i="3" s="1" a="1"/>
  <c r="S341" i="3" s="1"/>
  <c r="J341" i="3" a="1"/>
  <c r="J341" i="3" s="1"/>
  <c r="U341" i="3" s="1" a="1"/>
  <c r="U341" i="3" s="1"/>
  <c r="K341" i="3" a="1"/>
  <c r="K341" i="3" s="1"/>
  <c r="V341" i="3" s="1" a="1"/>
  <c r="V341" i="3" s="1"/>
  <c r="B345" i="3" a="1"/>
  <c r="B345" i="3" s="1"/>
  <c r="L345" i="3" s="1" a="1"/>
  <c r="L345" i="3" s="1"/>
  <c r="C345" i="3" a="1"/>
  <c r="C345" i="3" s="1"/>
  <c r="M345" i="3" s="1" a="1"/>
  <c r="M345" i="3" s="1"/>
  <c r="D345" i="3" a="1"/>
  <c r="D345" i="3" s="1"/>
  <c r="N345" i="3" s="1" a="1"/>
  <c r="N345" i="3" s="1"/>
  <c r="E345" i="3" a="1"/>
  <c r="E345" i="3" s="1"/>
  <c r="O345" i="3" s="1" a="1"/>
  <c r="O345" i="3" s="1"/>
  <c r="F345" i="3" a="1"/>
  <c r="F345" i="3" s="1"/>
  <c r="P345" i="3" s="1" a="1"/>
  <c r="P345" i="3" s="1"/>
  <c r="G345" i="3" a="1"/>
  <c r="G345" i="3" s="1"/>
  <c r="Q345" i="3" s="1" a="1"/>
  <c r="Q345" i="3" s="1"/>
  <c r="H345" i="3" a="1"/>
  <c r="H345" i="3" s="1"/>
  <c r="R345" i="3" s="1" a="1"/>
  <c r="R345" i="3" s="1"/>
  <c r="S345" i="3" s="1" a="1"/>
  <c r="S345" i="3" s="1"/>
  <c r="I345" i="3" a="1"/>
  <c r="I345" i="3" s="1"/>
  <c r="T345" i="3" s="1" a="1"/>
  <c r="T345" i="3" s="1"/>
  <c r="J345" i="3" a="1"/>
  <c r="J345" i="3" s="1"/>
  <c r="U345" i="3" s="1" a="1"/>
  <c r="U345" i="3" s="1"/>
  <c r="K345" i="3" a="1"/>
  <c r="K345" i="3" s="1"/>
  <c r="V345" i="3" s="1" a="1"/>
  <c r="V345" i="3" s="1"/>
  <c r="B347" i="3" a="1"/>
  <c r="B347" i="3" s="1"/>
  <c r="L347" i="3" s="1" a="1"/>
  <c r="L347" i="3" s="1"/>
  <c r="C347" i="3" a="1"/>
  <c r="C347" i="3" s="1"/>
  <c r="M347" i="3" s="1" a="1"/>
  <c r="M347" i="3" s="1"/>
  <c r="D347" i="3" a="1"/>
  <c r="D347" i="3" s="1"/>
  <c r="N347" i="3" s="1" a="1"/>
  <c r="N347" i="3" s="1"/>
  <c r="F347" i="3" a="1"/>
  <c r="F347" i="3" s="1"/>
  <c r="P347" i="3" s="1" a="1"/>
  <c r="P347" i="3" s="1"/>
  <c r="E347" i="3" a="1"/>
  <c r="E347" i="3" s="1"/>
  <c r="O347" i="3" s="1" a="1"/>
  <c r="O347" i="3" s="1"/>
  <c r="G347" i="3" a="1"/>
  <c r="G347" i="3" s="1"/>
  <c r="Q347" i="3" s="1" a="1"/>
  <c r="Q347" i="3" s="1"/>
  <c r="H347" i="3" a="1"/>
  <c r="H347" i="3" s="1"/>
  <c r="R347" i="3" s="1" a="1"/>
  <c r="R347" i="3" s="1"/>
  <c r="S347" i="3" s="1" a="1"/>
  <c r="S347" i="3" s="1"/>
  <c r="I347" i="3" a="1"/>
  <c r="I347" i="3" s="1"/>
  <c r="T347" i="3" s="1" a="1"/>
  <c r="T347" i="3" s="1"/>
  <c r="K347" i="3" a="1"/>
  <c r="K347" i="3" s="1"/>
  <c r="V347" i="3" s="1" a="1"/>
  <c r="V347" i="3" s="1"/>
  <c r="J347" i="3" a="1"/>
  <c r="J347" i="3" s="1"/>
  <c r="U347" i="3" s="1" a="1"/>
  <c r="U347" i="3" s="1"/>
  <c r="B340" i="3" a="1"/>
  <c r="B340" i="3" s="1"/>
  <c r="L340" i="3" s="1" a="1"/>
  <c r="L340" i="3" s="1"/>
  <c r="C340" i="3" a="1"/>
  <c r="C340" i="3" s="1"/>
  <c r="M340" i="3" s="1" a="1"/>
  <c r="M340" i="3" s="1"/>
  <c r="D340" i="3" a="1"/>
  <c r="D340" i="3" s="1"/>
  <c r="N340" i="3" s="1" a="1"/>
  <c r="N340" i="3" s="1"/>
  <c r="F340" i="3" a="1"/>
  <c r="F340" i="3" s="1"/>
  <c r="P340" i="3" s="1" a="1"/>
  <c r="P340" i="3" s="1"/>
  <c r="E340" i="3" a="1"/>
  <c r="E340" i="3" s="1"/>
  <c r="O340" i="3" s="1" a="1"/>
  <c r="O340" i="3" s="1"/>
  <c r="H340" i="3" a="1"/>
  <c r="H340" i="3" s="1"/>
  <c r="R340" i="3" s="1" a="1"/>
  <c r="R340" i="3" s="1"/>
  <c r="S340" i="3" s="1" a="1"/>
  <c r="S340" i="3" s="1"/>
  <c r="G340" i="3" a="1"/>
  <c r="G340" i="3" s="1"/>
  <c r="Q340" i="3" s="1" a="1"/>
  <c r="Q340" i="3" s="1"/>
  <c r="I340" i="3" a="1"/>
  <c r="I340" i="3" s="1"/>
  <c r="T340" i="3" s="1" a="1"/>
  <c r="T340" i="3" s="1"/>
  <c r="J340" i="3" a="1"/>
  <c r="J340" i="3" s="1"/>
  <c r="U340" i="3" s="1" a="1"/>
  <c r="U340" i="3" s="1"/>
  <c r="K340" i="3" a="1"/>
  <c r="K340" i="3" s="1"/>
  <c r="V340" i="3" s="1" a="1"/>
  <c r="V340" i="3" s="1"/>
  <c r="B344" i="3" a="1"/>
  <c r="B344" i="3" s="1"/>
  <c r="L344" i="3" s="1" a="1"/>
  <c r="L344" i="3" s="1"/>
  <c r="C344" i="3" a="1"/>
  <c r="C344" i="3" s="1"/>
  <c r="M344" i="3" s="1" a="1"/>
  <c r="M344" i="3" s="1"/>
  <c r="D344" i="3" a="1"/>
  <c r="D344" i="3" s="1"/>
  <c r="N344" i="3" s="1" a="1"/>
  <c r="N344" i="3" s="1"/>
  <c r="F344" i="3" a="1"/>
  <c r="F344" i="3" s="1"/>
  <c r="P344" i="3" s="1" a="1"/>
  <c r="P344" i="3" s="1"/>
  <c r="E344" i="3" a="1"/>
  <c r="E344" i="3" s="1"/>
  <c r="O344" i="3" s="1" a="1"/>
  <c r="O344" i="3" s="1"/>
  <c r="H344" i="3" a="1"/>
  <c r="H344" i="3" s="1"/>
  <c r="R344" i="3" s="1" a="1"/>
  <c r="R344" i="3" s="1"/>
  <c r="S344" i="3" s="1" a="1"/>
  <c r="S344" i="3" s="1"/>
  <c r="I344" i="3" a="1"/>
  <c r="I344" i="3" s="1"/>
  <c r="T344" i="3" s="1" a="1"/>
  <c r="T344" i="3" s="1"/>
  <c r="J344" i="3" a="1"/>
  <c r="J344" i="3" s="1"/>
  <c r="U344" i="3" s="1" a="1"/>
  <c r="U344" i="3" s="1"/>
  <c r="G344" i="3" a="1"/>
  <c r="G344" i="3" s="1"/>
  <c r="Q344" i="3" s="1" a="1"/>
  <c r="Q344" i="3" s="1"/>
  <c r="K344" i="3" a="1"/>
  <c r="K344" i="3" s="1"/>
  <c r="V344" i="3" s="1" a="1"/>
  <c r="V344" i="3" s="1"/>
  <c r="B346" i="3" a="1"/>
  <c r="B346" i="3" s="1"/>
  <c r="L346" i="3" s="1" a="1"/>
  <c r="L346" i="3" s="1"/>
  <c r="C346" i="3" a="1"/>
  <c r="C346" i="3" s="1"/>
  <c r="M346" i="3" s="1" a="1"/>
  <c r="M346" i="3" s="1"/>
  <c r="D346" i="3" a="1"/>
  <c r="D346" i="3" s="1"/>
  <c r="N346" i="3" s="1" a="1"/>
  <c r="N346" i="3" s="1"/>
  <c r="E346" i="3" a="1"/>
  <c r="E346" i="3" s="1"/>
  <c r="O346" i="3" s="1" a="1"/>
  <c r="O346" i="3" s="1"/>
  <c r="F346" i="3" a="1"/>
  <c r="F346" i="3" s="1"/>
  <c r="P346" i="3" s="1" a="1"/>
  <c r="P346" i="3" s="1"/>
  <c r="H346" i="3" a="1"/>
  <c r="H346" i="3" s="1"/>
  <c r="R346" i="3" s="1" a="1"/>
  <c r="R346" i="3" s="1"/>
  <c r="S346" i="3" s="1" a="1"/>
  <c r="S346" i="3" s="1"/>
  <c r="J346" i="3" a="1"/>
  <c r="J346" i="3" s="1"/>
  <c r="U346" i="3" s="1" a="1"/>
  <c r="U346" i="3" s="1"/>
  <c r="I346" i="3" a="1"/>
  <c r="I346" i="3" s="1"/>
  <c r="T346" i="3" s="1" a="1"/>
  <c r="T346" i="3" s="1"/>
  <c r="G346" i="3" a="1"/>
  <c r="G346" i="3" s="1"/>
  <c r="Q346" i="3" s="1" a="1"/>
  <c r="Q346" i="3" s="1"/>
  <c r="K346" i="3" a="1"/>
  <c r="K346" i="3" s="1"/>
  <c r="V346" i="3" s="1" a="1"/>
  <c r="V346" i="3" s="1"/>
  <c r="B339" i="3" a="1"/>
  <c r="B339" i="3" s="1"/>
  <c r="L339" i="3" s="1" a="1"/>
  <c r="L339" i="3" s="1"/>
  <c r="C339" i="3" a="1"/>
  <c r="C339" i="3" s="1"/>
  <c r="M339" i="3" s="1" a="1"/>
  <c r="M339" i="3" s="1"/>
  <c r="D339" i="3" a="1"/>
  <c r="D339" i="3" s="1"/>
  <c r="N339" i="3" s="1" a="1"/>
  <c r="N339" i="3" s="1"/>
  <c r="F339" i="3" a="1"/>
  <c r="F339" i="3" s="1"/>
  <c r="P339" i="3" s="1" a="1"/>
  <c r="P339" i="3" s="1"/>
  <c r="E339" i="3" a="1"/>
  <c r="E339" i="3" s="1"/>
  <c r="O339" i="3" s="1" a="1"/>
  <c r="O339" i="3" s="1"/>
  <c r="G339" i="3" a="1"/>
  <c r="G339" i="3" s="1"/>
  <c r="Q339" i="3" s="1" a="1"/>
  <c r="Q339" i="3" s="1"/>
  <c r="H339" i="3" a="1"/>
  <c r="H339" i="3" s="1"/>
  <c r="R339" i="3" s="1" a="1"/>
  <c r="R339" i="3" s="1"/>
  <c r="S339" i="3" s="1" a="1"/>
  <c r="S339" i="3" s="1"/>
  <c r="I339" i="3" a="1"/>
  <c r="I339" i="3" s="1"/>
  <c r="T339" i="3" s="1" a="1"/>
  <c r="T339" i="3" s="1"/>
  <c r="K339" i="3" a="1"/>
  <c r="K339" i="3" s="1"/>
  <c r="V339" i="3" s="1" a="1"/>
  <c r="V339" i="3" s="1"/>
  <c r="J339" i="3" a="1"/>
  <c r="J339" i="3" s="1"/>
  <c r="U339" i="3" s="1" a="1"/>
  <c r="U339" i="3" s="1"/>
  <c r="B343" i="3" a="1"/>
  <c r="B343" i="3" s="1"/>
  <c r="L343" i="3" s="1" a="1"/>
  <c r="L343" i="3" s="1"/>
  <c r="C343" i="3" a="1"/>
  <c r="C343" i="3" s="1"/>
  <c r="M343" i="3" s="1" a="1"/>
  <c r="M343" i="3" s="1"/>
  <c r="D343" i="3" a="1"/>
  <c r="D343" i="3" s="1"/>
  <c r="N343" i="3" s="1" a="1"/>
  <c r="N343" i="3" s="1"/>
  <c r="F343" i="3" a="1"/>
  <c r="F343" i="3" s="1"/>
  <c r="P343" i="3" s="1" a="1"/>
  <c r="P343" i="3" s="1"/>
  <c r="E343" i="3" a="1"/>
  <c r="E343" i="3" s="1"/>
  <c r="O343" i="3" s="1" a="1"/>
  <c r="O343" i="3" s="1"/>
  <c r="G343" i="3" a="1"/>
  <c r="G343" i="3" s="1"/>
  <c r="Q343" i="3" s="1" a="1"/>
  <c r="Q343" i="3" s="1"/>
  <c r="H343" i="3" a="1"/>
  <c r="H343" i="3" s="1"/>
  <c r="R343" i="3" s="1" a="1"/>
  <c r="R343" i="3" s="1"/>
  <c r="S343" i="3" s="1" a="1"/>
  <c r="S343" i="3" s="1"/>
  <c r="I343" i="3" a="1"/>
  <c r="I343" i="3" s="1"/>
  <c r="T343" i="3" s="1" a="1"/>
  <c r="T343" i="3" s="1"/>
  <c r="J343" i="3" a="1"/>
  <c r="J343" i="3" s="1"/>
  <c r="U343" i="3" s="1" a="1"/>
  <c r="U343" i="3" s="1"/>
  <c r="K343" i="3" a="1"/>
  <c r="K343" i="3" s="1"/>
  <c r="V343" i="3" s="1" a="1"/>
  <c r="V343" i="3" s="1"/>
  <c r="B342" i="3" a="1"/>
  <c r="B342" i="3" s="1"/>
  <c r="L342" i="3" s="1" a="1"/>
  <c r="L342" i="3" s="1"/>
  <c r="C342" i="3" a="1"/>
  <c r="C342" i="3" s="1"/>
  <c r="M342" i="3" s="1" a="1"/>
  <c r="M342" i="3" s="1"/>
  <c r="D342" i="3" a="1"/>
  <c r="D342" i="3" s="1"/>
  <c r="N342" i="3" s="1" a="1"/>
  <c r="N342" i="3" s="1"/>
  <c r="E342" i="3" a="1"/>
  <c r="E342" i="3" s="1"/>
  <c r="O342" i="3" s="1" a="1"/>
  <c r="O342" i="3" s="1"/>
  <c r="F342" i="3" a="1"/>
  <c r="F342" i="3" s="1"/>
  <c r="P342" i="3" s="1" a="1"/>
  <c r="P342" i="3" s="1"/>
  <c r="H342" i="3" a="1"/>
  <c r="H342" i="3" s="1"/>
  <c r="R342" i="3" s="1" a="1"/>
  <c r="R342" i="3" s="1"/>
  <c r="S342" i="3" s="1" a="1"/>
  <c r="S342" i="3" s="1"/>
  <c r="G342" i="3" a="1"/>
  <c r="G342" i="3" s="1"/>
  <c r="Q342" i="3" s="1" a="1"/>
  <c r="Q342" i="3" s="1"/>
  <c r="J342" i="3" a="1"/>
  <c r="J342" i="3" s="1"/>
  <c r="U342" i="3" s="1" a="1"/>
  <c r="U342" i="3" s="1"/>
  <c r="I342" i="3" a="1"/>
  <c r="I342" i="3" s="1"/>
  <c r="T342" i="3" s="1" a="1"/>
  <c r="T342" i="3" s="1"/>
  <c r="K342" i="3" a="1"/>
  <c r="K342" i="3" s="1"/>
  <c r="V342" i="3" s="1" a="1"/>
  <c r="V342" i="3" s="1"/>
  <c r="M347" i="1"/>
  <c r="M346" i="1"/>
  <c r="M344" i="1"/>
  <c r="M342" i="1"/>
  <c r="M343" i="1"/>
  <c r="M341" i="1"/>
  <c r="M340" i="1"/>
  <c r="M339" i="1"/>
  <c r="L337" i="1"/>
  <c r="A337" i="3" s="1"/>
  <c r="B336" i="6"/>
  <c r="H336" i="1" s="1"/>
  <c r="AC336" i="3" s="1"/>
  <c r="M345" i="1" a="1"/>
  <c r="M338" i="1" a="1"/>
  <c r="M348" i="1" a="1"/>
  <c r="M345" i="1" l="1"/>
  <c r="B337" i="3" a="1"/>
  <c r="B337" i="3" s="1"/>
  <c r="L337" i="3" s="1" a="1"/>
  <c r="L337" i="3" s="1"/>
  <c r="C337" i="3" a="1"/>
  <c r="C337" i="3" s="1"/>
  <c r="M337" i="3" s="1" a="1"/>
  <c r="M337" i="3" s="1"/>
  <c r="D337" i="3" a="1"/>
  <c r="D337" i="3" s="1"/>
  <c r="N337" i="3" s="1" a="1"/>
  <c r="N337" i="3" s="1"/>
  <c r="E337" i="3" a="1"/>
  <c r="E337" i="3" s="1"/>
  <c r="O337" i="3" s="1" a="1"/>
  <c r="O337" i="3" s="1"/>
  <c r="F337" i="3" a="1"/>
  <c r="F337" i="3" s="1"/>
  <c r="P337" i="3" s="1" a="1"/>
  <c r="P337" i="3" s="1"/>
  <c r="G337" i="3" a="1"/>
  <c r="G337" i="3" s="1"/>
  <c r="Q337" i="3" s="1" a="1"/>
  <c r="Q337" i="3" s="1"/>
  <c r="H337" i="3" a="1"/>
  <c r="H337" i="3" s="1"/>
  <c r="R337" i="3" s="1" a="1"/>
  <c r="R337" i="3" s="1"/>
  <c r="S337" i="3" s="1" a="1"/>
  <c r="S337" i="3" s="1"/>
  <c r="I337" i="3" a="1"/>
  <c r="I337" i="3" s="1"/>
  <c r="T337" i="3" s="1" a="1"/>
  <c r="T337" i="3" s="1"/>
  <c r="J337" i="3" a="1"/>
  <c r="J337" i="3" s="1"/>
  <c r="U337" i="3" s="1" a="1"/>
  <c r="U337" i="3" s="1"/>
  <c r="K337" i="3" a="1"/>
  <c r="K337" i="3" s="1"/>
  <c r="V337" i="3" s="1" a="1"/>
  <c r="V337" i="3" s="1"/>
  <c r="M348" i="1"/>
  <c r="M338" i="1"/>
  <c r="L336" i="1"/>
  <c r="A336" i="3" s="1"/>
  <c r="I18" i="2"/>
  <c r="J18" i="2"/>
  <c r="K18" i="2"/>
  <c r="B335" i="6"/>
  <c r="H335" i="1" s="1"/>
  <c r="AC335" i="3" s="1"/>
  <c r="L335" i="1"/>
  <c r="A335" i="3" s="1"/>
  <c r="B334" i="6"/>
  <c r="H334" i="1" s="1"/>
  <c r="AC334" i="3" s="1"/>
  <c r="M337" i="1" a="1"/>
  <c r="B335" i="3" l="1" a="1"/>
  <c r="B335" i="3" s="1"/>
  <c r="L335" i="3" s="1" a="1"/>
  <c r="L335" i="3" s="1"/>
  <c r="C335" i="3" a="1"/>
  <c r="C335" i="3" s="1"/>
  <c r="M335" i="3" s="1" a="1"/>
  <c r="M335" i="3" s="1"/>
  <c r="D335" i="3" a="1"/>
  <c r="D335" i="3" s="1"/>
  <c r="N335" i="3" s="1" a="1"/>
  <c r="N335" i="3" s="1"/>
  <c r="F335" i="3" a="1"/>
  <c r="F335" i="3" s="1"/>
  <c r="P335" i="3" s="1" a="1"/>
  <c r="P335" i="3" s="1"/>
  <c r="E335" i="3" a="1"/>
  <c r="E335" i="3" s="1"/>
  <c r="O335" i="3" s="1" a="1"/>
  <c r="O335" i="3" s="1"/>
  <c r="G335" i="3" a="1"/>
  <c r="G335" i="3" s="1"/>
  <c r="Q335" i="3" s="1" a="1"/>
  <c r="Q335" i="3" s="1"/>
  <c r="H335" i="3" a="1"/>
  <c r="H335" i="3" s="1"/>
  <c r="R335" i="3" s="1" a="1"/>
  <c r="R335" i="3" s="1"/>
  <c r="S335" i="3" s="1" a="1"/>
  <c r="S335" i="3" s="1"/>
  <c r="I335" i="3" a="1"/>
  <c r="I335" i="3" s="1"/>
  <c r="T335" i="3" s="1" a="1"/>
  <c r="T335" i="3" s="1"/>
  <c r="J335" i="3" a="1"/>
  <c r="J335" i="3" s="1"/>
  <c r="U335" i="3" s="1" a="1"/>
  <c r="U335" i="3" s="1"/>
  <c r="K335" i="3" a="1"/>
  <c r="K335" i="3" s="1"/>
  <c r="V335" i="3" s="1" a="1"/>
  <c r="V335" i="3" s="1"/>
  <c r="B336" i="3" a="1"/>
  <c r="B336" i="3" s="1"/>
  <c r="L336" i="3" s="1" a="1"/>
  <c r="L336" i="3" s="1"/>
  <c r="C336" i="3" a="1"/>
  <c r="C336" i="3" s="1"/>
  <c r="M336" i="3" s="1" a="1"/>
  <c r="M336" i="3" s="1"/>
  <c r="D336" i="3" a="1"/>
  <c r="D336" i="3" s="1"/>
  <c r="N336" i="3" s="1" a="1"/>
  <c r="N336" i="3" s="1"/>
  <c r="F336" i="3" a="1"/>
  <c r="F336" i="3" s="1"/>
  <c r="P336" i="3" s="1" a="1"/>
  <c r="P336" i="3" s="1"/>
  <c r="E336" i="3" a="1"/>
  <c r="E336" i="3" s="1"/>
  <c r="O336" i="3" s="1" a="1"/>
  <c r="O336" i="3" s="1"/>
  <c r="H336" i="3" a="1"/>
  <c r="H336" i="3" s="1"/>
  <c r="R336" i="3" s="1" a="1"/>
  <c r="R336" i="3" s="1"/>
  <c r="S336" i="3" s="1" a="1"/>
  <c r="S336" i="3" s="1"/>
  <c r="I336" i="3" a="1"/>
  <c r="I336" i="3" s="1"/>
  <c r="T336" i="3" s="1" a="1"/>
  <c r="T336" i="3" s="1"/>
  <c r="J336" i="3" a="1"/>
  <c r="J336" i="3" s="1"/>
  <c r="U336" i="3" s="1" a="1"/>
  <c r="U336" i="3" s="1"/>
  <c r="G336" i="3" a="1"/>
  <c r="G336" i="3" s="1"/>
  <c r="Q336" i="3" s="1" a="1"/>
  <c r="Q336" i="3" s="1"/>
  <c r="K336" i="3" a="1"/>
  <c r="K336" i="3" s="1"/>
  <c r="V336" i="3" s="1" a="1"/>
  <c r="V336" i="3" s="1"/>
  <c r="M337" i="1"/>
  <c r="L334" i="1"/>
  <c r="A334" i="3" s="1"/>
  <c r="B333" i="6"/>
  <c r="H333" i="1" s="1"/>
  <c r="AC333" i="3" s="1"/>
  <c r="L333" i="1"/>
  <c r="A333" i="3" s="1"/>
  <c r="B332" i="6"/>
  <c r="H332" i="1" s="1"/>
  <c r="AC332" i="3" s="1"/>
  <c r="L332" i="1"/>
  <c r="A332" i="3" s="1"/>
  <c r="B331" i="6"/>
  <c r="H331" i="1" s="1"/>
  <c r="AC331" i="3" s="1"/>
  <c r="M336" i="1" a="1"/>
  <c r="M335" i="1" a="1"/>
  <c r="B333" i="3" l="1" a="1"/>
  <c r="B333" i="3" s="1"/>
  <c r="L333" i="3" s="1" a="1"/>
  <c r="L333" i="3" s="1"/>
  <c r="C333" i="3" a="1"/>
  <c r="C333" i="3" s="1"/>
  <c r="M333" i="3" s="1" a="1"/>
  <c r="M333" i="3" s="1"/>
  <c r="D333" i="3" a="1"/>
  <c r="D333" i="3" s="1"/>
  <c r="N333" i="3" s="1" a="1"/>
  <c r="N333" i="3" s="1"/>
  <c r="E333" i="3" a="1"/>
  <c r="E333" i="3" s="1"/>
  <c r="O333" i="3" s="1" a="1"/>
  <c r="O333" i="3" s="1"/>
  <c r="F333" i="3" a="1"/>
  <c r="F333" i="3" s="1"/>
  <c r="P333" i="3" s="1" a="1"/>
  <c r="P333" i="3" s="1"/>
  <c r="G333" i="3" a="1"/>
  <c r="G333" i="3" s="1"/>
  <c r="Q333" i="3" s="1" a="1"/>
  <c r="Q333" i="3" s="1"/>
  <c r="I333" i="3" a="1"/>
  <c r="I333" i="3" s="1"/>
  <c r="T333" i="3" s="1" a="1"/>
  <c r="T333" i="3" s="1"/>
  <c r="H333" i="3" a="1"/>
  <c r="H333" i="3" s="1"/>
  <c r="R333" i="3" s="1" a="1"/>
  <c r="R333" i="3" s="1"/>
  <c r="S333" i="3" s="1" a="1"/>
  <c r="S333" i="3" s="1"/>
  <c r="J333" i="3" a="1"/>
  <c r="J333" i="3" s="1"/>
  <c r="U333" i="3" s="1" a="1"/>
  <c r="U333" i="3" s="1"/>
  <c r="K333" i="3" a="1"/>
  <c r="K333" i="3" s="1"/>
  <c r="V333" i="3" s="1" a="1"/>
  <c r="V333" i="3" s="1"/>
  <c r="B332" i="3" a="1"/>
  <c r="B332" i="3" s="1"/>
  <c r="L332" i="3" s="1" a="1"/>
  <c r="L332" i="3" s="1"/>
  <c r="C332" i="3" a="1"/>
  <c r="C332" i="3" s="1"/>
  <c r="M332" i="3" s="1" a="1"/>
  <c r="M332" i="3" s="1"/>
  <c r="D332" i="3" a="1"/>
  <c r="D332" i="3" s="1"/>
  <c r="N332" i="3" s="1" a="1"/>
  <c r="N332" i="3" s="1"/>
  <c r="F332" i="3" a="1"/>
  <c r="F332" i="3" s="1"/>
  <c r="P332" i="3" s="1" a="1"/>
  <c r="P332" i="3" s="1"/>
  <c r="E332" i="3" a="1"/>
  <c r="E332" i="3" s="1"/>
  <c r="O332" i="3" s="1" a="1"/>
  <c r="O332" i="3" s="1"/>
  <c r="H332" i="3" a="1"/>
  <c r="H332" i="3" s="1"/>
  <c r="R332" i="3" s="1" a="1"/>
  <c r="R332" i="3" s="1"/>
  <c r="S332" i="3" s="1" a="1"/>
  <c r="S332" i="3" s="1"/>
  <c r="G332" i="3" a="1"/>
  <c r="G332" i="3" s="1"/>
  <c r="Q332" i="3" s="1" a="1"/>
  <c r="Q332" i="3" s="1"/>
  <c r="I332" i="3" a="1"/>
  <c r="I332" i="3" s="1"/>
  <c r="T332" i="3" s="1" a="1"/>
  <c r="T332" i="3" s="1"/>
  <c r="J332" i="3" a="1"/>
  <c r="J332" i="3" s="1"/>
  <c r="U332" i="3" s="1" a="1"/>
  <c r="U332" i="3" s="1"/>
  <c r="K332" i="3" a="1"/>
  <c r="K332" i="3" s="1"/>
  <c r="V332" i="3" s="1" a="1"/>
  <c r="V332" i="3" s="1"/>
  <c r="B334" i="3" a="1"/>
  <c r="B334" i="3" s="1"/>
  <c r="L334" i="3" s="1" a="1"/>
  <c r="L334" i="3" s="1"/>
  <c r="C334" i="3" a="1"/>
  <c r="C334" i="3" s="1"/>
  <c r="M334" i="3" s="1" a="1"/>
  <c r="M334" i="3" s="1"/>
  <c r="D334" i="3" a="1"/>
  <c r="D334" i="3" s="1"/>
  <c r="N334" i="3" s="1" a="1"/>
  <c r="N334" i="3" s="1"/>
  <c r="E334" i="3" a="1"/>
  <c r="E334" i="3" s="1"/>
  <c r="O334" i="3" s="1" a="1"/>
  <c r="O334" i="3" s="1"/>
  <c r="F334" i="3" a="1"/>
  <c r="F334" i="3" s="1"/>
  <c r="P334" i="3" s="1" a="1"/>
  <c r="P334" i="3" s="1"/>
  <c r="H334" i="3" a="1"/>
  <c r="H334" i="3" s="1"/>
  <c r="R334" i="3" s="1" a="1"/>
  <c r="R334" i="3" s="1"/>
  <c r="S334" i="3" s="1" a="1"/>
  <c r="S334" i="3" s="1"/>
  <c r="G334" i="3" a="1"/>
  <c r="G334" i="3" s="1"/>
  <c r="Q334" i="3" s="1" a="1"/>
  <c r="Q334" i="3" s="1"/>
  <c r="J334" i="3" a="1"/>
  <c r="J334" i="3" s="1"/>
  <c r="U334" i="3" s="1" a="1"/>
  <c r="U334" i="3" s="1"/>
  <c r="I334" i="3" a="1"/>
  <c r="I334" i="3" s="1"/>
  <c r="T334" i="3" s="1" a="1"/>
  <c r="T334" i="3" s="1"/>
  <c r="K334" i="3" a="1"/>
  <c r="K334" i="3" s="1"/>
  <c r="V334" i="3" s="1" a="1"/>
  <c r="V334" i="3" s="1"/>
  <c r="M335" i="1"/>
  <c r="M336" i="1"/>
  <c r="L331" i="1"/>
  <c r="A331" i="3" s="1"/>
  <c r="B330" i="6"/>
  <c r="H330" i="1" s="1"/>
  <c r="AC330" i="3" s="1"/>
  <c r="L330" i="1"/>
  <c r="A330" i="3" s="1"/>
  <c r="M334" i="1" a="1"/>
  <c r="M332" i="1" a="1"/>
  <c r="M333" i="1" a="1"/>
  <c r="M332" i="1" l="1"/>
  <c r="B330" i="3" a="1"/>
  <c r="B330" i="3" s="1"/>
  <c r="L330" i="3" s="1" a="1"/>
  <c r="L330" i="3" s="1"/>
  <c r="C330" i="3" a="1"/>
  <c r="C330" i="3" s="1"/>
  <c r="M330" i="3" s="1" a="1"/>
  <c r="M330" i="3" s="1"/>
  <c r="D330" i="3" a="1"/>
  <c r="D330" i="3" s="1"/>
  <c r="N330" i="3" s="1" a="1"/>
  <c r="N330" i="3" s="1"/>
  <c r="E330" i="3" a="1"/>
  <c r="E330" i="3" s="1"/>
  <c r="O330" i="3" s="1" a="1"/>
  <c r="O330" i="3" s="1"/>
  <c r="F330" i="3" a="1"/>
  <c r="F330" i="3" s="1"/>
  <c r="P330" i="3" s="1" a="1"/>
  <c r="P330" i="3" s="1"/>
  <c r="H330" i="3" a="1"/>
  <c r="H330" i="3" s="1"/>
  <c r="R330" i="3" s="1" a="1"/>
  <c r="R330" i="3" s="1"/>
  <c r="S330" i="3" s="1" a="1"/>
  <c r="S330" i="3" s="1"/>
  <c r="J330" i="3" a="1"/>
  <c r="J330" i="3" s="1"/>
  <c r="U330" i="3" s="1" a="1"/>
  <c r="U330" i="3" s="1"/>
  <c r="I330" i="3" a="1"/>
  <c r="I330" i="3" s="1"/>
  <c r="T330" i="3" s="1" a="1"/>
  <c r="T330" i="3" s="1"/>
  <c r="G330" i="3" a="1"/>
  <c r="G330" i="3" s="1"/>
  <c r="Q330" i="3" s="1" a="1"/>
  <c r="Q330" i="3" s="1"/>
  <c r="K330" i="3" a="1"/>
  <c r="K330" i="3" s="1"/>
  <c r="V330" i="3" s="1" a="1"/>
  <c r="V330" i="3" s="1"/>
  <c r="B331" i="3" a="1"/>
  <c r="B331" i="3" s="1"/>
  <c r="L331" i="3" s="1" a="1"/>
  <c r="L331" i="3" s="1"/>
  <c r="C331" i="3" a="1"/>
  <c r="C331" i="3" s="1"/>
  <c r="M331" i="3" s="1" a="1"/>
  <c r="M331" i="3" s="1"/>
  <c r="D331" i="3" a="1"/>
  <c r="D331" i="3" s="1"/>
  <c r="N331" i="3" s="1" a="1"/>
  <c r="N331" i="3" s="1"/>
  <c r="F331" i="3" a="1"/>
  <c r="F331" i="3" s="1"/>
  <c r="P331" i="3" s="1" a="1"/>
  <c r="P331" i="3" s="1"/>
  <c r="E331" i="3" a="1"/>
  <c r="E331" i="3" s="1"/>
  <c r="O331" i="3" s="1" a="1"/>
  <c r="O331" i="3" s="1"/>
  <c r="G331" i="3" a="1"/>
  <c r="G331" i="3" s="1"/>
  <c r="Q331" i="3" s="1" a="1"/>
  <c r="Q331" i="3" s="1"/>
  <c r="H331" i="3" a="1"/>
  <c r="H331" i="3" s="1"/>
  <c r="R331" i="3" s="1" a="1"/>
  <c r="R331" i="3" s="1"/>
  <c r="S331" i="3" s="1" a="1"/>
  <c r="S331" i="3" s="1"/>
  <c r="I331" i="3" a="1"/>
  <c r="I331" i="3" s="1"/>
  <c r="T331" i="3" s="1" a="1"/>
  <c r="T331" i="3" s="1"/>
  <c r="K331" i="3" a="1"/>
  <c r="K331" i="3" s="1"/>
  <c r="V331" i="3" s="1" a="1"/>
  <c r="V331" i="3" s="1"/>
  <c r="J331" i="3" a="1"/>
  <c r="J331" i="3" s="1"/>
  <c r="U331" i="3" s="1" a="1"/>
  <c r="U331" i="3" s="1"/>
  <c r="M334" i="1"/>
  <c r="M333" i="1"/>
  <c r="B326" i="6"/>
  <c r="H326" i="1" s="1"/>
  <c r="AC326" i="3" s="1"/>
  <c r="B327" i="6"/>
  <c r="H327" i="1" s="1"/>
  <c r="AC327" i="3" s="1"/>
  <c r="B328" i="6"/>
  <c r="H328" i="1" s="1"/>
  <c r="AC328" i="3" s="1"/>
  <c r="B329" i="6"/>
  <c r="H329" i="1" s="1"/>
  <c r="AC329" i="3" s="1"/>
  <c r="M331" i="1" a="1"/>
  <c r="M330" i="1" a="1"/>
  <c r="M331" i="1" l="1"/>
  <c r="M330" i="1"/>
  <c r="L326" i="1"/>
  <c r="A326" i="3" s="1"/>
  <c r="L327" i="1"/>
  <c r="A327" i="3" s="1"/>
  <c r="L328" i="1"/>
  <c r="A328" i="3" s="1"/>
  <c r="L329" i="1"/>
  <c r="A329" i="3" s="1"/>
  <c r="B325" i="6"/>
  <c r="H325" i="1" s="1"/>
  <c r="AC325" i="3" s="1"/>
  <c r="L325" i="1"/>
  <c r="A325" i="3" s="1"/>
  <c r="B324" i="6"/>
  <c r="H324" i="1" s="1"/>
  <c r="AC324" i="3" s="1"/>
  <c r="L324" i="1"/>
  <c r="A324" i="3" s="1"/>
  <c r="B319" i="6"/>
  <c r="H319" i="1" s="1"/>
  <c r="AC319" i="3" s="1"/>
  <c r="B320" i="6"/>
  <c r="H320" i="1" s="1"/>
  <c r="AC320" i="3" s="1"/>
  <c r="B321" i="6"/>
  <c r="H321" i="1" s="1"/>
  <c r="AC321" i="3" s="1"/>
  <c r="B322" i="6"/>
  <c r="H322" i="1" s="1"/>
  <c r="AC322" i="3" s="1"/>
  <c r="B323" i="6"/>
  <c r="H323" i="1" s="1"/>
  <c r="AC323" i="3" s="1"/>
  <c r="M325" i="1" a="1"/>
  <c r="M328" i="1" a="1"/>
  <c r="M329" i="1" a="1"/>
  <c r="B325" i="3" l="1" a="1"/>
  <c r="B325" i="3" s="1"/>
  <c r="L325" i="3" s="1" a="1"/>
  <c r="L325" i="3" s="1"/>
  <c r="C325" i="3" a="1"/>
  <c r="C325" i="3" s="1"/>
  <c r="M325" i="3" s="1" a="1"/>
  <c r="M325" i="3" s="1"/>
  <c r="D325" i="3" a="1"/>
  <c r="D325" i="3" s="1"/>
  <c r="N325" i="3" s="1" a="1"/>
  <c r="N325" i="3" s="1"/>
  <c r="E325" i="3" a="1"/>
  <c r="E325" i="3" s="1"/>
  <c r="O325" i="3" s="1" a="1"/>
  <c r="O325" i="3" s="1"/>
  <c r="F325" i="3" a="1"/>
  <c r="F325" i="3" s="1"/>
  <c r="P325" i="3" s="1" a="1"/>
  <c r="P325" i="3" s="1"/>
  <c r="G325" i="3" a="1"/>
  <c r="G325" i="3" s="1"/>
  <c r="Q325" i="3" s="1" a="1"/>
  <c r="Q325" i="3" s="1"/>
  <c r="I325" i="3" a="1"/>
  <c r="I325" i="3" s="1"/>
  <c r="T325" i="3" s="1" a="1"/>
  <c r="T325" i="3" s="1"/>
  <c r="H325" i="3" a="1"/>
  <c r="H325" i="3" s="1"/>
  <c r="R325" i="3" s="1" a="1"/>
  <c r="R325" i="3" s="1"/>
  <c r="S325" i="3" s="1" a="1"/>
  <c r="S325" i="3" s="1"/>
  <c r="J325" i="3" a="1"/>
  <c r="J325" i="3" s="1"/>
  <c r="U325" i="3" s="1" a="1"/>
  <c r="U325" i="3" s="1"/>
  <c r="K325" i="3" a="1"/>
  <c r="K325" i="3" s="1"/>
  <c r="V325" i="3" s="1" a="1"/>
  <c r="V325" i="3" s="1"/>
  <c r="B327" i="3" a="1"/>
  <c r="B327" i="3" s="1"/>
  <c r="L327" i="3" s="1" a="1"/>
  <c r="L327" i="3" s="1"/>
  <c r="C327" i="3" a="1"/>
  <c r="C327" i="3" s="1"/>
  <c r="M327" i="3" s="1" a="1"/>
  <c r="M327" i="3" s="1"/>
  <c r="D327" i="3" a="1"/>
  <c r="D327" i="3" s="1"/>
  <c r="N327" i="3" s="1" a="1"/>
  <c r="N327" i="3" s="1"/>
  <c r="F327" i="3" a="1"/>
  <c r="F327" i="3" s="1"/>
  <c r="P327" i="3" s="1" a="1"/>
  <c r="P327" i="3" s="1"/>
  <c r="E327" i="3" a="1"/>
  <c r="E327" i="3" s="1"/>
  <c r="O327" i="3" s="1" a="1"/>
  <c r="O327" i="3" s="1"/>
  <c r="G327" i="3" a="1"/>
  <c r="G327" i="3" s="1"/>
  <c r="Q327" i="3" s="1" a="1"/>
  <c r="Q327" i="3" s="1"/>
  <c r="H327" i="3" a="1"/>
  <c r="H327" i="3" s="1"/>
  <c r="R327" i="3" s="1" a="1"/>
  <c r="R327" i="3" s="1"/>
  <c r="S327" i="3" s="1" a="1"/>
  <c r="S327" i="3" s="1"/>
  <c r="I327" i="3" a="1"/>
  <c r="I327" i="3" s="1"/>
  <c r="T327" i="3" s="1" a="1"/>
  <c r="T327" i="3" s="1"/>
  <c r="J327" i="3" a="1"/>
  <c r="J327" i="3" s="1"/>
  <c r="U327" i="3" s="1" a="1"/>
  <c r="U327" i="3" s="1"/>
  <c r="K327" i="3" a="1"/>
  <c r="K327" i="3" s="1"/>
  <c r="V327" i="3" s="1" a="1"/>
  <c r="V327" i="3" s="1"/>
  <c r="B326" i="3" a="1"/>
  <c r="B326" i="3" s="1"/>
  <c r="L326" i="3" s="1" a="1"/>
  <c r="L326" i="3" s="1"/>
  <c r="C326" i="3" a="1"/>
  <c r="C326" i="3" s="1"/>
  <c r="M326" i="3" s="1" a="1"/>
  <c r="M326" i="3" s="1"/>
  <c r="D326" i="3" a="1"/>
  <c r="D326" i="3" s="1"/>
  <c r="N326" i="3" s="1" a="1"/>
  <c r="N326" i="3" s="1"/>
  <c r="E326" i="3" a="1"/>
  <c r="E326" i="3" s="1"/>
  <c r="O326" i="3" s="1" a="1"/>
  <c r="O326" i="3" s="1"/>
  <c r="F326" i="3" a="1"/>
  <c r="F326" i="3" s="1"/>
  <c r="P326" i="3" s="1" a="1"/>
  <c r="P326" i="3" s="1"/>
  <c r="H326" i="3" a="1"/>
  <c r="H326" i="3" s="1"/>
  <c r="R326" i="3" s="1" a="1"/>
  <c r="R326" i="3" s="1"/>
  <c r="S326" i="3" s="1" a="1"/>
  <c r="S326" i="3" s="1"/>
  <c r="G326" i="3" a="1"/>
  <c r="G326" i="3" s="1"/>
  <c r="Q326" i="3" s="1" a="1"/>
  <c r="Q326" i="3" s="1"/>
  <c r="J326" i="3" a="1"/>
  <c r="J326" i="3" s="1"/>
  <c r="U326" i="3" s="1" a="1"/>
  <c r="U326" i="3" s="1"/>
  <c r="I326" i="3" a="1"/>
  <c r="I326" i="3" s="1"/>
  <c r="T326" i="3" s="1" a="1"/>
  <c r="T326" i="3" s="1"/>
  <c r="K326" i="3" a="1"/>
  <c r="K326" i="3" s="1"/>
  <c r="V326" i="3" s="1" a="1"/>
  <c r="V326" i="3" s="1"/>
  <c r="B324" i="3" a="1"/>
  <c r="B324" i="3" s="1"/>
  <c r="L324" i="3" s="1" a="1"/>
  <c r="L324" i="3" s="1"/>
  <c r="C324" i="3" a="1"/>
  <c r="C324" i="3" s="1"/>
  <c r="M324" i="3" s="1" a="1"/>
  <c r="M324" i="3" s="1"/>
  <c r="D324" i="3" a="1"/>
  <c r="D324" i="3" s="1"/>
  <c r="N324" i="3" s="1" a="1"/>
  <c r="N324" i="3" s="1"/>
  <c r="F324" i="3" a="1"/>
  <c r="F324" i="3" s="1"/>
  <c r="P324" i="3" s="1" a="1"/>
  <c r="P324" i="3" s="1"/>
  <c r="E324" i="3" a="1"/>
  <c r="E324" i="3" s="1"/>
  <c r="O324" i="3" s="1" a="1"/>
  <c r="O324" i="3" s="1"/>
  <c r="H324" i="3" a="1"/>
  <c r="H324" i="3" s="1"/>
  <c r="R324" i="3" s="1" a="1"/>
  <c r="R324" i="3" s="1"/>
  <c r="S324" i="3" s="1" a="1"/>
  <c r="S324" i="3" s="1"/>
  <c r="G324" i="3" a="1"/>
  <c r="G324" i="3" s="1"/>
  <c r="Q324" i="3" s="1" a="1"/>
  <c r="Q324" i="3" s="1"/>
  <c r="I324" i="3" a="1"/>
  <c r="I324" i="3" s="1"/>
  <c r="T324" i="3" s="1" a="1"/>
  <c r="T324" i="3" s="1"/>
  <c r="J324" i="3" a="1"/>
  <c r="J324" i="3" s="1"/>
  <c r="U324" i="3" s="1" a="1"/>
  <c r="U324" i="3" s="1"/>
  <c r="K324" i="3" a="1"/>
  <c r="K324" i="3" s="1"/>
  <c r="V324" i="3" s="1" a="1"/>
  <c r="V324" i="3" s="1"/>
  <c r="B329" i="3" a="1"/>
  <c r="B329" i="3" s="1"/>
  <c r="L329" i="3" s="1" a="1"/>
  <c r="L329" i="3" s="1"/>
  <c r="C329" i="3" a="1"/>
  <c r="C329" i="3" s="1"/>
  <c r="M329" i="3" s="1" a="1"/>
  <c r="M329" i="3" s="1"/>
  <c r="D329" i="3" a="1"/>
  <c r="D329" i="3" s="1"/>
  <c r="N329" i="3" s="1" a="1"/>
  <c r="N329" i="3" s="1"/>
  <c r="E329" i="3" a="1"/>
  <c r="E329" i="3" s="1"/>
  <c r="O329" i="3" s="1" a="1"/>
  <c r="O329" i="3" s="1"/>
  <c r="F329" i="3" a="1"/>
  <c r="F329" i="3" s="1"/>
  <c r="P329" i="3" s="1" a="1"/>
  <c r="P329" i="3" s="1"/>
  <c r="G329" i="3" a="1"/>
  <c r="G329" i="3" s="1"/>
  <c r="Q329" i="3" s="1" a="1"/>
  <c r="Q329" i="3" s="1"/>
  <c r="H329" i="3" a="1"/>
  <c r="H329" i="3" s="1"/>
  <c r="R329" i="3" s="1" a="1"/>
  <c r="R329" i="3" s="1"/>
  <c r="S329" i="3" s="1" a="1"/>
  <c r="S329" i="3" s="1"/>
  <c r="I329" i="3" a="1"/>
  <c r="I329" i="3" s="1"/>
  <c r="T329" i="3" s="1" a="1"/>
  <c r="T329" i="3" s="1"/>
  <c r="J329" i="3" a="1"/>
  <c r="J329" i="3" s="1"/>
  <c r="U329" i="3" s="1" a="1"/>
  <c r="U329" i="3" s="1"/>
  <c r="K329" i="3" a="1"/>
  <c r="K329" i="3" s="1"/>
  <c r="V329" i="3" s="1" a="1"/>
  <c r="V329" i="3" s="1"/>
  <c r="B328" i="3" a="1"/>
  <c r="B328" i="3" s="1"/>
  <c r="L328" i="3" s="1" a="1"/>
  <c r="L328" i="3" s="1"/>
  <c r="C328" i="3" a="1"/>
  <c r="C328" i="3" s="1"/>
  <c r="M328" i="3" s="1" a="1"/>
  <c r="M328" i="3" s="1"/>
  <c r="D328" i="3" a="1"/>
  <c r="D328" i="3" s="1"/>
  <c r="N328" i="3" s="1" a="1"/>
  <c r="N328" i="3" s="1"/>
  <c r="F328" i="3" a="1"/>
  <c r="F328" i="3" s="1"/>
  <c r="P328" i="3" s="1" a="1"/>
  <c r="P328" i="3" s="1"/>
  <c r="E328" i="3" a="1"/>
  <c r="E328" i="3" s="1"/>
  <c r="O328" i="3" s="1" a="1"/>
  <c r="O328" i="3" s="1"/>
  <c r="H328" i="3" a="1"/>
  <c r="H328" i="3" s="1"/>
  <c r="R328" i="3" s="1" a="1"/>
  <c r="R328" i="3" s="1"/>
  <c r="S328" i="3" s="1" a="1"/>
  <c r="S328" i="3" s="1"/>
  <c r="I328" i="3" a="1"/>
  <c r="I328" i="3" s="1"/>
  <c r="T328" i="3" s="1" a="1"/>
  <c r="T328" i="3" s="1"/>
  <c r="J328" i="3" a="1"/>
  <c r="J328" i="3" s="1"/>
  <c r="U328" i="3" s="1" a="1"/>
  <c r="U328" i="3" s="1"/>
  <c r="G328" i="3" a="1"/>
  <c r="G328" i="3" s="1"/>
  <c r="Q328" i="3" s="1" a="1"/>
  <c r="Q328" i="3" s="1"/>
  <c r="K328" i="3" a="1"/>
  <c r="K328" i="3" s="1"/>
  <c r="V328" i="3" s="1" a="1"/>
  <c r="V328" i="3" s="1"/>
  <c r="M328" i="1"/>
  <c r="M329" i="1"/>
  <c r="M325" i="1"/>
  <c r="L319" i="1"/>
  <c r="A319" i="3" s="1"/>
  <c r="L320" i="1"/>
  <c r="A320" i="3" s="1"/>
  <c r="L321" i="1"/>
  <c r="A321" i="3" s="1"/>
  <c r="L322" i="1"/>
  <c r="A322" i="3" s="1"/>
  <c r="L323" i="1"/>
  <c r="A323" i="3" s="1"/>
  <c r="B316" i="6"/>
  <c r="H316" i="1" s="1"/>
  <c r="AC316" i="3" s="1"/>
  <c r="B317" i="6"/>
  <c r="H317" i="1" s="1"/>
  <c r="AC317" i="3" s="1"/>
  <c r="B318" i="6"/>
  <c r="H318" i="1" s="1"/>
  <c r="AC318" i="3" s="1"/>
  <c r="L315" i="1"/>
  <c r="A315" i="3" s="1"/>
  <c r="L316" i="1"/>
  <c r="A316" i="3" s="1"/>
  <c r="L317" i="1"/>
  <c r="A317" i="3" s="1"/>
  <c r="L318" i="1"/>
  <c r="A318" i="3" s="1"/>
  <c r="M316" i="1" a="1"/>
  <c r="M324" i="1" a="1"/>
  <c r="M326" i="1" a="1"/>
  <c r="M320" i="1" a="1"/>
  <c r="M322" i="1" a="1"/>
  <c r="M327" i="1" a="1"/>
  <c r="M321" i="1" a="1"/>
  <c r="M326" i="1" l="1"/>
  <c r="M324" i="1"/>
  <c r="M327" i="1"/>
  <c r="B316" i="3" a="1"/>
  <c r="B316" i="3" s="1"/>
  <c r="L316" i="3" s="1" a="1"/>
  <c r="L316" i="3" s="1"/>
  <c r="C316" i="3" a="1"/>
  <c r="C316" i="3" s="1"/>
  <c r="M316" i="3" s="1" a="1"/>
  <c r="M316" i="3" s="1"/>
  <c r="D316" i="3" a="1"/>
  <c r="D316" i="3" s="1"/>
  <c r="N316" i="3" s="1" a="1"/>
  <c r="N316" i="3" s="1"/>
  <c r="F316" i="3" a="1"/>
  <c r="F316" i="3" s="1"/>
  <c r="P316" i="3" s="1" a="1"/>
  <c r="P316" i="3" s="1"/>
  <c r="E316" i="3" a="1"/>
  <c r="E316" i="3" s="1"/>
  <c r="O316" i="3" s="1" a="1"/>
  <c r="O316" i="3" s="1"/>
  <c r="H316" i="3" a="1"/>
  <c r="H316" i="3" s="1"/>
  <c r="R316" i="3" s="1" a="1"/>
  <c r="R316" i="3" s="1"/>
  <c r="S316" i="3" s="1" a="1"/>
  <c r="S316" i="3" s="1"/>
  <c r="G316" i="3" a="1"/>
  <c r="G316" i="3" s="1"/>
  <c r="Q316" i="3" s="1" a="1"/>
  <c r="Q316" i="3" s="1"/>
  <c r="I316" i="3" a="1"/>
  <c r="I316" i="3" s="1"/>
  <c r="T316" i="3" s="1" a="1"/>
  <c r="T316" i="3" s="1"/>
  <c r="J316" i="3" a="1"/>
  <c r="J316" i="3" s="1"/>
  <c r="U316" i="3" s="1" a="1"/>
  <c r="U316" i="3" s="1"/>
  <c r="K316" i="3" a="1"/>
  <c r="K316" i="3" s="1"/>
  <c r="V316" i="3" s="1" a="1"/>
  <c r="V316" i="3" s="1"/>
  <c r="B320" i="3" a="1"/>
  <c r="B320" i="3" s="1"/>
  <c r="L320" i="3" s="1" a="1"/>
  <c r="L320" i="3" s="1"/>
  <c r="C320" i="3" a="1"/>
  <c r="C320" i="3" s="1"/>
  <c r="M320" i="3" s="1" a="1"/>
  <c r="M320" i="3" s="1"/>
  <c r="D320" i="3" a="1"/>
  <c r="D320" i="3" s="1"/>
  <c r="N320" i="3" s="1" a="1"/>
  <c r="N320" i="3" s="1"/>
  <c r="F320" i="3" a="1"/>
  <c r="F320" i="3" s="1"/>
  <c r="P320" i="3" s="1" a="1"/>
  <c r="P320" i="3" s="1"/>
  <c r="E320" i="3" a="1"/>
  <c r="E320" i="3" s="1"/>
  <c r="O320" i="3" s="1" a="1"/>
  <c r="O320" i="3" s="1"/>
  <c r="H320" i="3" a="1"/>
  <c r="H320" i="3" s="1"/>
  <c r="R320" i="3" s="1" a="1"/>
  <c r="R320" i="3" s="1"/>
  <c r="S320" i="3" s="1" a="1"/>
  <c r="S320" i="3" s="1"/>
  <c r="I320" i="3" a="1"/>
  <c r="I320" i="3" s="1"/>
  <c r="T320" i="3" s="1" a="1"/>
  <c r="T320" i="3" s="1"/>
  <c r="J320" i="3" a="1"/>
  <c r="J320" i="3" s="1"/>
  <c r="U320" i="3" s="1" a="1"/>
  <c r="U320" i="3" s="1"/>
  <c r="G320" i="3" a="1"/>
  <c r="G320" i="3" s="1"/>
  <c r="Q320" i="3" s="1" a="1"/>
  <c r="Q320" i="3" s="1"/>
  <c r="K320" i="3" a="1"/>
  <c r="K320" i="3" s="1"/>
  <c r="V320" i="3" s="1" a="1"/>
  <c r="V320" i="3" s="1"/>
  <c r="B315" i="3" a="1"/>
  <c r="B315" i="3" s="1"/>
  <c r="L315" i="3" s="1" a="1"/>
  <c r="L315" i="3" s="1"/>
  <c r="C315" i="3" a="1"/>
  <c r="C315" i="3" s="1"/>
  <c r="M315" i="3" s="1" a="1"/>
  <c r="M315" i="3" s="1"/>
  <c r="D315" i="3" a="1"/>
  <c r="D315" i="3" s="1"/>
  <c r="N315" i="3" s="1" a="1"/>
  <c r="N315" i="3" s="1"/>
  <c r="F315" i="3" a="1"/>
  <c r="F315" i="3" s="1"/>
  <c r="P315" i="3" s="1" a="1"/>
  <c r="P315" i="3" s="1"/>
  <c r="E315" i="3" a="1"/>
  <c r="E315" i="3" s="1"/>
  <c r="O315" i="3" s="1" a="1"/>
  <c r="O315" i="3" s="1"/>
  <c r="G315" i="3" a="1"/>
  <c r="G315" i="3" s="1"/>
  <c r="Q315" i="3" s="1" a="1"/>
  <c r="Q315" i="3" s="1"/>
  <c r="H315" i="3" a="1"/>
  <c r="H315" i="3" s="1"/>
  <c r="R315" i="3" s="1" a="1"/>
  <c r="R315" i="3" s="1"/>
  <c r="S315" i="3" s="1" a="1"/>
  <c r="S315" i="3" s="1"/>
  <c r="I315" i="3" a="1"/>
  <c r="I315" i="3" s="1"/>
  <c r="T315" i="3" s="1" a="1"/>
  <c r="T315" i="3" s="1"/>
  <c r="J315" i="3" a="1"/>
  <c r="J315" i="3" s="1"/>
  <c r="U315" i="3" s="1" a="1"/>
  <c r="U315" i="3" s="1"/>
  <c r="K315" i="3" a="1"/>
  <c r="K315" i="3" s="1"/>
  <c r="V315" i="3" s="1" a="1"/>
  <c r="V315" i="3" s="1"/>
  <c r="B323" i="3" a="1"/>
  <c r="B323" i="3" s="1"/>
  <c r="L323" i="3" s="1" a="1"/>
  <c r="L323" i="3" s="1"/>
  <c r="C323" i="3" a="1"/>
  <c r="C323" i="3" s="1"/>
  <c r="M323" i="3" s="1" a="1"/>
  <c r="M323" i="3" s="1"/>
  <c r="D323" i="3" a="1"/>
  <c r="D323" i="3" s="1"/>
  <c r="N323" i="3" s="1" a="1"/>
  <c r="N323" i="3" s="1"/>
  <c r="F323" i="3" a="1"/>
  <c r="F323" i="3" s="1"/>
  <c r="P323" i="3" s="1" a="1"/>
  <c r="P323" i="3" s="1"/>
  <c r="E323" i="3" a="1"/>
  <c r="E323" i="3" s="1"/>
  <c r="O323" i="3" s="1" a="1"/>
  <c r="O323" i="3" s="1"/>
  <c r="G323" i="3" a="1"/>
  <c r="G323" i="3" s="1"/>
  <c r="Q323" i="3" s="1" a="1"/>
  <c r="Q323" i="3" s="1"/>
  <c r="H323" i="3" a="1"/>
  <c r="H323" i="3" s="1"/>
  <c r="R323" i="3" s="1" a="1"/>
  <c r="R323" i="3" s="1"/>
  <c r="S323" i="3" s="1" a="1"/>
  <c r="S323" i="3" s="1"/>
  <c r="I323" i="3" a="1"/>
  <c r="I323" i="3" s="1"/>
  <c r="T323" i="3" s="1" a="1"/>
  <c r="T323" i="3" s="1"/>
  <c r="J323" i="3" a="1"/>
  <c r="J323" i="3" s="1"/>
  <c r="U323" i="3" s="1" a="1"/>
  <c r="U323" i="3" s="1"/>
  <c r="K323" i="3" a="1"/>
  <c r="K323" i="3" s="1"/>
  <c r="V323" i="3" s="1" a="1"/>
  <c r="V323" i="3" s="1"/>
  <c r="B319" i="3" a="1"/>
  <c r="B319" i="3" s="1"/>
  <c r="L319" i="3" s="1" a="1"/>
  <c r="L319" i="3" s="1"/>
  <c r="C319" i="3" a="1"/>
  <c r="C319" i="3" s="1"/>
  <c r="M319" i="3" s="1" a="1"/>
  <c r="M319" i="3" s="1"/>
  <c r="D319" i="3" a="1"/>
  <c r="D319" i="3" s="1"/>
  <c r="N319" i="3" s="1" a="1"/>
  <c r="N319" i="3" s="1"/>
  <c r="F319" i="3" a="1"/>
  <c r="F319" i="3" s="1"/>
  <c r="P319" i="3" s="1" a="1"/>
  <c r="P319" i="3" s="1"/>
  <c r="E319" i="3" a="1"/>
  <c r="E319" i="3" s="1"/>
  <c r="O319" i="3" s="1" a="1"/>
  <c r="O319" i="3" s="1"/>
  <c r="G319" i="3" a="1"/>
  <c r="G319" i="3" s="1"/>
  <c r="Q319" i="3" s="1" a="1"/>
  <c r="Q319" i="3" s="1"/>
  <c r="H319" i="3" a="1"/>
  <c r="H319" i="3" s="1"/>
  <c r="R319" i="3" s="1" a="1"/>
  <c r="R319" i="3" s="1"/>
  <c r="S319" i="3" s="1" a="1"/>
  <c r="S319" i="3" s="1"/>
  <c r="I319" i="3" a="1"/>
  <c r="I319" i="3" s="1"/>
  <c r="T319" i="3" s="1" a="1"/>
  <c r="T319" i="3" s="1"/>
  <c r="J319" i="3" a="1"/>
  <c r="J319" i="3" s="1"/>
  <c r="U319" i="3" s="1" a="1"/>
  <c r="U319" i="3" s="1"/>
  <c r="K319" i="3" a="1"/>
  <c r="K319" i="3" s="1"/>
  <c r="V319" i="3" s="1" a="1"/>
  <c r="V319" i="3" s="1"/>
  <c r="B318" i="3" a="1"/>
  <c r="B318" i="3" s="1"/>
  <c r="L318" i="3" s="1" a="1"/>
  <c r="L318" i="3" s="1"/>
  <c r="C318" i="3" a="1"/>
  <c r="C318" i="3" s="1"/>
  <c r="M318" i="3" s="1" a="1"/>
  <c r="M318" i="3" s="1"/>
  <c r="D318" i="3" a="1"/>
  <c r="D318" i="3" s="1"/>
  <c r="N318" i="3" s="1" a="1"/>
  <c r="N318" i="3" s="1"/>
  <c r="E318" i="3" a="1"/>
  <c r="E318" i="3" s="1"/>
  <c r="O318" i="3" s="1" a="1"/>
  <c r="O318" i="3" s="1"/>
  <c r="F318" i="3" a="1"/>
  <c r="F318" i="3" s="1"/>
  <c r="P318" i="3" s="1" a="1"/>
  <c r="P318" i="3" s="1"/>
  <c r="H318" i="3" a="1"/>
  <c r="H318" i="3" s="1"/>
  <c r="R318" i="3" s="1" a="1"/>
  <c r="R318" i="3" s="1"/>
  <c r="S318" i="3" s="1" a="1"/>
  <c r="S318" i="3" s="1"/>
  <c r="G318" i="3" a="1"/>
  <c r="G318" i="3" s="1"/>
  <c r="Q318" i="3" s="1" a="1"/>
  <c r="Q318" i="3" s="1"/>
  <c r="J318" i="3" a="1"/>
  <c r="J318" i="3" s="1"/>
  <c r="U318" i="3" s="1" a="1"/>
  <c r="U318" i="3" s="1"/>
  <c r="I318" i="3" a="1"/>
  <c r="I318" i="3" s="1"/>
  <c r="T318" i="3" s="1" a="1"/>
  <c r="T318" i="3" s="1"/>
  <c r="K318" i="3" a="1"/>
  <c r="K318" i="3" s="1"/>
  <c r="V318" i="3" s="1" a="1"/>
  <c r="V318" i="3" s="1"/>
  <c r="B322" i="3" a="1"/>
  <c r="B322" i="3" s="1"/>
  <c r="L322" i="3" s="1" a="1"/>
  <c r="L322" i="3" s="1"/>
  <c r="C322" i="3" a="1"/>
  <c r="C322" i="3" s="1"/>
  <c r="M322" i="3" s="1" a="1"/>
  <c r="M322" i="3" s="1"/>
  <c r="D322" i="3" a="1"/>
  <c r="D322" i="3" s="1"/>
  <c r="N322" i="3" s="1" a="1"/>
  <c r="N322" i="3" s="1"/>
  <c r="E322" i="3" a="1"/>
  <c r="E322" i="3" s="1"/>
  <c r="O322" i="3" s="1" a="1"/>
  <c r="O322" i="3" s="1"/>
  <c r="F322" i="3" a="1"/>
  <c r="F322" i="3" s="1"/>
  <c r="P322" i="3" s="1" a="1"/>
  <c r="P322" i="3" s="1"/>
  <c r="H322" i="3" a="1"/>
  <c r="H322" i="3" s="1"/>
  <c r="R322" i="3" s="1" a="1"/>
  <c r="R322" i="3" s="1"/>
  <c r="S322" i="3" s="1" a="1"/>
  <c r="S322" i="3" s="1"/>
  <c r="J322" i="3" a="1"/>
  <c r="J322" i="3" s="1"/>
  <c r="U322" i="3" s="1" a="1"/>
  <c r="U322" i="3" s="1"/>
  <c r="I322" i="3" a="1"/>
  <c r="I322" i="3" s="1"/>
  <c r="T322" i="3" s="1" a="1"/>
  <c r="T322" i="3" s="1"/>
  <c r="G322" i="3" a="1"/>
  <c r="G322" i="3" s="1"/>
  <c r="Q322" i="3" s="1" a="1"/>
  <c r="Q322" i="3" s="1"/>
  <c r="K322" i="3" a="1"/>
  <c r="K322" i="3" s="1"/>
  <c r="V322" i="3" s="1" a="1"/>
  <c r="V322" i="3" s="1"/>
  <c r="B317" i="3" a="1"/>
  <c r="B317" i="3" s="1"/>
  <c r="L317" i="3" s="1" a="1"/>
  <c r="L317" i="3" s="1"/>
  <c r="C317" i="3" a="1"/>
  <c r="C317" i="3" s="1"/>
  <c r="M317" i="3" s="1" a="1"/>
  <c r="M317" i="3" s="1"/>
  <c r="D317" i="3" a="1"/>
  <c r="D317" i="3" s="1"/>
  <c r="N317" i="3" s="1" a="1"/>
  <c r="N317" i="3" s="1"/>
  <c r="E317" i="3" a="1"/>
  <c r="E317" i="3" s="1"/>
  <c r="O317" i="3" s="1" a="1"/>
  <c r="O317" i="3" s="1"/>
  <c r="F317" i="3" a="1"/>
  <c r="F317" i="3" s="1"/>
  <c r="P317" i="3" s="1" a="1"/>
  <c r="P317" i="3" s="1"/>
  <c r="G317" i="3" a="1"/>
  <c r="G317" i="3" s="1"/>
  <c r="Q317" i="3" s="1" a="1"/>
  <c r="Q317" i="3" s="1"/>
  <c r="I317" i="3" a="1"/>
  <c r="I317" i="3" s="1"/>
  <c r="T317" i="3" s="1" a="1"/>
  <c r="T317" i="3" s="1"/>
  <c r="H317" i="3" a="1"/>
  <c r="H317" i="3" s="1"/>
  <c r="R317" i="3" s="1" a="1"/>
  <c r="R317" i="3" s="1"/>
  <c r="S317" i="3" s="1" a="1"/>
  <c r="S317" i="3" s="1"/>
  <c r="J317" i="3" a="1"/>
  <c r="J317" i="3" s="1"/>
  <c r="U317" i="3" s="1" a="1"/>
  <c r="U317" i="3" s="1"/>
  <c r="K317" i="3" a="1"/>
  <c r="K317" i="3" s="1"/>
  <c r="V317" i="3" s="1" a="1"/>
  <c r="V317" i="3" s="1"/>
  <c r="B321" i="3" a="1"/>
  <c r="B321" i="3" s="1"/>
  <c r="L321" i="3" s="1" a="1"/>
  <c r="L321" i="3" s="1"/>
  <c r="C321" i="3" a="1"/>
  <c r="C321" i="3" s="1"/>
  <c r="M321" i="3" s="1" a="1"/>
  <c r="M321" i="3" s="1"/>
  <c r="D321" i="3" a="1"/>
  <c r="D321" i="3" s="1"/>
  <c r="N321" i="3" s="1" a="1"/>
  <c r="N321" i="3" s="1"/>
  <c r="E321" i="3" a="1"/>
  <c r="E321" i="3" s="1"/>
  <c r="O321" i="3" s="1" a="1"/>
  <c r="O321" i="3" s="1"/>
  <c r="F321" i="3" a="1"/>
  <c r="F321" i="3" s="1"/>
  <c r="P321" i="3" s="1" a="1"/>
  <c r="P321" i="3" s="1"/>
  <c r="G321" i="3" a="1"/>
  <c r="G321" i="3" s="1"/>
  <c r="Q321" i="3" s="1" a="1"/>
  <c r="Q321" i="3" s="1"/>
  <c r="H321" i="3" a="1"/>
  <c r="H321" i="3" s="1"/>
  <c r="R321" i="3" s="1" a="1"/>
  <c r="R321" i="3" s="1"/>
  <c r="S321" i="3" s="1" a="1"/>
  <c r="S321" i="3" s="1"/>
  <c r="I321" i="3" a="1"/>
  <c r="I321" i="3" s="1"/>
  <c r="T321" i="3" s="1" a="1"/>
  <c r="T321" i="3" s="1"/>
  <c r="J321" i="3" a="1"/>
  <c r="J321" i="3" s="1"/>
  <c r="U321" i="3" s="1" a="1"/>
  <c r="U321" i="3" s="1"/>
  <c r="K321" i="3" a="1"/>
  <c r="K321" i="3" s="1"/>
  <c r="V321" i="3" s="1" a="1"/>
  <c r="V321" i="3" s="1"/>
  <c r="M321" i="1"/>
  <c r="M320" i="1"/>
  <c r="M322" i="1"/>
  <c r="M316" i="1"/>
  <c r="I17" i="2"/>
  <c r="J17" i="2"/>
  <c r="K17" i="2"/>
  <c r="I16" i="2"/>
  <c r="J16" i="2"/>
  <c r="K16" i="2"/>
  <c r="M323" i="1" a="1"/>
  <c r="M319" i="1" a="1"/>
  <c r="M315" i="1" a="1"/>
  <c r="M318" i="1" a="1"/>
  <c r="M317" i="1" a="1"/>
  <c r="M323" i="1" l="1"/>
  <c r="M317" i="1"/>
  <c r="M318" i="1"/>
  <c r="M319" i="1"/>
  <c r="M315" i="1"/>
  <c r="L314" i="1"/>
  <c r="A314" i="3" s="1"/>
  <c r="B314" i="3" l="1" a="1"/>
  <c r="B314" i="3" s="1"/>
  <c r="L314" i="3" s="1" a="1"/>
  <c r="L314" i="3" s="1"/>
  <c r="C314" i="3" a="1"/>
  <c r="C314" i="3" s="1"/>
  <c r="M314" i="3" s="1" a="1"/>
  <c r="M314" i="3" s="1"/>
  <c r="D314" i="3" a="1"/>
  <c r="D314" i="3" s="1"/>
  <c r="N314" i="3" s="1" a="1"/>
  <c r="N314" i="3" s="1"/>
  <c r="E314" i="3" a="1"/>
  <c r="E314" i="3" s="1"/>
  <c r="O314" i="3" s="1" a="1"/>
  <c r="O314" i="3" s="1"/>
  <c r="F314" i="3" a="1"/>
  <c r="F314" i="3" s="1"/>
  <c r="P314" i="3" s="1" a="1"/>
  <c r="P314" i="3" s="1"/>
  <c r="H314" i="3" a="1"/>
  <c r="H314" i="3" s="1"/>
  <c r="R314" i="3" s="1" a="1"/>
  <c r="R314" i="3" s="1"/>
  <c r="S314" i="3" s="1" a="1"/>
  <c r="S314" i="3" s="1"/>
  <c r="J314" i="3" a="1"/>
  <c r="J314" i="3" s="1"/>
  <c r="U314" i="3" s="1" a="1"/>
  <c r="U314" i="3" s="1"/>
  <c r="I314" i="3" a="1"/>
  <c r="I314" i="3" s="1"/>
  <c r="T314" i="3" s="1" a="1"/>
  <c r="T314" i="3" s="1"/>
  <c r="G314" i="3" a="1"/>
  <c r="G314" i="3" s="1"/>
  <c r="Q314" i="3" s="1" a="1"/>
  <c r="Q314" i="3" s="1"/>
  <c r="K314" i="3" a="1"/>
  <c r="K314" i="3" s="1"/>
  <c r="V314" i="3" s="1" a="1"/>
  <c r="V314" i="3" s="1"/>
  <c r="M314" i="1" a="1"/>
  <c r="M314" i="1" l="1"/>
  <c r="B312" i="6"/>
  <c r="H312" i="1" s="1"/>
  <c r="AC312" i="3" s="1"/>
  <c r="B313" i="6"/>
  <c r="H313" i="1" s="1"/>
  <c r="AC313" i="3" s="1"/>
  <c r="B314" i="6"/>
  <c r="H314" i="1" s="1"/>
  <c r="AC314" i="3" s="1"/>
  <c r="B315" i="6"/>
  <c r="H315" i="1" s="1"/>
  <c r="AC315" i="3" s="1"/>
  <c r="L312" i="1"/>
  <c r="A312" i="3" s="1"/>
  <c r="L313" i="1"/>
  <c r="A313" i="3" s="1"/>
  <c r="B309" i="6"/>
  <c r="H309" i="1" s="1"/>
  <c r="AC309" i="3" s="1"/>
  <c r="B310" i="6"/>
  <c r="H310" i="1" s="1"/>
  <c r="AC310" i="3" s="1"/>
  <c r="B311" i="6"/>
  <c r="H311" i="1" s="1"/>
  <c r="AC311" i="3" s="1"/>
  <c r="L309" i="1"/>
  <c r="A309" i="3" s="1"/>
  <c r="L310" i="1"/>
  <c r="A310" i="3" s="1"/>
  <c r="L311" i="1"/>
  <c r="A311" i="3" s="1"/>
  <c r="B308" i="6"/>
  <c r="H308" i="1" s="1"/>
  <c r="AC308" i="3" s="1"/>
  <c r="L308" i="1"/>
  <c r="A308" i="3" s="1"/>
  <c r="M311" i="1" a="1"/>
  <c r="M312" i="1" a="1"/>
  <c r="B310" i="3" l="1" a="1"/>
  <c r="B310" i="3" s="1"/>
  <c r="L310" i="3" s="1" a="1"/>
  <c r="L310" i="3" s="1"/>
  <c r="C310" i="3" a="1"/>
  <c r="C310" i="3" s="1"/>
  <c r="M310" i="3" s="1" a="1"/>
  <c r="M310" i="3" s="1"/>
  <c r="D310" i="3" a="1"/>
  <c r="D310" i="3" s="1"/>
  <c r="N310" i="3" s="1" a="1"/>
  <c r="N310" i="3" s="1"/>
  <c r="E310" i="3" a="1"/>
  <c r="E310" i="3" s="1"/>
  <c r="O310" i="3" s="1" a="1"/>
  <c r="O310" i="3" s="1"/>
  <c r="F310" i="3" a="1"/>
  <c r="F310" i="3" s="1"/>
  <c r="P310" i="3" s="1" a="1"/>
  <c r="P310" i="3" s="1"/>
  <c r="H310" i="3" a="1"/>
  <c r="H310" i="3" s="1"/>
  <c r="R310" i="3" s="1" a="1"/>
  <c r="R310" i="3" s="1"/>
  <c r="S310" i="3" s="1" a="1"/>
  <c r="S310" i="3" s="1"/>
  <c r="G310" i="3" a="1"/>
  <c r="G310" i="3" s="1"/>
  <c r="Q310" i="3" s="1" a="1"/>
  <c r="Q310" i="3" s="1"/>
  <c r="J310" i="3" a="1"/>
  <c r="J310" i="3" s="1"/>
  <c r="U310" i="3" s="1" a="1"/>
  <c r="U310" i="3" s="1"/>
  <c r="I310" i="3" a="1"/>
  <c r="I310" i="3" s="1"/>
  <c r="T310" i="3" s="1" a="1"/>
  <c r="T310" i="3" s="1"/>
  <c r="K310" i="3" a="1"/>
  <c r="K310" i="3" s="1"/>
  <c r="V310" i="3" s="1" a="1"/>
  <c r="V310" i="3" s="1"/>
  <c r="B308" i="3" a="1"/>
  <c r="B308" i="3" s="1"/>
  <c r="L308" i="3" s="1" a="1"/>
  <c r="L308" i="3" s="1"/>
  <c r="C308" i="3" a="1"/>
  <c r="C308" i="3" s="1"/>
  <c r="M308" i="3" s="1" a="1"/>
  <c r="M308" i="3" s="1"/>
  <c r="D308" i="3" a="1"/>
  <c r="D308" i="3" s="1"/>
  <c r="N308" i="3" s="1" a="1"/>
  <c r="N308" i="3" s="1"/>
  <c r="F308" i="3" a="1"/>
  <c r="F308" i="3" s="1"/>
  <c r="P308" i="3" s="1" a="1"/>
  <c r="P308" i="3" s="1"/>
  <c r="E308" i="3" a="1"/>
  <c r="E308" i="3" s="1"/>
  <c r="O308" i="3" s="1" a="1"/>
  <c r="O308" i="3" s="1"/>
  <c r="H308" i="3" a="1"/>
  <c r="H308" i="3" s="1"/>
  <c r="R308" i="3" s="1" a="1"/>
  <c r="R308" i="3" s="1"/>
  <c r="S308" i="3" s="1" a="1"/>
  <c r="S308" i="3" s="1"/>
  <c r="G308" i="3" a="1"/>
  <c r="G308" i="3" s="1"/>
  <c r="Q308" i="3" s="1" a="1"/>
  <c r="Q308" i="3" s="1"/>
  <c r="I308" i="3" a="1"/>
  <c r="I308" i="3" s="1"/>
  <c r="T308" i="3" s="1" a="1"/>
  <c r="T308" i="3" s="1"/>
  <c r="J308" i="3" a="1"/>
  <c r="J308" i="3" s="1"/>
  <c r="U308" i="3" s="1" a="1"/>
  <c r="U308" i="3" s="1"/>
  <c r="K308" i="3" a="1"/>
  <c r="K308" i="3" s="1"/>
  <c r="V308" i="3" s="1" a="1"/>
  <c r="V308" i="3" s="1"/>
  <c r="B309" i="3" a="1"/>
  <c r="B309" i="3" s="1"/>
  <c r="L309" i="3" s="1" a="1"/>
  <c r="L309" i="3" s="1"/>
  <c r="C309" i="3" a="1"/>
  <c r="C309" i="3" s="1"/>
  <c r="M309" i="3" s="1" a="1"/>
  <c r="M309" i="3" s="1"/>
  <c r="D309" i="3" a="1"/>
  <c r="D309" i="3" s="1"/>
  <c r="N309" i="3" s="1" a="1"/>
  <c r="N309" i="3" s="1"/>
  <c r="E309" i="3" a="1"/>
  <c r="E309" i="3" s="1"/>
  <c r="O309" i="3" s="1" a="1"/>
  <c r="O309" i="3" s="1"/>
  <c r="F309" i="3" a="1"/>
  <c r="F309" i="3" s="1"/>
  <c r="P309" i="3" s="1" a="1"/>
  <c r="P309" i="3" s="1"/>
  <c r="G309" i="3" a="1"/>
  <c r="G309" i="3" s="1"/>
  <c r="Q309" i="3" s="1" a="1"/>
  <c r="Q309" i="3" s="1"/>
  <c r="I309" i="3" a="1"/>
  <c r="I309" i="3" s="1"/>
  <c r="T309" i="3" s="1" a="1"/>
  <c r="T309" i="3" s="1"/>
  <c r="H309" i="3" a="1"/>
  <c r="H309" i="3" s="1"/>
  <c r="R309" i="3" s="1" a="1"/>
  <c r="R309" i="3" s="1"/>
  <c r="S309" i="3" s="1" a="1"/>
  <c r="S309" i="3" s="1"/>
  <c r="J309" i="3" a="1"/>
  <c r="J309" i="3" s="1"/>
  <c r="U309" i="3" s="1" a="1"/>
  <c r="U309" i="3" s="1"/>
  <c r="K309" i="3" a="1"/>
  <c r="K309" i="3" s="1"/>
  <c r="V309" i="3" s="1" a="1"/>
  <c r="V309" i="3" s="1"/>
  <c r="B313" i="3" a="1"/>
  <c r="B313" i="3" s="1"/>
  <c r="L313" i="3" s="1" a="1"/>
  <c r="L313" i="3" s="1"/>
  <c r="C313" i="3" a="1"/>
  <c r="C313" i="3" s="1"/>
  <c r="M313" i="3" s="1" a="1"/>
  <c r="M313" i="3" s="1"/>
  <c r="D313" i="3" a="1"/>
  <c r="D313" i="3" s="1"/>
  <c r="N313" i="3" s="1" a="1"/>
  <c r="N313" i="3" s="1"/>
  <c r="E313" i="3" a="1"/>
  <c r="E313" i="3" s="1"/>
  <c r="O313" i="3" s="1" a="1"/>
  <c r="O313" i="3" s="1"/>
  <c r="F313" i="3" a="1"/>
  <c r="F313" i="3" s="1"/>
  <c r="P313" i="3" s="1" a="1"/>
  <c r="P313" i="3" s="1"/>
  <c r="G313" i="3" a="1"/>
  <c r="G313" i="3" s="1"/>
  <c r="Q313" i="3" s="1" a="1"/>
  <c r="Q313" i="3" s="1"/>
  <c r="H313" i="3" a="1"/>
  <c r="H313" i="3" s="1"/>
  <c r="R313" i="3" s="1" a="1"/>
  <c r="R313" i="3" s="1"/>
  <c r="S313" i="3" s="1" a="1"/>
  <c r="S313" i="3" s="1"/>
  <c r="I313" i="3" a="1"/>
  <c r="I313" i="3" s="1"/>
  <c r="T313" i="3" s="1" a="1"/>
  <c r="T313" i="3" s="1"/>
  <c r="J313" i="3" a="1"/>
  <c r="J313" i="3" s="1"/>
  <c r="U313" i="3" s="1" a="1"/>
  <c r="U313" i="3" s="1"/>
  <c r="K313" i="3" a="1"/>
  <c r="K313" i="3" s="1"/>
  <c r="V313" i="3" s="1" a="1"/>
  <c r="V313" i="3" s="1"/>
  <c r="B312" i="3" a="1"/>
  <c r="B312" i="3" s="1"/>
  <c r="L312" i="3" s="1" a="1"/>
  <c r="L312" i="3" s="1"/>
  <c r="C312" i="3" a="1"/>
  <c r="C312" i="3" s="1"/>
  <c r="M312" i="3" s="1" a="1"/>
  <c r="M312" i="3" s="1"/>
  <c r="D312" i="3" a="1"/>
  <c r="D312" i="3" s="1"/>
  <c r="N312" i="3" s="1" a="1"/>
  <c r="N312" i="3" s="1"/>
  <c r="F312" i="3" a="1"/>
  <c r="F312" i="3" s="1"/>
  <c r="P312" i="3" s="1" a="1"/>
  <c r="P312" i="3" s="1"/>
  <c r="E312" i="3" a="1"/>
  <c r="E312" i="3" s="1"/>
  <c r="O312" i="3" s="1" a="1"/>
  <c r="O312" i="3" s="1"/>
  <c r="H312" i="3" a="1"/>
  <c r="H312" i="3" s="1"/>
  <c r="R312" i="3" s="1" a="1"/>
  <c r="R312" i="3" s="1"/>
  <c r="S312" i="3" s="1" a="1"/>
  <c r="S312" i="3" s="1"/>
  <c r="I312" i="3" a="1"/>
  <c r="I312" i="3" s="1"/>
  <c r="T312" i="3" s="1" a="1"/>
  <c r="T312" i="3" s="1"/>
  <c r="J312" i="3" a="1"/>
  <c r="J312" i="3" s="1"/>
  <c r="U312" i="3" s="1" a="1"/>
  <c r="U312" i="3" s="1"/>
  <c r="G312" i="3" a="1"/>
  <c r="G312" i="3" s="1"/>
  <c r="Q312" i="3" s="1" a="1"/>
  <c r="Q312" i="3" s="1"/>
  <c r="K312" i="3" a="1"/>
  <c r="K312" i="3" s="1"/>
  <c r="V312" i="3" s="1" a="1"/>
  <c r="V312" i="3" s="1"/>
  <c r="B311" i="3" a="1"/>
  <c r="B311" i="3" s="1"/>
  <c r="L311" i="3" s="1" a="1"/>
  <c r="L311" i="3" s="1"/>
  <c r="C311" i="3" a="1"/>
  <c r="C311" i="3" s="1"/>
  <c r="M311" i="3" s="1" a="1"/>
  <c r="M311" i="3" s="1"/>
  <c r="D311" i="3" a="1"/>
  <c r="D311" i="3" s="1"/>
  <c r="N311" i="3" s="1" a="1"/>
  <c r="N311" i="3" s="1"/>
  <c r="F311" i="3" a="1"/>
  <c r="F311" i="3" s="1"/>
  <c r="P311" i="3" s="1" a="1"/>
  <c r="P311" i="3" s="1"/>
  <c r="E311" i="3" a="1"/>
  <c r="E311" i="3" s="1"/>
  <c r="O311" i="3" s="1" a="1"/>
  <c r="O311" i="3" s="1"/>
  <c r="G311" i="3" a="1"/>
  <c r="G311" i="3" s="1"/>
  <c r="Q311" i="3" s="1" a="1"/>
  <c r="Q311" i="3" s="1"/>
  <c r="H311" i="3" a="1"/>
  <c r="H311" i="3" s="1"/>
  <c r="R311" i="3" s="1" a="1"/>
  <c r="R311" i="3" s="1"/>
  <c r="S311" i="3" s="1" a="1"/>
  <c r="S311" i="3" s="1"/>
  <c r="I311" i="3" a="1"/>
  <c r="I311" i="3" s="1"/>
  <c r="T311" i="3" s="1" a="1"/>
  <c r="T311" i="3" s="1"/>
  <c r="J311" i="3" a="1"/>
  <c r="J311" i="3" s="1"/>
  <c r="U311" i="3" s="1" a="1"/>
  <c r="U311" i="3" s="1"/>
  <c r="K311" i="3" a="1"/>
  <c r="K311" i="3" s="1"/>
  <c r="V311" i="3" s="1" a="1"/>
  <c r="V311" i="3" s="1"/>
  <c r="M312" i="1"/>
  <c r="M311" i="1"/>
  <c r="M310" i="1" a="1"/>
  <c r="M308" i="1" a="1"/>
  <c r="M309" i="1" a="1"/>
  <c r="M313" i="1" a="1"/>
  <c r="M313" i="1" l="1"/>
  <c r="M310" i="1"/>
  <c r="M309" i="1"/>
  <c r="M308" i="1"/>
  <c r="D3" i="11"/>
  <c r="B306" i="6" l="1"/>
  <c r="H306" i="1" s="1"/>
  <c r="AC306" i="3" s="1"/>
  <c r="B307" i="6"/>
  <c r="H307" i="1" s="1"/>
  <c r="AC307" i="3" s="1"/>
  <c r="L306" i="1" l="1"/>
  <c r="A306" i="3" s="1"/>
  <c r="L307" i="1"/>
  <c r="A307" i="3" s="1"/>
  <c r="B302" i="6"/>
  <c r="H302" i="1" s="1"/>
  <c r="AC302" i="3" s="1"/>
  <c r="B303" i="6"/>
  <c r="H303" i="1" s="1"/>
  <c r="AC303" i="3" s="1"/>
  <c r="B304" i="6"/>
  <c r="H304" i="1" s="1"/>
  <c r="AC304" i="3" s="1"/>
  <c r="B305" i="6"/>
  <c r="H305" i="1" s="1"/>
  <c r="AC305" i="3" s="1"/>
  <c r="L303" i="1"/>
  <c r="A303" i="3" s="1"/>
  <c r="L304" i="1"/>
  <c r="A304" i="3" s="1"/>
  <c r="L305" i="1"/>
  <c r="A305" i="3" s="1"/>
  <c r="M303" i="1" a="1"/>
  <c r="M307" i="1" a="1"/>
  <c r="M306" i="1" a="1"/>
  <c r="B304" i="3" l="1" a="1"/>
  <c r="B304" i="3" s="1"/>
  <c r="L304" i="3" s="1" a="1"/>
  <c r="L304" i="3" s="1"/>
  <c r="C304" i="3" a="1"/>
  <c r="C304" i="3" s="1"/>
  <c r="M304" i="3" s="1" a="1"/>
  <c r="M304" i="3" s="1"/>
  <c r="D304" i="3" a="1"/>
  <c r="D304" i="3" s="1"/>
  <c r="N304" i="3" s="1" a="1"/>
  <c r="N304" i="3" s="1"/>
  <c r="F304" i="3" a="1"/>
  <c r="F304" i="3" s="1"/>
  <c r="P304" i="3" s="1" a="1"/>
  <c r="P304" i="3" s="1"/>
  <c r="E304" i="3" a="1"/>
  <c r="E304" i="3" s="1"/>
  <c r="O304" i="3" s="1" a="1"/>
  <c r="O304" i="3" s="1"/>
  <c r="H304" i="3" a="1"/>
  <c r="H304" i="3" s="1"/>
  <c r="R304" i="3" s="1" a="1"/>
  <c r="R304" i="3" s="1"/>
  <c r="S304" i="3" s="1" a="1"/>
  <c r="S304" i="3" s="1"/>
  <c r="I304" i="3" a="1"/>
  <c r="I304" i="3" s="1"/>
  <c r="T304" i="3" s="1" a="1"/>
  <c r="T304" i="3" s="1"/>
  <c r="J304" i="3" a="1"/>
  <c r="J304" i="3" s="1"/>
  <c r="U304" i="3" s="1" a="1"/>
  <c r="U304" i="3" s="1"/>
  <c r="G304" i="3" a="1"/>
  <c r="G304" i="3" s="1"/>
  <c r="Q304" i="3" s="1" a="1"/>
  <c r="Q304" i="3" s="1"/>
  <c r="K304" i="3" a="1"/>
  <c r="K304" i="3" s="1"/>
  <c r="V304" i="3" s="1" a="1"/>
  <c r="V304" i="3" s="1"/>
  <c r="B303" i="3" a="1"/>
  <c r="B303" i="3" s="1"/>
  <c r="L303" i="3" s="1" a="1"/>
  <c r="L303" i="3" s="1"/>
  <c r="C303" i="3" a="1"/>
  <c r="C303" i="3" s="1"/>
  <c r="M303" i="3" s="1" a="1"/>
  <c r="M303" i="3" s="1"/>
  <c r="D303" i="3" a="1"/>
  <c r="D303" i="3" s="1"/>
  <c r="N303" i="3" s="1" a="1"/>
  <c r="N303" i="3" s="1"/>
  <c r="F303" i="3" a="1"/>
  <c r="F303" i="3" s="1"/>
  <c r="P303" i="3" s="1" a="1"/>
  <c r="P303" i="3" s="1"/>
  <c r="E303" i="3" a="1"/>
  <c r="E303" i="3" s="1"/>
  <c r="O303" i="3" s="1" a="1"/>
  <c r="O303" i="3" s="1"/>
  <c r="G303" i="3" a="1"/>
  <c r="G303" i="3" s="1"/>
  <c r="Q303" i="3" s="1" a="1"/>
  <c r="Q303" i="3" s="1"/>
  <c r="H303" i="3" a="1"/>
  <c r="H303" i="3" s="1"/>
  <c r="R303" i="3" s="1" a="1"/>
  <c r="R303" i="3" s="1"/>
  <c r="S303" i="3" s="1" a="1"/>
  <c r="S303" i="3" s="1"/>
  <c r="I303" i="3" a="1"/>
  <c r="I303" i="3" s="1"/>
  <c r="T303" i="3" s="1" a="1"/>
  <c r="T303" i="3" s="1"/>
  <c r="J303" i="3" a="1"/>
  <c r="J303" i="3" s="1"/>
  <c r="U303" i="3" s="1" a="1"/>
  <c r="U303" i="3" s="1"/>
  <c r="K303" i="3" a="1"/>
  <c r="K303" i="3" s="1"/>
  <c r="V303" i="3" s="1" a="1"/>
  <c r="V303" i="3" s="1"/>
  <c r="B307" i="3" a="1"/>
  <c r="B307" i="3" s="1"/>
  <c r="L307" i="3" s="1" a="1"/>
  <c r="L307" i="3" s="1"/>
  <c r="C307" i="3" a="1"/>
  <c r="C307" i="3" s="1"/>
  <c r="M307" i="3" s="1" a="1"/>
  <c r="M307" i="3" s="1"/>
  <c r="D307" i="3" a="1"/>
  <c r="D307" i="3" s="1"/>
  <c r="N307" i="3" s="1" a="1"/>
  <c r="N307" i="3" s="1"/>
  <c r="F307" i="3" a="1"/>
  <c r="F307" i="3" s="1"/>
  <c r="P307" i="3" s="1" a="1"/>
  <c r="P307" i="3" s="1"/>
  <c r="E307" i="3" a="1"/>
  <c r="E307" i="3" s="1"/>
  <c r="O307" i="3" s="1" a="1"/>
  <c r="O307" i="3" s="1"/>
  <c r="G307" i="3" a="1"/>
  <c r="G307" i="3" s="1"/>
  <c r="Q307" i="3" s="1" a="1"/>
  <c r="Q307" i="3" s="1"/>
  <c r="H307" i="3" a="1"/>
  <c r="H307" i="3" s="1"/>
  <c r="R307" i="3" s="1" a="1"/>
  <c r="R307" i="3" s="1"/>
  <c r="S307" i="3" s="1" a="1"/>
  <c r="S307" i="3" s="1"/>
  <c r="I307" i="3" a="1"/>
  <c r="I307" i="3" s="1"/>
  <c r="T307" i="3" s="1" a="1"/>
  <c r="T307" i="3" s="1"/>
  <c r="J307" i="3" a="1"/>
  <c r="J307" i="3" s="1"/>
  <c r="U307" i="3" s="1" a="1"/>
  <c r="U307" i="3" s="1"/>
  <c r="K307" i="3" a="1"/>
  <c r="K307" i="3" s="1"/>
  <c r="V307" i="3" s="1" a="1"/>
  <c r="V307" i="3" s="1"/>
  <c r="B305" i="3" a="1"/>
  <c r="B305" i="3" s="1"/>
  <c r="L305" i="3" s="1" a="1"/>
  <c r="L305" i="3" s="1"/>
  <c r="C305" i="3" a="1"/>
  <c r="C305" i="3" s="1"/>
  <c r="M305" i="3" s="1" a="1"/>
  <c r="M305" i="3" s="1"/>
  <c r="D305" i="3" a="1"/>
  <c r="D305" i="3" s="1"/>
  <c r="N305" i="3" s="1" a="1"/>
  <c r="N305" i="3" s="1"/>
  <c r="E305" i="3" a="1"/>
  <c r="E305" i="3" s="1"/>
  <c r="O305" i="3" s="1" a="1"/>
  <c r="O305" i="3" s="1"/>
  <c r="F305" i="3" a="1"/>
  <c r="F305" i="3" s="1"/>
  <c r="P305" i="3" s="1" a="1"/>
  <c r="P305" i="3" s="1"/>
  <c r="G305" i="3" a="1"/>
  <c r="G305" i="3" s="1"/>
  <c r="Q305" i="3" s="1" a="1"/>
  <c r="Q305" i="3" s="1"/>
  <c r="H305" i="3" a="1"/>
  <c r="H305" i="3" s="1"/>
  <c r="R305" i="3" s="1" a="1"/>
  <c r="R305" i="3" s="1"/>
  <c r="S305" i="3" s="1" a="1"/>
  <c r="S305" i="3" s="1"/>
  <c r="I305" i="3" a="1"/>
  <c r="I305" i="3" s="1"/>
  <c r="T305" i="3" s="1" a="1"/>
  <c r="T305" i="3" s="1"/>
  <c r="J305" i="3" a="1"/>
  <c r="J305" i="3" s="1"/>
  <c r="U305" i="3" s="1" a="1"/>
  <c r="U305" i="3" s="1"/>
  <c r="K305" i="3" a="1"/>
  <c r="K305" i="3" s="1"/>
  <c r="V305" i="3" s="1" a="1"/>
  <c r="V305" i="3" s="1"/>
  <c r="B306" i="3" a="1"/>
  <c r="B306" i="3" s="1"/>
  <c r="L306" i="3" s="1" a="1"/>
  <c r="L306" i="3" s="1"/>
  <c r="C306" i="3" a="1"/>
  <c r="C306" i="3" s="1"/>
  <c r="M306" i="3" s="1" a="1"/>
  <c r="M306" i="3" s="1"/>
  <c r="D306" i="3" a="1"/>
  <c r="D306" i="3" s="1"/>
  <c r="N306" i="3" s="1" a="1"/>
  <c r="N306" i="3" s="1"/>
  <c r="E306" i="3" a="1"/>
  <c r="E306" i="3" s="1"/>
  <c r="O306" i="3" s="1" a="1"/>
  <c r="O306" i="3" s="1"/>
  <c r="F306" i="3" a="1"/>
  <c r="F306" i="3" s="1"/>
  <c r="P306" i="3" s="1" a="1"/>
  <c r="P306" i="3" s="1"/>
  <c r="H306" i="3" a="1"/>
  <c r="H306" i="3" s="1"/>
  <c r="R306" i="3" s="1" a="1"/>
  <c r="R306" i="3" s="1"/>
  <c r="S306" i="3" s="1" a="1"/>
  <c r="S306" i="3" s="1"/>
  <c r="J306" i="3" a="1"/>
  <c r="J306" i="3" s="1"/>
  <c r="U306" i="3" s="1" a="1"/>
  <c r="U306" i="3" s="1"/>
  <c r="I306" i="3" a="1"/>
  <c r="I306" i="3" s="1"/>
  <c r="T306" i="3" s="1" a="1"/>
  <c r="T306" i="3" s="1"/>
  <c r="G306" i="3" a="1"/>
  <c r="G306" i="3" s="1"/>
  <c r="Q306" i="3" s="1" a="1"/>
  <c r="Q306" i="3" s="1"/>
  <c r="K306" i="3" a="1"/>
  <c r="K306" i="3" s="1"/>
  <c r="V306" i="3" s="1" a="1"/>
  <c r="V306" i="3" s="1"/>
  <c r="M307" i="1"/>
  <c r="M306" i="1"/>
  <c r="M303" i="1"/>
  <c r="B296" i="6"/>
  <c r="H296" i="1" s="1"/>
  <c r="AC296" i="3" s="1"/>
  <c r="B297" i="6"/>
  <c r="H297" i="1" s="1"/>
  <c r="AC297" i="3" s="1"/>
  <c r="B298" i="6"/>
  <c r="H298" i="1" s="1"/>
  <c r="AC298" i="3" s="1"/>
  <c r="B299" i="6"/>
  <c r="H299" i="1" s="1"/>
  <c r="AC299" i="3" s="1"/>
  <c r="B300" i="6"/>
  <c r="H300" i="1" s="1"/>
  <c r="AC300" i="3" s="1"/>
  <c r="B301" i="6"/>
  <c r="H301" i="1" s="1"/>
  <c r="AC301" i="3" s="1"/>
  <c r="L296" i="1"/>
  <c r="A296" i="3" s="1"/>
  <c r="L297" i="1"/>
  <c r="A297" i="3" s="1"/>
  <c r="L298" i="1"/>
  <c r="A298" i="3" s="1"/>
  <c r="L299" i="1"/>
  <c r="A299" i="3" s="1"/>
  <c r="L300" i="1"/>
  <c r="A300" i="3" s="1"/>
  <c r="L301" i="1"/>
  <c r="A301" i="3" s="1"/>
  <c r="L302" i="1"/>
  <c r="A302" i="3" s="1"/>
  <c r="B294" i="6"/>
  <c r="H294" i="1" s="1"/>
  <c r="AC294" i="3" s="1"/>
  <c r="B295" i="6"/>
  <c r="H295" i="1" s="1"/>
  <c r="AC295" i="3" s="1"/>
  <c r="M304" i="1" a="1"/>
  <c r="M305" i="1" a="1"/>
  <c r="M299" i="1" a="1"/>
  <c r="M305" i="1" l="1"/>
  <c r="B299" i="3" a="1"/>
  <c r="B299" i="3" s="1"/>
  <c r="L299" i="3" s="1" a="1"/>
  <c r="L299" i="3" s="1"/>
  <c r="C299" i="3" a="1"/>
  <c r="C299" i="3" s="1"/>
  <c r="M299" i="3" s="1" a="1"/>
  <c r="M299" i="3" s="1"/>
  <c r="D299" i="3" a="1"/>
  <c r="D299" i="3" s="1"/>
  <c r="N299" i="3" s="1" a="1"/>
  <c r="N299" i="3" s="1"/>
  <c r="F299" i="3" a="1"/>
  <c r="F299" i="3" s="1"/>
  <c r="P299" i="3" s="1" a="1"/>
  <c r="P299" i="3" s="1"/>
  <c r="E299" i="3" a="1"/>
  <c r="E299" i="3" s="1"/>
  <c r="O299" i="3" s="1" a="1"/>
  <c r="O299" i="3" s="1"/>
  <c r="G299" i="3" a="1"/>
  <c r="G299" i="3" s="1"/>
  <c r="Q299" i="3" s="1" a="1"/>
  <c r="Q299" i="3" s="1"/>
  <c r="H299" i="3" a="1"/>
  <c r="H299" i="3" s="1"/>
  <c r="R299" i="3" s="1" a="1"/>
  <c r="R299" i="3" s="1"/>
  <c r="S299" i="3" s="1" a="1"/>
  <c r="S299" i="3" s="1"/>
  <c r="I299" i="3" a="1"/>
  <c r="I299" i="3" s="1"/>
  <c r="T299" i="3" s="1" a="1"/>
  <c r="T299" i="3" s="1"/>
  <c r="J299" i="3" a="1"/>
  <c r="J299" i="3" s="1"/>
  <c r="U299" i="3" s="1" a="1"/>
  <c r="U299" i="3" s="1"/>
  <c r="K299" i="3" a="1"/>
  <c r="K299" i="3" s="1"/>
  <c r="V299" i="3" s="1" a="1"/>
  <c r="V299" i="3" s="1"/>
  <c r="B302" i="3" a="1"/>
  <c r="B302" i="3" s="1"/>
  <c r="L302" i="3" s="1" a="1"/>
  <c r="L302" i="3" s="1"/>
  <c r="C302" i="3" a="1"/>
  <c r="C302" i="3" s="1"/>
  <c r="M302" i="3" s="1" a="1"/>
  <c r="M302" i="3" s="1"/>
  <c r="D302" i="3" a="1"/>
  <c r="D302" i="3" s="1"/>
  <c r="N302" i="3" s="1" a="1"/>
  <c r="N302" i="3" s="1"/>
  <c r="E302" i="3" a="1"/>
  <c r="E302" i="3" s="1"/>
  <c r="O302" i="3" s="1" a="1"/>
  <c r="O302" i="3" s="1"/>
  <c r="F302" i="3" a="1"/>
  <c r="F302" i="3" s="1"/>
  <c r="P302" i="3" s="1" a="1"/>
  <c r="P302" i="3" s="1"/>
  <c r="H302" i="3" a="1"/>
  <c r="H302" i="3" s="1"/>
  <c r="R302" i="3" s="1" a="1"/>
  <c r="R302" i="3" s="1"/>
  <c r="S302" i="3" s="1" a="1"/>
  <c r="S302" i="3" s="1"/>
  <c r="G302" i="3" a="1"/>
  <c r="G302" i="3" s="1"/>
  <c r="Q302" i="3" s="1" a="1"/>
  <c r="Q302" i="3" s="1"/>
  <c r="J302" i="3" a="1"/>
  <c r="J302" i="3" s="1"/>
  <c r="U302" i="3" s="1" a="1"/>
  <c r="U302" i="3" s="1"/>
  <c r="I302" i="3" a="1"/>
  <c r="I302" i="3" s="1"/>
  <c r="T302" i="3" s="1" a="1"/>
  <c r="T302" i="3" s="1"/>
  <c r="K302" i="3" a="1"/>
  <c r="K302" i="3" s="1"/>
  <c r="V302" i="3" s="1" a="1"/>
  <c r="V302" i="3" s="1"/>
  <c r="B298" i="3" a="1"/>
  <c r="B298" i="3" s="1"/>
  <c r="L298" i="3" s="1" a="1"/>
  <c r="L298" i="3" s="1"/>
  <c r="C298" i="3" a="1"/>
  <c r="C298" i="3" s="1"/>
  <c r="M298" i="3" s="1" a="1"/>
  <c r="M298" i="3" s="1"/>
  <c r="D298" i="3" a="1"/>
  <c r="D298" i="3" s="1"/>
  <c r="N298" i="3" s="1" a="1"/>
  <c r="N298" i="3" s="1"/>
  <c r="E298" i="3" a="1"/>
  <c r="E298" i="3" s="1"/>
  <c r="O298" i="3" s="1" a="1"/>
  <c r="O298" i="3" s="1"/>
  <c r="F298" i="3" a="1"/>
  <c r="F298" i="3" s="1"/>
  <c r="P298" i="3" s="1" a="1"/>
  <c r="P298" i="3" s="1"/>
  <c r="H298" i="3" a="1"/>
  <c r="H298" i="3" s="1"/>
  <c r="R298" i="3" s="1" a="1"/>
  <c r="R298" i="3" s="1"/>
  <c r="S298" i="3" s="1" a="1"/>
  <c r="S298" i="3" s="1"/>
  <c r="J298" i="3" a="1"/>
  <c r="J298" i="3" s="1"/>
  <c r="U298" i="3" s="1" a="1"/>
  <c r="U298" i="3" s="1"/>
  <c r="I298" i="3" a="1"/>
  <c r="I298" i="3" s="1"/>
  <c r="T298" i="3" s="1" a="1"/>
  <c r="T298" i="3" s="1"/>
  <c r="G298" i="3" a="1"/>
  <c r="G298" i="3" s="1"/>
  <c r="Q298" i="3" s="1" a="1"/>
  <c r="Q298" i="3" s="1"/>
  <c r="K298" i="3" a="1"/>
  <c r="K298" i="3" s="1"/>
  <c r="V298" i="3" s="1" a="1"/>
  <c r="V298" i="3" s="1"/>
  <c r="B301" i="3" a="1"/>
  <c r="B301" i="3" s="1"/>
  <c r="L301" i="3" s="1" a="1"/>
  <c r="L301" i="3" s="1"/>
  <c r="C301" i="3" a="1"/>
  <c r="C301" i="3" s="1"/>
  <c r="M301" i="3" s="1" a="1"/>
  <c r="M301" i="3" s="1"/>
  <c r="D301" i="3" a="1"/>
  <c r="D301" i="3" s="1"/>
  <c r="N301" i="3" s="1" a="1"/>
  <c r="N301" i="3" s="1"/>
  <c r="E301" i="3" a="1"/>
  <c r="E301" i="3" s="1"/>
  <c r="O301" i="3" s="1" a="1"/>
  <c r="O301" i="3" s="1"/>
  <c r="F301" i="3" a="1"/>
  <c r="F301" i="3" s="1"/>
  <c r="P301" i="3" s="1" a="1"/>
  <c r="P301" i="3" s="1"/>
  <c r="G301" i="3" a="1"/>
  <c r="G301" i="3" s="1"/>
  <c r="Q301" i="3" s="1" a="1"/>
  <c r="Q301" i="3" s="1"/>
  <c r="I301" i="3" a="1"/>
  <c r="I301" i="3" s="1"/>
  <c r="T301" i="3" s="1" a="1"/>
  <c r="T301" i="3" s="1"/>
  <c r="H301" i="3" a="1"/>
  <c r="H301" i="3" s="1"/>
  <c r="R301" i="3" s="1" a="1"/>
  <c r="R301" i="3" s="1"/>
  <c r="S301" i="3" s="1" a="1"/>
  <c r="S301" i="3" s="1"/>
  <c r="J301" i="3" a="1"/>
  <c r="J301" i="3" s="1"/>
  <c r="U301" i="3" s="1" a="1"/>
  <c r="U301" i="3" s="1"/>
  <c r="K301" i="3" a="1"/>
  <c r="K301" i="3" s="1"/>
  <c r="V301" i="3" s="1" a="1"/>
  <c r="V301" i="3" s="1"/>
  <c r="B297" i="3" a="1"/>
  <c r="B297" i="3" s="1"/>
  <c r="L297" i="3" s="1" a="1"/>
  <c r="L297" i="3" s="1"/>
  <c r="C297" i="3" a="1"/>
  <c r="C297" i="3" s="1"/>
  <c r="M297" i="3" s="1" a="1"/>
  <c r="M297" i="3" s="1"/>
  <c r="D297" i="3" a="1"/>
  <c r="D297" i="3" s="1"/>
  <c r="N297" i="3" s="1" a="1"/>
  <c r="N297" i="3" s="1"/>
  <c r="E297" i="3" a="1"/>
  <c r="E297" i="3" s="1"/>
  <c r="O297" i="3" s="1" a="1"/>
  <c r="O297" i="3" s="1"/>
  <c r="F297" i="3" a="1"/>
  <c r="F297" i="3" s="1"/>
  <c r="P297" i="3" s="1" a="1"/>
  <c r="P297" i="3" s="1"/>
  <c r="G297" i="3" a="1"/>
  <c r="G297" i="3" s="1"/>
  <c r="Q297" i="3" s="1" a="1"/>
  <c r="Q297" i="3" s="1"/>
  <c r="H297" i="3" a="1"/>
  <c r="H297" i="3" s="1"/>
  <c r="R297" i="3" s="1" a="1"/>
  <c r="R297" i="3" s="1"/>
  <c r="S297" i="3" s="1" a="1"/>
  <c r="S297" i="3" s="1"/>
  <c r="I297" i="3" a="1"/>
  <c r="I297" i="3" s="1"/>
  <c r="T297" i="3" s="1" a="1"/>
  <c r="T297" i="3" s="1"/>
  <c r="J297" i="3" a="1"/>
  <c r="J297" i="3" s="1"/>
  <c r="U297" i="3" s="1" a="1"/>
  <c r="U297" i="3" s="1"/>
  <c r="K297" i="3" a="1"/>
  <c r="K297" i="3" s="1"/>
  <c r="V297" i="3" s="1" a="1"/>
  <c r="V297" i="3" s="1"/>
  <c r="B300" i="3" a="1"/>
  <c r="B300" i="3" s="1"/>
  <c r="L300" i="3" s="1" a="1"/>
  <c r="L300" i="3" s="1"/>
  <c r="C300" i="3" a="1"/>
  <c r="C300" i="3" s="1"/>
  <c r="M300" i="3" s="1" a="1"/>
  <c r="M300" i="3" s="1"/>
  <c r="D300" i="3" a="1"/>
  <c r="D300" i="3" s="1"/>
  <c r="N300" i="3" s="1" a="1"/>
  <c r="N300" i="3" s="1"/>
  <c r="F300" i="3" a="1"/>
  <c r="F300" i="3" s="1"/>
  <c r="P300" i="3" s="1" a="1"/>
  <c r="P300" i="3" s="1"/>
  <c r="E300" i="3" a="1"/>
  <c r="E300" i="3" s="1"/>
  <c r="O300" i="3" s="1" a="1"/>
  <c r="O300" i="3" s="1"/>
  <c r="H300" i="3" a="1"/>
  <c r="H300" i="3" s="1"/>
  <c r="R300" i="3" s="1" a="1"/>
  <c r="R300" i="3" s="1"/>
  <c r="S300" i="3" s="1" a="1"/>
  <c r="S300" i="3" s="1"/>
  <c r="G300" i="3" a="1"/>
  <c r="G300" i="3" s="1"/>
  <c r="Q300" i="3" s="1" a="1"/>
  <c r="Q300" i="3" s="1"/>
  <c r="I300" i="3" a="1"/>
  <c r="I300" i="3" s="1"/>
  <c r="T300" i="3" s="1" a="1"/>
  <c r="T300" i="3" s="1"/>
  <c r="J300" i="3" a="1"/>
  <c r="J300" i="3" s="1"/>
  <c r="U300" i="3" s="1" a="1"/>
  <c r="U300" i="3" s="1"/>
  <c r="K300" i="3" a="1"/>
  <c r="K300" i="3" s="1"/>
  <c r="V300" i="3" s="1" a="1"/>
  <c r="V300" i="3" s="1"/>
  <c r="B296" i="3" a="1"/>
  <c r="B296" i="3" s="1"/>
  <c r="L296" i="3" s="1" a="1"/>
  <c r="L296" i="3" s="1"/>
  <c r="C296" i="3" a="1"/>
  <c r="C296" i="3" s="1"/>
  <c r="M296" i="3" s="1" a="1"/>
  <c r="M296" i="3" s="1"/>
  <c r="D296" i="3" a="1"/>
  <c r="D296" i="3" s="1"/>
  <c r="N296" i="3" s="1" a="1"/>
  <c r="N296" i="3" s="1"/>
  <c r="F296" i="3" a="1"/>
  <c r="F296" i="3" s="1"/>
  <c r="P296" i="3" s="1" a="1"/>
  <c r="P296" i="3" s="1"/>
  <c r="E296" i="3" a="1"/>
  <c r="E296" i="3" s="1"/>
  <c r="O296" i="3" s="1" a="1"/>
  <c r="O296" i="3" s="1"/>
  <c r="H296" i="3" a="1"/>
  <c r="H296" i="3" s="1"/>
  <c r="R296" i="3" s="1" a="1"/>
  <c r="R296" i="3" s="1"/>
  <c r="S296" i="3" s="1" a="1"/>
  <c r="S296" i="3" s="1"/>
  <c r="I296" i="3" a="1"/>
  <c r="I296" i="3" s="1"/>
  <c r="T296" i="3" s="1" a="1"/>
  <c r="T296" i="3" s="1"/>
  <c r="J296" i="3" a="1"/>
  <c r="J296" i="3" s="1"/>
  <c r="U296" i="3" s="1" a="1"/>
  <c r="U296" i="3" s="1"/>
  <c r="G296" i="3" a="1"/>
  <c r="G296" i="3" s="1"/>
  <c r="Q296" i="3" s="1" a="1"/>
  <c r="Q296" i="3" s="1"/>
  <c r="K296" i="3" a="1"/>
  <c r="K296" i="3" s="1"/>
  <c r="V296" i="3" s="1" a="1"/>
  <c r="V296" i="3" s="1"/>
  <c r="M304" i="1"/>
  <c r="M299" i="1"/>
  <c r="L294" i="1"/>
  <c r="A294" i="3" s="1"/>
  <c r="L295" i="1"/>
  <c r="A295" i="3" s="1"/>
  <c r="B292" i="6"/>
  <c r="H292" i="1" s="1"/>
  <c r="AC292" i="3" s="1"/>
  <c r="B293" i="6"/>
  <c r="H293" i="1" s="1"/>
  <c r="AC293" i="3" s="1"/>
  <c r="M302" i="1" a="1"/>
  <c r="M297" i="1" a="1"/>
  <c r="M296" i="1" a="1"/>
  <c r="M301" i="1" a="1"/>
  <c r="M300" i="1" a="1"/>
  <c r="M298" i="1" a="1"/>
  <c r="M296" i="1" l="1"/>
  <c r="M298" i="1"/>
  <c r="M302" i="1"/>
  <c r="B294" i="3" a="1"/>
  <c r="B294" i="3" s="1"/>
  <c r="L294" i="3" s="1" a="1"/>
  <c r="L294" i="3" s="1"/>
  <c r="C294" i="3" a="1"/>
  <c r="C294" i="3" s="1"/>
  <c r="M294" i="3" s="1" a="1"/>
  <c r="M294" i="3" s="1"/>
  <c r="D294" i="3" a="1"/>
  <c r="D294" i="3" s="1"/>
  <c r="N294" i="3" s="1" a="1"/>
  <c r="N294" i="3" s="1"/>
  <c r="E294" i="3" a="1"/>
  <c r="E294" i="3" s="1"/>
  <c r="O294" i="3" s="1" a="1"/>
  <c r="O294" i="3" s="1"/>
  <c r="F294" i="3" a="1"/>
  <c r="F294" i="3" s="1"/>
  <c r="P294" i="3" s="1" a="1"/>
  <c r="P294" i="3" s="1"/>
  <c r="H294" i="3" a="1"/>
  <c r="H294" i="3" s="1"/>
  <c r="R294" i="3" s="1" a="1"/>
  <c r="R294" i="3" s="1"/>
  <c r="S294" i="3" s="1" a="1"/>
  <c r="S294" i="3" s="1"/>
  <c r="G294" i="3" a="1"/>
  <c r="G294" i="3" s="1"/>
  <c r="Q294" i="3" s="1" a="1"/>
  <c r="Q294" i="3" s="1"/>
  <c r="J294" i="3" a="1"/>
  <c r="J294" i="3" s="1"/>
  <c r="U294" i="3" s="1" a="1"/>
  <c r="U294" i="3" s="1"/>
  <c r="I294" i="3" a="1"/>
  <c r="I294" i="3" s="1"/>
  <c r="T294" i="3" s="1" a="1"/>
  <c r="T294" i="3" s="1"/>
  <c r="K294" i="3" a="1"/>
  <c r="K294" i="3" s="1"/>
  <c r="V294" i="3" s="1" a="1"/>
  <c r="V294" i="3" s="1"/>
  <c r="B295" i="3" a="1"/>
  <c r="B295" i="3" s="1"/>
  <c r="L295" i="3" s="1" a="1"/>
  <c r="L295" i="3" s="1"/>
  <c r="C295" i="3" a="1"/>
  <c r="C295" i="3" s="1"/>
  <c r="M295" i="3" s="1" a="1"/>
  <c r="M295" i="3" s="1"/>
  <c r="D295" i="3" a="1"/>
  <c r="D295" i="3" s="1"/>
  <c r="N295" i="3" s="1" a="1"/>
  <c r="N295" i="3" s="1"/>
  <c r="F295" i="3" a="1"/>
  <c r="F295" i="3" s="1"/>
  <c r="P295" i="3" s="1" a="1"/>
  <c r="P295" i="3" s="1"/>
  <c r="E295" i="3" a="1"/>
  <c r="E295" i="3" s="1"/>
  <c r="O295" i="3" s="1" a="1"/>
  <c r="O295" i="3" s="1"/>
  <c r="G295" i="3" a="1"/>
  <c r="G295" i="3" s="1"/>
  <c r="Q295" i="3" s="1" a="1"/>
  <c r="Q295" i="3" s="1"/>
  <c r="H295" i="3" a="1"/>
  <c r="H295" i="3" s="1"/>
  <c r="R295" i="3" s="1" a="1"/>
  <c r="R295" i="3" s="1"/>
  <c r="S295" i="3" s="1" a="1"/>
  <c r="S295" i="3" s="1"/>
  <c r="I295" i="3" a="1"/>
  <c r="I295" i="3" s="1"/>
  <c r="T295" i="3" s="1" a="1"/>
  <c r="T295" i="3" s="1"/>
  <c r="J295" i="3" a="1"/>
  <c r="J295" i="3" s="1"/>
  <c r="U295" i="3" s="1" a="1"/>
  <c r="U295" i="3" s="1"/>
  <c r="K295" i="3" a="1"/>
  <c r="K295" i="3" s="1"/>
  <c r="V295" i="3" s="1" a="1"/>
  <c r="V295" i="3" s="1"/>
  <c r="M297" i="1"/>
  <c r="M301" i="1"/>
  <c r="M300" i="1"/>
  <c r="L292" i="1"/>
  <c r="A292" i="3" s="1"/>
  <c r="L293" i="1"/>
  <c r="A293" i="3" s="1"/>
  <c r="L291" i="1"/>
  <c r="A291" i="3" s="1"/>
  <c r="M294" i="1" a="1"/>
  <c r="M295" i="1" a="1"/>
  <c r="M294" i="1" l="1"/>
  <c r="M295" i="1"/>
  <c r="B292" i="3" a="1"/>
  <c r="B292" i="3" s="1"/>
  <c r="L292" i="3" s="1" a="1"/>
  <c r="L292" i="3" s="1"/>
  <c r="C292" i="3" a="1"/>
  <c r="C292" i="3" s="1"/>
  <c r="M292" i="3" s="1" a="1"/>
  <c r="M292" i="3" s="1"/>
  <c r="D292" i="3" a="1"/>
  <c r="D292" i="3" s="1"/>
  <c r="N292" i="3" s="1" a="1"/>
  <c r="N292" i="3" s="1"/>
  <c r="F292" i="3" a="1"/>
  <c r="F292" i="3" s="1"/>
  <c r="P292" i="3" s="1" a="1"/>
  <c r="P292" i="3" s="1"/>
  <c r="E292" i="3" a="1"/>
  <c r="E292" i="3" s="1"/>
  <c r="O292" i="3" s="1" a="1"/>
  <c r="O292" i="3" s="1"/>
  <c r="H292" i="3" a="1"/>
  <c r="H292" i="3" s="1"/>
  <c r="R292" i="3" s="1" a="1"/>
  <c r="R292" i="3" s="1"/>
  <c r="S292" i="3" s="1" a="1"/>
  <c r="S292" i="3" s="1"/>
  <c r="G292" i="3" a="1"/>
  <c r="G292" i="3" s="1"/>
  <c r="Q292" i="3" s="1" a="1"/>
  <c r="Q292" i="3" s="1"/>
  <c r="I292" i="3" a="1"/>
  <c r="I292" i="3" s="1"/>
  <c r="T292" i="3" s="1" a="1"/>
  <c r="T292" i="3" s="1"/>
  <c r="J292" i="3" a="1"/>
  <c r="J292" i="3" s="1"/>
  <c r="U292" i="3" s="1" a="1"/>
  <c r="U292" i="3" s="1"/>
  <c r="K292" i="3" a="1"/>
  <c r="K292" i="3" s="1"/>
  <c r="V292" i="3" s="1" a="1"/>
  <c r="V292" i="3" s="1"/>
  <c r="B293" i="3" a="1"/>
  <c r="B293" i="3" s="1"/>
  <c r="L293" i="3" s="1" a="1"/>
  <c r="L293" i="3" s="1"/>
  <c r="C293" i="3" a="1"/>
  <c r="C293" i="3" s="1"/>
  <c r="M293" i="3" s="1" a="1"/>
  <c r="M293" i="3" s="1"/>
  <c r="D293" i="3" a="1"/>
  <c r="D293" i="3" s="1"/>
  <c r="N293" i="3" s="1" a="1"/>
  <c r="N293" i="3" s="1"/>
  <c r="E293" i="3" a="1"/>
  <c r="E293" i="3" s="1"/>
  <c r="O293" i="3" s="1" a="1"/>
  <c r="O293" i="3" s="1"/>
  <c r="F293" i="3" a="1"/>
  <c r="F293" i="3" s="1"/>
  <c r="P293" i="3" s="1" a="1"/>
  <c r="P293" i="3" s="1"/>
  <c r="G293" i="3" a="1"/>
  <c r="G293" i="3" s="1"/>
  <c r="Q293" i="3" s="1" a="1"/>
  <c r="Q293" i="3" s="1"/>
  <c r="I293" i="3" a="1"/>
  <c r="I293" i="3" s="1"/>
  <c r="T293" i="3" s="1" a="1"/>
  <c r="T293" i="3" s="1"/>
  <c r="H293" i="3" a="1"/>
  <c r="H293" i="3" s="1"/>
  <c r="R293" i="3" s="1" a="1"/>
  <c r="R293" i="3" s="1"/>
  <c r="S293" i="3" s="1" a="1"/>
  <c r="S293" i="3" s="1"/>
  <c r="J293" i="3" a="1"/>
  <c r="J293" i="3" s="1"/>
  <c r="U293" i="3" s="1" a="1"/>
  <c r="U293" i="3" s="1"/>
  <c r="K293" i="3" a="1"/>
  <c r="K293" i="3" s="1"/>
  <c r="V293" i="3" s="1" a="1"/>
  <c r="V293" i="3" s="1"/>
  <c r="B291" i="3" a="1"/>
  <c r="B291" i="3" s="1"/>
  <c r="L291" i="3" s="1" a="1"/>
  <c r="L291" i="3" s="1"/>
  <c r="C291" i="3" a="1"/>
  <c r="C291" i="3" s="1"/>
  <c r="M291" i="3" s="1" a="1"/>
  <c r="M291" i="3" s="1"/>
  <c r="D291" i="3" a="1"/>
  <c r="D291" i="3" s="1"/>
  <c r="N291" i="3" s="1" a="1"/>
  <c r="N291" i="3" s="1"/>
  <c r="F291" i="3" a="1"/>
  <c r="F291" i="3" s="1"/>
  <c r="P291" i="3" s="1" a="1"/>
  <c r="P291" i="3" s="1"/>
  <c r="E291" i="3" a="1"/>
  <c r="E291" i="3" s="1"/>
  <c r="O291" i="3" s="1" a="1"/>
  <c r="O291" i="3" s="1"/>
  <c r="G291" i="3" a="1"/>
  <c r="G291" i="3" s="1"/>
  <c r="Q291" i="3" s="1" a="1"/>
  <c r="Q291" i="3" s="1"/>
  <c r="H291" i="3" a="1"/>
  <c r="H291" i="3" s="1"/>
  <c r="R291" i="3" s="1" a="1"/>
  <c r="R291" i="3" s="1"/>
  <c r="S291" i="3" s="1" a="1"/>
  <c r="S291" i="3" s="1"/>
  <c r="I291" i="3" a="1"/>
  <c r="I291" i="3" s="1"/>
  <c r="T291" i="3" s="1" a="1"/>
  <c r="T291" i="3" s="1"/>
  <c r="J291" i="3" a="1"/>
  <c r="J291" i="3" s="1"/>
  <c r="U291" i="3" s="1" a="1"/>
  <c r="U291" i="3" s="1"/>
  <c r="K291" i="3" a="1"/>
  <c r="K291" i="3" s="1"/>
  <c r="V291" i="3" s="1" a="1"/>
  <c r="V291" i="3" s="1"/>
  <c r="M291" i="1" a="1"/>
  <c r="M292" i="1" a="1"/>
  <c r="M293" i="1" a="1"/>
  <c r="M292" i="1" l="1"/>
  <c r="M291" i="1"/>
  <c r="M293" i="1"/>
  <c r="B291" i="6"/>
  <c r="H291" i="1" s="1"/>
  <c r="AC291" i="3" s="1"/>
  <c r="B284" i="6" l="1"/>
  <c r="H284" i="1" s="1"/>
  <c r="AC284" i="3" s="1"/>
  <c r="B285" i="6"/>
  <c r="H285" i="1" s="1"/>
  <c r="AC285" i="3" s="1"/>
  <c r="B286" i="6"/>
  <c r="H286" i="1" s="1"/>
  <c r="AC286" i="3" s="1"/>
  <c r="B287" i="6"/>
  <c r="H287" i="1" s="1"/>
  <c r="AC287" i="3" s="1"/>
  <c r="B288" i="6"/>
  <c r="H288" i="1" s="1"/>
  <c r="AC288" i="3" s="1"/>
  <c r="B289" i="6"/>
  <c r="H289" i="1" s="1"/>
  <c r="AC289" i="3" s="1"/>
  <c r="B290" i="6"/>
  <c r="H290" i="1" s="1"/>
  <c r="AC290" i="3" s="1"/>
  <c r="L286" i="1" l="1"/>
  <c r="A286" i="3" s="1"/>
  <c r="L287" i="1"/>
  <c r="A287" i="3" s="1"/>
  <c r="L288" i="1"/>
  <c r="A288" i="3" s="1"/>
  <c r="L289" i="1"/>
  <c r="A289" i="3" s="1"/>
  <c r="L290" i="1"/>
  <c r="A290" i="3" s="1"/>
  <c r="U4" i="1"/>
  <c r="N1" i="1" a="1"/>
  <c r="N1" i="1" s="1"/>
  <c r="L2" i="1"/>
  <c r="A2" i="3" s="1"/>
  <c r="L3" i="1"/>
  <c r="A3" i="3" s="1"/>
  <c r="L4" i="1"/>
  <c r="A4" i="3" s="1"/>
  <c r="L5" i="1"/>
  <c r="A5" i="3" s="1"/>
  <c r="L6" i="1"/>
  <c r="A6" i="3" s="1"/>
  <c r="L7" i="1"/>
  <c r="A7" i="3" s="1"/>
  <c r="L8" i="1"/>
  <c r="A8" i="3" s="1"/>
  <c r="L9" i="1"/>
  <c r="A9" i="3" s="1"/>
  <c r="L10" i="1"/>
  <c r="A10" i="3" s="1"/>
  <c r="L11" i="1"/>
  <c r="A11" i="3" s="1"/>
  <c r="L12" i="1"/>
  <c r="A12" i="3" s="1"/>
  <c r="L13" i="1"/>
  <c r="A13" i="3" s="1"/>
  <c r="L14" i="1"/>
  <c r="A14" i="3" s="1"/>
  <c r="L15" i="1"/>
  <c r="A15" i="3" s="1"/>
  <c r="L16" i="1"/>
  <c r="A16" i="3" s="1"/>
  <c r="L17" i="1"/>
  <c r="A17" i="3" s="1"/>
  <c r="L18" i="1"/>
  <c r="A18" i="3" s="1"/>
  <c r="L19" i="1"/>
  <c r="A19" i="3" s="1"/>
  <c r="L20" i="1"/>
  <c r="A20" i="3" s="1"/>
  <c r="L21" i="1"/>
  <c r="A21" i="3" s="1"/>
  <c r="L22" i="1"/>
  <c r="A22" i="3" s="1"/>
  <c r="L23" i="1"/>
  <c r="A23" i="3" s="1"/>
  <c r="L24" i="1"/>
  <c r="A24" i="3" s="1"/>
  <c r="L25" i="1"/>
  <c r="A25" i="3" s="1"/>
  <c r="L26" i="1"/>
  <c r="A26" i="3" s="1"/>
  <c r="L27" i="1"/>
  <c r="A27" i="3" s="1"/>
  <c r="L28" i="1"/>
  <c r="A28" i="3" s="1"/>
  <c r="L29" i="1"/>
  <c r="A29" i="3" s="1"/>
  <c r="L30" i="1"/>
  <c r="A30" i="3" s="1"/>
  <c r="L31" i="1"/>
  <c r="A31" i="3" s="1"/>
  <c r="L32" i="1"/>
  <c r="A32" i="3" s="1"/>
  <c r="L33" i="1"/>
  <c r="A33" i="3" s="1"/>
  <c r="L34" i="1"/>
  <c r="A34" i="3" s="1"/>
  <c r="L35" i="1"/>
  <c r="A35" i="3" s="1"/>
  <c r="L36" i="1"/>
  <c r="A36" i="3" s="1"/>
  <c r="L37" i="1"/>
  <c r="A37" i="3" s="1"/>
  <c r="L38" i="1"/>
  <c r="A38" i="3" s="1"/>
  <c r="L39" i="1"/>
  <c r="A39" i="3" s="1"/>
  <c r="L40" i="1"/>
  <c r="A40" i="3" s="1"/>
  <c r="L41" i="1"/>
  <c r="A41" i="3" s="1"/>
  <c r="L42" i="1"/>
  <c r="A42" i="3" s="1"/>
  <c r="L43" i="1"/>
  <c r="A43" i="3" s="1"/>
  <c r="L44" i="1"/>
  <c r="A44" i="3" s="1"/>
  <c r="L45" i="1"/>
  <c r="A45" i="3" s="1"/>
  <c r="L46" i="1"/>
  <c r="A46" i="3" s="1"/>
  <c r="L47" i="1"/>
  <c r="A47" i="3" s="1"/>
  <c r="L48" i="1"/>
  <c r="A48" i="3" s="1"/>
  <c r="L49" i="1"/>
  <c r="A49" i="3" s="1"/>
  <c r="L50" i="1"/>
  <c r="A50" i="3" s="1"/>
  <c r="L51" i="1"/>
  <c r="A51" i="3" s="1"/>
  <c r="L52" i="1"/>
  <c r="A52" i="3" s="1"/>
  <c r="L53" i="1"/>
  <c r="A53" i="3" s="1"/>
  <c r="L54" i="1"/>
  <c r="A54" i="3" s="1"/>
  <c r="L55" i="1"/>
  <c r="A55" i="3" s="1"/>
  <c r="L56" i="1"/>
  <c r="A56" i="3" s="1"/>
  <c r="L57" i="1"/>
  <c r="A57" i="3" s="1"/>
  <c r="L58" i="1"/>
  <c r="A58" i="3" s="1"/>
  <c r="L59" i="1"/>
  <c r="A59" i="3" s="1"/>
  <c r="L60" i="1"/>
  <c r="A60" i="3" s="1"/>
  <c r="L61" i="1"/>
  <c r="A61" i="3" s="1"/>
  <c r="L62" i="1"/>
  <c r="A62" i="3" s="1"/>
  <c r="L63" i="1"/>
  <c r="A63" i="3" s="1"/>
  <c r="L64" i="1"/>
  <c r="A64" i="3" s="1"/>
  <c r="L65" i="1"/>
  <c r="A65" i="3" s="1"/>
  <c r="L66" i="1"/>
  <c r="A66" i="3" s="1"/>
  <c r="L67" i="1"/>
  <c r="A67" i="3" s="1"/>
  <c r="L68" i="1"/>
  <c r="A68" i="3" s="1"/>
  <c r="L69" i="1"/>
  <c r="A69" i="3" s="1"/>
  <c r="L70" i="1"/>
  <c r="A70" i="3" s="1"/>
  <c r="L71" i="1"/>
  <c r="A71" i="3" s="1"/>
  <c r="L72" i="1"/>
  <c r="A72" i="3" s="1"/>
  <c r="L73" i="1"/>
  <c r="A73" i="3" s="1"/>
  <c r="L74" i="1"/>
  <c r="A74" i="3" s="1"/>
  <c r="L75" i="1"/>
  <c r="A75" i="3" s="1"/>
  <c r="L76" i="1"/>
  <c r="A76" i="3" s="1"/>
  <c r="L77" i="1"/>
  <c r="A77" i="3" s="1"/>
  <c r="L78" i="1"/>
  <c r="A78" i="3" s="1"/>
  <c r="L79" i="1"/>
  <c r="A79" i="3" s="1"/>
  <c r="L80" i="1"/>
  <c r="A80" i="3" s="1"/>
  <c r="L81" i="1"/>
  <c r="A81" i="3" s="1"/>
  <c r="L82" i="1"/>
  <c r="A82" i="3" s="1"/>
  <c r="L83" i="1"/>
  <c r="A83" i="3" s="1"/>
  <c r="L84" i="1"/>
  <c r="A84" i="3" s="1"/>
  <c r="L85" i="1"/>
  <c r="A85" i="3" s="1"/>
  <c r="L86" i="1"/>
  <c r="A86" i="3" s="1"/>
  <c r="L87" i="1"/>
  <c r="A87" i="3" s="1"/>
  <c r="L88" i="1"/>
  <c r="A88" i="3" s="1"/>
  <c r="L89" i="1"/>
  <c r="A89" i="3" s="1"/>
  <c r="L90" i="1"/>
  <c r="A90" i="3" s="1"/>
  <c r="L91" i="1"/>
  <c r="A91" i="3" s="1"/>
  <c r="L92" i="1"/>
  <c r="A92" i="3" s="1"/>
  <c r="L93" i="1"/>
  <c r="A93" i="3" s="1"/>
  <c r="L94" i="1"/>
  <c r="A94" i="3" s="1"/>
  <c r="L95" i="1"/>
  <c r="A95" i="3" s="1"/>
  <c r="L96" i="1"/>
  <c r="A96" i="3" s="1"/>
  <c r="L97" i="1"/>
  <c r="A97" i="3" s="1"/>
  <c r="L98" i="1"/>
  <c r="A98" i="3" s="1"/>
  <c r="L99" i="1"/>
  <c r="A99" i="3" s="1"/>
  <c r="L100" i="1"/>
  <c r="A100" i="3" s="1"/>
  <c r="L101" i="1"/>
  <c r="A101" i="3" s="1"/>
  <c r="L102" i="1"/>
  <c r="A102" i="3" s="1"/>
  <c r="L103" i="1"/>
  <c r="A103" i="3" s="1"/>
  <c r="L104" i="1"/>
  <c r="A104" i="3" s="1"/>
  <c r="L105" i="1"/>
  <c r="A105" i="3" s="1"/>
  <c r="L106" i="1"/>
  <c r="A106" i="3" s="1"/>
  <c r="L107" i="1"/>
  <c r="A107" i="3" s="1"/>
  <c r="L108" i="1"/>
  <c r="A108" i="3" s="1"/>
  <c r="L109" i="1"/>
  <c r="A109" i="3" s="1"/>
  <c r="L110" i="1"/>
  <c r="A110" i="3" s="1"/>
  <c r="L111" i="1"/>
  <c r="A111" i="3" s="1"/>
  <c r="L112" i="1"/>
  <c r="A112" i="3" s="1"/>
  <c r="L113" i="1"/>
  <c r="A113" i="3" s="1"/>
  <c r="L114" i="1"/>
  <c r="A114" i="3" s="1"/>
  <c r="L115" i="1"/>
  <c r="A115" i="3" s="1"/>
  <c r="L116" i="1"/>
  <c r="A116" i="3" s="1"/>
  <c r="L117" i="1"/>
  <c r="A117" i="3" s="1"/>
  <c r="L118" i="1"/>
  <c r="A118" i="3" s="1"/>
  <c r="L119" i="1"/>
  <c r="A119" i="3" s="1"/>
  <c r="L120" i="1"/>
  <c r="A120" i="3" s="1"/>
  <c r="L121" i="1"/>
  <c r="A121" i="3" s="1"/>
  <c r="L122" i="1"/>
  <c r="A122" i="3" s="1"/>
  <c r="L123" i="1"/>
  <c r="A123" i="3" s="1"/>
  <c r="L124" i="1"/>
  <c r="A124" i="3" s="1"/>
  <c r="L125" i="1"/>
  <c r="A125" i="3" s="1"/>
  <c r="L126" i="1"/>
  <c r="A126" i="3" s="1"/>
  <c r="L127" i="1"/>
  <c r="A127" i="3" s="1"/>
  <c r="L128" i="1"/>
  <c r="A128" i="3" s="1"/>
  <c r="L129" i="1"/>
  <c r="A129" i="3" s="1"/>
  <c r="L130" i="1"/>
  <c r="A130" i="3" s="1"/>
  <c r="L131" i="1"/>
  <c r="A131" i="3" s="1"/>
  <c r="L132" i="1"/>
  <c r="A132" i="3" s="1"/>
  <c r="L133" i="1"/>
  <c r="A133" i="3" s="1"/>
  <c r="L134" i="1"/>
  <c r="A134" i="3" s="1"/>
  <c r="L135" i="1"/>
  <c r="A135" i="3" s="1"/>
  <c r="L136" i="1"/>
  <c r="A136" i="3" s="1"/>
  <c r="L137" i="1"/>
  <c r="A137" i="3" s="1"/>
  <c r="L138" i="1"/>
  <c r="A138" i="3" s="1"/>
  <c r="L139" i="1"/>
  <c r="A139" i="3" s="1"/>
  <c r="L140" i="1"/>
  <c r="A140" i="3" s="1"/>
  <c r="L141" i="1"/>
  <c r="A141" i="3" s="1"/>
  <c r="L142" i="1"/>
  <c r="A142" i="3" s="1"/>
  <c r="L143" i="1"/>
  <c r="A143" i="3" s="1"/>
  <c r="L144" i="1"/>
  <c r="A144" i="3" s="1"/>
  <c r="L145" i="1"/>
  <c r="A145" i="3" s="1"/>
  <c r="L146" i="1"/>
  <c r="A146" i="3" s="1"/>
  <c r="L147" i="1"/>
  <c r="A147" i="3" s="1"/>
  <c r="L148" i="1"/>
  <c r="A148" i="3" s="1"/>
  <c r="L149" i="1"/>
  <c r="A149" i="3" s="1"/>
  <c r="L150" i="1"/>
  <c r="A150" i="3" s="1"/>
  <c r="L151" i="1"/>
  <c r="A151" i="3" s="1"/>
  <c r="L152" i="1"/>
  <c r="A152" i="3" s="1"/>
  <c r="L153" i="1"/>
  <c r="A153" i="3" s="1"/>
  <c r="L154" i="1"/>
  <c r="A154" i="3" s="1"/>
  <c r="L155" i="1"/>
  <c r="A155" i="3" s="1"/>
  <c r="L156" i="1"/>
  <c r="A156" i="3" s="1"/>
  <c r="L157" i="1"/>
  <c r="A157" i="3" s="1"/>
  <c r="L158" i="1"/>
  <c r="A158" i="3" s="1"/>
  <c r="L159" i="1"/>
  <c r="A159" i="3" s="1"/>
  <c r="L160" i="1"/>
  <c r="A160" i="3" s="1"/>
  <c r="L161" i="1"/>
  <c r="A161" i="3" s="1"/>
  <c r="L162" i="1"/>
  <c r="A162" i="3" s="1"/>
  <c r="L163" i="1"/>
  <c r="A163" i="3" s="1"/>
  <c r="L164" i="1"/>
  <c r="A164" i="3" s="1"/>
  <c r="L165" i="1"/>
  <c r="A165" i="3" s="1"/>
  <c r="L166" i="1"/>
  <c r="A166" i="3" s="1"/>
  <c r="L167" i="1"/>
  <c r="A167" i="3" s="1"/>
  <c r="L168" i="1"/>
  <c r="A168" i="3" s="1"/>
  <c r="L169" i="1"/>
  <c r="A169" i="3" s="1"/>
  <c r="L170" i="1"/>
  <c r="A170" i="3" s="1"/>
  <c r="L171" i="1"/>
  <c r="A171" i="3" s="1"/>
  <c r="L172" i="1"/>
  <c r="A172" i="3" s="1"/>
  <c r="L173" i="1"/>
  <c r="A173" i="3" s="1"/>
  <c r="L174" i="1"/>
  <c r="A174" i="3" s="1"/>
  <c r="L175" i="1"/>
  <c r="A175" i="3" s="1"/>
  <c r="L176" i="1"/>
  <c r="A176" i="3" s="1"/>
  <c r="L177" i="1"/>
  <c r="A177" i="3" s="1"/>
  <c r="L178" i="1"/>
  <c r="A178" i="3" s="1"/>
  <c r="L179" i="1"/>
  <c r="A179" i="3" s="1"/>
  <c r="L180" i="1"/>
  <c r="A180" i="3" s="1"/>
  <c r="L181" i="1"/>
  <c r="A181" i="3" s="1"/>
  <c r="L182" i="1"/>
  <c r="A182" i="3" s="1"/>
  <c r="L183" i="1"/>
  <c r="A183" i="3" s="1"/>
  <c r="L184" i="1"/>
  <c r="A184" i="3" s="1"/>
  <c r="L185" i="1"/>
  <c r="A185" i="3" s="1"/>
  <c r="L186" i="1"/>
  <c r="A186" i="3" s="1"/>
  <c r="L187" i="1"/>
  <c r="A187" i="3" s="1"/>
  <c r="L188" i="1"/>
  <c r="A188" i="3" s="1"/>
  <c r="L189" i="1"/>
  <c r="A189" i="3" s="1"/>
  <c r="L190" i="1"/>
  <c r="A190" i="3" s="1"/>
  <c r="L191" i="1"/>
  <c r="A191" i="3" s="1"/>
  <c r="L192" i="1"/>
  <c r="A192" i="3" s="1"/>
  <c r="L193" i="1"/>
  <c r="A193" i="3" s="1"/>
  <c r="L194" i="1"/>
  <c r="A194" i="3" s="1"/>
  <c r="L195" i="1"/>
  <c r="A195" i="3" s="1"/>
  <c r="L196" i="1"/>
  <c r="A196" i="3" s="1"/>
  <c r="L197" i="1"/>
  <c r="A197" i="3" s="1"/>
  <c r="L198" i="1"/>
  <c r="A198" i="3" s="1"/>
  <c r="L199" i="1"/>
  <c r="A199" i="3" s="1"/>
  <c r="L200" i="1"/>
  <c r="A200" i="3" s="1"/>
  <c r="L201" i="1"/>
  <c r="A201" i="3" s="1"/>
  <c r="L202" i="1"/>
  <c r="A202" i="3" s="1"/>
  <c r="L203" i="1"/>
  <c r="A203" i="3" s="1"/>
  <c r="L204" i="1"/>
  <c r="A204" i="3" s="1"/>
  <c r="L205" i="1"/>
  <c r="A205" i="3" s="1"/>
  <c r="L206" i="1"/>
  <c r="A206" i="3" s="1"/>
  <c r="L207" i="1"/>
  <c r="A207" i="3" s="1"/>
  <c r="L208" i="1"/>
  <c r="A208" i="3" s="1"/>
  <c r="L209" i="1"/>
  <c r="A209" i="3" s="1"/>
  <c r="L210" i="1"/>
  <c r="A210" i="3" s="1"/>
  <c r="L211" i="1"/>
  <c r="A211" i="3" s="1"/>
  <c r="L212" i="1"/>
  <c r="A212" i="3" s="1"/>
  <c r="L213" i="1"/>
  <c r="A213" i="3" s="1"/>
  <c r="L214" i="1"/>
  <c r="A214" i="3" s="1"/>
  <c r="L215" i="1"/>
  <c r="A215" i="3" s="1"/>
  <c r="L216" i="1"/>
  <c r="A216" i="3" s="1"/>
  <c r="L217" i="1"/>
  <c r="A217" i="3" s="1"/>
  <c r="L218" i="1"/>
  <c r="A218" i="3" s="1"/>
  <c r="L219" i="1"/>
  <c r="A219" i="3" s="1"/>
  <c r="L220" i="1"/>
  <c r="A220" i="3" s="1"/>
  <c r="L221" i="1"/>
  <c r="A221" i="3" s="1"/>
  <c r="L222" i="1"/>
  <c r="A222" i="3" s="1"/>
  <c r="L223" i="1"/>
  <c r="A223" i="3" s="1"/>
  <c r="L224" i="1"/>
  <c r="A224" i="3" s="1"/>
  <c r="L225" i="1"/>
  <c r="A225" i="3" s="1"/>
  <c r="L226" i="1"/>
  <c r="A226" i="3" s="1"/>
  <c r="L227" i="1"/>
  <c r="A227" i="3" s="1"/>
  <c r="L228" i="1"/>
  <c r="A228" i="3" s="1"/>
  <c r="L229" i="1"/>
  <c r="A229" i="3" s="1"/>
  <c r="L230" i="1"/>
  <c r="A230" i="3" s="1"/>
  <c r="L231" i="1"/>
  <c r="A231" i="3" s="1"/>
  <c r="L232" i="1"/>
  <c r="A232" i="3" s="1"/>
  <c r="L233" i="1"/>
  <c r="A233" i="3" s="1"/>
  <c r="L234" i="1"/>
  <c r="A234" i="3" s="1"/>
  <c r="L235" i="1"/>
  <c r="A235" i="3" s="1"/>
  <c r="L236" i="1"/>
  <c r="A236" i="3" s="1"/>
  <c r="L237" i="1"/>
  <c r="A237" i="3" s="1"/>
  <c r="L238" i="1"/>
  <c r="A238" i="3" s="1"/>
  <c r="L239" i="1"/>
  <c r="A239" i="3" s="1"/>
  <c r="L240" i="1"/>
  <c r="A240" i="3" s="1"/>
  <c r="L241" i="1"/>
  <c r="A241" i="3" s="1"/>
  <c r="L242" i="1"/>
  <c r="A242" i="3" s="1"/>
  <c r="L243" i="1"/>
  <c r="A243" i="3" s="1"/>
  <c r="L244" i="1"/>
  <c r="A244" i="3" s="1"/>
  <c r="L245" i="1"/>
  <c r="A245" i="3" s="1"/>
  <c r="L246" i="1"/>
  <c r="A246" i="3" s="1"/>
  <c r="L247" i="1"/>
  <c r="A247" i="3" s="1"/>
  <c r="L248" i="1"/>
  <c r="A248" i="3" s="1"/>
  <c r="L249" i="1"/>
  <c r="A249" i="3" s="1"/>
  <c r="L250" i="1"/>
  <c r="A250" i="3" s="1"/>
  <c r="L251" i="1"/>
  <c r="A251" i="3" s="1"/>
  <c r="L252" i="1"/>
  <c r="A252" i="3" s="1"/>
  <c r="L253" i="1"/>
  <c r="A253" i="3" s="1"/>
  <c r="L254" i="1"/>
  <c r="A254" i="3" s="1"/>
  <c r="L255" i="1"/>
  <c r="A255" i="3" s="1"/>
  <c r="L256" i="1"/>
  <c r="A256" i="3" s="1"/>
  <c r="L257" i="1"/>
  <c r="A257" i="3" s="1"/>
  <c r="L258" i="1"/>
  <c r="A258" i="3" s="1"/>
  <c r="L259" i="1"/>
  <c r="A259" i="3" s="1"/>
  <c r="L260" i="1"/>
  <c r="A260" i="3" s="1"/>
  <c r="L261" i="1"/>
  <c r="A261" i="3" s="1"/>
  <c r="L262" i="1"/>
  <c r="A262" i="3" s="1"/>
  <c r="L263" i="1"/>
  <c r="A263" i="3" s="1"/>
  <c r="L264" i="1"/>
  <c r="A264" i="3" s="1"/>
  <c r="L265" i="1"/>
  <c r="A265" i="3" s="1"/>
  <c r="L266" i="1"/>
  <c r="A266" i="3" s="1"/>
  <c r="L267" i="1"/>
  <c r="A267" i="3" s="1"/>
  <c r="L268" i="1"/>
  <c r="A268" i="3" s="1"/>
  <c r="L269" i="1"/>
  <c r="A269" i="3" s="1"/>
  <c r="L270" i="1"/>
  <c r="A270" i="3" s="1"/>
  <c r="L271" i="1"/>
  <c r="A271" i="3" s="1"/>
  <c r="L272" i="1"/>
  <c r="A272" i="3" s="1"/>
  <c r="L273" i="1"/>
  <c r="A273" i="3" s="1"/>
  <c r="L274" i="1"/>
  <c r="A274" i="3" s="1"/>
  <c r="L275" i="1"/>
  <c r="A275" i="3" s="1"/>
  <c r="L276" i="1"/>
  <c r="A276" i="3" s="1"/>
  <c r="L277" i="1"/>
  <c r="A277" i="3" s="1"/>
  <c r="L278" i="1"/>
  <c r="A278" i="3" s="1"/>
  <c r="L279" i="1"/>
  <c r="A279" i="3" s="1"/>
  <c r="L280" i="1"/>
  <c r="A280" i="3" s="1"/>
  <c r="L281" i="1"/>
  <c r="A281" i="3" s="1"/>
  <c r="L282" i="1"/>
  <c r="A282" i="3" s="1"/>
  <c r="L283" i="1"/>
  <c r="A283" i="3" s="1"/>
  <c r="L284" i="1"/>
  <c r="A284" i="3" s="1"/>
  <c r="L285" i="1"/>
  <c r="A285" i="3" s="1"/>
  <c r="B274" i="3" l="1" a="1"/>
  <c r="B274" i="3" s="1"/>
  <c r="L274" i="3" s="1" a="1"/>
  <c r="L274" i="3" s="1"/>
  <c r="C274" i="3" a="1"/>
  <c r="C274" i="3" s="1"/>
  <c r="M274" i="3" s="1" a="1"/>
  <c r="M274" i="3" s="1"/>
  <c r="D274" i="3" a="1"/>
  <c r="D274" i="3" s="1"/>
  <c r="N274" i="3" s="1" a="1"/>
  <c r="N274" i="3" s="1"/>
  <c r="E274" i="3" a="1"/>
  <c r="E274" i="3" s="1"/>
  <c r="O274" i="3" s="1" a="1"/>
  <c r="O274" i="3" s="1"/>
  <c r="F274" i="3" a="1"/>
  <c r="F274" i="3" s="1"/>
  <c r="P274" i="3" s="1" a="1"/>
  <c r="P274" i="3" s="1"/>
  <c r="G274" i="3" a="1"/>
  <c r="G274" i="3" s="1"/>
  <c r="Q274" i="3" s="1" a="1"/>
  <c r="Q274" i="3" s="1"/>
  <c r="H274" i="3" a="1"/>
  <c r="H274" i="3" s="1"/>
  <c r="R274" i="3" s="1" a="1"/>
  <c r="R274" i="3" s="1"/>
  <c r="S274" i="3" s="1" a="1"/>
  <c r="S274" i="3" s="1"/>
  <c r="J274" i="3" a="1"/>
  <c r="J274" i="3" s="1"/>
  <c r="U274" i="3" s="1" a="1"/>
  <c r="U274" i="3" s="1"/>
  <c r="I274" i="3" a="1"/>
  <c r="I274" i="3" s="1"/>
  <c r="T274" i="3" s="1" a="1"/>
  <c r="T274" i="3" s="1"/>
  <c r="K274" i="3" a="1"/>
  <c r="K274" i="3" s="1"/>
  <c r="V274" i="3" s="1" a="1"/>
  <c r="V274" i="3" s="1"/>
  <c r="B262" i="3" a="1"/>
  <c r="B262" i="3" s="1"/>
  <c r="L262" i="3" s="1" a="1"/>
  <c r="L262" i="3" s="1"/>
  <c r="C262" i="3" a="1"/>
  <c r="C262" i="3" s="1"/>
  <c r="M262" i="3" s="1" a="1"/>
  <c r="M262" i="3" s="1"/>
  <c r="D262" i="3" a="1"/>
  <c r="D262" i="3" s="1"/>
  <c r="N262" i="3" s="1" a="1"/>
  <c r="N262" i="3" s="1"/>
  <c r="E262" i="3" a="1"/>
  <c r="E262" i="3" s="1"/>
  <c r="O262" i="3" s="1" a="1"/>
  <c r="O262" i="3" s="1"/>
  <c r="F262" i="3" a="1"/>
  <c r="F262" i="3" s="1"/>
  <c r="P262" i="3" s="1" a="1"/>
  <c r="P262" i="3" s="1"/>
  <c r="G262" i="3" a="1"/>
  <c r="G262" i="3" s="1"/>
  <c r="Q262" i="3" s="1" a="1"/>
  <c r="Q262" i="3" s="1"/>
  <c r="H262" i="3" a="1"/>
  <c r="H262" i="3" s="1"/>
  <c r="R262" i="3" s="1" a="1"/>
  <c r="R262" i="3" s="1"/>
  <c r="S262" i="3" s="1" a="1"/>
  <c r="S262" i="3" s="1"/>
  <c r="J262" i="3" a="1"/>
  <c r="J262" i="3" s="1"/>
  <c r="U262" i="3" s="1" a="1"/>
  <c r="U262" i="3" s="1"/>
  <c r="I262" i="3" a="1"/>
  <c r="I262" i="3" s="1"/>
  <c r="T262" i="3" s="1" a="1"/>
  <c r="T262" i="3" s="1"/>
  <c r="K262" i="3" a="1"/>
  <c r="K262" i="3" s="1"/>
  <c r="V262" i="3" s="1" a="1"/>
  <c r="V262" i="3" s="1"/>
  <c r="B242" i="3" a="1"/>
  <c r="B242" i="3" s="1"/>
  <c r="L242" i="3" s="1" a="1"/>
  <c r="L242" i="3" s="1"/>
  <c r="C242" i="3" a="1"/>
  <c r="C242" i="3" s="1"/>
  <c r="M242" i="3" s="1" a="1"/>
  <c r="M242" i="3" s="1"/>
  <c r="D242" i="3" a="1"/>
  <c r="D242" i="3" s="1"/>
  <c r="N242" i="3" s="1" a="1"/>
  <c r="N242" i="3" s="1"/>
  <c r="E242" i="3" a="1"/>
  <c r="E242" i="3" s="1"/>
  <c r="O242" i="3" s="1" a="1"/>
  <c r="O242" i="3" s="1"/>
  <c r="F242" i="3" a="1"/>
  <c r="F242" i="3" s="1"/>
  <c r="P242" i="3" s="1" a="1"/>
  <c r="P242" i="3" s="1"/>
  <c r="G242" i="3" a="1"/>
  <c r="G242" i="3" s="1"/>
  <c r="Q242" i="3" s="1" a="1"/>
  <c r="Q242" i="3" s="1"/>
  <c r="H242" i="3" a="1"/>
  <c r="H242" i="3" s="1"/>
  <c r="R242" i="3" s="1" a="1"/>
  <c r="R242" i="3" s="1"/>
  <c r="S242" i="3" s="1" a="1"/>
  <c r="S242" i="3" s="1"/>
  <c r="J242" i="3" a="1"/>
  <c r="J242" i="3" s="1"/>
  <c r="U242" i="3" s="1" a="1"/>
  <c r="U242" i="3" s="1"/>
  <c r="I242" i="3" a="1"/>
  <c r="I242" i="3" s="1"/>
  <c r="T242" i="3" s="1" a="1"/>
  <c r="T242" i="3" s="1"/>
  <c r="K242" i="3" a="1"/>
  <c r="K242" i="3" s="1"/>
  <c r="V242" i="3" s="1" a="1"/>
  <c r="V242" i="3" s="1"/>
  <c r="B230" i="3" a="1"/>
  <c r="B230" i="3" s="1"/>
  <c r="L230" i="3" s="1" a="1"/>
  <c r="L230" i="3" s="1"/>
  <c r="C230" i="3" a="1"/>
  <c r="C230" i="3" s="1"/>
  <c r="M230" i="3" s="1" a="1"/>
  <c r="M230" i="3" s="1"/>
  <c r="D230" i="3" a="1"/>
  <c r="D230" i="3" s="1"/>
  <c r="N230" i="3" s="1" a="1"/>
  <c r="N230" i="3" s="1"/>
  <c r="E230" i="3" a="1"/>
  <c r="E230" i="3" s="1"/>
  <c r="O230" i="3" s="1" a="1"/>
  <c r="O230" i="3" s="1"/>
  <c r="F230" i="3" a="1"/>
  <c r="F230" i="3" s="1"/>
  <c r="P230" i="3" s="1" a="1"/>
  <c r="P230" i="3" s="1"/>
  <c r="G230" i="3" a="1"/>
  <c r="G230" i="3" s="1"/>
  <c r="Q230" i="3" s="1" a="1"/>
  <c r="Q230" i="3" s="1"/>
  <c r="H230" i="3" a="1"/>
  <c r="H230" i="3" s="1"/>
  <c r="R230" i="3" s="1" a="1"/>
  <c r="R230" i="3" s="1"/>
  <c r="S230" i="3" s="1" a="1"/>
  <c r="S230" i="3" s="1"/>
  <c r="J230" i="3" a="1"/>
  <c r="J230" i="3" s="1"/>
  <c r="U230" i="3" s="1" a="1"/>
  <c r="U230" i="3" s="1"/>
  <c r="I230" i="3" a="1"/>
  <c r="I230" i="3" s="1"/>
  <c r="T230" i="3" s="1" a="1"/>
  <c r="T230" i="3" s="1"/>
  <c r="K230" i="3" a="1"/>
  <c r="K230" i="3" s="1"/>
  <c r="V230" i="3" s="1" a="1"/>
  <c r="V230" i="3" s="1"/>
  <c r="B218" i="3" a="1"/>
  <c r="B218" i="3" s="1"/>
  <c r="L218" i="3" s="1" a="1"/>
  <c r="L218" i="3" s="1"/>
  <c r="C218" i="3" a="1"/>
  <c r="C218" i="3" s="1"/>
  <c r="M218" i="3" s="1" a="1"/>
  <c r="M218" i="3" s="1"/>
  <c r="D218" i="3" a="1"/>
  <c r="D218" i="3" s="1"/>
  <c r="N218" i="3" s="1" a="1"/>
  <c r="N218" i="3" s="1"/>
  <c r="E218" i="3" a="1"/>
  <c r="E218" i="3" s="1"/>
  <c r="O218" i="3" s="1" a="1"/>
  <c r="O218" i="3" s="1"/>
  <c r="F218" i="3" a="1"/>
  <c r="F218" i="3" s="1"/>
  <c r="P218" i="3" s="1" a="1"/>
  <c r="P218" i="3" s="1"/>
  <c r="G218" i="3" a="1"/>
  <c r="G218" i="3" s="1"/>
  <c r="Q218" i="3" s="1" a="1"/>
  <c r="Q218" i="3" s="1"/>
  <c r="H218" i="3" a="1"/>
  <c r="H218" i="3" s="1"/>
  <c r="R218" i="3" s="1" a="1"/>
  <c r="R218" i="3" s="1"/>
  <c r="S218" i="3" s="1" a="1"/>
  <c r="S218" i="3" s="1"/>
  <c r="J218" i="3" a="1"/>
  <c r="J218" i="3" s="1"/>
  <c r="U218" i="3" s="1" a="1"/>
  <c r="U218" i="3" s="1"/>
  <c r="I218" i="3" a="1"/>
  <c r="I218" i="3" s="1"/>
  <c r="T218" i="3" s="1" a="1"/>
  <c r="T218" i="3" s="1"/>
  <c r="K218" i="3" a="1"/>
  <c r="K218" i="3" s="1"/>
  <c r="V218" i="3" s="1" a="1"/>
  <c r="V218" i="3" s="1"/>
  <c r="B206" i="3" a="1"/>
  <c r="B206" i="3" s="1"/>
  <c r="L206" i="3" s="1" a="1"/>
  <c r="L206" i="3" s="1"/>
  <c r="C206" i="3" a="1"/>
  <c r="C206" i="3" s="1"/>
  <c r="M206" i="3" s="1" a="1"/>
  <c r="M206" i="3" s="1"/>
  <c r="D206" i="3" a="1"/>
  <c r="D206" i="3" s="1"/>
  <c r="N206" i="3" s="1" a="1"/>
  <c r="N206" i="3" s="1"/>
  <c r="E206" i="3" a="1"/>
  <c r="E206" i="3" s="1"/>
  <c r="O206" i="3" s="1" a="1"/>
  <c r="O206" i="3" s="1"/>
  <c r="F206" i="3" a="1"/>
  <c r="F206" i="3" s="1"/>
  <c r="P206" i="3" s="1" a="1"/>
  <c r="P206" i="3" s="1"/>
  <c r="G206" i="3" a="1"/>
  <c r="G206" i="3" s="1"/>
  <c r="Q206" i="3" s="1" a="1"/>
  <c r="Q206" i="3" s="1"/>
  <c r="H206" i="3" a="1"/>
  <c r="H206" i="3" s="1"/>
  <c r="R206" i="3" s="1" a="1"/>
  <c r="R206" i="3" s="1"/>
  <c r="S206" i="3" s="1" a="1"/>
  <c r="S206" i="3" s="1"/>
  <c r="J206" i="3" a="1"/>
  <c r="J206" i="3" s="1"/>
  <c r="U206" i="3" s="1" a="1"/>
  <c r="U206" i="3" s="1"/>
  <c r="I206" i="3" a="1"/>
  <c r="I206" i="3" s="1"/>
  <c r="T206" i="3" s="1" a="1"/>
  <c r="T206" i="3" s="1"/>
  <c r="K206" i="3" a="1"/>
  <c r="K206" i="3" s="1"/>
  <c r="V206" i="3" s="1" a="1"/>
  <c r="V206" i="3" s="1"/>
  <c r="B190" i="3" a="1"/>
  <c r="B190" i="3" s="1"/>
  <c r="L190" i="3" s="1" a="1"/>
  <c r="L190" i="3" s="1"/>
  <c r="C190" i="3" a="1"/>
  <c r="C190" i="3" s="1"/>
  <c r="M190" i="3" s="1" a="1"/>
  <c r="M190" i="3" s="1"/>
  <c r="D190" i="3" a="1"/>
  <c r="D190" i="3" s="1"/>
  <c r="N190" i="3" s="1" a="1"/>
  <c r="N190" i="3" s="1"/>
  <c r="E190" i="3" a="1"/>
  <c r="E190" i="3" s="1"/>
  <c r="O190" i="3" s="1" a="1"/>
  <c r="O190" i="3" s="1"/>
  <c r="F190" i="3" a="1"/>
  <c r="F190" i="3" s="1"/>
  <c r="P190" i="3" s="1" a="1"/>
  <c r="P190" i="3" s="1"/>
  <c r="G190" i="3" a="1"/>
  <c r="G190" i="3" s="1"/>
  <c r="Q190" i="3" s="1" a="1"/>
  <c r="Q190" i="3" s="1"/>
  <c r="H190" i="3" a="1"/>
  <c r="H190" i="3" s="1"/>
  <c r="R190" i="3" s="1" a="1"/>
  <c r="R190" i="3" s="1"/>
  <c r="S190" i="3" s="1" a="1"/>
  <c r="S190" i="3" s="1"/>
  <c r="J190" i="3" a="1"/>
  <c r="J190" i="3" s="1"/>
  <c r="U190" i="3" s="1" a="1"/>
  <c r="U190" i="3" s="1"/>
  <c r="I190" i="3" a="1"/>
  <c r="I190" i="3" s="1"/>
  <c r="T190" i="3" s="1" a="1"/>
  <c r="T190" i="3" s="1"/>
  <c r="K190" i="3" a="1"/>
  <c r="K190" i="3" s="1"/>
  <c r="V190" i="3" s="1" a="1"/>
  <c r="V190" i="3" s="1"/>
  <c r="B182" i="3" a="1"/>
  <c r="B182" i="3" s="1"/>
  <c r="L182" i="3" s="1" a="1"/>
  <c r="L182" i="3" s="1"/>
  <c r="C182" i="3" a="1"/>
  <c r="C182" i="3" s="1"/>
  <c r="M182" i="3" s="1" a="1"/>
  <c r="M182" i="3" s="1"/>
  <c r="D182" i="3" a="1"/>
  <c r="D182" i="3" s="1"/>
  <c r="N182" i="3" s="1" a="1"/>
  <c r="N182" i="3" s="1"/>
  <c r="E182" i="3" a="1"/>
  <c r="E182" i="3" s="1"/>
  <c r="O182" i="3" s="1" a="1"/>
  <c r="O182" i="3" s="1"/>
  <c r="F182" i="3" a="1"/>
  <c r="F182" i="3" s="1"/>
  <c r="P182" i="3" s="1" a="1"/>
  <c r="P182" i="3" s="1"/>
  <c r="G182" i="3" a="1"/>
  <c r="G182" i="3" s="1"/>
  <c r="Q182" i="3" s="1" a="1"/>
  <c r="Q182" i="3" s="1"/>
  <c r="H182" i="3" a="1"/>
  <c r="H182" i="3" s="1"/>
  <c r="R182" i="3" s="1" a="1"/>
  <c r="R182" i="3" s="1"/>
  <c r="S182" i="3" s="1" a="1"/>
  <c r="S182" i="3" s="1"/>
  <c r="J182" i="3" a="1"/>
  <c r="J182" i="3" s="1"/>
  <c r="U182" i="3" s="1" a="1"/>
  <c r="U182" i="3" s="1"/>
  <c r="I182" i="3" a="1"/>
  <c r="I182" i="3" s="1"/>
  <c r="T182" i="3" s="1" a="1"/>
  <c r="T182" i="3" s="1"/>
  <c r="K182" i="3" a="1"/>
  <c r="K182" i="3" s="1"/>
  <c r="V182" i="3" s="1" a="1"/>
  <c r="V182" i="3" s="1"/>
  <c r="B174" i="3" a="1"/>
  <c r="B174" i="3" s="1"/>
  <c r="L174" i="3" s="1" a="1"/>
  <c r="L174" i="3" s="1"/>
  <c r="C174" i="3" a="1"/>
  <c r="C174" i="3" s="1"/>
  <c r="M174" i="3" s="1" a="1"/>
  <c r="M174" i="3" s="1"/>
  <c r="D174" i="3" a="1"/>
  <c r="D174" i="3" s="1"/>
  <c r="N174" i="3" s="1" a="1"/>
  <c r="N174" i="3" s="1"/>
  <c r="E174" i="3" a="1"/>
  <c r="E174" i="3" s="1"/>
  <c r="O174" i="3" s="1" a="1"/>
  <c r="O174" i="3" s="1"/>
  <c r="F174" i="3" a="1"/>
  <c r="F174" i="3" s="1"/>
  <c r="P174" i="3" s="1" a="1"/>
  <c r="P174" i="3" s="1"/>
  <c r="G174" i="3" a="1"/>
  <c r="G174" i="3" s="1"/>
  <c r="Q174" i="3" s="1" a="1"/>
  <c r="Q174" i="3" s="1"/>
  <c r="H174" i="3" a="1"/>
  <c r="H174" i="3" s="1"/>
  <c r="R174" i="3" s="1" a="1"/>
  <c r="R174" i="3" s="1"/>
  <c r="S174" i="3" s="1" a="1"/>
  <c r="S174" i="3" s="1"/>
  <c r="J174" i="3" a="1"/>
  <c r="J174" i="3" s="1"/>
  <c r="U174" i="3" s="1" a="1"/>
  <c r="U174" i="3" s="1"/>
  <c r="I174" i="3" a="1"/>
  <c r="I174" i="3" s="1"/>
  <c r="T174" i="3" s="1" a="1"/>
  <c r="T174" i="3" s="1"/>
  <c r="K174" i="3" a="1"/>
  <c r="K174" i="3" s="1"/>
  <c r="V174" i="3" s="1" a="1"/>
  <c r="V174" i="3" s="1"/>
  <c r="B170" i="3" a="1"/>
  <c r="B170" i="3" s="1"/>
  <c r="L170" i="3" s="1" a="1"/>
  <c r="L170" i="3" s="1"/>
  <c r="C170" i="3" a="1"/>
  <c r="C170" i="3" s="1"/>
  <c r="M170" i="3" s="1" a="1"/>
  <c r="M170" i="3" s="1"/>
  <c r="D170" i="3" a="1"/>
  <c r="D170" i="3" s="1"/>
  <c r="N170" i="3" s="1" a="1"/>
  <c r="N170" i="3" s="1"/>
  <c r="E170" i="3" a="1"/>
  <c r="E170" i="3" s="1"/>
  <c r="O170" i="3" s="1" a="1"/>
  <c r="O170" i="3" s="1"/>
  <c r="F170" i="3" a="1"/>
  <c r="F170" i="3" s="1"/>
  <c r="P170" i="3" s="1" a="1"/>
  <c r="P170" i="3" s="1"/>
  <c r="G170" i="3" a="1"/>
  <c r="G170" i="3" s="1"/>
  <c r="Q170" i="3" s="1" a="1"/>
  <c r="Q170" i="3" s="1"/>
  <c r="H170" i="3" a="1"/>
  <c r="H170" i="3" s="1"/>
  <c r="R170" i="3" s="1" a="1"/>
  <c r="R170" i="3" s="1"/>
  <c r="S170" i="3" s="1" a="1"/>
  <c r="S170" i="3" s="1"/>
  <c r="J170" i="3" a="1"/>
  <c r="J170" i="3" s="1"/>
  <c r="U170" i="3" s="1" a="1"/>
  <c r="U170" i="3" s="1"/>
  <c r="I170" i="3" a="1"/>
  <c r="I170" i="3" s="1"/>
  <c r="T170" i="3" s="1" a="1"/>
  <c r="T170" i="3" s="1"/>
  <c r="K170" i="3" a="1"/>
  <c r="K170" i="3" s="1"/>
  <c r="V170" i="3" s="1" a="1"/>
  <c r="V170" i="3" s="1"/>
  <c r="B166" i="3" a="1"/>
  <c r="B166" i="3" s="1"/>
  <c r="L166" i="3" s="1" a="1"/>
  <c r="L166" i="3" s="1"/>
  <c r="C166" i="3" a="1"/>
  <c r="C166" i="3" s="1"/>
  <c r="M166" i="3" s="1" a="1"/>
  <c r="M166" i="3" s="1"/>
  <c r="D166" i="3" a="1"/>
  <c r="D166" i="3" s="1"/>
  <c r="N166" i="3" s="1" a="1"/>
  <c r="N166" i="3" s="1"/>
  <c r="E166" i="3" a="1"/>
  <c r="E166" i="3" s="1"/>
  <c r="O166" i="3" s="1" a="1"/>
  <c r="O166" i="3" s="1"/>
  <c r="F166" i="3" a="1"/>
  <c r="F166" i="3" s="1"/>
  <c r="P166" i="3" s="1" a="1"/>
  <c r="P166" i="3" s="1"/>
  <c r="G166" i="3" a="1"/>
  <c r="G166" i="3" s="1"/>
  <c r="Q166" i="3" s="1" a="1"/>
  <c r="Q166" i="3" s="1"/>
  <c r="H166" i="3" a="1"/>
  <c r="H166" i="3" s="1"/>
  <c r="R166" i="3" s="1" a="1"/>
  <c r="R166" i="3" s="1"/>
  <c r="S166" i="3" s="1" a="1"/>
  <c r="S166" i="3" s="1"/>
  <c r="I166" i="3" a="1"/>
  <c r="I166" i="3" s="1"/>
  <c r="T166" i="3" s="1" a="1"/>
  <c r="T166" i="3" s="1"/>
  <c r="J166" i="3" a="1"/>
  <c r="J166" i="3" s="1"/>
  <c r="U166" i="3" s="1" a="1"/>
  <c r="U166" i="3" s="1"/>
  <c r="K166" i="3" a="1"/>
  <c r="K166" i="3" s="1"/>
  <c r="V166" i="3" s="1" a="1"/>
  <c r="V166" i="3" s="1"/>
  <c r="B162" i="3" a="1"/>
  <c r="B162" i="3" s="1"/>
  <c r="L162" i="3" s="1" a="1"/>
  <c r="L162" i="3" s="1"/>
  <c r="C162" i="3" a="1"/>
  <c r="C162" i="3" s="1"/>
  <c r="M162" i="3" s="1" a="1"/>
  <c r="M162" i="3" s="1"/>
  <c r="D162" i="3" a="1"/>
  <c r="D162" i="3" s="1"/>
  <c r="N162" i="3" s="1" a="1"/>
  <c r="N162" i="3" s="1"/>
  <c r="E162" i="3" a="1"/>
  <c r="E162" i="3" s="1"/>
  <c r="O162" i="3" s="1" a="1"/>
  <c r="O162" i="3" s="1"/>
  <c r="F162" i="3" a="1"/>
  <c r="F162" i="3" s="1"/>
  <c r="P162" i="3" s="1" a="1"/>
  <c r="P162" i="3" s="1"/>
  <c r="G162" i="3" a="1"/>
  <c r="G162" i="3" s="1"/>
  <c r="Q162" i="3" s="1" a="1"/>
  <c r="Q162" i="3" s="1"/>
  <c r="H162" i="3" a="1"/>
  <c r="H162" i="3" s="1"/>
  <c r="R162" i="3" s="1" a="1"/>
  <c r="R162" i="3" s="1"/>
  <c r="S162" i="3" s="1" a="1"/>
  <c r="S162" i="3" s="1"/>
  <c r="J162" i="3" a="1"/>
  <c r="J162" i="3" s="1"/>
  <c r="U162" i="3" s="1" a="1"/>
  <c r="U162" i="3" s="1"/>
  <c r="I162" i="3" a="1"/>
  <c r="I162" i="3" s="1"/>
  <c r="T162" i="3" s="1" a="1"/>
  <c r="T162" i="3" s="1"/>
  <c r="K162" i="3" a="1"/>
  <c r="K162" i="3" s="1"/>
  <c r="V162" i="3" s="1" a="1"/>
  <c r="V162" i="3" s="1"/>
  <c r="B158" i="3" a="1"/>
  <c r="B158" i="3" s="1"/>
  <c r="L158" i="3" s="1" a="1"/>
  <c r="L158" i="3" s="1"/>
  <c r="C158" i="3" a="1"/>
  <c r="C158" i="3" s="1"/>
  <c r="M158" i="3" s="1" a="1"/>
  <c r="M158" i="3" s="1"/>
  <c r="D158" i="3" a="1"/>
  <c r="D158" i="3" s="1"/>
  <c r="N158" i="3" s="1" a="1"/>
  <c r="N158" i="3" s="1"/>
  <c r="E158" i="3" a="1"/>
  <c r="E158" i="3" s="1"/>
  <c r="O158" i="3" s="1" a="1"/>
  <c r="O158" i="3" s="1"/>
  <c r="F158" i="3" a="1"/>
  <c r="F158" i="3" s="1"/>
  <c r="P158" i="3" s="1" a="1"/>
  <c r="P158" i="3" s="1"/>
  <c r="G158" i="3" a="1"/>
  <c r="G158" i="3" s="1"/>
  <c r="Q158" i="3" s="1" a="1"/>
  <c r="Q158" i="3" s="1"/>
  <c r="H158" i="3" a="1"/>
  <c r="H158" i="3" s="1"/>
  <c r="R158" i="3" s="1" a="1"/>
  <c r="R158" i="3" s="1"/>
  <c r="S158" i="3" s="1" a="1"/>
  <c r="S158" i="3" s="1"/>
  <c r="I158" i="3" a="1"/>
  <c r="I158" i="3" s="1"/>
  <c r="T158" i="3" s="1" a="1"/>
  <c r="T158" i="3" s="1"/>
  <c r="J158" i="3" a="1"/>
  <c r="J158" i="3" s="1"/>
  <c r="U158" i="3" s="1" a="1"/>
  <c r="U158" i="3" s="1"/>
  <c r="K158" i="3" a="1"/>
  <c r="K158" i="3" s="1"/>
  <c r="V158" i="3" s="1" a="1"/>
  <c r="V158" i="3" s="1"/>
  <c r="B154" i="3" a="1"/>
  <c r="B154" i="3" s="1"/>
  <c r="L154" i="3" s="1" a="1"/>
  <c r="L154" i="3" s="1"/>
  <c r="C154" i="3" a="1"/>
  <c r="C154" i="3" s="1"/>
  <c r="M154" i="3" s="1" a="1"/>
  <c r="M154" i="3" s="1"/>
  <c r="D154" i="3" a="1"/>
  <c r="D154" i="3" s="1"/>
  <c r="N154" i="3" s="1" a="1"/>
  <c r="N154" i="3" s="1"/>
  <c r="E154" i="3" a="1"/>
  <c r="E154" i="3" s="1"/>
  <c r="O154" i="3" s="1" a="1"/>
  <c r="O154" i="3" s="1"/>
  <c r="F154" i="3" a="1"/>
  <c r="F154" i="3" s="1"/>
  <c r="P154" i="3" s="1" a="1"/>
  <c r="P154" i="3" s="1"/>
  <c r="G154" i="3" a="1"/>
  <c r="G154" i="3" s="1"/>
  <c r="Q154" i="3" s="1" a="1"/>
  <c r="Q154" i="3" s="1"/>
  <c r="H154" i="3" a="1"/>
  <c r="H154" i="3" s="1"/>
  <c r="R154" i="3" s="1" a="1"/>
  <c r="R154" i="3" s="1"/>
  <c r="S154" i="3" s="1" a="1"/>
  <c r="S154" i="3" s="1"/>
  <c r="J154" i="3" a="1"/>
  <c r="J154" i="3" s="1"/>
  <c r="U154" i="3" s="1" a="1"/>
  <c r="U154" i="3" s="1"/>
  <c r="I154" i="3" a="1"/>
  <c r="I154" i="3" s="1"/>
  <c r="T154" i="3" s="1" a="1"/>
  <c r="T154" i="3" s="1"/>
  <c r="K154" i="3" a="1"/>
  <c r="K154" i="3" s="1"/>
  <c r="V154" i="3" s="1" a="1"/>
  <c r="V154" i="3" s="1"/>
  <c r="B150" i="3" a="1"/>
  <c r="B150" i="3" s="1"/>
  <c r="L150" i="3" s="1" a="1"/>
  <c r="L150" i="3" s="1"/>
  <c r="C150" i="3" a="1"/>
  <c r="C150" i="3" s="1"/>
  <c r="M150" i="3" s="1" a="1"/>
  <c r="M150" i="3" s="1"/>
  <c r="D150" i="3" a="1"/>
  <c r="D150" i="3" s="1"/>
  <c r="N150" i="3" s="1" a="1"/>
  <c r="N150" i="3" s="1"/>
  <c r="E150" i="3" a="1"/>
  <c r="E150" i="3" s="1"/>
  <c r="O150" i="3" s="1" a="1"/>
  <c r="O150" i="3" s="1"/>
  <c r="F150" i="3" a="1"/>
  <c r="F150" i="3" s="1"/>
  <c r="P150" i="3" s="1" a="1"/>
  <c r="P150" i="3" s="1"/>
  <c r="G150" i="3" a="1"/>
  <c r="G150" i="3" s="1"/>
  <c r="Q150" i="3" s="1" a="1"/>
  <c r="Q150" i="3" s="1"/>
  <c r="H150" i="3" a="1"/>
  <c r="H150" i="3" s="1"/>
  <c r="R150" i="3" s="1" a="1"/>
  <c r="R150" i="3" s="1"/>
  <c r="S150" i="3" s="1" a="1"/>
  <c r="S150" i="3" s="1"/>
  <c r="I150" i="3" a="1"/>
  <c r="I150" i="3" s="1"/>
  <c r="T150" i="3" s="1" a="1"/>
  <c r="T150" i="3" s="1"/>
  <c r="J150" i="3" a="1"/>
  <c r="J150" i="3" s="1"/>
  <c r="U150" i="3" s="1" a="1"/>
  <c r="U150" i="3" s="1"/>
  <c r="K150" i="3" a="1"/>
  <c r="K150" i="3" s="1"/>
  <c r="V150" i="3" s="1" a="1"/>
  <c r="V150" i="3" s="1"/>
  <c r="B146" i="3" a="1"/>
  <c r="B146" i="3" s="1"/>
  <c r="L146" i="3" s="1" a="1"/>
  <c r="L146" i="3" s="1"/>
  <c r="C146" i="3" a="1"/>
  <c r="C146" i="3" s="1"/>
  <c r="M146" i="3" s="1" a="1"/>
  <c r="M146" i="3" s="1"/>
  <c r="D146" i="3" a="1"/>
  <c r="D146" i="3" s="1"/>
  <c r="N146" i="3" s="1" a="1"/>
  <c r="N146" i="3" s="1"/>
  <c r="E146" i="3" a="1"/>
  <c r="E146" i="3" s="1"/>
  <c r="O146" i="3" s="1" a="1"/>
  <c r="O146" i="3" s="1"/>
  <c r="F146" i="3" a="1"/>
  <c r="F146" i="3" s="1"/>
  <c r="P146" i="3" s="1" a="1"/>
  <c r="P146" i="3" s="1"/>
  <c r="G146" i="3" a="1"/>
  <c r="G146" i="3" s="1"/>
  <c r="Q146" i="3" s="1" a="1"/>
  <c r="Q146" i="3" s="1"/>
  <c r="H146" i="3" a="1"/>
  <c r="H146" i="3" s="1"/>
  <c r="R146" i="3" s="1" a="1"/>
  <c r="R146" i="3" s="1"/>
  <c r="S146" i="3" s="1" a="1"/>
  <c r="S146" i="3" s="1"/>
  <c r="J146" i="3" a="1"/>
  <c r="J146" i="3" s="1"/>
  <c r="U146" i="3" s="1" a="1"/>
  <c r="U146" i="3" s="1"/>
  <c r="I146" i="3" a="1"/>
  <c r="I146" i="3" s="1"/>
  <c r="T146" i="3" s="1" a="1"/>
  <c r="T146" i="3" s="1"/>
  <c r="K146" i="3" a="1"/>
  <c r="K146" i="3" s="1"/>
  <c r="V146" i="3" s="1" a="1"/>
  <c r="V146" i="3" s="1"/>
  <c r="B142" i="3" a="1"/>
  <c r="B142" i="3" s="1"/>
  <c r="L142" i="3" s="1" a="1"/>
  <c r="L142" i="3" s="1"/>
  <c r="C142" i="3" a="1"/>
  <c r="C142" i="3" s="1"/>
  <c r="M142" i="3" s="1" a="1"/>
  <c r="M142" i="3" s="1"/>
  <c r="D142" i="3" a="1"/>
  <c r="D142" i="3" s="1"/>
  <c r="N142" i="3" s="1" a="1"/>
  <c r="N142" i="3" s="1"/>
  <c r="E142" i="3" a="1"/>
  <c r="E142" i="3" s="1"/>
  <c r="O142" i="3" s="1" a="1"/>
  <c r="O142" i="3" s="1"/>
  <c r="F142" i="3" a="1"/>
  <c r="F142" i="3" s="1"/>
  <c r="P142" i="3" s="1" a="1"/>
  <c r="P142" i="3" s="1"/>
  <c r="G142" i="3" a="1"/>
  <c r="G142" i="3" s="1"/>
  <c r="Q142" i="3" s="1" a="1"/>
  <c r="Q142" i="3" s="1"/>
  <c r="H142" i="3" a="1"/>
  <c r="H142" i="3" s="1"/>
  <c r="R142" i="3" s="1" a="1"/>
  <c r="R142" i="3" s="1"/>
  <c r="S142" i="3" s="1" a="1"/>
  <c r="S142" i="3" s="1"/>
  <c r="I142" i="3" a="1"/>
  <c r="I142" i="3" s="1"/>
  <c r="T142" i="3" s="1" a="1"/>
  <c r="T142" i="3" s="1"/>
  <c r="J142" i="3" a="1"/>
  <c r="J142" i="3" s="1"/>
  <c r="U142" i="3" s="1" a="1"/>
  <c r="U142" i="3" s="1"/>
  <c r="K142" i="3" a="1"/>
  <c r="K142" i="3" s="1"/>
  <c r="V142" i="3" s="1" a="1"/>
  <c r="V142" i="3" s="1"/>
  <c r="B138" i="3" a="1"/>
  <c r="B138" i="3" s="1"/>
  <c r="L138" i="3" s="1" a="1"/>
  <c r="L138" i="3" s="1"/>
  <c r="C138" i="3" a="1"/>
  <c r="C138" i="3" s="1"/>
  <c r="M138" i="3" s="1" a="1"/>
  <c r="M138" i="3" s="1"/>
  <c r="D138" i="3" a="1"/>
  <c r="D138" i="3" s="1"/>
  <c r="N138" i="3" s="1" a="1"/>
  <c r="N138" i="3" s="1"/>
  <c r="E138" i="3" a="1"/>
  <c r="E138" i="3" s="1"/>
  <c r="O138" i="3" s="1" a="1"/>
  <c r="O138" i="3" s="1"/>
  <c r="F138" i="3" a="1"/>
  <c r="F138" i="3" s="1"/>
  <c r="P138" i="3" s="1" a="1"/>
  <c r="P138" i="3" s="1"/>
  <c r="G138" i="3" a="1"/>
  <c r="G138" i="3" s="1"/>
  <c r="Q138" i="3" s="1" a="1"/>
  <c r="Q138" i="3" s="1"/>
  <c r="H138" i="3" a="1"/>
  <c r="H138" i="3" s="1"/>
  <c r="R138" i="3" s="1" a="1"/>
  <c r="R138" i="3" s="1"/>
  <c r="S138" i="3" s="1" a="1"/>
  <c r="S138" i="3" s="1"/>
  <c r="J138" i="3" a="1"/>
  <c r="J138" i="3" s="1"/>
  <c r="U138" i="3" s="1" a="1"/>
  <c r="U138" i="3" s="1"/>
  <c r="I138" i="3" a="1"/>
  <c r="I138" i="3" s="1"/>
  <c r="T138" i="3" s="1" a="1"/>
  <c r="T138" i="3" s="1"/>
  <c r="K138" i="3" a="1"/>
  <c r="K138" i="3" s="1"/>
  <c r="V138" i="3" s="1" a="1"/>
  <c r="V138" i="3" s="1"/>
  <c r="B134" i="3" a="1"/>
  <c r="B134" i="3" s="1"/>
  <c r="L134" i="3" s="1" a="1"/>
  <c r="L134" i="3" s="1"/>
  <c r="C134" i="3" a="1"/>
  <c r="C134" i="3" s="1"/>
  <c r="M134" i="3" s="1" a="1"/>
  <c r="M134" i="3" s="1"/>
  <c r="D134" i="3" a="1"/>
  <c r="D134" i="3" s="1"/>
  <c r="N134" i="3" s="1" a="1"/>
  <c r="N134" i="3" s="1"/>
  <c r="E134" i="3" a="1"/>
  <c r="E134" i="3" s="1"/>
  <c r="O134" i="3" s="1" a="1"/>
  <c r="O134" i="3" s="1"/>
  <c r="F134" i="3" a="1"/>
  <c r="F134" i="3" s="1"/>
  <c r="P134" i="3" s="1" a="1"/>
  <c r="P134" i="3" s="1"/>
  <c r="G134" i="3" a="1"/>
  <c r="G134" i="3" s="1"/>
  <c r="Q134" i="3" s="1" a="1"/>
  <c r="Q134" i="3" s="1"/>
  <c r="H134" i="3" a="1"/>
  <c r="H134" i="3" s="1"/>
  <c r="R134" i="3" s="1" a="1"/>
  <c r="R134" i="3" s="1"/>
  <c r="S134" i="3" s="1" a="1"/>
  <c r="S134" i="3" s="1"/>
  <c r="J134" i="3" a="1"/>
  <c r="J134" i="3" s="1"/>
  <c r="U134" i="3" s="1" a="1"/>
  <c r="U134" i="3" s="1"/>
  <c r="I134" i="3" a="1"/>
  <c r="I134" i="3" s="1"/>
  <c r="T134" i="3" s="1" a="1"/>
  <c r="T134" i="3" s="1"/>
  <c r="K134" i="3" a="1"/>
  <c r="K134" i="3" s="1"/>
  <c r="V134" i="3" s="1" a="1"/>
  <c r="V134" i="3" s="1"/>
  <c r="B130" i="3" a="1"/>
  <c r="B130" i="3" s="1"/>
  <c r="L130" i="3" s="1" a="1"/>
  <c r="L130" i="3" s="1"/>
  <c r="C130" i="3" a="1"/>
  <c r="C130" i="3" s="1"/>
  <c r="M130" i="3" s="1" a="1"/>
  <c r="M130" i="3" s="1"/>
  <c r="D130" i="3" a="1"/>
  <c r="D130" i="3" s="1"/>
  <c r="N130" i="3" s="1" a="1"/>
  <c r="N130" i="3" s="1"/>
  <c r="E130" i="3" a="1"/>
  <c r="E130" i="3" s="1"/>
  <c r="O130" i="3" s="1" a="1"/>
  <c r="O130" i="3" s="1"/>
  <c r="F130" i="3" a="1"/>
  <c r="F130" i="3" s="1"/>
  <c r="P130" i="3" s="1" a="1"/>
  <c r="P130" i="3" s="1"/>
  <c r="G130" i="3" a="1"/>
  <c r="G130" i="3" s="1"/>
  <c r="Q130" i="3" s="1" a="1"/>
  <c r="Q130" i="3" s="1"/>
  <c r="H130" i="3" a="1"/>
  <c r="H130" i="3" s="1"/>
  <c r="R130" i="3" s="1" a="1"/>
  <c r="R130" i="3" s="1"/>
  <c r="S130" i="3" s="1" a="1"/>
  <c r="S130" i="3" s="1"/>
  <c r="J130" i="3" a="1"/>
  <c r="J130" i="3" s="1"/>
  <c r="U130" i="3" s="1" a="1"/>
  <c r="U130" i="3" s="1"/>
  <c r="I130" i="3" a="1"/>
  <c r="I130" i="3" s="1"/>
  <c r="T130" i="3" s="1" a="1"/>
  <c r="T130" i="3" s="1"/>
  <c r="K130" i="3" a="1"/>
  <c r="K130" i="3" s="1"/>
  <c r="V130" i="3" s="1" a="1"/>
  <c r="V130" i="3" s="1"/>
  <c r="B126" i="3" a="1"/>
  <c r="B126" i="3" s="1"/>
  <c r="L126" i="3" s="1" a="1"/>
  <c r="L126" i="3" s="1"/>
  <c r="C126" i="3" a="1"/>
  <c r="C126" i="3" s="1"/>
  <c r="M126" i="3" s="1" a="1"/>
  <c r="M126" i="3" s="1"/>
  <c r="D126" i="3" a="1"/>
  <c r="D126" i="3" s="1"/>
  <c r="N126" i="3" s="1" a="1"/>
  <c r="N126" i="3" s="1"/>
  <c r="E126" i="3" a="1"/>
  <c r="E126" i="3" s="1"/>
  <c r="O126" i="3" s="1" a="1"/>
  <c r="O126" i="3" s="1"/>
  <c r="F126" i="3" a="1"/>
  <c r="F126" i="3" s="1"/>
  <c r="P126" i="3" s="1" a="1"/>
  <c r="P126" i="3" s="1"/>
  <c r="G126" i="3" a="1"/>
  <c r="G126" i="3" s="1"/>
  <c r="Q126" i="3" s="1" a="1"/>
  <c r="Q126" i="3" s="1"/>
  <c r="H126" i="3" a="1"/>
  <c r="H126" i="3" s="1"/>
  <c r="R126" i="3" s="1" a="1"/>
  <c r="R126" i="3" s="1"/>
  <c r="S126" i="3" s="1" a="1"/>
  <c r="S126" i="3" s="1"/>
  <c r="J126" i="3" a="1"/>
  <c r="J126" i="3" s="1"/>
  <c r="U126" i="3" s="1" a="1"/>
  <c r="U126" i="3" s="1"/>
  <c r="I126" i="3" a="1"/>
  <c r="I126" i="3" s="1"/>
  <c r="T126" i="3" s="1" a="1"/>
  <c r="T126" i="3" s="1"/>
  <c r="K126" i="3" a="1"/>
  <c r="K126" i="3" s="1"/>
  <c r="V126" i="3" s="1" a="1"/>
  <c r="V126" i="3" s="1"/>
  <c r="B122" i="3" a="1"/>
  <c r="B122" i="3" s="1"/>
  <c r="L122" i="3" s="1" a="1"/>
  <c r="L122" i="3" s="1"/>
  <c r="C122" i="3" a="1"/>
  <c r="C122" i="3" s="1"/>
  <c r="M122" i="3" s="1" a="1"/>
  <c r="M122" i="3" s="1"/>
  <c r="D122" i="3" a="1"/>
  <c r="D122" i="3" s="1"/>
  <c r="N122" i="3" s="1" a="1"/>
  <c r="N122" i="3" s="1"/>
  <c r="E122" i="3" a="1"/>
  <c r="E122" i="3" s="1"/>
  <c r="O122" i="3" s="1" a="1"/>
  <c r="O122" i="3" s="1"/>
  <c r="F122" i="3" a="1"/>
  <c r="F122" i="3" s="1"/>
  <c r="P122" i="3" s="1" a="1"/>
  <c r="P122" i="3" s="1"/>
  <c r="G122" i="3" a="1"/>
  <c r="G122" i="3" s="1"/>
  <c r="Q122" i="3" s="1" a="1"/>
  <c r="Q122" i="3" s="1"/>
  <c r="H122" i="3" a="1"/>
  <c r="H122" i="3" s="1"/>
  <c r="R122" i="3" s="1" a="1"/>
  <c r="R122" i="3" s="1"/>
  <c r="S122" i="3" s="1" a="1"/>
  <c r="S122" i="3" s="1"/>
  <c r="J122" i="3" a="1"/>
  <c r="J122" i="3" s="1"/>
  <c r="U122" i="3" s="1" a="1"/>
  <c r="U122" i="3" s="1"/>
  <c r="I122" i="3" a="1"/>
  <c r="I122" i="3" s="1"/>
  <c r="T122" i="3" s="1" a="1"/>
  <c r="T122" i="3" s="1"/>
  <c r="K122" i="3" a="1"/>
  <c r="K122" i="3" s="1"/>
  <c r="V122" i="3" s="1" a="1"/>
  <c r="V122" i="3" s="1"/>
  <c r="B118" i="3" a="1"/>
  <c r="B118" i="3" s="1"/>
  <c r="L118" i="3" s="1" a="1"/>
  <c r="L118" i="3" s="1"/>
  <c r="C118" i="3" a="1"/>
  <c r="C118" i="3" s="1"/>
  <c r="M118" i="3" s="1" a="1"/>
  <c r="M118" i="3" s="1"/>
  <c r="D118" i="3" a="1"/>
  <c r="D118" i="3" s="1"/>
  <c r="N118" i="3" s="1" a="1"/>
  <c r="N118" i="3" s="1"/>
  <c r="E118" i="3" a="1"/>
  <c r="E118" i="3" s="1"/>
  <c r="O118" i="3" s="1" a="1"/>
  <c r="O118" i="3" s="1"/>
  <c r="F118" i="3" a="1"/>
  <c r="F118" i="3" s="1"/>
  <c r="P118" i="3" s="1" a="1"/>
  <c r="P118" i="3" s="1"/>
  <c r="G118" i="3" a="1"/>
  <c r="G118" i="3" s="1"/>
  <c r="Q118" i="3" s="1" a="1"/>
  <c r="Q118" i="3" s="1"/>
  <c r="H118" i="3" a="1"/>
  <c r="H118" i="3" s="1"/>
  <c r="R118" i="3" s="1" a="1"/>
  <c r="R118" i="3" s="1"/>
  <c r="S118" i="3" s="1" a="1"/>
  <c r="S118" i="3" s="1"/>
  <c r="J118" i="3" a="1"/>
  <c r="J118" i="3" s="1"/>
  <c r="U118" i="3" s="1" a="1"/>
  <c r="U118" i="3" s="1"/>
  <c r="I118" i="3" a="1"/>
  <c r="I118" i="3" s="1"/>
  <c r="T118" i="3" s="1" a="1"/>
  <c r="T118" i="3" s="1"/>
  <c r="K118" i="3" a="1"/>
  <c r="K118" i="3" s="1"/>
  <c r="V118" i="3" s="1" a="1"/>
  <c r="V118" i="3" s="1"/>
  <c r="B114" i="3" a="1"/>
  <c r="B114" i="3" s="1"/>
  <c r="L114" i="3" s="1" a="1"/>
  <c r="L114" i="3" s="1"/>
  <c r="C114" i="3" a="1"/>
  <c r="C114" i="3" s="1"/>
  <c r="M114" i="3" s="1" a="1"/>
  <c r="M114" i="3" s="1"/>
  <c r="D114" i="3" a="1"/>
  <c r="D114" i="3" s="1"/>
  <c r="N114" i="3" s="1" a="1"/>
  <c r="N114" i="3" s="1"/>
  <c r="E114" i="3" a="1"/>
  <c r="E114" i="3" s="1"/>
  <c r="O114" i="3" s="1" a="1"/>
  <c r="O114" i="3" s="1"/>
  <c r="F114" i="3" a="1"/>
  <c r="F114" i="3" s="1"/>
  <c r="P114" i="3" s="1" a="1"/>
  <c r="P114" i="3" s="1"/>
  <c r="G114" i="3" a="1"/>
  <c r="G114" i="3" s="1"/>
  <c r="Q114" i="3" s="1" a="1"/>
  <c r="Q114" i="3" s="1"/>
  <c r="H114" i="3" a="1"/>
  <c r="H114" i="3" s="1"/>
  <c r="R114" i="3" s="1" a="1"/>
  <c r="R114" i="3" s="1"/>
  <c r="S114" i="3" s="1" a="1"/>
  <c r="S114" i="3" s="1"/>
  <c r="J114" i="3" a="1"/>
  <c r="J114" i="3" s="1"/>
  <c r="U114" i="3" s="1" a="1"/>
  <c r="U114" i="3" s="1"/>
  <c r="I114" i="3" a="1"/>
  <c r="I114" i="3" s="1"/>
  <c r="T114" i="3" s="1" a="1"/>
  <c r="T114" i="3" s="1"/>
  <c r="K114" i="3" a="1"/>
  <c r="K114" i="3" s="1"/>
  <c r="V114" i="3" s="1" a="1"/>
  <c r="V114" i="3" s="1"/>
  <c r="B110" i="3" a="1"/>
  <c r="B110" i="3" s="1"/>
  <c r="L110" i="3" s="1" a="1"/>
  <c r="L110" i="3" s="1"/>
  <c r="C110" i="3" a="1"/>
  <c r="C110" i="3" s="1"/>
  <c r="M110" i="3" s="1" a="1"/>
  <c r="M110" i="3" s="1"/>
  <c r="D110" i="3" a="1"/>
  <c r="D110" i="3" s="1"/>
  <c r="N110" i="3" s="1" a="1"/>
  <c r="N110" i="3" s="1"/>
  <c r="E110" i="3" a="1"/>
  <c r="E110" i="3" s="1"/>
  <c r="O110" i="3" s="1" a="1"/>
  <c r="O110" i="3" s="1"/>
  <c r="F110" i="3" a="1"/>
  <c r="F110" i="3" s="1"/>
  <c r="P110" i="3" s="1" a="1"/>
  <c r="P110" i="3" s="1"/>
  <c r="G110" i="3" a="1"/>
  <c r="G110" i="3" s="1"/>
  <c r="Q110" i="3" s="1" a="1"/>
  <c r="Q110" i="3" s="1"/>
  <c r="H110" i="3" a="1"/>
  <c r="H110" i="3" s="1"/>
  <c r="R110" i="3" s="1" a="1"/>
  <c r="R110" i="3" s="1"/>
  <c r="S110" i="3" s="1" a="1"/>
  <c r="S110" i="3" s="1"/>
  <c r="J110" i="3" a="1"/>
  <c r="J110" i="3" s="1"/>
  <c r="U110" i="3" s="1" a="1"/>
  <c r="U110" i="3" s="1"/>
  <c r="I110" i="3" a="1"/>
  <c r="I110" i="3" s="1"/>
  <c r="T110" i="3" s="1" a="1"/>
  <c r="T110" i="3" s="1"/>
  <c r="K110" i="3" a="1"/>
  <c r="K110" i="3" s="1"/>
  <c r="V110" i="3" s="1" a="1"/>
  <c r="V110" i="3" s="1"/>
  <c r="B106" i="3" a="1"/>
  <c r="B106" i="3" s="1"/>
  <c r="L106" i="3" s="1" a="1"/>
  <c r="L106" i="3" s="1"/>
  <c r="C106" i="3" a="1"/>
  <c r="C106" i="3" s="1"/>
  <c r="M106" i="3" s="1" a="1"/>
  <c r="M106" i="3" s="1"/>
  <c r="D106" i="3" a="1"/>
  <c r="D106" i="3" s="1"/>
  <c r="N106" i="3" s="1" a="1"/>
  <c r="N106" i="3" s="1"/>
  <c r="E106" i="3" a="1"/>
  <c r="E106" i="3" s="1"/>
  <c r="O106" i="3" s="1" a="1"/>
  <c r="O106" i="3" s="1"/>
  <c r="F106" i="3" a="1"/>
  <c r="F106" i="3" s="1"/>
  <c r="P106" i="3" s="1" a="1"/>
  <c r="P106" i="3" s="1"/>
  <c r="G106" i="3" a="1"/>
  <c r="G106" i="3" s="1"/>
  <c r="Q106" i="3" s="1" a="1"/>
  <c r="Q106" i="3" s="1"/>
  <c r="H106" i="3" a="1"/>
  <c r="H106" i="3" s="1"/>
  <c r="R106" i="3" s="1" a="1"/>
  <c r="R106" i="3" s="1"/>
  <c r="S106" i="3" s="1" a="1"/>
  <c r="S106" i="3" s="1"/>
  <c r="J106" i="3" a="1"/>
  <c r="J106" i="3" s="1"/>
  <c r="U106" i="3" s="1" a="1"/>
  <c r="U106" i="3" s="1"/>
  <c r="I106" i="3" a="1"/>
  <c r="I106" i="3" s="1"/>
  <c r="T106" i="3" s="1" a="1"/>
  <c r="T106" i="3" s="1"/>
  <c r="K106" i="3" a="1"/>
  <c r="K106" i="3" s="1"/>
  <c r="V106" i="3" s="1" a="1"/>
  <c r="V106" i="3" s="1"/>
  <c r="B102" i="3" a="1"/>
  <c r="B102" i="3" s="1"/>
  <c r="L102" i="3" s="1" a="1"/>
  <c r="L102" i="3" s="1"/>
  <c r="C102" i="3" a="1"/>
  <c r="C102" i="3" s="1"/>
  <c r="M102" i="3" s="1" a="1"/>
  <c r="M102" i="3" s="1"/>
  <c r="D102" i="3" a="1"/>
  <c r="D102" i="3" s="1"/>
  <c r="N102" i="3" s="1" a="1"/>
  <c r="N102" i="3" s="1"/>
  <c r="E102" i="3" a="1"/>
  <c r="E102" i="3" s="1"/>
  <c r="O102" i="3" s="1" a="1"/>
  <c r="O102" i="3" s="1"/>
  <c r="F102" i="3" a="1"/>
  <c r="F102" i="3" s="1"/>
  <c r="P102" i="3" s="1" a="1"/>
  <c r="P102" i="3" s="1"/>
  <c r="G102" i="3" a="1"/>
  <c r="G102" i="3" s="1"/>
  <c r="Q102" i="3" s="1" a="1"/>
  <c r="Q102" i="3" s="1"/>
  <c r="H102" i="3" a="1"/>
  <c r="H102" i="3" s="1"/>
  <c r="R102" i="3" s="1" a="1"/>
  <c r="R102" i="3" s="1"/>
  <c r="S102" i="3" s="1" a="1"/>
  <c r="S102" i="3" s="1"/>
  <c r="J102" i="3" a="1"/>
  <c r="J102" i="3" s="1"/>
  <c r="U102" i="3" s="1" a="1"/>
  <c r="U102" i="3" s="1"/>
  <c r="I102" i="3" a="1"/>
  <c r="I102" i="3" s="1"/>
  <c r="T102" i="3" s="1" a="1"/>
  <c r="T102" i="3" s="1"/>
  <c r="K102" i="3" a="1"/>
  <c r="K102" i="3" s="1"/>
  <c r="V102" i="3" s="1" a="1"/>
  <c r="V102" i="3" s="1"/>
  <c r="B98" i="3" a="1"/>
  <c r="B98" i="3" s="1"/>
  <c r="L98" i="3" s="1" a="1"/>
  <c r="L98" i="3" s="1"/>
  <c r="C98" i="3" a="1"/>
  <c r="C98" i="3" s="1"/>
  <c r="M98" i="3" s="1" a="1"/>
  <c r="M98" i="3" s="1"/>
  <c r="D98" i="3" a="1"/>
  <c r="D98" i="3" s="1"/>
  <c r="N98" i="3" s="1" a="1"/>
  <c r="N98" i="3" s="1"/>
  <c r="E98" i="3" a="1"/>
  <c r="E98" i="3" s="1"/>
  <c r="O98" i="3" s="1" a="1"/>
  <c r="O98" i="3" s="1"/>
  <c r="F98" i="3" a="1"/>
  <c r="F98" i="3" s="1"/>
  <c r="P98" i="3" s="1" a="1"/>
  <c r="P98" i="3" s="1"/>
  <c r="G98" i="3" a="1"/>
  <c r="G98" i="3" s="1"/>
  <c r="Q98" i="3" s="1" a="1"/>
  <c r="Q98" i="3" s="1"/>
  <c r="H98" i="3" a="1"/>
  <c r="H98" i="3" s="1"/>
  <c r="R98" i="3" s="1" a="1"/>
  <c r="R98" i="3" s="1"/>
  <c r="S98" i="3" s="1" a="1"/>
  <c r="S98" i="3" s="1"/>
  <c r="J98" i="3" a="1"/>
  <c r="J98" i="3" s="1"/>
  <c r="U98" i="3" s="1" a="1"/>
  <c r="U98" i="3" s="1"/>
  <c r="I98" i="3" a="1"/>
  <c r="I98" i="3" s="1"/>
  <c r="T98" i="3" s="1" a="1"/>
  <c r="T98" i="3" s="1"/>
  <c r="K98" i="3" a="1"/>
  <c r="K98" i="3" s="1"/>
  <c r="V98" i="3" s="1" a="1"/>
  <c r="V98" i="3" s="1"/>
  <c r="B94" i="3" a="1"/>
  <c r="B94" i="3" s="1"/>
  <c r="L94" i="3" s="1" a="1"/>
  <c r="L94" i="3" s="1"/>
  <c r="C94" i="3" a="1"/>
  <c r="C94" i="3" s="1"/>
  <c r="M94" i="3" s="1" a="1"/>
  <c r="M94" i="3" s="1"/>
  <c r="D94" i="3" a="1"/>
  <c r="D94" i="3" s="1"/>
  <c r="N94" i="3" s="1" a="1"/>
  <c r="N94" i="3" s="1"/>
  <c r="E94" i="3" a="1"/>
  <c r="E94" i="3" s="1"/>
  <c r="O94" i="3" s="1" a="1"/>
  <c r="O94" i="3" s="1"/>
  <c r="F94" i="3" a="1"/>
  <c r="F94" i="3" s="1"/>
  <c r="P94" i="3" s="1" a="1"/>
  <c r="P94" i="3" s="1"/>
  <c r="G94" i="3" a="1"/>
  <c r="G94" i="3" s="1"/>
  <c r="Q94" i="3" s="1" a="1"/>
  <c r="Q94" i="3" s="1"/>
  <c r="H94" i="3" a="1"/>
  <c r="H94" i="3" s="1"/>
  <c r="R94" i="3" s="1" a="1"/>
  <c r="R94" i="3" s="1"/>
  <c r="S94" i="3" s="1" a="1"/>
  <c r="S94" i="3" s="1"/>
  <c r="J94" i="3" a="1"/>
  <c r="J94" i="3" s="1"/>
  <c r="U94" i="3" s="1" a="1"/>
  <c r="U94" i="3" s="1"/>
  <c r="I94" i="3" a="1"/>
  <c r="I94" i="3" s="1"/>
  <c r="T94" i="3" s="1" a="1"/>
  <c r="T94" i="3" s="1"/>
  <c r="K94" i="3" a="1"/>
  <c r="K94" i="3" s="1"/>
  <c r="V94" i="3" s="1" a="1"/>
  <c r="V94" i="3" s="1"/>
  <c r="B90" i="3" a="1"/>
  <c r="B90" i="3" s="1"/>
  <c r="L90" i="3" s="1" a="1"/>
  <c r="L90" i="3" s="1"/>
  <c r="C90" i="3" a="1"/>
  <c r="C90" i="3" s="1"/>
  <c r="M90" i="3" s="1" a="1"/>
  <c r="M90" i="3" s="1"/>
  <c r="D90" i="3" a="1"/>
  <c r="D90" i="3" s="1"/>
  <c r="N90" i="3" s="1" a="1"/>
  <c r="N90" i="3" s="1"/>
  <c r="E90" i="3" a="1"/>
  <c r="E90" i="3" s="1"/>
  <c r="O90" i="3" s="1" a="1"/>
  <c r="O90" i="3" s="1"/>
  <c r="F90" i="3" a="1"/>
  <c r="F90" i="3" s="1"/>
  <c r="P90" i="3" s="1" a="1"/>
  <c r="P90" i="3" s="1"/>
  <c r="G90" i="3" a="1"/>
  <c r="G90" i="3" s="1"/>
  <c r="Q90" i="3" s="1" a="1"/>
  <c r="Q90" i="3" s="1"/>
  <c r="H90" i="3" a="1"/>
  <c r="H90" i="3" s="1"/>
  <c r="R90" i="3" s="1" a="1"/>
  <c r="R90" i="3" s="1"/>
  <c r="S90" i="3" s="1" a="1"/>
  <c r="S90" i="3" s="1"/>
  <c r="J90" i="3" a="1"/>
  <c r="J90" i="3" s="1"/>
  <c r="U90" i="3" s="1" a="1"/>
  <c r="U90" i="3" s="1"/>
  <c r="I90" i="3" a="1"/>
  <c r="I90" i="3" s="1"/>
  <c r="T90" i="3" s="1" a="1"/>
  <c r="T90" i="3" s="1"/>
  <c r="K90" i="3" a="1"/>
  <c r="K90" i="3" s="1"/>
  <c r="V90" i="3" s="1" a="1"/>
  <c r="V90" i="3" s="1"/>
  <c r="B86" i="3" a="1"/>
  <c r="B86" i="3" s="1"/>
  <c r="L86" i="3" s="1" a="1"/>
  <c r="L86" i="3" s="1"/>
  <c r="C86" i="3" a="1"/>
  <c r="C86" i="3" s="1"/>
  <c r="M86" i="3" s="1" a="1"/>
  <c r="M86" i="3" s="1"/>
  <c r="D86" i="3" a="1"/>
  <c r="D86" i="3" s="1"/>
  <c r="N86" i="3" s="1" a="1"/>
  <c r="N86" i="3" s="1"/>
  <c r="E86" i="3" a="1"/>
  <c r="E86" i="3" s="1"/>
  <c r="O86" i="3" s="1" a="1"/>
  <c r="O86" i="3" s="1"/>
  <c r="F86" i="3" a="1"/>
  <c r="F86" i="3" s="1"/>
  <c r="P86" i="3" s="1" a="1"/>
  <c r="P86" i="3" s="1"/>
  <c r="G86" i="3" a="1"/>
  <c r="G86" i="3" s="1"/>
  <c r="Q86" i="3" s="1" a="1"/>
  <c r="Q86" i="3" s="1"/>
  <c r="H86" i="3" a="1"/>
  <c r="H86" i="3" s="1"/>
  <c r="R86" i="3" s="1" a="1"/>
  <c r="R86" i="3" s="1"/>
  <c r="S86" i="3" s="1" a="1"/>
  <c r="S86" i="3" s="1"/>
  <c r="J86" i="3" a="1"/>
  <c r="J86" i="3" s="1"/>
  <c r="U86" i="3" s="1" a="1"/>
  <c r="U86" i="3" s="1"/>
  <c r="I86" i="3" a="1"/>
  <c r="I86" i="3" s="1"/>
  <c r="T86" i="3" s="1" a="1"/>
  <c r="T86" i="3" s="1"/>
  <c r="K86" i="3" a="1"/>
  <c r="K86" i="3" s="1"/>
  <c r="V86" i="3" s="1" a="1"/>
  <c r="V86" i="3" s="1"/>
  <c r="B82" i="3" a="1"/>
  <c r="B82" i="3" s="1"/>
  <c r="L82" i="3" s="1" a="1"/>
  <c r="L82" i="3" s="1"/>
  <c r="C82" i="3" a="1"/>
  <c r="C82" i="3" s="1"/>
  <c r="M82" i="3" s="1" a="1"/>
  <c r="M82" i="3" s="1"/>
  <c r="D82" i="3" a="1"/>
  <c r="D82" i="3" s="1"/>
  <c r="N82" i="3" s="1" a="1"/>
  <c r="N82" i="3" s="1"/>
  <c r="E82" i="3" a="1"/>
  <c r="E82" i="3" s="1"/>
  <c r="O82" i="3" s="1" a="1"/>
  <c r="O82" i="3" s="1"/>
  <c r="F82" i="3" a="1"/>
  <c r="F82" i="3" s="1"/>
  <c r="P82" i="3" s="1" a="1"/>
  <c r="P82" i="3" s="1"/>
  <c r="G82" i="3" a="1"/>
  <c r="G82" i="3" s="1"/>
  <c r="Q82" i="3" s="1" a="1"/>
  <c r="Q82" i="3" s="1"/>
  <c r="H82" i="3" a="1"/>
  <c r="H82" i="3" s="1"/>
  <c r="R82" i="3" s="1" a="1"/>
  <c r="R82" i="3" s="1"/>
  <c r="S82" i="3" s="1" a="1"/>
  <c r="S82" i="3" s="1"/>
  <c r="J82" i="3" a="1"/>
  <c r="J82" i="3" s="1"/>
  <c r="U82" i="3" s="1" a="1"/>
  <c r="U82" i="3" s="1"/>
  <c r="I82" i="3" a="1"/>
  <c r="I82" i="3" s="1"/>
  <c r="T82" i="3" s="1" a="1"/>
  <c r="T82" i="3" s="1"/>
  <c r="K82" i="3" a="1"/>
  <c r="K82" i="3" s="1"/>
  <c r="V82" i="3" s="1" a="1"/>
  <c r="V82" i="3" s="1"/>
  <c r="B78" i="3" a="1"/>
  <c r="B78" i="3" s="1"/>
  <c r="L78" i="3" s="1" a="1"/>
  <c r="L78" i="3" s="1"/>
  <c r="C78" i="3" a="1"/>
  <c r="C78" i="3" s="1"/>
  <c r="M78" i="3" s="1" a="1"/>
  <c r="M78" i="3" s="1"/>
  <c r="D78" i="3" a="1"/>
  <c r="D78" i="3" s="1"/>
  <c r="N78" i="3" s="1" a="1"/>
  <c r="N78" i="3" s="1"/>
  <c r="E78" i="3" a="1"/>
  <c r="E78" i="3" s="1"/>
  <c r="O78" i="3" s="1" a="1"/>
  <c r="O78" i="3" s="1"/>
  <c r="F78" i="3" a="1"/>
  <c r="F78" i="3" s="1"/>
  <c r="P78" i="3" s="1" a="1"/>
  <c r="P78" i="3" s="1"/>
  <c r="G78" i="3" a="1"/>
  <c r="G78" i="3" s="1"/>
  <c r="Q78" i="3" s="1" a="1"/>
  <c r="Q78" i="3" s="1"/>
  <c r="H78" i="3" a="1"/>
  <c r="H78" i="3" s="1"/>
  <c r="R78" i="3" s="1" a="1"/>
  <c r="R78" i="3" s="1"/>
  <c r="S78" i="3" s="1" a="1"/>
  <c r="S78" i="3" s="1"/>
  <c r="J78" i="3" a="1"/>
  <c r="J78" i="3" s="1"/>
  <c r="U78" i="3" s="1" a="1"/>
  <c r="U78" i="3" s="1"/>
  <c r="I78" i="3" a="1"/>
  <c r="I78" i="3" s="1"/>
  <c r="T78" i="3" s="1" a="1"/>
  <c r="T78" i="3" s="1"/>
  <c r="K78" i="3" a="1"/>
  <c r="K78" i="3" s="1"/>
  <c r="V78" i="3" s="1" a="1"/>
  <c r="V78" i="3" s="1"/>
  <c r="B74" i="3" a="1"/>
  <c r="B74" i="3" s="1"/>
  <c r="L74" i="3" s="1" a="1"/>
  <c r="L74" i="3" s="1"/>
  <c r="C74" i="3" a="1"/>
  <c r="C74" i="3" s="1"/>
  <c r="M74" i="3" s="1" a="1"/>
  <c r="M74" i="3" s="1"/>
  <c r="D74" i="3" a="1"/>
  <c r="D74" i="3" s="1"/>
  <c r="N74" i="3" s="1" a="1"/>
  <c r="N74" i="3" s="1"/>
  <c r="E74" i="3" a="1"/>
  <c r="E74" i="3" s="1"/>
  <c r="O74" i="3" s="1" a="1"/>
  <c r="O74" i="3" s="1"/>
  <c r="F74" i="3" a="1"/>
  <c r="F74" i="3" s="1"/>
  <c r="P74" i="3" s="1" a="1"/>
  <c r="P74" i="3" s="1"/>
  <c r="G74" i="3" a="1"/>
  <c r="G74" i="3" s="1"/>
  <c r="Q74" i="3" s="1" a="1"/>
  <c r="Q74" i="3" s="1"/>
  <c r="H74" i="3" a="1"/>
  <c r="H74" i="3" s="1"/>
  <c r="R74" i="3" s="1" a="1"/>
  <c r="R74" i="3" s="1"/>
  <c r="S74" i="3" s="1" a="1"/>
  <c r="S74" i="3" s="1"/>
  <c r="J74" i="3" a="1"/>
  <c r="J74" i="3" s="1"/>
  <c r="U74" i="3" s="1" a="1"/>
  <c r="U74" i="3" s="1"/>
  <c r="I74" i="3" a="1"/>
  <c r="I74" i="3" s="1"/>
  <c r="T74" i="3" s="1" a="1"/>
  <c r="T74" i="3" s="1"/>
  <c r="K74" i="3" a="1"/>
  <c r="K74" i="3" s="1"/>
  <c r="V74" i="3" s="1" a="1"/>
  <c r="V74" i="3" s="1"/>
  <c r="B70" i="3" a="1"/>
  <c r="B70" i="3" s="1"/>
  <c r="L70" i="3" s="1" a="1"/>
  <c r="L70" i="3" s="1"/>
  <c r="C70" i="3" a="1"/>
  <c r="C70" i="3" s="1"/>
  <c r="M70" i="3" s="1" a="1"/>
  <c r="M70" i="3" s="1"/>
  <c r="D70" i="3" a="1"/>
  <c r="D70" i="3" s="1"/>
  <c r="N70" i="3" s="1" a="1"/>
  <c r="N70" i="3" s="1"/>
  <c r="E70" i="3" a="1"/>
  <c r="E70" i="3" s="1"/>
  <c r="O70" i="3" s="1" a="1"/>
  <c r="O70" i="3" s="1"/>
  <c r="F70" i="3" a="1"/>
  <c r="F70" i="3" s="1"/>
  <c r="P70" i="3" s="1" a="1"/>
  <c r="P70" i="3" s="1"/>
  <c r="G70" i="3" a="1"/>
  <c r="G70" i="3" s="1"/>
  <c r="Q70" i="3" s="1" a="1"/>
  <c r="Q70" i="3" s="1"/>
  <c r="H70" i="3" a="1"/>
  <c r="H70" i="3" s="1"/>
  <c r="R70" i="3" s="1" a="1"/>
  <c r="R70" i="3" s="1"/>
  <c r="S70" i="3" s="1" a="1"/>
  <c r="S70" i="3" s="1"/>
  <c r="J70" i="3" a="1"/>
  <c r="J70" i="3" s="1"/>
  <c r="U70" i="3" s="1" a="1"/>
  <c r="U70" i="3" s="1"/>
  <c r="I70" i="3" a="1"/>
  <c r="I70" i="3" s="1"/>
  <c r="T70" i="3" s="1" a="1"/>
  <c r="T70" i="3" s="1"/>
  <c r="K70" i="3" a="1"/>
  <c r="K70" i="3" s="1"/>
  <c r="V70" i="3" s="1" a="1"/>
  <c r="V70" i="3" s="1"/>
  <c r="B66" i="3" a="1"/>
  <c r="B66" i="3" s="1"/>
  <c r="L66" i="3" s="1" a="1"/>
  <c r="L66" i="3" s="1"/>
  <c r="C66" i="3" a="1"/>
  <c r="C66" i="3" s="1"/>
  <c r="M66" i="3" s="1" a="1"/>
  <c r="M66" i="3" s="1"/>
  <c r="D66" i="3" a="1"/>
  <c r="D66" i="3" s="1"/>
  <c r="N66" i="3" s="1" a="1"/>
  <c r="N66" i="3" s="1"/>
  <c r="E66" i="3" a="1"/>
  <c r="E66" i="3" s="1"/>
  <c r="O66" i="3" s="1" a="1"/>
  <c r="O66" i="3" s="1"/>
  <c r="F66" i="3" a="1"/>
  <c r="F66" i="3" s="1"/>
  <c r="P66" i="3" s="1" a="1"/>
  <c r="P66" i="3" s="1"/>
  <c r="G66" i="3" a="1"/>
  <c r="G66" i="3" s="1"/>
  <c r="Q66" i="3" s="1" a="1"/>
  <c r="Q66" i="3" s="1"/>
  <c r="H66" i="3" a="1"/>
  <c r="H66" i="3" s="1"/>
  <c r="R66" i="3" s="1" a="1"/>
  <c r="R66" i="3" s="1"/>
  <c r="S66" i="3" s="1" a="1"/>
  <c r="S66" i="3" s="1"/>
  <c r="J66" i="3" a="1"/>
  <c r="J66" i="3" s="1"/>
  <c r="U66" i="3" s="1" a="1"/>
  <c r="U66" i="3" s="1"/>
  <c r="I66" i="3" a="1"/>
  <c r="I66" i="3" s="1"/>
  <c r="T66" i="3" s="1" a="1"/>
  <c r="T66" i="3" s="1"/>
  <c r="K66" i="3" a="1"/>
  <c r="K66" i="3" s="1"/>
  <c r="V66" i="3" s="1" a="1"/>
  <c r="V66" i="3" s="1"/>
  <c r="B62" i="3" a="1"/>
  <c r="B62" i="3" s="1"/>
  <c r="L62" i="3" s="1" a="1"/>
  <c r="L62" i="3" s="1"/>
  <c r="C62" i="3" a="1"/>
  <c r="C62" i="3" s="1"/>
  <c r="M62" i="3" s="1" a="1"/>
  <c r="M62" i="3" s="1"/>
  <c r="D62" i="3" a="1"/>
  <c r="D62" i="3" s="1"/>
  <c r="N62" i="3" s="1" a="1"/>
  <c r="N62" i="3" s="1"/>
  <c r="E62" i="3" a="1"/>
  <c r="E62" i="3" s="1"/>
  <c r="O62" i="3" s="1" a="1"/>
  <c r="O62" i="3" s="1"/>
  <c r="F62" i="3" a="1"/>
  <c r="F62" i="3" s="1"/>
  <c r="P62" i="3" s="1" a="1"/>
  <c r="P62" i="3" s="1"/>
  <c r="G62" i="3" a="1"/>
  <c r="G62" i="3" s="1"/>
  <c r="Q62" i="3" s="1" a="1"/>
  <c r="Q62" i="3" s="1"/>
  <c r="H62" i="3" a="1"/>
  <c r="H62" i="3" s="1"/>
  <c r="R62" i="3" s="1" a="1"/>
  <c r="R62" i="3" s="1"/>
  <c r="S62" i="3" s="1" a="1"/>
  <c r="S62" i="3" s="1"/>
  <c r="J62" i="3" a="1"/>
  <c r="J62" i="3" s="1"/>
  <c r="U62" i="3" s="1" a="1"/>
  <c r="U62" i="3" s="1"/>
  <c r="I62" i="3" a="1"/>
  <c r="I62" i="3" s="1"/>
  <c r="T62" i="3" s="1" a="1"/>
  <c r="T62" i="3" s="1"/>
  <c r="K62" i="3" a="1"/>
  <c r="K62" i="3" s="1"/>
  <c r="V62" i="3" s="1" a="1"/>
  <c r="V62" i="3" s="1"/>
  <c r="B58" i="3" a="1"/>
  <c r="B58" i="3" s="1"/>
  <c r="L58" i="3" s="1" a="1"/>
  <c r="L58" i="3" s="1"/>
  <c r="C58" i="3" a="1"/>
  <c r="C58" i="3" s="1"/>
  <c r="M58" i="3" s="1" a="1"/>
  <c r="M58" i="3" s="1"/>
  <c r="D58" i="3" a="1"/>
  <c r="D58" i="3" s="1"/>
  <c r="N58" i="3" s="1" a="1"/>
  <c r="N58" i="3" s="1"/>
  <c r="E58" i="3" a="1"/>
  <c r="E58" i="3" s="1"/>
  <c r="O58" i="3" s="1" a="1"/>
  <c r="O58" i="3" s="1"/>
  <c r="F58" i="3" a="1"/>
  <c r="F58" i="3" s="1"/>
  <c r="P58" i="3" s="1" a="1"/>
  <c r="P58" i="3" s="1"/>
  <c r="G58" i="3" a="1"/>
  <c r="G58" i="3" s="1"/>
  <c r="Q58" i="3" s="1" a="1"/>
  <c r="Q58" i="3" s="1"/>
  <c r="H58" i="3" a="1"/>
  <c r="H58" i="3" s="1"/>
  <c r="R58" i="3" s="1" a="1"/>
  <c r="R58" i="3" s="1"/>
  <c r="S58" i="3" s="1" a="1"/>
  <c r="S58" i="3" s="1"/>
  <c r="J58" i="3" a="1"/>
  <c r="J58" i="3" s="1"/>
  <c r="U58" i="3" s="1" a="1"/>
  <c r="U58" i="3" s="1"/>
  <c r="I58" i="3" a="1"/>
  <c r="I58" i="3" s="1"/>
  <c r="T58" i="3" s="1" a="1"/>
  <c r="T58" i="3" s="1"/>
  <c r="K58" i="3" a="1"/>
  <c r="K58" i="3" s="1"/>
  <c r="V58" i="3" s="1" a="1"/>
  <c r="V58" i="3" s="1"/>
  <c r="B54" i="3" a="1"/>
  <c r="B54" i="3" s="1"/>
  <c r="L54" i="3" s="1" a="1"/>
  <c r="L54" i="3" s="1"/>
  <c r="C54" i="3" a="1"/>
  <c r="C54" i="3" s="1"/>
  <c r="M54" i="3" s="1" a="1"/>
  <c r="M54" i="3" s="1"/>
  <c r="D54" i="3" a="1"/>
  <c r="D54" i="3" s="1"/>
  <c r="N54" i="3" s="1" a="1"/>
  <c r="N54" i="3" s="1"/>
  <c r="E54" i="3" a="1"/>
  <c r="E54" i="3" s="1"/>
  <c r="O54" i="3" s="1" a="1"/>
  <c r="O54" i="3" s="1"/>
  <c r="F54" i="3" a="1"/>
  <c r="F54" i="3" s="1"/>
  <c r="P54" i="3" s="1" a="1"/>
  <c r="P54" i="3" s="1"/>
  <c r="G54" i="3" a="1"/>
  <c r="G54" i="3" s="1"/>
  <c r="Q54" i="3" s="1" a="1"/>
  <c r="Q54" i="3" s="1"/>
  <c r="H54" i="3" a="1"/>
  <c r="H54" i="3" s="1"/>
  <c r="R54" i="3" s="1" a="1"/>
  <c r="R54" i="3" s="1"/>
  <c r="S54" i="3" s="1" a="1"/>
  <c r="S54" i="3" s="1"/>
  <c r="J54" i="3" a="1"/>
  <c r="J54" i="3" s="1"/>
  <c r="U54" i="3" s="1" a="1"/>
  <c r="U54" i="3" s="1"/>
  <c r="I54" i="3" a="1"/>
  <c r="I54" i="3" s="1"/>
  <c r="T54" i="3" s="1" a="1"/>
  <c r="T54" i="3" s="1"/>
  <c r="K54" i="3" a="1"/>
  <c r="K54" i="3" s="1"/>
  <c r="V54" i="3" s="1" a="1"/>
  <c r="V54" i="3" s="1"/>
  <c r="B50" i="3" a="1"/>
  <c r="B50" i="3" s="1"/>
  <c r="L50" i="3" s="1" a="1"/>
  <c r="L50" i="3" s="1"/>
  <c r="C50" i="3" a="1"/>
  <c r="C50" i="3" s="1"/>
  <c r="M50" i="3" s="1" a="1"/>
  <c r="M50" i="3" s="1"/>
  <c r="D50" i="3" a="1"/>
  <c r="D50" i="3" s="1"/>
  <c r="N50" i="3" s="1" a="1"/>
  <c r="N50" i="3" s="1"/>
  <c r="E50" i="3" a="1"/>
  <c r="E50" i="3" s="1"/>
  <c r="O50" i="3" s="1" a="1"/>
  <c r="O50" i="3" s="1"/>
  <c r="F50" i="3" a="1"/>
  <c r="F50" i="3" s="1"/>
  <c r="P50" i="3" s="1" a="1"/>
  <c r="P50" i="3" s="1"/>
  <c r="G50" i="3" a="1"/>
  <c r="G50" i="3" s="1"/>
  <c r="Q50" i="3" s="1" a="1"/>
  <c r="Q50" i="3" s="1"/>
  <c r="H50" i="3" a="1"/>
  <c r="H50" i="3" s="1"/>
  <c r="R50" i="3" s="1" a="1"/>
  <c r="R50" i="3" s="1"/>
  <c r="S50" i="3" s="1" a="1"/>
  <c r="S50" i="3" s="1"/>
  <c r="J50" i="3" a="1"/>
  <c r="J50" i="3" s="1"/>
  <c r="U50" i="3" s="1" a="1"/>
  <c r="U50" i="3" s="1"/>
  <c r="I50" i="3" a="1"/>
  <c r="I50" i="3" s="1"/>
  <c r="T50" i="3" s="1" a="1"/>
  <c r="T50" i="3" s="1"/>
  <c r="K50" i="3" a="1"/>
  <c r="K50" i="3" s="1"/>
  <c r="V50" i="3" s="1" a="1"/>
  <c r="V50" i="3" s="1"/>
  <c r="B46" i="3" a="1"/>
  <c r="B46" i="3" s="1"/>
  <c r="L46" i="3" s="1" a="1"/>
  <c r="L46" i="3" s="1"/>
  <c r="C46" i="3" a="1"/>
  <c r="C46" i="3" s="1"/>
  <c r="M46" i="3" s="1" a="1"/>
  <c r="M46" i="3" s="1"/>
  <c r="D46" i="3" a="1"/>
  <c r="D46" i="3" s="1"/>
  <c r="N46" i="3" s="1" a="1"/>
  <c r="N46" i="3" s="1"/>
  <c r="E46" i="3" a="1"/>
  <c r="E46" i="3" s="1"/>
  <c r="O46" i="3" s="1" a="1"/>
  <c r="O46" i="3" s="1"/>
  <c r="F46" i="3" a="1"/>
  <c r="F46" i="3" s="1"/>
  <c r="P46" i="3" s="1" a="1"/>
  <c r="P46" i="3" s="1"/>
  <c r="G46" i="3" a="1"/>
  <c r="G46" i="3" s="1"/>
  <c r="Q46" i="3" s="1" a="1"/>
  <c r="Q46" i="3" s="1"/>
  <c r="H46" i="3" a="1"/>
  <c r="H46" i="3" s="1"/>
  <c r="R46" i="3" s="1" a="1"/>
  <c r="R46" i="3" s="1"/>
  <c r="S46" i="3" s="1" a="1"/>
  <c r="S46" i="3" s="1"/>
  <c r="J46" i="3" a="1"/>
  <c r="J46" i="3" s="1"/>
  <c r="U46" i="3" s="1" a="1"/>
  <c r="U46" i="3" s="1"/>
  <c r="I46" i="3" a="1"/>
  <c r="I46" i="3" s="1"/>
  <c r="T46" i="3" s="1" a="1"/>
  <c r="T46" i="3" s="1"/>
  <c r="K46" i="3" a="1"/>
  <c r="K46" i="3" s="1"/>
  <c r="V46" i="3" s="1" a="1"/>
  <c r="V46" i="3" s="1"/>
  <c r="B42" i="3" a="1"/>
  <c r="B42" i="3" s="1"/>
  <c r="L42" i="3" s="1" a="1"/>
  <c r="L42" i="3" s="1"/>
  <c r="C42" i="3" a="1"/>
  <c r="C42" i="3" s="1"/>
  <c r="M42" i="3" s="1" a="1"/>
  <c r="M42" i="3" s="1"/>
  <c r="D42" i="3" a="1"/>
  <c r="D42" i="3" s="1"/>
  <c r="N42" i="3" s="1" a="1"/>
  <c r="N42" i="3" s="1"/>
  <c r="E42" i="3" a="1"/>
  <c r="E42" i="3" s="1"/>
  <c r="O42" i="3" s="1" a="1"/>
  <c r="O42" i="3" s="1"/>
  <c r="F42" i="3" a="1"/>
  <c r="F42" i="3" s="1"/>
  <c r="P42" i="3" s="1" a="1"/>
  <c r="P42" i="3" s="1"/>
  <c r="G42" i="3" a="1"/>
  <c r="G42" i="3" s="1"/>
  <c r="Q42" i="3" s="1" a="1"/>
  <c r="Q42" i="3" s="1"/>
  <c r="H42" i="3" a="1"/>
  <c r="H42" i="3" s="1"/>
  <c r="R42" i="3" s="1" a="1"/>
  <c r="R42" i="3" s="1"/>
  <c r="S42" i="3" s="1" a="1"/>
  <c r="S42" i="3" s="1"/>
  <c r="J42" i="3" a="1"/>
  <c r="J42" i="3" s="1"/>
  <c r="U42" i="3" s="1" a="1"/>
  <c r="U42" i="3" s="1"/>
  <c r="I42" i="3" a="1"/>
  <c r="I42" i="3" s="1"/>
  <c r="T42" i="3" s="1" a="1"/>
  <c r="T42" i="3" s="1"/>
  <c r="K42" i="3" a="1"/>
  <c r="K42" i="3" s="1"/>
  <c r="V42" i="3" s="1" a="1"/>
  <c r="V42" i="3" s="1"/>
  <c r="B38" i="3" a="1"/>
  <c r="B38" i="3" s="1"/>
  <c r="L38" i="3" s="1" a="1"/>
  <c r="L38" i="3" s="1"/>
  <c r="C38" i="3" a="1"/>
  <c r="C38" i="3" s="1"/>
  <c r="M38" i="3" s="1" a="1"/>
  <c r="M38" i="3" s="1"/>
  <c r="D38" i="3" a="1"/>
  <c r="D38" i="3" s="1"/>
  <c r="N38" i="3" s="1" a="1"/>
  <c r="N38" i="3" s="1"/>
  <c r="E38" i="3" a="1"/>
  <c r="E38" i="3" s="1"/>
  <c r="O38" i="3" s="1" a="1"/>
  <c r="O38" i="3" s="1"/>
  <c r="F38" i="3" a="1"/>
  <c r="F38" i="3" s="1"/>
  <c r="P38" i="3" s="1" a="1"/>
  <c r="P38" i="3" s="1"/>
  <c r="G38" i="3" a="1"/>
  <c r="G38" i="3" s="1"/>
  <c r="Q38" i="3" s="1" a="1"/>
  <c r="Q38" i="3" s="1"/>
  <c r="H38" i="3" a="1"/>
  <c r="H38" i="3" s="1"/>
  <c r="R38" i="3" s="1" a="1"/>
  <c r="R38" i="3" s="1"/>
  <c r="S38" i="3" s="1" a="1"/>
  <c r="S38" i="3" s="1"/>
  <c r="J38" i="3" a="1"/>
  <c r="J38" i="3" s="1"/>
  <c r="U38" i="3" s="1" a="1"/>
  <c r="U38" i="3" s="1"/>
  <c r="I38" i="3" a="1"/>
  <c r="I38" i="3" s="1"/>
  <c r="T38" i="3" s="1" a="1"/>
  <c r="T38" i="3" s="1"/>
  <c r="K38" i="3" a="1"/>
  <c r="K38" i="3" s="1"/>
  <c r="V38" i="3" s="1" a="1"/>
  <c r="V38" i="3" s="1"/>
  <c r="B34" i="3" a="1"/>
  <c r="B34" i="3" s="1"/>
  <c r="L34" i="3" s="1" a="1"/>
  <c r="L34" i="3" s="1"/>
  <c r="C34" i="3" a="1"/>
  <c r="C34" i="3" s="1"/>
  <c r="M34" i="3" s="1" a="1"/>
  <c r="M34" i="3" s="1"/>
  <c r="D34" i="3" a="1"/>
  <c r="D34" i="3" s="1"/>
  <c r="N34" i="3" s="1" a="1"/>
  <c r="N34" i="3" s="1"/>
  <c r="E34" i="3" a="1"/>
  <c r="E34" i="3" s="1"/>
  <c r="O34" i="3" s="1" a="1"/>
  <c r="O34" i="3" s="1"/>
  <c r="F34" i="3" a="1"/>
  <c r="F34" i="3" s="1"/>
  <c r="P34" i="3" s="1" a="1"/>
  <c r="P34" i="3" s="1"/>
  <c r="G34" i="3" a="1"/>
  <c r="G34" i="3" s="1"/>
  <c r="Q34" i="3" s="1" a="1"/>
  <c r="Q34" i="3" s="1"/>
  <c r="H34" i="3" a="1"/>
  <c r="H34" i="3" s="1"/>
  <c r="R34" i="3" s="1" a="1"/>
  <c r="R34" i="3" s="1"/>
  <c r="S34" i="3" s="1" a="1"/>
  <c r="S34" i="3" s="1"/>
  <c r="J34" i="3" a="1"/>
  <c r="J34" i="3" s="1"/>
  <c r="U34" i="3" s="1" a="1"/>
  <c r="U34" i="3" s="1"/>
  <c r="I34" i="3" a="1"/>
  <c r="I34" i="3" s="1"/>
  <c r="T34" i="3" s="1" a="1"/>
  <c r="T34" i="3" s="1"/>
  <c r="K34" i="3" a="1"/>
  <c r="K34" i="3" s="1"/>
  <c r="V34" i="3" s="1" a="1"/>
  <c r="V34" i="3" s="1"/>
  <c r="B30" i="3" a="1"/>
  <c r="B30" i="3" s="1"/>
  <c r="L30" i="3" s="1" a="1"/>
  <c r="L30" i="3" s="1"/>
  <c r="C30" i="3" a="1"/>
  <c r="C30" i="3" s="1"/>
  <c r="M30" i="3" s="1" a="1"/>
  <c r="M30" i="3" s="1"/>
  <c r="D30" i="3" a="1"/>
  <c r="D30" i="3" s="1"/>
  <c r="N30" i="3" s="1" a="1"/>
  <c r="N30" i="3" s="1"/>
  <c r="E30" i="3" a="1"/>
  <c r="E30" i="3" s="1"/>
  <c r="O30" i="3" s="1" a="1"/>
  <c r="O30" i="3" s="1"/>
  <c r="F30" i="3" a="1"/>
  <c r="F30" i="3" s="1"/>
  <c r="P30" i="3" s="1" a="1"/>
  <c r="P30" i="3" s="1"/>
  <c r="G30" i="3" a="1"/>
  <c r="G30" i="3" s="1"/>
  <c r="Q30" i="3" s="1" a="1"/>
  <c r="Q30" i="3" s="1"/>
  <c r="H30" i="3" a="1"/>
  <c r="H30" i="3" s="1"/>
  <c r="R30" i="3" s="1" a="1"/>
  <c r="R30" i="3" s="1"/>
  <c r="S30" i="3" s="1" a="1"/>
  <c r="S30" i="3" s="1"/>
  <c r="J30" i="3" a="1"/>
  <c r="J30" i="3" s="1"/>
  <c r="U30" i="3" s="1" a="1"/>
  <c r="U30" i="3" s="1"/>
  <c r="I30" i="3" a="1"/>
  <c r="I30" i="3" s="1"/>
  <c r="T30" i="3" s="1" a="1"/>
  <c r="T30" i="3" s="1"/>
  <c r="K30" i="3" a="1"/>
  <c r="K30" i="3" s="1"/>
  <c r="V30" i="3" s="1" a="1"/>
  <c r="V30" i="3" s="1"/>
  <c r="B26" i="3" a="1"/>
  <c r="B26" i="3" s="1"/>
  <c r="L26" i="3" s="1" a="1"/>
  <c r="L26" i="3" s="1"/>
  <c r="C26" i="3" a="1"/>
  <c r="C26" i="3" s="1"/>
  <c r="M26" i="3" s="1" a="1"/>
  <c r="M26" i="3" s="1"/>
  <c r="D26" i="3" a="1"/>
  <c r="D26" i="3" s="1"/>
  <c r="N26" i="3" s="1" a="1"/>
  <c r="N26" i="3" s="1"/>
  <c r="E26" i="3" a="1"/>
  <c r="E26" i="3" s="1"/>
  <c r="O26" i="3" s="1" a="1"/>
  <c r="O26" i="3" s="1"/>
  <c r="F26" i="3" a="1"/>
  <c r="F26" i="3" s="1"/>
  <c r="P26" i="3" s="1" a="1"/>
  <c r="P26" i="3" s="1"/>
  <c r="G26" i="3" a="1"/>
  <c r="G26" i="3" s="1"/>
  <c r="Q26" i="3" s="1" a="1"/>
  <c r="Q26" i="3" s="1"/>
  <c r="H26" i="3" a="1"/>
  <c r="H26" i="3" s="1"/>
  <c r="R26" i="3" s="1" a="1"/>
  <c r="R26" i="3" s="1"/>
  <c r="S26" i="3" s="1" a="1"/>
  <c r="S26" i="3" s="1"/>
  <c r="J26" i="3" a="1"/>
  <c r="J26" i="3" s="1"/>
  <c r="U26" i="3" s="1" a="1"/>
  <c r="U26" i="3" s="1"/>
  <c r="I26" i="3" a="1"/>
  <c r="I26" i="3" s="1"/>
  <c r="T26" i="3" s="1" a="1"/>
  <c r="T26" i="3" s="1"/>
  <c r="K26" i="3" a="1"/>
  <c r="K26" i="3" s="1"/>
  <c r="V26" i="3" s="1" a="1"/>
  <c r="V26" i="3" s="1"/>
  <c r="B22" i="3" a="1"/>
  <c r="B22" i="3" s="1"/>
  <c r="L22" i="3" s="1" a="1"/>
  <c r="L22" i="3" s="1"/>
  <c r="C22" i="3" a="1"/>
  <c r="C22" i="3" s="1"/>
  <c r="M22" i="3" s="1" a="1"/>
  <c r="M22" i="3" s="1"/>
  <c r="D22" i="3" a="1"/>
  <c r="D22" i="3" s="1"/>
  <c r="N22" i="3" s="1" a="1"/>
  <c r="N22" i="3" s="1"/>
  <c r="E22" i="3" a="1"/>
  <c r="E22" i="3" s="1"/>
  <c r="O22" i="3" s="1" a="1"/>
  <c r="O22" i="3" s="1"/>
  <c r="F22" i="3" a="1"/>
  <c r="F22" i="3" s="1"/>
  <c r="P22" i="3" s="1" a="1"/>
  <c r="P22" i="3" s="1"/>
  <c r="G22" i="3" a="1"/>
  <c r="G22" i="3" s="1"/>
  <c r="Q22" i="3" s="1" a="1"/>
  <c r="Q22" i="3" s="1"/>
  <c r="H22" i="3" a="1"/>
  <c r="H22" i="3" s="1"/>
  <c r="R22" i="3" s="1" a="1"/>
  <c r="R22" i="3" s="1"/>
  <c r="S22" i="3" s="1" a="1"/>
  <c r="S22" i="3" s="1"/>
  <c r="J22" i="3" a="1"/>
  <c r="J22" i="3" s="1"/>
  <c r="U22" i="3" s="1" a="1"/>
  <c r="U22" i="3" s="1"/>
  <c r="I22" i="3" a="1"/>
  <c r="I22" i="3" s="1"/>
  <c r="T22" i="3" s="1" a="1"/>
  <c r="T22" i="3" s="1"/>
  <c r="K22" i="3" a="1"/>
  <c r="K22" i="3" s="1"/>
  <c r="V22" i="3" s="1" a="1"/>
  <c r="V22" i="3" s="1"/>
  <c r="B18" i="3" a="1"/>
  <c r="B18" i="3" s="1"/>
  <c r="L18" i="3" s="1" a="1"/>
  <c r="L18" i="3" s="1"/>
  <c r="C18" i="3" a="1"/>
  <c r="C18" i="3" s="1"/>
  <c r="M18" i="3" s="1" a="1"/>
  <c r="M18" i="3" s="1"/>
  <c r="D18" i="3" a="1"/>
  <c r="D18" i="3" s="1"/>
  <c r="N18" i="3" s="1" a="1"/>
  <c r="N18" i="3" s="1"/>
  <c r="E18" i="3" a="1"/>
  <c r="E18" i="3" s="1"/>
  <c r="O18" i="3" s="1" a="1"/>
  <c r="O18" i="3" s="1"/>
  <c r="F18" i="3" a="1"/>
  <c r="F18" i="3" s="1"/>
  <c r="P18" i="3" s="1" a="1"/>
  <c r="P18" i="3" s="1"/>
  <c r="G18" i="3" a="1"/>
  <c r="G18" i="3" s="1"/>
  <c r="Q18" i="3" s="1" a="1"/>
  <c r="Q18" i="3" s="1"/>
  <c r="H18" i="3" a="1"/>
  <c r="H18" i="3" s="1"/>
  <c r="R18" i="3" s="1" a="1"/>
  <c r="R18" i="3" s="1"/>
  <c r="S18" i="3" s="1" a="1"/>
  <c r="S18" i="3" s="1"/>
  <c r="J18" i="3" a="1"/>
  <c r="J18" i="3" s="1"/>
  <c r="U18" i="3" s="1" a="1"/>
  <c r="U18" i="3" s="1"/>
  <c r="I18" i="3" a="1"/>
  <c r="I18" i="3" s="1"/>
  <c r="T18" i="3" s="1" a="1"/>
  <c r="T18" i="3" s="1"/>
  <c r="K18" i="3" a="1"/>
  <c r="K18" i="3" s="1"/>
  <c r="V18" i="3" s="1" a="1"/>
  <c r="V18" i="3" s="1"/>
  <c r="B14" i="3" a="1"/>
  <c r="B14" i="3" s="1"/>
  <c r="L14" i="3" s="1" a="1"/>
  <c r="L14" i="3" s="1"/>
  <c r="C14" i="3" a="1"/>
  <c r="C14" i="3" s="1"/>
  <c r="M14" i="3" s="1" a="1"/>
  <c r="M14" i="3" s="1"/>
  <c r="D14" i="3" a="1"/>
  <c r="D14" i="3" s="1"/>
  <c r="N14" i="3" s="1" a="1"/>
  <c r="N14" i="3" s="1"/>
  <c r="E14" i="3" a="1"/>
  <c r="E14" i="3" s="1"/>
  <c r="O14" i="3" s="1" a="1"/>
  <c r="O14" i="3" s="1"/>
  <c r="F14" i="3" a="1"/>
  <c r="F14" i="3" s="1"/>
  <c r="P14" i="3" s="1" a="1"/>
  <c r="P14" i="3" s="1"/>
  <c r="G14" i="3" a="1"/>
  <c r="G14" i="3" s="1"/>
  <c r="Q14" i="3" s="1" a="1"/>
  <c r="Q14" i="3" s="1"/>
  <c r="H14" i="3" a="1"/>
  <c r="H14" i="3" s="1"/>
  <c r="R14" i="3" s="1" a="1"/>
  <c r="R14" i="3" s="1"/>
  <c r="S14" i="3" s="1" a="1"/>
  <c r="S14" i="3" s="1"/>
  <c r="J14" i="3" a="1"/>
  <c r="J14" i="3" s="1"/>
  <c r="U14" i="3" s="1" a="1"/>
  <c r="U14" i="3" s="1"/>
  <c r="I14" i="3" a="1"/>
  <c r="I14" i="3" s="1"/>
  <c r="T14" i="3" s="1" a="1"/>
  <c r="T14" i="3" s="1"/>
  <c r="K14" i="3" a="1"/>
  <c r="K14" i="3" s="1"/>
  <c r="V14" i="3" s="1" a="1"/>
  <c r="V14" i="3" s="1"/>
  <c r="B10" i="3" a="1"/>
  <c r="B10" i="3" s="1"/>
  <c r="L10" i="3" s="1" a="1"/>
  <c r="L10" i="3" s="1"/>
  <c r="C10" i="3" a="1"/>
  <c r="C10" i="3" s="1"/>
  <c r="M10" i="3" s="1" a="1"/>
  <c r="M10" i="3" s="1"/>
  <c r="D10" i="3" a="1"/>
  <c r="D10" i="3" s="1"/>
  <c r="N10" i="3" s="1" a="1"/>
  <c r="N10" i="3" s="1"/>
  <c r="E10" i="3" a="1"/>
  <c r="E10" i="3" s="1"/>
  <c r="O10" i="3" s="1" a="1"/>
  <c r="O10" i="3" s="1"/>
  <c r="F10" i="3" a="1"/>
  <c r="F10" i="3" s="1"/>
  <c r="P10" i="3" s="1" a="1"/>
  <c r="P10" i="3" s="1"/>
  <c r="G10" i="3" a="1"/>
  <c r="G10" i="3" s="1"/>
  <c r="Q10" i="3" s="1" a="1"/>
  <c r="Q10" i="3" s="1"/>
  <c r="H10" i="3" a="1"/>
  <c r="H10" i="3" s="1"/>
  <c r="R10" i="3" s="1" a="1"/>
  <c r="R10" i="3" s="1"/>
  <c r="S10" i="3" s="1" a="1"/>
  <c r="S10" i="3" s="1"/>
  <c r="J10" i="3" a="1"/>
  <c r="J10" i="3" s="1"/>
  <c r="U10" i="3" s="1" a="1"/>
  <c r="U10" i="3" s="1"/>
  <c r="I10" i="3" a="1"/>
  <c r="I10" i="3" s="1"/>
  <c r="T10" i="3" s="1" a="1"/>
  <c r="T10" i="3" s="1"/>
  <c r="K10" i="3" a="1"/>
  <c r="K10" i="3" s="1"/>
  <c r="V10" i="3" s="1" a="1"/>
  <c r="V10" i="3" s="1"/>
  <c r="B6" i="3" a="1"/>
  <c r="B6" i="3" s="1"/>
  <c r="L6" i="3" s="1" a="1"/>
  <c r="L6" i="3" s="1"/>
  <c r="C6" i="3" a="1"/>
  <c r="C6" i="3" s="1"/>
  <c r="M6" i="3" s="1" a="1"/>
  <c r="M6" i="3" s="1"/>
  <c r="D6" i="3" a="1"/>
  <c r="D6" i="3" s="1"/>
  <c r="N6" i="3" s="1" a="1"/>
  <c r="N6" i="3" s="1"/>
  <c r="E6" i="3" a="1"/>
  <c r="E6" i="3" s="1"/>
  <c r="O6" i="3" s="1" a="1"/>
  <c r="O6" i="3" s="1"/>
  <c r="F6" i="3" a="1"/>
  <c r="F6" i="3" s="1"/>
  <c r="P6" i="3" s="1" a="1"/>
  <c r="P6" i="3" s="1"/>
  <c r="G6" i="3" a="1"/>
  <c r="G6" i="3" s="1"/>
  <c r="Q6" i="3" s="1" a="1"/>
  <c r="Q6" i="3" s="1"/>
  <c r="H6" i="3" a="1"/>
  <c r="H6" i="3" s="1"/>
  <c r="R6" i="3" s="1" a="1"/>
  <c r="R6" i="3" s="1"/>
  <c r="S6" i="3" s="1" a="1"/>
  <c r="S6" i="3" s="1"/>
  <c r="J6" i="3" a="1"/>
  <c r="J6" i="3" s="1"/>
  <c r="U6" i="3" s="1" a="1"/>
  <c r="U6" i="3" s="1"/>
  <c r="I6" i="3" a="1"/>
  <c r="I6" i="3" s="1"/>
  <c r="T6" i="3" s="1" a="1"/>
  <c r="T6" i="3" s="1"/>
  <c r="K6" i="3" a="1"/>
  <c r="K6" i="3" s="1"/>
  <c r="V6" i="3" s="1" a="1"/>
  <c r="V6" i="3" s="1"/>
  <c r="B2" i="3" a="1"/>
  <c r="B2" i="3" s="1"/>
  <c r="L2" i="3" s="1" a="1"/>
  <c r="L2" i="3" s="1"/>
  <c r="C2" i="3" a="1"/>
  <c r="C2" i="3" s="1"/>
  <c r="M2" i="3" s="1" a="1"/>
  <c r="M2" i="3" s="1"/>
  <c r="D2" i="3" a="1"/>
  <c r="D2" i="3" s="1"/>
  <c r="N2" i="3" s="1" a="1"/>
  <c r="N2" i="3" s="1"/>
  <c r="E2" i="3" a="1"/>
  <c r="E2" i="3" s="1"/>
  <c r="O2" i="3" s="1" a="1"/>
  <c r="O2" i="3" s="1"/>
  <c r="F2" i="3" a="1"/>
  <c r="F2" i="3" s="1"/>
  <c r="P2" i="3" s="1" a="1"/>
  <c r="P2" i="3" s="1"/>
  <c r="G2" i="3" a="1"/>
  <c r="G2" i="3" s="1"/>
  <c r="Q2" i="3" s="1" a="1"/>
  <c r="Q2" i="3" s="1"/>
  <c r="H2" i="3" a="1"/>
  <c r="H2" i="3" s="1"/>
  <c r="R2" i="3" s="1" a="1"/>
  <c r="R2" i="3" s="1"/>
  <c r="S2" i="3" s="1" a="1"/>
  <c r="S2" i="3" s="1"/>
  <c r="J2" i="3" a="1"/>
  <c r="J2" i="3" s="1"/>
  <c r="U2" i="3" s="1" a="1"/>
  <c r="U2" i="3" s="1"/>
  <c r="I2" i="3" a="1"/>
  <c r="I2" i="3" s="1"/>
  <c r="T2" i="3" s="1" a="1"/>
  <c r="T2" i="3" s="1"/>
  <c r="K2" i="3" a="1"/>
  <c r="K2" i="3" s="1"/>
  <c r="V2" i="3" s="1" a="1"/>
  <c r="V2" i="3" s="1"/>
  <c r="B289" i="3" a="1"/>
  <c r="B289" i="3" s="1"/>
  <c r="L289" i="3" s="1" a="1"/>
  <c r="L289" i="3" s="1"/>
  <c r="C289" i="3" a="1"/>
  <c r="C289" i="3" s="1"/>
  <c r="M289" i="3" s="1" a="1"/>
  <c r="M289" i="3" s="1"/>
  <c r="D289" i="3" a="1"/>
  <c r="D289" i="3" s="1"/>
  <c r="N289" i="3" s="1" a="1"/>
  <c r="N289" i="3" s="1"/>
  <c r="E289" i="3" a="1"/>
  <c r="E289" i="3" s="1"/>
  <c r="O289" i="3" s="1" a="1"/>
  <c r="O289" i="3" s="1"/>
  <c r="F289" i="3" a="1"/>
  <c r="F289" i="3" s="1"/>
  <c r="P289" i="3" s="1" a="1"/>
  <c r="P289" i="3" s="1"/>
  <c r="G289" i="3" a="1"/>
  <c r="G289" i="3" s="1"/>
  <c r="Q289" i="3" s="1" a="1"/>
  <c r="Q289" i="3" s="1"/>
  <c r="H289" i="3" a="1"/>
  <c r="H289" i="3" s="1"/>
  <c r="R289" i="3" s="1" a="1"/>
  <c r="R289" i="3" s="1"/>
  <c r="S289" i="3" s="1" a="1"/>
  <c r="S289" i="3" s="1"/>
  <c r="I289" i="3" a="1"/>
  <c r="I289" i="3" s="1"/>
  <c r="T289" i="3" s="1" a="1"/>
  <c r="T289" i="3" s="1"/>
  <c r="J289" i="3" a="1"/>
  <c r="J289" i="3" s="1"/>
  <c r="U289" i="3" s="1" a="1"/>
  <c r="U289" i="3" s="1"/>
  <c r="K289" i="3" a="1"/>
  <c r="K289" i="3" s="1"/>
  <c r="V289" i="3" s="1" a="1"/>
  <c r="V289" i="3" s="1"/>
  <c r="B282" i="3" a="1"/>
  <c r="B282" i="3" s="1"/>
  <c r="L282" i="3" s="1" a="1"/>
  <c r="L282" i="3" s="1"/>
  <c r="C282" i="3" a="1"/>
  <c r="C282" i="3" s="1"/>
  <c r="M282" i="3" s="1" a="1"/>
  <c r="M282" i="3" s="1"/>
  <c r="D282" i="3" a="1"/>
  <c r="D282" i="3" s="1"/>
  <c r="N282" i="3" s="1" a="1"/>
  <c r="N282" i="3" s="1"/>
  <c r="E282" i="3" a="1"/>
  <c r="E282" i="3" s="1"/>
  <c r="O282" i="3" s="1" a="1"/>
  <c r="O282" i="3" s="1"/>
  <c r="F282" i="3" a="1"/>
  <c r="F282" i="3" s="1"/>
  <c r="P282" i="3" s="1" a="1"/>
  <c r="P282" i="3" s="1"/>
  <c r="G282" i="3" a="1"/>
  <c r="G282" i="3" s="1"/>
  <c r="Q282" i="3" s="1" a="1"/>
  <c r="Q282" i="3" s="1"/>
  <c r="H282" i="3" a="1"/>
  <c r="H282" i="3" s="1"/>
  <c r="R282" i="3" s="1" a="1"/>
  <c r="R282" i="3" s="1"/>
  <c r="S282" i="3" s="1" a="1"/>
  <c r="S282" i="3" s="1"/>
  <c r="J282" i="3" a="1"/>
  <c r="J282" i="3" s="1"/>
  <c r="U282" i="3" s="1" a="1"/>
  <c r="U282" i="3" s="1"/>
  <c r="I282" i="3" a="1"/>
  <c r="I282" i="3" s="1"/>
  <c r="T282" i="3" s="1" a="1"/>
  <c r="T282" i="3" s="1"/>
  <c r="K282" i="3" a="1"/>
  <c r="K282" i="3" s="1"/>
  <c r="V282" i="3" s="1" a="1"/>
  <c r="V282" i="3" s="1"/>
  <c r="B270" i="3" a="1"/>
  <c r="B270" i="3" s="1"/>
  <c r="L270" i="3" s="1" a="1"/>
  <c r="L270" i="3" s="1"/>
  <c r="C270" i="3" a="1"/>
  <c r="C270" i="3" s="1"/>
  <c r="M270" i="3" s="1" a="1"/>
  <c r="M270" i="3" s="1"/>
  <c r="D270" i="3" a="1"/>
  <c r="D270" i="3" s="1"/>
  <c r="N270" i="3" s="1" a="1"/>
  <c r="N270" i="3" s="1"/>
  <c r="E270" i="3" a="1"/>
  <c r="E270" i="3" s="1"/>
  <c r="O270" i="3" s="1" a="1"/>
  <c r="O270" i="3" s="1"/>
  <c r="F270" i="3" a="1"/>
  <c r="F270" i="3" s="1"/>
  <c r="P270" i="3" s="1" a="1"/>
  <c r="P270" i="3" s="1"/>
  <c r="G270" i="3" a="1"/>
  <c r="G270" i="3" s="1"/>
  <c r="Q270" i="3" s="1" a="1"/>
  <c r="Q270" i="3" s="1"/>
  <c r="H270" i="3" a="1"/>
  <c r="H270" i="3" s="1"/>
  <c r="R270" i="3" s="1" a="1"/>
  <c r="R270" i="3" s="1"/>
  <c r="S270" i="3" s="1" a="1"/>
  <c r="S270" i="3" s="1"/>
  <c r="J270" i="3" a="1"/>
  <c r="J270" i="3" s="1"/>
  <c r="U270" i="3" s="1" a="1"/>
  <c r="U270" i="3" s="1"/>
  <c r="I270" i="3" a="1"/>
  <c r="I270" i="3" s="1"/>
  <c r="T270" i="3" s="1" a="1"/>
  <c r="T270" i="3" s="1"/>
  <c r="K270" i="3" a="1"/>
  <c r="K270" i="3" s="1"/>
  <c r="V270" i="3" s="1" a="1"/>
  <c r="V270" i="3" s="1"/>
  <c r="B258" i="3" a="1"/>
  <c r="B258" i="3" s="1"/>
  <c r="L258" i="3" s="1" a="1"/>
  <c r="L258" i="3" s="1"/>
  <c r="C258" i="3" a="1"/>
  <c r="C258" i="3" s="1"/>
  <c r="M258" i="3" s="1" a="1"/>
  <c r="M258" i="3" s="1"/>
  <c r="D258" i="3" a="1"/>
  <c r="D258" i="3" s="1"/>
  <c r="N258" i="3" s="1" a="1"/>
  <c r="N258" i="3" s="1"/>
  <c r="E258" i="3" a="1"/>
  <c r="E258" i="3" s="1"/>
  <c r="O258" i="3" s="1" a="1"/>
  <c r="O258" i="3" s="1"/>
  <c r="F258" i="3" a="1"/>
  <c r="F258" i="3" s="1"/>
  <c r="P258" i="3" s="1" a="1"/>
  <c r="P258" i="3" s="1"/>
  <c r="G258" i="3" a="1"/>
  <c r="G258" i="3" s="1"/>
  <c r="Q258" i="3" s="1" a="1"/>
  <c r="Q258" i="3" s="1"/>
  <c r="H258" i="3" a="1"/>
  <c r="H258" i="3" s="1"/>
  <c r="R258" i="3" s="1" a="1"/>
  <c r="R258" i="3" s="1"/>
  <c r="S258" i="3" s="1" a="1"/>
  <c r="S258" i="3" s="1"/>
  <c r="J258" i="3" a="1"/>
  <c r="J258" i="3" s="1"/>
  <c r="U258" i="3" s="1" a="1"/>
  <c r="U258" i="3" s="1"/>
  <c r="I258" i="3" a="1"/>
  <c r="I258" i="3" s="1"/>
  <c r="T258" i="3" s="1" a="1"/>
  <c r="T258" i="3" s="1"/>
  <c r="K258" i="3" a="1"/>
  <c r="K258" i="3" s="1"/>
  <c r="V258" i="3" s="1" a="1"/>
  <c r="V258" i="3" s="1"/>
  <c r="B250" i="3" a="1"/>
  <c r="B250" i="3" s="1"/>
  <c r="L250" i="3" s="1" a="1"/>
  <c r="L250" i="3" s="1"/>
  <c r="C250" i="3" a="1"/>
  <c r="C250" i="3" s="1"/>
  <c r="M250" i="3" s="1" a="1"/>
  <c r="M250" i="3" s="1"/>
  <c r="D250" i="3" a="1"/>
  <c r="D250" i="3" s="1"/>
  <c r="N250" i="3" s="1" a="1"/>
  <c r="N250" i="3" s="1"/>
  <c r="E250" i="3" a="1"/>
  <c r="E250" i="3" s="1"/>
  <c r="O250" i="3" s="1" a="1"/>
  <c r="O250" i="3" s="1"/>
  <c r="F250" i="3" a="1"/>
  <c r="F250" i="3" s="1"/>
  <c r="P250" i="3" s="1" a="1"/>
  <c r="P250" i="3" s="1"/>
  <c r="G250" i="3" a="1"/>
  <c r="G250" i="3" s="1"/>
  <c r="Q250" i="3" s="1" a="1"/>
  <c r="Q250" i="3" s="1"/>
  <c r="H250" i="3" a="1"/>
  <c r="H250" i="3" s="1"/>
  <c r="R250" i="3" s="1" a="1"/>
  <c r="R250" i="3" s="1"/>
  <c r="S250" i="3" s="1" a="1"/>
  <c r="S250" i="3" s="1"/>
  <c r="J250" i="3" a="1"/>
  <c r="J250" i="3" s="1"/>
  <c r="U250" i="3" s="1" a="1"/>
  <c r="U250" i="3" s="1"/>
  <c r="I250" i="3" a="1"/>
  <c r="I250" i="3" s="1"/>
  <c r="T250" i="3" s="1" a="1"/>
  <c r="T250" i="3" s="1"/>
  <c r="K250" i="3" a="1"/>
  <c r="K250" i="3" s="1"/>
  <c r="V250" i="3" s="1" a="1"/>
  <c r="V250" i="3" s="1"/>
  <c r="B238" i="3" a="1"/>
  <c r="B238" i="3" s="1"/>
  <c r="L238" i="3" s="1" a="1"/>
  <c r="L238" i="3" s="1"/>
  <c r="C238" i="3" a="1"/>
  <c r="C238" i="3" s="1"/>
  <c r="M238" i="3" s="1" a="1"/>
  <c r="M238" i="3" s="1"/>
  <c r="D238" i="3" a="1"/>
  <c r="D238" i="3" s="1"/>
  <c r="N238" i="3" s="1" a="1"/>
  <c r="N238" i="3" s="1"/>
  <c r="E238" i="3" a="1"/>
  <c r="E238" i="3" s="1"/>
  <c r="O238" i="3" s="1" a="1"/>
  <c r="O238" i="3" s="1"/>
  <c r="F238" i="3" a="1"/>
  <c r="F238" i="3" s="1"/>
  <c r="P238" i="3" s="1" a="1"/>
  <c r="P238" i="3" s="1"/>
  <c r="G238" i="3" a="1"/>
  <c r="G238" i="3" s="1"/>
  <c r="Q238" i="3" s="1" a="1"/>
  <c r="Q238" i="3" s="1"/>
  <c r="H238" i="3" a="1"/>
  <c r="H238" i="3" s="1"/>
  <c r="R238" i="3" s="1" a="1"/>
  <c r="R238" i="3" s="1"/>
  <c r="S238" i="3" s="1" a="1"/>
  <c r="S238" i="3" s="1"/>
  <c r="J238" i="3" a="1"/>
  <c r="J238" i="3" s="1"/>
  <c r="U238" i="3" s="1" a="1"/>
  <c r="U238" i="3" s="1"/>
  <c r="I238" i="3" a="1"/>
  <c r="I238" i="3" s="1"/>
  <c r="T238" i="3" s="1" a="1"/>
  <c r="T238" i="3" s="1"/>
  <c r="K238" i="3" a="1"/>
  <c r="K238" i="3" s="1"/>
  <c r="V238" i="3" s="1" a="1"/>
  <c r="V238" i="3" s="1"/>
  <c r="B226" i="3" a="1"/>
  <c r="B226" i="3" s="1"/>
  <c r="L226" i="3" s="1" a="1"/>
  <c r="L226" i="3" s="1"/>
  <c r="C226" i="3" a="1"/>
  <c r="C226" i="3" s="1"/>
  <c r="M226" i="3" s="1" a="1"/>
  <c r="M226" i="3" s="1"/>
  <c r="D226" i="3" a="1"/>
  <c r="D226" i="3" s="1"/>
  <c r="N226" i="3" s="1" a="1"/>
  <c r="N226" i="3" s="1"/>
  <c r="E226" i="3" a="1"/>
  <c r="E226" i="3" s="1"/>
  <c r="O226" i="3" s="1" a="1"/>
  <c r="O226" i="3" s="1"/>
  <c r="F226" i="3" a="1"/>
  <c r="F226" i="3" s="1"/>
  <c r="P226" i="3" s="1" a="1"/>
  <c r="P226" i="3" s="1"/>
  <c r="G226" i="3" a="1"/>
  <c r="G226" i="3" s="1"/>
  <c r="Q226" i="3" s="1" a="1"/>
  <c r="Q226" i="3" s="1"/>
  <c r="H226" i="3" a="1"/>
  <c r="H226" i="3" s="1"/>
  <c r="R226" i="3" s="1" a="1"/>
  <c r="R226" i="3" s="1"/>
  <c r="S226" i="3" s="1" a="1"/>
  <c r="S226" i="3" s="1"/>
  <c r="J226" i="3" a="1"/>
  <c r="J226" i="3" s="1"/>
  <c r="U226" i="3" s="1" a="1"/>
  <c r="U226" i="3" s="1"/>
  <c r="I226" i="3" a="1"/>
  <c r="I226" i="3" s="1"/>
  <c r="T226" i="3" s="1" a="1"/>
  <c r="T226" i="3" s="1"/>
  <c r="K226" i="3" a="1"/>
  <c r="K226" i="3" s="1"/>
  <c r="V226" i="3" s="1" a="1"/>
  <c r="V226" i="3" s="1"/>
  <c r="B214" i="3" a="1"/>
  <c r="B214" i="3" s="1"/>
  <c r="L214" i="3" s="1" a="1"/>
  <c r="L214" i="3" s="1"/>
  <c r="C214" i="3" a="1"/>
  <c r="C214" i="3" s="1"/>
  <c r="M214" i="3" s="1" a="1"/>
  <c r="M214" i="3" s="1"/>
  <c r="D214" i="3" a="1"/>
  <c r="D214" i="3" s="1"/>
  <c r="N214" i="3" s="1" a="1"/>
  <c r="N214" i="3" s="1"/>
  <c r="E214" i="3" a="1"/>
  <c r="E214" i="3" s="1"/>
  <c r="O214" i="3" s="1" a="1"/>
  <c r="O214" i="3" s="1"/>
  <c r="F214" i="3" a="1"/>
  <c r="F214" i="3" s="1"/>
  <c r="P214" i="3" s="1" a="1"/>
  <c r="P214" i="3" s="1"/>
  <c r="G214" i="3" a="1"/>
  <c r="G214" i="3" s="1"/>
  <c r="Q214" i="3" s="1" a="1"/>
  <c r="Q214" i="3" s="1"/>
  <c r="H214" i="3" a="1"/>
  <c r="H214" i="3" s="1"/>
  <c r="R214" i="3" s="1" a="1"/>
  <c r="R214" i="3" s="1"/>
  <c r="S214" i="3" s="1" a="1"/>
  <c r="S214" i="3" s="1"/>
  <c r="J214" i="3" a="1"/>
  <c r="J214" i="3" s="1"/>
  <c r="U214" i="3" s="1" a="1"/>
  <c r="U214" i="3" s="1"/>
  <c r="I214" i="3" a="1"/>
  <c r="I214" i="3" s="1"/>
  <c r="T214" i="3" s="1" a="1"/>
  <c r="T214" i="3" s="1"/>
  <c r="K214" i="3" a="1"/>
  <c r="K214" i="3" s="1"/>
  <c r="V214" i="3" s="1" a="1"/>
  <c r="V214" i="3" s="1"/>
  <c r="B202" i="3" a="1"/>
  <c r="B202" i="3" s="1"/>
  <c r="L202" i="3" s="1" a="1"/>
  <c r="L202" i="3" s="1"/>
  <c r="C202" i="3" a="1"/>
  <c r="C202" i="3" s="1"/>
  <c r="M202" i="3" s="1" a="1"/>
  <c r="M202" i="3" s="1"/>
  <c r="D202" i="3" a="1"/>
  <c r="D202" i="3" s="1"/>
  <c r="N202" i="3" s="1" a="1"/>
  <c r="N202" i="3" s="1"/>
  <c r="E202" i="3" a="1"/>
  <c r="E202" i="3" s="1"/>
  <c r="O202" i="3" s="1" a="1"/>
  <c r="O202" i="3" s="1"/>
  <c r="F202" i="3" a="1"/>
  <c r="F202" i="3" s="1"/>
  <c r="P202" i="3" s="1" a="1"/>
  <c r="P202" i="3" s="1"/>
  <c r="G202" i="3" a="1"/>
  <c r="G202" i="3" s="1"/>
  <c r="Q202" i="3" s="1" a="1"/>
  <c r="Q202" i="3" s="1"/>
  <c r="H202" i="3" a="1"/>
  <c r="H202" i="3" s="1"/>
  <c r="R202" i="3" s="1" a="1"/>
  <c r="R202" i="3" s="1"/>
  <c r="S202" i="3" s="1" a="1"/>
  <c r="S202" i="3" s="1"/>
  <c r="J202" i="3" a="1"/>
  <c r="J202" i="3" s="1"/>
  <c r="U202" i="3" s="1" a="1"/>
  <c r="U202" i="3" s="1"/>
  <c r="I202" i="3" a="1"/>
  <c r="I202" i="3" s="1"/>
  <c r="T202" i="3" s="1" a="1"/>
  <c r="T202" i="3" s="1"/>
  <c r="K202" i="3" a="1"/>
  <c r="K202" i="3" s="1"/>
  <c r="V202" i="3" s="1" a="1"/>
  <c r="V202" i="3" s="1"/>
  <c r="B194" i="3" a="1"/>
  <c r="B194" i="3" s="1"/>
  <c r="L194" i="3" s="1" a="1"/>
  <c r="L194" i="3" s="1"/>
  <c r="C194" i="3" a="1"/>
  <c r="C194" i="3" s="1"/>
  <c r="M194" i="3" s="1" a="1"/>
  <c r="M194" i="3" s="1"/>
  <c r="D194" i="3" a="1"/>
  <c r="D194" i="3" s="1"/>
  <c r="N194" i="3" s="1" a="1"/>
  <c r="N194" i="3" s="1"/>
  <c r="E194" i="3" a="1"/>
  <c r="E194" i="3" s="1"/>
  <c r="O194" i="3" s="1" a="1"/>
  <c r="O194" i="3" s="1"/>
  <c r="F194" i="3" a="1"/>
  <c r="F194" i="3" s="1"/>
  <c r="P194" i="3" s="1" a="1"/>
  <c r="P194" i="3" s="1"/>
  <c r="G194" i="3" a="1"/>
  <c r="G194" i="3" s="1"/>
  <c r="Q194" i="3" s="1" a="1"/>
  <c r="Q194" i="3" s="1"/>
  <c r="H194" i="3" a="1"/>
  <c r="H194" i="3" s="1"/>
  <c r="R194" i="3" s="1" a="1"/>
  <c r="R194" i="3" s="1"/>
  <c r="S194" i="3" s="1" a="1"/>
  <c r="S194" i="3" s="1"/>
  <c r="J194" i="3" a="1"/>
  <c r="J194" i="3" s="1"/>
  <c r="U194" i="3" s="1" a="1"/>
  <c r="U194" i="3" s="1"/>
  <c r="I194" i="3" a="1"/>
  <c r="I194" i="3" s="1"/>
  <c r="T194" i="3" s="1" a="1"/>
  <c r="T194" i="3" s="1"/>
  <c r="K194" i="3" a="1"/>
  <c r="K194" i="3" s="1"/>
  <c r="V194" i="3" s="1" a="1"/>
  <c r="V194" i="3" s="1"/>
  <c r="B285" i="3" a="1"/>
  <c r="B285" i="3" s="1"/>
  <c r="L285" i="3" s="1" a="1"/>
  <c r="L285" i="3" s="1"/>
  <c r="C285" i="3" a="1"/>
  <c r="C285" i="3" s="1"/>
  <c r="M285" i="3" s="1" a="1"/>
  <c r="M285" i="3" s="1"/>
  <c r="D285" i="3" a="1"/>
  <c r="D285" i="3" s="1"/>
  <c r="N285" i="3" s="1" a="1"/>
  <c r="N285" i="3" s="1"/>
  <c r="E285" i="3" a="1"/>
  <c r="E285" i="3" s="1"/>
  <c r="O285" i="3" s="1" a="1"/>
  <c r="O285" i="3" s="1"/>
  <c r="F285" i="3" a="1"/>
  <c r="F285" i="3" s="1"/>
  <c r="P285" i="3" s="1" a="1"/>
  <c r="P285" i="3" s="1"/>
  <c r="G285" i="3" a="1"/>
  <c r="G285" i="3" s="1"/>
  <c r="Q285" i="3" s="1" a="1"/>
  <c r="Q285" i="3" s="1"/>
  <c r="I285" i="3" a="1"/>
  <c r="I285" i="3" s="1"/>
  <c r="T285" i="3" s="1" a="1"/>
  <c r="T285" i="3" s="1"/>
  <c r="H285" i="3" a="1"/>
  <c r="H285" i="3" s="1"/>
  <c r="R285" i="3" s="1" a="1"/>
  <c r="R285" i="3" s="1"/>
  <c r="S285" i="3" s="1" a="1"/>
  <c r="S285" i="3" s="1"/>
  <c r="J285" i="3" a="1"/>
  <c r="J285" i="3" s="1"/>
  <c r="U285" i="3" s="1" a="1"/>
  <c r="U285" i="3" s="1"/>
  <c r="K285" i="3" a="1"/>
  <c r="K285" i="3" s="1"/>
  <c r="V285" i="3" s="1" a="1"/>
  <c r="V285" i="3" s="1"/>
  <c r="B281" i="3" a="1"/>
  <c r="B281" i="3" s="1"/>
  <c r="L281" i="3" s="1" a="1"/>
  <c r="L281" i="3" s="1"/>
  <c r="C281" i="3" a="1"/>
  <c r="C281" i="3" s="1"/>
  <c r="M281" i="3" s="1" a="1"/>
  <c r="M281" i="3" s="1"/>
  <c r="D281" i="3" a="1"/>
  <c r="D281" i="3" s="1"/>
  <c r="N281" i="3" s="1" a="1"/>
  <c r="N281" i="3" s="1"/>
  <c r="E281" i="3" a="1"/>
  <c r="E281" i="3" s="1"/>
  <c r="O281" i="3" s="1" a="1"/>
  <c r="O281" i="3" s="1"/>
  <c r="F281" i="3" a="1"/>
  <c r="F281" i="3" s="1"/>
  <c r="P281" i="3" s="1" a="1"/>
  <c r="P281" i="3" s="1"/>
  <c r="H281" i="3" a="1"/>
  <c r="H281" i="3" s="1"/>
  <c r="R281" i="3" s="1" a="1"/>
  <c r="R281" i="3" s="1"/>
  <c r="S281" i="3" s="1" a="1"/>
  <c r="S281" i="3" s="1"/>
  <c r="I281" i="3" a="1"/>
  <c r="I281" i="3" s="1"/>
  <c r="T281" i="3" s="1" a="1"/>
  <c r="T281" i="3" s="1"/>
  <c r="G281" i="3" a="1"/>
  <c r="G281" i="3" s="1"/>
  <c r="Q281" i="3" s="1" a="1"/>
  <c r="Q281" i="3" s="1"/>
  <c r="J281" i="3" a="1"/>
  <c r="J281" i="3" s="1"/>
  <c r="U281" i="3" s="1" a="1"/>
  <c r="U281" i="3" s="1"/>
  <c r="K281" i="3" a="1"/>
  <c r="K281" i="3" s="1"/>
  <c r="V281" i="3" s="1" a="1"/>
  <c r="V281" i="3" s="1"/>
  <c r="B273" i="3" a="1"/>
  <c r="B273" i="3" s="1"/>
  <c r="L273" i="3" s="1" a="1"/>
  <c r="L273" i="3" s="1"/>
  <c r="C273" i="3" a="1"/>
  <c r="C273" i="3" s="1"/>
  <c r="M273" i="3" s="1" a="1"/>
  <c r="M273" i="3" s="1"/>
  <c r="D273" i="3" a="1"/>
  <c r="D273" i="3" s="1"/>
  <c r="N273" i="3" s="1" a="1"/>
  <c r="N273" i="3" s="1"/>
  <c r="E273" i="3" a="1"/>
  <c r="E273" i="3" s="1"/>
  <c r="O273" i="3" s="1" a="1"/>
  <c r="O273" i="3" s="1"/>
  <c r="F273" i="3" a="1"/>
  <c r="F273" i="3" s="1"/>
  <c r="P273" i="3" s="1" a="1"/>
  <c r="P273" i="3" s="1"/>
  <c r="G273" i="3" a="1"/>
  <c r="G273" i="3" s="1"/>
  <c r="Q273" i="3" s="1" a="1"/>
  <c r="Q273" i="3" s="1"/>
  <c r="H273" i="3" a="1"/>
  <c r="H273" i="3" s="1"/>
  <c r="R273" i="3" s="1" a="1"/>
  <c r="R273" i="3" s="1"/>
  <c r="S273" i="3" s="1" a="1"/>
  <c r="S273" i="3" s="1"/>
  <c r="I273" i="3" a="1"/>
  <c r="I273" i="3" s="1"/>
  <c r="T273" i="3" s="1" a="1"/>
  <c r="T273" i="3" s="1"/>
  <c r="J273" i="3" a="1"/>
  <c r="J273" i="3" s="1"/>
  <c r="U273" i="3" s="1" a="1"/>
  <c r="U273" i="3" s="1"/>
  <c r="K273" i="3" a="1"/>
  <c r="K273" i="3" s="1"/>
  <c r="V273" i="3" s="1" a="1"/>
  <c r="V273" i="3" s="1"/>
  <c r="B265" i="3" a="1"/>
  <c r="B265" i="3" s="1"/>
  <c r="L265" i="3" s="1" a="1"/>
  <c r="L265" i="3" s="1"/>
  <c r="C265" i="3" a="1"/>
  <c r="C265" i="3" s="1"/>
  <c r="M265" i="3" s="1" a="1"/>
  <c r="M265" i="3" s="1"/>
  <c r="D265" i="3" a="1"/>
  <c r="D265" i="3" s="1"/>
  <c r="N265" i="3" s="1" a="1"/>
  <c r="N265" i="3" s="1"/>
  <c r="E265" i="3" a="1"/>
  <c r="E265" i="3" s="1"/>
  <c r="O265" i="3" s="1" a="1"/>
  <c r="O265" i="3" s="1"/>
  <c r="F265" i="3" a="1"/>
  <c r="F265" i="3" s="1"/>
  <c r="P265" i="3" s="1" a="1"/>
  <c r="P265" i="3" s="1"/>
  <c r="G265" i="3" a="1"/>
  <c r="G265" i="3" s="1"/>
  <c r="Q265" i="3" s="1" a="1"/>
  <c r="Q265" i="3" s="1"/>
  <c r="H265" i="3" a="1"/>
  <c r="H265" i="3" s="1"/>
  <c r="R265" i="3" s="1" a="1"/>
  <c r="R265" i="3" s="1"/>
  <c r="S265" i="3" s="1" a="1"/>
  <c r="S265" i="3" s="1"/>
  <c r="I265" i="3" a="1"/>
  <c r="I265" i="3" s="1"/>
  <c r="T265" i="3" s="1" a="1"/>
  <c r="T265" i="3" s="1"/>
  <c r="J265" i="3" a="1"/>
  <c r="J265" i="3" s="1"/>
  <c r="U265" i="3" s="1" a="1"/>
  <c r="U265" i="3" s="1"/>
  <c r="K265" i="3" a="1"/>
  <c r="K265" i="3" s="1"/>
  <c r="V265" i="3" s="1" a="1"/>
  <c r="V265" i="3" s="1"/>
  <c r="B257" i="3" a="1"/>
  <c r="B257" i="3" s="1"/>
  <c r="L257" i="3" s="1" a="1"/>
  <c r="L257" i="3" s="1"/>
  <c r="C257" i="3" a="1"/>
  <c r="C257" i="3" s="1"/>
  <c r="M257" i="3" s="1" a="1"/>
  <c r="M257" i="3" s="1"/>
  <c r="D257" i="3" a="1"/>
  <c r="D257" i="3" s="1"/>
  <c r="N257" i="3" s="1" a="1"/>
  <c r="N257" i="3" s="1"/>
  <c r="E257" i="3" a="1"/>
  <c r="E257" i="3" s="1"/>
  <c r="O257" i="3" s="1" a="1"/>
  <c r="O257" i="3" s="1"/>
  <c r="F257" i="3" a="1"/>
  <c r="F257" i="3" s="1"/>
  <c r="P257" i="3" s="1" a="1"/>
  <c r="P257" i="3" s="1"/>
  <c r="G257" i="3" a="1"/>
  <c r="G257" i="3" s="1"/>
  <c r="Q257" i="3" s="1" a="1"/>
  <c r="Q257" i="3" s="1"/>
  <c r="H257" i="3" a="1"/>
  <c r="H257" i="3" s="1"/>
  <c r="R257" i="3" s="1" a="1"/>
  <c r="R257" i="3" s="1"/>
  <c r="S257" i="3" s="1" a="1"/>
  <c r="S257" i="3" s="1"/>
  <c r="I257" i="3" a="1"/>
  <c r="I257" i="3" s="1"/>
  <c r="T257" i="3" s="1" a="1"/>
  <c r="T257" i="3" s="1"/>
  <c r="J257" i="3" a="1"/>
  <c r="J257" i="3" s="1"/>
  <c r="U257" i="3" s="1" a="1"/>
  <c r="U257" i="3" s="1"/>
  <c r="K257" i="3" a="1"/>
  <c r="K257" i="3" s="1"/>
  <c r="V257" i="3" s="1" a="1"/>
  <c r="V257" i="3" s="1"/>
  <c r="B253" i="3" a="1"/>
  <c r="B253" i="3" s="1"/>
  <c r="L253" i="3" s="1" a="1"/>
  <c r="L253" i="3" s="1"/>
  <c r="C253" i="3" a="1"/>
  <c r="C253" i="3" s="1"/>
  <c r="M253" i="3" s="1" a="1"/>
  <c r="M253" i="3" s="1"/>
  <c r="D253" i="3" a="1"/>
  <c r="D253" i="3" s="1"/>
  <c r="N253" i="3" s="1" a="1"/>
  <c r="N253" i="3" s="1"/>
  <c r="E253" i="3" a="1"/>
  <c r="E253" i="3" s="1"/>
  <c r="O253" i="3" s="1" a="1"/>
  <c r="O253" i="3" s="1"/>
  <c r="F253" i="3" a="1"/>
  <c r="F253" i="3" s="1"/>
  <c r="P253" i="3" s="1" a="1"/>
  <c r="P253" i="3" s="1"/>
  <c r="G253" i="3" a="1"/>
  <c r="G253" i="3" s="1"/>
  <c r="Q253" i="3" s="1" a="1"/>
  <c r="Q253" i="3" s="1"/>
  <c r="I253" i="3" a="1"/>
  <c r="I253" i="3" s="1"/>
  <c r="T253" i="3" s="1" a="1"/>
  <c r="T253" i="3" s="1"/>
  <c r="H253" i="3" a="1"/>
  <c r="H253" i="3" s="1"/>
  <c r="R253" i="3" s="1" a="1"/>
  <c r="R253" i="3" s="1"/>
  <c r="S253" i="3" s="1" a="1"/>
  <c r="S253" i="3" s="1"/>
  <c r="J253" i="3" a="1"/>
  <c r="J253" i="3" s="1"/>
  <c r="U253" i="3" s="1" a="1"/>
  <c r="U253" i="3" s="1"/>
  <c r="K253" i="3" a="1"/>
  <c r="K253" i="3" s="1"/>
  <c r="V253" i="3" s="1" a="1"/>
  <c r="V253" i="3" s="1"/>
  <c r="B249" i="3" a="1"/>
  <c r="B249" i="3" s="1"/>
  <c r="L249" i="3" s="1" a="1"/>
  <c r="L249" i="3" s="1"/>
  <c r="C249" i="3" a="1"/>
  <c r="C249" i="3" s="1"/>
  <c r="M249" i="3" s="1" a="1"/>
  <c r="M249" i="3" s="1"/>
  <c r="D249" i="3" a="1"/>
  <c r="D249" i="3" s="1"/>
  <c r="N249" i="3" s="1" a="1"/>
  <c r="N249" i="3" s="1"/>
  <c r="E249" i="3" a="1"/>
  <c r="E249" i="3" s="1"/>
  <c r="O249" i="3" s="1" a="1"/>
  <c r="O249" i="3" s="1"/>
  <c r="F249" i="3" a="1"/>
  <c r="F249" i="3" s="1"/>
  <c r="P249" i="3" s="1" a="1"/>
  <c r="P249" i="3" s="1"/>
  <c r="G249" i="3" a="1"/>
  <c r="G249" i="3" s="1"/>
  <c r="Q249" i="3" s="1" a="1"/>
  <c r="Q249" i="3" s="1"/>
  <c r="H249" i="3" a="1"/>
  <c r="H249" i="3" s="1"/>
  <c r="R249" i="3" s="1" a="1"/>
  <c r="R249" i="3" s="1"/>
  <c r="S249" i="3" s="1" a="1"/>
  <c r="S249" i="3" s="1"/>
  <c r="I249" i="3" a="1"/>
  <c r="I249" i="3" s="1"/>
  <c r="T249" i="3" s="1" a="1"/>
  <c r="T249" i="3" s="1"/>
  <c r="J249" i="3" a="1"/>
  <c r="J249" i="3" s="1"/>
  <c r="U249" i="3" s="1" a="1"/>
  <c r="U249" i="3" s="1"/>
  <c r="K249" i="3" a="1"/>
  <c r="K249" i="3" s="1"/>
  <c r="V249" i="3" s="1" a="1"/>
  <c r="V249" i="3" s="1"/>
  <c r="B245" i="3" a="1"/>
  <c r="B245" i="3" s="1"/>
  <c r="L245" i="3" s="1" a="1"/>
  <c r="L245" i="3" s="1"/>
  <c r="C245" i="3" a="1"/>
  <c r="C245" i="3" s="1"/>
  <c r="M245" i="3" s="1" a="1"/>
  <c r="M245" i="3" s="1"/>
  <c r="D245" i="3" a="1"/>
  <c r="D245" i="3" s="1"/>
  <c r="N245" i="3" s="1" a="1"/>
  <c r="N245" i="3" s="1"/>
  <c r="E245" i="3" a="1"/>
  <c r="E245" i="3" s="1"/>
  <c r="O245" i="3" s="1" a="1"/>
  <c r="O245" i="3" s="1"/>
  <c r="F245" i="3" a="1"/>
  <c r="F245" i="3" s="1"/>
  <c r="P245" i="3" s="1" a="1"/>
  <c r="P245" i="3" s="1"/>
  <c r="G245" i="3" a="1"/>
  <c r="G245" i="3" s="1"/>
  <c r="Q245" i="3" s="1" a="1"/>
  <c r="Q245" i="3" s="1"/>
  <c r="I245" i="3" a="1"/>
  <c r="I245" i="3" s="1"/>
  <c r="T245" i="3" s="1" a="1"/>
  <c r="T245" i="3" s="1"/>
  <c r="H245" i="3" a="1"/>
  <c r="H245" i="3" s="1"/>
  <c r="R245" i="3" s="1" a="1"/>
  <c r="R245" i="3" s="1"/>
  <c r="S245" i="3" s="1" a="1"/>
  <c r="S245" i="3" s="1"/>
  <c r="J245" i="3" a="1"/>
  <c r="J245" i="3" s="1"/>
  <c r="U245" i="3" s="1" a="1"/>
  <c r="U245" i="3" s="1"/>
  <c r="K245" i="3" a="1"/>
  <c r="K245" i="3" s="1"/>
  <c r="V245" i="3" s="1" a="1"/>
  <c r="V245" i="3" s="1"/>
  <c r="B241" i="3" a="1"/>
  <c r="B241" i="3" s="1"/>
  <c r="L241" i="3" s="1" a="1"/>
  <c r="L241" i="3" s="1"/>
  <c r="C241" i="3" a="1"/>
  <c r="C241" i="3" s="1"/>
  <c r="M241" i="3" s="1" a="1"/>
  <c r="M241" i="3" s="1"/>
  <c r="D241" i="3" a="1"/>
  <c r="D241" i="3" s="1"/>
  <c r="N241" i="3" s="1" a="1"/>
  <c r="N241" i="3" s="1"/>
  <c r="E241" i="3" a="1"/>
  <c r="E241" i="3" s="1"/>
  <c r="O241" i="3" s="1" a="1"/>
  <c r="O241" i="3" s="1"/>
  <c r="F241" i="3" a="1"/>
  <c r="F241" i="3" s="1"/>
  <c r="P241" i="3" s="1" a="1"/>
  <c r="P241" i="3" s="1"/>
  <c r="G241" i="3" a="1"/>
  <c r="G241" i="3" s="1"/>
  <c r="Q241" i="3" s="1" a="1"/>
  <c r="Q241" i="3" s="1"/>
  <c r="H241" i="3" a="1"/>
  <c r="H241" i="3" s="1"/>
  <c r="R241" i="3" s="1" a="1"/>
  <c r="R241" i="3" s="1"/>
  <c r="S241" i="3" s="1" a="1"/>
  <c r="S241" i="3" s="1"/>
  <c r="I241" i="3" a="1"/>
  <c r="I241" i="3" s="1"/>
  <c r="T241" i="3" s="1" a="1"/>
  <c r="T241" i="3" s="1"/>
  <c r="J241" i="3" a="1"/>
  <c r="J241" i="3" s="1"/>
  <c r="U241" i="3" s="1" a="1"/>
  <c r="U241" i="3" s="1"/>
  <c r="K241" i="3" a="1"/>
  <c r="K241" i="3" s="1"/>
  <c r="V241" i="3" s="1" a="1"/>
  <c r="V241" i="3" s="1"/>
  <c r="B237" i="3" a="1"/>
  <c r="B237" i="3" s="1"/>
  <c r="L237" i="3" s="1" a="1"/>
  <c r="L237" i="3" s="1"/>
  <c r="C237" i="3" a="1"/>
  <c r="C237" i="3" s="1"/>
  <c r="M237" i="3" s="1" a="1"/>
  <c r="M237" i="3" s="1"/>
  <c r="D237" i="3" a="1"/>
  <c r="D237" i="3" s="1"/>
  <c r="N237" i="3" s="1" a="1"/>
  <c r="N237" i="3" s="1"/>
  <c r="E237" i="3" a="1"/>
  <c r="E237" i="3" s="1"/>
  <c r="O237" i="3" s="1" a="1"/>
  <c r="O237" i="3" s="1"/>
  <c r="F237" i="3" a="1"/>
  <c r="F237" i="3" s="1"/>
  <c r="P237" i="3" s="1" a="1"/>
  <c r="P237" i="3" s="1"/>
  <c r="G237" i="3" a="1"/>
  <c r="G237" i="3" s="1"/>
  <c r="Q237" i="3" s="1" a="1"/>
  <c r="Q237" i="3" s="1"/>
  <c r="I237" i="3" a="1"/>
  <c r="I237" i="3" s="1"/>
  <c r="T237" i="3" s="1" a="1"/>
  <c r="T237" i="3" s="1"/>
  <c r="H237" i="3" a="1"/>
  <c r="H237" i="3" s="1"/>
  <c r="R237" i="3" s="1" a="1"/>
  <c r="R237" i="3" s="1"/>
  <c r="S237" i="3" s="1" a="1"/>
  <c r="S237" i="3" s="1"/>
  <c r="J237" i="3" a="1"/>
  <c r="J237" i="3" s="1"/>
  <c r="U237" i="3" s="1" a="1"/>
  <c r="U237" i="3" s="1"/>
  <c r="K237" i="3" a="1"/>
  <c r="K237" i="3" s="1"/>
  <c r="V237" i="3" s="1" a="1"/>
  <c r="V237" i="3" s="1"/>
  <c r="B233" i="3" a="1"/>
  <c r="B233" i="3" s="1"/>
  <c r="L233" i="3" s="1" a="1"/>
  <c r="L233" i="3" s="1"/>
  <c r="C233" i="3" a="1"/>
  <c r="C233" i="3" s="1"/>
  <c r="M233" i="3" s="1" a="1"/>
  <c r="M233" i="3" s="1"/>
  <c r="D233" i="3" a="1"/>
  <c r="D233" i="3" s="1"/>
  <c r="N233" i="3" s="1" a="1"/>
  <c r="N233" i="3" s="1"/>
  <c r="E233" i="3" a="1"/>
  <c r="E233" i="3" s="1"/>
  <c r="O233" i="3" s="1" a="1"/>
  <c r="O233" i="3" s="1"/>
  <c r="F233" i="3" a="1"/>
  <c r="F233" i="3" s="1"/>
  <c r="P233" i="3" s="1" a="1"/>
  <c r="P233" i="3" s="1"/>
  <c r="G233" i="3" a="1"/>
  <c r="G233" i="3" s="1"/>
  <c r="Q233" i="3" s="1" a="1"/>
  <c r="Q233" i="3" s="1"/>
  <c r="H233" i="3" a="1"/>
  <c r="H233" i="3" s="1"/>
  <c r="R233" i="3" s="1" a="1"/>
  <c r="R233" i="3" s="1"/>
  <c r="S233" i="3" s="1" a="1"/>
  <c r="S233" i="3" s="1"/>
  <c r="I233" i="3" a="1"/>
  <c r="I233" i="3" s="1"/>
  <c r="T233" i="3" s="1" a="1"/>
  <c r="T233" i="3" s="1"/>
  <c r="J233" i="3" a="1"/>
  <c r="J233" i="3" s="1"/>
  <c r="U233" i="3" s="1" a="1"/>
  <c r="U233" i="3" s="1"/>
  <c r="K233" i="3" a="1"/>
  <c r="K233" i="3" s="1"/>
  <c r="V233" i="3" s="1" a="1"/>
  <c r="V233" i="3" s="1"/>
  <c r="B229" i="3" a="1"/>
  <c r="B229" i="3" s="1"/>
  <c r="L229" i="3" s="1" a="1"/>
  <c r="L229" i="3" s="1"/>
  <c r="C229" i="3" a="1"/>
  <c r="C229" i="3" s="1"/>
  <c r="M229" i="3" s="1" a="1"/>
  <c r="M229" i="3" s="1"/>
  <c r="D229" i="3" a="1"/>
  <c r="D229" i="3" s="1"/>
  <c r="N229" i="3" s="1" a="1"/>
  <c r="N229" i="3" s="1"/>
  <c r="E229" i="3" a="1"/>
  <c r="E229" i="3" s="1"/>
  <c r="O229" i="3" s="1" a="1"/>
  <c r="O229" i="3" s="1"/>
  <c r="F229" i="3" a="1"/>
  <c r="F229" i="3" s="1"/>
  <c r="P229" i="3" s="1" a="1"/>
  <c r="P229" i="3" s="1"/>
  <c r="G229" i="3" a="1"/>
  <c r="G229" i="3" s="1"/>
  <c r="Q229" i="3" s="1" a="1"/>
  <c r="Q229" i="3" s="1"/>
  <c r="I229" i="3" a="1"/>
  <c r="I229" i="3" s="1"/>
  <c r="T229" i="3" s="1" a="1"/>
  <c r="T229" i="3" s="1"/>
  <c r="H229" i="3" a="1"/>
  <c r="H229" i="3" s="1"/>
  <c r="R229" i="3" s="1" a="1"/>
  <c r="R229" i="3" s="1"/>
  <c r="S229" i="3" s="1" a="1"/>
  <c r="S229" i="3" s="1"/>
  <c r="J229" i="3" a="1"/>
  <c r="J229" i="3" s="1"/>
  <c r="U229" i="3" s="1" a="1"/>
  <c r="U229" i="3" s="1"/>
  <c r="K229" i="3" a="1"/>
  <c r="K229" i="3" s="1"/>
  <c r="V229" i="3" s="1" a="1"/>
  <c r="V229" i="3" s="1"/>
  <c r="B225" i="3" a="1"/>
  <c r="B225" i="3" s="1"/>
  <c r="L225" i="3" s="1" a="1"/>
  <c r="L225" i="3" s="1"/>
  <c r="C225" i="3" a="1"/>
  <c r="C225" i="3" s="1"/>
  <c r="M225" i="3" s="1" a="1"/>
  <c r="M225" i="3" s="1"/>
  <c r="D225" i="3" a="1"/>
  <c r="D225" i="3" s="1"/>
  <c r="N225" i="3" s="1" a="1"/>
  <c r="N225" i="3" s="1"/>
  <c r="E225" i="3" a="1"/>
  <c r="E225" i="3" s="1"/>
  <c r="O225" i="3" s="1" a="1"/>
  <c r="O225" i="3" s="1"/>
  <c r="F225" i="3" a="1"/>
  <c r="F225" i="3" s="1"/>
  <c r="P225" i="3" s="1" a="1"/>
  <c r="P225" i="3" s="1"/>
  <c r="G225" i="3" a="1"/>
  <c r="G225" i="3" s="1"/>
  <c r="Q225" i="3" s="1" a="1"/>
  <c r="Q225" i="3" s="1"/>
  <c r="H225" i="3" a="1"/>
  <c r="H225" i="3" s="1"/>
  <c r="R225" i="3" s="1" a="1"/>
  <c r="R225" i="3" s="1"/>
  <c r="S225" i="3" s="1" a="1"/>
  <c r="S225" i="3" s="1"/>
  <c r="I225" i="3" a="1"/>
  <c r="I225" i="3" s="1"/>
  <c r="T225" i="3" s="1" a="1"/>
  <c r="T225" i="3" s="1"/>
  <c r="J225" i="3" a="1"/>
  <c r="J225" i="3" s="1"/>
  <c r="U225" i="3" s="1" a="1"/>
  <c r="U225" i="3" s="1"/>
  <c r="K225" i="3" a="1"/>
  <c r="K225" i="3" s="1"/>
  <c r="V225" i="3" s="1" a="1"/>
  <c r="V225" i="3" s="1"/>
  <c r="B221" i="3" a="1"/>
  <c r="B221" i="3" s="1"/>
  <c r="L221" i="3" s="1" a="1"/>
  <c r="L221" i="3" s="1"/>
  <c r="C221" i="3" a="1"/>
  <c r="C221" i="3" s="1"/>
  <c r="M221" i="3" s="1" a="1"/>
  <c r="M221" i="3" s="1"/>
  <c r="D221" i="3" a="1"/>
  <c r="D221" i="3" s="1"/>
  <c r="N221" i="3" s="1" a="1"/>
  <c r="N221" i="3" s="1"/>
  <c r="E221" i="3" a="1"/>
  <c r="E221" i="3" s="1"/>
  <c r="O221" i="3" s="1" a="1"/>
  <c r="O221" i="3" s="1"/>
  <c r="F221" i="3" a="1"/>
  <c r="F221" i="3" s="1"/>
  <c r="P221" i="3" s="1" a="1"/>
  <c r="P221" i="3" s="1"/>
  <c r="G221" i="3" a="1"/>
  <c r="G221" i="3" s="1"/>
  <c r="Q221" i="3" s="1" a="1"/>
  <c r="Q221" i="3" s="1"/>
  <c r="I221" i="3" a="1"/>
  <c r="I221" i="3" s="1"/>
  <c r="T221" i="3" s="1" a="1"/>
  <c r="T221" i="3" s="1"/>
  <c r="H221" i="3" a="1"/>
  <c r="H221" i="3" s="1"/>
  <c r="R221" i="3" s="1" a="1"/>
  <c r="R221" i="3" s="1"/>
  <c r="S221" i="3" s="1" a="1"/>
  <c r="S221" i="3" s="1"/>
  <c r="J221" i="3" a="1"/>
  <c r="J221" i="3" s="1"/>
  <c r="U221" i="3" s="1" a="1"/>
  <c r="U221" i="3" s="1"/>
  <c r="K221" i="3" a="1"/>
  <c r="K221" i="3" s="1"/>
  <c r="V221" i="3" s="1" a="1"/>
  <c r="V221" i="3" s="1"/>
  <c r="B217" i="3" a="1"/>
  <c r="B217" i="3" s="1"/>
  <c r="L217" i="3" s="1" a="1"/>
  <c r="L217" i="3" s="1"/>
  <c r="C217" i="3" a="1"/>
  <c r="C217" i="3" s="1"/>
  <c r="M217" i="3" s="1" a="1"/>
  <c r="M217" i="3" s="1"/>
  <c r="D217" i="3" a="1"/>
  <c r="D217" i="3" s="1"/>
  <c r="N217" i="3" s="1" a="1"/>
  <c r="N217" i="3" s="1"/>
  <c r="E217" i="3" a="1"/>
  <c r="E217" i="3" s="1"/>
  <c r="O217" i="3" s="1" a="1"/>
  <c r="O217" i="3" s="1"/>
  <c r="F217" i="3" a="1"/>
  <c r="F217" i="3" s="1"/>
  <c r="P217" i="3" s="1" a="1"/>
  <c r="P217" i="3" s="1"/>
  <c r="G217" i="3" a="1"/>
  <c r="G217" i="3" s="1"/>
  <c r="Q217" i="3" s="1" a="1"/>
  <c r="Q217" i="3" s="1"/>
  <c r="H217" i="3" a="1"/>
  <c r="H217" i="3" s="1"/>
  <c r="R217" i="3" s="1" a="1"/>
  <c r="R217" i="3" s="1"/>
  <c r="S217" i="3" s="1" a="1"/>
  <c r="S217" i="3" s="1"/>
  <c r="I217" i="3" a="1"/>
  <c r="I217" i="3" s="1"/>
  <c r="T217" i="3" s="1" a="1"/>
  <c r="T217" i="3" s="1"/>
  <c r="J217" i="3" a="1"/>
  <c r="J217" i="3" s="1"/>
  <c r="U217" i="3" s="1" a="1"/>
  <c r="U217" i="3" s="1"/>
  <c r="K217" i="3" a="1"/>
  <c r="K217" i="3" s="1"/>
  <c r="V217" i="3" s="1" a="1"/>
  <c r="V217" i="3" s="1"/>
  <c r="B213" i="3" a="1"/>
  <c r="B213" i="3" s="1"/>
  <c r="L213" i="3" s="1" a="1"/>
  <c r="L213" i="3" s="1"/>
  <c r="C213" i="3" a="1"/>
  <c r="C213" i="3" s="1"/>
  <c r="M213" i="3" s="1" a="1"/>
  <c r="M213" i="3" s="1"/>
  <c r="D213" i="3" a="1"/>
  <c r="D213" i="3" s="1"/>
  <c r="N213" i="3" s="1" a="1"/>
  <c r="N213" i="3" s="1"/>
  <c r="E213" i="3" a="1"/>
  <c r="E213" i="3" s="1"/>
  <c r="O213" i="3" s="1" a="1"/>
  <c r="O213" i="3" s="1"/>
  <c r="F213" i="3" a="1"/>
  <c r="F213" i="3" s="1"/>
  <c r="P213" i="3" s="1" a="1"/>
  <c r="P213" i="3" s="1"/>
  <c r="G213" i="3" a="1"/>
  <c r="G213" i="3" s="1"/>
  <c r="Q213" i="3" s="1" a="1"/>
  <c r="Q213" i="3" s="1"/>
  <c r="I213" i="3" a="1"/>
  <c r="I213" i="3" s="1"/>
  <c r="T213" i="3" s="1" a="1"/>
  <c r="T213" i="3" s="1"/>
  <c r="H213" i="3" a="1"/>
  <c r="H213" i="3" s="1"/>
  <c r="R213" i="3" s="1" a="1"/>
  <c r="R213" i="3" s="1"/>
  <c r="S213" i="3" s="1" a="1"/>
  <c r="S213" i="3" s="1"/>
  <c r="J213" i="3" a="1"/>
  <c r="J213" i="3" s="1"/>
  <c r="U213" i="3" s="1" a="1"/>
  <c r="U213" i="3" s="1"/>
  <c r="K213" i="3" a="1"/>
  <c r="K213" i="3" s="1"/>
  <c r="V213" i="3" s="1" a="1"/>
  <c r="V213" i="3" s="1"/>
  <c r="B209" i="3" a="1"/>
  <c r="B209" i="3" s="1"/>
  <c r="L209" i="3" s="1" a="1"/>
  <c r="L209" i="3" s="1"/>
  <c r="C209" i="3" a="1"/>
  <c r="C209" i="3" s="1"/>
  <c r="M209" i="3" s="1" a="1"/>
  <c r="M209" i="3" s="1"/>
  <c r="D209" i="3" a="1"/>
  <c r="D209" i="3" s="1"/>
  <c r="N209" i="3" s="1" a="1"/>
  <c r="N209" i="3" s="1"/>
  <c r="E209" i="3" a="1"/>
  <c r="E209" i="3" s="1"/>
  <c r="O209" i="3" s="1" a="1"/>
  <c r="O209" i="3" s="1"/>
  <c r="F209" i="3" a="1"/>
  <c r="F209" i="3" s="1"/>
  <c r="P209" i="3" s="1" a="1"/>
  <c r="P209" i="3" s="1"/>
  <c r="G209" i="3" a="1"/>
  <c r="G209" i="3" s="1"/>
  <c r="Q209" i="3" s="1" a="1"/>
  <c r="Q209" i="3" s="1"/>
  <c r="H209" i="3" a="1"/>
  <c r="H209" i="3" s="1"/>
  <c r="R209" i="3" s="1" a="1"/>
  <c r="R209" i="3" s="1"/>
  <c r="S209" i="3" s="1" a="1"/>
  <c r="S209" i="3" s="1"/>
  <c r="I209" i="3" a="1"/>
  <c r="I209" i="3" s="1"/>
  <c r="T209" i="3" s="1" a="1"/>
  <c r="T209" i="3" s="1"/>
  <c r="J209" i="3" a="1"/>
  <c r="J209" i="3" s="1"/>
  <c r="U209" i="3" s="1" a="1"/>
  <c r="U209" i="3" s="1"/>
  <c r="K209" i="3" a="1"/>
  <c r="K209" i="3" s="1"/>
  <c r="V209" i="3" s="1" a="1"/>
  <c r="V209" i="3" s="1"/>
  <c r="B205" i="3" a="1"/>
  <c r="B205" i="3" s="1"/>
  <c r="L205" i="3" s="1" a="1"/>
  <c r="L205" i="3" s="1"/>
  <c r="C205" i="3" a="1"/>
  <c r="C205" i="3" s="1"/>
  <c r="M205" i="3" s="1" a="1"/>
  <c r="M205" i="3" s="1"/>
  <c r="D205" i="3" a="1"/>
  <c r="D205" i="3" s="1"/>
  <c r="N205" i="3" s="1" a="1"/>
  <c r="N205" i="3" s="1"/>
  <c r="E205" i="3" a="1"/>
  <c r="E205" i="3" s="1"/>
  <c r="O205" i="3" s="1" a="1"/>
  <c r="O205" i="3" s="1"/>
  <c r="F205" i="3" a="1"/>
  <c r="F205" i="3" s="1"/>
  <c r="P205" i="3" s="1" a="1"/>
  <c r="P205" i="3" s="1"/>
  <c r="G205" i="3" a="1"/>
  <c r="G205" i="3" s="1"/>
  <c r="Q205" i="3" s="1" a="1"/>
  <c r="Q205" i="3" s="1"/>
  <c r="I205" i="3" a="1"/>
  <c r="I205" i="3" s="1"/>
  <c r="T205" i="3" s="1" a="1"/>
  <c r="T205" i="3" s="1"/>
  <c r="H205" i="3" a="1"/>
  <c r="H205" i="3" s="1"/>
  <c r="R205" i="3" s="1" a="1"/>
  <c r="R205" i="3" s="1"/>
  <c r="S205" i="3" s="1" a="1"/>
  <c r="S205" i="3" s="1"/>
  <c r="J205" i="3" a="1"/>
  <c r="J205" i="3" s="1"/>
  <c r="U205" i="3" s="1" a="1"/>
  <c r="U205" i="3" s="1"/>
  <c r="K205" i="3" a="1"/>
  <c r="K205" i="3" s="1"/>
  <c r="V205" i="3" s="1" a="1"/>
  <c r="V205" i="3" s="1"/>
  <c r="B201" i="3" a="1"/>
  <c r="B201" i="3" s="1"/>
  <c r="L201" i="3" s="1" a="1"/>
  <c r="L201" i="3" s="1"/>
  <c r="C201" i="3" a="1"/>
  <c r="C201" i="3" s="1"/>
  <c r="M201" i="3" s="1" a="1"/>
  <c r="M201" i="3" s="1"/>
  <c r="D201" i="3" a="1"/>
  <c r="D201" i="3" s="1"/>
  <c r="N201" i="3" s="1" a="1"/>
  <c r="N201" i="3" s="1"/>
  <c r="E201" i="3" a="1"/>
  <c r="E201" i="3" s="1"/>
  <c r="O201" i="3" s="1" a="1"/>
  <c r="O201" i="3" s="1"/>
  <c r="F201" i="3" a="1"/>
  <c r="F201" i="3" s="1"/>
  <c r="P201" i="3" s="1" a="1"/>
  <c r="P201" i="3" s="1"/>
  <c r="G201" i="3" a="1"/>
  <c r="G201" i="3" s="1"/>
  <c r="Q201" i="3" s="1" a="1"/>
  <c r="Q201" i="3" s="1"/>
  <c r="H201" i="3" a="1"/>
  <c r="H201" i="3" s="1"/>
  <c r="R201" i="3" s="1" a="1"/>
  <c r="R201" i="3" s="1"/>
  <c r="S201" i="3" s="1" a="1"/>
  <c r="S201" i="3" s="1"/>
  <c r="I201" i="3" a="1"/>
  <c r="I201" i="3" s="1"/>
  <c r="T201" i="3" s="1" a="1"/>
  <c r="T201" i="3" s="1"/>
  <c r="J201" i="3" a="1"/>
  <c r="J201" i="3" s="1"/>
  <c r="U201" i="3" s="1" a="1"/>
  <c r="U201" i="3" s="1"/>
  <c r="K201" i="3" a="1"/>
  <c r="K201" i="3" s="1"/>
  <c r="V201" i="3" s="1" a="1"/>
  <c r="V201" i="3" s="1"/>
  <c r="B197" i="3" a="1"/>
  <c r="B197" i="3" s="1"/>
  <c r="L197" i="3" s="1" a="1"/>
  <c r="L197" i="3" s="1"/>
  <c r="C197" i="3" a="1"/>
  <c r="C197" i="3" s="1"/>
  <c r="M197" i="3" s="1" a="1"/>
  <c r="M197" i="3" s="1"/>
  <c r="D197" i="3" a="1"/>
  <c r="D197" i="3" s="1"/>
  <c r="N197" i="3" s="1" a="1"/>
  <c r="N197" i="3" s="1"/>
  <c r="E197" i="3" a="1"/>
  <c r="E197" i="3" s="1"/>
  <c r="O197" i="3" s="1" a="1"/>
  <c r="O197" i="3" s="1"/>
  <c r="F197" i="3" a="1"/>
  <c r="F197" i="3" s="1"/>
  <c r="P197" i="3" s="1" a="1"/>
  <c r="P197" i="3" s="1"/>
  <c r="G197" i="3" a="1"/>
  <c r="G197" i="3" s="1"/>
  <c r="Q197" i="3" s="1" a="1"/>
  <c r="Q197" i="3" s="1"/>
  <c r="I197" i="3" a="1"/>
  <c r="I197" i="3" s="1"/>
  <c r="T197" i="3" s="1" a="1"/>
  <c r="T197" i="3" s="1"/>
  <c r="H197" i="3" a="1"/>
  <c r="H197" i="3" s="1"/>
  <c r="R197" i="3" s="1" a="1"/>
  <c r="R197" i="3" s="1"/>
  <c r="S197" i="3" s="1" a="1"/>
  <c r="S197" i="3" s="1"/>
  <c r="J197" i="3" a="1"/>
  <c r="J197" i="3" s="1"/>
  <c r="U197" i="3" s="1" a="1"/>
  <c r="U197" i="3" s="1"/>
  <c r="K197" i="3" a="1"/>
  <c r="K197" i="3" s="1"/>
  <c r="V197" i="3" s="1" a="1"/>
  <c r="V197" i="3" s="1"/>
  <c r="B193" i="3" a="1"/>
  <c r="B193" i="3" s="1"/>
  <c r="L193" i="3" s="1" a="1"/>
  <c r="L193" i="3" s="1"/>
  <c r="C193" i="3" a="1"/>
  <c r="C193" i="3" s="1"/>
  <c r="M193" i="3" s="1" a="1"/>
  <c r="M193" i="3" s="1"/>
  <c r="D193" i="3" a="1"/>
  <c r="D193" i="3" s="1"/>
  <c r="N193" i="3" s="1" a="1"/>
  <c r="N193" i="3" s="1"/>
  <c r="E193" i="3" a="1"/>
  <c r="E193" i="3" s="1"/>
  <c r="O193" i="3" s="1" a="1"/>
  <c r="O193" i="3" s="1"/>
  <c r="F193" i="3" a="1"/>
  <c r="F193" i="3" s="1"/>
  <c r="P193" i="3" s="1" a="1"/>
  <c r="P193" i="3" s="1"/>
  <c r="G193" i="3" a="1"/>
  <c r="G193" i="3" s="1"/>
  <c r="Q193" i="3" s="1" a="1"/>
  <c r="Q193" i="3" s="1"/>
  <c r="H193" i="3" a="1"/>
  <c r="H193" i="3" s="1"/>
  <c r="R193" i="3" s="1" a="1"/>
  <c r="R193" i="3" s="1"/>
  <c r="S193" i="3" s="1" a="1"/>
  <c r="S193" i="3" s="1"/>
  <c r="I193" i="3" a="1"/>
  <c r="I193" i="3" s="1"/>
  <c r="T193" i="3" s="1" a="1"/>
  <c r="T193" i="3" s="1"/>
  <c r="J193" i="3" a="1"/>
  <c r="J193" i="3" s="1"/>
  <c r="U193" i="3" s="1" a="1"/>
  <c r="U193" i="3" s="1"/>
  <c r="K193" i="3" a="1"/>
  <c r="K193" i="3" s="1"/>
  <c r="V193" i="3" s="1" a="1"/>
  <c r="V193" i="3" s="1"/>
  <c r="B189" i="3" a="1"/>
  <c r="B189" i="3" s="1"/>
  <c r="L189" i="3" s="1" a="1"/>
  <c r="L189" i="3" s="1"/>
  <c r="C189" i="3" a="1"/>
  <c r="C189" i="3" s="1"/>
  <c r="M189" i="3" s="1" a="1"/>
  <c r="M189" i="3" s="1"/>
  <c r="D189" i="3" a="1"/>
  <c r="D189" i="3" s="1"/>
  <c r="N189" i="3" s="1" a="1"/>
  <c r="N189" i="3" s="1"/>
  <c r="E189" i="3" a="1"/>
  <c r="E189" i="3" s="1"/>
  <c r="O189" i="3" s="1" a="1"/>
  <c r="O189" i="3" s="1"/>
  <c r="F189" i="3" a="1"/>
  <c r="F189" i="3" s="1"/>
  <c r="P189" i="3" s="1" a="1"/>
  <c r="P189" i="3" s="1"/>
  <c r="G189" i="3" a="1"/>
  <c r="G189" i="3" s="1"/>
  <c r="Q189" i="3" s="1" a="1"/>
  <c r="Q189" i="3" s="1"/>
  <c r="I189" i="3" a="1"/>
  <c r="I189" i="3" s="1"/>
  <c r="T189" i="3" s="1" a="1"/>
  <c r="T189" i="3" s="1"/>
  <c r="H189" i="3" a="1"/>
  <c r="H189" i="3" s="1"/>
  <c r="R189" i="3" s="1" a="1"/>
  <c r="R189" i="3" s="1"/>
  <c r="S189" i="3" s="1" a="1"/>
  <c r="S189" i="3" s="1"/>
  <c r="J189" i="3" a="1"/>
  <c r="J189" i="3" s="1"/>
  <c r="U189" i="3" s="1" a="1"/>
  <c r="U189" i="3" s="1"/>
  <c r="K189" i="3" a="1"/>
  <c r="K189" i="3" s="1"/>
  <c r="V189" i="3" s="1" a="1"/>
  <c r="V189" i="3" s="1"/>
  <c r="B185" i="3" a="1"/>
  <c r="B185" i="3" s="1"/>
  <c r="L185" i="3" s="1" a="1"/>
  <c r="L185" i="3" s="1"/>
  <c r="C185" i="3" a="1"/>
  <c r="C185" i="3" s="1"/>
  <c r="M185" i="3" s="1" a="1"/>
  <c r="M185" i="3" s="1"/>
  <c r="D185" i="3" a="1"/>
  <c r="D185" i="3" s="1"/>
  <c r="N185" i="3" s="1" a="1"/>
  <c r="N185" i="3" s="1"/>
  <c r="E185" i="3" a="1"/>
  <c r="E185" i="3" s="1"/>
  <c r="O185" i="3" s="1" a="1"/>
  <c r="O185" i="3" s="1"/>
  <c r="F185" i="3" a="1"/>
  <c r="F185" i="3" s="1"/>
  <c r="P185" i="3" s="1" a="1"/>
  <c r="P185" i="3" s="1"/>
  <c r="G185" i="3" a="1"/>
  <c r="G185" i="3" s="1"/>
  <c r="Q185" i="3" s="1" a="1"/>
  <c r="Q185" i="3" s="1"/>
  <c r="H185" i="3" a="1"/>
  <c r="H185" i="3" s="1"/>
  <c r="R185" i="3" s="1" a="1"/>
  <c r="R185" i="3" s="1"/>
  <c r="S185" i="3" s="1" a="1"/>
  <c r="S185" i="3" s="1"/>
  <c r="I185" i="3" a="1"/>
  <c r="I185" i="3" s="1"/>
  <c r="T185" i="3" s="1" a="1"/>
  <c r="T185" i="3" s="1"/>
  <c r="J185" i="3" a="1"/>
  <c r="J185" i="3" s="1"/>
  <c r="U185" i="3" s="1" a="1"/>
  <c r="U185" i="3" s="1"/>
  <c r="K185" i="3" a="1"/>
  <c r="K185" i="3" s="1"/>
  <c r="V185" i="3" s="1" a="1"/>
  <c r="V185" i="3" s="1"/>
  <c r="B181" i="3" a="1"/>
  <c r="B181" i="3" s="1"/>
  <c r="L181" i="3" s="1" a="1"/>
  <c r="L181" i="3" s="1"/>
  <c r="C181" i="3" a="1"/>
  <c r="C181" i="3" s="1"/>
  <c r="M181" i="3" s="1" a="1"/>
  <c r="M181" i="3" s="1"/>
  <c r="D181" i="3" a="1"/>
  <c r="D181" i="3" s="1"/>
  <c r="N181" i="3" s="1" a="1"/>
  <c r="N181" i="3" s="1"/>
  <c r="E181" i="3" a="1"/>
  <c r="E181" i="3" s="1"/>
  <c r="O181" i="3" s="1" a="1"/>
  <c r="O181" i="3" s="1"/>
  <c r="F181" i="3" a="1"/>
  <c r="F181" i="3" s="1"/>
  <c r="P181" i="3" s="1" a="1"/>
  <c r="P181" i="3" s="1"/>
  <c r="G181" i="3" a="1"/>
  <c r="G181" i="3" s="1"/>
  <c r="Q181" i="3" s="1" a="1"/>
  <c r="Q181" i="3" s="1"/>
  <c r="I181" i="3" a="1"/>
  <c r="I181" i="3" s="1"/>
  <c r="T181" i="3" s="1" a="1"/>
  <c r="T181" i="3" s="1"/>
  <c r="H181" i="3" a="1"/>
  <c r="H181" i="3" s="1"/>
  <c r="R181" i="3" s="1" a="1"/>
  <c r="R181" i="3" s="1"/>
  <c r="S181" i="3" s="1" a="1"/>
  <c r="S181" i="3" s="1"/>
  <c r="J181" i="3" a="1"/>
  <c r="J181" i="3" s="1"/>
  <c r="U181" i="3" s="1" a="1"/>
  <c r="U181" i="3" s="1"/>
  <c r="K181" i="3" a="1"/>
  <c r="K181" i="3" s="1"/>
  <c r="V181" i="3" s="1" a="1"/>
  <c r="V181" i="3" s="1"/>
  <c r="B177" i="3" a="1"/>
  <c r="B177" i="3" s="1"/>
  <c r="L177" i="3" s="1" a="1"/>
  <c r="L177" i="3" s="1"/>
  <c r="C177" i="3" a="1"/>
  <c r="C177" i="3" s="1"/>
  <c r="M177" i="3" s="1" a="1"/>
  <c r="M177" i="3" s="1"/>
  <c r="D177" i="3" a="1"/>
  <c r="D177" i="3" s="1"/>
  <c r="N177" i="3" s="1" a="1"/>
  <c r="N177" i="3" s="1"/>
  <c r="E177" i="3" a="1"/>
  <c r="E177" i="3" s="1"/>
  <c r="O177" i="3" s="1" a="1"/>
  <c r="O177" i="3" s="1"/>
  <c r="F177" i="3" a="1"/>
  <c r="F177" i="3" s="1"/>
  <c r="P177" i="3" s="1" a="1"/>
  <c r="P177" i="3" s="1"/>
  <c r="G177" i="3" a="1"/>
  <c r="G177" i="3" s="1"/>
  <c r="Q177" i="3" s="1" a="1"/>
  <c r="Q177" i="3" s="1"/>
  <c r="H177" i="3" a="1"/>
  <c r="H177" i="3" s="1"/>
  <c r="R177" i="3" s="1" a="1"/>
  <c r="R177" i="3" s="1"/>
  <c r="S177" i="3" s="1" a="1"/>
  <c r="S177" i="3" s="1"/>
  <c r="I177" i="3" a="1"/>
  <c r="I177" i="3" s="1"/>
  <c r="T177" i="3" s="1" a="1"/>
  <c r="T177" i="3" s="1"/>
  <c r="J177" i="3" a="1"/>
  <c r="J177" i="3" s="1"/>
  <c r="U177" i="3" s="1" a="1"/>
  <c r="U177" i="3" s="1"/>
  <c r="K177" i="3" a="1"/>
  <c r="K177" i="3" s="1"/>
  <c r="V177" i="3" s="1" a="1"/>
  <c r="V177" i="3" s="1"/>
  <c r="B173" i="3" a="1"/>
  <c r="B173" i="3" s="1"/>
  <c r="L173" i="3" s="1" a="1"/>
  <c r="L173" i="3" s="1"/>
  <c r="C173" i="3" a="1"/>
  <c r="C173" i="3" s="1"/>
  <c r="M173" i="3" s="1" a="1"/>
  <c r="M173" i="3" s="1"/>
  <c r="D173" i="3" a="1"/>
  <c r="D173" i="3" s="1"/>
  <c r="N173" i="3" s="1" a="1"/>
  <c r="N173" i="3" s="1"/>
  <c r="E173" i="3" a="1"/>
  <c r="E173" i="3" s="1"/>
  <c r="O173" i="3" s="1" a="1"/>
  <c r="O173" i="3" s="1"/>
  <c r="F173" i="3" a="1"/>
  <c r="F173" i="3" s="1"/>
  <c r="P173" i="3" s="1" a="1"/>
  <c r="P173" i="3" s="1"/>
  <c r="G173" i="3" a="1"/>
  <c r="G173" i="3" s="1"/>
  <c r="Q173" i="3" s="1" a="1"/>
  <c r="Q173" i="3" s="1"/>
  <c r="I173" i="3" a="1"/>
  <c r="I173" i="3" s="1"/>
  <c r="T173" i="3" s="1" a="1"/>
  <c r="T173" i="3" s="1"/>
  <c r="H173" i="3" a="1"/>
  <c r="H173" i="3" s="1"/>
  <c r="R173" i="3" s="1" a="1"/>
  <c r="R173" i="3" s="1"/>
  <c r="S173" i="3" s="1" a="1"/>
  <c r="S173" i="3" s="1"/>
  <c r="J173" i="3" a="1"/>
  <c r="J173" i="3" s="1"/>
  <c r="U173" i="3" s="1" a="1"/>
  <c r="U173" i="3" s="1"/>
  <c r="K173" i="3" a="1"/>
  <c r="K173" i="3" s="1"/>
  <c r="V173" i="3" s="1" a="1"/>
  <c r="V173" i="3" s="1"/>
  <c r="B169" i="3" a="1"/>
  <c r="B169" i="3" s="1"/>
  <c r="L169" i="3" s="1" a="1"/>
  <c r="L169" i="3" s="1"/>
  <c r="C169" i="3" a="1"/>
  <c r="C169" i="3" s="1"/>
  <c r="M169" i="3" s="1" a="1"/>
  <c r="M169" i="3" s="1"/>
  <c r="D169" i="3" a="1"/>
  <c r="D169" i="3" s="1"/>
  <c r="N169" i="3" s="1" a="1"/>
  <c r="N169" i="3" s="1"/>
  <c r="E169" i="3" a="1"/>
  <c r="E169" i="3" s="1"/>
  <c r="O169" i="3" s="1" a="1"/>
  <c r="O169" i="3" s="1"/>
  <c r="F169" i="3" a="1"/>
  <c r="F169" i="3" s="1"/>
  <c r="P169" i="3" s="1" a="1"/>
  <c r="P169" i="3" s="1"/>
  <c r="G169" i="3" a="1"/>
  <c r="G169" i="3" s="1"/>
  <c r="Q169" i="3" s="1" a="1"/>
  <c r="Q169" i="3" s="1"/>
  <c r="H169" i="3" a="1"/>
  <c r="H169" i="3" s="1"/>
  <c r="R169" i="3" s="1" a="1"/>
  <c r="R169" i="3" s="1"/>
  <c r="S169" i="3" s="1" a="1"/>
  <c r="S169" i="3" s="1"/>
  <c r="I169" i="3" a="1"/>
  <c r="I169" i="3" s="1"/>
  <c r="T169" i="3" s="1" a="1"/>
  <c r="T169" i="3" s="1"/>
  <c r="J169" i="3" a="1"/>
  <c r="J169" i="3" s="1"/>
  <c r="U169" i="3" s="1" a="1"/>
  <c r="U169" i="3" s="1"/>
  <c r="K169" i="3" a="1"/>
  <c r="K169" i="3" s="1"/>
  <c r="V169" i="3" s="1" a="1"/>
  <c r="V169" i="3" s="1"/>
  <c r="B165" i="3" a="1"/>
  <c r="B165" i="3" s="1"/>
  <c r="L165" i="3" s="1" a="1"/>
  <c r="L165" i="3" s="1"/>
  <c r="C165" i="3" a="1"/>
  <c r="C165" i="3" s="1"/>
  <c r="M165" i="3" s="1" a="1"/>
  <c r="M165" i="3" s="1"/>
  <c r="D165" i="3" a="1"/>
  <c r="D165" i="3" s="1"/>
  <c r="N165" i="3" s="1" a="1"/>
  <c r="N165" i="3" s="1"/>
  <c r="E165" i="3" a="1"/>
  <c r="E165" i="3" s="1"/>
  <c r="O165" i="3" s="1" a="1"/>
  <c r="O165" i="3" s="1"/>
  <c r="F165" i="3" a="1"/>
  <c r="F165" i="3" s="1"/>
  <c r="P165" i="3" s="1" a="1"/>
  <c r="P165" i="3" s="1"/>
  <c r="G165" i="3" a="1"/>
  <c r="G165" i="3" s="1"/>
  <c r="Q165" i="3" s="1" a="1"/>
  <c r="Q165" i="3" s="1"/>
  <c r="J165" i="3" a="1"/>
  <c r="J165" i="3" s="1"/>
  <c r="U165" i="3" s="1" a="1"/>
  <c r="U165" i="3" s="1"/>
  <c r="I165" i="3" a="1"/>
  <c r="I165" i="3" s="1"/>
  <c r="T165" i="3" s="1" a="1"/>
  <c r="T165" i="3" s="1"/>
  <c r="H165" i="3" a="1"/>
  <c r="H165" i="3" s="1"/>
  <c r="R165" i="3" s="1" a="1"/>
  <c r="R165" i="3" s="1"/>
  <c r="S165" i="3" s="1" a="1"/>
  <c r="S165" i="3" s="1"/>
  <c r="K165" i="3" a="1"/>
  <c r="K165" i="3" s="1"/>
  <c r="V165" i="3" s="1" a="1"/>
  <c r="V165" i="3" s="1"/>
  <c r="B161" i="3" a="1"/>
  <c r="B161" i="3" s="1"/>
  <c r="L161" i="3" s="1" a="1"/>
  <c r="L161" i="3" s="1"/>
  <c r="C161" i="3" a="1"/>
  <c r="C161" i="3" s="1"/>
  <c r="M161" i="3" s="1" a="1"/>
  <c r="M161" i="3" s="1"/>
  <c r="D161" i="3" a="1"/>
  <c r="D161" i="3" s="1"/>
  <c r="N161" i="3" s="1" a="1"/>
  <c r="N161" i="3" s="1"/>
  <c r="E161" i="3" a="1"/>
  <c r="E161" i="3" s="1"/>
  <c r="O161" i="3" s="1" a="1"/>
  <c r="O161" i="3" s="1"/>
  <c r="F161" i="3" a="1"/>
  <c r="F161" i="3" s="1"/>
  <c r="P161" i="3" s="1" a="1"/>
  <c r="P161" i="3" s="1"/>
  <c r="G161" i="3" a="1"/>
  <c r="G161" i="3" s="1"/>
  <c r="Q161" i="3" s="1" a="1"/>
  <c r="Q161" i="3" s="1"/>
  <c r="H161" i="3" a="1"/>
  <c r="H161" i="3" s="1"/>
  <c r="R161" i="3" s="1" a="1"/>
  <c r="R161" i="3" s="1"/>
  <c r="S161" i="3" s="1" a="1"/>
  <c r="S161" i="3" s="1"/>
  <c r="I161" i="3" a="1"/>
  <c r="I161" i="3" s="1"/>
  <c r="T161" i="3" s="1" a="1"/>
  <c r="T161" i="3" s="1"/>
  <c r="J161" i="3" a="1"/>
  <c r="J161" i="3" s="1"/>
  <c r="U161" i="3" s="1" a="1"/>
  <c r="U161" i="3" s="1"/>
  <c r="K161" i="3" a="1"/>
  <c r="K161" i="3" s="1"/>
  <c r="V161" i="3" s="1" a="1"/>
  <c r="V161" i="3" s="1"/>
  <c r="B157" i="3" a="1"/>
  <c r="B157" i="3" s="1"/>
  <c r="L157" i="3" s="1" a="1"/>
  <c r="L157" i="3" s="1"/>
  <c r="C157" i="3" a="1"/>
  <c r="C157" i="3" s="1"/>
  <c r="M157" i="3" s="1" a="1"/>
  <c r="M157" i="3" s="1"/>
  <c r="D157" i="3" a="1"/>
  <c r="D157" i="3" s="1"/>
  <c r="N157" i="3" s="1" a="1"/>
  <c r="N157" i="3" s="1"/>
  <c r="E157" i="3" a="1"/>
  <c r="E157" i="3" s="1"/>
  <c r="O157" i="3" s="1" a="1"/>
  <c r="O157" i="3" s="1"/>
  <c r="F157" i="3" a="1"/>
  <c r="F157" i="3" s="1"/>
  <c r="P157" i="3" s="1" a="1"/>
  <c r="P157" i="3" s="1"/>
  <c r="G157" i="3" a="1"/>
  <c r="G157" i="3" s="1"/>
  <c r="Q157" i="3" s="1" a="1"/>
  <c r="Q157" i="3" s="1"/>
  <c r="J157" i="3" a="1"/>
  <c r="J157" i="3" s="1"/>
  <c r="U157" i="3" s="1" a="1"/>
  <c r="U157" i="3" s="1"/>
  <c r="I157" i="3" a="1"/>
  <c r="I157" i="3" s="1"/>
  <c r="T157" i="3" s="1" a="1"/>
  <c r="T157" i="3" s="1"/>
  <c r="H157" i="3" a="1"/>
  <c r="H157" i="3" s="1"/>
  <c r="R157" i="3" s="1" a="1"/>
  <c r="R157" i="3" s="1"/>
  <c r="S157" i="3" s="1" a="1"/>
  <c r="S157" i="3" s="1"/>
  <c r="K157" i="3" a="1"/>
  <c r="K157" i="3" s="1"/>
  <c r="V157" i="3" s="1" a="1"/>
  <c r="V157" i="3" s="1"/>
  <c r="B153" i="3" a="1"/>
  <c r="B153" i="3" s="1"/>
  <c r="L153" i="3" s="1" a="1"/>
  <c r="L153" i="3" s="1"/>
  <c r="C153" i="3" a="1"/>
  <c r="C153" i="3" s="1"/>
  <c r="M153" i="3" s="1" a="1"/>
  <c r="M153" i="3" s="1"/>
  <c r="D153" i="3" a="1"/>
  <c r="D153" i="3" s="1"/>
  <c r="N153" i="3" s="1" a="1"/>
  <c r="N153" i="3" s="1"/>
  <c r="E153" i="3" a="1"/>
  <c r="E153" i="3" s="1"/>
  <c r="O153" i="3" s="1" a="1"/>
  <c r="O153" i="3" s="1"/>
  <c r="F153" i="3" a="1"/>
  <c r="F153" i="3" s="1"/>
  <c r="P153" i="3" s="1" a="1"/>
  <c r="P153" i="3" s="1"/>
  <c r="G153" i="3" a="1"/>
  <c r="G153" i="3" s="1"/>
  <c r="Q153" i="3" s="1" a="1"/>
  <c r="Q153" i="3" s="1"/>
  <c r="H153" i="3" a="1"/>
  <c r="H153" i="3" s="1"/>
  <c r="R153" i="3" s="1" a="1"/>
  <c r="R153" i="3" s="1"/>
  <c r="S153" i="3" s="1" a="1"/>
  <c r="S153" i="3" s="1"/>
  <c r="I153" i="3" a="1"/>
  <c r="I153" i="3" s="1"/>
  <c r="T153" i="3" s="1" a="1"/>
  <c r="T153" i="3" s="1"/>
  <c r="J153" i="3" a="1"/>
  <c r="J153" i="3" s="1"/>
  <c r="U153" i="3" s="1" a="1"/>
  <c r="U153" i="3" s="1"/>
  <c r="K153" i="3" a="1"/>
  <c r="K153" i="3" s="1"/>
  <c r="V153" i="3" s="1" a="1"/>
  <c r="V153" i="3" s="1"/>
  <c r="B149" i="3" a="1"/>
  <c r="B149" i="3" s="1"/>
  <c r="L149" i="3" s="1" a="1"/>
  <c r="L149" i="3" s="1"/>
  <c r="C149" i="3" a="1"/>
  <c r="C149" i="3" s="1"/>
  <c r="M149" i="3" s="1" a="1"/>
  <c r="M149" i="3" s="1"/>
  <c r="D149" i="3" a="1"/>
  <c r="D149" i="3" s="1"/>
  <c r="N149" i="3" s="1" a="1"/>
  <c r="N149" i="3" s="1"/>
  <c r="E149" i="3" a="1"/>
  <c r="E149" i="3" s="1"/>
  <c r="O149" i="3" s="1" a="1"/>
  <c r="O149" i="3" s="1"/>
  <c r="F149" i="3" a="1"/>
  <c r="F149" i="3" s="1"/>
  <c r="P149" i="3" s="1" a="1"/>
  <c r="P149" i="3" s="1"/>
  <c r="G149" i="3" a="1"/>
  <c r="G149" i="3" s="1"/>
  <c r="Q149" i="3" s="1" a="1"/>
  <c r="Q149" i="3" s="1"/>
  <c r="J149" i="3" a="1"/>
  <c r="J149" i="3" s="1"/>
  <c r="U149" i="3" s="1" a="1"/>
  <c r="U149" i="3" s="1"/>
  <c r="I149" i="3" a="1"/>
  <c r="I149" i="3" s="1"/>
  <c r="T149" i="3" s="1" a="1"/>
  <c r="T149" i="3" s="1"/>
  <c r="H149" i="3" a="1"/>
  <c r="H149" i="3" s="1"/>
  <c r="R149" i="3" s="1" a="1"/>
  <c r="R149" i="3" s="1"/>
  <c r="S149" i="3" s="1" a="1"/>
  <c r="S149" i="3" s="1"/>
  <c r="K149" i="3" a="1"/>
  <c r="K149" i="3" s="1"/>
  <c r="V149" i="3" s="1" a="1"/>
  <c r="V149" i="3" s="1"/>
  <c r="B145" i="3" a="1"/>
  <c r="B145" i="3" s="1"/>
  <c r="L145" i="3" s="1" a="1"/>
  <c r="L145" i="3" s="1"/>
  <c r="C145" i="3" a="1"/>
  <c r="C145" i="3" s="1"/>
  <c r="M145" i="3" s="1" a="1"/>
  <c r="M145" i="3" s="1"/>
  <c r="D145" i="3" a="1"/>
  <c r="D145" i="3" s="1"/>
  <c r="N145" i="3" s="1" a="1"/>
  <c r="N145" i="3" s="1"/>
  <c r="E145" i="3" a="1"/>
  <c r="E145" i="3" s="1"/>
  <c r="O145" i="3" s="1" a="1"/>
  <c r="O145" i="3" s="1"/>
  <c r="F145" i="3" a="1"/>
  <c r="F145" i="3" s="1"/>
  <c r="P145" i="3" s="1" a="1"/>
  <c r="P145" i="3" s="1"/>
  <c r="G145" i="3" a="1"/>
  <c r="G145" i="3" s="1"/>
  <c r="Q145" i="3" s="1" a="1"/>
  <c r="Q145" i="3" s="1"/>
  <c r="H145" i="3" a="1"/>
  <c r="H145" i="3" s="1"/>
  <c r="R145" i="3" s="1" a="1"/>
  <c r="R145" i="3" s="1"/>
  <c r="S145" i="3" s="1" a="1"/>
  <c r="S145" i="3" s="1"/>
  <c r="I145" i="3" a="1"/>
  <c r="I145" i="3" s="1"/>
  <c r="T145" i="3" s="1" a="1"/>
  <c r="T145" i="3" s="1"/>
  <c r="J145" i="3" a="1"/>
  <c r="J145" i="3" s="1"/>
  <c r="U145" i="3" s="1" a="1"/>
  <c r="U145" i="3" s="1"/>
  <c r="K145" i="3" a="1"/>
  <c r="K145" i="3" s="1"/>
  <c r="V145" i="3" s="1" a="1"/>
  <c r="V145" i="3" s="1"/>
  <c r="B141" i="3" a="1"/>
  <c r="B141" i="3" s="1"/>
  <c r="L141" i="3" s="1" a="1"/>
  <c r="L141" i="3" s="1"/>
  <c r="C141" i="3" a="1"/>
  <c r="C141" i="3" s="1"/>
  <c r="M141" i="3" s="1" a="1"/>
  <c r="M141" i="3" s="1"/>
  <c r="D141" i="3" a="1"/>
  <c r="D141" i="3" s="1"/>
  <c r="N141" i="3" s="1" a="1"/>
  <c r="N141" i="3" s="1"/>
  <c r="E141" i="3" a="1"/>
  <c r="E141" i="3" s="1"/>
  <c r="O141" i="3" s="1" a="1"/>
  <c r="O141" i="3" s="1"/>
  <c r="F141" i="3" a="1"/>
  <c r="F141" i="3" s="1"/>
  <c r="P141" i="3" s="1" a="1"/>
  <c r="P141" i="3" s="1"/>
  <c r="G141" i="3" a="1"/>
  <c r="G141" i="3" s="1"/>
  <c r="Q141" i="3" s="1" a="1"/>
  <c r="Q141" i="3" s="1"/>
  <c r="J141" i="3" a="1"/>
  <c r="J141" i="3" s="1"/>
  <c r="U141" i="3" s="1" a="1"/>
  <c r="U141" i="3" s="1"/>
  <c r="I141" i="3" a="1"/>
  <c r="I141" i="3" s="1"/>
  <c r="T141" i="3" s="1" a="1"/>
  <c r="T141" i="3" s="1"/>
  <c r="H141" i="3" a="1"/>
  <c r="H141" i="3" s="1"/>
  <c r="R141" i="3" s="1" a="1"/>
  <c r="R141" i="3" s="1"/>
  <c r="S141" i="3" s="1" a="1"/>
  <c r="S141" i="3" s="1"/>
  <c r="K141" i="3" a="1"/>
  <c r="K141" i="3" s="1"/>
  <c r="V141" i="3" s="1" a="1"/>
  <c r="V141" i="3" s="1"/>
  <c r="B137" i="3" a="1"/>
  <c r="B137" i="3" s="1"/>
  <c r="L137" i="3" s="1" a="1"/>
  <c r="L137" i="3" s="1"/>
  <c r="C137" i="3" a="1"/>
  <c r="C137" i="3" s="1"/>
  <c r="M137" i="3" s="1" a="1"/>
  <c r="M137" i="3" s="1"/>
  <c r="D137" i="3" a="1"/>
  <c r="D137" i="3" s="1"/>
  <c r="N137" i="3" s="1" a="1"/>
  <c r="N137" i="3" s="1"/>
  <c r="E137" i="3" a="1"/>
  <c r="E137" i="3" s="1"/>
  <c r="O137" i="3" s="1" a="1"/>
  <c r="O137" i="3" s="1"/>
  <c r="F137" i="3" a="1"/>
  <c r="F137" i="3" s="1"/>
  <c r="P137" i="3" s="1" a="1"/>
  <c r="P137" i="3" s="1"/>
  <c r="G137" i="3" a="1"/>
  <c r="G137" i="3" s="1"/>
  <c r="Q137" i="3" s="1" a="1"/>
  <c r="Q137" i="3" s="1"/>
  <c r="H137" i="3" a="1"/>
  <c r="H137" i="3" s="1"/>
  <c r="R137" i="3" s="1" a="1"/>
  <c r="R137" i="3" s="1"/>
  <c r="S137" i="3" s="1" a="1"/>
  <c r="S137" i="3" s="1"/>
  <c r="J137" i="3" a="1"/>
  <c r="J137" i="3" s="1"/>
  <c r="U137" i="3" s="1" a="1"/>
  <c r="U137" i="3" s="1"/>
  <c r="I137" i="3" a="1"/>
  <c r="I137" i="3" s="1"/>
  <c r="T137" i="3" s="1" a="1"/>
  <c r="T137" i="3" s="1"/>
  <c r="K137" i="3" a="1"/>
  <c r="K137" i="3" s="1"/>
  <c r="V137" i="3" s="1" a="1"/>
  <c r="V137" i="3" s="1"/>
  <c r="B133" i="3" a="1"/>
  <c r="B133" i="3" s="1"/>
  <c r="L133" i="3" s="1" a="1"/>
  <c r="L133" i="3" s="1"/>
  <c r="C133" i="3" a="1"/>
  <c r="C133" i="3" s="1"/>
  <c r="M133" i="3" s="1" a="1"/>
  <c r="M133" i="3" s="1"/>
  <c r="D133" i="3" a="1"/>
  <c r="D133" i="3" s="1"/>
  <c r="N133" i="3" s="1" a="1"/>
  <c r="N133" i="3" s="1"/>
  <c r="E133" i="3" a="1"/>
  <c r="E133" i="3" s="1"/>
  <c r="O133" i="3" s="1" a="1"/>
  <c r="O133" i="3" s="1"/>
  <c r="F133" i="3" a="1"/>
  <c r="F133" i="3" s="1"/>
  <c r="P133" i="3" s="1" a="1"/>
  <c r="P133" i="3" s="1"/>
  <c r="G133" i="3" a="1"/>
  <c r="G133" i="3" s="1"/>
  <c r="Q133" i="3" s="1" a="1"/>
  <c r="Q133" i="3" s="1"/>
  <c r="J133" i="3" a="1"/>
  <c r="J133" i="3" s="1"/>
  <c r="U133" i="3" s="1" a="1"/>
  <c r="U133" i="3" s="1"/>
  <c r="I133" i="3" a="1"/>
  <c r="I133" i="3" s="1"/>
  <c r="T133" i="3" s="1" a="1"/>
  <c r="T133" i="3" s="1"/>
  <c r="H133" i="3" a="1"/>
  <c r="H133" i="3" s="1"/>
  <c r="R133" i="3" s="1" a="1"/>
  <c r="R133" i="3" s="1"/>
  <c r="S133" i="3" s="1" a="1"/>
  <c r="S133" i="3" s="1"/>
  <c r="K133" i="3" a="1"/>
  <c r="K133" i="3" s="1"/>
  <c r="V133" i="3" s="1" a="1"/>
  <c r="V133" i="3" s="1"/>
  <c r="B129" i="3" a="1"/>
  <c r="B129" i="3" s="1"/>
  <c r="L129" i="3" s="1" a="1"/>
  <c r="L129" i="3" s="1"/>
  <c r="C129" i="3" a="1"/>
  <c r="C129" i="3" s="1"/>
  <c r="M129" i="3" s="1" a="1"/>
  <c r="M129" i="3" s="1"/>
  <c r="D129" i="3" a="1"/>
  <c r="D129" i="3" s="1"/>
  <c r="N129" i="3" s="1" a="1"/>
  <c r="N129" i="3" s="1"/>
  <c r="E129" i="3" a="1"/>
  <c r="E129" i="3" s="1"/>
  <c r="O129" i="3" s="1" a="1"/>
  <c r="O129" i="3" s="1"/>
  <c r="F129" i="3" a="1"/>
  <c r="F129" i="3" s="1"/>
  <c r="P129" i="3" s="1" a="1"/>
  <c r="P129" i="3" s="1"/>
  <c r="G129" i="3" a="1"/>
  <c r="G129" i="3" s="1"/>
  <c r="Q129" i="3" s="1" a="1"/>
  <c r="Q129" i="3" s="1"/>
  <c r="H129" i="3" a="1"/>
  <c r="H129" i="3" s="1"/>
  <c r="R129" i="3" s="1" a="1"/>
  <c r="R129" i="3" s="1"/>
  <c r="S129" i="3" s="1" a="1"/>
  <c r="S129" i="3" s="1"/>
  <c r="J129" i="3" a="1"/>
  <c r="J129" i="3" s="1"/>
  <c r="U129" i="3" s="1" a="1"/>
  <c r="U129" i="3" s="1"/>
  <c r="I129" i="3" a="1"/>
  <c r="I129" i="3" s="1"/>
  <c r="T129" i="3" s="1" a="1"/>
  <c r="T129" i="3" s="1"/>
  <c r="K129" i="3" a="1"/>
  <c r="K129" i="3" s="1"/>
  <c r="V129" i="3" s="1" a="1"/>
  <c r="V129" i="3" s="1"/>
  <c r="B125" i="3" a="1"/>
  <c r="B125" i="3" s="1"/>
  <c r="L125" i="3" s="1" a="1"/>
  <c r="L125" i="3" s="1"/>
  <c r="C125" i="3" a="1"/>
  <c r="C125" i="3" s="1"/>
  <c r="M125" i="3" s="1" a="1"/>
  <c r="M125" i="3" s="1"/>
  <c r="D125" i="3" a="1"/>
  <c r="D125" i="3" s="1"/>
  <c r="N125" i="3" s="1" a="1"/>
  <c r="N125" i="3" s="1"/>
  <c r="E125" i="3" a="1"/>
  <c r="E125" i="3" s="1"/>
  <c r="O125" i="3" s="1" a="1"/>
  <c r="O125" i="3" s="1"/>
  <c r="F125" i="3" a="1"/>
  <c r="F125" i="3" s="1"/>
  <c r="P125" i="3" s="1" a="1"/>
  <c r="P125" i="3" s="1"/>
  <c r="G125" i="3" a="1"/>
  <c r="G125" i="3" s="1"/>
  <c r="Q125" i="3" s="1" a="1"/>
  <c r="Q125" i="3" s="1"/>
  <c r="J125" i="3" a="1"/>
  <c r="J125" i="3" s="1"/>
  <c r="U125" i="3" s="1" a="1"/>
  <c r="U125" i="3" s="1"/>
  <c r="I125" i="3" a="1"/>
  <c r="I125" i="3" s="1"/>
  <c r="T125" i="3" s="1" a="1"/>
  <c r="T125" i="3" s="1"/>
  <c r="H125" i="3" a="1"/>
  <c r="H125" i="3" s="1"/>
  <c r="R125" i="3" s="1" a="1"/>
  <c r="R125" i="3" s="1"/>
  <c r="S125" i="3" s="1" a="1"/>
  <c r="S125" i="3" s="1"/>
  <c r="K125" i="3" a="1"/>
  <c r="K125" i="3" s="1"/>
  <c r="V125" i="3" s="1" a="1"/>
  <c r="V125" i="3" s="1"/>
  <c r="B121" i="3" a="1"/>
  <c r="B121" i="3" s="1"/>
  <c r="L121" i="3" s="1" a="1"/>
  <c r="L121" i="3" s="1"/>
  <c r="C121" i="3" a="1"/>
  <c r="C121" i="3" s="1"/>
  <c r="M121" i="3" s="1" a="1"/>
  <c r="M121" i="3" s="1"/>
  <c r="D121" i="3" a="1"/>
  <c r="D121" i="3" s="1"/>
  <c r="N121" i="3" s="1" a="1"/>
  <c r="N121" i="3" s="1"/>
  <c r="E121" i="3" a="1"/>
  <c r="E121" i="3" s="1"/>
  <c r="O121" i="3" s="1" a="1"/>
  <c r="O121" i="3" s="1"/>
  <c r="F121" i="3" a="1"/>
  <c r="F121" i="3" s="1"/>
  <c r="P121" i="3" s="1" a="1"/>
  <c r="P121" i="3" s="1"/>
  <c r="G121" i="3" a="1"/>
  <c r="G121" i="3" s="1"/>
  <c r="Q121" i="3" s="1" a="1"/>
  <c r="Q121" i="3" s="1"/>
  <c r="H121" i="3" a="1"/>
  <c r="H121" i="3" s="1"/>
  <c r="R121" i="3" s="1" a="1"/>
  <c r="R121" i="3" s="1"/>
  <c r="S121" i="3" s="1" a="1"/>
  <c r="S121" i="3" s="1"/>
  <c r="J121" i="3" a="1"/>
  <c r="J121" i="3" s="1"/>
  <c r="U121" i="3" s="1" a="1"/>
  <c r="U121" i="3" s="1"/>
  <c r="I121" i="3" a="1"/>
  <c r="I121" i="3" s="1"/>
  <c r="T121" i="3" s="1" a="1"/>
  <c r="T121" i="3" s="1"/>
  <c r="K121" i="3" a="1"/>
  <c r="K121" i="3" s="1"/>
  <c r="V121" i="3" s="1" a="1"/>
  <c r="V121" i="3" s="1"/>
  <c r="B117" i="3" a="1"/>
  <c r="B117" i="3" s="1"/>
  <c r="L117" i="3" s="1" a="1"/>
  <c r="L117" i="3" s="1"/>
  <c r="C117" i="3" a="1"/>
  <c r="C117" i="3" s="1"/>
  <c r="M117" i="3" s="1" a="1"/>
  <c r="M117" i="3" s="1"/>
  <c r="D117" i="3" a="1"/>
  <c r="D117" i="3" s="1"/>
  <c r="N117" i="3" s="1" a="1"/>
  <c r="N117" i="3" s="1"/>
  <c r="E117" i="3" a="1"/>
  <c r="E117" i="3" s="1"/>
  <c r="O117" i="3" s="1" a="1"/>
  <c r="O117" i="3" s="1"/>
  <c r="F117" i="3" a="1"/>
  <c r="F117" i="3" s="1"/>
  <c r="P117" i="3" s="1" a="1"/>
  <c r="P117" i="3" s="1"/>
  <c r="G117" i="3" a="1"/>
  <c r="G117" i="3" s="1"/>
  <c r="Q117" i="3" s="1" a="1"/>
  <c r="Q117" i="3" s="1"/>
  <c r="J117" i="3" a="1"/>
  <c r="J117" i="3" s="1"/>
  <c r="U117" i="3" s="1" a="1"/>
  <c r="U117" i="3" s="1"/>
  <c r="I117" i="3" a="1"/>
  <c r="I117" i="3" s="1"/>
  <c r="T117" i="3" s="1" a="1"/>
  <c r="T117" i="3" s="1"/>
  <c r="H117" i="3" a="1"/>
  <c r="H117" i="3" s="1"/>
  <c r="R117" i="3" s="1" a="1"/>
  <c r="R117" i="3" s="1"/>
  <c r="S117" i="3" s="1" a="1"/>
  <c r="S117" i="3" s="1"/>
  <c r="K117" i="3" a="1"/>
  <c r="K117" i="3" s="1"/>
  <c r="V117" i="3" s="1" a="1"/>
  <c r="V117" i="3" s="1"/>
  <c r="B113" i="3" a="1"/>
  <c r="B113" i="3" s="1"/>
  <c r="L113" i="3" s="1" a="1"/>
  <c r="L113" i="3" s="1"/>
  <c r="C113" i="3" a="1"/>
  <c r="C113" i="3" s="1"/>
  <c r="M113" i="3" s="1" a="1"/>
  <c r="M113" i="3" s="1"/>
  <c r="D113" i="3" a="1"/>
  <c r="D113" i="3" s="1"/>
  <c r="N113" i="3" s="1" a="1"/>
  <c r="N113" i="3" s="1"/>
  <c r="E113" i="3" a="1"/>
  <c r="E113" i="3" s="1"/>
  <c r="O113" i="3" s="1" a="1"/>
  <c r="O113" i="3" s="1"/>
  <c r="F113" i="3" a="1"/>
  <c r="F113" i="3" s="1"/>
  <c r="P113" i="3" s="1" a="1"/>
  <c r="P113" i="3" s="1"/>
  <c r="G113" i="3" a="1"/>
  <c r="G113" i="3" s="1"/>
  <c r="Q113" i="3" s="1" a="1"/>
  <c r="Q113" i="3" s="1"/>
  <c r="H113" i="3" a="1"/>
  <c r="H113" i="3" s="1"/>
  <c r="R113" i="3" s="1" a="1"/>
  <c r="R113" i="3" s="1"/>
  <c r="S113" i="3" s="1" a="1"/>
  <c r="S113" i="3" s="1"/>
  <c r="J113" i="3" a="1"/>
  <c r="J113" i="3" s="1"/>
  <c r="U113" i="3" s="1" a="1"/>
  <c r="U113" i="3" s="1"/>
  <c r="I113" i="3" a="1"/>
  <c r="I113" i="3" s="1"/>
  <c r="T113" i="3" s="1" a="1"/>
  <c r="T113" i="3" s="1"/>
  <c r="K113" i="3" a="1"/>
  <c r="K113" i="3" s="1"/>
  <c r="V113" i="3" s="1" a="1"/>
  <c r="V113" i="3" s="1"/>
  <c r="B109" i="3" a="1"/>
  <c r="B109" i="3" s="1"/>
  <c r="L109" i="3" s="1" a="1"/>
  <c r="L109" i="3" s="1"/>
  <c r="C109" i="3" a="1"/>
  <c r="C109" i="3" s="1"/>
  <c r="M109" i="3" s="1" a="1"/>
  <c r="M109" i="3" s="1"/>
  <c r="D109" i="3" a="1"/>
  <c r="D109" i="3" s="1"/>
  <c r="N109" i="3" s="1" a="1"/>
  <c r="N109" i="3" s="1"/>
  <c r="E109" i="3" a="1"/>
  <c r="E109" i="3" s="1"/>
  <c r="O109" i="3" s="1" a="1"/>
  <c r="O109" i="3" s="1"/>
  <c r="F109" i="3" a="1"/>
  <c r="F109" i="3" s="1"/>
  <c r="P109" i="3" s="1" a="1"/>
  <c r="P109" i="3" s="1"/>
  <c r="G109" i="3" a="1"/>
  <c r="G109" i="3" s="1"/>
  <c r="Q109" i="3" s="1" a="1"/>
  <c r="Q109" i="3" s="1"/>
  <c r="J109" i="3" a="1"/>
  <c r="J109" i="3" s="1"/>
  <c r="U109" i="3" s="1" a="1"/>
  <c r="U109" i="3" s="1"/>
  <c r="I109" i="3" a="1"/>
  <c r="I109" i="3" s="1"/>
  <c r="T109" i="3" s="1" a="1"/>
  <c r="T109" i="3" s="1"/>
  <c r="H109" i="3" a="1"/>
  <c r="H109" i="3" s="1"/>
  <c r="R109" i="3" s="1" a="1"/>
  <c r="R109" i="3" s="1"/>
  <c r="S109" i="3" s="1" a="1"/>
  <c r="S109" i="3" s="1"/>
  <c r="K109" i="3" a="1"/>
  <c r="K109" i="3" s="1"/>
  <c r="V109" i="3" s="1" a="1"/>
  <c r="V109" i="3" s="1"/>
  <c r="B105" i="3" a="1"/>
  <c r="B105" i="3" s="1"/>
  <c r="L105" i="3" s="1" a="1"/>
  <c r="L105" i="3" s="1"/>
  <c r="C105" i="3" a="1"/>
  <c r="C105" i="3" s="1"/>
  <c r="M105" i="3" s="1" a="1"/>
  <c r="M105" i="3" s="1"/>
  <c r="D105" i="3" a="1"/>
  <c r="D105" i="3" s="1"/>
  <c r="N105" i="3" s="1" a="1"/>
  <c r="N105" i="3" s="1"/>
  <c r="E105" i="3" a="1"/>
  <c r="E105" i="3" s="1"/>
  <c r="O105" i="3" s="1" a="1"/>
  <c r="O105" i="3" s="1"/>
  <c r="F105" i="3" a="1"/>
  <c r="F105" i="3" s="1"/>
  <c r="P105" i="3" s="1" a="1"/>
  <c r="P105" i="3" s="1"/>
  <c r="G105" i="3" a="1"/>
  <c r="G105" i="3" s="1"/>
  <c r="Q105" i="3" s="1" a="1"/>
  <c r="Q105" i="3" s="1"/>
  <c r="H105" i="3" a="1"/>
  <c r="H105" i="3" s="1"/>
  <c r="R105" i="3" s="1" a="1"/>
  <c r="R105" i="3" s="1"/>
  <c r="S105" i="3" s="1" a="1"/>
  <c r="S105" i="3" s="1"/>
  <c r="J105" i="3" a="1"/>
  <c r="J105" i="3" s="1"/>
  <c r="U105" i="3" s="1" a="1"/>
  <c r="U105" i="3" s="1"/>
  <c r="I105" i="3" a="1"/>
  <c r="I105" i="3" s="1"/>
  <c r="T105" i="3" s="1" a="1"/>
  <c r="T105" i="3" s="1"/>
  <c r="K105" i="3" a="1"/>
  <c r="K105" i="3" s="1"/>
  <c r="V105" i="3" s="1" a="1"/>
  <c r="V105" i="3" s="1"/>
  <c r="B101" i="3" a="1"/>
  <c r="B101" i="3" s="1"/>
  <c r="L101" i="3" s="1" a="1"/>
  <c r="L101" i="3" s="1"/>
  <c r="C101" i="3" a="1"/>
  <c r="C101" i="3" s="1"/>
  <c r="M101" i="3" s="1" a="1"/>
  <c r="M101" i="3" s="1"/>
  <c r="D101" i="3" a="1"/>
  <c r="D101" i="3" s="1"/>
  <c r="N101" i="3" s="1" a="1"/>
  <c r="N101" i="3" s="1"/>
  <c r="E101" i="3" a="1"/>
  <c r="E101" i="3" s="1"/>
  <c r="O101" i="3" s="1" a="1"/>
  <c r="O101" i="3" s="1"/>
  <c r="F101" i="3" a="1"/>
  <c r="F101" i="3" s="1"/>
  <c r="P101" i="3" s="1" a="1"/>
  <c r="P101" i="3" s="1"/>
  <c r="G101" i="3" a="1"/>
  <c r="G101" i="3" s="1"/>
  <c r="Q101" i="3" s="1" a="1"/>
  <c r="Q101" i="3" s="1"/>
  <c r="J101" i="3" a="1"/>
  <c r="J101" i="3" s="1"/>
  <c r="U101" i="3" s="1" a="1"/>
  <c r="U101" i="3" s="1"/>
  <c r="I101" i="3" a="1"/>
  <c r="I101" i="3" s="1"/>
  <c r="T101" i="3" s="1" a="1"/>
  <c r="T101" i="3" s="1"/>
  <c r="H101" i="3" a="1"/>
  <c r="H101" i="3" s="1"/>
  <c r="R101" i="3" s="1" a="1"/>
  <c r="R101" i="3" s="1"/>
  <c r="S101" i="3" s="1" a="1"/>
  <c r="S101" i="3" s="1"/>
  <c r="K101" i="3" a="1"/>
  <c r="K101" i="3" s="1"/>
  <c r="V101" i="3" s="1" a="1"/>
  <c r="V101" i="3" s="1"/>
  <c r="B97" i="3" a="1"/>
  <c r="B97" i="3" s="1"/>
  <c r="L97" i="3" s="1" a="1"/>
  <c r="L97" i="3" s="1"/>
  <c r="C97" i="3" a="1"/>
  <c r="C97" i="3" s="1"/>
  <c r="M97" i="3" s="1" a="1"/>
  <c r="M97" i="3" s="1"/>
  <c r="D97" i="3" a="1"/>
  <c r="D97" i="3" s="1"/>
  <c r="N97" i="3" s="1" a="1"/>
  <c r="N97" i="3" s="1"/>
  <c r="E97" i="3" a="1"/>
  <c r="E97" i="3" s="1"/>
  <c r="O97" i="3" s="1" a="1"/>
  <c r="O97" i="3" s="1"/>
  <c r="F97" i="3" a="1"/>
  <c r="F97" i="3" s="1"/>
  <c r="P97" i="3" s="1" a="1"/>
  <c r="P97" i="3" s="1"/>
  <c r="G97" i="3" a="1"/>
  <c r="G97" i="3" s="1"/>
  <c r="Q97" i="3" s="1" a="1"/>
  <c r="Q97" i="3" s="1"/>
  <c r="H97" i="3" a="1"/>
  <c r="H97" i="3" s="1"/>
  <c r="R97" i="3" s="1" a="1"/>
  <c r="R97" i="3" s="1"/>
  <c r="S97" i="3" s="1" a="1"/>
  <c r="S97" i="3" s="1"/>
  <c r="J97" i="3" a="1"/>
  <c r="J97" i="3" s="1"/>
  <c r="U97" i="3" s="1" a="1"/>
  <c r="U97" i="3" s="1"/>
  <c r="I97" i="3" a="1"/>
  <c r="I97" i="3" s="1"/>
  <c r="T97" i="3" s="1" a="1"/>
  <c r="T97" i="3" s="1"/>
  <c r="K97" i="3" a="1"/>
  <c r="K97" i="3" s="1"/>
  <c r="V97" i="3" s="1" a="1"/>
  <c r="V97" i="3" s="1"/>
  <c r="B93" i="3" a="1"/>
  <c r="B93" i="3" s="1"/>
  <c r="L93" i="3" s="1" a="1"/>
  <c r="L93" i="3" s="1"/>
  <c r="C93" i="3" a="1"/>
  <c r="C93" i="3" s="1"/>
  <c r="M93" i="3" s="1" a="1"/>
  <c r="M93" i="3" s="1"/>
  <c r="D93" i="3" a="1"/>
  <c r="D93" i="3" s="1"/>
  <c r="N93" i="3" s="1" a="1"/>
  <c r="N93" i="3" s="1"/>
  <c r="E93" i="3" a="1"/>
  <c r="E93" i="3" s="1"/>
  <c r="O93" i="3" s="1" a="1"/>
  <c r="O93" i="3" s="1"/>
  <c r="F93" i="3" a="1"/>
  <c r="F93" i="3" s="1"/>
  <c r="P93" i="3" s="1" a="1"/>
  <c r="P93" i="3" s="1"/>
  <c r="G93" i="3" a="1"/>
  <c r="G93" i="3" s="1"/>
  <c r="Q93" i="3" s="1" a="1"/>
  <c r="Q93" i="3" s="1"/>
  <c r="J93" i="3" a="1"/>
  <c r="J93" i="3" s="1"/>
  <c r="U93" i="3" s="1" a="1"/>
  <c r="U93" i="3" s="1"/>
  <c r="I93" i="3" a="1"/>
  <c r="I93" i="3" s="1"/>
  <c r="T93" i="3" s="1" a="1"/>
  <c r="T93" i="3" s="1"/>
  <c r="H93" i="3" a="1"/>
  <c r="H93" i="3" s="1"/>
  <c r="R93" i="3" s="1" a="1"/>
  <c r="R93" i="3" s="1"/>
  <c r="S93" i="3" s="1" a="1"/>
  <c r="S93" i="3" s="1"/>
  <c r="K93" i="3" a="1"/>
  <c r="K93" i="3" s="1"/>
  <c r="V93" i="3" s="1" a="1"/>
  <c r="V93" i="3" s="1"/>
  <c r="B89" i="3" a="1"/>
  <c r="B89" i="3" s="1"/>
  <c r="L89" i="3" s="1" a="1"/>
  <c r="L89" i="3" s="1"/>
  <c r="C89" i="3" a="1"/>
  <c r="C89" i="3" s="1"/>
  <c r="M89" i="3" s="1" a="1"/>
  <c r="M89" i="3" s="1"/>
  <c r="D89" i="3" a="1"/>
  <c r="D89" i="3" s="1"/>
  <c r="N89" i="3" s="1" a="1"/>
  <c r="N89" i="3" s="1"/>
  <c r="E89" i="3" a="1"/>
  <c r="E89" i="3" s="1"/>
  <c r="O89" i="3" s="1" a="1"/>
  <c r="O89" i="3" s="1"/>
  <c r="F89" i="3" a="1"/>
  <c r="F89" i="3" s="1"/>
  <c r="P89" i="3" s="1" a="1"/>
  <c r="P89" i="3" s="1"/>
  <c r="G89" i="3" a="1"/>
  <c r="G89" i="3" s="1"/>
  <c r="Q89" i="3" s="1" a="1"/>
  <c r="Q89" i="3" s="1"/>
  <c r="H89" i="3" a="1"/>
  <c r="H89" i="3" s="1"/>
  <c r="R89" i="3" s="1" a="1"/>
  <c r="R89" i="3" s="1"/>
  <c r="S89" i="3" s="1" a="1"/>
  <c r="S89" i="3" s="1"/>
  <c r="J89" i="3" a="1"/>
  <c r="J89" i="3" s="1"/>
  <c r="U89" i="3" s="1" a="1"/>
  <c r="U89" i="3" s="1"/>
  <c r="I89" i="3" a="1"/>
  <c r="I89" i="3" s="1"/>
  <c r="T89" i="3" s="1" a="1"/>
  <c r="T89" i="3" s="1"/>
  <c r="K89" i="3" a="1"/>
  <c r="K89" i="3" s="1"/>
  <c r="V89" i="3" s="1" a="1"/>
  <c r="V89" i="3" s="1"/>
  <c r="B85" i="3" a="1"/>
  <c r="B85" i="3" s="1"/>
  <c r="L85" i="3" s="1" a="1"/>
  <c r="L85" i="3" s="1"/>
  <c r="C85" i="3" a="1"/>
  <c r="C85" i="3" s="1"/>
  <c r="M85" i="3" s="1" a="1"/>
  <c r="M85" i="3" s="1"/>
  <c r="D85" i="3" a="1"/>
  <c r="D85" i="3" s="1"/>
  <c r="N85" i="3" s="1" a="1"/>
  <c r="N85" i="3" s="1"/>
  <c r="E85" i="3" a="1"/>
  <c r="E85" i="3" s="1"/>
  <c r="O85" i="3" s="1" a="1"/>
  <c r="O85" i="3" s="1"/>
  <c r="F85" i="3" a="1"/>
  <c r="F85" i="3" s="1"/>
  <c r="P85" i="3" s="1" a="1"/>
  <c r="P85" i="3" s="1"/>
  <c r="G85" i="3" a="1"/>
  <c r="G85" i="3" s="1"/>
  <c r="Q85" i="3" s="1" a="1"/>
  <c r="Q85" i="3" s="1"/>
  <c r="J85" i="3" a="1"/>
  <c r="J85" i="3" s="1"/>
  <c r="U85" i="3" s="1" a="1"/>
  <c r="U85" i="3" s="1"/>
  <c r="I85" i="3" a="1"/>
  <c r="I85" i="3" s="1"/>
  <c r="T85" i="3" s="1" a="1"/>
  <c r="T85" i="3" s="1"/>
  <c r="H85" i="3" a="1"/>
  <c r="H85" i="3" s="1"/>
  <c r="R85" i="3" s="1" a="1"/>
  <c r="R85" i="3" s="1"/>
  <c r="S85" i="3" s="1" a="1"/>
  <c r="S85" i="3" s="1"/>
  <c r="K85" i="3" a="1"/>
  <c r="K85" i="3" s="1"/>
  <c r="V85" i="3" s="1" a="1"/>
  <c r="V85" i="3" s="1"/>
  <c r="B81" i="3" a="1"/>
  <c r="B81" i="3" s="1"/>
  <c r="L81" i="3" s="1" a="1"/>
  <c r="L81" i="3" s="1"/>
  <c r="C81" i="3" a="1"/>
  <c r="C81" i="3" s="1"/>
  <c r="M81" i="3" s="1" a="1"/>
  <c r="M81" i="3" s="1"/>
  <c r="D81" i="3" a="1"/>
  <c r="D81" i="3" s="1"/>
  <c r="N81" i="3" s="1" a="1"/>
  <c r="N81" i="3" s="1"/>
  <c r="E81" i="3" a="1"/>
  <c r="E81" i="3" s="1"/>
  <c r="O81" i="3" s="1" a="1"/>
  <c r="O81" i="3" s="1"/>
  <c r="F81" i="3" a="1"/>
  <c r="F81" i="3" s="1"/>
  <c r="P81" i="3" s="1" a="1"/>
  <c r="P81" i="3" s="1"/>
  <c r="G81" i="3" a="1"/>
  <c r="G81" i="3" s="1"/>
  <c r="Q81" i="3" s="1" a="1"/>
  <c r="Q81" i="3" s="1"/>
  <c r="H81" i="3" a="1"/>
  <c r="H81" i="3" s="1"/>
  <c r="R81" i="3" s="1" a="1"/>
  <c r="R81" i="3" s="1"/>
  <c r="S81" i="3" s="1" a="1"/>
  <c r="S81" i="3" s="1"/>
  <c r="J81" i="3" a="1"/>
  <c r="J81" i="3" s="1"/>
  <c r="U81" i="3" s="1" a="1"/>
  <c r="U81" i="3" s="1"/>
  <c r="I81" i="3" a="1"/>
  <c r="I81" i="3" s="1"/>
  <c r="T81" i="3" s="1" a="1"/>
  <c r="T81" i="3" s="1"/>
  <c r="K81" i="3" a="1"/>
  <c r="K81" i="3" s="1"/>
  <c r="V81" i="3" s="1" a="1"/>
  <c r="V81" i="3" s="1"/>
  <c r="B77" i="3" a="1"/>
  <c r="B77" i="3" s="1"/>
  <c r="L77" i="3" s="1" a="1"/>
  <c r="L77" i="3" s="1"/>
  <c r="C77" i="3" a="1"/>
  <c r="C77" i="3" s="1"/>
  <c r="M77" i="3" s="1" a="1"/>
  <c r="M77" i="3" s="1"/>
  <c r="D77" i="3" a="1"/>
  <c r="D77" i="3" s="1"/>
  <c r="N77" i="3" s="1" a="1"/>
  <c r="N77" i="3" s="1"/>
  <c r="E77" i="3" a="1"/>
  <c r="E77" i="3" s="1"/>
  <c r="O77" i="3" s="1" a="1"/>
  <c r="O77" i="3" s="1"/>
  <c r="F77" i="3" a="1"/>
  <c r="F77" i="3" s="1"/>
  <c r="P77" i="3" s="1" a="1"/>
  <c r="P77" i="3" s="1"/>
  <c r="G77" i="3" a="1"/>
  <c r="G77" i="3" s="1"/>
  <c r="Q77" i="3" s="1" a="1"/>
  <c r="Q77" i="3" s="1"/>
  <c r="J77" i="3" a="1"/>
  <c r="J77" i="3" s="1"/>
  <c r="U77" i="3" s="1" a="1"/>
  <c r="U77" i="3" s="1"/>
  <c r="I77" i="3" a="1"/>
  <c r="I77" i="3" s="1"/>
  <c r="T77" i="3" s="1" a="1"/>
  <c r="T77" i="3" s="1"/>
  <c r="H77" i="3" a="1"/>
  <c r="H77" i="3" s="1"/>
  <c r="R77" i="3" s="1" a="1"/>
  <c r="R77" i="3" s="1"/>
  <c r="S77" i="3" s="1" a="1"/>
  <c r="S77" i="3" s="1"/>
  <c r="K77" i="3" a="1"/>
  <c r="K77" i="3" s="1"/>
  <c r="V77" i="3" s="1" a="1"/>
  <c r="V77" i="3" s="1"/>
  <c r="B73" i="3" a="1"/>
  <c r="B73" i="3" s="1"/>
  <c r="L73" i="3" s="1" a="1"/>
  <c r="L73" i="3" s="1"/>
  <c r="C73" i="3" a="1"/>
  <c r="C73" i="3" s="1"/>
  <c r="M73" i="3" s="1" a="1"/>
  <c r="M73" i="3" s="1"/>
  <c r="D73" i="3" a="1"/>
  <c r="D73" i="3" s="1"/>
  <c r="N73" i="3" s="1" a="1"/>
  <c r="N73" i="3" s="1"/>
  <c r="E73" i="3" a="1"/>
  <c r="E73" i="3" s="1"/>
  <c r="O73" i="3" s="1" a="1"/>
  <c r="O73" i="3" s="1"/>
  <c r="F73" i="3" a="1"/>
  <c r="F73" i="3" s="1"/>
  <c r="P73" i="3" s="1" a="1"/>
  <c r="P73" i="3" s="1"/>
  <c r="G73" i="3" a="1"/>
  <c r="G73" i="3" s="1"/>
  <c r="Q73" i="3" s="1" a="1"/>
  <c r="Q73" i="3" s="1"/>
  <c r="H73" i="3" a="1"/>
  <c r="H73" i="3" s="1"/>
  <c r="R73" i="3" s="1" a="1"/>
  <c r="R73" i="3" s="1"/>
  <c r="S73" i="3" s="1" a="1"/>
  <c r="S73" i="3" s="1"/>
  <c r="J73" i="3" a="1"/>
  <c r="J73" i="3" s="1"/>
  <c r="U73" i="3" s="1" a="1"/>
  <c r="U73" i="3" s="1"/>
  <c r="I73" i="3" a="1"/>
  <c r="I73" i="3" s="1"/>
  <c r="T73" i="3" s="1" a="1"/>
  <c r="T73" i="3" s="1"/>
  <c r="K73" i="3" a="1"/>
  <c r="K73" i="3" s="1"/>
  <c r="V73" i="3" s="1" a="1"/>
  <c r="V73" i="3" s="1"/>
  <c r="B69" i="3" a="1"/>
  <c r="B69" i="3" s="1"/>
  <c r="L69" i="3" s="1" a="1"/>
  <c r="L69" i="3" s="1"/>
  <c r="C69" i="3" a="1"/>
  <c r="C69" i="3" s="1"/>
  <c r="M69" i="3" s="1" a="1"/>
  <c r="M69" i="3" s="1"/>
  <c r="D69" i="3" a="1"/>
  <c r="D69" i="3" s="1"/>
  <c r="N69" i="3" s="1" a="1"/>
  <c r="N69" i="3" s="1"/>
  <c r="E69" i="3" a="1"/>
  <c r="E69" i="3" s="1"/>
  <c r="O69" i="3" s="1" a="1"/>
  <c r="O69" i="3" s="1"/>
  <c r="F69" i="3" a="1"/>
  <c r="F69" i="3" s="1"/>
  <c r="P69" i="3" s="1" a="1"/>
  <c r="P69" i="3" s="1"/>
  <c r="G69" i="3" a="1"/>
  <c r="G69" i="3" s="1"/>
  <c r="Q69" i="3" s="1" a="1"/>
  <c r="Q69" i="3" s="1"/>
  <c r="J69" i="3" a="1"/>
  <c r="J69" i="3" s="1"/>
  <c r="U69" i="3" s="1" a="1"/>
  <c r="U69" i="3" s="1"/>
  <c r="I69" i="3" a="1"/>
  <c r="I69" i="3" s="1"/>
  <c r="T69" i="3" s="1" a="1"/>
  <c r="T69" i="3" s="1"/>
  <c r="H69" i="3" a="1"/>
  <c r="H69" i="3" s="1"/>
  <c r="R69" i="3" s="1" a="1"/>
  <c r="R69" i="3" s="1"/>
  <c r="S69" i="3" s="1" a="1"/>
  <c r="S69" i="3" s="1"/>
  <c r="K69" i="3" a="1"/>
  <c r="K69" i="3" s="1"/>
  <c r="V69" i="3" s="1" a="1"/>
  <c r="V69" i="3" s="1"/>
  <c r="B65" i="3" a="1"/>
  <c r="B65" i="3" s="1"/>
  <c r="L65" i="3" s="1" a="1"/>
  <c r="L65" i="3" s="1"/>
  <c r="C65" i="3" a="1"/>
  <c r="C65" i="3" s="1"/>
  <c r="M65" i="3" s="1" a="1"/>
  <c r="M65" i="3" s="1"/>
  <c r="D65" i="3" a="1"/>
  <c r="D65" i="3" s="1"/>
  <c r="N65" i="3" s="1" a="1"/>
  <c r="N65" i="3" s="1"/>
  <c r="E65" i="3" a="1"/>
  <c r="E65" i="3" s="1"/>
  <c r="O65" i="3" s="1" a="1"/>
  <c r="O65" i="3" s="1"/>
  <c r="F65" i="3" a="1"/>
  <c r="F65" i="3" s="1"/>
  <c r="P65" i="3" s="1" a="1"/>
  <c r="P65" i="3" s="1"/>
  <c r="G65" i="3" a="1"/>
  <c r="G65" i="3" s="1"/>
  <c r="Q65" i="3" s="1" a="1"/>
  <c r="Q65" i="3" s="1"/>
  <c r="H65" i="3" a="1"/>
  <c r="H65" i="3" s="1"/>
  <c r="R65" i="3" s="1" a="1"/>
  <c r="R65" i="3" s="1"/>
  <c r="S65" i="3" s="1" a="1"/>
  <c r="S65" i="3" s="1"/>
  <c r="J65" i="3" a="1"/>
  <c r="J65" i="3" s="1"/>
  <c r="U65" i="3" s="1" a="1"/>
  <c r="U65" i="3" s="1"/>
  <c r="I65" i="3" a="1"/>
  <c r="I65" i="3" s="1"/>
  <c r="T65" i="3" s="1" a="1"/>
  <c r="T65" i="3" s="1"/>
  <c r="K65" i="3" a="1"/>
  <c r="K65" i="3" s="1"/>
  <c r="V65" i="3" s="1" a="1"/>
  <c r="V65" i="3" s="1"/>
  <c r="B61" i="3" a="1"/>
  <c r="B61" i="3" s="1"/>
  <c r="L61" i="3" s="1" a="1"/>
  <c r="L61" i="3" s="1"/>
  <c r="C61" i="3" a="1"/>
  <c r="C61" i="3" s="1"/>
  <c r="M61" i="3" s="1" a="1"/>
  <c r="M61" i="3" s="1"/>
  <c r="D61" i="3" a="1"/>
  <c r="D61" i="3" s="1"/>
  <c r="N61" i="3" s="1" a="1"/>
  <c r="N61" i="3" s="1"/>
  <c r="E61" i="3" a="1"/>
  <c r="E61" i="3" s="1"/>
  <c r="O61" i="3" s="1" a="1"/>
  <c r="O61" i="3" s="1"/>
  <c r="F61" i="3" a="1"/>
  <c r="F61" i="3" s="1"/>
  <c r="P61" i="3" s="1" a="1"/>
  <c r="P61" i="3" s="1"/>
  <c r="G61" i="3" a="1"/>
  <c r="G61" i="3" s="1"/>
  <c r="Q61" i="3" s="1" a="1"/>
  <c r="Q61" i="3" s="1"/>
  <c r="J61" i="3" a="1"/>
  <c r="J61" i="3" s="1"/>
  <c r="U61" i="3" s="1" a="1"/>
  <c r="U61" i="3" s="1"/>
  <c r="I61" i="3" a="1"/>
  <c r="I61" i="3" s="1"/>
  <c r="T61" i="3" s="1" a="1"/>
  <c r="T61" i="3" s="1"/>
  <c r="H61" i="3" a="1"/>
  <c r="H61" i="3" s="1"/>
  <c r="R61" i="3" s="1" a="1"/>
  <c r="R61" i="3" s="1"/>
  <c r="S61" i="3" s="1" a="1"/>
  <c r="S61" i="3" s="1"/>
  <c r="K61" i="3" a="1"/>
  <c r="K61" i="3" s="1"/>
  <c r="V61" i="3" s="1" a="1"/>
  <c r="V61" i="3" s="1"/>
  <c r="B57" i="3" a="1"/>
  <c r="B57" i="3" s="1"/>
  <c r="L57" i="3" s="1" a="1"/>
  <c r="L57" i="3" s="1"/>
  <c r="C57" i="3" a="1"/>
  <c r="C57" i="3" s="1"/>
  <c r="M57" i="3" s="1" a="1"/>
  <c r="M57" i="3" s="1"/>
  <c r="D57" i="3" a="1"/>
  <c r="D57" i="3" s="1"/>
  <c r="N57" i="3" s="1" a="1"/>
  <c r="N57" i="3" s="1"/>
  <c r="E57" i="3" a="1"/>
  <c r="E57" i="3" s="1"/>
  <c r="O57" i="3" s="1" a="1"/>
  <c r="O57" i="3" s="1"/>
  <c r="F57" i="3" a="1"/>
  <c r="F57" i="3" s="1"/>
  <c r="P57" i="3" s="1" a="1"/>
  <c r="P57" i="3" s="1"/>
  <c r="G57" i="3" a="1"/>
  <c r="G57" i="3" s="1"/>
  <c r="Q57" i="3" s="1" a="1"/>
  <c r="Q57" i="3" s="1"/>
  <c r="H57" i="3" a="1"/>
  <c r="H57" i="3" s="1"/>
  <c r="R57" i="3" s="1" a="1"/>
  <c r="R57" i="3" s="1"/>
  <c r="S57" i="3" s="1" a="1"/>
  <c r="S57" i="3" s="1"/>
  <c r="J57" i="3" a="1"/>
  <c r="J57" i="3" s="1"/>
  <c r="U57" i="3" s="1" a="1"/>
  <c r="U57" i="3" s="1"/>
  <c r="I57" i="3" a="1"/>
  <c r="I57" i="3" s="1"/>
  <c r="T57" i="3" s="1" a="1"/>
  <c r="T57" i="3" s="1"/>
  <c r="K57" i="3" a="1"/>
  <c r="K57" i="3" s="1"/>
  <c r="V57" i="3" s="1" a="1"/>
  <c r="V57" i="3" s="1"/>
  <c r="B53" i="3" a="1"/>
  <c r="B53" i="3" s="1"/>
  <c r="L53" i="3" s="1" a="1"/>
  <c r="L53" i="3" s="1"/>
  <c r="C53" i="3" a="1"/>
  <c r="C53" i="3" s="1"/>
  <c r="M53" i="3" s="1" a="1"/>
  <c r="M53" i="3" s="1"/>
  <c r="D53" i="3" a="1"/>
  <c r="D53" i="3" s="1"/>
  <c r="N53" i="3" s="1" a="1"/>
  <c r="N53" i="3" s="1"/>
  <c r="E53" i="3" a="1"/>
  <c r="E53" i="3" s="1"/>
  <c r="O53" i="3" s="1" a="1"/>
  <c r="O53" i="3" s="1"/>
  <c r="F53" i="3" a="1"/>
  <c r="F53" i="3" s="1"/>
  <c r="P53" i="3" s="1" a="1"/>
  <c r="P53" i="3" s="1"/>
  <c r="G53" i="3" a="1"/>
  <c r="G53" i="3" s="1"/>
  <c r="Q53" i="3" s="1" a="1"/>
  <c r="Q53" i="3" s="1"/>
  <c r="J53" i="3" a="1"/>
  <c r="J53" i="3" s="1"/>
  <c r="U53" i="3" s="1" a="1"/>
  <c r="U53" i="3" s="1"/>
  <c r="I53" i="3" a="1"/>
  <c r="I53" i="3" s="1"/>
  <c r="T53" i="3" s="1" a="1"/>
  <c r="T53" i="3" s="1"/>
  <c r="H53" i="3" a="1"/>
  <c r="H53" i="3" s="1"/>
  <c r="R53" i="3" s="1" a="1"/>
  <c r="R53" i="3" s="1"/>
  <c r="S53" i="3" s="1" a="1"/>
  <c r="S53" i="3" s="1"/>
  <c r="K53" i="3" a="1"/>
  <c r="K53" i="3" s="1"/>
  <c r="V53" i="3" s="1" a="1"/>
  <c r="V53" i="3" s="1"/>
  <c r="B49" i="3" a="1"/>
  <c r="B49" i="3" s="1"/>
  <c r="L49" i="3" s="1" a="1"/>
  <c r="L49" i="3" s="1"/>
  <c r="C49" i="3" a="1"/>
  <c r="C49" i="3" s="1"/>
  <c r="M49" i="3" s="1" a="1"/>
  <c r="M49" i="3" s="1"/>
  <c r="D49" i="3" a="1"/>
  <c r="D49" i="3" s="1"/>
  <c r="N49" i="3" s="1" a="1"/>
  <c r="N49" i="3" s="1"/>
  <c r="E49" i="3" a="1"/>
  <c r="E49" i="3" s="1"/>
  <c r="O49" i="3" s="1" a="1"/>
  <c r="O49" i="3" s="1"/>
  <c r="F49" i="3" a="1"/>
  <c r="F49" i="3" s="1"/>
  <c r="P49" i="3" s="1" a="1"/>
  <c r="P49" i="3" s="1"/>
  <c r="G49" i="3" a="1"/>
  <c r="G49" i="3" s="1"/>
  <c r="Q49" i="3" s="1" a="1"/>
  <c r="Q49" i="3" s="1"/>
  <c r="H49" i="3" a="1"/>
  <c r="H49" i="3" s="1"/>
  <c r="R49" i="3" s="1" a="1"/>
  <c r="R49" i="3" s="1"/>
  <c r="S49" i="3" s="1" a="1"/>
  <c r="S49" i="3" s="1"/>
  <c r="J49" i="3" a="1"/>
  <c r="J49" i="3" s="1"/>
  <c r="U49" i="3" s="1" a="1"/>
  <c r="U49" i="3" s="1"/>
  <c r="I49" i="3" a="1"/>
  <c r="I49" i="3" s="1"/>
  <c r="T49" i="3" s="1" a="1"/>
  <c r="T49" i="3" s="1"/>
  <c r="K49" i="3" a="1"/>
  <c r="K49" i="3" s="1"/>
  <c r="V49" i="3" s="1" a="1"/>
  <c r="V49" i="3" s="1"/>
  <c r="B45" i="3" a="1"/>
  <c r="B45" i="3" s="1"/>
  <c r="L45" i="3" s="1" a="1"/>
  <c r="L45" i="3" s="1"/>
  <c r="C45" i="3" a="1"/>
  <c r="C45" i="3" s="1"/>
  <c r="M45" i="3" s="1" a="1"/>
  <c r="M45" i="3" s="1"/>
  <c r="D45" i="3" a="1"/>
  <c r="D45" i="3" s="1"/>
  <c r="N45" i="3" s="1" a="1"/>
  <c r="N45" i="3" s="1"/>
  <c r="E45" i="3" a="1"/>
  <c r="E45" i="3" s="1"/>
  <c r="O45" i="3" s="1" a="1"/>
  <c r="O45" i="3" s="1"/>
  <c r="F45" i="3" a="1"/>
  <c r="F45" i="3" s="1"/>
  <c r="P45" i="3" s="1" a="1"/>
  <c r="P45" i="3" s="1"/>
  <c r="G45" i="3" a="1"/>
  <c r="G45" i="3" s="1"/>
  <c r="Q45" i="3" s="1" a="1"/>
  <c r="Q45" i="3" s="1"/>
  <c r="J45" i="3" a="1"/>
  <c r="J45" i="3" s="1"/>
  <c r="U45" i="3" s="1" a="1"/>
  <c r="U45" i="3" s="1"/>
  <c r="I45" i="3" a="1"/>
  <c r="I45" i="3" s="1"/>
  <c r="T45" i="3" s="1" a="1"/>
  <c r="T45" i="3" s="1"/>
  <c r="H45" i="3" a="1"/>
  <c r="H45" i="3" s="1"/>
  <c r="R45" i="3" s="1" a="1"/>
  <c r="R45" i="3" s="1"/>
  <c r="S45" i="3" s="1" a="1"/>
  <c r="S45" i="3" s="1"/>
  <c r="K45" i="3" a="1"/>
  <c r="K45" i="3" s="1"/>
  <c r="V45" i="3" s="1" a="1"/>
  <c r="V45" i="3" s="1"/>
  <c r="B41" i="3" a="1"/>
  <c r="B41" i="3" s="1"/>
  <c r="L41" i="3" s="1" a="1"/>
  <c r="L41" i="3" s="1"/>
  <c r="C41" i="3" a="1"/>
  <c r="C41" i="3" s="1"/>
  <c r="M41" i="3" s="1" a="1"/>
  <c r="M41" i="3" s="1"/>
  <c r="D41" i="3" a="1"/>
  <c r="D41" i="3" s="1"/>
  <c r="N41" i="3" s="1" a="1"/>
  <c r="N41" i="3" s="1"/>
  <c r="E41" i="3" a="1"/>
  <c r="E41" i="3" s="1"/>
  <c r="O41" i="3" s="1" a="1"/>
  <c r="O41" i="3" s="1"/>
  <c r="F41" i="3" a="1"/>
  <c r="F41" i="3" s="1"/>
  <c r="P41" i="3" s="1" a="1"/>
  <c r="P41" i="3" s="1"/>
  <c r="G41" i="3" a="1"/>
  <c r="G41" i="3" s="1"/>
  <c r="Q41" i="3" s="1" a="1"/>
  <c r="Q41" i="3" s="1"/>
  <c r="H41" i="3" a="1"/>
  <c r="H41" i="3" s="1"/>
  <c r="R41" i="3" s="1" a="1"/>
  <c r="R41" i="3" s="1"/>
  <c r="S41" i="3" s="1" a="1"/>
  <c r="S41" i="3" s="1"/>
  <c r="J41" i="3" a="1"/>
  <c r="J41" i="3" s="1"/>
  <c r="U41" i="3" s="1" a="1"/>
  <c r="U41" i="3" s="1"/>
  <c r="I41" i="3" a="1"/>
  <c r="I41" i="3" s="1"/>
  <c r="T41" i="3" s="1" a="1"/>
  <c r="T41" i="3" s="1"/>
  <c r="K41" i="3" a="1"/>
  <c r="K41" i="3" s="1"/>
  <c r="V41" i="3" s="1" a="1"/>
  <c r="V41" i="3" s="1"/>
  <c r="B37" i="3" a="1"/>
  <c r="B37" i="3" s="1"/>
  <c r="L37" i="3" s="1" a="1"/>
  <c r="L37" i="3" s="1"/>
  <c r="C37" i="3" a="1"/>
  <c r="C37" i="3" s="1"/>
  <c r="M37" i="3" s="1" a="1"/>
  <c r="M37" i="3" s="1"/>
  <c r="D37" i="3" a="1"/>
  <c r="D37" i="3" s="1"/>
  <c r="N37" i="3" s="1" a="1"/>
  <c r="N37" i="3" s="1"/>
  <c r="E37" i="3" a="1"/>
  <c r="E37" i="3" s="1"/>
  <c r="O37" i="3" s="1" a="1"/>
  <c r="O37" i="3" s="1"/>
  <c r="F37" i="3" a="1"/>
  <c r="F37" i="3" s="1"/>
  <c r="P37" i="3" s="1" a="1"/>
  <c r="P37" i="3" s="1"/>
  <c r="G37" i="3" a="1"/>
  <c r="G37" i="3" s="1"/>
  <c r="Q37" i="3" s="1" a="1"/>
  <c r="Q37" i="3" s="1"/>
  <c r="J37" i="3" a="1"/>
  <c r="J37" i="3" s="1"/>
  <c r="U37" i="3" s="1" a="1"/>
  <c r="U37" i="3" s="1"/>
  <c r="I37" i="3" a="1"/>
  <c r="I37" i="3" s="1"/>
  <c r="T37" i="3" s="1" a="1"/>
  <c r="T37" i="3" s="1"/>
  <c r="H37" i="3" a="1"/>
  <c r="H37" i="3" s="1"/>
  <c r="R37" i="3" s="1" a="1"/>
  <c r="R37" i="3" s="1"/>
  <c r="S37" i="3" s="1" a="1"/>
  <c r="S37" i="3" s="1"/>
  <c r="K37" i="3" a="1"/>
  <c r="K37" i="3" s="1"/>
  <c r="V37" i="3" s="1" a="1"/>
  <c r="V37" i="3" s="1"/>
  <c r="B33" i="3" a="1"/>
  <c r="B33" i="3" s="1"/>
  <c r="L33" i="3" s="1" a="1"/>
  <c r="L33" i="3" s="1"/>
  <c r="C33" i="3" a="1"/>
  <c r="C33" i="3" s="1"/>
  <c r="M33" i="3" s="1" a="1"/>
  <c r="M33" i="3" s="1"/>
  <c r="D33" i="3" a="1"/>
  <c r="D33" i="3" s="1"/>
  <c r="N33" i="3" s="1" a="1"/>
  <c r="N33" i="3" s="1"/>
  <c r="E33" i="3" a="1"/>
  <c r="E33" i="3" s="1"/>
  <c r="O33" i="3" s="1" a="1"/>
  <c r="O33" i="3" s="1"/>
  <c r="F33" i="3" a="1"/>
  <c r="F33" i="3" s="1"/>
  <c r="P33" i="3" s="1" a="1"/>
  <c r="P33" i="3" s="1"/>
  <c r="G33" i="3" a="1"/>
  <c r="G33" i="3" s="1"/>
  <c r="Q33" i="3" s="1" a="1"/>
  <c r="Q33" i="3" s="1"/>
  <c r="H33" i="3" a="1"/>
  <c r="H33" i="3" s="1"/>
  <c r="R33" i="3" s="1" a="1"/>
  <c r="R33" i="3" s="1"/>
  <c r="S33" i="3" s="1" a="1"/>
  <c r="S33" i="3" s="1"/>
  <c r="J33" i="3" a="1"/>
  <c r="J33" i="3" s="1"/>
  <c r="U33" i="3" s="1" a="1"/>
  <c r="U33" i="3" s="1"/>
  <c r="I33" i="3" a="1"/>
  <c r="I33" i="3" s="1"/>
  <c r="T33" i="3" s="1" a="1"/>
  <c r="T33" i="3" s="1"/>
  <c r="K33" i="3" a="1"/>
  <c r="K33" i="3" s="1"/>
  <c r="V33" i="3" s="1" a="1"/>
  <c r="V33" i="3" s="1"/>
  <c r="B29" i="3" a="1"/>
  <c r="B29" i="3" s="1"/>
  <c r="L29" i="3" s="1" a="1"/>
  <c r="L29" i="3" s="1"/>
  <c r="C29" i="3" a="1"/>
  <c r="C29" i="3" s="1"/>
  <c r="M29" i="3" s="1" a="1"/>
  <c r="M29" i="3" s="1"/>
  <c r="D29" i="3" a="1"/>
  <c r="D29" i="3" s="1"/>
  <c r="N29" i="3" s="1" a="1"/>
  <c r="N29" i="3" s="1"/>
  <c r="E29" i="3" a="1"/>
  <c r="E29" i="3" s="1"/>
  <c r="O29" i="3" s="1" a="1"/>
  <c r="O29" i="3" s="1"/>
  <c r="F29" i="3" a="1"/>
  <c r="F29" i="3" s="1"/>
  <c r="P29" i="3" s="1" a="1"/>
  <c r="P29" i="3" s="1"/>
  <c r="G29" i="3" a="1"/>
  <c r="G29" i="3" s="1"/>
  <c r="Q29" i="3" s="1" a="1"/>
  <c r="Q29" i="3" s="1"/>
  <c r="J29" i="3" a="1"/>
  <c r="J29" i="3" s="1"/>
  <c r="U29" i="3" s="1" a="1"/>
  <c r="U29" i="3" s="1"/>
  <c r="I29" i="3" a="1"/>
  <c r="I29" i="3" s="1"/>
  <c r="T29" i="3" s="1" a="1"/>
  <c r="T29" i="3" s="1"/>
  <c r="H29" i="3" a="1"/>
  <c r="H29" i="3" s="1"/>
  <c r="R29" i="3" s="1" a="1"/>
  <c r="R29" i="3" s="1"/>
  <c r="S29" i="3" s="1" a="1"/>
  <c r="S29" i="3" s="1"/>
  <c r="K29" i="3" a="1"/>
  <c r="K29" i="3" s="1"/>
  <c r="V29" i="3" s="1" a="1"/>
  <c r="V29" i="3" s="1"/>
  <c r="B25" i="3" a="1"/>
  <c r="B25" i="3" s="1"/>
  <c r="L25" i="3" s="1" a="1"/>
  <c r="L25" i="3" s="1"/>
  <c r="C25" i="3" a="1"/>
  <c r="C25" i="3" s="1"/>
  <c r="M25" i="3" s="1" a="1"/>
  <c r="M25" i="3" s="1"/>
  <c r="D25" i="3" a="1"/>
  <c r="D25" i="3" s="1"/>
  <c r="N25" i="3" s="1" a="1"/>
  <c r="N25" i="3" s="1"/>
  <c r="E25" i="3" a="1"/>
  <c r="E25" i="3" s="1"/>
  <c r="O25" i="3" s="1" a="1"/>
  <c r="O25" i="3" s="1"/>
  <c r="F25" i="3" a="1"/>
  <c r="F25" i="3" s="1"/>
  <c r="P25" i="3" s="1" a="1"/>
  <c r="P25" i="3" s="1"/>
  <c r="G25" i="3" a="1"/>
  <c r="G25" i="3" s="1"/>
  <c r="Q25" i="3" s="1" a="1"/>
  <c r="Q25" i="3" s="1"/>
  <c r="H25" i="3" a="1"/>
  <c r="H25" i="3" s="1"/>
  <c r="R25" i="3" s="1" a="1"/>
  <c r="R25" i="3" s="1"/>
  <c r="S25" i="3" s="1" a="1"/>
  <c r="S25" i="3" s="1"/>
  <c r="J25" i="3" a="1"/>
  <c r="J25" i="3" s="1"/>
  <c r="U25" i="3" s="1" a="1"/>
  <c r="U25" i="3" s="1"/>
  <c r="I25" i="3" a="1"/>
  <c r="I25" i="3" s="1"/>
  <c r="T25" i="3" s="1" a="1"/>
  <c r="T25" i="3" s="1"/>
  <c r="K25" i="3" a="1"/>
  <c r="K25" i="3" s="1"/>
  <c r="V25" i="3" s="1" a="1"/>
  <c r="V25" i="3" s="1"/>
  <c r="B21" i="3" a="1"/>
  <c r="B21" i="3" s="1"/>
  <c r="L21" i="3" s="1" a="1"/>
  <c r="L21" i="3" s="1"/>
  <c r="C21" i="3" a="1"/>
  <c r="C21" i="3" s="1"/>
  <c r="M21" i="3" s="1" a="1"/>
  <c r="M21" i="3" s="1"/>
  <c r="D21" i="3" a="1"/>
  <c r="D21" i="3" s="1"/>
  <c r="N21" i="3" s="1" a="1"/>
  <c r="N21" i="3" s="1"/>
  <c r="E21" i="3" a="1"/>
  <c r="E21" i="3" s="1"/>
  <c r="O21" i="3" s="1" a="1"/>
  <c r="O21" i="3" s="1"/>
  <c r="F21" i="3" a="1"/>
  <c r="F21" i="3" s="1"/>
  <c r="P21" i="3" s="1" a="1"/>
  <c r="P21" i="3" s="1"/>
  <c r="G21" i="3" a="1"/>
  <c r="G21" i="3" s="1"/>
  <c r="Q21" i="3" s="1" a="1"/>
  <c r="Q21" i="3" s="1"/>
  <c r="J21" i="3" a="1"/>
  <c r="J21" i="3" s="1"/>
  <c r="U21" i="3" s="1" a="1"/>
  <c r="U21" i="3" s="1"/>
  <c r="I21" i="3" a="1"/>
  <c r="I21" i="3" s="1"/>
  <c r="T21" i="3" s="1" a="1"/>
  <c r="T21" i="3" s="1"/>
  <c r="H21" i="3" a="1"/>
  <c r="H21" i="3" s="1"/>
  <c r="R21" i="3" s="1" a="1"/>
  <c r="R21" i="3" s="1"/>
  <c r="S21" i="3" s="1" a="1"/>
  <c r="S21" i="3" s="1"/>
  <c r="K21" i="3" a="1"/>
  <c r="K21" i="3" s="1"/>
  <c r="V21" i="3" s="1" a="1"/>
  <c r="V21" i="3" s="1"/>
  <c r="B17" i="3" a="1"/>
  <c r="B17" i="3" s="1"/>
  <c r="L17" i="3" s="1" a="1"/>
  <c r="L17" i="3" s="1"/>
  <c r="C17" i="3" a="1"/>
  <c r="C17" i="3" s="1"/>
  <c r="M17" i="3" s="1" a="1"/>
  <c r="M17" i="3" s="1"/>
  <c r="D17" i="3" a="1"/>
  <c r="D17" i="3" s="1"/>
  <c r="N17" i="3" s="1" a="1"/>
  <c r="N17" i="3" s="1"/>
  <c r="E17" i="3" a="1"/>
  <c r="E17" i="3" s="1"/>
  <c r="O17" i="3" s="1" a="1"/>
  <c r="O17" i="3" s="1"/>
  <c r="F17" i="3" a="1"/>
  <c r="F17" i="3" s="1"/>
  <c r="P17" i="3" s="1" a="1"/>
  <c r="P17" i="3" s="1"/>
  <c r="G17" i="3" a="1"/>
  <c r="G17" i="3" s="1"/>
  <c r="Q17" i="3" s="1" a="1"/>
  <c r="Q17" i="3" s="1"/>
  <c r="H17" i="3" a="1"/>
  <c r="H17" i="3" s="1"/>
  <c r="R17" i="3" s="1" a="1"/>
  <c r="R17" i="3" s="1"/>
  <c r="S17" i="3" s="1" a="1"/>
  <c r="S17" i="3" s="1"/>
  <c r="J17" i="3" a="1"/>
  <c r="J17" i="3" s="1"/>
  <c r="U17" i="3" s="1" a="1"/>
  <c r="U17" i="3" s="1"/>
  <c r="I17" i="3" a="1"/>
  <c r="I17" i="3" s="1"/>
  <c r="T17" i="3" s="1" a="1"/>
  <c r="T17" i="3" s="1"/>
  <c r="K17" i="3" a="1"/>
  <c r="K17" i="3" s="1"/>
  <c r="V17" i="3" s="1" a="1"/>
  <c r="V17" i="3" s="1"/>
  <c r="B13" i="3" a="1"/>
  <c r="B13" i="3" s="1"/>
  <c r="L13" i="3" s="1" a="1"/>
  <c r="L13" i="3" s="1"/>
  <c r="C13" i="3" a="1"/>
  <c r="C13" i="3" s="1"/>
  <c r="M13" i="3" s="1" a="1"/>
  <c r="M13" i="3" s="1"/>
  <c r="D13" i="3" a="1"/>
  <c r="D13" i="3" s="1"/>
  <c r="N13" i="3" s="1" a="1"/>
  <c r="N13" i="3" s="1"/>
  <c r="E13" i="3" a="1"/>
  <c r="E13" i="3" s="1"/>
  <c r="O13" i="3" s="1" a="1"/>
  <c r="O13" i="3" s="1"/>
  <c r="F13" i="3" a="1"/>
  <c r="F13" i="3" s="1"/>
  <c r="P13" i="3" s="1" a="1"/>
  <c r="P13" i="3" s="1"/>
  <c r="G13" i="3" a="1"/>
  <c r="G13" i="3" s="1"/>
  <c r="Q13" i="3" s="1" a="1"/>
  <c r="Q13" i="3" s="1"/>
  <c r="J13" i="3" a="1"/>
  <c r="J13" i="3" s="1"/>
  <c r="U13" i="3" s="1" a="1"/>
  <c r="U13" i="3" s="1"/>
  <c r="I13" i="3" a="1"/>
  <c r="I13" i="3" s="1"/>
  <c r="T13" i="3" s="1" a="1"/>
  <c r="T13" i="3" s="1"/>
  <c r="H13" i="3" a="1"/>
  <c r="H13" i="3" s="1"/>
  <c r="R13" i="3" s="1" a="1"/>
  <c r="R13" i="3" s="1"/>
  <c r="S13" i="3" s="1" a="1"/>
  <c r="S13" i="3" s="1"/>
  <c r="K13" i="3" a="1"/>
  <c r="K13" i="3" s="1"/>
  <c r="V13" i="3" s="1" a="1"/>
  <c r="V13" i="3" s="1"/>
  <c r="B9" i="3" a="1"/>
  <c r="B9" i="3" s="1"/>
  <c r="L9" i="3" s="1" a="1"/>
  <c r="L9" i="3" s="1"/>
  <c r="C9" i="3" a="1"/>
  <c r="C9" i="3" s="1"/>
  <c r="M9" i="3" s="1" a="1"/>
  <c r="M9" i="3" s="1"/>
  <c r="D9" i="3" a="1"/>
  <c r="D9" i="3" s="1"/>
  <c r="N9" i="3" s="1" a="1"/>
  <c r="N9" i="3" s="1"/>
  <c r="E9" i="3" a="1"/>
  <c r="E9" i="3" s="1"/>
  <c r="O9" i="3" s="1" a="1"/>
  <c r="O9" i="3" s="1"/>
  <c r="F9" i="3" a="1"/>
  <c r="F9" i="3" s="1"/>
  <c r="P9" i="3" s="1" a="1"/>
  <c r="P9" i="3" s="1"/>
  <c r="G9" i="3" a="1"/>
  <c r="G9" i="3" s="1"/>
  <c r="Q9" i="3" s="1" a="1"/>
  <c r="Q9" i="3" s="1"/>
  <c r="H9" i="3" a="1"/>
  <c r="H9" i="3" s="1"/>
  <c r="R9" i="3" s="1" a="1"/>
  <c r="R9" i="3" s="1"/>
  <c r="S9" i="3" s="1" a="1"/>
  <c r="S9" i="3" s="1"/>
  <c r="J9" i="3" a="1"/>
  <c r="J9" i="3" s="1"/>
  <c r="U9" i="3" s="1" a="1"/>
  <c r="U9" i="3" s="1"/>
  <c r="I9" i="3" a="1"/>
  <c r="I9" i="3" s="1"/>
  <c r="T9" i="3" s="1" a="1"/>
  <c r="T9" i="3" s="1"/>
  <c r="K9" i="3" a="1"/>
  <c r="K9" i="3" s="1"/>
  <c r="V9" i="3" s="1" a="1"/>
  <c r="V9" i="3" s="1"/>
  <c r="B5" i="3" a="1"/>
  <c r="B5" i="3" s="1"/>
  <c r="L5" i="3" s="1" a="1"/>
  <c r="L5" i="3" s="1"/>
  <c r="C5" i="3" a="1"/>
  <c r="C5" i="3" s="1"/>
  <c r="M5" i="3" s="1" a="1"/>
  <c r="M5" i="3" s="1"/>
  <c r="D5" i="3" a="1"/>
  <c r="D5" i="3" s="1"/>
  <c r="N5" i="3" s="1" a="1"/>
  <c r="N5" i="3" s="1"/>
  <c r="E5" i="3" a="1"/>
  <c r="E5" i="3" s="1"/>
  <c r="O5" i="3" s="1" a="1"/>
  <c r="O5" i="3" s="1"/>
  <c r="F5" i="3" a="1"/>
  <c r="F5" i="3" s="1"/>
  <c r="P5" i="3" s="1" a="1"/>
  <c r="P5" i="3" s="1"/>
  <c r="G5" i="3" a="1"/>
  <c r="G5" i="3" s="1"/>
  <c r="Q5" i="3" s="1" a="1"/>
  <c r="Q5" i="3" s="1"/>
  <c r="J5" i="3" a="1"/>
  <c r="J5" i="3" s="1"/>
  <c r="U5" i="3" s="1" a="1"/>
  <c r="U5" i="3" s="1"/>
  <c r="I5" i="3" a="1"/>
  <c r="I5" i="3" s="1"/>
  <c r="T5" i="3" s="1" a="1"/>
  <c r="T5" i="3" s="1"/>
  <c r="H5" i="3" a="1"/>
  <c r="H5" i="3" s="1"/>
  <c r="R5" i="3" s="1" a="1"/>
  <c r="R5" i="3" s="1"/>
  <c r="S5" i="3" s="1" a="1"/>
  <c r="S5" i="3" s="1"/>
  <c r="K5" i="3" a="1"/>
  <c r="K5" i="3" s="1"/>
  <c r="V5" i="3" s="1" a="1"/>
  <c r="V5" i="3" s="1"/>
  <c r="B288" i="3" a="1"/>
  <c r="B288" i="3" s="1"/>
  <c r="L288" i="3" s="1" a="1"/>
  <c r="L288" i="3" s="1"/>
  <c r="C288" i="3" a="1"/>
  <c r="C288" i="3" s="1"/>
  <c r="M288" i="3" s="1" a="1"/>
  <c r="M288" i="3" s="1"/>
  <c r="D288" i="3" a="1"/>
  <c r="D288" i="3" s="1"/>
  <c r="N288" i="3" s="1" a="1"/>
  <c r="N288" i="3" s="1"/>
  <c r="E288" i="3" a="1"/>
  <c r="E288" i="3" s="1"/>
  <c r="O288" i="3" s="1" a="1"/>
  <c r="O288" i="3" s="1"/>
  <c r="F288" i="3" a="1"/>
  <c r="F288" i="3" s="1"/>
  <c r="P288" i="3" s="1" a="1"/>
  <c r="P288" i="3" s="1"/>
  <c r="H288" i="3" a="1"/>
  <c r="H288" i="3" s="1"/>
  <c r="R288" i="3" s="1" a="1"/>
  <c r="R288" i="3" s="1"/>
  <c r="S288" i="3" s="1" a="1"/>
  <c r="S288" i="3" s="1"/>
  <c r="I288" i="3" a="1"/>
  <c r="I288" i="3" s="1"/>
  <c r="T288" i="3" s="1" a="1"/>
  <c r="T288" i="3" s="1"/>
  <c r="J288" i="3" a="1"/>
  <c r="J288" i="3" s="1"/>
  <c r="U288" i="3" s="1" a="1"/>
  <c r="U288" i="3" s="1"/>
  <c r="G288" i="3" a="1"/>
  <c r="G288" i="3" s="1"/>
  <c r="Q288" i="3" s="1" a="1"/>
  <c r="Q288" i="3" s="1"/>
  <c r="K288" i="3" a="1"/>
  <c r="K288" i="3" s="1"/>
  <c r="V288" i="3" s="1" a="1"/>
  <c r="V288" i="3" s="1"/>
  <c r="B254" i="3" a="1"/>
  <c r="B254" i="3" s="1"/>
  <c r="L254" i="3" s="1" a="1"/>
  <c r="L254" i="3" s="1"/>
  <c r="C254" i="3" a="1"/>
  <c r="C254" i="3" s="1"/>
  <c r="M254" i="3" s="1" a="1"/>
  <c r="M254" i="3" s="1"/>
  <c r="D254" i="3" a="1"/>
  <c r="D254" i="3" s="1"/>
  <c r="N254" i="3" s="1" a="1"/>
  <c r="N254" i="3" s="1"/>
  <c r="E254" i="3" a="1"/>
  <c r="E254" i="3" s="1"/>
  <c r="O254" i="3" s="1" a="1"/>
  <c r="O254" i="3" s="1"/>
  <c r="F254" i="3" a="1"/>
  <c r="F254" i="3" s="1"/>
  <c r="P254" i="3" s="1" a="1"/>
  <c r="P254" i="3" s="1"/>
  <c r="G254" i="3" a="1"/>
  <c r="G254" i="3" s="1"/>
  <c r="Q254" i="3" s="1" a="1"/>
  <c r="Q254" i="3" s="1"/>
  <c r="H254" i="3" a="1"/>
  <c r="H254" i="3" s="1"/>
  <c r="R254" i="3" s="1" a="1"/>
  <c r="R254" i="3" s="1"/>
  <c r="S254" i="3" s="1" a="1"/>
  <c r="S254" i="3" s="1"/>
  <c r="J254" i="3" a="1"/>
  <c r="J254" i="3" s="1"/>
  <c r="U254" i="3" s="1" a="1"/>
  <c r="U254" i="3" s="1"/>
  <c r="I254" i="3" a="1"/>
  <c r="I254" i="3" s="1"/>
  <c r="T254" i="3" s="1" a="1"/>
  <c r="T254" i="3" s="1"/>
  <c r="K254" i="3" a="1"/>
  <c r="K254" i="3" s="1"/>
  <c r="V254" i="3" s="1" a="1"/>
  <c r="V254" i="3" s="1"/>
  <c r="B246" i="3" a="1"/>
  <c r="B246" i="3" s="1"/>
  <c r="L246" i="3" s="1" a="1"/>
  <c r="L246" i="3" s="1"/>
  <c r="C246" i="3" a="1"/>
  <c r="C246" i="3" s="1"/>
  <c r="M246" i="3" s="1" a="1"/>
  <c r="M246" i="3" s="1"/>
  <c r="D246" i="3" a="1"/>
  <c r="D246" i="3" s="1"/>
  <c r="N246" i="3" s="1" a="1"/>
  <c r="N246" i="3" s="1"/>
  <c r="E246" i="3" a="1"/>
  <c r="E246" i="3" s="1"/>
  <c r="O246" i="3" s="1" a="1"/>
  <c r="O246" i="3" s="1"/>
  <c r="F246" i="3" a="1"/>
  <c r="F246" i="3" s="1"/>
  <c r="P246" i="3" s="1" a="1"/>
  <c r="P246" i="3" s="1"/>
  <c r="G246" i="3" a="1"/>
  <c r="G246" i="3" s="1"/>
  <c r="Q246" i="3" s="1" a="1"/>
  <c r="Q246" i="3" s="1"/>
  <c r="H246" i="3" a="1"/>
  <c r="H246" i="3" s="1"/>
  <c r="R246" i="3" s="1" a="1"/>
  <c r="R246" i="3" s="1"/>
  <c r="S246" i="3" s="1" a="1"/>
  <c r="S246" i="3" s="1"/>
  <c r="J246" i="3" a="1"/>
  <c r="J246" i="3" s="1"/>
  <c r="U246" i="3" s="1" a="1"/>
  <c r="U246" i="3" s="1"/>
  <c r="I246" i="3" a="1"/>
  <c r="I246" i="3" s="1"/>
  <c r="T246" i="3" s="1" a="1"/>
  <c r="T246" i="3" s="1"/>
  <c r="K246" i="3" a="1"/>
  <c r="K246" i="3" s="1"/>
  <c r="V246" i="3" s="1" a="1"/>
  <c r="V246" i="3" s="1"/>
  <c r="B234" i="3" a="1"/>
  <c r="B234" i="3" s="1"/>
  <c r="L234" i="3" s="1" a="1"/>
  <c r="L234" i="3" s="1"/>
  <c r="C234" i="3" a="1"/>
  <c r="C234" i="3" s="1"/>
  <c r="M234" i="3" s="1" a="1"/>
  <c r="M234" i="3" s="1"/>
  <c r="D234" i="3" a="1"/>
  <c r="D234" i="3" s="1"/>
  <c r="N234" i="3" s="1" a="1"/>
  <c r="N234" i="3" s="1"/>
  <c r="E234" i="3" a="1"/>
  <c r="E234" i="3" s="1"/>
  <c r="O234" i="3" s="1" a="1"/>
  <c r="O234" i="3" s="1"/>
  <c r="F234" i="3" a="1"/>
  <c r="F234" i="3" s="1"/>
  <c r="P234" i="3" s="1" a="1"/>
  <c r="P234" i="3" s="1"/>
  <c r="G234" i="3" a="1"/>
  <c r="G234" i="3" s="1"/>
  <c r="Q234" i="3" s="1" a="1"/>
  <c r="Q234" i="3" s="1"/>
  <c r="H234" i="3" a="1"/>
  <c r="H234" i="3" s="1"/>
  <c r="R234" i="3" s="1" a="1"/>
  <c r="R234" i="3" s="1"/>
  <c r="S234" i="3" s="1" a="1"/>
  <c r="S234" i="3" s="1"/>
  <c r="J234" i="3" a="1"/>
  <c r="J234" i="3" s="1"/>
  <c r="U234" i="3" s="1" a="1"/>
  <c r="U234" i="3" s="1"/>
  <c r="I234" i="3" a="1"/>
  <c r="I234" i="3" s="1"/>
  <c r="T234" i="3" s="1" a="1"/>
  <c r="T234" i="3" s="1"/>
  <c r="K234" i="3" a="1"/>
  <c r="K234" i="3" s="1"/>
  <c r="V234" i="3" s="1" a="1"/>
  <c r="V234" i="3" s="1"/>
  <c r="B222" i="3" a="1"/>
  <c r="B222" i="3" s="1"/>
  <c r="L222" i="3" s="1" a="1"/>
  <c r="L222" i="3" s="1"/>
  <c r="C222" i="3" a="1"/>
  <c r="C222" i="3" s="1"/>
  <c r="M222" i="3" s="1" a="1"/>
  <c r="M222" i="3" s="1"/>
  <c r="D222" i="3" a="1"/>
  <c r="D222" i="3" s="1"/>
  <c r="N222" i="3" s="1" a="1"/>
  <c r="N222" i="3" s="1"/>
  <c r="E222" i="3" a="1"/>
  <c r="E222" i="3" s="1"/>
  <c r="O222" i="3" s="1" a="1"/>
  <c r="O222" i="3" s="1"/>
  <c r="F222" i="3" a="1"/>
  <c r="F222" i="3" s="1"/>
  <c r="P222" i="3" s="1" a="1"/>
  <c r="P222" i="3" s="1"/>
  <c r="G222" i="3" a="1"/>
  <c r="G222" i="3" s="1"/>
  <c r="Q222" i="3" s="1" a="1"/>
  <c r="Q222" i="3" s="1"/>
  <c r="H222" i="3" a="1"/>
  <c r="H222" i="3" s="1"/>
  <c r="R222" i="3" s="1" a="1"/>
  <c r="R222" i="3" s="1"/>
  <c r="S222" i="3" s="1" a="1"/>
  <c r="S222" i="3" s="1"/>
  <c r="J222" i="3" a="1"/>
  <c r="J222" i="3" s="1"/>
  <c r="U222" i="3" s="1" a="1"/>
  <c r="U222" i="3" s="1"/>
  <c r="I222" i="3" a="1"/>
  <c r="I222" i="3" s="1"/>
  <c r="T222" i="3" s="1" a="1"/>
  <c r="T222" i="3" s="1"/>
  <c r="K222" i="3" a="1"/>
  <c r="K222" i="3" s="1"/>
  <c r="V222" i="3" s="1" a="1"/>
  <c r="V222" i="3" s="1"/>
  <c r="B210" i="3" a="1"/>
  <c r="B210" i="3" s="1"/>
  <c r="L210" i="3" s="1" a="1"/>
  <c r="L210" i="3" s="1"/>
  <c r="C210" i="3" a="1"/>
  <c r="C210" i="3" s="1"/>
  <c r="M210" i="3" s="1" a="1"/>
  <c r="M210" i="3" s="1"/>
  <c r="D210" i="3" a="1"/>
  <c r="D210" i="3" s="1"/>
  <c r="N210" i="3" s="1" a="1"/>
  <c r="N210" i="3" s="1"/>
  <c r="E210" i="3" a="1"/>
  <c r="E210" i="3" s="1"/>
  <c r="O210" i="3" s="1" a="1"/>
  <c r="O210" i="3" s="1"/>
  <c r="F210" i="3" a="1"/>
  <c r="F210" i="3" s="1"/>
  <c r="P210" i="3" s="1" a="1"/>
  <c r="P210" i="3" s="1"/>
  <c r="G210" i="3" a="1"/>
  <c r="G210" i="3" s="1"/>
  <c r="Q210" i="3" s="1" a="1"/>
  <c r="Q210" i="3" s="1"/>
  <c r="H210" i="3" a="1"/>
  <c r="H210" i="3" s="1"/>
  <c r="R210" i="3" s="1" a="1"/>
  <c r="R210" i="3" s="1"/>
  <c r="S210" i="3" s="1" a="1"/>
  <c r="S210" i="3" s="1"/>
  <c r="J210" i="3" a="1"/>
  <c r="J210" i="3" s="1"/>
  <c r="U210" i="3" s="1" a="1"/>
  <c r="U210" i="3" s="1"/>
  <c r="I210" i="3" a="1"/>
  <c r="I210" i="3" s="1"/>
  <c r="T210" i="3" s="1" a="1"/>
  <c r="T210" i="3" s="1"/>
  <c r="K210" i="3" a="1"/>
  <c r="K210" i="3" s="1"/>
  <c r="V210" i="3" s="1" a="1"/>
  <c r="V210" i="3" s="1"/>
  <c r="B198" i="3" a="1"/>
  <c r="B198" i="3" s="1"/>
  <c r="L198" i="3" s="1" a="1"/>
  <c r="L198" i="3" s="1"/>
  <c r="C198" i="3" a="1"/>
  <c r="C198" i="3" s="1"/>
  <c r="M198" i="3" s="1" a="1"/>
  <c r="M198" i="3" s="1"/>
  <c r="D198" i="3" a="1"/>
  <c r="D198" i="3" s="1"/>
  <c r="N198" i="3" s="1" a="1"/>
  <c r="N198" i="3" s="1"/>
  <c r="E198" i="3" a="1"/>
  <c r="E198" i="3" s="1"/>
  <c r="O198" i="3" s="1" a="1"/>
  <c r="O198" i="3" s="1"/>
  <c r="F198" i="3" a="1"/>
  <c r="F198" i="3" s="1"/>
  <c r="P198" i="3" s="1" a="1"/>
  <c r="P198" i="3" s="1"/>
  <c r="G198" i="3" a="1"/>
  <c r="G198" i="3" s="1"/>
  <c r="Q198" i="3" s="1" a="1"/>
  <c r="Q198" i="3" s="1"/>
  <c r="H198" i="3" a="1"/>
  <c r="H198" i="3" s="1"/>
  <c r="R198" i="3" s="1" a="1"/>
  <c r="R198" i="3" s="1"/>
  <c r="S198" i="3" s="1" a="1"/>
  <c r="S198" i="3" s="1"/>
  <c r="J198" i="3" a="1"/>
  <c r="J198" i="3" s="1"/>
  <c r="U198" i="3" s="1" a="1"/>
  <c r="U198" i="3" s="1"/>
  <c r="I198" i="3" a="1"/>
  <c r="I198" i="3" s="1"/>
  <c r="T198" i="3" s="1" a="1"/>
  <c r="T198" i="3" s="1"/>
  <c r="K198" i="3" a="1"/>
  <c r="K198" i="3" s="1"/>
  <c r="V198" i="3" s="1" a="1"/>
  <c r="V198" i="3" s="1"/>
  <c r="B186" i="3" a="1"/>
  <c r="B186" i="3" s="1"/>
  <c r="L186" i="3" s="1" a="1"/>
  <c r="L186" i="3" s="1"/>
  <c r="C186" i="3" a="1"/>
  <c r="C186" i="3" s="1"/>
  <c r="M186" i="3" s="1" a="1"/>
  <c r="M186" i="3" s="1"/>
  <c r="D186" i="3" a="1"/>
  <c r="D186" i="3" s="1"/>
  <c r="N186" i="3" s="1" a="1"/>
  <c r="N186" i="3" s="1"/>
  <c r="E186" i="3" a="1"/>
  <c r="E186" i="3" s="1"/>
  <c r="O186" i="3" s="1" a="1"/>
  <c r="O186" i="3" s="1"/>
  <c r="F186" i="3" a="1"/>
  <c r="F186" i="3" s="1"/>
  <c r="P186" i="3" s="1" a="1"/>
  <c r="P186" i="3" s="1"/>
  <c r="G186" i="3" a="1"/>
  <c r="G186" i="3" s="1"/>
  <c r="Q186" i="3" s="1" a="1"/>
  <c r="Q186" i="3" s="1"/>
  <c r="H186" i="3" a="1"/>
  <c r="H186" i="3" s="1"/>
  <c r="R186" i="3" s="1" a="1"/>
  <c r="R186" i="3" s="1"/>
  <c r="S186" i="3" s="1" a="1"/>
  <c r="S186" i="3" s="1"/>
  <c r="J186" i="3" a="1"/>
  <c r="J186" i="3" s="1"/>
  <c r="U186" i="3" s="1" a="1"/>
  <c r="U186" i="3" s="1"/>
  <c r="I186" i="3" a="1"/>
  <c r="I186" i="3" s="1"/>
  <c r="T186" i="3" s="1" a="1"/>
  <c r="T186" i="3" s="1"/>
  <c r="K186" i="3" a="1"/>
  <c r="K186" i="3" s="1"/>
  <c r="V186" i="3" s="1" a="1"/>
  <c r="V186" i="3" s="1"/>
  <c r="B178" i="3" a="1"/>
  <c r="B178" i="3" s="1"/>
  <c r="L178" i="3" s="1" a="1"/>
  <c r="L178" i="3" s="1"/>
  <c r="C178" i="3" a="1"/>
  <c r="C178" i="3" s="1"/>
  <c r="M178" i="3" s="1" a="1"/>
  <c r="M178" i="3" s="1"/>
  <c r="D178" i="3" a="1"/>
  <c r="D178" i="3" s="1"/>
  <c r="N178" i="3" s="1" a="1"/>
  <c r="N178" i="3" s="1"/>
  <c r="E178" i="3" a="1"/>
  <c r="E178" i="3" s="1"/>
  <c r="O178" i="3" s="1" a="1"/>
  <c r="O178" i="3" s="1"/>
  <c r="F178" i="3" a="1"/>
  <c r="F178" i="3" s="1"/>
  <c r="P178" i="3" s="1" a="1"/>
  <c r="P178" i="3" s="1"/>
  <c r="G178" i="3" a="1"/>
  <c r="G178" i="3" s="1"/>
  <c r="Q178" i="3" s="1" a="1"/>
  <c r="Q178" i="3" s="1"/>
  <c r="H178" i="3" a="1"/>
  <c r="H178" i="3" s="1"/>
  <c r="R178" i="3" s="1" a="1"/>
  <c r="R178" i="3" s="1"/>
  <c r="S178" i="3" s="1" a="1"/>
  <c r="S178" i="3" s="1"/>
  <c r="J178" i="3" a="1"/>
  <c r="J178" i="3" s="1"/>
  <c r="U178" i="3" s="1" a="1"/>
  <c r="U178" i="3" s="1"/>
  <c r="I178" i="3" a="1"/>
  <c r="I178" i="3" s="1"/>
  <c r="T178" i="3" s="1" a="1"/>
  <c r="T178" i="3" s="1"/>
  <c r="K178" i="3" a="1"/>
  <c r="K178" i="3" s="1"/>
  <c r="V178" i="3" s="1" a="1"/>
  <c r="V178" i="3" s="1"/>
  <c r="B277" i="3" a="1"/>
  <c r="B277" i="3" s="1"/>
  <c r="L277" i="3" s="1" a="1"/>
  <c r="L277" i="3" s="1"/>
  <c r="C277" i="3" a="1"/>
  <c r="C277" i="3" s="1"/>
  <c r="M277" i="3" s="1" a="1"/>
  <c r="M277" i="3" s="1"/>
  <c r="D277" i="3" a="1"/>
  <c r="D277" i="3" s="1"/>
  <c r="N277" i="3" s="1" a="1"/>
  <c r="N277" i="3" s="1"/>
  <c r="E277" i="3" a="1"/>
  <c r="E277" i="3" s="1"/>
  <c r="O277" i="3" s="1" a="1"/>
  <c r="O277" i="3" s="1"/>
  <c r="F277" i="3" a="1"/>
  <c r="F277" i="3" s="1"/>
  <c r="P277" i="3" s="1" a="1"/>
  <c r="P277" i="3" s="1"/>
  <c r="G277" i="3" a="1"/>
  <c r="G277" i="3" s="1"/>
  <c r="Q277" i="3" s="1" a="1"/>
  <c r="Q277" i="3" s="1"/>
  <c r="I277" i="3" a="1"/>
  <c r="I277" i="3" s="1"/>
  <c r="T277" i="3" s="1" a="1"/>
  <c r="T277" i="3" s="1"/>
  <c r="H277" i="3" a="1"/>
  <c r="H277" i="3" s="1"/>
  <c r="R277" i="3" s="1" a="1"/>
  <c r="R277" i="3" s="1"/>
  <c r="S277" i="3" s="1" a="1"/>
  <c r="S277" i="3" s="1"/>
  <c r="J277" i="3" a="1"/>
  <c r="J277" i="3" s="1"/>
  <c r="U277" i="3" s="1" a="1"/>
  <c r="U277" i="3" s="1"/>
  <c r="K277" i="3" a="1"/>
  <c r="K277" i="3" s="1"/>
  <c r="V277" i="3" s="1" a="1"/>
  <c r="V277" i="3" s="1"/>
  <c r="B269" i="3" a="1"/>
  <c r="B269" i="3" s="1"/>
  <c r="L269" i="3" s="1" a="1"/>
  <c r="L269" i="3" s="1"/>
  <c r="C269" i="3" a="1"/>
  <c r="C269" i="3" s="1"/>
  <c r="M269" i="3" s="1" a="1"/>
  <c r="M269" i="3" s="1"/>
  <c r="D269" i="3" a="1"/>
  <c r="D269" i="3" s="1"/>
  <c r="N269" i="3" s="1" a="1"/>
  <c r="N269" i="3" s="1"/>
  <c r="E269" i="3" a="1"/>
  <c r="E269" i="3" s="1"/>
  <c r="O269" i="3" s="1" a="1"/>
  <c r="O269" i="3" s="1"/>
  <c r="F269" i="3" a="1"/>
  <c r="F269" i="3" s="1"/>
  <c r="P269" i="3" s="1" a="1"/>
  <c r="P269" i="3" s="1"/>
  <c r="G269" i="3" a="1"/>
  <c r="G269" i="3" s="1"/>
  <c r="Q269" i="3" s="1" a="1"/>
  <c r="Q269" i="3" s="1"/>
  <c r="I269" i="3" a="1"/>
  <c r="I269" i="3" s="1"/>
  <c r="T269" i="3" s="1" a="1"/>
  <c r="T269" i="3" s="1"/>
  <c r="H269" i="3" a="1"/>
  <c r="H269" i="3" s="1"/>
  <c r="R269" i="3" s="1" a="1"/>
  <c r="R269" i="3" s="1"/>
  <c r="S269" i="3" s="1" a="1"/>
  <c r="S269" i="3" s="1"/>
  <c r="J269" i="3" a="1"/>
  <c r="J269" i="3" s="1"/>
  <c r="U269" i="3" s="1" a="1"/>
  <c r="U269" i="3" s="1"/>
  <c r="K269" i="3" a="1"/>
  <c r="K269" i="3" s="1"/>
  <c r="V269" i="3" s="1" a="1"/>
  <c r="V269" i="3" s="1"/>
  <c r="B261" i="3" a="1"/>
  <c r="B261" i="3" s="1"/>
  <c r="L261" i="3" s="1" a="1"/>
  <c r="L261" i="3" s="1"/>
  <c r="C261" i="3" a="1"/>
  <c r="C261" i="3" s="1"/>
  <c r="M261" i="3" s="1" a="1"/>
  <c r="M261" i="3" s="1"/>
  <c r="D261" i="3" a="1"/>
  <c r="D261" i="3" s="1"/>
  <c r="N261" i="3" s="1" a="1"/>
  <c r="N261" i="3" s="1"/>
  <c r="E261" i="3" a="1"/>
  <c r="E261" i="3" s="1"/>
  <c r="O261" i="3" s="1" a="1"/>
  <c r="O261" i="3" s="1"/>
  <c r="F261" i="3" a="1"/>
  <c r="F261" i="3" s="1"/>
  <c r="P261" i="3" s="1" a="1"/>
  <c r="P261" i="3" s="1"/>
  <c r="G261" i="3" a="1"/>
  <c r="G261" i="3" s="1"/>
  <c r="Q261" i="3" s="1" a="1"/>
  <c r="Q261" i="3" s="1"/>
  <c r="I261" i="3" a="1"/>
  <c r="I261" i="3" s="1"/>
  <c r="T261" i="3" s="1" a="1"/>
  <c r="T261" i="3" s="1"/>
  <c r="H261" i="3" a="1"/>
  <c r="H261" i="3" s="1"/>
  <c r="R261" i="3" s="1" a="1"/>
  <c r="R261" i="3" s="1"/>
  <c r="S261" i="3" s="1" a="1"/>
  <c r="S261" i="3" s="1"/>
  <c r="J261" i="3" a="1"/>
  <c r="J261" i="3" s="1"/>
  <c r="U261" i="3" s="1" a="1"/>
  <c r="U261" i="3" s="1"/>
  <c r="K261" i="3" a="1"/>
  <c r="K261" i="3" s="1"/>
  <c r="V261" i="3" s="1" a="1"/>
  <c r="V261" i="3" s="1"/>
  <c r="B284" i="3" a="1"/>
  <c r="B284" i="3" s="1"/>
  <c r="L284" i="3" s="1" a="1"/>
  <c r="L284" i="3" s="1"/>
  <c r="C284" i="3" a="1"/>
  <c r="C284" i="3" s="1"/>
  <c r="M284" i="3" s="1" a="1"/>
  <c r="M284" i="3" s="1"/>
  <c r="D284" i="3" a="1"/>
  <c r="D284" i="3" s="1"/>
  <c r="N284" i="3" s="1" a="1"/>
  <c r="N284" i="3" s="1"/>
  <c r="E284" i="3" a="1"/>
  <c r="E284" i="3" s="1"/>
  <c r="O284" i="3" s="1" a="1"/>
  <c r="O284" i="3" s="1"/>
  <c r="F284" i="3" a="1"/>
  <c r="F284" i="3" s="1"/>
  <c r="P284" i="3" s="1" a="1"/>
  <c r="P284" i="3" s="1"/>
  <c r="H284" i="3" a="1"/>
  <c r="H284" i="3" s="1"/>
  <c r="R284" i="3" s="1" a="1"/>
  <c r="R284" i="3" s="1"/>
  <c r="S284" i="3" s="1" a="1"/>
  <c r="S284" i="3" s="1"/>
  <c r="G284" i="3" a="1"/>
  <c r="G284" i="3" s="1"/>
  <c r="Q284" i="3" s="1" a="1"/>
  <c r="Q284" i="3" s="1"/>
  <c r="I284" i="3" a="1"/>
  <c r="I284" i="3" s="1"/>
  <c r="T284" i="3" s="1" a="1"/>
  <c r="T284" i="3" s="1"/>
  <c r="J284" i="3" a="1"/>
  <c r="J284" i="3" s="1"/>
  <c r="U284" i="3" s="1" a="1"/>
  <c r="U284" i="3" s="1"/>
  <c r="K284" i="3" a="1"/>
  <c r="K284" i="3" s="1"/>
  <c r="V284" i="3" s="1" a="1"/>
  <c r="V284" i="3" s="1"/>
  <c r="B280" i="3" a="1"/>
  <c r="B280" i="3" s="1"/>
  <c r="L280" i="3" s="1" a="1"/>
  <c r="L280" i="3" s="1"/>
  <c r="C280" i="3" a="1"/>
  <c r="C280" i="3" s="1"/>
  <c r="M280" i="3" s="1" a="1"/>
  <c r="M280" i="3" s="1"/>
  <c r="D280" i="3" a="1"/>
  <c r="D280" i="3" s="1"/>
  <c r="N280" i="3" s="1" a="1"/>
  <c r="N280" i="3" s="1"/>
  <c r="E280" i="3" a="1"/>
  <c r="E280" i="3" s="1"/>
  <c r="O280" i="3" s="1" a="1"/>
  <c r="O280" i="3" s="1"/>
  <c r="F280" i="3" a="1"/>
  <c r="F280" i="3" s="1"/>
  <c r="P280" i="3" s="1" a="1"/>
  <c r="P280" i="3" s="1"/>
  <c r="G280" i="3" a="1"/>
  <c r="G280" i="3" s="1"/>
  <c r="Q280" i="3" s="1" a="1"/>
  <c r="Q280" i="3" s="1"/>
  <c r="H280" i="3" a="1"/>
  <c r="H280" i="3" s="1"/>
  <c r="R280" i="3" s="1" a="1"/>
  <c r="R280" i="3" s="1"/>
  <c r="S280" i="3" s="1" a="1"/>
  <c r="S280" i="3" s="1"/>
  <c r="I280" i="3" a="1"/>
  <c r="I280" i="3" s="1"/>
  <c r="T280" i="3" s="1" a="1"/>
  <c r="T280" i="3" s="1"/>
  <c r="J280" i="3" a="1"/>
  <c r="J280" i="3" s="1"/>
  <c r="U280" i="3" s="1" a="1"/>
  <c r="U280" i="3" s="1"/>
  <c r="K280" i="3" a="1"/>
  <c r="K280" i="3" s="1"/>
  <c r="V280" i="3" s="1" a="1"/>
  <c r="V280" i="3" s="1"/>
  <c r="B276" i="3" a="1"/>
  <c r="B276" i="3" s="1"/>
  <c r="L276" i="3" s="1" a="1"/>
  <c r="L276" i="3" s="1"/>
  <c r="C276" i="3" a="1"/>
  <c r="C276" i="3" s="1"/>
  <c r="M276" i="3" s="1" a="1"/>
  <c r="M276" i="3" s="1"/>
  <c r="D276" i="3" a="1"/>
  <c r="D276" i="3" s="1"/>
  <c r="N276" i="3" s="1" a="1"/>
  <c r="N276" i="3" s="1"/>
  <c r="E276" i="3" a="1"/>
  <c r="E276" i="3" s="1"/>
  <c r="O276" i="3" s="1" a="1"/>
  <c r="O276" i="3" s="1"/>
  <c r="F276" i="3" a="1"/>
  <c r="F276" i="3" s="1"/>
  <c r="P276" i="3" s="1" a="1"/>
  <c r="P276" i="3" s="1"/>
  <c r="H276" i="3" a="1"/>
  <c r="H276" i="3" s="1"/>
  <c r="R276" i="3" s="1" a="1"/>
  <c r="R276" i="3" s="1"/>
  <c r="S276" i="3" s="1" a="1"/>
  <c r="S276" i="3" s="1"/>
  <c r="I276" i="3" a="1"/>
  <c r="I276" i="3" s="1"/>
  <c r="T276" i="3" s="1" a="1"/>
  <c r="T276" i="3" s="1"/>
  <c r="G276" i="3" a="1"/>
  <c r="G276" i="3" s="1"/>
  <c r="Q276" i="3" s="1" a="1"/>
  <c r="Q276" i="3" s="1"/>
  <c r="J276" i="3" a="1"/>
  <c r="J276" i="3" s="1"/>
  <c r="U276" i="3" s="1" a="1"/>
  <c r="U276" i="3" s="1"/>
  <c r="K276" i="3" a="1"/>
  <c r="K276" i="3" s="1"/>
  <c r="V276" i="3" s="1" a="1"/>
  <c r="V276" i="3" s="1"/>
  <c r="B272" i="3" a="1"/>
  <c r="B272" i="3" s="1"/>
  <c r="L272" i="3" s="1" a="1"/>
  <c r="L272" i="3" s="1"/>
  <c r="C272" i="3" a="1"/>
  <c r="C272" i="3" s="1"/>
  <c r="M272" i="3" s="1" a="1"/>
  <c r="M272" i="3" s="1"/>
  <c r="D272" i="3" a="1"/>
  <c r="D272" i="3" s="1"/>
  <c r="N272" i="3" s="1" a="1"/>
  <c r="N272" i="3" s="1"/>
  <c r="E272" i="3" a="1"/>
  <c r="E272" i="3" s="1"/>
  <c r="O272" i="3" s="1" a="1"/>
  <c r="O272" i="3" s="1"/>
  <c r="F272" i="3" a="1"/>
  <c r="F272" i="3" s="1"/>
  <c r="P272" i="3" s="1" a="1"/>
  <c r="P272" i="3" s="1"/>
  <c r="G272" i="3" a="1"/>
  <c r="G272" i="3" s="1"/>
  <c r="Q272" i="3" s="1" a="1"/>
  <c r="Q272" i="3" s="1"/>
  <c r="H272" i="3" a="1"/>
  <c r="H272" i="3" s="1"/>
  <c r="R272" i="3" s="1" a="1"/>
  <c r="R272" i="3" s="1"/>
  <c r="S272" i="3" s="1" a="1"/>
  <c r="S272" i="3" s="1"/>
  <c r="I272" i="3" a="1"/>
  <c r="I272" i="3" s="1"/>
  <c r="T272" i="3" s="1" a="1"/>
  <c r="T272" i="3" s="1"/>
  <c r="J272" i="3" a="1"/>
  <c r="J272" i="3" s="1"/>
  <c r="U272" i="3" s="1" a="1"/>
  <c r="U272" i="3" s="1"/>
  <c r="K272" i="3" a="1"/>
  <c r="K272" i="3" s="1"/>
  <c r="V272" i="3" s="1" a="1"/>
  <c r="V272" i="3" s="1"/>
  <c r="B268" i="3" a="1"/>
  <c r="B268" i="3" s="1"/>
  <c r="L268" i="3" s="1" a="1"/>
  <c r="L268" i="3" s="1"/>
  <c r="C268" i="3" a="1"/>
  <c r="C268" i="3" s="1"/>
  <c r="M268" i="3" s="1" a="1"/>
  <c r="M268" i="3" s="1"/>
  <c r="D268" i="3" a="1"/>
  <c r="D268" i="3" s="1"/>
  <c r="N268" i="3" s="1" a="1"/>
  <c r="N268" i="3" s="1"/>
  <c r="E268" i="3" a="1"/>
  <c r="E268" i="3" s="1"/>
  <c r="O268" i="3" s="1" a="1"/>
  <c r="O268" i="3" s="1"/>
  <c r="F268" i="3" a="1"/>
  <c r="F268" i="3" s="1"/>
  <c r="P268" i="3" s="1" a="1"/>
  <c r="P268" i="3" s="1"/>
  <c r="G268" i="3" a="1"/>
  <c r="G268" i="3" s="1"/>
  <c r="Q268" i="3" s="1" a="1"/>
  <c r="Q268" i="3" s="1"/>
  <c r="H268" i="3" a="1"/>
  <c r="H268" i="3" s="1"/>
  <c r="R268" i="3" s="1" a="1"/>
  <c r="R268" i="3" s="1"/>
  <c r="S268" i="3" s="1" a="1"/>
  <c r="S268" i="3" s="1"/>
  <c r="I268" i="3" a="1"/>
  <c r="I268" i="3" s="1"/>
  <c r="T268" i="3" s="1" a="1"/>
  <c r="T268" i="3" s="1"/>
  <c r="J268" i="3" a="1"/>
  <c r="J268" i="3" s="1"/>
  <c r="U268" i="3" s="1" a="1"/>
  <c r="U268" i="3" s="1"/>
  <c r="K268" i="3" a="1"/>
  <c r="K268" i="3" s="1"/>
  <c r="V268" i="3" s="1" a="1"/>
  <c r="V268" i="3" s="1"/>
  <c r="B264" i="3" a="1"/>
  <c r="B264" i="3" s="1"/>
  <c r="L264" i="3" s="1" a="1"/>
  <c r="L264" i="3" s="1"/>
  <c r="C264" i="3" a="1"/>
  <c r="C264" i="3" s="1"/>
  <c r="M264" i="3" s="1" a="1"/>
  <c r="M264" i="3" s="1"/>
  <c r="D264" i="3" a="1"/>
  <c r="D264" i="3" s="1"/>
  <c r="N264" i="3" s="1" a="1"/>
  <c r="N264" i="3" s="1"/>
  <c r="E264" i="3" a="1"/>
  <c r="E264" i="3" s="1"/>
  <c r="O264" i="3" s="1" a="1"/>
  <c r="O264" i="3" s="1"/>
  <c r="F264" i="3" a="1"/>
  <c r="F264" i="3" s="1"/>
  <c r="P264" i="3" s="1" a="1"/>
  <c r="P264" i="3" s="1"/>
  <c r="G264" i="3" a="1"/>
  <c r="G264" i="3" s="1"/>
  <c r="Q264" i="3" s="1" a="1"/>
  <c r="Q264" i="3" s="1"/>
  <c r="H264" i="3" a="1"/>
  <c r="H264" i="3" s="1"/>
  <c r="R264" i="3" s="1" a="1"/>
  <c r="R264" i="3" s="1"/>
  <c r="S264" i="3" s="1" a="1"/>
  <c r="S264" i="3" s="1"/>
  <c r="I264" i="3" a="1"/>
  <c r="I264" i="3" s="1"/>
  <c r="T264" i="3" s="1" a="1"/>
  <c r="T264" i="3" s="1"/>
  <c r="J264" i="3" a="1"/>
  <c r="J264" i="3" s="1"/>
  <c r="U264" i="3" s="1" a="1"/>
  <c r="U264" i="3" s="1"/>
  <c r="K264" i="3" a="1"/>
  <c r="K264" i="3" s="1"/>
  <c r="V264" i="3" s="1" a="1"/>
  <c r="V264" i="3" s="1"/>
  <c r="B260" i="3" a="1"/>
  <c r="B260" i="3" s="1"/>
  <c r="L260" i="3" s="1" a="1"/>
  <c r="L260" i="3" s="1"/>
  <c r="C260" i="3" a="1"/>
  <c r="C260" i="3" s="1"/>
  <c r="M260" i="3" s="1" a="1"/>
  <c r="M260" i="3" s="1"/>
  <c r="D260" i="3" a="1"/>
  <c r="D260" i="3" s="1"/>
  <c r="N260" i="3" s="1" a="1"/>
  <c r="N260" i="3" s="1"/>
  <c r="E260" i="3" a="1"/>
  <c r="E260" i="3" s="1"/>
  <c r="O260" i="3" s="1" a="1"/>
  <c r="O260" i="3" s="1"/>
  <c r="F260" i="3" a="1"/>
  <c r="F260" i="3" s="1"/>
  <c r="P260" i="3" s="1" a="1"/>
  <c r="P260" i="3" s="1"/>
  <c r="G260" i="3" a="1"/>
  <c r="G260" i="3" s="1"/>
  <c r="Q260" i="3" s="1" a="1"/>
  <c r="Q260" i="3" s="1"/>
  <c r="H260" i="3" a="1"/>
  <c r="H260" i="3" s="1"/>
  <c r="R260" i="3" s="1" a="1"/>
  <c r="R260" i="3" s="1"/>
  <c r="S260" i="3" s="1" a="1"/>
  <c r="S260" i="3" s="1"/>
  <c r="I260" i="3" a="1"/>
  <c r="I260" i="3" s="1"/>
  <c r="T260" i="3" s="1" a="1"/>
  <c r="T260" i="3" s="1"/>
  <c r="J260" i="3" a="1"/>
  <c r="J260" i="3" s="1"/>
  <c r="U260" i="3" s="1" a="1"/>
  <c r="U260" i="3" s="1"/>
  <c r="K260" i="3" a="1"/>
  <c r="K260" i="3" s="1"/>
  <c r="V260" i="3" s="1" a="1"/>
  <c r="V260" i="3" s="1"/>
  <c r="B256" i="3" a="1"/>
  <c r="B256" i="3" s="1"/>
  <c r="L256" i="3" s="1" a="1"/>
  <c r="L256" i="3" s="1"/>
  <c r="C256" i="3" a="1"/>
  <c r="C256" i="3" s="1"/>
  <c r="M256" i="3" s="1" a="1"/>
  <c r="M256" i="3" s="1"/>
  <c r="D256" i="3" a="1"/>
  <c r="D256" i="3" s="1"/>
  <c r="N256" i="3" s="1" a="1"/>
  <c r="N256" i="3" s="1"/>
  <c r="E256" i="3" a="1"/>
  <c r="E256" i="3" s="1"/>
  <c r="O256" i="3" s="1" a="1"/>
  <c r="O256" i="3" s="1"/>
  <c r="F256" i="3" a="1"/>
  <c r="F256" i="3" s="1"/>
  <c r="P256" i="3" s="1" a="1"/>
  <c r="P256" i="3" s="1"/>
  <c r="G256" i="3" a="1"/>
  <c r="G256" i="3" s="1"/>
  <c r="Q256" i="3" s="1" a="1"/>
  <c r="Q256" i="3" s="1"/>
  <c r="H256" i="3" a="1"/>
  <c r="H256" i="3" s="1"/>
  <c r="R256" i="3" s="1" a="1"/>
  <c r="R256" i="3" s="1"/>
  <c r="S256" i="3" s="1" a="1"/>
  <c r="S256" i="3" s="1"/>
  <c r="I256" i="3" a="1"/>
  <c r="I256" i="3" s="1"/>
  <c r="T256" i="3" s="1" a="1"/>
  <c r="T256" i="3" s="1"/>
  <c r="J256" i="3" a="1"/>
  <c r="J256" i="3" s="1"/>
  <c r="U256" i="3" s="1" a="1"/>
  <c r="U256" i="3" s="1"/>
  <c r="K256" i="3" a="1"/>
  <c r="K256" i="3" s="1"/>
  <c r="V256" i="3" s="1" a="1"/>
  <c r="V256" i="3" s="1"/>
  <c r="B252" i="3" a="1"/>
  <c r="B252" i="3" s="1"/>
  <c r="L252" i="3" s="1" a="1"/>
  <c r="L252" i="3" s="1"/>
  <c r="C252" i="3" a="1"/>
  <c r="C252" i="3" s="1"/>
  <c r="M252" i="3" s="1" a="1"/>
  <c r="M252" i="3" s="1"/>
  <c r="D252" i="3" a="1"/>
  <c r="D252" i="3" s="1"/>
  <c r="N252" i="3" s="1" a="1"/>
  <c r="N252" i="3" s="1"/>
  <c r="E252" i="3" a="1"/>
  <c r="E252" i="3" s="1"/>
  <c r="O252" i="3" s="1" a="1"/>
  <c r="O252" i="3" s="1"/>
  <c r="F252" i="3" a="1"/>
  <c r="F252" i="3" s="1"/>
  <c r="P252" i="3" s="1" a="1"/>
  <c r="P252" i="3" s="1"/>
  <c r="G252" i="3" a="1"/>
  <c r="G252" i="3" s="1"/>
  <c r="Q252" i="3" s="1" a="1"/>
  <c r="Q252" i="3" s="1"/>
  <c r="H252" i="3" a="1"/>
  <c r="H252" i="3" s="1"/>
  <c r="R252" i="3" s="1" a="1"/>
  <c r="R252" i="3" s="1"/>
  <c r="S252" i="3" s="1" a="1"/>
  <c r="S252" i="3" s="1"/>
  <c r="I252" i="3" a="1"/>
  <c r="I252" i="3" s="1"/>
  <c r="T252" i="3" s="1" a="1"/>
  <c r="T252" i="3" s="1"/>
  <c r="J252" i="3" a="1"/>
  <c r="J252" i="3" s="1"/>
  <c r="U252" i="3" s="1" a="1"/>
  <c r="U252" i="3" s="1"/>
  <c r="K252" i="3" a="1"/>
  <c r="K252" i="3" s="1"/>
  <c r="V252" i="3" s="1" a="1"/>
  <c r="V252" i="3" s="1"/>
  <c r="B248" i="3" a="1"/>
  <c r="B248" i="3" s="1"/>
  <c r="L248" i="3" s="1" a="1"/>
  <c r="L248" i="3" s="1"/>
  <c r="C248" i="3" a="1"/>
  <c r="C248" i="3" s="1"/>
  <c r="M248" i="3" s="1" a="1"/>
  <c r="M248" i="3" s="1"/>
  <c r="D248" i="3" a="1"/>
  <c r="D248" i="3" s="1"/>
  <c r="N248" i="3" s="1" a="1"/>
  <c r="N248" i="3" s="1"/>
  <c r="E248" i="3" a="1"/>
  <c r="E248" i="3" s="1"/>
  <c r="O248" i="3" s="1" a="1"/>
  <c r="O248" i="3" s="1"/>
  <c r="F248" i="3" a="1"/>
  <c r="F248" i="3" s="1"/>
  <c r="P248" i="3" s="1" a="1"/>
  <c r="P248" i="3" s="1"/>
  <c r="G248" i="3" a="1"/>
  <c r="G248" i="3" s="1"/>
  <c r="Q248" i="3" s="1" a="1"/>
  <c r="Q248" i="3" s="1"/>
  <c r="H248" i="3" a="1"/>
  <c r="H248" i="3" s="1"/>
  <c r="R248" i="3" s="1" a="1"/>
  <c r="R248" i="3" s="1"/>
  <c r="S248" i="3" s="1" a="1"/>
  <c r="S248" i="3" s="1"/>
  <c r="I248" i="3" a="1"/>
  <c r="I248" i="3" s="1"/>
  <c r="T248" i="3" s="1" a="1"/>
  <c r="T248" i="3" s="1"/>
  <c r="J248" i="3" a="1"/>
  <c r="J248" i="3" s="1"/>
  <c r="U248" i="3" s="1" a="1"/>
  <c r="U248" i="3" s="1"/>
  <c r="K248" i="3" a="1"/>
  <c r="K248" i="3" s="1"/>
  <c r="V248" i="3" s="1" a="1"/>
  <c r="V248" i="3" s="1"/>
  <c r="B244" i="3" a="1"/>
  <c r="B244" i="3" s="1"/>
  <c r="L244" i="3" s="1" a="1"/>
  <c r="L244" i="3" s="1"/>
  <c r="C244" i="3" a="1"/>
  <c r="C244" i="3" s="1"/>
  <c r="M244" i="3" s="1" a="1"/>
  <c r="M244" i="3" s="1"/>
  <c r="D244" i="3" a="1"/>
  <c r="D244" i="3" s="1"/>
  <c r="N244" i="3" s="1" a="1"/>
  <c r="N244" i="3" s="1"/>
  <c r="E244" i="3" a="1"/>
  <c r="E244" i="3" s="1"/>
  <c r="O244" i="3" s="1" a="1"/>
  <c r="O244" i="3" s="1"/>
  <c r="F244" i="3" a="1"/>
  <c r="F244" i="3" s="1"/>
  <c r="P244" i="3" s="1" a="1"/>
  <c r="P244" i="3" s="1"/>
  <c r="G244" i="3" a="1"/>
  <c r="G244" i="3" s="1"/>
  <c r="Q244" i="3" s="1" a="1"/>
  <c r="Q244" i="3" s="1"/>
  <c r="H244" i="3" a="1"/>
  <c r="H244" i="3" s="1"/>
  <c r="R244" i="3" s="1" a="1"/>
  <c r="R244" i="3" s="1"/>
  <c r="S244" i="3" s="1" a="1"/>
  <c r="S244" i="3" s="1"/>
  <c r="I244" i="3" a="1"/>
  <c r="I244" i="3" s="1"/>
  <c r="T244" i="3" s="1" a="1"/>
  <c r="T244" i="3" s="1"/>
  <c r="J244" i="3" a="1"/>
  <c r="J244" i="3" s="1"/>
  <c r="U244" i="3" s="1" a="1"/>
  <c r="U244" i="3" s="1"/>
  <c r="K244" i="3" a="1"/>
  <c r="K244" i="3" s="1"/>
  <c r="V244" i="3" s="1" a="1"/>
  <c r="V244" i="3" s="1"/>
  <c r="B240" i="3" a="1"/>
  <c r="B240" i="3" s="1"/>
  <c r="L240" i="3" s="1" a="1"/>
  <c r="L240" i="3" s="1"/>
  <c r="C240" i="3" a="1"/>
  <c r="C240" i="3" s="1"/>
  <c r="M240" i="3" s="1" a="1"/>
  <c r="M240" i="3" s="1"/>
  <c r="D240" i="3" a="1"/>
  <c r="D240" i="3" s="1"/>
  <c r="N240" i="3" s="1" a="1"/>
  <c r="N240" i="3" s="1"/>
  <c r="E240" i="3" a="1"/>
  <c r="E240" i="3" s="1"/>
  <c r="O240" i="3" s="1" a="1"/>
  <c r="O240" i="3" s="1"/>
  <c r="F240" i="3" a="1"/>
  <c r="F240" i="3" s="1"/>
  <c r="P240" i="3" s="1" a="1"/>
  <c r="P240" i="3" s="1"/>
  <c r="G240" i="3" a="1"/>
  <c r="G240" i="3" s="1"/>
  <c r="Q240" i="3" s="1" a="1"/>
  <c r="Q240" i="3" s="1"/>
  <c r="H240" i="3" a="1"/>
  <c r="H240" i="3" s="1"/>
  <c r="R240" i="3" s="1" a="1"/>
  <c r="R240" i="3" s="1"/>
  <c r="S240" i="3" s="1" a="1"/>
  <c r="S240" i="3" s="1"/>
  <c r="I240" i="3" a="1"/>
  <c r="I240" i="3" s="1"/>
  <c r="T240" i="3" s="1" a="1"/>
  <c r="T240" i="3" s="1"/>
  <c r="J240" i="3" a="1"/>
  <c r="J240" i="3" s="1"/>
  <c r="U240" i="3" s="1" a="1"/>
  <c r="U240" i="3" s="1"/>
  <c r="K240" i="3" a="1"/>
  <c r="K240" i="3" s="1"/>
  <c r="V240" i="3" s="1" a="1"/>
  <c r="V240" i="3" s="1"/>
  <c r="B236" i="3" a="1"/>
  <c r="B236" i="3" s="1"/>
  <c r="L236" i="3" s="1" a="1"/>
  <c r="L236" i="3" s="1"/>
  <c r="C236" i="3" a="1"/>
  <c r="C236" i="3" s="1"/>
  <c r="M236" i="3" s="1" a="1"/>
  <c r="M236" i="3" s="1"/>
  <c r="D236" i="3" a="1"/>
  <c r="D236" i="3" s="1"/>
  <c r="N236" i="3" s="1" a="1"/>
  <c r="N236" i="3" s="1"/>
  <c r="E236" i="3" a="1"/>
  <c r="E236" i="3" s="1"/>
  <c r="O236" i="3" s="1" a="1"/>
  <c r="O236" i="3" s="1"/>
  <c r="F236" i="3" a="1"/>
  <c r="F236" i="3" s="1"/>
  <c r="P236" i="3" s="1" a="1"/>
  <c r="P236" i="3" s="1"/>
  <c r="G236" i="3" a="1"/>
  <c r="G236" i="3" s="1"/>
  <c r="Q236" i="3" s="1" a="1"/>
  <c r="Q236" i="3" s="1"/>
  <c r="H236" i="3" a="1"/>
  <c r="H236" i="3" s="1"/>
  <c r="R236" i="3" s="1" a="1"/>
  <c r="R236" i="3" s="1"/>
  <c r="S236" i="3" s="1" a="1"/>
  <c r="S236" i="3" s="1"/>
  <c r="I236" i="3" a="1"/>
  <c r="I236" i="3" s="1"/>
  <c r="T236" i="3" s="1" a="1"/>
  <c r="T236" i="3" s="1"/>
  <c r="J236" i="3" a="1"/>
  <c r="J236" i="3" s="1"/>
  <c r="U236" i="3" s="1" a="1"/>
  <c r="U236" i="3" s="1"/>
  <c r="K236" i="3" a="1"/>
  <c r="K236" i="3" s="1"/>
  <c r="V236" i="3" s="1" a="1"/>
  <c r="V236" i="3" s="1"/>
  <c r="B232" i="3" a="1"/>
  <c r="B232" i="3" s="1"/>
  <c r="L232" i="3" s="1" a="1"/>
  <c r="L232" i="3" s="1"/>
  <c r="C232" i="3" a="1"/>
  <c r="C232" i="3" s="1"/>
  <c r="M232" i="3" s="1" a="1"/>
  <c r="M232" i="3" s="1"/>
  <c r="D232" i="3" a="1"/>
  <c r="D232" i="3" s="1"/>
  <c r="N232" i="3" s="1" a="1"/>
  <c r="N232" i="3" s="1"/>
  <c r="E232" i="3" a="1"/>
  <c r="E232" i="3" s="1"/>
  <c r="O232" i="3" s="1" a="1"/>
  <c r="O232" i="3" s="1"/>
  <c r="F232" i="3" a="1"/>
  <c r="F232" i="3" s="1"/>
  <c r="P232" i="3" s="1" a="1"/>
  <c r="P232" i="3" s="1"/>
  <c r="G232" i="3" a="1"/>
  <c r="G232" i="3" s="1"/>
  <c r="Q232" i="3" s="1" a="1"/>
  <c r="Q232" i="3" s="1"/>
  <c r="H232" i="3" a="1"/>
  <c r="H232" i="3" s="1"/>
  <c r="R232" i="3" s="1" a="1"/>
  <c r="R232" i="3" s="1"/>
  <c r="S232" i="3" s="1" a="1"/>
  <c r="S232" i="3" s="1"/>
  <c r="I232" i="3" a="1"/>
  <c r="I232" i="3" s="1"/>
  <c r="T232" i="3" s="1" a="1"/>
  <c r="T232" i="3" s="1"/>
  <c r="J232" i="3" a="1"/>
  <c r="J232" i="3" s="1"/>
  <c r="U232" i="3" s="1" a="1"/>
  <c r="U232" i="3" s="1"/>
  <c r="K232" i="3" a="1"/>
  <c r="K232" i="3" s="1"/>
  <c r="V232" i="3" s="1" a="1"/>
  <c r="V232" i="3" s="1"/>
  <c r="B228" i="3" a="1"/>
  <c r="B228" i="3" s="1"/>
  <c r="L228" i="3" s="1" a="1"/>
  <c r="L228" i="3" s="1"/>
  <c r="C228" i="3" a="1"/>
  <c r="C228" i="3" s="1"/>
  <c r="M228" i="3" s="1" a="1"/>
  <c r="M228" i="3" s="1"/>
  <c r="D228" i="3" a="1"/>
  <c r="D228" i="3" s="1"/>
  <c r="N228" i="3" s="1" a="1"/>
  <c r="N228" i="3" s="1"/>
  <c r="E228" i="3" a="1"/>
  <c r="E228" i="3" s="1"/>
  <c r="O228" i="3" s="1" a="1"/>
  <c r="O228" i="3" s="1"/>
  <c r="F228" i="3" a="1"/>
  <c r="F228" i="3" s="1"/>
  <c r="P228" i="3" s="1" a="1"/>
  <c r="P228" i="3" s="1"/>
  <c r="G228" i="3" a="1"/>
  <c r="G228" i="3" s="1"/>
  <c r="Q228" i="3" s="1" a="1"/>
  <c r="Q228" i="3" s="1"/>
  <c r="H228" i="3" a="1"/>
  <c r="H228" i="3" s="1"/>
  <c r="R228" i="3" s="1" a="1"/>
  <c r="R228" i="3" s="1"/>
  <c r="S228" i="3" s="1" a="1"/>
  <c r="S228" i="3" s="1"/>
  <c r="I228" i="3" a="1"/>
  <c r="I228" i="3" s="1"/>
  <c r="T228" i="3" s="1" a="1"/>
  <c r="T228" i="3" s="1"/>
  <c r="J228" i="3" a="1"/>
  <c r="J228" i="3" s="1"/>
  <c r="U228" i="3" s="1" a="1"/>
  <c r="U228" i="3" s="1"/>
  <c r="K228" i="3" a="1"/>
  <c r="K228" i="3" s="1"/>
  <c r="V228" i="3" s="1" a="1"/>
  <c r="V228" i="3" s="1"/>
  <c r="B224" i="3" a="1"/>
  <c r="B224" i="3" s="1"/>
  <c r="L224" i="3" s="1" a="1"/>
  <c r="L224" i="3" s="1"/>
  <c r="C224" i="3" a="1"/>
  <c r="C224" i="3" s="1"/>
  <c r="M224" i="3" s="1" a="1"/>
  <c r="M224" i="3" s="1"/>
  <c r="D224" i="3" a="1"/>
  <c r="D224" i="3" s="1"/>
  <c r="N224" i="3" s="1" a="1"/>
  <c r="N224" i="3" s="1"/>
  <c r="E224" i="3" a="1"/>
  <c r="E224" i="3" s="1"/>
  <c r="O224" i="3" s="1" a="1"/>
  <c r="O224" i="3" s="1"/>
  <c r="F224" i="3" a="1"/>
  <c r="F224" i="3" s="1"/>
  <c r="P224" i="3" s="1" a="1"/>
  <c r="P224" i="3" s="1"/>
  <c r="G224" i="3" a="1"/>
  <c r="G224" i="3" s="1"/>
  <c r="Q224" i="3" s="1" a="1"/>
  <c r="Q224" i="3" s="1"/>
  <c r="H224" i="3" a="1"/>
  <c r="H224" i="3" s="1"/>
  <c r="R224" i="3" s="1" a="1"/>
  <c r="R224" i="3" s="1"/>
  <c r="S224" i="3" s="1" a="1"/>
  <c r="S224" i="3" s="1"/>
  <c r="I224" i="3" a="1"/>
  <c r="I224" i="3" s="1"/>
  <c r="T224" i="3" s="1" a="1"/>
  <c r="T224" i="3" s="1"/>
  <c r="J224" i="3" a="1"/>
  <c r="J224" i="3" s="1"/>
  <c r="U224" i="3" s="1" a="1"/>
  <c r="U224" i="3" s="1"/>
  <c r="K224" i="3" a="1"/>
  <c r="K224" i="3" s="1"/>
  <c r="V224" i="3" s="1" a="1"/>
  <c r="V224" i="3" s="1"/>
  <c r="B220" i="3" a="1"/>
  <c r="B220" i="3" s="1"/>
  <c r="L220" i="3" s="1" a="1"/>
  <c r="L220" i="3" s="1"/>
  <c r="C220" i="3" a="1"/>
  <c r="C220" i="3" s="1"/>
  <c r="M220" i="3" s="1" a="1"/>
  <c r="M220" i="3" s="1"/>
  <c r="D220" i="3" a="1"/>
  <c r="D220" i="3" s="1"/>
  <c r="N220" i="3" s="1" a="1"/>
  <c r="N220" i="3" s="1"/>
  <c r="E220" i="3" a="1"/>
  <c r="E220" i="3" s="1"/>
  <c r="O220" i="3" s="1" a="1"/>
  <c r="O220" i="3" s="1"/>
  <c r="F220" i="3" a="1"/>
  <c r="F220" i="3" s="1"/>
  <c r="P220" i="3" s="1" a="1"/>
  <c r="P220" i="3" s="1"/>
  <c r="G220" i="3" a="1"/>
  <c r="G220" i="3" s="1"/>
  <c r="Q220" i="3" s="1" a="1"/>
  <c r="Q220" i="3" s="1"/>
  <c r="H220" i="3" a="1"/>
  <c r="H220" i="3" s="1"/>
  <c r="R220" i="3" s="1" a="1"/>
  <c r="R220" i="3" s="1"/>
  <c r="S220" i="3" s="1" a="1"/>
  <c r="S220" i="3" s="1"/>
  <c r="I220" i="3" a="1"/>
  <c r="I220" i="3" s="1"/>
  <c r="T220" i="3" s="1" a="1"/>
  <c r="T220" i="3" s="1"/>
  <c r="J220" i="3" a="1"/>
  <c r="J220" i="3" s="1"/>
  <c r="U220" i="3" s="1" a="1"/>
  <c r="U220" i="3" s="1"/>
  <c r="K220" i="3" a="1"/>
  <c r="K220" i="3" s="1"/>
  <c r="V220" i="3" s="1" a="1"/>
  <c r="V220" i="3" s="1"/>
  <c r="B216" i="3" a="1"/>
  <c r="B216" i="3" s="1"/>
  <c r="L216" i="3" s="1" a="1"/>
  <c r="L216" i="3" s="1"/>
  <c r="C216" i="3" a="1"/>
  <c r="C216" i="3" s="1"/>
  <c r="M216" i="3" s="1" a="1"/>
  <c r="M216" i="3" s="1"/>
  <c r="D216" i="3" a="1"/>
  <c r="D216" i="3" s="1"/>
  <c r="N216" i="3" s="1" a="1"/>
  <c r="N216" i="3" s="1"/>
  <c r="E216" i="3" a="1"/>
  <c r="E216" i="3" s="1"/>
  <c r="O216" i="3" s="1" a="1"/>
  <c r="O216" i="3" s="1"/>
  <c r="F216" i="3" a="1"/>
  <c r="F216" i="3" s="1"/>
  <c r="P216" i="3" s="1" a="1"/>
  <c r="P216" i="3" s="1"/>
  <c r="G216" i="3" a="1"/>
  <c r="G216" i="3" s="1"/>
  <c r="Q216" i="3" s="1" a="1"/>
  <c r="Q216" i="3" s="1"/>
  <c r="H216" i="3" a="1"/>
  <c r="H216" i="3" s="1"/>
  <c r="R216" i="3" s="1" a="1"/>
  <c r="R216" i="3" s="1"/>
  <c r="S216" i="3" s="1" a="1"/>
  <c r="S216" i="3" s="1"/>
  <c r="I216" i="3" a="1"/>
  <c r="I216" i="3" s="1"/>
  <c r="T216" i="3" s="1" a="1"/>
  <c r="T216" i="3" s="1"/>
  <c r="J216" i="3" a="1"/>
  <c r="J216" i="3" s="1"/>
  <c r="U216" i="3" s="1" a="1"/>
  <c r="U216" i="3" s="1"/>
  <c r="K216" i="3" a="1"/>
  <c r="K216" i="3" s="1"/>
  <c r="V216" i="3" s="1" a="1"/>
  <c r="V216" i="3" s="1"/>
  <c r="B212" i="3" a="1"/>
  <c r="B212" i="3" s="1"/>
  <c r="L212" i="3" s="1" a="1"/>
  <c r="L212" i="3" s="1"/>
  <c r="C212" i="3" a="1"/>
  <c r="C212" i="3" s="1"/>
  <c r="M212" i="3" s="1" a="1"/>
  <c r="M212" i="3" s="1"/>
  <c r="D212" i="3" a="1"/>
  <c r="D212" i="3" s="1"/>
  <c r="N212" i="3" s="1" a="1"/>
  <c r="N212" i="3" s="1"/>
  <c r="E212" i="3" a="1"/>
  <c r="E212" i="3" s="1"/>
  <c r="O212" i="3" s="1" a="1"/>
  <c r="O212" i="3" s="1"/>
  <c r="F212" i="3" a="1"/>
  <c r="F212" i="3" s="1"/>
  <c r="P212" i="3" s="1" a="1"/>
  <c r="P212" i="3" s="1"/>
  <c r="G212" i="3" a="1"/>
  <c r="G212" i="3" s="1"/>
  <c r="Q212" i="3" s="1" a="1"/>
  <c r="Q212" i="3" s="1"/>
  <c r="H212" i="3" a="1"/>
  <c r="H212" i="3" s="1"/>
  <c r="R212" i="3" s="1" a="1"/>
  <c r="R212" i="3" s="1"/>
  <c r="S212" i="3" s="1" a="1"/>
  <c r="S212" i="3" s="1"/>
  <c r="I212" i="3" a="1"/>
  <c r="I212" i="3" s="1"/>
  <c r="T212" i="3" s="1" a="1"/>
  <c r="T212" i="3" s="1"/>
  <c r="J212" i="3" a="1"/>
  <c r="J212" i="3" s="1"/>
  <c r="U212" i="3" s="1" a="1"/>
  <c r="U212" i="3" s="1"/>
  <c r="K212" i="3" a="1"/>
  <c r="K212" i="3" s="1"/>
  <c r="V212" i="3" s="1" a="1"/>
  <c r="V212" i="3" s="1"/>
  <c r="B208" i="3" a="1"/>
  <c r="B208" i="3" s="1"/>
  <c r="L208" i="3" s="1" a="1"/>
  <c r="L208" i="3" s="1"/>
  <c r="C208" i="3" a="1"/>
  <c r="C208" i="3" s="1"/>
  <c r="M208" i="3" s="1" a="1"/>
  <c r="M208" i="3" s="1"/>
  <c r="D208" i="3" a="1"/>
  <c r="D208" i="3" s="1"/>
  <c r="N208" i="3" s="1" a="1"/>
  <c r="N208" i="3" s="1"/>
  <c r="E208" i="3" a="1"/>
  <c r="E208" i="3" s="1"/>
  <c r="O208" i="3" s="1" a="1"/>
  <c r="O208" i="3" s="1"/>
  <c r="F208" i="3" a="1"/>
  <c r="F208" i="3" s="1"/>
  <c r="P208" i="3" s="1" a="1"/>
  <c r="P208" i="3" s="1"/>
  <c r="G208" i="3" a="1"/>
  <c r="G208" i="3" s="1"/>
  <c r="Q208" i="3" s="1" a="1"/>
  <c r="Q208" i="3" s="1"/>
  <c r="H208" i="3" a="1"/>
  <c r="H208" i="3" s="1"/>
  <c r="R208" i="3" s="1" a="1"/>
  <c r="R208" i="3" s="1"/>
  <c r="S208" i="3" s="1" a="1"/>
  <c r="S208" i="3" s="1"/>
  <c r="I208" i="3" a="1"/>
  <c r="I208" i="3" s="1"/>
  <c r="T208" i="3" s="1" a="1"/>
  <c r="T208" i="3" s="1"/>
  <c r="J208" i="3" a="1"/>
  <c r="J208" i="3" s="1"/>
  <c r="U208" i="3" s="1" a="1"/>
  <c r="U208" i="3" s="1"/>
  <c r="K208" i="3" a="1"/>
  <c r="K208" i="3" s="1"/>
  <c r="V208" i="3" s="1" a="1"/>
  <c r="V208" i="3" s="1"/>
  <c r="B204" i="3" a="1"/>
  <c r="B204" i="3" s="1"/>
  <c r="L204" i="3" s="1" a="1"/>
  <c r="L204" i="3" s="1"/>
  <c r="C204" i="3" a="1"/>
  <c r="C204" i="3" s="1"/>
  <c r="M204" i="3" s="1" a="1"/>
  <c r="M204" i="3" s="1"/>
  <c r="D204" i="3" a="1"/>
  <c r="D204" i="3" s="1"/>
  <c r="N204" i="3" s="1" a="1"/>
  <c r="N204" i="3" s="1"/>
  <c r="E204" i="3" a="1"/>
  <c r="E204" i="3" s="1"/>
  <c r="O204" i="3" s="1" a="1"/>
  <c r="O204" i="3" s="1"/>
  <c r="F204" i="3" a="1"/>
  <c r="F204" i="3" s="1"/>
  <c r="P204" i="3" s="1" a="1"/>
  <c r="P204" i="3" s="1"/>
  <c r="G204" i="3" a="1"/>
  <c r="G204" i="3" s="1"/>
  <c r="Q204" i="3" s="1" a="1"/>
  <c r="Q204" i="3" s="1"/>
  <c r="H204" i="3" a="1"/>
  <c r="H204" i="3" s="1"/>
  <c r="R204" i="3" s="1" a="1"/>
  <c r="R204" i="3" s="1"/>
  <c r="S204" i="3" s="1" a="1"/>
  <c r="S204" i="3" s="1"/>
  <c r="I204" i="3" a="1"/>
  <c r="I204" i="3" s="1"/>
  <c r="T204" i="3" s="1" a="1"/>
  <c r="T204" i="3" s="1"/>
  <c r="J204" i="3" a="1"/>
  <c r="J204" i="3" s="1"/>
  <c r="U204" i="3" s="1" a="1"/>
  <c r="U204" i="3" s="1"/>
  <c r="K204" i="3" a="1"/>
  <c r="K204" i="3" s="1"/>
  <c r="V204" i="3" s="1" a="1"/>
  <c r="V204" i="3" s="1"/>
  <c r="B200" i="3" a="1"/>
  <c r="B200" i="3" s="1"/>
  <c r="L200" i="3" s="1" a="1"/>
  <c r="L200" i="3" s="1"/>
  <c r="C200" i="3" a="1"/>
  <c r="C200" i="3" s="1"/>
  <c r="M200" i="3" s="1" a="1"/>
  <c r="M200" i="3" s="1"/>
  <c r="D200" i="3" a="1"/>
  <c r="D200" i="3" s="1"/>
  <c r="N200" i="3" s="1" a="1"/>
  <c r="N200" i="3" s="1"/>
  <c r="E200" i="3" a="1"/>
  <c r="E200" i="3" s="1"/>
  <c r="O200" i="3" s="1" a="1"/>
  <c r="O200" i="3" s="1"/>
  <c r="F200" i="3" a="1"/>
  <c r="F200" i="3" s="1"/>
  <c r="P200" i="3" s="1" a="1"/>
  <c r="P200" i="3" s="1"/>
  <c r="G200" i="3" a="1"/>
  <c r="G200" i="3" s="1"/>
  <c r="Q200" i="3" s="1" a="1"/>
  <c r="Q200" i="3" s="1"/>
  <c r="H200" i="3" a="1"/>
  <c r="H200" i="3" s="1"/>
  <c r="R200" i="3" s="1" a="1"/>
  <c r="R200" i="3" s="1"/>
  <c r="S200" i="3" s="1" a="1"/>
  <c r="S200" i="3" s="1"/>
  <c r="I200" i="3" a="1"/>
  <c r="I200" i="3" s="1"/>
  <c r="T200" i="3" s="1" a="1"/>
  <c r="T200" i="3" s="1"/>
  <c r="J200" i="3" a="1"/>
  <c r="J200" i="3" s="1"/>
  <c r="U200" i="3" s="1" a="1"/>
  <c r="U200" i="3" s="1"/>
  <c r="K200" i="3" a="1"/>
  <c r="K200" i="3" s="1"/>
  <c r="V200" i="3" s="1" a="1"/>
  <c r="V200" i="3" s="1"/>
  <c r="B196" i="3" a="1"/>
  <c r="B196" i="3" s="1"/>
  <c r="L196" i="3" s="1" a="1"/>
  <c r="L196" i="3" s="1"/>
  <c r="C196" i="3" a="1"/>
  <c r="C196" i="3" s="1"/>
  <c r="M196" i="3" s="1" a="1"/>
  <c r="M196" i="3" s="1"/>
  <c r="D196" i="3" a="1"/>
  <c r="D196" i="3" s="1"/>
  <c r="N196" i="3" s="1" a="1"/>
  <c r="N196" i="3" s="1"/>
  <c r="E196" i="3" a="1"/>
  <c r="E196" i="3" s="1"/>
  <c r="O196" i="3" s="1" a="1"/>
  <c r="O196" i="3" s="1"/>
  <c r="F196" i="3" a="1"/>
  <c r="F196" i="3" s="1"/>
  <c r="P196" i="3" s="1" a="1"/>
  <c r="P196" i="3" s="1"/>
  <c r="G196" i="3" a="1"/>
  <c r="G196" i="3" s="1"/>
  <c r="Q196" i="3" s="1" a="1"/>
  <c r="Q196" i="3" s="1"/>
  <c r="H196" i="3" a="1"/>
  <c r="H196" i="3" s="1"/>
  <c r="R196" i="3" s="1" a="1"/>
  <c r="R196" i="3" s="1"/>
  <c r="S196" i="3" s="1" a="1"/>
  <c r="S196" i="3" s="1"/>
  <c r="I196" i="3" a="1"/>
  <c r="I196" i="3" s="1"/>
  <c r="T196" i="3" s="1" a="1"/>
  <c r="T196" i="3" s="1"/>
  <c r="J196" i="3" a="1"/>
  <c r="J196" i="3" s="1"/>
  <c r="U196" i="3" s="1" a="1"/>
  <c r="U196" i="3" s="1"/>
  <c r="K196" i="3" a="1"/>
  <c r="K196" i="3" s="1"/>
  <c r="V196" i="3" s="1" a="1"/>
  <c r="V196" i="3" s="1"/>
  <c r="B192" i="3" a="1"/>
  <c r="B192" i="3" s="1"/>
  <c r="L192" i="3" s="1" a="1"/>
  <c r="L192" i="3" s="1"/>
  <c r="C192" i="3" a="1"/>
  <c r="C192" i="3" s="1"/>
  <c r="M192" i="3" s="1" a="1"/>
  <c r="M192" i="3" s="1"/>
  <c r="D192" i="3" a="1"/>
  <c r="D192" i="3" s="1"/>
  <c r="N192" i="3" s="1" a="1"/>
  <c r="N192" i="3" s="1"/>
  <c r="E192" i="3" a="1"/>
  <c r="E192" i="3" s="1"/>
  <c r="O192" i="3" s="1" a="1"/>
  <c r="O192" i="3" s="1"/>
  <c r="F192" i="3" a="1"/>
  <c r="F192" i="3" s="1"/>
  <c r="P192" i="3" s="1" a="1"/>
  <c r="P192" i="3" s="1"/>
  <c r="G192" i="3" a="1"/>
  <c r="G192" i="3" s="1"/>
  <c r="Q192" i="3" s="1" a="1"/>
  <c r="Q192" i="3" s="1"/>
  <c r="H192" i="3" a="1"/>
  <c r="H192" i="3" s="1"/>
  <c r="R192" i="3" s="1" a="1"/>
  <c r="R192" i="3" s="1"/>
  <c r="S192" i="3" s="1" a="1"/>
  <c r="S192" i="3" s="1"/>
  <c r="I192" i="3" a="1"/>
  <c r="I192" i="3" s="1"/>
  <c r="T192" i="3" s="1" a="1"/>
  <c r="T192" i="3" s="1"/>
  <c r="J192" i="3" a="1"/>
  <c r="J192" i="3" s="1"/>
  <c r="U192" i="3" s="1" a="1"/>
  <c r="U192" i="3" s="1"/>
  <c r="K192" i="3" a="1"/>
  <c r="K192" i="3" s="1"/>
  <c r="V192" i="3" s="1" a="1"/>
  <c r="V192" i="3" s="1"/>
  <c r="B188" i="3" a="1"/>
  <c r="B188" i="3" s="1"/>
  <c r="L188" i="3" s="1" a="1"/>
  <c r="L188" i="3" s="1"/>
  <c r="C188" i="3" a="1"/>
  <c r="C188" i="3" s="1"/>
  <c r="M188" i="3" s="1" a="1"/>
  <c r="M188" i="3" s="1"/>
  <c r="D188" i="3" a="1"/>
  <c r="D188" i="3" s="1"/>
  <c r="N188" i="3" s="1" a="1"/>
  <c r="N188" i="3" s="1"/>
  <c r="E188" i="3" a="1"/>
  <c r="E188" i="3" s="1"/>
  <c r="O188" i="3" s="1" a="1"/>
  <c r="O188" i="3" s="1"/>
  <c r="F188" i="3" a="1"/>
  <c r="F188" i="3" s="1"/>
  <c r="P188" i="3" s="1" a="1"/>
  <c r="P188" i="3" s="1"/>
  <c r="G188" i="3" a="1"/>
  <c r="G188" i="3" s="1"/>
  <c r="Q188" i="3" s="1" a="1"/>
  <c r="Q188" i="3" s="1"/>
  <c r="H188" i="3" a="1"/>
  <c r="H188" i="3" s="1"/>
  <c r="R188" i="3" s="1" a="1"/>
  <c r="R188" i="3" s="1"/>
  <c r="S188" i="3" s="1" a="1"/>
  <c r="S188" i="3" s="1"/>
  <c r="I188" i="3" a="1"/>
  <c r="I188" i="3" s="1"/>
  <c r="T188" i="3" s="1" a="1"/>
  <c r="T188" i="3" s="1"/>
  <c r="J188" i="3" a="1"/>
  <c r="J188" i="3" s="1"/>
  <c r="U188" i="3" s="1" a="1"/>
  <c r="U188" i="3" s="1"/>
  <c r="K188" i="3" a="1"/>
  <c r="K188" i="3" s="1"/>
  <c r="V188" i="3" s="1" a="1"/>
  <c r="V188" i="3" s="1"/>
  <c r="B184" i="3" a="1"/>
  <c r="B184" i="3" s="1"/>
  <c r="L184" i="3" s="1" a="1"/>
  <c r="L184" i="3" s="1"/>
  <c r="C184" i="3" a="1"/>
  <c r="C184" i="3" s="1"/>
  <c r="M184" i="3" s="1" a="1"/>
  <c r="M184" i="3" s="1"/>
  <c r="D184" i="3" a="1"/>
  <c r="D184" i="3" s="1"/>
  <c r="N184" i="3" s="1" a="1"/>
  <c r="N184" i="3" s="1"/>
  <c r="E184" i="3" a="1"/>
  <c r="E184" i="3" s="1"/>
  <c r="O184" i="3" s="1" a="1"/>
  <c r="O184" i="3" s="1"/>
  <c r="F184" i="3" a="1"/>
  <c r="F184" i="3" s="1"/>
  <c r="P184" i="3" s="1" a="1"/>
  <c r="P184" i="3" s="1"/>
  <c r="G184" i="3" a="1"/>
  <c r="G184" i="3" s="1"/>
  <c r="Q184" i="3" s="1" a="1"/>
  <c r="Q184" i="3" s="1"/>
  <c r="H184" i="3" a="1"/>
  <c r="H184" i="3" s="1"/>
  <c r="R184" i="3" s="1" a="1"/>
  <c r="R184" i="3" s="1"/>
  <c r="S184" i="3" s="1" a="1"/>
  <c r="S184" i="3" s="1"/>
  <c r="I184" i="3" a="1"/>
  <c r="I184" i="3" s="1"/>
  <c r="T184" i="3" s="1" a="1"/>
  <c r="T184" i="3" s="1"/>
  <c r="J184" i="3" a="1"/>
  <c r="J184" i="3" s="1"/>
  <c r="U184" i="3" s="1" a="1"/>
  <c r="U184" i="3" s="1"/>
  <c r="K184" i="3" a="1"/>
  <c r="K184" i="3" s="1"/>
  <c r="V184" i="3" s="1" a="1"/>
  <c r="V184" i="3" s="1"/>
  <c r="B180" i="3" a="1"/>
  <c r="B180" i="3" s="1"/>
  <c r="L180" i="3" s="1" a="1"/>
  <c r="L180" i="3" s="1"/>
  <c r="C180" i="3" a="1"/>
  <c r="C180" i="3" s="1"/>
  <c r="M180" i="3" s="1" a="1"/>
  <c r="M180" i="3" s="1"/>
  <c r="D180" i="3" a="1"/>
  <c r="D180" i="3" s="1"/>
  <c r="N180" i="3" s="1" a="1"/>
  <c r="N180" i="3" s="1"/>
  <c r="E180" i="3" a="1"/>
  <c r="E180" i="3" s="1"/>
  <c r="O180" i="3" s="1" a="1"/>
  <c r="O180" i="3" s="1"/>
  <c r="F180" i="3" a="1"/>
  <c r="F180" i="3" s="1"/>
  <c r="P180" i="3" s="1" a="1"/>
  <c r="P180" i="3" s="1"/>
  <c r="G180" i="3" a="1"/>
  <c r="G180" i="3" s="1"/>
  <c r="Q180" i="3" s="1" a="1"/>
  <c r="Q180" i="3" s="1"/>
  <c r="H180" i="3" a="1"/>
  <c r="H180" i="3" s="1"/>
  <c r="R180" i="3" s="1" a="1"/>
  <c r="R180" i="3" s="1"/>
  <c r="S180" i="3" s="1" a="1"/>
  <c r="S180" i="3" s="1"/>
  <c r="I180" i="3" a="1"/>
  <c r="I180" i="3" s="1"/>
  <c r="T180" i="3" s="1" a="1"/>
  <c r="T180" i="3" s="1"/>
  <c r="J180" i="3" a="1"/>
  <c r="J180" i="3" s="1"/>
  <c r="U180" i="3" s="1" a="1"/>
  <c r="U180" i="3" s="1"/>
  <c r="K180" i="3" a="1"/>
  <c r="K180" i="3" s="1"/>
  <c r="V180" i="3" s="1" a="1"/>
  <c r="V180" i="3" s="1"/>
  <c r="B176" i="3" a="1"/>
  <c r="B176" i="3" s="1"/>
  <c r="L176" i="3" s="1" a="1"/>
  <c r="L176" i="3" s="1"/>
  <c r="C176" i="3" a="1"/>
  <c r="C176" i="3" s="1"/>
  <c r="M176" i="3" s="1" a="1"/>
  <c r="M176" i="3" s="1"/>
  <c r="D176" i="3" a="1"/>
  <c r="D176" i="3" s="1"/>
  <c r="N176" i="3" s="1" a="1"/>
  <c r="N176" i="3" s="1"/>
  <c r="E176" i="3" a="1"/>
  <c r="E176" i="3" s="1"/>
  <c r="O176" i="3" s="1" a="1"/>
  <c r="O176" i="3" s="1"/>
  <c r="F176" i="3" a="1"/>
  <c r="F176" i="3" s="1"/>
  <c r="P176" i="3" s="1" a="1"/>
  <c r="P176" i="3" s="1"/>
  <c r="G176" i="3" a="1"/>
  <c r="G176" i="3" s="1"/>
  <c r="Q176" i="3" s="1" a="1"/>
  <c r="Q176" i="3" s="1"/>
  <c r="H176" i="3" a="1"/>
  <c r="H176" i="3" s="1"/>
  <c r="R176" i="3" s="1" a="1"/>
  <c r="R176" i="3" s="1"/>
  <c r="S176" i="3" s="1" a="1"/>
  <c r="S176" i="3" s="1"/>
  <c r="I176" i="3" a="1"/>
  <c r="I176" i="3" s="1"/>
  <c r="T176" i="3" s="1" a="1"/>
  <c r="T176" i="3" s="1"/>
  <c r="J176" i="3" a="1"/>
  <c r="J176" i="3" s="1"/>
  <c r="U176" i="3" s="1" a="1"/>
  <c r="U176" i="3" s="1"/>
  <c r="K176" i="3" a="1"/>
  <c r="K176" i="3" s="1"/>
  <c r="V176" i="3" s="1" a="1"/>
  <c r="V176" i="3" s="1"/>
  <c r="B172" i="3" a="1"/>
  <c r="B172" i="3" s="1"/>
  <c r="L172" i="3" s="1" a="1"/>
  <c r="L172" i="3" s="1"/>
  <c r="C172" i="3" a="1"/>
  <c r="C172" i="3" s="1"/>
  <c r="M172" i="3" s="1" a="1"/>
  <c r="M172" i="3" s="1"/>
  <c r="D172" i="3" a="1"/>
  <c r="D172" i="3" s="1"/>
  <c r="N172" i="3" s="1" a="1"/>
  <c r="N172" i="3" s="1"/>
  <c r="E172" i="3" a="1"/>
  <c r="E172" i="3" s="1"/>
  <c r="O172" i="3" s="1" a="1"/>
  <c r="O172" i="3" s="1"/>
  <c r="F172" i="3" a="1"/>
  <c r="F172" i="3" s="1"/>
  <c r="P172" i="3" s="1" a="1"/>
  <c r="P172" i="3" s="1"/>
  <c r="G172" i="3" a="1"/>
  <c r="G172" i="3" s="1"/>
  <c r="Q172" i="3" s="1" a="1"/>
  <c r="Q172" i="3" s="1"/>
  <c r="H172" i="3" a="1"/>
  <c r="H172" i="3" s="1"/>
  <c r="R172" i="3" s="1" a="1"/>
  <c r="R172" i="3" s="1"/>
  <c r="S172" i="3" s="1" a="1"/>
  <c r="S172" i="3" s="1"/>
  <c r="I172" i="3" a="1"/>
  <c r="I172" i="3" s="1"/>
  <c r="T172" i="3" s="1" a="1"/>
  <c r="T172" i="3" s="1"/>
  <c r="J172" i="3" a="1"/>
  <c r="J172" i="3" s="1"/>
  <c r="U172" i="3" s="1" a="1"/>
  <c r="U172" i="3" s="1"/>
  <c r="K172" i="3" a="1"/>
  <c r="K172" i="3" s="1"/>
  <c r="V172" i="3" s="1" a="1"/>
  <c r="V172" i="3" s="1"/>
  <c r="B168" i="3" a="1"/>
  <c r="B168" i="3" s="1"/>
  <c r="L168" i="3" s="1" a="1"/>
  <c r="L168" i="3" s="1"/>
  <c r="C168" i="3" a="1"/>
  <c r="C168" i="3" s="1"/>
  <c r="M168" i="3" s="1" a="1"/>
  <c r="M168" i="3" s="1"/>
  <c r="D168" i="3" a="1"/>
  <c r="D168" i="3" s="1"/>
  <c r="N168" i="3" s="1" a="1"/>
  <c r="N168" i="3" s="1"/>
  <c r="E168" i="3" a="1"/>
  <c r="E168" i="3" s="1"/>
  <c r="O168" i="3" s="1" a="1"/>
  <c r="O168" i="3" s="1"/>
  <c r="F168" i="3" a="1"/>
  <c r="F168" i="3" s="1"/>
  <c r="P168" i="3" s="1" a="1"/>
  <c r="P168" i="3" s="1"/>
  <c r="G168" i="3" a="1"/>
  <c r="G168" i="3" s="1"/>
  <c r="Q168" i="3" s="1" a="1"/>
  <c r="Q168" i="3" s="1"/>
  <c r="H168" i="3" a="1"/>
  <c r="H168" i="3" s="1"/>
  <c r="R168" i="3" s="1" a="1"/>
  <c r="R168" i="3" s="1"/>
  <c r="S168" i="3" s="1" a="1"/>
  <c r="S168" i="3" s="1"/>
  <c r="I168" i="3" a="1"/>
  <c r="I168" i="3" s="1"/>
  <c r="T168" i="3" s="1" a="1"/>
  <c r="T168" i="3" s="1"/>
  <c r="J168" i="3" a="1"/>
  <c r="J168" i="3" s="1"/>
  <c r="U168" i="3" s="1" a="1"/>
  <c r="U168" i="3" s="1"/>
  <c r="K168" i="3" a="1"/>
  <c r="K168" i="3" s="1"/>
  <c r="V168" i="3" s="1" a="1"/>
  <c r="V168" i="3" s="1"/>
  <c r="B164" i="3" a="1"/>
  <c r="B164" i="3" s="1"/>
  <c r="L164" i="3" s="1" a="1"/>
  <c r="L164" i="3" s="1"/>
  <c r="C164" i="3" a="1"/>
  <c r="C164" i="3" s="1"/>
  <c r="M164" i="3" s="1" a="1"/>
  <c r="M164" i="3" s="1"/>
  <c r="D164" i="3" a="1"/>
  <c r="D164" i="3" s="1"/>
  <c r="N164" i="3" s="1" a="1"/>
  <c r="N164" i="3" s="1"/>
  <c r="E164" i="3" a="1"/>
  <c r="E164" i="3" s="1"/>
  <c r="O164" i="3" s="1" a="1"/>
  <c r="O164" i="3" s="1"/>
  <c r="F164" i="3" a="1"/>
  <c r="F164" i="3" s="1"/>
  <c r="P164" i="3" s="1" a="1"/>
  <c r="P164" i="3" s="1"/>
  <c r="G164" i="3" a="1"/>
  <c r="G164" i="3" s="1"/>
  <c r="Q164" i="3" s="1" a="1"/>
  <c r="Q164" i="3" s="1"/>
  <c r="H164" i="3" a="1"/>
  <c r="H164" i="3" s="1"/>
  <c r="R164" i="3" s="1" a="1"/>
  <c r="R164" i="3" s="1"/>
  <c r="S164" i="3" s="1" a="1"/>
  <c r="S164" i="3" s="1"/>
  <c r="I164" i="3" a="1"/>
  <c r="I164" i="3" s="1"/>
  <c r="T164" i="3" s="1" a="1"/>
  <c r="T164" i="3" s="1"/>
  <c r="J164" i="3" a="1"/>
  <c r="J164" i="3" s="1"/>
  <c r="U164" i="3" s="1" a="1"/>
  <c r="U164" i="3" s="1"/>
  <c r="K164" i="3" a="1"/>
  <c r="K164" i="3" s="1"/>
  <c r="V164" i="3" s="1" a="1"/>
  <c r="V164" i="3" s="1"/>
  <c r="B160" i="3" a="1"/>
  <c r="B160" i="3" s="1"/>
  <c r="L160" i="3" s="1" a="1"/>
  <c r="L160" i="3" s="1"/>
  <c r="C160" i="3" a="1"/>
  <c r="C160" i="3" s="1"/>
  <c r="M160" i="3" s="1" a="1"/>
  <c r="M160" i="3" s="1"/>
  <c r="D160" i="3" a="1"/>
  <c r="D160" i="3" s="1"/>
  <c r="N160" i="3" s="1" a="1"/>
  <c r="N160" i="3" s="1"/>
  <c r="E160" i="3" a="1"/>
  <c r="E160" i="3" s="1"/>
  <c r="O160" i="3" s="1" a="1"/>
  <c r="O160" i="3" s="1"/>
  <c r="F160" i="3" a="1"/>
  <c r="F160" i="3" s="1"/>
  <c r="P160" i="3" s="1" a="1"/>
  <c r="P160" i="3" s="1"/>
  <c r="G160" i="3" a="1"/>
  <c r="G160" i="3" s="1"/>
  <c r="Q160" i="3" s="1" a="1"/>
  <c r="Q160" i="3" s="1"/>
  <c r="H160" i="3" a="1"/>
  <c r="H160" i="3" s="1"/>
  <c r="R160" i="3" s="1" a="1"/>
  <c r="R160" i="3" s="1"/>
  <c r="S160" i="3" s="1" a="1"/>
  <c r="S160" i="3" s="1"/>
  <c r="I160" i="3" a="1"/>
  <c r="I160" i="3" s="1"/>
  <c r="T160" i="3" s="1" a="1"/>
  <c r="T160" i="3" s="1"/>
  <c r="J160" i="3" a="1"/>
  <c r="J160" i="3" s="1"/>
  <c r="U160" i="3" s="1" a="1"/>
  <c r="U160" i="3" s="1"/>
  <c r="K160" i="3" a="1"/>
  <c r="K160" i="3" s="1"/>
  <c r="V160" i="3" s="1" a="1"/>
  <c r="V160" i="3" s="1"/>
  <c r="B156" i="3" a="1"/>
  <c r="B156" i="3" s="1"/>
  <c r="L156" i="3" s="1" a="1"/>
  <c r="L156" i="3" s="1"/>
  <c r="C156" i="3" a="1"/>
  <c r="C156" i="3" s="1"/>
  <c r="M156" i="3" s="1" a="1"/>
  <c r="M156" i="3" s="1"/>
  <c r="D156" i="3" a="1"/>
  <c r="D156" i="3" s="1"/>
  <c r="N156" i="3" s="1" a="1"/>
  <c r="N156" i="3" s="1"/>
  <c r="E156" i="3" a="1"/>
  <c r="E156" i="3" s="1"/>
  <c r="O156" i="3" s="1" a="1"/>
  <c r="O156" i="3" s="1"/>
  <c r="F156" i="3" a="1"/>
  <c r="F156" i="3" s="1"/>
  <c r="P156" i="3" s="1" a="1"/>
  <c r="P156" i="3" s="1"/>
  <c r="G156" i="3" a="1"/>
  <c r="G156" i="3" s="1"/>
  <c r="Q156" i="3" s="1" a="1"/>
  <c r="Q156" i="3" s="1"/>
  <c r="H156" i="3" a="1"/>
  <c r="H156" i="3" s="1"/>
  <c r="R156" i="3" s="1" a="1"/>
  <c r="R156" i="3" s="1"/>
  <c r="S156" i="3" s="1" a="1"/>
  <c r="S156" i="3" s="1"/>
  <c r="I156" i="3" a="1"/>
  <c r="I156" i="3" s="1"/>
  <c r="T156" i="3" s="1" a="1"/>
  <c r="T156" i="3" s="1"/>
  <c r="J156" i="3" a="1"/>
  <c r="J156" i="3" s="1"/>
  <c r="U156" i="3" s="1" a="1"/>
  <c r="U156" i="3" s="1"/>
  <c r="K156" i="3" a="1"/>
  <c r="K156" i="3" s="1"/>
  <c r="V156" i="3" s="1" a="1"/>
  <c r="V156" i="3" s="1"/>
  <c r="B152" i="3" a="1"/>
  <c r="B152" i="3" s="1"/>
  <c r="L152" i="3" s="1" a="1"/>
  <c r="L152" i="3" s="1"/>
  <c r="C152" i="3" a="1"/>
  <c r="C152" i="3" s="1"/>
  <c r="M152" i="3" s="1" a="1"/>
  <c r="M152" i="3" s="1"/>
  <c r="D152" i="3" a="1"/>
  <c r="D152" i="3" s="1"/>
  <c r="N152" i="3" s="1" a="1"/>
  <c r="N152" i="3" s="1"/>
  <c r="E152" i="3" a="1"/>
  <c r="E152" i="3" s="1"/>
  <c r="O152" i="3" s="1" a="1"/>
  <c r="O152" i="3" s="1"/>
  <c r="F152" i="3" a="1"/>
  <c r="F152" i="3" s="1"/>
  <c r="P152" i="3" s="1" a="1"/>
  <c r="P152" i="3" s="1"/>
  <c r="G152" i="3" a="1"/>
  <c r="G152" i="3" s="1"/>
  <c r="Q152" i="3" s="1" a="1"/>
  <c r="Q152" i="3" s="1"/>
  <c r="H152" i="3" a="1"/>
  <c r="H152" i="3" s="1"/>
  <c r="R152" i="3" s="1" a="1"/>
  <c r="R152" i="3" s="1"/>
  <c r="S152" i="3" s="1" a="1"/>
  <c r="S152" i="3" s="1"/>
  <c r="I152" i="3" a="1"/>
  <c r="I152" i="3" s="1"/>
  <c r="T152" i="3" s="1" a="1"/>
  <c r="T152" i="3" s="1"/>
  <c r="J152" i="3" a="1"/>
  <c r="J152" i="3" s="1"/>
  <c r="U152" i="3" s="1" a="1"/>
  <c r="U152" i="3" s="1"/>
  <c r="K152" i="3" a="1"/>
  <c r="K152" i="3" s="1"/>
  <c r="V152" i="3" s="1" a="1"/>
  <c r="V152" i="3" s="1"/>
  <c r="B148" i="3" a="1"/>
  <c r="B148" i="3" s="1"/>
  <c r="L148" i="3" s="1" a="1"/>
  <c r="L148" i="3" s="1"/>
  <c r="C148" i="3" a="1"/>
  <c r="C148" i="3" s="1"/>
  <c r="M148" i="3" s="1" a="1"/>
  <c r="M148" i="3" s="1"/>
  <c r="D148" i="3" a="1"/>
  <c r="D148" i="3" s="1"/>
  <c r="N148" i="3" s="1" a="1"/>
  <c r="N148" i="3" s="1"/>
  <c r="E148" i="3" a="1"/>
  <c r="E148" i="3" s="1"/>
  <c r="O148" i="3" s="1" a="1"/>
  <c r="O148" i="3" s="1"/>
  <c r="F148" i="3" a="1"/>
  <c r="F148" i="3" s="1"/>
  <c r="P148" i="3" s="1" a="1"/>
  <c r="P148" i="3" s="1"/>
  <c r="G148" i="3" a="1"/>
  <c r="G148" i="3" s="1"/>
  <c r="Q148" i="3" s="1" a="1"/>
  <c r="Q148" i="3" s="1"/>
  <c r="H148" i="3" a="1"/>
  <c r="H148" i="3" s="1"/>
  <c r="R148" i="3" s="1" a="1"/>
  <c r="R148" i="3" s="1"/>
  <c r="S148" i="3" s="1" a="1"/>
  <c r="S148" i="3" s="1"/>
  <c r="I148" i="3" a="1"/>
  <c r="I148" i="3" s="1"/>
  <c r="T148" i="3" s="1" a="1"/>
  <c r="T148" i="3" s="1"/>
  <c r="J148" i="3" a="1"/>
  <c r="J148" i="3" s="1"/>
  <c r="U148" i="3" s="1" a="1"/>
  <c r="U148" i="3" s="1"/>
  <c r="K148" i="3" a="1"/>
  <c r="K148" i="3" s="1"/>
  <c r="V148" i="3" s="1" a="1"/>
  <c r="V148" i="3" s="1"/>
  <c r="B144" i="3" a="1"/>
  <c r="B144" i="3" s="1"/>
  <c r="L144" i="3" s="1" a="1"/>
  <c r="L144" i="3" s="1"/>
  <c r="C144" i="3" a="1"/>
  <c r="C144" i="3" s="1"/>
  <c r="M144" i="3" s="1" a="1"/>
  <c r="M144" i="3" s="1"/>
  <c r="D144" i="3" a="1"/>
  <c r="D144" i="3" s="1"/>
  <c r="N144" i="3" s="1" a="1"/>
  <c r="N144" i="3" s="1"/>
  <c r="E144" i="3" a="1"/>
  <c r="E144" i="3" s="1"/>
  <c r="O144" i="3" s="1" a="1"/>
  <c r="O144" i="3" s="1"/>
  <c r="F144" i="3" a="1"/>
  <c r="F144" i="3" s="1"/>
  <c r="P144" i="3" s="1" a="1"/>
  <c r="P144" i="3" s="1"/>
  <c r="G144" i="3" a="1"/>
  <c r="G144" i="3" s="1"/>
  <c r="Q144" i="3" s="1" a="1"/>
  <c r="Q144" i="3" s="1"/>
  <c r="H144" i="3" a="1"/>
  <c r="H144" i="3" s="1"/>
  <c r="R144" i="3" s="1" a="1"/>
  <c r="R144" i="3" s="1"/>
  <c r="S144" i="3" s="1" a="1"/>
  <c r="S144" i="3" s="1"/>
  <c r="I144" i="3" a="1"/>
  <c r="I144" i="3" s="1"/>
  <c r="T144" i="3" s="1" a="1"/>
  <c r="T144" i="3" s="1"/>
  <c r="J144" i="3" a="1"/>
  <c r="J144" i="3" s="1"/>
  <c r="U144" i="3" s="1" a="1"/>
  <c r="U144" i="3" s="1"/>
  <c r="K144" i="3" a="1"/>
  <c r="K144" i="3" s="1"/>
  <c r="V144" i="3" s="1" a="1"/>
  <c r="V144" i="3" s="1"/>
  <c r="B140" i="3" a="1"/>
  <c r="B140" i="3" s="1"/>
  <c r="L140" i="3" s="1" a="1"/>
  <c r="L140" i="3" s="1"/>
  <c r="C140" i="3" a="1"/>
  <c r="C140" i="3" s="1"/>
  <c r="M140" i="3" s="1" a="1"/>
  <c r="M140" i="3" s="1"/>
  <c r="D140" i="3" a="1"/>
  <c r="D140" i="3" s="1"/>
  <c r="N140" i="3" s="1" a="1"/>
  <c r="N140" i="3" s="1"/>
  <c r="E140" i="3" a="1"/>
  <c r="E140" i="3" s="1"/>
  <c r="O140" i="3" s="1" a="1"/>
  <c r="O140" i="3" s="1"/>
  <c r="F140" i="3" a="1"/>
  <c r="F140" i="3" s="1"/>
  <c r="P140" i="3" s="1" a="1"/>
  <c r="P140" i="3" s="1"/>
  <c r="G140" i="3" a="1"/>
  <c r="G140" i="3" s="1"/>
  <c r="Q140" i="3" s="1" a="1"/>
  <c r="Q140" i="3" s="1"/>
  <c r="H140" i="3" a="1"/>
  <c r="H140" i="3" s="1"/>
  <c r="R140" i="3" s="1" a="1"/>
  <c r="R140" i="3" s="1"/>
  <c r="S140" i="3" s="1" a="1"/>
  <c r="S140" i="3" s="1"/>
  <c r="I140" i="3" a="1"/>
  <c r="I140" i="3" s="1"/>
  <c r="T140" i="3" s="1" a="1"/>
  <c r="T140" i="3" s="1"/>
  <c r="J140" i="3" a="1"/>
  <c r="J140" i="3" s="1"/>
  <c r="U140" i="3" s="1" a="1"/>
  <c r="U140" i="3" s="1"/>
  <c r="K140" i="3" a="1"/>
  <c r="K140" i="3" s="1"/>
  <c r="V140" i="3" s="1" a="1"/>
  <c r="V140" i="3" s="1"/>
  <c r="B136" i="3" a="1"/>
  <c r="B136" i="3" s="1"/>
  <c r="L136" i="3" s="1" a="1"/>
  <c r="L136" i="3" s="1"/>
  <c r="C136" i="3" a="1"/>
  <c r="C136" i="3" s="1"/>
  <c r="M136" i="3" s="1" a="1"/>
  <c r="M136" i="3" s="1"/>
  <c r="D136" i="3" a="1"/>
  <c r="D136" i="3" s="1"/>
  <c r="N136" i="3" s="1" a="1"/>
  <c r="N136" i="3" s="1"/>
  <c r="E136" i="3" a="1"/>
  <c r="E136" i="3" s="1"/>
  <c r="O136" i="3" s="1" a="1"/>
  <c r="O136" i="3" s="1"/>
  <c r="F136" i="3" a="1"/>
  <c r="F136" i="3" s="1"/>
  <c r="P136" i="3" s="1" a="1"/>
  <c r="P136" i="3" s="1"/>
  <c r="G136" i="3" a="1"/>
  <c r="G136" i="3" s="1"/>
  <c r="Q136" i="3" s="1" a="1"/>
  <c r="Q136" i="3" s="1"/>
  <c r="H136" i="3" a="1"/>
  <c r="H136" i="3" s="1"/>
  <c r="R136" i="3" s="1" a="1"/>
  <c r="R136" i="3" s="1"/>
  <c r="S136" i="3" s="1" a="1"/>
  <c r="S136" i="3" s="1"/>
  <c r="I136" i="3" a="1"/>
  <c r="I136" i="3" s="1"/>
  <c r="T136" i="3" s="1" a="1"/>
  <c r="T136" i="3" s="1"/>
  <c r="J136" i="3" a="1"/>
  <c r="J136" i="3" s="1"/>
  <c r="U136" i="3" s="1" a="1"/>
  <c r="U136" i="3" s="1"/>
  <c r="K136" i="3" a="1"/>
  <c r="K136" i="3" s="1"/>
  <c r="V136" i="3" s="1" a="1"/>
  <c r="V136" i="3" s="1"/>
  <c r="B132" i="3" a="1"/>
  <c r="B132" i="3" s="1"/>
  <c r="L132" i="3" s="1" a="1"/>
  <c r="L132" i="3" s="1"/>
  <c r="C132" i="3" a="1"/>
  <c r="C132" i="3" s="1"/>
  <c r="M132" i="3" s="1" a="1"/>
  <c r="M132" i="3" s="1"/>
  <c r="D132" i="3" a="1"/>
  <c r="D132" i="3" s="1"/>
  <c r="N132" i="3" s="1" a="1"/>
  <c r="N132" i="3" s="1"/>
  <c r="E132" i="3" a="1"/>
  <c r="E132" i="3" s="1"/>
  <c r="O132" i="3" s="1" a="1"/>
  <c r="O132" i="3" s="1"/>
  <c r="F132" i="3" a="1"/>
  <c r="F132" i="3" s="1"/>
  <c r="P132" i="3" s="1" a="1"/>
  <c r="P132" i="3" s="1"/>
  <c r="G132" i="3" a="1"/>
  <c r="G132" i="3" s="1"/>
  <c r="Q132" i="3" s="1" a="1"/>
  <c r="Q132" i="3" s="1"/>
  <c r="H132" i="3" a="1"/>
  <c r="H132" i="3" s="1"/>
  <c r="R132" i="3" s="1" a="1"/>
  <c r="R132" i="3" s="1"/>
  <c r="S132" i="3" s="1" a="1"/>
  <c r="S132" i="3" s="1"/>
  <c r="I132" i="3" a="1"/>
  <c r="I132" i="3" s="1"/>
  <c r="T132" i="3" s="1" a="1"/>
  <c r="T132" i="3" s="1"/>
  <c r="J132" i="3" a="1"/>
  <c r="J132" i="3" s="1"/>
  <c r="U132" i="3" s="1" a="1"/>
  <c r="U132" i="3" s="1"/>
  <c r="K132" i="3" a="1"/>
  <c r="K132" i="3" s="1"/>
  <c r="V132" i="3" s="1" a="1"/>
  <c r="V132" i="3" s="1"/>
  <c r="B128" i="3" a="1"/>
  <c r="B128" i="3" s="1"/>
  <c r="L128" i="3" s="1" a="1"/>
  <c r="L128" i="3" s="1"/>
  <c r="C128" i="3" a="1"/>
  <c r="C128" i="3" s="1"/>
  <c r="M128" i="3" s="1" a="1"/>
  <c r="M128" i="3" s="1"/>
  <c r="D128" i="3" a="1"/>
  <c r="D128" i="3" s="1"/>
  <c r="N128" i="3" s="1" a="1"/>
  <c r="N128" i="3" s="1"/>
  <c r="E128" i="3" a="1"/>
  <c r="E128" i="3" s="1"/>
  <c r="O128" i="3" s="1" a="1"/>
  <c r="O128" i="3" s="1"/>
  <c r="F128" i="3" a="1"/>
  <c r="F128" i="3" s="1"/>
  <c r="P128" i="3" s="1" a="1"/>
  <c r="P128" i="3" s="1"/>
  <c r="G128" i="3" a="1"/>
  <c r="G128" i="3" s="1"/>
  <c r="Q128" i="3" s="1" a="1"/>
  <c r="Q128" i="3" s="1"/>
  <c r="H128" i="3" a="1"/>
  <c r="H128" i="3" s="1"/>
  <c r="R128" i="3" s="1" a="1"/>
  <c r="R128" i="3" s="1"/>
  <c r="S128" i="3" s="1" a="1"/>
  <c r="S128" i="3" s="1"/>
  <c r="I128" i="3" a="1"/>
  <c r="I128" i="3" s="1"/>
  <c r="T128" i="3" s="1" a="1"/>
  <c r="T128" i="3" s="1"/>
  <c r="J128" i="3" a="1"/>
  <c r="J128" i="3" s="1"/>
  <c r="U128" i="3" s="1" a="1"/>
  <c r="U128" i="3" s="1"/>
  <c r="K128" i="3" a="1"/>
  <c r="K128" i="3" s="1"/>
  <c r="V128" i="3" s="1" a="1"/>
  <c r="V128" i="3" s="1"/>
  <c r="B124" i="3" a="1"/>
  <c r="B124" i="3" s="1"/>
  <c r="L124" i="3" s="1" a="1"/>
  <c r="L124" i="3" s="1"/>
  <c r="C124" i="3" a="1"/>
  <c r="C124" i="3" s="1"/>
  <c r="M124" i="3" s="1" a="1"/>
  <c r="M124" i="3" s="1"/>
  <c r="D124" i="3" a="1"/>
  <c r="D124" i="3" s="1"/>
  <c r="N124" i="3" s="1" a="1"/>
  <c r="N124" i="3" s="1"/>
  <c r="E124" i="3" a="1"/>
  <c r="E124" i="3" s="1"/>
  <c r="O124" i="3" s="1" a="1"/>
  <c r="O124" i="3" s="1"/>
  <c r="F124" i="3" a="1"/>
  <c r="F124" i="3" s="1"/>
  <c r="P124" i="3" s="1" a="1"/>
  <c r="P124" i="3" s="1"/>
  <c r="G124" i="3" a="1"/>
  <c r="G124" i="3" s="1"/>
  <c r="Q124" i="3" s="1" a="1"/>
  <c r="Q124" i="3" s="1"/>
  <c r="H124" i="3" a="1"/>
  <c r="H124" i="3" s="1"/>
  <c r="R124" i="3" s="1" a="1"/>
  <c r="R124" i="3" s="1"/>
  <c r="S124" i="3" s="1" a="1"/>
  <c r="S124" i="3" s="1"/>
  <c r="I124" i="3" a="1"/>
  <c r="I124" i="3" s="1"/>
  <c r="T124" i="3" s="1" a="1"/>
  <c r="T124" i="3" s="1"/>
  <c r="J124" i="3" a="1"/>
  <c r="J124" i="3" s="1"/>
  <c r="U124" i="3" s="1" a="1"/>
  <c r="U124" i="3" s="1"/>
  <c r="K124" i="3" a="1"/>
  <c r="K124" i="3" s="1"/>
  <c r="V124" i="3" s="1" a="1"/>
  <c r="V124" i="3" s="1"/>
  <c r="B120" i="3" a="1"/>
  <c r="B120" i="3" s="1"/>
  <c r="L120" i="3" s="1" a="1"/>
  <c r="L120" i="3" s="1"/>
  <c r="C120" i="3" a="1"/>
  <c r="C120" i="3" s="1"/>
  <c r="M120" i="3" s="1" a="1"/>
  <c r="M120" i="3" s="1"/>
  <c r="D120" i="3" a="1"/>
  <c r="D120" i="3" s="1"/>
  <c r="N120" i="3" s="1" a="1"/>
  <c r="N120" i="3" s="1"/>
  <c r="E120" i="3" a="1"/>
  <c r="E120" i="3" s="1"/>
  <c r="O120" i="3" s="1" a="1"/>
  <c r="O120" i="3" s="1"/>
  <c r="F120" i="3" a="1"/>
  <c r="F120" i="3" s="1"/>
  <c r="P120" i="3" s="1" a="1"/>
  <c r="P120" i="3" s="1"/>
  <c r="G120" i="3" a="1"/>
  <c r="G120" i="3" s="1"/>
  <c r="Q120" i="3" s="1" a="1"/>
  <c r="Q120" i="3" s="1"/>
  <c r="H120" i="3" a="1"/>
  <c r="H120" i="3" s="1"/>
  <c r="R120" i="3" s="1" a="1"/>
  <c r="R120" i="3" s="1"/>
  <c r="S120" i="3" s="1" a="1"/>
  <c r="S120" i="3" s="1"/>
  <c r="I120" i="3" a="1"/>
  <c r="I120" i="3" s="1"/>
  <c r="T120" i="3" s="1" a="1"/>
  <c r="T120" i="3" s="1"/>
  <c r="J120" i="3" a="1"/>
  <c r="J120" i="3" s="1"/>
  <c r="U120" i="3" s="1" a="1"/>
  <c r="U120" i="3" s="1"/>
  <c r="K120" i="3" a="1"/>
  <c r="K120" i="3" s="1"/>
  <c r="V120" i="3" s="1" a="1"/>
  <c r="V120" i="3" s="1"/>
  <c r="B116" i="3" a="1"/>
  <c r="B116" i="3" s="1"/>
  <c r="L116" i="3" s="1" a="1"/>
  <c r="L116" i="3" s="1"/>
  <c r="C116" i="3" a="1"/>
  <c r="C116" i="3" s="1"/>
  <c r="M116" i="3" s="1" a="1"/>
  <c r="M116" i="3" s="1"/>
  <c r="D116" i="3" a="1"/>
  <c r="D116" i="3" s="1"/>
  <c r="N116" i="3" s="1" a="1"/>
  <c r="N116" i="3" s="1"/>
  <c r="E116" i="3" a="1"/>
  <c r="E116" i="3" s="1"/>
  <c r="O116" i="3" s="1" a="1"/>
  <c r="O116" i="3" s="1"/>
  <c r="F116" i="3" a="1"/>
  <c r="F116" i="3" s="1"/>
  <c r="P116" i="3" s="1" a="1"/>
  <c r="P116" i="3" s="1"/>
  <c r="G116" i="3" a="1"/>
  <c r="G116" i="3" s="1"/>
  <c r="Q116" i="3" s="1" a="1"/>
  <c r="Q116" i="3" s="1"/>
  <c r="H116" i="3" a="1"/>
  <c r="H116" i="3" s="1"/>
  <c r="R116" i="3" s="1" a="1"/>
  <c r="R116" i="3" s="1"/>
  <c r="S116" i="3" s="1" a="1"/>
  <c r="S116" i="3" s="1"/>
  <c r="I116" i="3" a="1"/>
  <c r="I116" i="3" s="1"/>
  <c r="T116" i="3" s="1" a="1"/>
  <c r="T116" i="3" s="1"/>
  <c r="J116" i="3" a="1"/>
  <c r="J116" i="3" s="1"/>
  <c r="U116" i="3" s="1" a="1"/>
  <c r="U116" i="3" s="1"/>
  <c r="K116" i="3" a="1"/>
  <c r="K116" i="3" s="1"/>
  <c r="V116" i="3" s="1" a="1"/>
  <c r="V116" i="3" s="1"/>
  <c r="B112" i="3" a="1"/>
  <c r="B112" i="3" s="1"/>
  <c r="L112" i="3" s="1" a="1"/>
  <c r="L112" i="3" s="1"/>
  <c r="C112" i="3" a="1"/>
  <c r="C112" i="3" s="1"/>
  <c r="M112" i="3" s="1" a="1"/>
  <c r="M112" i="3" s="1"/>
  <c r="D112" i="3" a="1"/>
  <c r="D112" i="3" s="1"/>
  <c r="N112" i="3" s="1" a="1"/>
  <c r="N112" i="3" s="1"/>
  <c r="E112" i="3" a="1"/>
  <c r="E112" i="3" s="1"/>
  <c r="O112" i="3" s="1" a="1"/>
  <c r="O112" i="3" s="1"/>
  <c r="F112" i="3" a="1"/>
  <c r="F112" i="3" s="1"/>
  <c r="P112" i="3" s="1" a="1"/>
  <c r="P112" i="3" s="1"/>
  <c r="G112" i="3" a="1"/>
  <c r="G112" i="3" s="1"/>
  <c r="Q112" i="3" s="1" a="1"/>
  <c r="Q112" i="3" s="1"/>
  <c r="H112" i="3" a="1"/>
  <c r="H112" i="3" s="1"/>
  <c r="R112" i="3" s="1" a="1"/>
  <c r="R112" i="3" s="1"/>
  <c r="S112" i="3" s="1" a="1"/>
  <c r="S112" i="3" s="1"/>
  <c r="I112" i="3" a="1"/>
  <c r="I112" i="3" s="1"/>
  <c r="T112" i="3" s="1" a="1"/>
  <c r="T112" i="3" s="1"/>
  <c r="J112" i="3" a="1"/>
  <c r="J112" i="3" s="1"/>
  <c r="U112" i="3" s="1" a="1"/>
  <c r="U112" i="3" s="1"/>
  <c r="K112" i="3" a="1"/>
  <c r="K112" i="3" s="1"/>
  <c r="V112" i="3" s="1" a="1"/>
  <c r="V112" i="3" s="1"/>
  <c r="B108" i="3" a="1"/>
  <c r="B108" i="3" s="1"/>
  <c r="L108" i="3" s="1" a="1"/>
  <c r="L108" i="3" s="1"/>
  <c r="C108" i="3" a="1"/>
  <c r="C108" i="3" s="1"/>
  <c r="M108" i="3" s="1" a="1"/>
  <c r="M108" i="3" s="1"/>
  <c r="D108" i="3" a="1"/>
  <c r="D108" i="3" s="1"/>
  <c r="N108" i="3" s="1" a="1"/>
  <c r="N108" i="3" s="1"/>
  <c r="E108" i="3" a="1"/>
  <c r="E108" i="3" s="1"/>
  <c r="O108" i="3" s="1" a="1"/>
  <c r="O108" i="3" s="1"/>
  <c r="F108" i="3" a="1"/>
  <c r="F108" i="3" s="1"/>
  <c r="P108" i="3" s="1" a="1"/>
  <c r="P108" i="3" s="1"/>
  <c r="G108" i="3" a="1"/>
  <c r="G108" i="3" s="1"/>
  <c r="Q108" i="3" s="1" a="1"/>
  <c r="Q108" i="3" s="1"/>
  <c r="H108" i="3" a="1"/>
  <c r="H108" i="3" s="1"/>
  <c r="R108" i="3" s="1" a="1"/>
  <c r="R108" i="3" s="1"/>
  <c r="S108" i="3" s="1" a="1"/>
  <c r="S108" i="3" s="1"/>
  <c r="I108" i="3" a="1"/>
  <c r="I108" i="3" s="1"/>
  <c r="T108" i="3" s="1" a="1"/>
  <c r="T108" i="3" s="1"/>
  <c r="J108" i="3" a="1"/>
  <c r="J108" i="3" s="1"/>
  <c r="U108" i="3" s="1" a="1"/>
  <c r="U108" i="3" s="1"/>
  <c r="K108" i="3" a="1"/>
  <c r="K108" i="3" s="1"/>
  <c r="V108" i="3" s="1" a="1"/>
  <c r="V108" i="3" s="1"/>
  <c r="B104" i="3" a="1"/>
  <c r="B104" i="3" s="1"/>
  <c r="L104" i="3" s="1" a="1"/>
  <c r="L104" i="3" s="1"/>
  <c r="C104" i="3" a="1"/>
  <c r="C104" i="3" s="1"/>
  <c r="M104" i="3" s="1" a="1"/>
  <c r="M104" i="3" s="1"/>
  <c r="D104" i="3" a="1"/>
  <c r="D104" i="3" s="1"/>
  <c r="N104" i="3" s="1" a="1"/>
  <c r="N104" i="3" s="1"/>
  <c r="E104" i="3" a="1"/>
  <c r="E104" i="3" s="1"/>
  <c r="O104" i="3" s="1" a="1"/>
  <c r="O104" i="3" s="1"/>
  <c r="F104" i="3" a="1"/>
  <c r="F104" i="3" s="1"/>
  <c r="P104" i="3" s="1" a="1"/>
  <c r="P104" i="3" s="1"/>
  <c r="G104" i="3" a="1"/>
  <c r="G104" i="3" s="1"/>
  <c r="Q104" i="3" s="1" a="1"/>
  <c r="Q104" i="3" s="1"/>
  <c r="H104" i="3" a="1"/>
  <c r="H104" i="3" s="1"/>
  <c r="R104" i="3" s="1" a="1"/>
  <c r="R104" i="3" s="1"/>
  <c r="S104" i="3" s="1" a="1"/>
  <c r="S104" i="3" s="1"/>
  <c r="I104" i="3" a="1"/>
  <c r="I104" i="3" s="1"/>
  <c r="T104" i="3" s="1" a="1"/>
  <c r="T104" i="3" s="1"/>
  <c r="J104" i="3" a="1"/>
  <c r="J104" i="3" s="1"/>
  <c r="U104" i="3" s="1" a="1"/>
  <c r="U104" i="3" s="1"/>
  <c r="K104" i="3" a="1"/>
  <c r="K104" i="3" s="1"/>
  <c r="V104" i="3" s="1" a="1"/>
  <c r="V104" i="3" s="1"/>
  <c r="B100" i="3" a="1"/>
  <c r="B100" i="3" s="1"/>
  <c r="L100" i="3" s="1" a="1"/>
  <c r="L100" i="3" s="1"/>
  <c r="C100" i="3" a="1"/>
  <c r="C100" i="3" s="1"/>
  <c r="M100" i="3" s="1" a="1"/>
  <c r="M100" i="3" s="1"/>
  <c r="D100" i="3" a="1"/>
  <c r="D100" i="3" s="1"/>
  <c r="N100" i="3" s="1" a="1"/>
  <c r="N100" i="3" s="1"/>
  <c r="E100" i="3" a="1"/>
  <c r="E100" i="3" s="1"/>
  <c r="O100" i="3" s="1" a="1"/>
  <c r="O100" i="3" s="1"/>
  <c r="F100" i="3" a="1"/>
  <c r="F100" i="3" s="1"/>
  <c r="P100" i="3" s="1" a="1"/>
  <c r="P100" i="3" s="1"/>
  <c r="G100" i="3" a="1"/>
  <c r="G100" i="3" s="1"/>
  <c r="Q100" i="3" s="1" a="1"/>
  <c r="Q100" i="3" s="1"/>
  <c r="H100" i="3" a="1"/>
  <c r="H100" i="3" s="1"/>
  <c r="R100" i="3" s="1" a="1"/>
  <c r="R100" i="3" s="1"/>
  <c r="S100" i="3" s="1" a="1"/>
  <c r="S100" i="3" s="1"/>
  <c r="I100" i="3" a="1"/>
  <c r="I100" i="3" s="1"/>
  <c r="T100" i="3" s="1" a="1"/>
  <c r="T100" i="3" s="1"/>
  <c r="J100" i="3" a="1"/>
  <c r="J100" i="3" s="1"/>
  <c r="U100" i="3" s="1" a="1"/>
  <c r="U100" i="3" s="1"/>
  <c r="K100" i="3" a="1"/>
  <c r="K100" i="3" s="1"/>
  <c r="V100" i="3" s="1" a="1"/>
  <c r="V100" i="3" s="1"/>
  <c r="B96" i="3" a="1"/>
  <c r="B96" i="3" s="1"/>
  <c r="L96" i="3" s="1" a="1"/>
  <c r="L96" i="3" s="1"/>
  <c r="C96" i="3" a="1"/>
  <c r="C96" i="3" s="1"/>
  <c r="M96" i="3" s="1" a="1"/>
  <c r="M96" i="3" s="1"/>
  <c r="D96" i="3" a="1"/>
  <c r="D96" i="3" s="1"/>
  <c r="N96" i="3" s="1" a="1"/>
  <c r="N96" i="3" s="1"/>
  <c r="E96" i="3" a="1"/>
  <c r="E96" i="3" s="1"/>
  <c r="O96" i="3" s="1" a="1"/>
  <c r="O96" i="3" s="1"/>
  <c r="F96" i="3" a="1"/>
  <c r="F96" i="3" s="1"/>
  <c r="P96" i="3" s="1" a="1"/>
  <c r="P96" i="3" s="1"/>
  <c r="G96" i="3" a="1"/>
  <c r="G96" i="3" s="1"/>
  <c r="Q96" i="3" s="1" a="1"/>
  <c r="Q96" i="3" s="1"/>
  <c r="H96" i="3" a="1"/>
  <c r="H96" i="3" s="1"/>
  <c r="R96" i="3" s="1" a="1"/>
  <c r="R96" i="3" s="1"/>
  <c r="S96" i="3" s="1" a="1"/>
  <c r="S96" i="3" s="1"/>
  <c r="I96" i="3" a="1"/>
  <c r="I96" i="3" s="1"/>
  <c r="T96" i="3" s="1" a="1"/>
  <c r="T96" i="3" s="1"/>
  <c r="J96" i="3" a="1"/>
  <c r="J96" i="3" s="1"/>
  <c r="U96" i="3" s="1" a="1"/>
  <c r="U96" i="3" s="1"/>
  <c r="K96" i="3" a="1"/>
  <c r="K96" i="3" s="1"/>
  <c r="V96" i="3" s="1" a="1"/>
  <c r="V96" i="3" s="1"/>
  <c r="B92" i="3" a="1"/>
  <c r="B92" i="3" s="1"/>
  <c r="L92" i="3" s="1" a="1"/>
  <c r="L92" i="3" s="1"/>
  <c r="C92" i="3" a="1"/>
  <c r="C92" i="3" s="1"/>
  <c r="M92" i="3" s="1" a="1"/>
  <c r="M92" i="3" s="1"/>
  <c r="D92" i="3" a="1"/>
  <c r="D92" i="3" s="1"/>
  <c r="N92" i="3" s="1" a="1"/>
  <c r="N92" i="3" s="1"/>
  <c r="E92" i="3" a="1"/>
  <c r="E92" i="3" s="1"/>
  <c r="O92" i="3" s="1" a="1"/>
  <c r="O92" i="3" s="1"/>
  <c r="F92" i="3" a="1"/>
  <c r="F92" i="3" s="1"/>
  <c r="P92" i="3" s="1" a="1"/>
  <c r="P92" i="3" s="1"/>
  <c r="G92" i="3" a="1"/>
  <c r="G92" i="3" s="1"/>
  <c r="Q92" i="3" s="1" a="1"/>
  <c r="Q92" i="3" s="1"/>
  <c r="H92" i="3" a="1"/>
  <c r="H92" i="3" s="1"/>
  <c r="R92" i="3" s="1" a="1"/>
  <c r="R92" i="3" s="1"/>
  <c r="S92" i="3" s="1" a="1"/>
  <c r="S92" i="3" s="1"/>
  <c r="I92" i="3" a="1"/>
  <c r="I92" i="3" s="1"/>
  <c r="T92" i="3" s="1" a="1"/>
  <c r="T92" i="3" s="1"/>
  <c r="J92" i="3" a="1"/>
  <c r="J92" i="3" s="1"/>
  <c r="U92" i="3" s="1" a="1"/>
  <c r="U92" i="3" s="1"/>
  <c r="K92" i="3" a="1"/>
  <c r="K92" i="3" s="1"/>
  <c r="V92" i="3" s="1" a="1"/>
  <c r="V92" i="3" s="1"/>
  <c r="B88" i="3" a="1"/>
  <c r="B88" i="3" s="1"/>
  <c r="L88" i="3" s="1" a="1"/>
  <c r="L88" i="3" s="1"/>
  <c r="C88" i="3" a="1"/>
  <c r="C88" i="3" s="1"/>
  <c r="M88" i="3" s="1" a="1"/>
  <c r="M88" i="3" s="1"/>
  <c r="D88" i="3" a="1"/>
  <c r="D88" i="3" s="1"/>
  <c r="N88" i="3" s="1" a="1"/>
  <c r="N88" i="3" s="1"/>
  <c r="E88" i="3" a="1"/>
  <c r="E88" i="3" s="1"/>
  <c r="O88" i="3" s="1" a="1"/>
  <c r="O88" i="3" s="1"/>
  <c r="F88" i="3" a="1"/>
  <c r="F88" i="3" s="1"/>
  <c r="P88" i="3" s="1" a="1"/>
  <c r="P88" i="3" s="1"/>
  <c r="G88" i="3" a="1"/>
  <c r="G88" i="3" s="1"/>
  <c r="Q88" i="3" s="1" a="1"/>
  <c r="Q88" i="3" s="1"/>
  <c r="H88" i="3" a="1"/>
  <c r="H88" i="3" s="1"/>
  <c r="R88" i="3" s="1" a="1"/>
  <c r="R88" i="3" s="1"/>
  <c r="S88" i="3" s="1" a="1"/>
  <c r="S88" i="3" s="1"/>
  <c r="I88" i="3" a="1"/>
  <c r="I88" i="3" s="1"/>
  <c r="T88" i="3" s="1" a="1"/>
  <c r="T88" i="3" s="1"/>
  <c r="J88" i="3" a="1"/>
  <c r="J88" i="3" s="1"/>
  <c r="U88" i="3" s="1" a="1"/>
  <c r="U88" i="3" s="1"/>
  <c r="K88" i="3" a="1"/>
  <c r="K88" i="3" s="1"/>
  <c r="V88" i="3" s="1" a="1"/>
  <c r="V88" i="3" s="1"/>
  <c r="B84" i="3" a="1"/>
  <c r="B84" i="3" s="1"/>
  <c r="L84" i="3" s="1" a="1"/>
  <c r="L84" i="3" s="1"/>
  <c r="C84" i="3" a="1"/>
  <c r="C84" i="3" s="1"/>
  <c r="M84" i="3" s="1" a="1"/>
  <c r="M84" i="3" s="1"/>
  <c r="D84" i="3" a="1"/>
  <c r="D84" i="3" s="1"/>
  <c r="N84" i="3" s="1" a="1"/>
  <c r="N84" i="3" s="1"/>
  <c r="E84" i="3" a="1"/>
  <c r="E84" i="3" s="1"/>
  <c r="O84" i="3" s="1" a="1"/>
  <c r="O84" i="3" s="1"/>
  <c r="F84" i="3" a="1"/>
  <c r="F84" i="3" s="1"/>
  <c r="P84" i="3" s="1" a="1"/>
  <c r="P84" i="3" s="1"/>
  <c r="G84" i="3" a="1"/>
  <c r="G84" i="3" s="1"/>
  <c r="Q84" i="3" s="1" a="1"/>
  <c r="Q84" i="3" s="1"/>
  <c r="H84" i="3" a="1"/>
  <c r="H84" i="3" s="1"/>
  <c r="R84" i="3" s="1" a="1"/>
  <c r="R84" i="3" s="1"/>
  <c r="S84" i="3" s="1" a="1"/>
  <c r="S84" i="3" s="1"/>
  <c r="I84" i="3" a="1"/>
  <c r="I84" i="3" s="1"/>
  <c r="T84" i="3" s="1" a="1"/>
  <c r="T84" i="3" s="1"/>
  <c r="J84" i="3" a="1"/>
  <c r="J84" i="3" s="1"/>
  <c r="U84" i="3" s="1" a="1"/>
  <c r="U84" i="3" s="1"/>
  <c r="K84" i="3" a="1"/>
  <c r="K84" i="3" s="1"/>
  <c r="V84" i="3" s="1" a="1"/>
  <c r="V84" i="3" s="1"/>
  <c r="B80" i="3" a="1"/>
  <c r="B80" i="3" s="1"/>
  <c r="L80" i="3" s="1" a="1"/>
  <c r="L80" i="3" s="1"/>
  <c r="C80" i="3" a="1"/>
  <c r="C80" i="3" s="1"/>
  <c r="M80" i="3" s="1" a="1"/>
  <c r="M80" i="3" s="1"/>
  <c r="D80" i="3" a="1"/>
  <c r="D80" i="3" s="1"/>
  <c r="N80" i="3" s="1" a="1"/>
  <c r="N80" i="3" s="1"/>
  <c r="E80" i="3" a="1"/>
  <c r="E80" i="3" s="1"/>
  <c r="O80" i="3" s="1" a="1"/>
  <c r="O80" i="3" s="1"/>
  <c r="F80" i="3" a="1"/>
  <c r="F80" i="3" s="1"/>
  <c r="P80" i="3" s="1" a="1"/>
  <c r="P80" i="3" s="1"/>
  <c r="G80" i="3" a="1"/>
  <c r="G80" i="3" s="1"/>
  <c r="Q80" i="3" s="1" a="1"/>
  <c r="Q80" i="3" s="1"/>
  <c r="H80" i="3" a="1"/>
  <c r="H80" i="3" s="1"/>
  <c r="R80" i="3" s="1" a="1"/>
  <c r="R80" i="3" s="1"/>
  <c r="S80" i="3" s="1" a="1"/>
  <c r="S80" i="3" s="1"/>
  <c r="I80" i="3" a="1"/>
  <c r="I80" i="3" s="1"/>
  <c r="T80" i="3" s="1" a="1"/>
  <c r="T80" i="3" s="1"/>
  <c r="J80" i="3" a="1"/>
  <c r="J80" i="3" s="1"/>
  <c r="U80" i="3" s="1" a="1"/>
  <c r="U80" i="3" s="1"/>
  <c r="K80" i="3" a="1"/>
  <c r="K80" i="3" s="1"/>
  <c r="V80" i="3" s="1" a="1"/>
  <c r="V80" i="3" s="1"/>
  <c r="B76" i="3" a="1"/>
  <c r="B76" i="3" s="1"/>
  <c r="L76" i="3" s="1" a="1"/>
  <c r="L76" i="3" s="1"/>
  <c r="C76" i="3" a="1"/>
  <c r="C76" i="3" s="1"/>
  <c r="M76" i="3" s="1" a="1"/>
  <c r="M76" i="3" s="1"/>
  <c r="D76" i="3" a="1"/>
  <c r="D76" i="3" s="1"/>
  <c r="N76" i="3" s="1" a="1"/>
  <c r="N76" i="3" s="1"/>
  <c r="E76" i="3" a="1"/>
  <c r="E76" i="3" s="1"/>
  <c r="O76" i="3" s="1" a="1"/>
  <c r="O76" i="3" s="1"/>
  <c r="F76" i="3" a="1"/>
  <c r="F76" i="3" s="1"/>
  <c r="P76" i="3" s="1" a="1"/>
  <c r="P76" i="3" s="1"/>
  <c r="G76" i="3" a="1"/>
  <c r="G76" i="3" s="1"/>
  <c r="Q76" i="3" s="1" a="1"/>
  <c r="Q76" i="3" s="1"/>
  <c r="H76" i="3" a="1"/>
  <c r="H76" i="3" s="1"/>
  <c r="R76" i="3" s="1" a="1"/>
  <c r="R76" i="3" s="1"/>
  <c r="S76" i="3" s="1" a="1"/>
  <c r="S76" i="3" s="1"/>
  <c r="I76" i="3" a="1"/>
  <c r="I76" i="3" s="1"/>
  <c r="T76" i="3" s="1" a="1"/>
  <c r="T76" i="3" s="1"/>
  <c r="J76" i="3" a="1"/>
  <c r="J76" i="3" s="1"/>
  <c r="U76" i="3" s="1" a="1"/>
  <c r="U76" i="3" s="1"/>
  <c r="K76" i="3" a="1"/>
  <c r="K76" i="3" s="1"/>
  <c r="V76" i="3" s="1" a="1"/>
  <c r="V76" i="3" s="1"/>
  <c r="B72" i="3" a="1"/>
  <c r="B72" i="3" s="1"/>
  <c r="L72" i="3" s="1" a="1"/>
  <c r="L72" i="3" s="1"/>
  <c r="C72" i="3" a="1"/>
  <c r="C72" i="3" s="1"/>
  <c r="M72" i="3" s="1" a="1"/>
  <c r="M72" i="3" s="1"/>
  <c r="D72" i="3" a="1"/>
  <c r="D72" i="3" s="1"/>
  <c r="N72" i="3" s="1" a="1"/>
  <c r="N72" i="3" s="1"/>
  <c r="E72" i="3" a="1"/>
  <c r="E72" i="3" s="1"/>
  <c r="O72" i="3" s="1" a="1"/>
  <c r="O72" i="3" s="1"/>
  <c r="F72" i="3" a="1"/>
  <c r="F72" i="3" s="1"/>
  <c r="P72" i="3" s="1" a="1"/>
  <c r="P72" i="3" s="1"/>
  <c r="G72" i="3" a="1"/>
  <c r="G72" i="3" s="1"/>
  <c r="Q72" i="3" s="1" a="1"/>
  <c r="Q72" i="3" s="1"/>
  <c r="H72" i="3" a="1"/>
  <c r="H72" i="3" s="1"/>
  <c r="R72" i="3" s="1" a="1"/>
  <c r="R72" i="3" s="1"/>
  <c r="S72" i="3" s="1" a="1"/>
  <c r="S72" i="3" s="1"/>
  <c r="I72" i="3" a="1"/>
  <c r="I72" i="3" s="1"/>
  <c r="T72" i="3" s="1" a="1"/>
  <c r="T72" i="3" s="1"/>
  <c r="J72" i="3" a="1"/>
  <c r="J72" i="3" s="1"/>
  <c r="U72" i="3" s="1" a="1"/>
  <c r="U72" i="3" s="1"/>
  <c r="K72" i="3" a="1"/>
  <c r="K72" i="3" s="1"/>
  <c r="V72" i="3" s="1" a="1"/>
  <c r="V72" i="3" s="1"/>
  <c r="B68" i="3" a="1"/>
  <c r="B68" i="3" s="1"/>
  <c r="L68" i="3" s="1" a="1"/>
  <c r="L68" i="3" s="1"/>
  <c r="C68" i="3" a="1"/>
  <c r="C68" i="3" s="1"/>
  <c r="M68" i="3" s="1" a="1"/>
  <c r="M68" i="3" s="1"/>
  <c r="D68" i="3" a="1"/>
  <c r="D68" i="3" s="1"/>
  <c r="N68" i="3" s="1" a="1"/>
  <c r="N68" i="3" s="1"/>
  <c r="E68" i="3" a="1"/>
  <c r="E68" i="3" s="1"/>
  <c r="O68" i="3" s="1" a="1"/>
  <c r="O68" i="3" s="1"/>
  <c r="F68" i="3" a="1"/>
  <c r="F68" i="3" s="1"/>
  <c r="P68" i="3" s="1" a="1"/>
  <c r="P68" i="3" s="1"/>
  <c r="G68" i="3" a="1"/>
  <c r="G68" i="3" s="1"/>
  <c r="Q68" i="3" s="1" a="1"/>
  <c r="Q68" i="3" s="1"/>
  <c r="H68" i="3" a="1"/>
  <c r="H68" i="3" s="1"/>
  <c r="R68" i="3" s="1" a="1"/>
  <c r="R68" i="3" s="1"/>
  <c r="S68" i="3" s="1" a="1"/>
  <c r="S68" i="3" s="1"/>
  <c r="I68" i="3" a="1"/>
  <c r="I68" i="3" s="1"/>
  <c r="T68" i="3" s="1" a="1"/>
  <c r="T68" i="3" s="1"/>
  <c r="J68" i="3" a="1"/>
  <c r="J68" i="3" s="1"/>
  <c r="U68" i="3" s="1" a="1"/>
  <c r="U68" i="3" s="1"/>
  <c r="K68" i="3" a="1"/>
  <c r="K68" i="3" s="1"/>
  <c r="V68" i="3" s="1" a="1"/>
  <c r="V68" i="3" s="1"/>
  <c r="B64" i="3" a="1"/>
  <c r="B64" i="3" s="1"/>
  <c r="L64" i="3" s="1" a="1"/>
  <c r="L64" i="3" s="1"/>
  <c r="C64" i="3" a="1"/>
  <c r="C64" i="3" s="1"/>
  <c r="M64" i="3" s="1" a="1"/>
  <c r="M64" i="3" s="1"/>
  <c r="D64" i="3" a="1"/>
  <c r="D64" i="3" s="1"/>
  <c r="N64" i="3" s="1" a="1"/>
  <c r="N64" i="3" s="1"/>
  <c r="E64" i="3" a="1"/>
  <c r="E64" i="3" s="1"/>
  <c r="O64" i="3" s="1" a="1"/>
  <c r="O64" i="3" s="1"/>
  <c r="F64" i="3" a="1"/>
  <c r="F64" i="3" s="1"/>
  <c r="P64" i="3" s="1" a="1"/>
  <c r="P64" i="3" s="1"/>
  <c r="G64" i="3" a="1"/>
  <c r="G64" i="3" s="1"/>
  <c r="Q64" i="3" s="1" a="1"/>
  <c r="Q64" i="3" s="1"/>
  <c r="H64" i="3" a="1"/>
  <c r="H64" i="3" s="1"/>
  <c r="R64" i="3" s="1" a="1"/>
  <c r="R64" i="3" s="1"/>
  <c r="S64" i="3" s="1" a="1"/>
  <c r="S64" i="3" s="1"/>
  <c r="I64" i="3" a="1"/>
  <c r="I64" i="3" s="1"/>
  <c r="T64" i="3" s="1" a="1"/>
  <c r="T64" i="3" s="1"/>
  <c r="J64" i="3" a="1"/>
  <c r="J64" i="3" s="1"/>
  <c r="U64" i="3" s="1" a="1"/>
  <c r="U64" i="3" s="1"/>
  <c r="K64" i="3" a="1"/>
  <c r="K64" i="3" s="1"/>
  <c r="V64" i="3" s="1" a="1"/>
  <c r="V64" i="3" s="1"/>
  <c r="B60" i="3" a="1"/>
  <c r="B60" i="3" s="1"/>
  <c r="L60" i="3" s="1" a="1"/>
  <c r="L60" i="3" s="1"/>
  <c r="C60" i="3" a="1"/>
  <c r="C60" i="3" s="1"/>
  <c r="M60" i="3" s="1" a="1"/>
  <c r="M60" i="3" s="1"/>
  <c r="D60" i="3" a="1"/>
  <c r="D60" i="3" s="1"/>
  <c r="N60" i="3" s="1" a="1"/>
  <c r="N60" i="3" s="1"/>
  <c r="E60" i="3" a="1"/>
  <c r="E60" i="3" s="1"/>
  <c r="O60" i="3" s="1" a="1"/>
  <c r="O60" i="3" s="1"/>
  <c r="F60" i="3" a="1"/>
  <c r="F60" i="3" s="1"/>
  <c r="P60" i="3" s="1" a="1"/>
  <c r="P60" i="3" s="1"/>
  <c r="G60" i="3" a="1"/>
  <c r="G60" i="3" s="1"/>
  <c r="Q60" i="3" s="1" a="1"/>
  <c r="Q60" i="3" s="1"/>
  <c r="H60" i="3" a="1"/>
  <c r="H60" i="3" s="1"/>
  <c r="R60" i="3" s="1" a="1"/>
  <c r="R60" i="3" s="1"/>
  <c r="S60" i="3" s="1" a="1"/>
  <c r="S60" i="3" s="1"/>
  <c r="I60" i="3" a="1"/>
  <c r="I60" i="3" s="1"/>
  <c r="T60" i="3" s="1" a="1"/>
  <c r="T60" i="3" s="1"/>
  <c r="J60" i="3" a="1"/>
  <c r="J60" i="3" s="1"/>
  <c r="U60" i="3" s="1" a="1"/>
  <c r="U60" i="3" s="1"/>
  <c r="K60" i="3" a="1"/>
  <c r="K60" i="3" s="1"/>
  <c r="V60" i="3" s="1" a="1"/>
  <c r="V60" i="3" s="1"/>
  <c r="B56" i="3" a="1"/>
  <c r="B56" i="3" s="1"/>
  <c r="L56" i="3" s="1" a="1"/>
  <c r="L56" i="3" s="1"/>
  <c r="C56" i="3" a="1"/>
  <c r="C56" i="3" s="1"/>
  <c r="M56" i="3" s="1" a="1"/>
  <c r="M56" i="3" s="1"/>
  <c r="D56" i="3" a="1"/>
  <c r="D56" i="3" s="1"/>
  <c r="N56" i="3" s="1" a="1"/>
  <c r="N56" i="3" s="1"/>
  <c r="E56" i="3" a="1"/>
  <c r="E56" i="3" s="1"/>
  <c r="O56" i="3" s="1" a="1"/>
  <c r="O56" i="3" s="1"/>
  <c r="F56" i="3" a="1"/>
  <c r="F56" i="3" s="1"/>
  <c r="P56" i="3" s="1" a="1"/>
  <c r="P56" i="3" s="1"/>
  <c r="G56" i="3" a="1"/>
  <c r="G56" i="3" s="1"/>
  <c r="Q56" i="3" s="1" a="1"/>
  <c r="Q56" i="3" s="1"/>
  <c r="H56" i="3" a="1"/>
  <c r="H56" i="3" s="1"/>
  <c r="R56" i="3" s="1" a="1"/>
  <c r="R56" i="3" s="1"/>
  <c r="S56" i="3" s="1" a="1"/>
  <c r="S56" i="3" s="1"/>
  <c r="I56" i="3" a="1"/>
  <c r="I56" i="3" s="1"/>
  <c r="T56" i="3" s="1" a="1"/>
  <c r="T56" i="3" s="1"/>
  <c r="J56" i="3" a="1"/>
  <c r="J56" i="3" s="1"/>
  <c r="U56" i="3" s="1" a="1"/>
  <c r="U56" i="3" s="1"/>
  <c r="K56" i="3" a="1"/>
  <c r="K56" i="3" s="1"/>
  <c r="V56" i="3" s="1" a="1"/>
  <c r="V56" i="3" s="1"/>
  <c r="B52" i="3" a="1"/>
  <c r="B52" i="3" s="1"/>
  <c r="L52" i="3" s="1" a="1"/>
  <c r="L52" i="3" s="1"/>
  <c r="C52" i="3" a="1"/>
  <c r="C52" i="3" s="1"/>
  <c r="M52" i="3" s="1" a="1"/>
  <c r="M52" i="3" s="1"/>
  <c r="D52" i="3" a="1"/>
  <c r="D52" i="3" s="1"/>
  <c r="N52" i="3" s="1" a="1"/>
  <c r="N52" i="3" s="1"/>
  <c r="E52" i="3" a="1"/>
  <c r="E52" i="3" s="1"/>
  <c r="O52" i="3" s="1" a="1"/>
  <c r="O52" i="3" s="1"/>
  <c r="F52" i="3" a="1"/>
  <c r="F52" i="3" s="1"/>
  <c r="P52" i="3" s="1" a="1"/>
  <c r="P52" i="3" s="1"/>
  <c r="G52" i="3" a="1"/>
  <c r="G52" i="3" s="1"/>
  <c r="Q52" i="3" s="1" a="1"/>
  <c r="Q52" i="3" s="1"/>
  <c r="H52" i="3" a="1"/>
  <c r="H52" i="3" s="1"/>
  <c r="R52" i="3" s="1" a="1"/>
  <c r="R52" i="3" s="1"/>
  <c r="S52" i="3" s="1" a="1"/>
  <c r="S52" i="3" s="1"/>
  <c r="I52" i="3" a="1"/>
  <c r="I52" i="3" s="1"/>
  <c r="T52" i="3" s="1" a="1"/>
  <c r="T52" i="3" s="1"/>
  <c r="J52" i="3" a="1"/>
  <c r="J52" i="3" s="1"/>
  <c r="U52" i="3" s="1" a="1"/>
  <c r="U52" i="3" s="1"/>
  <c r="K52" i="3" a="1"/>
  <c r="K52" i="3" s="1"/>
  <c r="V52" i="3" s="1" a="1"/>
  <c r="V52" i="3" s="1"/>
  <c r="B48" i="3" a="1"/>
  <c r="B48" i="3" s="1"/>
  <c r="L48" i="3" s="1" a="1"/>
  <c r="L48" i="3" s="1"/>
  <c r="C48" i="3" a="1"/>
  <c r="C48" i="3" s="1"/>
  <c r="M48" i="3" s="1" a="1"/>
  <c r="M48" i="3" s="1"/>
  <c r="D48" i="3" a="1"/>
  <c r="D48" i="3" s="1"/>
  <c r="N48" i="3" s="1" a="1"/>
  <c r="N48" i="3" s="1"/>
  <c r="E48" i="3" a="1"/>
  <c r="E48" i="3" s="1"/>
  <c r="O48" i="3" s="1" a="1"/>
  <c r="O48" i="3" s="1"/>
  <c r="F48" i="3" a="1"/>
  <c r="F48" i="3" s="1"/>
  <c r="P48" i="3" s="1" a="1"/>
  <c r="P48" i="3" s="1"/>
  <c r="G48" i="3" a="1"/>
  <c r="G48" i="3" s="1"/>
  <c r="Q48" i="3" s="1" a="1"/>
  <c r="Q48" i="3" s="1"/>
  <c r="H48" i="3" a="1"/>
  <c r="H48" i="3" s="1"/>
  <c r="R48" i="3" s="1" a="1"/>
  <c r="R48" i="3" s="1"/>
  <c r="S48" i="3" s="1" a="1"/>
  <c r="S48" i="3" s="1"/>
  <c r="I48" i="3" a="1"/>
  <c r="I48" i="3" s="1"/>
  <c r="T48" i="3" s="1" a="1"/>
  <c r="T48" i="3" s="1"/>
  <c r="J48" i="3" a="1"/>
  <c r="J48" i="3" s="1"/>
  <c r="U48" i="3" s="1" a="1"/>
  <c r="U48" i="3" s="1"/>
  <c r="K48" i="3" a="1"/>
  <c r="K48" i="3" s="1"/>
  <c r="V48" i="3" s="1" a="1"/>
  <c r="V48" i="3" s="1"/>
  <c r="B44" i="3" a="1"/>
  <c r="B44" i="3" s="1"/>
  <c r="L44" i="3" s="1" a="1"/>
  <c r="L44" i="3" s="1"/>
  <c r="C44" i="3" a="1"/>
  <c r="C44" i="3" s="1"/>
  <c r="M44" i="3" s="1" a="1"/>
  <c r="M44" i="3" s="1"/>
  <c r="D44" i="3" a="1"/>
  <c r="D44" i="3" s="1"/>
  <c r="N44" i="3" s="1" a="1"/>
  <c r="N44" i="3" s="1"/>
  <c r="E44" i="3" a="1"/>
  <c r="E44" i="3" s="1"/>
  <c r="O44" i="3" s="1" a="1"/>
  <c r="O44" i="3" s="1"/>
  <c r="F44" i="3" a="1"/>
  <c r="F44" i="3" s="1"/>
  <c r="P44" i="3" s="1" a="1"/>
  <c r="P44" i="3" s="1"/>
  <c r="G44" i="3" a="1"/>
  <c r="G44" i="3" s="1"/>
  <c r="Q44" i="3" s="1" a="1"/>
  <c r="Q44" i="3" s="1"/>
  <c r="H44" i="3" a="1"/>
  <c r="H44" i="3" s="1"/>
  <c r="R44" i="3" s="1" a="1"/>
  <c r="R44" i="3" s="1"/>
  <c r="S44" i="3" s="1" a="1"/>
  <c r="S44" i="3" s="1"/>
  <c r="I44" i="3" a="1"/>
  <c r="I44" i="3" s="1"/>
  <c r="T44" i="3" s="1" a="1"/>
  <c r="T44" i="3" s="1"/>
  <c r="J44" i="3" a="1"/>
  <c r="J44" i="3" s="1"/>
  <c r="U44" i="3" s="1" a="1"/>
  <c r="U44" i="3" s="1"/>
  <c r="K44" i="3" a="1"/>
  <c r="K44" i="3" s="1"/>
  <c r="V44" i="3" s="1" a="1"/>
  <c r="V44" i="3" s="1"/>
  <c r="B40" i="3" a="1"/>
  <c r="B40" i="3" s="1"/>
  <c r="L40" i="3" s="1" a="1"/>
  <c r="L40" i="3" s="1"/>
  <c r="C40" i="3" a="1"/>
  <c r="C40" i="3" s="1"/>
  <c r="M40" i="3" s="1" a="1"/>
  <c r="M40" i="3" s="1"/>
  <c r="D40" i="3" a="1"/>
  <c r="D40" i="3" s="1"/>
  <c r="N40" i="3" s="1" a="1"/>
  <c r="N40" i="3" s="1"/>
  <c r="E40" i="3" a="1"/>
  <c r="E40" i="3" s="1"/>
  <c r="O40" i="3" s="1" a="1"/>
  <c r="O40" i="3" s="1"/>
  <c r="F40" i="3" a="1"/>
  <c r="F40" i="3" s="1"/>
  <c r="P40" i="3" s="1" a="1"/>
  <c r="P40" i="3" s="1"/>
  <c r="G40" i="3" a="1"/>
  <c r="G40" i="3" s="1"/>
  <c r="Q40" i="3" s="1" a="1"/>
  <c r="Q40" i="3" s="1"/>
  <c r="H40" i="3" a="1"/>
  <c r="H40" i="3" s="1"/>
  <c r="R40" i="3" s="1" a="1"/>
  <c r="R40" i="3" s="1"/>
  <c r="S40" i="3" s="1" a="1"/>
  <c r="S40" i="3" s="1"/>
  <c r="I40" i="3" a="1"/>
  <c r="I40" i="3" s="1"/>
  <c r="T40" i="3" s="1" a="1"/>
  <c r="T40" i="3" s="1"/>
  <c r="J40" i="3" a="1"/>
  <c r="J40" i="3" s="1"/>
  <c r="U40" i="3" s="1" a="1"/>
  <c r="U40" i="3" s="1"/>
  <c r="K40" i="3" a="1"/>
  <c r="K40" i="3" s="1"/>
  <c r="V40" i="3" s="1" a="1"/>
  <c r="V40" i="3" s="1"/>
  <c r="B36" i="3" a="1"/>
  <c r="B36" i="3" s="1"/>
  <c r="L36" i="3" s="1" a="1"/>
  <c r="L36" i="3" s="1"/>
  <c r="C36" i="3" a="1"/>
  <c r="C36" i="3" s="1"/>
  <c r="M36" i="3" s="1" a="1"/>
  <c r="M36" i="3" s="1"/>
  <c r="D36" i="3" a="1"/>
  <c r="D36" i="3" s="1"/>
  <c r="N36" i="3" s="1" a="1"/>
  <c r="N36" i="3" s="1"/>
  <c r="E36" i="3" a="1"/>
  <c r="E36" i="3" s="1"/>
  <c r="O36" i="3" s="1" a="1"/>
  <c r="O36" i="3" s="1"/>
  <c r="F36" i="3" a="1"/>
  <c r="F36" i="3" s="1"/>
  <c r="P36" i="3" s="1" a="1"/>
  <c r="P36" i="3" s="1"/>
  <c r="G36" i="3" a="1"/>
  <c r="G36" i="3" s="1"/>
  <c r="Q36" i="3" s="1" a="1"/>
  <c r="Q36" i="3" s="1"/>
  <c r="H36" i="3" a="1"/>
  <c r="H36" i="3" s="1"/>
  <c r="R36" i="3" s="1" a="1"/>
  <c r="R36" i="3" s="1"/>
  <c r="S36" i="3" s="1" a="1"/>
  <c r="S36" i="3" s="1"/>
  <c r="I36" i="3" a="1"/>
  <c r="I36" i="3" s="1"/>
  <c r="T36" i="3" s="1" a="1"/>
  <c r="T36" i="3" s="1"/>
  <c r="J36" i="3" a="1"/>
  <c r="J36" i="3" s="1"/>
  <c r="U36" i="3" s="1" a="1"/>
  <c r="U36" i="3" s="1"/>
  <c r="K36" i="3" a="1"/>
  <c r="K36" i="3" s="1"/>
  <c r="V36" i="3" s="1" a="1"/>
  <c r="V36" i="3" s="1"/>
  <c r="B32" i="3" a="1"/>
  <c r="B32" i="3" s="1"/>
  <c r="L32" i="3" s="1" a="1"/>
  <c r="L32" i="3" s="1"/>
  <c r="C32" i="3" a="1"/>
  <c r="C32" i="3" s="1"/>
  <c r="M32" i="3" s="1" a="1"/>
  <c r="M32" i="3" s="1"/>
  <c r="D32" i="3" a="1"/>
  <c r="D32" i="3" s="1"/>
  <c r="N32" i="3" s="1" a="1"/>
  <c r="N32" i="3" s="1"/>
  <c r="E32" i="3" a="1"/>
  <c r="E32" i="3" s="1"/>
  <c r="O32" i="3" s="1" a="1"/>
  <c r="O32" i="3" s="1"/>
  <c r="F32" i="3" a="1"/>
  <c r="F32" i="3" s="1"/>
  <c r="P32" i="3" s="1" a="1"/>
  <c r="P32" i="3" s="1"/>
  <c r="G32" i="3" a="1"/>
  <c r="G32" i="3" s="1"/>
  <c r="Q32" i="3" s="1" a="1"/>
  <c r="Q32" i="3" s="1"/>
  <c r="H32" i="3" a="1"/>
  <c r="H32" i="3" s="1"/>
  <c r="R32" i="3" s="1" a="1"/>
  <c r="R32" i="3" s="1"/>
  <c r="S32" i="3" s="1" a="1"/>
  <c r="S32" i="3" s="1"/>
  <c r="I32" i="3" a="1"/>
  <c r="I32" i="3" s="1"/>
  <c r="T32" i="3" s="1" a="1"/>
  <c r="T32" i="3" s="1"/>
  <c r="J32" i="3" a="1"/>
  <c r="J32" i="3" s="1"/>
  <c r="U32" i="3" s="1" a="1"/>
  <c r="U32" i="3" s="1"/>
  <c r="K32" i="3" a="1"/>
  <c r="K32" i="3" s="1"/>
  <c r="V32" i="3" s="1" a="1"/>
  <c r="V32" i="3" s="1"/>
  <c r="B28" i="3" a="1"/>
  <c r="B28" i="3" s="1"/>
  <c r="L28" i="3" s="1" a="1"/>
  <c r="L28" i="3" s="1"/>
  <c r="C28" i="3" a="1"/>
  <c r="C28" i="3" s="1"/>
  <c r="M28" i="3" s="1" a="1"/>
  <c r="M28" i="3" s="1"/>
  <c r="D28" i="3" a="1"/>
  <c r="D28" i="3" s="1"/>
  <c r="N28" i="3" s="1" a="1"/>
  <c r="N28" i="3" s="1"/>
  <c r="E28" i="3" a="1"/>
  <c r="E28" i="3" s="1"/>
  <c r="O28" i="3" s="1" a="1"/>
  <c r="O28" i="3" s="1"/>
  <c r="F28" i="3" a="1"/>
  <c r="F28" i="3" s="1"/>
  <c r="P28" i="3" s="1" a="1"/>
  <c r="P28" i="3" s="1"/>
  <c r="G28" i="3" a="1"/>
  <c r="G28" i="3" s="1"/>
  <c r="Q28" i="3" s="1" a="1"/>
  <c r="Q28" i="3" s="1"/>
  <c r="H28" i="3" a="1"/>
  <c r="H28" i="3" s="1"/>
  <c r="R28" i="3" s="1" a="1"/>
  <c r="R28" i="3" s="1"/>
  <c r="S28" i="3" s="1" a="1"/>
  <c r="S28" i="3" s="1"/>
  <c r="I28" i="3" a="1"/>
  <c r="I28" i="3" s="1"/>
  <c r="T28" i="3" s="1" a="1"/>
  <c r="T28" i="3" s="1"/>
  <c r="J28" i="3" a="1"/>
  <c r="J28" i="3" s="1"/>
  <c r="U28" i="3" s="1" a="1"/>
  <c r="U28" i="3" s="1"/>
  <c r="K28" i="3" a="1"/>
  <c r="K28" i="3" s="1"/>
  <c r="V28" i="3" s="1" a="1"/>
  <c r="V28" i="3" s="1"/>
  <c r="B24" i="3" a="1"/>
  <c r="B24" i="3" s="1"/>
  <c r="L24" i="3" s="1" a="1"/>
  <c r="L24" i="3" s="1"/>
  <c r="C24" i="3" a="1"/>
  <c r="C24" i="3" s="1"/>
  <c r="M24" i="3" s="1" a="1"/>
  <c r="M24" i="3" s="1"/>
  <c r="D24" i="3" a="1"/>
  <c r="D24" i="3" s="1"/>
  <c r="N24" i="3" s="1" a="1"/>
  <c r="N24" i="3" s="1"/>
  <c r="E24" i="3" a="1"/>
  <c r="E24" i="3" s="1"/>
  <c r="O24" i="3" s="1" a="1"/>
  <c r="O24" i="3" s="1"/>
  <c r="F24" i="3" a="1"/>
  <c r="F24" i="3" s="1"/>
  <c r="P24" i="3" s="1" a="1"/>
  <c r="P24" i="3" s="1"/>
  <c r="G24" i="3" a="1"/>
  <c r="G24" i="3" s="1"/>
  <c r="Q24" i="3" s="1" a="1"/>
  <c r="Q24" i="3" s="1"/>
  <c r="H24" i="3" a="1"/>
  <c r="H24" i="3" s="1"/>
  <c r="R24" i="3" s="1" a="1"/>
  <c r="R24" i="3" s="1"/>
  <c r="S24" i="3" s="1" a="1"/>
  <c r="S24" i="3" s="1"/>
  <c r="I24" i="3" a="1"/>
  <c r="I24" i="3" s="1"/>
  <c r="T24" i="3" s="1" a="1"/>
  <c r="T24" i="3" s="1"/>
  <c r="J24" i="3" a="1"/>
  <c r="J24" i="3" s="1"/>
  <c r="U24" i="3" s="1" a="1"/>
  <c r="U24" i="3" s="1"/>
  <c r="K24" i="3" a="1"/>
  <c r="K24" i="3" s="1"/>
  <c r="V24" i="3" s="1" a="1"/>
  <c r="V24" i="3" s="1"/>
  <c r="B20" i="3" a="1"/>
  <c r="B20" i="3" s="1"/>
  <c r="L20" i="3" s="1" a="1"/>
  <c r="L20" i="3" s="1"/>
  <c r="C20" i="3" a="1"/>
  <c r="C20" i="3" s="1"/>
  <c r="M20" i="3" s="1" a="1"/>
  <c r="M20" i="3" s="1"/>
  <c r="D20" i="3" a="1"/>
  <c r="D20" i="3" s="1"/>
  <c r="N20" i="3" s="1" a="1"/>
  <c r="N20" i="3" s="1"/>
  <c r="E20" i="3" a="1"/>
  <c r="E20" i="3" s="1"/>
  <c r="O20" i="3" s="1" a="1"/>
  <c r="O20" i="3" s="1"/>
  <c r="F20" i="3" a="1"/>
  <c r="F20" i="3" s="1"/>
  <c r="P20" i="3" s="1" a="1"/>
  <c r="P20" i="3" s="1"/>
  <c r="G20" i="3" a="1"/>
  <c r="G20" i="3" s="1"/>
  <c r="Q20" i="3" s="1" a="1"/>
  <c r="Q20" i="3" s="1"/>
  <c r="H20" i="3" a="1"/>
  <c r="H20" i="3" s="1"/>
  <c r="R20" i="3" s="1" a="1"/>
  <c r="R20" i="3" s="1"/>
  <c r="S20" i="3" s="1" a="1"/>
  <c r="S20" i="3" s="1"/>
  <c r="I20" i="3" a="1"/>
  <c r="I20" i="3" s="1"/>
  <c r="T20" i="3" s="1" a="1"/>
  <c r="T20" i="3" s="1"/>
  <c r="J20" i="3" a="1"/>
  <c r="J20" i="3" s="1"/>
  <c r="U20" i="3" s="1" a="1"/>
  <c r="U20" i="3" s="1"/>
  <c r="K20" i="3" a="1"/>
  <c r="K20" i="3" s="1"/>
  <c r="V20" i="3" s="1" a="1"/>
  <c r="V20" i="3" s="1"/>
  <c r="B16" i="3" a="1"/>
  <c r="B16" i="3" s="1"/>
  <c r="L16" i="3" s="1" a="1"/>
  <c r="L16" i="3" s="1"/>
  <c r="C16" i="3" a="1"/>
  <c r="C16" i="3" s="1"/>
  <c r="M16" i="3" s="1" a="1"/>
  <c r="M16" i="3" s="1"/>
  <c r="D16" i="3" a="1"/>
  <c r="D16" i="3" s="1"/>
  <c r="N16" i="3" s="1" a="1"/>
  <c r="N16" i="3" s="1"/>
  <c r="E16" i="3" a="1"/>
  <c r="E16" i="3" s="1"/>
  <c r="O16" i="3" s="1" a="1"/>
  <c r="O16" i="3" s="1"/>
  <c r="G16" i="3" a="1"/>
  <c r="G16" i="3" s="1"/>
  <c r="Q16" i="3" s="1" a="1"/>
  <c r="Q16" i="3" s="1"/>
  <c r="F16" i="3" a="1"/>
  <c r="F16" i="3" s="1"/>
  <c r="P16" i="3" s="1" a="1"/>
  <c r="P16" i="3" s="1"/>
  <c r="H16" i="3" a="1"/>
  <c r="H16" i="3" s="1"/>
  <c r="R16" i="3" s="1" a="1"/>
  <c r="R16" i="3" s="1"/>
  <c r="S16" i="3" s="1" a="1"/>
  <c r="S16" i="3" s="1"/>
  <c r="I16" i="3" a="1"/>
  <c r="I16" i="3" s="1"/>
  <c r="T16" i="3" s="1" a="1"/>
  <c r="T16" i="3" s="1"/>
  <c r="J16" i="3" a="1"/>
  <c r="J16" i="3" s="1"/>
  <c r="U16" i="3" s="1" a="1"/>
  <c r="U16" i="3" s="1"/>
  <c r="K16" i="3" a="1"/>
  <c r="K16" i="3" s="1"/>
  <c r="V16" i="3" s="1" a="1"/>
  <c r="V16" i="3" s="1"/>
  <c r="B12" i="3" a="1"/>
  <c r="B12" i="3" s="1"/>
  <c r="L12" i="3" s="1" a="1"/>
  <c r="L12" i="3" s="1"/>
  <c r="C12" i="3" a="1"/>
  <c r="C12" i="3" s="1"/>
  <c r="M12" i="3" s="1" a="1"/>
  <c r="M12" i="3" s="1"/>
  <c r="D12" i="3" a="1"/>
  <c r="D12" i="3" s="1"/>
  <c r="N12" i="3" s="1" a="1"/>
  <c r="N12" i="3" s="1"/>
  <c r="E12" i="3" a="1"/>
  <c r="E12" i="3" s="1"/>
  <c r="O12" i="3" s="1" a="1"/>
  <c r="O12" i="3" s="1"/>
  <c r="G12" i="3" a="1"/>
  <c r="G12" i="3" s="1"/>
  <c r="Q12" i="3" s="1" a="1"/>
  <c r="Q12" i="3" s="1"/>
  <c r="F12" i="3" a="1"/>
  <c r="F12" i="3" s="1"/>
  <c r="P12" i="3" s="1" a="1"/>
  <c r="P12" i="3" s="1"/>
  <c r="H12" i="3" a="1"/>
  <c r="H12" i="3" s="1"/>
  <c r="R12" i="3" s="1" a="1"/>
  <c r="R12" i="3" s="1"/>
  <c r="S12" i="3" s="1" a="1"/>
  <c r="S12" i="3" s="1"/>
  <c r="I12" i="3" a="1"/>
  <c r="I12" i="3" s="1"/>
  <c r="T12" i="3" s="1" a="1"/>
  <c r="T12" i="3" s="1"/>
  <c r="J12" i="3" a="1"/>
  <c r="J12" i="3" s="1"/>
  <c r="U12" i="3" s="1" a="1"/>
  <c r="U12" i="3" s="1"/>
  <c r="K12" i="3" a="1"/>
  <c r="K12" i="3" s="1"/>
  <c r="V12" i="3" s="1" a="1"/>
  <c r="V12" i="3" s="1"/>
  <c r="B8" i="3" a="1"/>
  <c r="B8" i="3" s="1"/>
  <c r="L8" i="3" s="1" a="1"/>
  <c r="L8" i="3" s="1"/>
  <c r="C8" i="3" a="1"/>
  <c r="C8" i="3" s="1"/>
  <c r="M8" i="3" s="1" a="1"/>
  <c r="M8" i="3" s="1"/>
  <c r="D8" i="3" a="1"/>
  <c r="D8" i="3" s="1"/>
  <c r="N8" i="3" s="1" a="1"/>
  <c r="N8" i="3" s="1"/>
  <c r="E8" i="3" a="1"/>
  <c r="E8" i="3" s="1"/>
  <c r="O8" i="3" s="1" a="1"/>
  <c r="O8" i="3" s="1"/>
  <c r="G8" i="3" a="1"/>
  <c r="G8" i="3" s="1"/>
  <c r="Q8" i="3" s="1" a="1"/>
  <c r="Q8" i="3" s="1"/>
  <c r="F8" i="3" a="1"/>
  <c r="F8" i="3" s="1"/>
  <c r="P8" i="3" s="1" a="1"/>
  <c r="P8" i="3" s="1"/>
  <c r="H8" i="3" a="1"/>
  <c r="H8" i="3" s="1"/>
  <c r="R8" i="3" s="1" a="1"/>
  <c r="R8" i="3" s="1"/>
  <c r="S8" i="3" s="1" a="1"/>
  <c r="S8" i="3" s="1"/>
  <c r="I8" i="3" a="1"/>
  <c r="I8" i="3" s="1"/>
  <c r="T8" i="3" s="1" a="1"/>
  <c r="T8" i="3" s="1"/>
  <c r="J8" i="3" a="1"/>
  <c r="J8" i="3" s="1"/>
  <c r="U8" i="3" s="1" a="1"/>
  <c r="U8" i="3" s="1"/>
  <c r="K8" i="3" a="1"/>
  <c r="K8" i="3" s="1"/>
  <c r="V8" i="3" s="1" a="1"/>
  <c r="V8" i="3" s="1"/>
  <c r="B4" i="3" a="1"/>
  <c r="B4" i="3" s="1"/>
  <c r="L4" i="3" s="1" a="1"/>
  <c r="L4" i="3" s="1"/>
  <c r="C4" i="3" a="1"/>
  <c r="C4" i="3" s="1"/>
  <c r="M4" i="3" s="1" a="1"/>
  <c r="M4" i="3" s="1"/>
  <c r="D4" i="3" a="1"/>
  <c r="D4" i="3" s="1"/>
  <c r="N4" i="3" s="1" a="1"/>
  <c r="N4" i="3" s="1"/>
  <c r="E4" i="3" a="1"/>
  <c r="E4" i="3" s="1"/>
  <c r="O4" i="3" s="1" a="1"/>
  <c r="O4" i="3" s="1"/>
  <c r="G4" i="3" a="1"/>
  <c r="G4" i="3" s="1"/>
  <c r="Q4" i="3" s="1" a="1"/>
  <c r="Q4" i="3" s="1"/>
  <c r="F4" i="3" a="1"/>
  <c r="F4" i="3" s="1"/>
  <c r="P4" i="3" s="1" a="1"/>
  <c r="P4" i="3" s="1"/>
  <c r="H4" i="3" a="1"/>
  <c r="H4" i="3" s="1"/>
  <c r="R4" i="3" s="1" a="1"/>
  <c r="R4" i="3" s="1"/>
  <c r="S4" i="3" s="1" a="1"/>
  <c r="S4" i="3" s="1"/>
  <c r="I4" i="3" a="1"/>
  <c r="I4" i="3" s="1"/>
  <c r="T4" i="3" s="1" a="1"/>
  <c r="T4" i="3" s="1"/>
  <c r="J4" i="3" a="1"/>
  <c r="J4" i="3" s="1"/>
  <c r="U4" i="3" s="1" a="1"/>
  <c r="U4" i="3" s="1"/>
  <c r="K4" i="3" a="1"/>
  <c r="K4" i="3" s="1"/>
  <c r="V4" i="3" s="1" a="1"/>
  <c r="V4" i="3" s="1"/>
  <c r="B287" i="3" a="1"/>
  <c r="B287" i="3" s="1"/>
  <c r="L287" i="3" s="1" a="1"/>
  <c r="L287" i="3" s="1"/>
  <c r="C287" i="3" a="1"/>
  <c r="C287" i="3" s="1"/>
  <c r="M287" i="3" s="1" a="1"/>
  <c r="M287" i="3" s="1"/>
  <c r="D287" i="3" a="1"/>
  <c r="D287" i="3" s="1"/>
  <c r="N287" i="3" s="1" a="1"/>
  <c r="N287" i="3" s="1"/>
  <c r="E287" i="3" a="1"/>
  <c r="E287" i="3" s="1"/>
  <c r="O287" i="3" s="1" a="1"/>
  <c r="O287" i="3" s="1"/>
  <c r="F287" i="3" a="1"/>
  <c r="F287" i="3" s="1"/>
  <c r="P287" i="3" s="1" a="1"/>
  <c r="P287" i="3" s="1"/>
  <c r="G287" i="3" a="1"/>
  <c r="G287" i="3" s="1"/>
  <c r="Q287" i="3" s="1" a="1"/>
  <c r="Q287" i="3" s="1"/>
  <c r="H287" i="3" a="1"/>
  <c r="H287" i="3" s="1"/>
  <c r="R287" i="3" s="1" a="1"/>
  <c r="R287" i="3" s="1"/>
  <c r="S287" i="3" s="1" a="1"/>
  <c r="S287" i="3" s="1"/>
  <c r="I287" i="3" a="1"/>
  <c r="I287" i="3" s="1"/>
  <c r="T287" i="3" s="1" a="1"/>
  <c r="T287" i="3" s="1"/>
  <c r="J287" i="3" a="1"/>
  <c r="J287" i="3" s="1"/>
  <c r="U287" i="3" s="1" a="1"/>
  <c r="U287" i="3" s="1"/>
  <c r="K287" i="3" a="1"/>
  <c r="K287" i="3" s="1"/>
  <c r="V287" i="3" s="1" a="1"/>
  <c r="V287" i="3" s="1"/>
  <c r="B278" i="3" a="1"/>
  <c r="B278" i="3" s="1"/>
  <c r="L278" i="3" s="1" a="1"/>
  <c r="L278" i="3" s="1"/>
  <c r="C278" i="3" a="1"/>
  <c r="C278" i="3" s="1"/>
  <c r="M278" i="3" s="1" a="1"/>
  <c r="M278" i="3" s="1"/>
  <c r="D278" i="3" a="1"/>
  <c r="D278" i="3" s="1"/>
  <c r="N278" i="3" s="1" a="1"/>
  <c r="N278" i="3" s="1"/>
  <c r="E278" i="3" a="1"/>
  <c r="E278" i="3" s="1"/>
  <c r="O278" i="3" s="1" a="1"/>
  <c r="O278" i="3" s="1"/>
  <c r="F278" i="3" a="1"/>
  <c r="F278" i="3" s="1"/>
  <c r="P278" i="3" s="1" a="1"/>
  <c r="P278" i="3" s="1"/>
  <c r="G278" i="3" a="1"/>
  <c r="G278" i="3" s="1"/>
  <c r="Q278" i="3" s="1" a="1"/>
  <c r="Q278" i="3" s="1"/>
  <c r="H278" i="3" a="1"/>
  <c r="H278" i="3" s="1"/>
  <c r="R278" i="3" s="1" a="1"/>
  <c r="R278" i="3" s="1"/>
  <c r="S278" i="3" s="1" a="1"/>
  <c r="S278" i="3" s="1"/>
  <c r="J278" i="3" a="1"/>
  <c r="J278" i="3" s="1"/>
  <c r="U278" i="3" s="1" a="1"/>
  <c r="U278" i="3" s="1"/>
  <c r="I278" i="3" a="1"/>
  <c r="I278" i="3" s="1"/>
  <c r="T278" i="3" s="1" a="1"/>
  <c r="T278" i="3" s="1"/>
  <c r="K278" i="3" a="1"/>
  <c r="K278" i="3" s="1"/>
  <c r="V278" i="3" s="1" a="1"/>
  <c r="V278" i="3" s="1"/>
  <c r="B266" i="3" a="1"/>
  <c r="B266" i="3" s="1"/>
  <c r="L266" i="3" s="1" a="1"/>
  <c r="L266" i="3" s="1"/>
  <c r="C266" i="3" a="1"/>
  <c r="C266" i="3" s="1"/>
  <c r="M266" i="3" s="1" a="1"/>
  <c r="M266" i="3" s="1"/>
  <c r="D266" i="3" a="1"/>
  <c r="D266" i="3" s="1"/>
  <c r="N266" i="3" s="1" a="1"/>
  <c r="N266" i="3" s="1"/>
  <c r="E266" i="3" a="1"/>
  <c r="E266" i="3" s="1"/>
  <c r="O266" i="3" s="1" a="1"/>
  <c r="O266" i="3" s="1"/>
  <c r="F266" i="3" a="1"/>
  <c r="F266" i="3" s="1"/>
  <c r="P266" i="3" s="1" a="1"/>
  <c r="P266" i="3" s="1"/>
  <c r="G266" i="3" a="1"/>
  <c r="G266" i="3" s="1"/>
  <c r="Q266" i="3" s="1" a="1"/>
  <c r="Q266" i="3" s="1"/>
  <c r="H266" i="3" a="1"/>
  <c r="H266" i="3" s="1"/>
  <c r="R266" i="3" s="1" a="1"/>
  <c r="R266" i="3" s="1"/>
  <c r="S266" i="3" s="1" a="1"/>
  <c r="S266" i="3" s="1"/>
  <c r="J266" i="3" a="1"/>
  <c r="J266" i="3" s="1"/>
  <c r="U266" i="3" s="1" a="1"/>
  <c r="U266" i="3" s="1"/>
  <c r="I266" i="3" a="1"/>
  <c r="I266" i="3" s="1"/>
  <c r="T266" i="3" s="1" a="1"/>
  <c r="T266" i="3" s="1"/>
  <c r="K266" i="3" a="1"/>
  <c r="K266" i="3" s="1"/>
  <c r="V266" i="3" s="1" a="1"/>
  <c r="V266" i="3" s="1"/>
  <c r="B283" i="3" a="1"/>
  <c r="B283" i="3" s="1"/>
  <c r="L283" i="3" s="1" a="1"/>
  <c r="L283" i="3" s="1"/>
  <c r="C283" i="3" a="1"/>
  <c r="C283" i="3" s="1"/>
  <c r="M283" i="3" s="1" a="1"/>
  <c r="M283" i="3" s="1"/>
  <c r="D283" i="3" a="1"/>
  <c r="D283" i="3" s="1"/>
  <c r="N283" i="3" s="1" a="1"/>
  <c r="N283" i="3" s="1"/>
  <c r="E283" i="3" a="1"/>
  <c r="E283" i="3" s="1"/>
  <c r="O283" i="3" s="1" a="1"/>
  <c r="O283" i="3" s="1"/>
  <c r="F283" i="3" a="1"/>
  <c r="F283" i="3" s="1"/>
  <c r="P283" i="3" s="1" a="1"/>
  <c r="P283" i="3" s="1"/>
  <c r="G283" i="3" a="1"/>
  <c r="G283" i="3" s="1"/>
  <c r="Q283" i="3" s="1" a="1"/>
  <c r="Q283" i="3" s="1"/>
  <c r="H283" i="3" a="1"/>
  <c r="H283" i="3" s="1"/>
  <c r="R283" i="3" s="1" a="1"/>
  <c r="R283" i="3" s="1"/>
  <c r="S283" i="3" s="1" a="1"/>
  <c r="S283" i="3" s="1"/>
  <c r="I283" i="3" a="1"/>
  <c r="I283" i="3" s="1"/>
  <c r="T283" i="3" s="1" a="1"/>
  <c r="T283" i="3" s="1"/>
  <c r="J283" i="3" a="1"/>
  <c r="J283" i="3" s="1"/>
  <c r="U283" i="3" s="1" a="1"/>
  <c r="U283" i="3" s="1"/>
  <c r="K283" i="3" a="1"/>
  <c r="K283" i="3" s="1"/>
  <c r="V283" i="3" s="1" a="1"/>
  <c r="V283" i="3" s="1"/>
  <c r="B279" i="3" a="1"/>
  <c r="B279" i="3" s="1"/>
  <c r="L279" i="3" s="1" a="1"/>
  <c r="L279" i="3" s="1"/>
  <c r="C279" i="3" a="1"/>
  <c r="C279" i="3" s="1"/>
  <c r="M279" i="3" s="1" a="1"/>
  <c r="M279" i="3" s="1"/>
  <c r="D279" i="3" a="1"/>
  <c r="D279" i="3" s="1"/>
  <c r="N279" i="3" s="1" a="1"/>
  <c r="N279" i="3" s="1"/>
  <c r="E279" i="3" a="1"/>
  <c r="E279" i="3" s="1"/>
  <c r="O279" i="3" s="1" a="1"/>
  <c r="O279" i="3" s="1"/>
  <c r="F279" i="3" a="1"/>
  <c r="F279" i="3" s="1"/>
  <c r="P279" i="3" s="1" a="1"/>
  <c r="P279" i="3" s="1"/>
  <c r="G279" i="3" a="1"/>
  <c r="G279" i="3" s="1"/>
  <c r="Q279" i="3" s="1" a="1"/>
  <c r="Q279" i="3" s="1"/>
  <c r="H279" i="3" a="1"/>
  <c r="H279" i="3" s="1"/>
  <c r="R279" i="3" s="1" a="1"/>
  <c r="R279" i="3" s="1"/>
  <c r="S279" i="3" s="1" a="1"/>
  <c r="S279" i="3" s="1"/>
  <c r="I279" i="3" a="1"/>
  <c r="I279" i="3" s="1"/>
  <c r="T279" i="3" s="1" a="1"/>
  <c r="T279" i="3" s="1"/>
  <c r="J279" i="3" a="1"/>
  <c r="J279" i="3" s="1"/>
  <c r="U279" i="3" s="1" a="1"/>
  <c r="U279" i="3" s="1"/>
  <c r="K279" i="3" a="1"/>
  <c r="K279" i="3" s="1"/>
  <c r="V279" i="3" s="1" a="1"/>
  <c r="V279" i="3" s="1"/>
  <c r="B275" i="3" a="1"/>
  <c r="B275" i="3" s="1"/>
  <c r="L275" i="3" s="1" a="1"/>
  <c r="L275" i="3" s="1"/>
  <c r="C275" i="3" a="1"/>
  <c r="C275" i="3" s="1"/>
  <c r="M275" i="3" s="1" a="1"/>
  <c r="M275" i="3" s="1"/>
  <c r="D275" i="3" a="1"/>
  <c r="D275" i="3" s="1"/>
  <c r="N275" i="3" s="1" a="1"/>
  <c r="N275" i="3" s="1"/>
  <c r="E275" i="3" a="1"/>
  <c r="E275" i="3" s="1"/>
  <c r="O275" i="3" s="1" a="1"/>
  <c r="O275" i="3" s="1"/>
  <c r="F275" i="3" a="1"/>
  <c r="F275" i="3" s="1"/>
  <c r="P275" i="3" s="1" a="1"/>
  <c r="P275" i="3" s="1"/>
  <c r="G275" i="3" a="1"/>
  <c r="G275" i="3" s="1"/>
  <c r="Q275" i="3" s="1" a="1"/>
  <c r="Q275" i="3" s="1"/>
  <c r="H275" i="3" a="1"/>
  <c r="H275" i="3" s="1"/>
  <c r="R275" i="3" s="1" a="1"/>
  <c r="R275" i="3" s="1"/>
  <c r="S275" i="3" s="1" a="1"/>
  <c r="S275" i="3" s="1"/>
  <c r="I275" i="3" a="1"/>
  <c r="I275" i="3" s="1"/>
  <c r="T275" i="3" s="1" a="1"/>
  <c r="T275" i="3" s="1"/>
  <c r="J275" i="3" a="1"/>
  <c r="J275" i="3" s="1"/>
  <c r="U275" i="3" s="1" a="1"/>
  <c r="U275" i="3" s="1"/>
  <c r="K275" i="3" a="1"/>
  <c r="K275" i="3" s="1"/>
  <c r="V275" i="3" s="1" a="1"/>
  <c r="V275" i="3" s="1"/>
  <c r="B271" i="3" a="1"/>
  <c r="B271" i="3" s="1"/>
  <c r="L271" i="3" s="1" a="1"/>
  <c r="L271" i="3" s="1"/>
  <c r="C271" i="3" a="1"/>
  <c r="C271" i="3" s="1"/>
  <c r="M271" i="3" s="1" a="1"/>
  <c r="M271" i="3" s="1"/>
  <c r="D271" i="3" a="1"/>
  <c r="D271" i="3" s="1"/>
  <c r="N271" i="3" s="1" a="1"/>
  <c r="N271" i="3" s="1"/>
  <c r="E271" i="3" a="1"/>
  <c r="E271" i="3" s="1"/>
  <c r="O271" i="3" s="1" a="1"/>
  <c r="O271" i="3" s="1"/>
  <c r="F271" i="3" a="1"/>
  <c r="F271" i="3" s="1"/>
  <c r="P271" i="3" s="1" a="1"/>
  <c r="P271" i="3" s="1"/>
  <c r="G271" i="3" a="1"/>
  <c r="G271" i="3" s="1"/>
  <c r="Q271" i="3" s="1" a="1"/>
  <c r="Q271" i="3" s="1"/>
  <c r="H271" i="3" a="1"/>
  <c r="H271" i="3" s="1"/>
  <c r="R271" i="3" s="1" a="1"/>
  <c r="R271" i="3" s="1"/>
  <c r="S271" i="3" s="1" a="1"/>
  <c r="S271" i="3" s="1"/>
  <c r="I271" i="3" a="1"/>
  <c r="I271" i="3" s="1"/>
  <c r="T271" i="3" s="1" a="1"/>
  <c r="T271" i="3" s="1"/>
  <c r="J271" i="3" a="1"/>
  <c r="J271" i="3" s="1"/>
  <c r="U271" i="3" s="1" a="1"/>
  <c r="U271" i="3" s="1"/>
  <c r="K271" i="3" a="1"/>
  <c r="K271" i="3" s="1"/>
  <c r="V271" i="3" s="1" a="1"/>
  <c r="V271" i="3" s="1"/>
  <c r="B267" i="3" a="1"/>
  <c r="B267" i="3" s="1"/>
  <c r="L267" i="3" s="1" a="1"/>
  <c r="L267" i="3" s="1"/>
  <c r="C267" i="3" a="1"/>
  <c r="C267" i="3" s="1"/>
  <c r="M267" i="3" s="1" a="1"/>
  <c r="M267" i="3" s="1"/>
  <c r="D267" i="3" a="1"/>
  <c r="D267" i="3" s="1"/>
  <c r="N267" i="3" s="1" a="1"/>
  <c r="N267" i="3" s="1"/>
  <c r="E267" i="3" a="1"/>
  <c r="E267" i="3" s="1"/>
  <c r="O267" i="3" s="1" a="1"/>
  <c r="O267" i="3" s="1"/>
  <c r="F267" i="3" a="1"/>
  <c r="F267" i="3" s="1"/>
  <c r="P267" i="3" s="1" a="1"/>
  <c r="P267" i="3" s="1"/>
  <c r="G267" i="3" a="1"/>
  <c r="G267" i="3" s="1"/>
  <c r="Q267" i="3" s="1" a="1"/>
  <c r="Q267" i="3" s="1"/>
  <c r="H267" i="3" a="1"/>
  <c r="H267" i="3" s="1"/>
  <c r="R267" i="3" s="1" a="1"/>
  <c r="R267" i="3" s="1"/>
  <c r="S267" i="3" s="1" a="1"/>
  <c r="S267" i="3" s="1"/>
  <c r="I267" i="3" a="1"/>
  <c r="I267" i="3" s="1"/>
  <c r="T267" i="3" s="1" a="1"/>
  <c r="T267" i="3" s="1"/>
  <c r="J267" i="3" a="1"/>
  <c r="J267" i="3" s="1"/>
  <c r="U267" i="3" s="1" a="1"/>
  <c r="U267" i="3" s="1"/>
  <c r="K267" i="3" a="1"/>
  <c r="K267" i="3" s="1"/>
  <c r="V267" i="3" s="1" a="1"/>
  <c r="V267" i="3" s="1"/>
  <c r="B263" i="3" a="1"/>
  <c r="B263" i="3" s="1"/>
  <c r="L263" i="3" s="1" a="1"/>
  <c r="L263" i="3" s="1"/>
  <c r="C263" i="3" a="1"/>
  <c r="C263" i="3" s="1"/>
  <c r="M263" i="3" s="1" a="1"/>
  <c r="M263" i="3" s="1"/>
  <c r="D263" i="3" a="1"/>
  <c r="D263" i="3" s="1"/>
  <c r="N263" i="3" s="1" a="1"/>
  <c r="N263" i="3" s="1"/>
  <c r="E263" i="3" a="1"/>
  <c r="E263" i="3" s="1"/>
  <c r="O263" i="3" s="1" a="1"/>
  <c r="O263" i="3" s="1"/>
  <c r="F263" i="3" a="1"/>
  <c r="F263" i="3" s="1"/>
  <c r="P263" i="3" s="1" a="1"/>
  <c r="P263" i="3" s="1"/>
  <c r="G263" i="3" a="1"/>
  <c r="G263" i="3" s="1"/>
  <c r="Q263" i="3" s="1" a="1"/>
  <c r="Q263" i="3" s="1"/>
  <c r="H263" i="3" a="1"/>
  <c r="H263" i="3" s="1"/>
  <c r="R263" i="3" s="1" a="1"/>
  <c r="R263" i="3" s="1"/>
  <c r="S263" i="3" s="1" a="1"/>
  <c r="S263" i="3" s="1"/>
  <c r="I263" i="3" a="1"/>
  <c r="I263" i="3" s="1"/>
  <c r="T263" i="3" s="1" a="1"/>
  <c r="T263" i="3" s="1"/>
  <c r="J263" i="3" a="1"/>
  <c r="J263" i="3" s="1"/>
  <c r="U263" i="3" s="1" a="1"/>
  <c r="U263" i="3" s="1"/>
  <c r="K263" i="3" a="1"/>
  <c r="K263" i="3" s="1"/>
  <c r="V263" i="3" s="1" a="1"/>
  <c r="V263" i="3" s="1"/>
  <c r="B259" i="3" a="1"/>
  <c r="B259" i="3" s="1"/>
  <c r="L259" i="3" s="1" a="1"/>
  <c r="L259" i="3" s="1"/>
  <c r="C259" i="3" a="1"/>
  <c r="C259" i="3" s="1"/>
  <c r="M259" i="3" s="1" a="1"/>
  <c r="M259" i="3" s="1"/>
  <c r="D259" i="3" a="1"/>
  <c r="D259" i="3" s="1"/>
  <c r="N259" i="3" s="1" a="1"/>
  <c r="N259" i="3" s="1"/>
  <c r="E259" i="3" a="1"/>
  <c r="E259" i="3" s="1"/>
  <c r="O259" i="3" s="1" a="1"/>
  <c r="O259" i="3" s="1"/>
  <c r="F259" i="3" a="1"/>
  <c r="F259" i="3" s="1"/>
  <c r="P259" i="3" s="1" a="1"/>
  <c r="P259" i="3" s="1"/>
  <c r="G259" i="3" a="1"/>
  <c r="G259" i="3" s="1"/>
  <c r="Q259" i="3" s="1" a="1"/>
  <c r="Q259" i="3" s="1"/>
  <c r="H259" i="3" a="1"/>
  <c r="H259" i="3" s="1"/>
  <c r="R259" i="3" s="1" a="1"/>
  <c r="R259" i="3" s="1"/>
  <c r="S259" i="3" s="1" a="1"/>
  <c r="S259" i="3" s="1"/>
  <c r="I259" i="3" a="1"/>
  <c r="I259" i="3" s="1"/>
  <c r="T259" i="3" s="1" a="1"/>
  <c r="T259" i="3" s="1"/>
  <c r="J259" i="3" a="1"/>
  <c r="J259" i="3" s="1"/>
  <c r="U259" i="3" s="1" a="1"/>
  <c r="U259" i="3" s="1"/>
  <c r="K259" i="3" a="1"/>
  <c r="K259" i="3" s="1"/>
  <c r="V259" i="3" s="1" a="1"/>
  <c r="V259" i="3" s="1"/>
  <c r="B255" i="3" a="1"/>
  <c r="B255" i="3" s="1"/>
  <c r="L255" i="3" s="1" a="1"/>
  <c r="L255" i="3" s="1"/>
  <c r="C255" i="3" a="1"/>
  <c r="C255" i="3" s="1"/>
  <c r="M255" i="3" s="1" a="1"/>
  <c r="M255" i="3" s="1"/>
  <c r="D255" i="3" a="1"/>
  <c r="D255" i="3" s="1"/>
  <c r="N255" i="3" s="1" a="1"/>
  <c r="N255" i="3" s="1"/>
  <c r="E255" i="3" a="1"/>
  <c r="E255" i="3" s="1"/>
  <c r="O255" i="3" s="1" a="1"/>
  <c r="O255" i="3" s="1"/>
  <c r="F255" i="3" a="1"/>
  <c r="F255" i="3" s="1"/>
  <c r="P255" i="3" s="1" a="1"/>
  <c r="P255" i="3" s="1"/>
  <c r="G255" i="3" a="1"/>
  <c r="G255" i="3" s="1"/>
  <c r="Q255" i="3" s="1" a="1"/>
  <c r="Q255" i="3" s="1"/>
  <c r="H255" i="3" a="1"/>
  <c r="H255" i="3" s="1"/>
  <c r="R255" i="3" s="1" a="1"/>
  <c r="R255" i="3" s="1"/>
  <c r="S255" i="3" s="1" a="1"/>
  <c r="S255" i="3" s="1"/>
  <c r="I255" i="3" a="1"/>
  <c r="I255" i="3" s="1"/>
  <c r="T255" i="3" s="1" a="1"/>
  <c r="T255" i="3" s="1"/>
  <c r="J255" i="3" a="1"/>
  <c r="J255" i="3" s="1"/>
  <c r="U255" i="3" s="1" a="1"/>
  <c r="U255" i="3" s="1"/>
  <c r="K255" i="3" a="1"/>
  <c r="K255" i="3" s="1"/>
  <c r="V255" i="3" s="1" a="1"/>
  <c r="V255" i="3" s="1"/>
  <c r="B251" i="3" a="1"/>
  <c r="B251" i="3" s="1"/>
  <c r="L251" i="3" s="1" a="1"/>
  <c r="L251" i="3" s="1"/>
  <c r="C251" i="3" a="1"/>
  <c r="C251" i="3" s="1"/>
  <c r="M251" i="3" s="1" a="1"/>
  <c r="M251" i="3" s="1"/>
  <c r="D251" i="3" a="1"/>
  <c r="D251" i="3" s="1"/>
  <c r="N251" i="3" s="1" a="1"/>
  <c r="N251" i="3" s="1"/>
  <c r="E251" i="3" a="1"/>
  <c r="E251" i="3" s="1"/>
  <c r="O251" i="3" s="1" a="1"/>
  <c r="O251" i="3" s="1"/>
  <c r="F251" i="3" a="1"/>
  <c r="F251" i="3" s="1"/>
  <c r="P251" i="3" s="1" a="1"/>
  <c r="P251" i="3" s="1"/>
  <c r="G251" i="3" a="1"/>
  <c r="G251" i="3" s="1"/>
  <c r="Q251" i="3" s="1" a="1"/>
  <c r="Q251" i="3" s="1"/>
  <c r="H251" i="3" a="1"/>
  <c r="H251" i="3" s="1"/>
  <c r="R251" i="3" s="1" a="1"/>
  <c r="R251" i="3" s="1"/>
  <c r="S251" i="3" s="1" a="1"/>
  <c r="S251" i="3" s="1"/>
  <c r="I251" i="3" a="1"/>
  <c r="I251" i="3" s="1"/>
  <c r="T251" i="3" s="1" a="1"/>
  <c r="T251" i="3" s="1"/>
  <c r="J251" i="3" a="1"/>
  <c r="J251" i="3" s="1"/>
  <c r="U251" i="3" s="1" a="1"/>
  <c r="U251" i="3" s="1"/>
  <c r="K251" i="3" a="1"/>
  <c r="K251" i="3" s="1"/>
  <c r="V251" i="3" s="1" a="1"/>
  <c r="V251" i="3" s="1"/>
  <c r="B247" i="3" a="1"/>
  <c r="B247" i="3" s="1"/>
  <c r="L247" i="3" s="1" a="1"/>
  <c r="L247" i="3" s="1"/>
  <c r="C247" i="3" a="1"/>
  <c r="C247" i="3" s="1"/>
  <c r="M247" i="3" s="1" a="1"/>
  <c r="M247" i="3" s="1"/>
  <c r="D247" i="3" a="1"/>
  <c r="D247" i="3" s="1"/>
  <c r="N247" i="3" s="1" a="1"/>
  <c r="N247" i="3" s="1"/>
  <c r="E247" i="3" a="1"/>
  <c r="E247" i="3" s="1"/>
  <c r="O247" i="3" s="1" a="1"/>
  <c r="O247" i="3" s="1"/>
  <c r="F247" i="3" a="1"/>
  <c r="F247" i="3" s="1"/>
  <c r="P247" i="3" s="1" a="1"/>
  <c r="P247" i="3" s="1"/>
  <c r="G247" i="3" a="1"/>
  <c r="G247" i="3" s="1"/>
  <c r="Q247" i="3" s="1" a="1"/>
  <c r="Q247" i="3" s="1"/>
  <c r="H247" i="3" a="1"/>
  <c r="H247" i="3" s="1"/>
  <c r="R247" i="3" s="1" a="1"/>
  <c r="R247" i="3" s="1"/>
  <c r="S247" i="3" s="1" a="1"/>
  <c r="S247" i="3" s="1"/>
  <c r="I247" i="3" a="1"/>
  <c r="I247" i="3" s="1"/>
  <c r="T247" i="3" s="1" a="1"/>
  <c r="T247" i="3" s="1"/>
  <c r="J247" i="3" a="1"/>
  <c r="J247" i="3" s="1"/>
  <c r="U247" i="3" s="1" a="1"/>
  <c r="U247" i="3" s="1"/>
  <c r="K247" i="3" a="1"/>
  <c r="K247" i="3" s="1"/>
  <c r="V247" i="3" s="1" a="1"/>
  <c r="V247" i="3" s="1"/>
  <c r="B243" i="3" a="1"/>
  <c r="B243" i="3" s="1"/>
  <c r="L243" i="3" s="1" a="1"/>
  <c r="L243" i="3" s="1"/>
  <c r="C243" i="3" a="1"/>
  <c r="C243" i="3" s="1"/>
  <c r="M243" i="3" s="1" a="1"/>
  <c r="M243" i="3" s="1"/>
  <c r="D243" i="3" a="1"/>
  <c r="D243" i="3" s="1"/>
  <c r="N243" i="3" s="1" a="1"/>
  <c r="N243" i="3" s="1"/>
  <c r="E243" i="3" a="1"/>
  <c r="E243" i="3" s="1"/>
  <c r="O243" i="3" s="1" a="1"/>
  <c r="O243" i="3" s="1"/>
  <c r="F243" i="3" a="1"/>
  <c r="F243" i="3" s="1"/>
  <c r="P243" i="3" s="1" a="1"/>
  <c r="P243" i="3" s="1"/>
  <c r="G243" i="3" a="1"/>
  <c r="G243" i="3" s="1"/>
  <c r="Q243" i="3" s="1" a="1"/>
  <c r="Q243" i="3" s="1"/>
  <c r="H243" i="3" a="1"/>
  <c r="H243" i="3" s="1"/>
  <c r="R243" i="3" s="1" a="1"/>
  <c r="R243" i="3" s="1"/>
  <c r="S243" i="3" s="1" a="1"/>
  <c r="S243" i="3" s="1"/>
  <c r="I243" i="3" a="1"/>
  <c r="I243" i="3" s="1"/>
  <c r="T243" i="3" s="1" a="1"/>
  <c r="T243" i="3" s="1"/>
  <c r="J243" i="3" a="1"/>
  <c r="J243" i="3" s="1"/>
  <c r="U243" i="3" s="1" a="1"/>
  <c r="U243" i="3" s="1"/>
  <c r="K243" i="3" a="1"/>
  <c r="K243" i="3" s="1"/>
  <c r="V243" i="3" s="1" a="1"/>
  <c r="V243" i="3" s="1"/>
  <c r="B239" i="3" a="1"/>
  <c r="B239" i="3" s="1"/>
  <c r="L239" i="3" s="1" a="1"/>
  <c r="L239" i="3" s="1"/>
  <c r="C239" i="3" a="1"/>
  <c r="C239" i="3" s="1"/>
  <c r="M239" i="3" s="1" a="1"/>
  <c r="M239" i="3" s="1"/>
  <c r="D239" i="3" a="1"/>
  <c r="D239" i="3" s="1"/>
  <c r="N239" i="3" s="1" a="1"/>
  <c r="N239" i="3" s="1"/>
  <c r="E239" i="3" a="1"/>
  <c r="E239" i="3" s="1"/>
  <c r="O239" i="3" s="1" a="1"/>
  <c r="O239" i="3" s="1"/>
  <c r="F239" i="3" a="1"/>
  <c r="F239" i="3" s="1"/>
  <c r="P239" i="3" s="1" a="1"/>
  <c r="P239" i="3" s="1"/>
  <c r="G239" i="3" a="1"/>
  <c r="G239" i="3" s="1"/>
  <c r="Q239" i="3" s="1" a="1"/>
  <c r="Q239" i="3" s="1"/>
  <c r="H239" i="3" a="1"/>
  <c r="H239" i="3" s="1"/>
  <c r="R239" i="3" s="1" a="1"/>
  <c r="R239" i="3" s="1"/>
  <c r="S239" i="3" s="1" a="1"/>
  <c r="S239" i="3" s="1"/>
  <c r="I239" i="3" a="1"/>
  <c r="I239" i="3" s="1"/>
  <c r="T239" i="3" s="1" a="1"/>
  <c r="T239" i="3" s="1"/>
  <c r="J239" i="3" a="1"/>
  <c r="J239" i="3" s="1"/>
  <c r="U239" i="3" s="1" a="1"/>
  <c r="U239" i="3" s="1"/>
  <c r="K239" i="3" a="1"/>
  <c r="K239" i="3" s="1"/>
  <c r="V239" i="3" s="1" a="1"/>
  <c r="V239" i="3" s="1"/>
  <c r="B235" i="3" a="1"/>
  <c r="B235" i="3" s="1"/>
  <c r="L235" i="3" s="1" a="1"/>
  <c r="L235" i="3" s="1"/>
  <c r="C235" i="3" a="1"/>
  <c r="C235" i="3" s="1"/>
  <c r="M235" i="3" s="1" a="1"/>
  <c r="M235" i="3" s="1"/>
  <c r="D235" i="3" a="1"/>
  <c r="D235" i="3" s="1"/>
  <c r="N235" i="3" s="1" a="1"/>
  <c r="N235" i="3" s="1"/>
  <c r="E235" i="3" a="1"/>
  <c r="E235" i="3" s="1"/>
  <c r="O235" i="3" s="1" a="1"/>
  <c r="O235" i="3" s="1"/>
  <c r="F235" i="3" a="1"/>
  <c r="F235" i="3" s="1"/>
  <c r="P235" i="3" s="1" a="1"/>
  <c r="P235" i="3" s="1"/>
  <c r="G235" i="3" a="1"/>
  <c r="G235" i="3" s="1"/>
  <c r="Q235" i="3" s="1" a="1"/>
  <c r="Q235" i="3" s="1"/>
  <c r="H235" i="3" a="1"/>
  <c r="H235" i="3" s="1"/>
  <c r="R235" i="3" s="1" a="1"/>
  <c r="R235" i="3" s="1"/>
  <c r="S235" i="3" s="1" a="1"/>
  <c r="S235" i="3" s="1"/>
  <c r="I235" i="3" a="1"/>
  <c r="I235" i="3" s="1"/>
  <c r="T235" i="3" s="1" a="1"/>
  <c r="T235" i="3" s="1"/>
  <c r="J235" i="3" a="1"/>
  <c r="J235" i="3" s="1"/>
  <c r="U235" i="3" s="1" a="1"/>
  <c r="U235" i="3" s="1"/>
  <c r="K235" i="3" a="1"/>
  <c r="K235" i="3" s="1"/>
  <c r="V235" i="3" s="1" a="1"/>
  <c r="V235" i="3" s="1"/>
  <c r="B231" i="3" a="1"/>
  <c r="B231" i="3" s="1"/>
  <c r="L231" i="3" s="1" a="1"/>
  <c r="L231" i="3" s="1"/>
  <c r="C231" i="3" a="1"/>
  <c r="C231" i="3" s="1"/>
  <c r="M231" i="3" s="1" a="1"/>
  <c r="M231" i="3" s="1"/>
  <c r="D231" i="3" a="1"/>
  <c r="D231" i="3" s="1"/>
  <c r="N231" i="3" s="1" a="1"/>
  <c r="N231" i="3" s="1"/>
  <c r="E231" i="3" a="1"/>
  <c r="E231" i="3" s="1"/>
  <c r="O231" i="3" s="1" a="1"/>
  <c r="O231" i="3" s="1"/>
  <c r="F231" i="3" a="1"/>
  <c r="F231" i="3" s="1"/>
  <c r="P231" i="3" s="1" a="1"/>
  <c r="P231" i="3" s="1"/>
  <c r="G231" i="3" a="1"/>
  <c r="G231" i="3" s="1"/>
  <c r="Q231" i="3" s="1" a="1"/>
  <c r="Q231" i="3" s="1"/>
  <c r="H231" i="3" a="1"/>
  <c r="H231" i="3" s="1"/>
  <c r="R231" i="3" s="1" a="1"/>
  <c r="R231" i="3" s="1"/>
  <c r="S231" i="3" s="1" a="1"/>
  <c r="S231" i="3" s="1"/>
  <c r="I231" i="3" a="1"/>
  <c r="I231" i="3" s="1"/>
  <c r="T231" i="3" s="1" a="1"/>
  <c r="T231" i="3" s="1"/>
  <c r="J231" i="3" a="1"/>
  <c r="J231" i="3" s="1"/>
  <c r="U231" i="3" s="1" a="1"/>
  <c r="U231" i="3" s="1"/>
  <c r="K231" i="3" a="1"/>
  <c r="K231" i="3" s="1"/>
  <c r="V231" i="3" s="1" a="1"/>
  <c r="V231" i="3" s="1"/>
  <c r="B227" i="3" a="1"/>
  <c r="B227" i="3" s="1"/>
  <c r="L227" i="3" s="1" a="1"/>
  <c r="L227" i="3" s="1"/>
  <c r="C227" i="3" a="1"/>
  <c r="C227" i="3" s="1"/>
  <c r="M227" i="3" s="1" a="1"/>
  <c r="M227" i="3" s="1"/>
  <c r="D227" i="3" a="1"/>
  <c r="D227" i="3" s="1"/>
  <c r="N227" i="3" s="1" a="1"/>
  <c r="N227" i="3" s="1"/>
  <c r="E227" i="3" a="1"/>
  <c r="E227" i="3" s="1"/>
  <c r="O227" i="3" s="1" a="1"/>
  <c r="O227" i="3" s="1"/>
  <c r="F227" i="3" a="1"/>
  <c r="F227" i="3" s="1"/>
  <c r="P227" i="3" s="1" a="1"/>
  <c r="P227" i="3" s="1"/>
  <c r="G227" i="3" a="1"/>
  <c r="G227" i="3" s="1"/>
  <c r="Q227" i="3" s="1" a="1"/>
  <c r="Q227" i="3" s="1"/>
  <c r="H227" i="3" a="1"/>
  <c r="H227" i="3" s="1"/>
  <c r="R227" i="3" s="1" a="1"/>
  <c r="R227" i="3" s="1"/>
  <c r="S227" i="3" s="1" a="1"/>
  <c r="S227" i="3" s="1"/>
  <c r="I227" i="3" a="1"/>
  <c r="I227" i="3" s="1"/>
  <c r="T227" i="3" s="1" a="1"/>
  <c r="T227" i="3" s="1"/>
  <c r="J227" i="3" a="1"/>
  <c r="J227" i="3" s="1"/>
  <c r="U227" i="3" s="1" a="1"/>
  <c r="U227" i="3" s="1"/>
  <c r="K227" i="3" a="1"/>
  <c r="K227" i="3" s="1"/>
  <c r="V227" i="3" s="1" a="1"/>
  <c r="V227" i="3" s="1"/>
  <c r="B223" i="3" a="1"/>
  <c r="B223" i="3" s="1"/>
  <c r="L223" i="3" s="1" a="1"/>
  <c r="L223" i="3" s="1"/>
  <c r="C223" i="3" a="1"/>
  <c r="C223" i="3" s="1"/>
  <c r="M223" i="3" s="1" a="1"/>
  <c r="M223" i="3" s="1"/>
  <c r="D223" i="3" a="1"/>
  <c r="D223" i="3" s="1"/>
  <c r="N223" i="3" s="1" a="1"/>
  <c r="N223" i="3" s="1"/>
  <c r="E223" i="3" a="1"/>
  <c r="E223" i="3" s="1"/>
  <c r="O223" i="3" s="1" a="1"/>
  <c r="O223" i="3" s="1"/>
  <c r="F223" i="3" a="1"/>
  <c r="F223" i="3" s="1"/>
  <c r="P223" i="3" s="1" a="1"/>
  <c r="P223" i="3" s="1"/>
  <c r="G223" i="3" a="1"/>
  <c r="G223" i="3" s="1"/>
  <c r="Q223" i="3" s="1" a="1"/>
  <c r="Q223" i="3" s="1"/>
  <c r="H223" i="3" a="1"/>
  <c r="H223" i="3" s="1"/>
  <c r="R223" i="3" s="1" a="1"/>
  <c r="R223" i="3" s="1"/>
  <c r="S223" i="3" s="1" a="1"/>
  <c r="S223" i="3" s="1"/>
  <c r="I223" i="3" a="1"/>
  <c r="I223" i="3" s="1"/>
  <c r="T223" i="3" s="1" a="1"/>
  <c r="T223" i="3" s="1"/>
  <c r="J223" i="3" a="1"/>
  <c r="J223" i="3" s="1"/>
  <c r="U223" i="3" s="1" a="1"/>
  <c r="U223" i="3" s="1"/>
  <c r="K223" i="3" a="1"/>
  <c r="K223" i="3" s="1"/>
  <c r="V223" i="3" s="1" a="1"/>
  <c r="V223" i="3" s="1"/>
  <c r="B219" i="3" a="1"/>
  <c r="B219" i="3" s="1"/>
  <c r="L219" i="3" s="1" a="1"/>
  <c r="L219" i="3" s="1"/>
  <c r="C219" i="3" a="1"/>
  <c r="C219" i="3" s="1"/>
  <c r="M219" i="3" s="1" a="1"/>
  <c r="M219" i="3" s="1"/>
  <c r="D219" i="3" a="1"/>
  <c r="D219" i="3" s="1"/>
  <c r="N219" i="3" s="1" a="1"/>
  <c r="N219" i="3" s="1"/>
  <c r="E219" i="3" a="1"/>
  <c r="E219" i="3" s="1"/>
  <c r="O219" i="3" s="1" a="1"/>
  <c r="O219" i="3" s="1"/>
  <c r="F219" i="3" a="1"/>
  <c r="F219" i="3" s="1"/>
  <c r="P219" i="3" s="1" a="1"/>
  <c r="P219" i="3" s="1"/>
  <c r="G219" i="3" a="1"/>
  <c r="G219" i="3" s="1"/>
  <c r="Q219" i="3" s="1" a="1"/>
  <c r="Q219" i="3" s="1"/>
  <c r="H219" i="3" a="1"/>
  <c r="H219" i="3" s="1"/>
  <c r="R219" i="3" s="1" a="1"/>
  <c r="R219" i="3" s="1"/>
  <c r="S219" i="3" s="1" a="1"/>
  <c r="S219" i="3" s="1"/>
  <c r="I219" i="3" a="1"/>
  <c r="I219" i="3" s="1"/>
  <c r="T219" i="3" s="1" a="1"/>
  <c r="T219" i="3" s="1"/>
  <c r="J219" i="3" a="1"/>
  <c r="J219" i="3" s="1"/>
  <c r="U219" i="3" s="1" a="1"/>
  <c r="U219" i="3" s="1"/>
  <c r="K219" i="3" a="1"/>
  <c r="K219" i="3" s="1"/>
  <c r="V219" i="3" s="1" a="1"/>
  <c r="V219" i="3" s="1"/>
  <c r="B215" i="3" a="1"/>
  <c r="B215" i="3" s="1"/>
  <c r="L215" i="3" s="1" a="1"/>
  <c r="L215" i="3" s="1"/>
  <c r="C215" i="3" a="1"/>
  <c r="C215" i="3" s="1"/>
  <c r="M215" i="3" s="1" a="1"/>
  <c r="M215" i="3" s="1"/>
  <c r="D215" i="3" a="1"/>
  <c r="D215" i="3" s="1"/>
  <c r="N215" i="3" s="1" a="1"/>
  <c r="N215" i="3" s="1"/>
  <c r="E215" i="3" a="1"/>
  <c r="E215" i="3" s="1"/>
  <c r="O215" i="3" s="1" a="1"/>
  <c r="O215" i="3" s="1"/>
  <c r="F215" i="3" a="1"/>
  <c r="F215" i="3" s="1"/>
  <c r="P215" i="3" s="1" a="1"/>
  <c r="P215" i="3" s="1"/>
  <c r="G215" i="3" a="1"/>
  <c r="G215" i="3" s="1"/>
  <c r="Q215" i="3" s="1" a="1"/>
  <c r="Q215" i="3" s="1"/>
  <c r="H215" i="3" a="1"/>
  <c r="H215" i="3" s="1"/>
  <c r="R215" i="3" s="1" a="1"/>
  <c r="R215" i="3" s="1"/>
  <c r="S215" i="3" s="1" a="1"/>
  <c r="S215" i="3" s="1"/>
  <c r="I215" i="3" a="1"/>
  <c r="I215" i="3" s="1"/>
  <c r="T215" i="3" s="1" a="1"/>
  <c r="T215" i="3" s="1"/>
  <c r="J215" i="3" a="1"/>
  <c r="J215" i="3" s="1"/>
  <c r="U215" i="3" s="1" a="1"/>
  <c r="U215" i="3" s="1"/>
  <c r="K215" i="3" a="1"/>
  <c r="K215" i="3" s="1"/>
  <c r="V215" i="3" s="1" a="1"/>
  <c r="V215" i="3" s="1"/>
  <c r="B211" i="3" a="1"/>
  <c r="B211" i="3" s="1"/>
  <c r="L211" i="3" s="1" a="1"/>
  <c r="L211" i="3" s="1"/>
  <c r="C211" i="3" a="1"/>
  <c r="C211" i="3" s="1"/>
  <c r="M211" i="3" s="1" a="1"/>
  <c r="M211" i="3" s="1"/>
  <c r="D211" i="3" a="1"/>
  <c r="D211" i="3" s="1"/>
  <c r="N211" i="3" s="1" a="1"/>
  <c r="N211" i="3" s="1"/>
  <c r="E211" i="3" a="1"/>
  <c r="E211" i="3" s="1"/>
  <c r="O211" i="3" s="1" a="1"/>
  <c r="O211" i="3" s="1"/>
  <c r="F211" i="3" a="1"/>
  <c r="F211" i="3" s="1"/>
  <c r="P211" i="3" s="1" a="1"/>
  <c r="P211" i="3" s="1"/>
  <c r="G211" i="3" a="1"/>
  <c r="G211" i="3" s="1"/>
  <c r="Q211" i="3" s="1" a="1"/>
  <c r="Q211" i="3" s="1"/>
  <c r="H211" i="3" a="1"/>
  <c r="H211" i="3" s="1"/>
  <c r="R211" i="3" s="1" a="1"/>
  <c r="R211" i="3" s="1"/>
  <c r="S211" i="3" s="1" a="1"/>
  <c r="S211" i="3" s="1"/>
  <c r="I211" i="3" a="1"/>
  <c r="I211" i="3" s="1"/>
  <c r="T211" i="3" s="1" a="1"/>
  <c r="T211" i="3" s="1"/>
  <c r="J211" i="3" a="1"/>
  <c r="J211" i="3" s="1"/>
  <c r="U211" i="3" s="1" a="1"/>
  <c r="U211" i="3" s="1"/>
  <c r="K211" i="3" a="1"/>
  <c r="K211" i="3" s="1"/>
  <c r="V211" i="3" s="1" a="1"/>
  <c r="V211" i="3" s="1"/>
  <c r="B207" i="3" a="1"/>
  <c r="B207" i="3" s="1"/>
  <c r="L207" i="3" s="1" a="1"/>
  <c r="L207" i="3" s="1"/>
  <c r="C207" i="3" a="1"/>
  <c r="C207" i="3" s="1"/>
  <c r="M207" i="3" s="1" a="1"/>
  <c r="M207" i="3" s="1"/>
  <c r="D207" i="3" a="1"/>
  <c r="D207" i="3" s="1"/>
  <c r="N207" i="3" s="1" a="1"/>
  <c r="N207" i="3" s="1"/>
  <c r="E207" i="3" a="1"/>
  <c r="E207" i="3" s="1"/>
  <c r="O207" i="3" s="1" a="1"/>
  <c r="O207" i="3" s="1"/>
  <c r="F207" i="3" a="1"/>
  <c r="F207" i="3" s="1"/>
  <c r="P207" i="3" s="1" a="1"/>
  <c r="P207" i="3" s="1"/>
  <c r="G207" i="3" a="1"/>
  <c r="G207" i="3" s="1"/>
  <c r="Q207" i="3" s="1" a="1"/>
  <c r="Q207" i="3" s="1"/>
  <c r="H207" i="3" a="1"/>
  <c r="H207" i="3" s="1"/>
  <c r="R207" i="3" s="1" a="1"/>
  <c r="R207" i="3" s="1"/>
  <c r="S207" i="3" s="1" a="1"/>
  <c r="S207" i="3" s="1"/>
  <c r="I207" i="3" a="1"/>
  <c r="I207" i="3" s="1"/>
  <c r="T207" i="3" s="1" a="1"/>
  <c r="T207" i="3" s="1"/>
  <c r="J207" i="3" a="1"/>
  <c r="J207" i="3" s="1"/>
  <c r="U207" i="3" s="1" a="1"/>
  <c r="U207" i="3" s="1"/>
  <c r="K207" i="3" a="1"/>
  <c r="K207" i="3" s="1"/>
  <c r="V207" i="3" s="1" a="1"/>
  <c r="V207" i="3" s="1"/>
  <c r="B203" i="3" a="1"/>
  <c r="B203" i="3" s="1"/>
  <c r="L203" i="3" s="1" a="1"/>
  <c r="L203" i="3" s="1"/>
  <c r="C203" i="3" a="1"/>
  <c r="C203" i="3" s="1"/>
  <c r="M203" i="3" s="1" a="1"/>
  <c r="M203" i="3" s="1"/>
  <c r="D203" i="3" a="1"/>
  <c r="D203" i="3" s="1"/>
  <c r="N203" i="3" s="1" a="1"/>
  <c r="N203" i="3" s="1"/>
  <c r="E203" i="3" a="1"/>
  <c r="E203" i="3" s="1"/>
  <c r="O203" i="3" s="1" a="1"/>
  <c r="O203" i="3" s="1"/>
  <c r="F203" i="3" a="1"/>
  <c r="F203" i="3" s="1"/>
  <c r="P203" i="3" s="1" a="1"/>
  <c r="P203" i="3" s="1"/>
  <c r="G203" i="3" a="1"/>
  <c r="G203" i="3" s="1"/>
  <c r="Q203" i="3" s="1" a="1"/>
  <c r="Q203" i="3" s="1"/>
  <c r="H203" i="3" a="1"/>
  <c r="H203" i="3" s="1"/>
  <c r="R203" i="3" s="1" a="1"/>
  <c r="R203" i="3" s="1"/>
  <c r="S203" i="3" s="1" a="1"/>
  <c r="S203" i="3" s="1"/>
  <c r="I203" i="3" a="1"/>
  <c r="I203" i="3" s="1"/>
  <c r="T203" i="3" s="1" a="1"/>
  <c r="T203" i="3" s="1"/>
  <c r="J203" i="3" a="1"/>
  <c r="J203" i="3" s="1"/>
  <c r="U203" i="3" s="1" a="1"/>
  <c r="U203" i="3" s="1"/>
  <c r="K203" i="3" a="1"/>
  <c r="K203" i="3" s="1"/>
  <c r="V203" i="3" s="1" a="1"/>
  <c r="V203" i="3" s="1"/>
  <c r="B199" i="3" a="1"/>
  <c r="B199" i="3" s="1"/>
  <c r="L199" i="3" s="1" a="1"/>
  <c r="L199" i="3" s="1"/>
  <c r="C199" i="3" a="1"/>
  <c r="C199" i="3" s="1"/>
  <c r="M199" i="3" s="1" a="1"/>
  <c r="M199" i="3" s="1"/>
  <c r="D199" i="3" a="1"/>
  <c r="D199" i="3" s="1"/>
  <c r="N199" i="3" s="1" a="1"/>
  <c r="N199" i="3" s="1"/>
  <c r="E199" i="3" a="1"/>
  <c r="E199" i="3" s="1"/>
  <c r="O199" i="3" s="1" a="1"/>
  <c r="O199" i="3" s="1"/>
  <c r="F199" i="3" a="1"/>
  <c r="F199" i="3" s="1"/>
  <c r="P199" i="3" s="1" a="1"/>
  <c r="P199" i="3" s="1"/>
  <c r="G199" i="3" a="1"/>
  <c r="G199" i="3" s="1"/>
  <c r="Q199" i="3" s="1" a="1"/>
  <c r="Q199" i="3" s="1"/>
  <c r="H199" i="3" a="1"/>
  <c r="H199" i="3" s="1"/>
  <c r="R199" i="3" s="1" a="1"/>
  <c r="R199" i="3" s="1"/>
  <c r="S199" i="3" s="1" a="1"/>
  <c r="S199" i="3" s="1"/>
  <c r="I199" i="3" a="1"/>
  <c r="I199" i="3" s="1"/>
  <c r="T199" i="3" s="1" a="1"/>
  <c r="T199" i="3" s="1"/>
  <c r="J199" i="3" a="1"/>
  <c r="J199" i="3" s="1"/>
  <c r="U199" i="3" s="1" a="1"/>
  <c r="U199" i="3" s="1"/>
  <c r="K199" i="3" a="1"/>
  <c r="K199" i="3" s="1"/>
  <c r="V199" i="3" s="1" a="1"/>
  <c r="V199" i="3" s="1"/>
  <c r="B195" i="3" a="1"/>
  <c r="B195" i="3" s="1"/>
  <c r="L195" i="3" s="1" a="1"/>
  <c r="L195" i="3" s="1"/>
  <c r="C195" i="3" a="1"/>
  <c r="C195" i="3" s="1"/>
  <c r="M195" i="3" s="1" a="1"/>
  <c r="M195" i="3" s="1"/>
  <c r="D195" i="3" a="1"/>
  <c r="D195" i="3" s="1"/>
  <c r="N195" i="3" s="1" a="1"/>
  <c r="N195" i="3" s="1"/>
  <c r="E195" i="3" a="1"/>
  <c r="E195" i="3" s="1"/>
  <c r="O195" i="3" s="1" a="1"/>
  <c r="O195" i="3" s="1"/>
  <c r="F195" i="3" a="1"/>
  <c r="F195" i="3" s="1"/>
  <c r="P195" i="3" s="1" a="1"/>
  <c r="P195" i="3" s="1"/>
  <c r="G195" i="3" a="1"/>
  <c r="G195" i="3" s="1"/>
  <c r="Q195" i="3" s="1" a="1"/>
  <c r="Q195" i="3" s="1"/>
  <c r="H195" i="3" a="1"/>
  <c r="H195" i="3" s="1"/>
  <c r="R195" i="3" s="1" a="1"/>
  <c r="R195" i="3" s="1"/>
  <c r="S195" i="3" s="1" a="1"/>
  <c r="S195" i="3" s="1"/>
  <c r="I195" i="3" a="1"/>
  <c r="I195" i="3" s="1"/>
  <c r="T195" i="3" s="1" a="1"/>
  <c r="T195" i="3" s="1"/>
  <c r="J195" i="3" a="1"/>
  <c r="J195" i="3" s="1"/>
  <c r="U195" i="3" s="1" a="1"/>
  <c r="U195" i="3" s="1"/>
  <c r="K195" i="3" a="1"/>
  <c r="K195" i="3" s="1"/>
  <c r="V195" i="3" s="1" a="1"/>
  <c r="V195" i="3" s="1"/>
  <c r="B191" i="3" a="1"/>
  <c r="B191" i="3" s="1"/>
  <c r="L191" i="3" s="1" a="1"/>
  <c r="L191" i="3" s="1"/>
  <c r="C191" i="3" a="1"/>
  <c r="C191" i="3" s="1"/>
  <c r="M191" i="3" s="1" a="1"/>
  <c r="M191" i="3" s="1"/>
  <c r="D191" i="3" a="1"/>
  <c r="D191" i="3" s="1"/>
  <c r="N191" i="3" s="1" a="1"/>
  <c r="N191" i="3" s="1"/>
  <c r="E191" i="3" a="1"/>
  <c r="E191" i="3" s="1"/>
  <c r="O191" i="3" s="1" a="1"/>
  <c r="O191" i="3" s="1"/>
  <c r="F191" i="3" a="1"/>
  <c r="F191" i="3" s="1"/>
  <c r="P191" i="3" s="1" a="1"/>
  <c r="P191" i="3" s="1"/>
  <c r="G191" i="3" a="1"/>
  <c r="G191" i="3" s="1"/>
  <c r="Q191" i="3" s="1" a="1"/>
  <c r="Q191" i="3" s="1"/>
  <c r="H191" i="3" a="1"/>
  <c r="H191" i="3" s="1"/>
  <c r="R191" i="3" s="1" a="1"/>
  <c r="R191" i="3" s="1"/>
  <c r="S191" i="3" s="1" a="1"/>
  <c r="S191" i="3" s="1"/>
  <c r="I191" i="3" a="1"/>
  <c r="I191" i="3" s="1"/>
  <c r="T191" i="3" s="1" a="1"/>
  <c r="T191" i="3" s="1"/>
  <c r="J191" i="3" a="1"/>
  <c r="J191" i="3" s="1"/>
  <c r="U191" i="3" s="1" a="1"/>
  <c r="U191" i="3" s="1"/>
  <c r="K191" i="3" a="1"/>
  <c r="K191" i="3" s="1"/>
  <c r="V191" i="3" s="1" a="1"/>
  <c r="V191" i="3" s="1"/>
  <c r="B187" i="3" a="1"/>
  <c r="B187" i="3" s="1"/>
  <c r="L187" i="3" s="1" a="1"/>
  <c r="L187" i="3" s="1"/>
  <c r="C187" i="3" a="1"/>
  <c r="C187" i="3" s="1"/>
  <c r="M187" i="3" s="1" a="1"/>
  <c r="M187" i="3" s="1"/>
  <c r="D187" i="3" a="1"/>
  <c r="D187" i="3" s="1"/>
  <c r="N187" i="3" s="1" a="1"/>
  <c r="N187" i="3" s="1"/>
  <c r="E187" i="3" a="1"/>
  <c r="E187" i="3" s="1"/>
  <c r="O187" i="3" s="1" a="1"/>
  <c r="O187" i="3" s="1"/>
  <c r="F187" i="3" a="1"/>
  <c r="F187" i="3" s="1"/>
  <c r="P187" i="3" s="1" a="1"/>
  <c r="P187" i="3" s="1"/>
  <c r="G187" i="3" a="1"/>
  <c r="G187" i="3" s="1"/>
  <c r="Q187" i="3" s="1" a="1"/>
  <c r="Q187" i="3" s="1"/>
  <c r="H187" i="3" a="1"/>
  <c r="H187" i="3" s="1"/>
  <c r="R187" i="3" s="1" a="1"/>
  <c r="R187" i="3" s="1"/>
  <c r="S187" i="3" s="1" a="1"/>
  <c r="S187" i="3" s="1"/>
  <c r="I187" i="3" a="1"/>
  <c r="I187" i="3" s="1"/>
  <c r="T187" i="3" s="1" a="1"/>
  <c r="T187" i="3" s="1"/>
  <c r="J187" i="3" a="1"/>
  <c r="J187" i="3" s="1"/>
  <c r="U187" i="3" s="1" a="1"/>
  <c r="U187" i="3" s="1"/>
  <c r="K187" i="3" a="1"/>
  <c r="K187" i="3" s="1"/>
  <c r="V187" i="3" s="1" a="1"/>
  <c r="V187" i="3" s="1"/>
  <c r="B183" i="3" a="1"/>
  <c r="B183" i="3" s="1"/>
  <c r="L183" i="3" s="1" a="1"/>
  <c r="L183" i="3" s="1"/>
  <c r="C183" i="3" a="1"/>
  <c r="C183" i="3" s="1"/>
  <c r="M183" i="3" s="1" a="1"/>
  <c r="M183" i="3" s="1"/>
  <c r="D183" i="3" a="1"/>
  <c r="D183" i="3" s="1"/>
  <c r="N183" i="3" s="1" a="1"/>
  <c r="N183" i="3" s="1"/>
  <c r="E183" i="3" a="1"/>
  <c r="E183" i="3" s="1"/>
  <c r="O183" i="3" s="1" a="1"/>
  <c r="O183" i="3" s="1"/>
  <c r="F183" i="3" a="1"/>
  <c r="F183" i="3" s="1"/>
  <c r="P183" i="3" s="1" a="1"/>
  <c r="P183" i="3" s="1"/>
  <c r="G183" i="3" a="1"/>
  <c r="G183" i="3" s="1"/>
  <c r="Q183" i="3" s="1" a="1"/>
  <c r="Q183" i="3" s="1"/>
  <c r="H183" i="3" a="1"/>
  <c r="H183" i="3" s="1"/>
  <c r="R183" i="3" s="1" a="1"/>
  <c r="R183" i="3" s="1"/>
  <c r="S183" i="3" s="1" a="1"/>
  <c r="S183" i="3" s="1"/>
  <c r="I183" i="3" a="1"/>
  <c r="I183" i="3" s="1"/>
  <c r="T183" i="3" s="1" a="1"/>
  <c r="T183" i="3" s="1"/>
  <c r="J183" i="3" a="1"/>
  <c r="J183" i="3" s="1"/>
  <c r="U183" i="3" s="1" a="1"/>
  <c r="U183" i="3" s="1"/>
  <c r="K183" i="3" a="1"/>
  <c r="K183" i="3" s="1"/>
  <c r="V183" i="3" s="1" a="1"/>
  <c r="V183" i="3" s="1"/>
  <c r="B179" i="3" a="1"/>
  <c r="B179" i="3" s="1"/>
  <c r="L179" i="3" s="1" a="1"/>
  <c r="L179" i="3" s="1"/>
  <c r="C179" i="3" a="1"/>
  <c r="C179" i="3" s="1"/>
  <c r="M179" i="3" s="1" a="1"/>
  <c r="M179" i="3" s="1"/>
  <c r="D179" i="3" a="1"/>
  <c r="D179" i="3" s="1"/>
  <c r="N179" i="3" s="1" a="1"/>
  <c r="N179" i="3" s="1"/>
  <c r="E179" i="3" a="1"/>
  <c r="E179" i="3" s="1"/>
  <c r="O179" i="3" s="1" a="1"/>
  <c r="O179" i="3" s="1"/>
  <c r="F179" i="3" a="1"/>
  <c r="F179" i="3" s="1"/>
  <c r="P179" i="3" s="1" a="1"/>
  <c r="P179" i="3" s="1"/>
  <c r="G179" i="3" a="1"/>
  <c r="G179" i="3" s="1"/>
  <c r="Q179" i="3" s="1" a="1"/>
  <c r="Q179" i="3" s="1"/>
  <c r="H179" i="3" a="1"/>
  <c r="H179" i="3" s="1"/>
  <c r="R179" i="3" s="1" a="1"/>
  <c r="R179" i="3" s="1"/>
  <c r="S179" i="3" s="1" a="1"/>
  <c r="S179" i="3" s="1"/>
  <c r="I179" i="3" a="1"/>
  <c r="I179" i="3" s="1"/>
  <c r="T179" i="3" s="1" a="1"/>
  <c r="T179" i="3" s="1"/>
  <c r="J179" i="3" a="1"/>
  <c r="J179" i="3" s="1"/>
  <c r="U179" i="3" s="1" a="1"/>
  <c r="U179" i="3" s="1"/>
  <c r="K179" i="3" a="1"/>
  <c r="K179" i="3" s="1"/>
  <c r="V179" i="3" s="1" a="1"/>
  <c r="V179" i="3" s="1"/>
  <c r="B175" i="3" a="1"/>
  <c r="B175" i="3" s="1"/>
  <c r="L175" i="3" s="1" a="1"/>
  <c r="L175" i="3" s="1"/>
  <c r="C175" i="3" a="1"/>
  <c r="C175" i="3" s="1"/>
  <c r="M175" i="3" s="1" a="1"/>
  <c r="M175" i="3" s="1"/>
  <c r="D175" i="3" a="1"/>
  <c r="D175" i="3" s="1"/>
  <c r="N175" i="3" s="1" a="1"/>
  <c r="N175" i="3" s="1"/>
  <c r="E175" i="3" a="1"/>
  <c r="E175" i="3" s="1"/>
  <c r="O175" i="3" s="1" a="1"/>
  <c r="O175" i="3" s="1"/>
  <c r="F175" i="3" a="1"/>
  <c r="F175" i="3" s="1"/>
  <c r="P175" i="3" s="1" a="1"/>
  <c r="P175" i="3" s="1"/>
  <c r="G175" i="3" a="1"/>
  <c r="G175" i="3" s="1"/>
  <c r="Q175" i="3" s="1" a="1"/>
  <c r="Q175" i="3" s="1"/>
  <c r="H175" i="3" a="1"/>
  <c r="H175" i="3" s="1"/>
  <c r="R175" i="3" s="1" a="1"/>
  <c r="R175" i="3" s="1"/>
  <c r="S175" i="3" s="1" a="1"/>
  <c r="S175" i="3" s="1"/>
  <c r="I175" i="3" a="1"/>
  <c r="I175" i="3" s="1"/>
  <c r="T175" i="3" s="1" a="1"/>
  <c r="T175" i="3" s="1"/>
  <c r="J175" i="3" a="1"/>
  <c r="J175" i="3" s="1"/>
  <c r="U175" i="3" s="1" a="1"/>
  <c r="U175" i="3" s="1"/>
  <c r="K175" i="3" a="1"/>
  <c r="K175" i="3" s="1"/>
  <c r="V175" i="3" s="1" a="1"/>
  <c r="V175" i="3" s="1"/>
  <c r="B171" i="3" a="1"/>
  <c r="B171" i="3" s="1"/>
  <c r="L171" i="3" s="1" a="1"/>
  <c r="L171" i="3" s="1"/>
  <c r="C171" i="3" a="1"/>
  <c r="C171" i="3" s="1"/>
  <c r="M171" i="3" s="1" a="1"/>
  <c r="M171" i="3" s="1"/>
  <c r="D171" i="3" a="1"/>
  <c r="D171" i="3" s="1"/>
  <c r="N171" i="3" s="1" a="1"/>
  <c r="N171" i="3" s="1"/>
  <c r="E171" i="3" a="1"/>
  <c r="E171" i="3" s="1"/>
  <c r="O171" i="3" s="1" a="1"/>
  <c r="O171" i="3" s="1"/>
  <c r="F171" i="3" a="1"/>
  <c r="F171" i="3" s="1"/>
  <c r="P171" i="3" s="1" a="1"/>
  <c r="P171" i="3" s="1"/>
  <c r="G171" i="3" a="1"/>
  <c r="G171" i="3" s="1"/>
  <c r="Q171" i="3" s="1" a="1"/>
  <c r="Q171" i="3" s="1"/>
  <c r="H171" i="3" a="1"/>
  <c r="H171" i="3" s="1"/>
  <c r="R171" i="3" s="1" a="1"/>
  <c r="R171" i="3" s="1"/>
  <c r="S171" i="3" s="1" a="1"/>
  <c r="S171" i="3" s="1"/>
  <c r="I171" i="3" a="1"/>
  <c r="I171" i="3" s="1"/>
  <c r="T171" i="3" s="1" a="1"/>
  <c r="T171" i="3" s="1"/>
  <c r="J171" i="3" a="1"/>
  <c r="J171" i="3" s="1"/>
  <c r="U171" i="3" s="1" a="1"/>
  <c r="U171" i="3" s="1"/>
  <c r="K171" i="3" a="1"/>
  <c r="K171" i="3" s="1"/>
  <c r="V171" i="3" s="1" a="1"/>
  <c r="V171" i="3" s="1"/>
  <c r="B167" i="3" a="1"/>
  <c r="B167" i="3" s="1"/>
  <c r="L167" i="3" s="1" a="1"/>
  <c r="L167" i="3" s="1"/>
  <c r="C167" i="3" a="1"/>
  <c r="C167" i="3" s="1"/>
  <c r="M167" i="3" s="1" a="1"/>
  <c r="M167" i="3" s="1"/>
  <c r="D167" i="3" a="1"/>
  <c r="D167" i="3" s="1"/>
  <c r="N167" i="3" s="1" a="1"/>
  <c r="N167" i="3" s="1"/>
  <c r="E167" i="3" a="1"/>
  <c r="E167" i="3" s="1"/>
  <c r="O167" i="3" s="1" a="1"/>
  <c r="O167" i="3" s="1"/>
  <c r="F167" i="3" a="1"/>
  <c r="F167" i="3" s="1"/>
  <c r="P167" i="3" s="1" a="1"/>
  <c r="P167" i="3" s="1"/>
  <c r="G167" i="3" a="1"/>
  <c r="G167" i="3" s="1"/>
  <c r="Q167" i="3" s="1" a="1"/>
  <c r="Q167" i="3" s="1"/>
  <c r="H167" i="3" a="1"/>
  <c r="H167" i="3" s="1"/>
  <c r="R167" i="3" s="1" a="1"/>
  <c r="R167" i="3" s="1"/>
  <c r="S167" i="3" s="1" a="1"/>
  <c r="S167" i="3" s="1"/>
  <c r="I167" i="3" a="1"/>
  <c r="I167" i="3" s="1"/>
  <c r="T167" i="3" s="1" a="1"/>
  <c r="T167" i="3" s="1"/>
  <c r="J167" i="3" a="1"/>
  <c r="J167" i="3" s="1"/>
  <c r="U167" i="3" s="1" a="1"/>
  <c r="U167" i="3" s="1"/>
  <c r="K167" i="3" a="1"/>
  <c r="K167" i="3" s="1"/>
  <c r="V167" i="3" s="1" a="1"/>
  <c r="V167" i="3" s="1"/>
  <c r="B163" i="3" a="1"/>
  <c r="B163" i="3" s="1"/>
  <c r="L163" i="3" s="1" a="1"/>
  <c r="L163" i="3" s="1"/>
  <c r="C163" i="3" a="1"/>
  <c r="C163" i="3" s="1"/>
  <c r="M163" i="3" s="1" a="1"/>
  <c r="M163" i="3" s="1"/>
  <c r="D163" i="3" a="1"/>
  <c r="D163" i="3" s="1"/>
  <c r="N163" i="3" s="1" a="1"/>
  <c r="N163" i="3" s="1"/>
  <c r="E163" i="3" a="1"/>
  <c r="E163" i="3" s="1"/>
  <c r="O163" i="3" s="1" a="1"/>
  <c r="O163" i="3" s="1"/>
  <c r="F163" i="3" a="1"/>
  <c r="F163" i="3" s="1"/>
  <c r="P163" i="3" s="1" a="1"/>
  <c r="P163" i="3" s="1"/>
  <c r="G163" i="3" a="1"/>
  <c r="G163" i="3" s="1"/>
  <c r="Q163" i="3" s="1" a="1"/>
  <c r="Q163" i="3" s="1"/>
  <c r="H163" i="3" a="1"/>
  <c r="H163" i="3" s="1"/>
  <c r="R163" i="3" s="1" a="1"/>
  <c r="R163" i="3" s="1"/>
  <c r="S163" i="3" s="1" a="1"/>
  <c r="S163" i="3" s="1"/>
  <c r="J163" i="3" a="1"/>
  <c r="J163" i="3" s="1"/>
  <c r="U163" i="3" s="1" a="1"/>
  <c r="U163" i="3" s="1"/>
  <c r="I163" i="3" a="1"/>
  <c r="I163" i="3" s="1"/>
  <c r="T163" i="3" s="1" a="1"/>
  <c r="T163" i="3" s="1"/>
  <c r="K163" i="3" a="1"/>
  <c r="K163" i="3" s="1"/>
  <c r="V163" i="3" s="1" a="1"/>
  <c r="V163" i="3" s="1"/>
  <c r="B159" i="3" a="1"/>
  <c r="B159" i="3" s="1"/>
  <c r="L159" i="3" s="1" a="1"/>
  <c r="L159" i="3" s="1"/>
  <c r="C159" i="3" a="1"/>
  <c r="C159" i="3" s="1"/>
  <c r="M159" i="3" s="1" a="1"/>
  <c r="M159" i="3" s="1"/>
  <c r="D159" i="3" a="1"/>
  <c r="D159" i="3" s="1"/>
  <c r="N159" i="3" s="1" a="1"/>
  <c r="N159" i="3" s="1"/>
  <c r="E159" i="3" a="1"/>
  <c r="E159" i="3" s="1"/>
  <c r="O159" i="3" s="1" a="1"/>
  <c r="O159" i="3" s="1"/>
  <c r="F159" i="3" a="1"/>
  <c r="F159" i="3" s="1"/>
  <c r="P159" i="3" s="1" a="1"/>
  <c r="P159" i="3" s="1"/>
  <c r="G159" i="3" a="1"/>
  <c r="G159" i="3" s="1"/>
  <c r="Q159" i="3" s="1" a="1"/>
  <c r="Q159" i="3" s="1"/>
  <c r="H159" i="3" a="1"/>
  <c r="H159" i="3" s="1"/>
  <c r="R159" i="3" s="1" a="1"/>
  <c r="R159" i="3" s="1"/>
  <c r="S159" i="3" s="1" a="1"/>
  <c r="S159" i="3" s="1"/>
  <c r="I159" i="3" a="1"/>
  <c r="I159" i="3" s="1"/>
  <c r="T159" i="3" s="1" a="1"/>
  <c r="T159" i="3" s="1"/>
  <c r="J159" i="3" a="1"/>
  <c r="J159" i="3" s="1"/>
  <c r="U159" i="3" s="1" a="1"/>
  <c r="U159" i="3" s="1"/>
  <c r="K159" i="3" a="1"/>
  <c r="K159" i="3" s="1"/>
  <c r="V159" i="3" s="1" a="1"/>
  <c r="V159" i="3" s="1"/>
  <c r="B155" i="3" a="1"/>
  <c r="B155" i="3" s="1"/>
  <c r="L155" i="3" s="1" a="1"/>
  <c r="L155" i="3" s="1"/>
  <c r="C155" i="3" a="1"/>
  <c r="C155" i="3" s="1"/>
  <c r="M155" i="3" s="1" a="1"/>
  <c r="M155" i="3" s="1"/>
  <c r="D155" i="3" a="1"/>
  <c r="D155" i="3" s="1"/>
  <c r="N155" i="3" s="1" a="1"/>
  <c r="N155" i="3" s="1"/>
  <c r="E155" i="3" a="1"/>
  <c r="E155" i="3" s="1"/>
  <c r="O155" i="3" s="1" a="1"/>
  <c r="O155" i="3" s="1"/>
  <c r="F155" i="3" a="1"/>
  <c r="F155" i="3" s="1"/>
  <c r="P155" i="3" s="1" a="1"/>
  <c r="P155" i="3" s="1"/>
  <c r="G155" i="3" a="1"/>
  <c r="G155" i="3" s="1"/>
  <c r="Q155" i="3" s="1" a="1"/>
  <c r="Q155" i="3" s="1"/>
  <c r="H155" i="3" a="1"/>
  <c r="H155" i="3" s="1"/>
  <c r="R155" i="3" s="1" a="1"/>
  <c r="R155" i="3" s="1"/>
  <c r="S155" i="3" s="1" a="1"/>
  <c r="S155" i="3" s="1"/>
  <c r="J155" i="3" a="1"/>
  <c r="J155" i="3" s="1"/>
  <c r="U155" i="3" s="1" a="1"/>
  <c r="U155" i="3" s="1"/>
  <c r="I155" i="3" a="1"/>
  <c r="I155" i="3" s="1"/>
  <c r="T155" i="3" s="1" a="1"/>
  <c r="T155" i="3" s="1"/>
  <c r="K155" i="3" a="1"/>
  <c r="K155" i="3" s="1"/>
  <c r="V155" i="3" s="1" a="1"/>
  <c r="V155" i="3" s="1"/>
  <c r="B151" i="3" a="1"/>
  <c r="B151" i="3" s="1"/>
  <c r="L151" i="3" s="1" a="1"/>
  <c r="L151" i="3" s="1"/>
  <c r="C151" i="3" a="1"/>
  <c r="C151" i="3" s="1"/>
  <c r="M151" i="3" s="1" a="1"/>
  <c r="M151" i="3" s="1"/>
  <c r="D151" i="3" a="1"/>
  <c r="D151" i="3" s="1"/>
  <c r="N151" i="3" s="1" a="1"/>
  <c r="N151" i="3" s="1"/>
  <c r="E151" i="3" a="1"/>
  <c r="E151" i="3" s="1"/>
  <c r="O151" i="3" s="1" a="1"/>
  <c r="O151" i="3" s="1"/>
  <c r="F151" i="3" a="1"/>
  <c r="F151" i="3" s="1"/>
  <c r="P151" i="3" s="1" a="1"/>
  <c r="P151" i="3" s="1"/>
  <c r="G151" i="3" a="1"/>
  <c r="G151" i="3" s="1"/>
  <c r="Q151" i="3" s="1" a="1"/>
  <c r="Q151" i="3" s="1"/>
  <c r="H151" i="3" a="1"/>
  <c r="H151" i="3" s="1"/>
  <c r="R151" i="3" s="1" a="1"/>
  <c r="R151" i="3" s="1"/>
  <c r="S151" i="3" s="1" a="1"/>
  <c r="S151" i="3" s="1"/>
  <c r="I151" i="3" a="1"/>
  <c r="I151" i="3" s="1"/>
  <c r="T151" i="3" s="1" a="1"/>
  <c r="T151" i="3" s="1"/>
  <c r="J151" i="3" a="1"/>
  <c r="J151" i="3" s="1"/>
  <c r="U151" i="3" s="1" a="1"/>
  <c r="U151" i="3" s="1"/>
  <c r="K151" i="3" a="1"/>
  <c r="K151" i="3" s="1"/>
  <c r="V151" i="3" s="1" a="1"/>
  <c r="V151" i="3" s="1"/>
  <c r="B147" i="3" a="1"/>
  <c r="B147" i="3" s="1"/>
  <c r="L147" i="3" s="1" a="1"/>
  <c r="L147" i="3" s="1"/>
  <c r="C147" i="3" a="1"/>
  <c r="C147" i="3" s="1"/>
  <c r="M147" i="3" s="1" a="1"/>
  <c r="M147" i="3" s="1"/>
  <c r="D147" i="3" a="1"/>
  <c r="D147" i="3" s="1"/>
  <c r="N147" i="3" s="1" a="1"/>
  <c r="N147" i="3" s="1"/>
  <c r="E147" i="3" a="1"/>
  <c r="E147" i="3" s="1"/>
  <c r="O147" i="3" s="1" a="1"/>
  <c r="O147" i="3" s="1"/>
  <c r="F147" i="3" a="1"/>
  <c r="F147" i="3" s="1"/>
  <c r="P147" i="3" s="1" a="1"/>
  <c r="P147" i="3" s="1"/>
  <c r="G147" i="3" a="1"/>
  <c r="G147" i="3" s="1"/>
  <c r="Q147" i="3" s="1" a="1"/>
  <c r="Q147" i="3" s="1"/>
  <c r="H147" i="3" a="1"/>
  <c r="H147" i="3" s="1"/>
  <c r="R147" i="3" s="1" a="1"/>
  <c r="R147" i="3" s="1"/>
  <c r="S147" i="3" s="1" a="1"/>
  <c r="S147" i="3" s="1"/>
  <c r="J147" i="3" a="1"/>
  <c r="J147" i="3" s="1"/>
  <c r="U147" i="3" s="1" a="1"/>
  <c r="U147" i="3" s="1"/>
  <c r="I147" i="3" a="1"/>
  <c r="I147" i="3" s="1"/>
  <c r="T147" i="3" s="1" a="1"/>
  <c r="T147" i="3" s="1"/>
  <c r="K147" i="3" a="1"/>
  <c r="K147" i="3" s="1"/>
  <c r="V147" i="3" s="1" a="1"/>
  <c r="V147" i="3" s="1"/>
  <c r="B143" i="3" a="1"/>
  <c r="B143" i="3" s="1"/>
  <c r="L143" i="3" s="1" a="1"/>
  <c r="L143" i="3" s="1"/>
  <c r="C143" i="3" a="1"/>
  <c r="C143" i="3" s="1"/>
  <c r="M143" i="3" s="1" a="1"/>
  <c r="M143" i="3" s="1"/>
  <c r="D143" i="3" a="1"/>
  <c r="D143" i="3" s="1"/>
  <c r="N143" i="3" s="1" a="1"/>
  <c r="N143" i="3" s="1"/>
  <c r="E143" i="3" a="1"/>
  <c r="E143" i="3" s="1"/>
  <c r="O143" i="3" s="1" a="1"/>
  <c r="O143" i="3" s="1"/>
  <c r="F143" i="3" a="1"/>
  <c r="F143" i="3" s="1"/>
  <c r="P143" i="3" s="1" a="1"/>
  <c r="P143" i="3" s="1"/>
  <c r="G143" i="3" a="1"/>
  <c r="G143" i="3" s="1"/>
  <c r="Q143" i="3" s="1" a="1"/>
  <c r="Q143" i="3" s="1"/>
  <c r="H143" i="3" a="1"/>
  <c r="H143" i="3" s="1"/>
  <c r="R143" i="3" s="1" a="1"/>
  <c r="R143" i="3" s="1"/>
  <c r="S143" i="3" s="1" a="1"/>
  <c r="S143" i="3" s="1"/>
  <c r="I143" i="3" a="1"/>
  <c r="I143" i="3" s="1"/>
  <c r="T143" i="3" s="1" a="1"/>
  <c r="T143" i="3" s="1"/>
  <c r="J143" i="3" a="1"/>
  <c r="J143" i="3" s="1"/>
  <c r="U143" i="3" s="1" a="1"/>
  <c r="U143" i="3" s="1"/>
  <c r="K143" i="3" a="1"/>
  <c r="K143" i="3" s="1"/>
  <c r="V143" i="3" s="1" a="1"/>
  <c r="V143" i="3" s="1"/>
  <c r="B139" i="3" a="1"/>
  <c r="B139" i="3" s="1"/>
  <c r="L139" i="3" s="1" a="1"/>
  <c r="L139" i="3" s="1"/>
  <c r="C139" i="3" a="1"/>
  <c r="C139" i="3" s="1"/>
  <c r="M139" i="3" s="1" a="1"/>
  <c r="M139" i="3" s="1"/>
  <c r="D139" i="3" a="1"/>
  <c r="D139" i="3" s="1"/>
  <c r="N139" i="3" s="1" a="1"/>
  <c r="N139" i="3" s="1"/>
  <c r="E139" i="3" a="1"/>
  <c r="E139" i="3" s="1"/>
  <c r="O139" i="3" s="1" a="1"/>
  <c r="O139" i="3" s="1"/>
  <c r="F139" i="3" a="1"/>
  <c r="F139" i="3" s="1"/>
  <c r="P139" i="3" s="1" a="1"/>
  <c r="P139" i="3" s="1"/>
  <c r="G139" i="3" a="1"/>
  <c r="G139" i="3" s="1"/>
  <c r="Q139" i="3" s="1" a="1"/>
  <c r="Q139" i="3" s="1"/>
  <c r="H139" i="3" a="1"/>
  <c r="H139" i="3" s="1"/>
  <c r="R139" i="3" s="1" a="1"/>
  <c r="R139" i="3" s="1"/>
  <c r="S139" i="3" s="1" a="1"/>
  <c r="S139" i="3" s="1"/>
  <c r="J139" i="3" a="1"/>
  <c r="J139" i="3" s="1"/>
  <c r="U139" i="3" s="1" a="1"/>
  <c r="U139" i="3" s="1"/>
  <c r="I139" i="3" a="1"/>
  <c r="I139" i="3" s="1"/>
  <c r="T139" i="3" s="1" a="1"/>
  <c r="T139" i="3" s="1"/>
  <c r="K139" i="3" a="1"/>
  <c r="K139" i="3" s="1"/>
  <c r="V139" i="3" s="1" a="1"/>
  <c r="V139" i="3" s="1"/>
  <c r="B135" i="3" a="1"/>
  <c r="B135" i="3" s="1"/>
  <c r="L135" i="3" s="1" a="1"/>
  <c r="L135" i="3" s="1"/>
  <c r="C135" i="3" a="1"/>
  <c r="C135" i="3" s="1"/>
  <c r="M135" i="3" s="1" a="1"/>
  <c r="M135" i="3" s="1"/>
  <c r="D135" i="3" a="1"/>
  <c r="D135" i="3" s="1"/>
  <c r="N135" i="3" s="1" a="1"/>
  <c r="N135" i="3" s="1"/>
  <c r="E135" i="3" a="1"/>
  <c r="E135" i="3" s="1"/>
  <c r="O135" i="3" s="1" a="1"/>
  <c r="O135" i="3" s="1"/>
  <c r="F135" i="3" a="1"/>
  <c r="F135" i="3" s="1"/>
  <c r="P135" i="3" s="1" a="1"/>
  <c r="P135" i="3" s="1"/>
  <c r="G135" i="3" a="1"/>
  <c r="G135" i="3" s="1"/>
  <c r="Q135" i="3" s="1" a="1"/>
  <c r="Q135" i="3" s="1"/>
  <c r="J135" i="3" a="1"/>
  <c r="J135" i="3" s="1"/>
  <c r="U135" i="3" s="1" a="1"/>
  <c r="U135" i="3" s="1"/>
  <c r="H135" i="3" a="1"/>
  <c r="H135" i="3" s="1"/>
  <c r="R135" i="3" s="1" a="1"/>
  <c r="R135" i="3" s="1"/>
  <c r="S135" i="3" s="1" a="1"/>
  <c r="S135" i="3" s="1"/>
  <c r="I135" i="3" a="1"/>
  <c r="I135" i="3" s="1"/>
  <c r="T135" i="3" s="1" a="1"/>
  <c r="T135" i="3" s="1"/>
  <c r="K135" i="3" a="1"/>
  <c r="K135" i="3" s="1"/>
  <c r="V135" i="3" s="1" a="1"/>
  <c r="V135" i="3" s="1"/>
  <c r="B131" i="3" a="1"/>
  <c r="B131" i="3" s="1"/>
  <c r="L131" i="3" s="1" a="1"/>
  <c r="L131" i="3" s="1"/>
  <c r="C131" i="3" a="1"/>
  <c r="C131" i="3" s="1"/>
  <c r="M131" i="3" s="1" a="1"/>
  <c r="M131" i="3" s="1"/>
  <c r="D131" i="3" a="1"/>
  <c r="D131" i="3" s="1"/>
  <c r="N131" i="3" s="1" a="1"/>
  <c r="N131" i="3" s="1"/>
  <c r="E131" i="3" a="1"/>
  <c r="E131" i="3" s="1"/>
  <c r="O131" i="3" s="1" a="1"/>
  <c r="O131" i="3" s="1"/>
  <c r="F131" i="3" a="1"/>
  <c r="F131" i="3" s="1"/>
  <c r="P131" i="3" s="1" a="1"/>
  <c r="P131" i="3" s="1"/>
  <c r="G131" i="3" a="1"/>
  <c r="G131" i="3" s="1"/>
  <c r="Q131" i="3" s="1" a="1"/>
  <c r="Q131" i="3" s="1"/>
  <c r="H131" i="3" a="1"/>
  <c r="H131" i="3" s="1"/>
  <c r="R131" i="3" s="1" a="1"/>
  <c r="R131" i="3" s="1"/>
  <c r="S131" i="3" s="1" a="1"/>
  <c r="S131" i="3" s="1"/>
  <c r="J131" i="3" a="1"/>
  <c r="J131" i="3" s="1"/>
  <c r="U131" i="3" s="1" a="1"/>
  <c r="U131" i="3" s="1"/>
  <c r="I131" i="3" a="1"/>
  <c r="I131" i="3" s="1"/>
  <c r="T131" i="3" s="1" a="1"/>
  <c r="T131" i="3" s="1"/>
  <c r="K131" i="3" a="1"/>
  <c r="K131" i="3" s="1"/>
  <c r="V131" i="3" s="1" a="1"/>
  <c r="V131" i="3" s="1"/>
  <c r="B127" i="3" a="1"/>
  <c r="B127" i="3" s="1"/>
  <c r="L127" i="3" s="1" a="1"/>
  <c r="L127" i="3" s="1"/>
  <c r="C127" i="3" a="1"/>
  <c r="C127" i="3" s="1"/>
  <c r="M127" i="3" s="1" a="1"/>
  <c r="M127" i="3" s="1"/>
  <c r="D127" i="3" a="1"/>
  <c r="D127" i="3" s="1"/>
  <c r="N127" i="3" s="1" a="1"/>
  <c r="N127" i="3" s="1"/>
  <c r="E127" i="3" a="1"/>
  <c r="E127" i="3" s="1"/>
  <c r="O127" i="3" s="1" a="1"/>
  <c r="O127" i="3" s="1"/>
  <c r="F127" i="3" a="1"/>
  <c r="F127" i="3" s="1"/>
  <c r="P127" i="3" s="1" a="1"/>
  <c r="P127" i="3" s="1"/>
  <c r="G127" i="3" a="1"/>
  <c r="G127" i="3" s="1"/>
  <c r="Q127" i="3" s="1" a="1"/>
  <c r="Q127" i="3" s="1"/>
  <c r="J127" i="3" a="1"/>
  <c r="J127" i="3" s="1"/>
  <c r="U127" i="3" s="1" a="1"/>
  <c r="U127" i="3" s="1"/>
  <c r="H127" i="3" a="1"/>
  <c r="H127" i="3" s="1"/>
  <c r="R127" i="3" s="1" a="1"/>
  <c r="R127" i="3" s="1"/>
  <c r="S127" i="3" s="1" a="1"/>
  <c r="S127" i="3" s="1"/>
  <c r="I127" i="3" a="1"/>
  <c r="I127" i="3" s="1"/>
  <c r="T127" i="3" s="1" a="1"/>
  <c r="T127" i="3" s="1"/>
  <c r="K127" i="3" a="1"/>
  <c r="K127" i="3" s="1"/>
  <c r="V127" i="3" s="1" a="1"/>
  <c r="V127" i="3" s="1"/>
  <c r="B123" i="3" a="1"/>
  <c r="B123" i="3" s="1"/>
  <c r="L123" i="3" s="1" a="1"/>
  <c r="L123" i="3" s="1"/>
  <c r="C123" i="3" a="1"/>
  <c r="C123" i="3" s="1"/>
  <c r="M123" i="3" s="1" a="1"/>
  <c r="M123" i="3" s="1"/>
  <c r="D123" i="3" a="1"/>
  <c r="D123" i="3" s="1"/>
  <c r="N123" i="3" s="1" a="1"/>
  <c r="N123" i="3" s="1"/>
  <c r="E123" i="3" a="1"/>
  <c r="E123" i="3" s="1"/>
  <c r="O123" i="3" s="1" a="1"/>
  <c r="O123" i="3" s="1"/>
  <c r="F123" i="3" a="1"/>
  <c r="F123" i="3" s="1"/>
  <c r="P123" i="3" s="1" a="1"/>
  <c r="P123" i="3" s="1"/>
  <c r="G123" i="3" a="1"/>
  <c r="G123" i="3" s="1"/>
  <c r="Q123" i="3" s="1" a="1"/>
  <c r="Q123" i="3" s="1"/>
  <c r="H123" i="3" a="1"/>
  <c r="H123" i="3" s="1"/>
  <c r="R123" i="3" s="1" a="1"/>
  <c r="R123" i="3" s="1"/>
  <c r="S123" i="3" s="1" a="1"/>
  <c r="S123" i="3" s="1"/>
  <c r="J123" i="3" a="1"/>
  <c r="J123" i="3" s="1"/>
  <c r="U123" i="3" s="1" a="1"/>
  <c r="U123" i="3" s="1"/>
  <c r="I123" i="3" a="1"/>
  <c r="I123" i="3" s="1"/>
  <c r="T123" i="3" s="1" a="1"/>
  <c r="T123" i="3" s="1"/>
  <c r="K123" i="3" a="1"/>
  <c r="K123" i="3" s="1"/>
  <c r="V123" i="3" s="1" a="1"/>
  <c r="V123" i="3" s="1"/>
  <c r="B119" i="3" a="1"/>
  <c r="B119" i="3" s="1"/>
  <c r="L119" i="3" s="1" a="1"/>
  <c r="L119" i="3" s="1"/>
  <c r="C119" i="3" a="1"/>
  <c r="C119" i="3" s="1"/>
  <c r="M119" i="3" s="1" a="1"/>
  <c r="M119" i="3" s="1"/>
  <c r="D119" i="3" a="1"/>
  <c r="D119" i="3" s="1"/>
  <c r="N119" i="3" s="1" a="1"/>
  <c r="N119" i="3" s="1"/>
  <c r="E119" i="3" a="1"/>
  <c r="E119" i="3" s="1"/>
  <c r="O119" i="3" s="1" a="1"/>
  <c r="O119" i="3" s="1"/>
  <c r="F119" i="3" a="1"/>
  <c r="F119" i="3" s="1"/>
  <c r="P119" i="3" s="1" a="1"/>
  <c r="P119" i="3" s="1"/>
  <c r="G119" i="3" a="1"/>
  <c r="G119" i="3" s="1"/>
  <c r="Q119" i="3" s="1" a="1"/>
  <c r="Q119" i="3" s="1"/>
  <c r="J119" i="3" a="1"/>
  <c r="J119" i="3" s="1"/>
  <c r="U119" i="3" s="1" a="1"/>
  <c r="U119" i="3" s="1"/>
  <c r="H119" i="3" a="1"/>
  <c r="H119" i="3" s="1"/>
  <c r="R119" i="3" s="1" a="1"/>
  <c r="R119" i="3" s="1"/>
  <c r="S119" i="3" s="1" a="1"/>
  <c r="S119" i="3" s="1"/>
  <c r="I119" i="3" a="1"/>
  <c r="I119" i="3" s="1"/>
  <c r="T119" i="3" s="1" a="1"/>
  <c r="T119" i="3" s="1"/>
  <c r="K119" i="3" a="1"/>
  <c r="K119" i="3" s="1"/>
  <c r="V119" i="3" s="1" a="1"/>
  <c r="V119" i="3" s="1"/>
  <c r="B115" i="3" a="1"/>
  <c r="B115" i="3" s="1"/>
  <c r="L115" i="3" s="1" a="1"/>
  <c r="L115" i="3" s="1"/>
  <c r="C115" i="3" a="1"/>
  <c r="C115" i="3" s="1"/>
  <c r="M115" i="3" s="1" a="1"/>
  <c r="M115" i="3" s="1"/>
  <c r="D115" i="3" a="1"/>
  <c r="D115" i="3" s="1"/>
  <c r="N115" i="3" s="1" a="1"/>
  <c r="N115" i="3" s="1"/>
  <c r="E115" i="3" a="1"/>
  <c r="E115" i="3" s="1"/>
  <c r="O115" i="3" s="1" a="1"/>
  <c r="O115" i="3" s="1"/>
  <c r="F115" i="3" a="1"/>
  <c r="F115" i="3" s="1"/>
  <c r="P115" i="3" s="1" a="1"/>
  <c r="P115" i="3" s="1"/>
  <c r="G115" i="3" a="1"/>
  <c r="G115" i="3" s="1"/>
  <c r="Q115" i="3" s="1" a="1"/>
  <c r="Q115" i="3" s="1"/>
  <c r="H115" i="3" a="1"/>
  <c r="H115" i="3" s="1"/>
  <c r="R115" i="3" s="1" a="1"/>
  <c r="R115" i="3" s="1"/>
  <c r="S115" i="3" s="1" a="1"/>
  <c r="S115" i="3" s="1"/>
  <c r="J115" i="3" a="1"/>
  <c r="J115" i="3" s="1"/>
  <c r="U115" i="3" s="1" a="1"/>
  <c r="U115" i="3" s="1"/>
  <c r="I115" i="3" a="1"/>
  <c r="I115" i="3" s="1"/>
  <c r="T115" i="3" s="1" a="1"/>
  <c r="T115" i="3" s="1"/>
  <c r="K115" i="3" a="1"/>
  <c r="K115" i="3" s="1"/>
  <c r="V115" i="3" s="1" a="1"/>
  <c r="V115" i="3" s="1"/>
  <c r="B111" i="3" a="1"/>
  <c r="B111" i="3" s="1"/>
  <c r="L111" i="3" s="1" a="1"/>
  <c r="L111" i="3" s="1"/>
  <c r="C111" i="3" a="1"/>
  <c r="C111" i="3" s="1"/>
  <c r="M111" i="3" s="1" a="1"/>
  <c r="M111" i="3" s="1"/>
  <c r="D111" i="3" a="1"/>
  <c r="D111" i="3" s="1"/>
  <c r="N111" i="3" s="1" a="1"/>
  <c r="N111" i="3" s="1"/>
  <c r="E111" i="3" a="1"/>
  <c r="E111" i="3" s="1"/>
  <c r="O111" i="3" s="1" a="1"/>
  <c r="O111" i="3" s="1"/>
  <c r="F111" i="3" a="1"/>
  <c r="F111" i="3" s="1"/>
  <c r="P111" i="3" s="1" a="1"/>
  <c r="P111" i="3" s="1"/>
  <c r="G111" i="3" a="1"/>
  <c r="G111" i="3" s="1"/>
  <c r="Q111" i="3" s="1" a="1"/>
  <c r="Q111" i="3" s="1"/>
  <c r="J111" i="3" a="1"/>
  <c r="J111" i="3" s="1"/>
  <c r="U111" i="3" s="1" a="1"/>
  <c r="U111" i="3" s="1"/>
  <c r="H111" i="3" a="1"/>
  <c r="H111" i="3" s="1"/>
  <c r="R111" i="3" s="1" a="1"/>
  <c r="R111" i="3" s="1"/>
  <c r="S111" i="3" s="1" a="1"/>
  <c r="S111" i="3" s="1"/>
  <c r="I111" i="3" a="1"/>
  <c r="I111" i="3" s="1"/>
  <c r="T111" i="3" s="1" a="1"/>
  <c r="T111" i="3" s="1"/>
  <c r="K111" i="3" a="1"/>
  <c r="K111" i="3" s="1"/>
  <c r="V111" i="3" s="1" a="1"/>
  <c r="V111" i="3" s="1"/>
  <c r="B107" i="3" a="1"/>
  <c r="B107" i="3" s="1"/>
  <c r="L107" i="3" s="1" a="1"/>
  <c r="L107" i="3" s="1"/>
  <c r="C107" i="3" a="1"/>
  <c r="C107" i="3" s="1"/>
  <c r="M107" i="3" s="1" a="1"/>
  <c r="M107" i="3" s="1"/>
  <c r="D107" i="3" a="1"/>
  <c r="D107" i="3" s="1"/>
  <c r="N107" i="3" s="1" a="1"/>
  <c r="N107" i="3" s="1"/>
  <c r="E107" i="3" a="1"/>
  <c r="E107" i="3" s="1"/>
  <c r="O107" i="3" s="1" a="1"/>
  <c r="O107" i="3" s="1"/>
  <c r="F107" i="3" a="1"/>
  <c r="F107" i="3" s="1"/>
  <c r="P107" i="3" s="1" a="1"/>
  <c r="P107" i="3" s="1"/>
  <c r="G107" i="3" a="1"/>
  <c r="G107" i="3" s="1"/>
  <c r="Q107" i="3" s="1" a="1"/>
  <c r="Q107" i="3" s="1"/>
  <c r="H107" i="3" a="1"/>
  <c r="H107" i="3" s="1"/>
  <c r="R107" i="3" s="1" a="1"/>
  <c r="R107" i="3" s="1"/>
  <c r="S107" i="3" s="1" a="1"/>
  <c r="S107" i="3" s="1"/>
  <c r="J107" i="3" a="1"/>
  <c r="J107" i="3" s="1"/>
  <c r="U107" i="3" s="1" a="1"/>
  <c r="U107" i="3" s="1"/>
  <c r="I107" i="3" a="1"/>
  <c r="I107" i="3" s="1"/>
  <c r="T107" i="3" s="1" a="1"/>
  <c r="T107" i="3" s="1"/>
  <c r="K107" i="3" a="1"/>
  <c r="K107" i="3" s="1"/>
  <c r="V107" i="3" s="1" a="1"/>
  <c r="V107" i="3" s="1"/>
  <c r="B103" i="3" a="1"/>
  <c r="B103" i="3" s="1"/>
  <c r="L103" i="3" s="1" a="1"/>
  <c r="L103" i="3" s="1"/>
  <c r="C103" i="3" a="1"/>
  <c r="C103" i="3" s="1"/>
  <c r="M103" i="3" s="1" a="1"/>
  <c r="M103" i="3" s="1"/>
  <c r="D103" i="3" a="1"/>
  <c r="D103" i="3" s="1"/>
  <c r="N103" i="3" s="1" a="1"/>
  <c r="N103" i="3" s="1"/>
  <c r="E103" i="3" a="1"/>
  <c r="E103" i="3" s="1"/>
  <c r="O103" i="3" s="1" a="1"/>
  <c r="O103" i="3" s="1"/>
  <c r="F103" i="3" a="1"/>
  <c r="F103" i="3" s="1"/>
  <c r="P103" i="3" s="1" a="1"/>
  <c r="P103" i="3" s="1"/>
  <c r="G103" i="3" a="1"/>
  <c r="G103" i="3" s="1"/>
  <c r="Q103" i="3" s="1" a="1"/>
  <c r="Q103" i="3" s="1"/>
  <c r="J103" i="3" a="1"/>
  <c r="J103" i="3" s="1"/>
  <c r="U103" i="3" s="1" a="1"/>
  <c r="U103" i="3" s="1"/>
  <c r="H103" i="3" a="1"/>
  <c r="H103" i="3" s="1"/>
  <c r="R103" i="3" s="1" a="1"/>
  <c r="R103" i="3" s="1"/>
  <c r="S103" i="3" s="1" a="1"/>
  <c r="S103" i="3" s="1"/>
  <c r="I103" i="3" a="1"/>
  <c r="I103" i="3" s="1"/>
  <c r="T103" i="3" s="1" a="1"/>
  <c r="T103" i="3" s="1"/>
  <c r="K103" i="3" a="1"/>
  <c r="K103" i="3" s="1"/>
  <c r="V103" i="3" s="1" a="1"/>
  <c r="V103" i="3" s="1"/>
  <c r="B99" i="3" a="1"/>
  <c r="B99" i="3" s="1"/>
  <c r="L99" i="3" s="1" a="1"/>
  <c r="L99" i="3" s="1"/>
  <c r="C99" i="3" a="1"/>
  <c r="C99" i="3" s="1"/>
  <c r="M99" i="3" s="1" a="1"/>
  <c r="M99" i="3" s="1"/>
  <c r="D99" i="3" a="1"/>
  <c r="D99" i="3" s="1"/>
  <c r="N99" i="3" s="1" a="1"/>
  <c r="N99" i="3" s="1"/>
  <c r="E99" i="3" a="1"/>
  <c r="E99" i="3" s="1"/>
  <c r="O99" i="3" s="1" a="1"/>
  <c r="O99" i="3" s="1"/>
  <c r="F99" i="3" a="1"/>
  <c r="F99" i="3" s="1"/>
  <c r="P99" i="3" s="1" a="1"/>
  <c r="P99" i="3" s="1"/>
  <c r="G99" i="3" a="1"/>
  <c r="G99" i="3" s="1"/>
  <c r="Q99" i="3" s="1" a="1"/>
  <c r="Q99" i="3" s="1"/>
  <c r="H99" i="3" a="1"/>
  <c r="H99" i="3" s="1"/>
  <c r="R99" i="3" s="1" a="1"/>
  <c r="R99" i="3" s="1"/>
  <c r="S99" i="3" s="1" a="1"/>
  <c r="S99" i="3" s="1"/>
  <c r="J99" i="3" a="1"/>
  <c r="J99" i="3" s="1"/>
  <c r="U99" i="3" s="1" a="1"/>
  <c r="U99" i="3" s="1"/>
  <c r="I99" i="3" a="1"/>
  <c r="I99" i="3" s="1"/>
  <c r="T99" i="3" s="1" a="1"/>
  <c r="T99" i="3" s="1"/>
  <c r="K99" i="3" a="1"/>
  <c r="K99" i="3" s="1"/>
  <c r="V99" i="3" s="1" a="1"/>
  <c r="V99" i="3" s="1"/>
  <c r="B95" i="3" a="1"/>
  <c r="B95" i="3" s="1"/>
  <c r="L95" i="3" s="1" a="1"/>
  <c r="L95" i="3" s="1"/>
  <c r="C95" i="3" a="1"/>
  <c r="C95" i="3" s="1"/>
  <c r="M95" i="3" s="1" a="1"/>
  <c r="M95" i="3" s="1"/>
  <c r="D95" i="3" a="1"/>
  <c r="D95" i="3" s="1"/>
  <c r="N95" i="3" s="1" a="1"/>
  <c r="N95" i="3" s="1"/>
  <c r="E95" i="3" a="1"/>
  <c r="E95" i="3" s="1"/>
  <c r="O95" i="3" s="1" a="1"/>
  <c r="O95" i="3" s="1"/>
  <c r="F95" i="3" a="1"/>
  <c r="F95" i="3" s="1"/>
  <c r="P95" i="3" s="1" a="1"/>
  <c r="P95" i="3" s="1"/>
  <c r="G95" i="3" a="1"/>
  <c r="G95" i="3" s="1"/>
  <c r="Q95" i="3" s="1" a="1"/>
  <c r="Q95" i="3" s="1"/>
  <c r="J95" i="3" a="1"/>
  <c r="J95" i="3" s="1"/>
  <c r="U95" i="3" s="1" a="1"/>
  <c r="U95" i="3" s="1"/>
  <c r="H95" i="3" a="1"/>
  <c r="H95" i="3" s="1"/>
  <c r="R95" i="3" s="1" a="1"/>
  <c r="R95" i="3" s="1"/>
  <c r="S95" i="3" s="1" a="1"/>
  <c r="S95" i="3" s="1"/>
  <c r="I95" i="3" a="1"/>
  <c r="I95" i="3" s="1"/>
  <c r="T95" i="3" s="1" a="1"/>
  <c r="T95" i="3" s="1"/>
  <c r="K95" i="3" a="1"/>
  <c r="K95" i="3" s="1"/>
  <c r="V95" i="3" s="1" a="1"/>
  <c r="V95" i="3" s="1"/>
  <c r="B91" i="3" a="1"/>
  <c r="B91" i="3" s="1"/>
  <c r="L91" i="3" s="1" a="1"/>
  <c r="L91" i="3" s="1"/>
  <c r="C91" i="3" a="1"/>
  <c r="C91" i="3" s="1"/>
  <c r="M91" i="3" s="1" a="1"/>
  <c r="M91" i="3" s="1"/>
  <c r="D91" i="3" a="1"/>
  <c r="D91" i="3" s="1"/>
  <c r="N91" i="3" s="1" a="1"/>
  <c r="N91" i="3" s="1"/>
  <c r="E91" i="3" a="1"/>
  <c r="E91" i="3" s="1"/>
  <c r="O91" i="3" s="1" a="1"/>
  <c r="O91" i="3" s="1"/>
  <c r="F91" i="3" a="1"/>
  <c r="F91" i="3" s="1"/>
  <c r="P91" i="3" s="1" a="1"/>
  <c r="P91" i="3" s="1"/>
  <c r="G91" i="3" a="1"/>
  <c r="G91" i="3" s="1"/>
  <c r="Q91" i="3" s="1" a="1"/>
  <c r="Q91" i="3" s="1"/>
  <c r="H91" i="3" a="1"/>
  <c r="H91" i="3" s="1"/>
  <c r="R91" i="3" s="1" a="1"/>
  <c r="R91" i="3" s="1"/>
  <c r="S91" i="3" s="1" a="1"/>
  <c r="S91" i="3" s="1"/>
  <c r="J91" i="3" a="1"/>
  <c r="J91" i="3" s="1"/>
  <c r="U91" i="3" s="1" a="1"/>
  <c r="U91" i="3" s="1"/>
  <c r="I91" i="3" a="1"/>
  <c r="I91" i="3" s="1"/>
  <c r="T91" i="3" s="1" a="1"/>
  <c r="T91" i="3" s="1"/>
  <c r="K91" i="3" a="1"/>
  <c r="K91" i="3" s="1"/>
  <c r="V91" i="3" s="1" a="1"/>
  <c r="V91" i="3" s="1"/>
  <c r="B87" i="3" a="1"/>
  <c r="B87" i="3" s="1"/>
  <c r="L87" i="3" s="1" a="1"/>
  <c r="L87" i="3" s="1"/>
  <c r="C87" i="3" a="1"/>
  <c r="C87" i="3" s="1"/>
  <c r="M87" i="3" s="1" a="1"/>
  <c r="M87" i="3" s="1"/>
  <c r="D87" i="3" a="1"/>
  <c r="D87" i="3" s="1"/>
  <c r="N87" i="3" s="1" a="1"/>
  <c r="N87" i="3" s="1"/>
  <c r="E87" i="3" a="1"/>
  <c r="E87" i="3" s="1"/>
  <c r="O87" i="3" s="1" a="1"/>
  <c r="O87" i="3" s="1"/>
  <c r="F87" i="3" a="1"/>
  <c r="F87" i="3" s="1"/>
  <c r="P87" i="3" s="1" a="1"/>
  <c r="P87" i="3" s="1"/>
  <c r="G87" i="3" a="1"/>
  <c r="G87" i="3" s="1"/>
  <c r="Q87" i="3" s="1" a="1"/>
  <c r="Q87" i="3" s="1"/>
  <c r="J87" i="3" a="1"/>
  <c r="J87" i="3" s="1"/>
  <c r="U87" i="3" s="1" a="1"/>
  <c r="U87" i="3" s="1"/>
  <c r="H87" i="3" a="1"/>
  <c r="H87" i="3" s="1"/>
  <c r="R87" i="3" s="1" a="1"/>
  <c r="R87" i="3" s="1"/>
  <c r="S87" i="3" s="1" a="1"/>
  <c r="S87" i="3" s="1"/>
  <c r="I87" i="3" a="1"/>
  <c r="I87" i="3" s="1"/>
  <c r="T87" i="3" s="1" a="1"/>
  <c r="T87" i="3" s="1"/>
  <c r="K87" i="3" a="1"/>
  <c r="K87" i="3" s="1"/>
  <c r="V87" i="3" s="1" a="1"/>
  <c r="V87" i="3" s="1"/>
  <c r="B83" i="3" a="1"/>
  <c r="B83" i="3" s="1"/>
  <c r="L83" i="3" s="1" a="1"/>
  <c r="L83" i="3" s="1"/>
  <c r="C83" i="3" a="1"/>
  <c r="C83" i="3" s="1"/>
  <c r="M83" i="3" s="1" a="1"/>
  <c r="M83" i="3" s="1"/>
  <c r="D83" i="3" a="1"/>
  <c r="D83" i="3" s="1"/>
  <c r="N83" i="3" s="1" a="1"/>
  <c r="N83" i="3" s="1"/>
  <c r="E83" i="3" a="1"/>
  <c r="E83" i="3" s="1"/>
  <c r="O83" i="3" s="1" a="1"/>
  <c r="O83" i="3" s="1"/>
  <c r="F83" i="3" a="1"/>
  <c r="F83" i="3" s="1"/>
  <c r="P83" i="3" s="1" a="1"/>
  <c r="P83" i="3" s="1"/>
  <c r="G83" i="3" a="1"/>
  <c r="G83" i="3" s="1"/>
  <c r="Q83" i="3" s="1" a="1"/>
  <c r="Q83" i="3" s="1"/>
  <c r="H83" i="3" a="1"/>
  <c r="H83" i="3" s="1"/>
  <c r="R83" i="3" s="1" a="1"/>
  <c r="R83" i="3" s="1"/>
  <c r="S83" i="3" s="1" a="1"/>
  <c r="S83" i="3" s="1"/>
  <c r="J83" i="3" a="1"/>
  <c r="J83" i="3" s="1"/>
  <c r="U83" i="3" s="1" a="1"/>
  <c r="U83" i="3" s="1"/>
  <c r="I83" i="3" a="1"/>
  <c r="I83" i="3" s="1"/>
  <c r="T83" i="3" s="1" a="1"/>
  <c r="T83" i="3" s="1"/>
  <c r="K83" i="3" a="1"/>
  <c r="K83" i="3" s="1"/>
  <c r="V83" i="3" s="1" a="1"/>
  <c r="V83" i="3" s="1"/>
  <c r="B79" i="3" a="1"/>
  <c r="B79" i="3" s="1"/>
  <c r="L79" i="3" s="1" a="1"/>
  <c r="L79" i="3" s="1"/>
  <c r="C79" i="3" a="1"/>
  <c r="C79" i="3" s="1"/>
  <c r="M79" i="3" s="1" a="1"/>
  <c r="M79" i="3" s="1"/>
  <c r="D79" i="3" a="1"/>
  <c r="D79" i="3" s="1"/>
  <c r="N79" i="3" s="1" a="1"/>
  <c r="N79" i="3" s="1"/>
  <c r="E79" i="3" a="1"/>
  <c r="E79" i="3" s="1"/>
  <c r="O79" i="3" s="1" a="1"/>
  <c r="O79" i="3" s="1"/>
  <c r="F79" i="3" a="1"/>
  <c r="F79" i="3" s="1"/>
  <c r="P79" i="3" s="1" a="1"/>
  <c r="P79" i="3" s="1"/>
  <c r="G79" i="3" a="1"/>
  <c r="G79" i="3" s="1"/>
  <c r="Q79" i="3" s="1" a="1"/>
  <c r="Q79" i="3" s="1"/>
  <c r="J79" i="3" a="1"/>
  <c r="J79" i="3" s="1"/>
  <c r="U79" i="3" s="1" a="1"/>
  <c r="U79" i="3" s="1"/>
  <c r="H79" i="3" a="1"/>
  <c r="H79" i="3" s="1"/>
  <c r="R79" i="3" s="1" a="1"/>
  <c r="R79" i="3" s="1"/>
  <c r="S79" i="3" s="1" a="1"/>
  <c r="S79" i="3" s="1"/>
  <c r="I79" i="3" a="1"/>
  <c r="I79" i="3" s="1"/>
  <c r="T79" i="3" s="1" a="1"/>
  <c r="T79" i="3" s="1"/>
  <c r="K79" i="3" a="1"/>
  <c r="K79" i="3" s="1"/>
  <c r="V79" i="3" s="1" a="1"/>
  <c r="V79" i="3" s="1"/>
  <c r="B75" i="3" a="1"/>
  <c r="B75" i="3" s="1"/>
  <c r="L75" i="3" s="1" a="1"/>
  <c r="L75" i="3" s="1"/>
  <c r="C75" i="3" a="1"/>
  <c r="C75" i="3" s="1"/>
  <c r="M75" i="3" s="1" a="1"/>
  <c r="M75" i="3" s="1"/>
  <c r="D75" i="3" a="1"/>
  <c r="D75" i="3" s="1"/>
  <c r="N75" i="3" s="1" a="1"/>
  <c r="N75" i="3" s="1"/>
  <c r="E75" i="3" a="1"/>
  <c r="E75" i="3" s="1"/>
  <c r="O75" i="3" s="1" a="1"/>
  <c r="O75" i="3" s="1"/>
  <c r="F75" i="3" a="1"/>
  <c r="F75" i="3" s="1"/>
  <c r="P75" i="3" s="1" a="1"/>
  <c r="P75" i="3" s="1"/>
  <c r="G75" i="3" a="1"/>
  <c r="G75" i="3" s="1"/>
  <c r="Q75" i="3" s="1" a="1"/>
  <c r="Q75" i="3" s="1"/>
  <c r="H75" i="3" a="1"/>
  <c r="H75" i="3" s="1"/>
  <c r="R75" i="3" s="1" a="1"/>
  <c r="R75" i="3" s="1"/>
  <c r="S75" i="3" s="1" a="1"/>
  <c r="S75" i="3" s="1"/>
  <c r="J75" i="3" a="1"/>
  <c r="J75" i="3" s="1"/>
  <c r="U75" i="3" s="1" a="1"/>
  <c r="U75" i="3" s="1"/>
  <c r="I75" i="3" a="1"/>
  <c r="I75" i="3" s="1"/>
  <c r="T75" i="3" s="1" a="1"/>
  <c r="T75" i="3" s="1"/>
  <c r="K75" i="3" a="1"/>
  <c r="K75" i="3" s="1"/>
  <c r="V75" i="3" s="1" a="1"/>
  <c r="V75" i="3" s="1"/>
  <c r="B71" i="3" a="1"/>
  <c r="B71" i="3" s="1"/>
  <c r="L71" i="3" s="1" a="1"/>
  <c r="L71" i="3" s="1"/>
  <c r="C71" i="3" a="1"/>
  <c r="C71" i="3" s="1"/>
  <c r="M71" i="3" s="1" a="1"/>
  <c r="M71" i="3" s="1"/>
  <c r="D71" i="3" a="1"/>
  <c r="D71" i="3" s="1"/>
  <c r="N71" i="3" s="1" a="1"/>
  <c r="N71" i="3" s="1"/>
  <c r="E71" i="3" a="1"/>
  <c r="E71" i="3" s="1"/>
  <c r="O71" i="3" s="1" a="1"/>
  <c r="O71" i="3" s="1"/>
  <c r="F71" i="3" a="1"/>
  <c r="F71" i="3" s="1"/>
  <c r="P71" i="3" s="1" a="1"/>
  <c r="P71" i="3" s="1"/>
  <c r="G71" i="3" a="1"/>
  <c r="G71" i="3" s="1"/>
  <c r="Q71" i="3" s="1" a="1"/>
  <c r="Q71" i="3" s="1"/>
  <c r="J71" i="3" a="1"/>
  <c r="J71" i="3" s="1"/>
  <c r="U71" i="3" s="1" a="1"/>
  <c r="U71" i="3" s="1"/>
  <c r="H71" i="3" a="1"/>
  <c r="H71" i="3" s="1"/>
  <c r="R71" i="3" s="1" a="1"/>
  <c r="R71" i="3" s="1"/>
  <c r="S71" i="3" s="1" a="1"/>
  <c r="S71" i="3" s="1"/>
  <c r="I71" i="3" a="1"/>
  <c r="I71" i="3" s="1"/>
  <c r="T71" i="3" s="1" a="1"/>
  <c r="T71" i="3" s="1"/>
  <c r="K71" i="3" a="1"/>
  <c r="K71" i="3" s="1"/>
  <c r="V71" i="3" s="1" a="1"/>
  <c r="V71" i="3" s="1"/>
  <c r="B67" i="3" a="1"/>
  <c r="B67" i="3" s="1"/>
  <c r="L67" i="3" s="1" a="1"/>
  <c r="L67" i="3" s="1"/>
  <c r="C67" i="3" a="1"/>
  <c r="C67" i="3" s="1"/>
  <c r="M67" i="3" s="1" a="1"/>
  <c r="M67" i="3" s="1"/>
  <c r="D67" i="3" a="1"/>
  <c r="D67" i="3" s="1"/>
  <c r="N67" i="3" s="1" a="1"/>
  <c r="N67" i="3" s="1"/>
  <c r="E67" i="3" a="1"/>
  <c r="E67" i="3" s="1"/>
  <c r="O67" i="3" s="1" a="1"/>
  <c r="O67" i="3" s="1"/>
  <c r="F67" i="3" a="1"/>
  <c r="F67" i="3" s="1"/>
  <c r="P67" i="3" s="1" a="1"/>
  <c r="P67" i="3" s="1"/>
  <c r="G67" i="3" a="1"/>
  <c r="G67" i="3" s="1"/>
  <c r="Q67" i="3" s="1" a="1"/>
  <c r="Q67" i="3" s="1"/>
  <c r="H67" i="3" a="1"/>
  <c r="H67" i="3" s="1"/>
  <c r="R67" i="3" s="1" a="1"/>
  <c r="R67" i="3" s="1"/>
  <c r="S67" i="3" s="1" a="1"/>
  <c r="S67" i="3" s="1"/>
  <c r="J67" i="3" a="1"/>
  <c r="J67" i="3" s="1"/>
  <c r="U67" i="3" s="1" a="1"/>
  <c r="U67" i="3" s="1"/>
  <c r="I67" i="3" a="1"/>
  <c r="I67" i="3" s="1"/>
  <c r="T67" i="3" s="1" a="1"/>
  <c r="T67" i="3" s="1"/>
  <c r="K67" i="3" a="1"/>
  <c r="K67" i="3" s="1"/>
  <c r="V67" i="3" s="1" a="1"/>
  <c r="V67" i="3" s="1"/>
  <c r="B63" i="3" a="1"/>
  <c r="B63" i="3" s="1"/>
  <c r="L63" i="3" s="1" a="1"/>
  <c r="L63" i="3" s="1"/>
  <c r="C63" i="3" a="1"/>
  <c r="C63" i="3" s="1"/>
  <c r="M63" i="3" s="1" a="1"/>
  <c r="M63" i="3" s="1"/>
  <c r="D63" i="3" a="1"/>
  <c r="D63" i="3" s="1"/>
  <c r="N63" i="3" s="1" a="1"/>
  <c r="N63" i="3" s="1"/>
  <c r="E63" i="3" a="1"/>
  <c r="E63" i="3" s="1"/>
  <c r="O63" i="3" s="1" a="1"/>
  <c r="O63" i="3" s="1"/>
  <c r="F63" i="3" a="1"/>
  <c r="F63" i="3" s="1"/>
  <c r="P63" i="3" s="1" a="1"/>
  <c r="P63" i="3" s="1"/>
  <c r="G63" i="3" a="1"/>
  <c r="G63" i="3" s="1"/>
  <c r="Q63" i="3" s="1" a="1"/>
  <c r="Q63" i="3" s="1"/>
  <c r="J63" i="3" a="1"/>
  <c r="J63" i="3" s="1"/>
  <c r="U63" i="3" s="1" a="1"/>
  <c r="U63" i="3" s="1"/>
  <c r="H63" i="3" a="1"/>
  <c r="H63" i="3" s="1"/>
  <c r="R63" i="3" s="1" a="1"/>
  <c r="R63" i="3" s="1"/>
  <c r="S63" i="3" s="1" a="1"/>
  <c r="S63" i="3" s="1"/>
  <c r="I63" i="3" a="1"/>
  <c r="I63" i="3" s="1"/>
  <c r="T63" i="3" s="1" a="1"/>
  <c r="T63" i="3" s="1"/>
  <c r="K63" i="3" a="1"/>
  <c r="K63" i="3" s="1"/>
  <c r="V63" i="3" s="1" a="1"/>
  <c r="V63" i="3" s="1"/>
  <c r="B59" i="3" a="1"/>
  <c r="B59" i="3" s="1"/>
  <c r="L59" i="3" s="1" a="1"/>
  <c r="L59" i="3" s="1"/>
  <c r="C59" i="3" a="1"/>
  <c r="C59" i="3" s="1"/>
  <c r="M59" i="3" s="1" a="1"/>
  <c r="M59" i="3" s="1"/>
  <c r="D59" i="3" a="1"/>
  <c r="D59" i="3" s="1"/>
  <c r="N59" i="3" s="1" a="1"/>
  <c r="N59" i="3" s="1"/>
  <c r="E59" i="3" a="1"/>
  <c r="E59" i="3" s="1"/>
  <c r="O59" i="3" s="1" a="1"/>
  <c r="O59" i="3" s="1"/>
  <c r="F59" i="3" a="1"/>
  <c r="F59" i="3" s="1"/>
  <c r="P59" i="3" s="1" a="1"/>
  <c r="P59" i="3" s="1"/>
  <c r="G59" i="3" a="1"/>
  <c r="G59" i="3" s="1"/>
  <c r="Q59" i="3" s="1" a="1"/>
  <c r="Q59" i="3" s="1"/>
  <c r="H59" i="3" a="1"/>
  <c r="H59" i="3" s="1"/>
  <c r="R59" i="3" s="1" a="1"/>
  <c r="R59" i="3" s="1"/>
  <c r="S59" i="3" s="1" a="1"/>
  <c r="S59" i="3" s="1"/>
  <c r="J59" i="3" a="1"/>
  <c r="J59" i="3" s="1"/>
  <c r="U59" i="3" s="1" a="1"/>
  <c r="U59" i="3" s="1"/>
  <c r="I59" i="3" a="1"/>
  <c r="I59" i="3" s="1"/>
  <c r="T59" i="3" s="1" a="1"/>
  <c r="T59" i="3" s="1"/>
  <c r="K59" i="3" a="1"/>
  <c r="K59" i="3" s="1"/>
  <c r="V59" i="3" s="1" a="1"/>
  <c r="V59" i="3" s="1"/>
  <c r="B55" i="3" a="1"/>
  <c r="B55" i="3" s="1"/>
  <c r="L55" i="3" s="1" a="1"/>
  <c r="L55" i="3" s="1"/>
  <c r="C55" i="3" a="1"/>
  <c r="C55" i="3" s="1"/>
  <c r="M55" i="3" s="1" a="1"/>
  <c r="M55" i="3" s="1"/>
  <c r="D55" i="3" a="1"/>
  <c r="D55" i="3" s="1"/>
  <c r="N55" i="3" s="1" a="1"/>
  <c r="N55" i="3" s="1"/>
  <c r="E55" i="3" a="1"/>
  <c r="E55" i="3" s="1"/>
  <c r="O55" i="3" s="1" a="1"/>
  <c r="O55" i="3" s="1"/>
  <c r="F55" i="3" a="1"/>
  <c r="F55" i="3" s="1"/>
  <c r="P55" i="3" s="1" a="1"/>
  <c r="P55" i="3" s="1"/>
  <c r="G55" i="3" a="1"/>
  <c r="G55" i="3" s="1"/>
  <c r="Q55" i="3" s="1" a="1"/>
  <c r="Q55" i="3" s="1"/>
  <c r="J55" i="3" a="1"/>
  <c r="J55" i="3" s="1"/>
  <c r="U55" i="3" s="1" a="1"/>
  <c r="U55" i="3" s="1"/>
  <c r="H55" i="3" a="1"/>
  <c r="H55" i="3" s="1"/>
  <c r="R55" i="3" s="1" a="1"/>
  <c r="R55" i="3" s="1"/>
  <c r="S55" i="3" s="1" a="1"/>
  <c r="S55" i="3" s="1"/>
  <c r="I55" i="3" a="1"/>
  <c r="I55" i="3" s="1"/>
  <c r="T55" i="3" s="1" a="1"/>
  <c r="T55" i="3" s="1"/>
  <c r="K55" i="3" a="1"/>
  <c r="K55" i="3" s="1"/>
  <c r="V55" i="3" s="1" a="1"/>
  <c r="V55" i="3" s="1"/>
  <c r="B51" i="3" a="1"/>
  <c r="B51" i="3" s="1"/>
  <c r="L51" i="3" s="1" a="1"/>
  <c r="L51" i="3" s="1"/>
  <c r="C51" i="3" a="1"/>
  <c r="C51" i="3" s="1"/>
  <c r="M51" i="3" s="1" a="1"/>
  <c r="M51" i="3" s="1"/>
  <c r="D51" i="3" a="1"/>
  <c r="D51" i="3" s="1"/>
  <c r="N51" i="3" s="1" a="1"/>
  <c r="N51" i="3" s="1"/>
  <c r="E51" i="3" a="1"/>
  <c r="E51" i="3" s="1"/>
  <c r="O51" i="3" s="1" a="1"/>
  <c r="O51" i="3" s="1"/>
  <c r="F51" i="3" a="1"/>
  <c r="F51" i="3" s="1"/>
  <c r="P51" i="3" s="1" a="1"/>
  <c r="P51" i="3" s="1"/>
  <c r="G51" i="3" a="1"/>
  <c r="G51" i="3" s="1"/>
  <c r="Q51" i="3" s="1" a="1"/>
  <c r="Q51" i="3" s="1"/>
  <c r="H51" i="3" a="1"/>
  <c r="H51" i="3" s="1"/>
  <c r="R51" i="3" s="1" a="1"/>
  <c r="R51" i="3" s="1"/>
  <c r="S51" i="3" s="1" a="1"/>
  <c r="S51" i="3" s="1"/>
  <c r="J51" i="3" a="1"/>
  <c r="J51" i="3" s="1"/>
  <c r="U51" i="3" s="1" a="1"/>
  <c r="U51" i="3" s="1"/>
  <c r="I51" i="3" a="1"/>
  <c r="I51" i="3" s="1"/>
  <c r="T51" i="3" s="1" a="1"/>
  <c r="T51" i="3" s="1"/>
  <c r="K51" i="3" a="1"/>
  <c r="K51" i="3" s="1"/>
  <c r="V51" i="3" s="1" a="1"/>
  <c r="V51" i="3" s="1"/>
  <c r="B47" i="3" a="1"/>
  <c r="B47" i="3" s="1"/>
  <c r="L47" i="3" s="1" a="1"/>
  <c r="L47" i="3" s="1"/>
  <c r="C47" i="3" a="1"/>
  <c r="C47" i="3" s="1"/>
  <c r="M47" i="3" s="1" a="1"/>
  <c r="M47" i="3" s="1"/>
  <c r="D47" i="3" a="1"/>
  <c r="D47" i="3" s="1"/>
  <c r="N47" i="3" s="1" a="1"/>
  <c r="N47" i="3" s="1"/>
  <c r="E47" i="3" a="1"/>
  <c r="E47" i="3" s="1"/>
  <c r="O47" i="3" s="1" a="1"/>
  <c r="O47" i="3" s="1"/>
  <c r="F47" i="3" a="1"/>
  <c r="F47" i="3" s="1"/>
  <c r="P47" i="3" s="1" a="1"/>
  <c r="P47" i="3" s="1"/>
  <c r="G47" i="3" a="1"/>
  <c r="G47" i="3" s="1"/>
  <c r="Q47" i="3" s="1" a="1"/>
  <c r="Q47" i="3" s="1"/>
  <c r="J47" i="3" a="1"/>
  <c r="J47" i="3" s="1"/>
  <c r="U47" i="3" s="1" a="1"/>
  <c r="U47" i="3" s="1"/>
  <c r="H47" i="3" a="1"/>
  <c r="H47" i="3" s="1"/>
  <c r="R47" i="3" s="1" a="1"/>
  <c r="R47" i="3" s="1"/>
  <c r="S47" i="3" s="1" a="1"/>
  <c r="S47" i="3" s="1"/>
  <c r="I47" i="3" a="1"/>
  <c r="I47" i="3" s="1"/>
  <c r="T47" i="3" s="1" a="1"/>
  <c r="T47" i="3" s="1"/>
  <c r="K47" i="3" a="1"/>
  <c r="K47" i="3" s="1"/>
  <c r="V47" i="3" s="1" a="1"/>
  <c r="V47" i="3" s="1"/>
  <c r="B43" i="3" a="1"/>
  <c r="B43" i="3" s="1"/>
  <c r="L43" i="3" s="1" a="1"/>
  <c r="L43" i="3" s="1"/>
  <c r="C43" i="3" a="1"/>
  <c r="C43" i="3" s="1"/>
  <c r="M43" i="3" s="1" a="1"/>
  <c r="M43" i="3" s="1"/>
  <c r="D43" i="3" a="1"/>
  <c r="D43" i="3" s="1"/>
  <c r="N43" i="3" s="1" a="1"/>
  <c r="N43" i="3" s="1"/>
  <c r="E43" i="3" a="1"/>
  <c r="E43" i="3" s="1"/>
  <c r="O43" i="3" s="1" a="1"/>
  <c r="O43" i="3" s="1"/>
  <c r="F43" i="3" a="1"/>
  <c r="F43" i="3" s="1"/>
  <c r="P43" i="3" s="1" a="1"/>
  <c r="P43" i="3" s="1"/>
  <c r="G43" i="3" a="1"/>
  <c r="G43" i="3" s="1"/>
  <c r="Q43" i="3" s="1" a="1"/>
  <c r="Q43" i="3" s="1"/>
  <c r="H43" i="3" a="1"/>
  <c r="H43" i="3" s="1"/>
  <c r="R43" i="3" s="1" a="1"/>
  <c r="R43" i="3" s="1"/>
  <c r="S43" i="3" s="1" a="1"/>
  <c r="S43" i="3" s="1"/>
  <c r="J43" i="3" a="1"/>
  <c r="J43" i="3" s="1"/>
  <c r="U43" i="3" s="1" a="1"/>
  <c r="U43" i="3" s="1"/>
  <c r="I43" i="3" a="1"/>
  <c r="I43" i="3" s="1"/>
  <c r="T43" i="3" s="1" a="1"/>
  <c r="T43" i="3" s="1"/>
  <c r="K43" i="3" a="1"/>
  <c r="K43" i="3" s="1"/>
  <c r="V43" i="3" s="1" a="1"/>
  <c r="V43" i="3" s="1"/>
  <c r="B39" i="3" a="1"/>
  <c r="B39" i="3" s="1"/>
  <c r="L39" i="3" s="1" a="1"/>
  <c r="L39" i="3" s="1"/>
  <c r="C39" i="3" a="1"/>
  <c r="C39" i="3" s="1"/>
  <c r="M39" i="3" s="1" a="1"/>
  <c r="M39" i="3" s="1"/>
  <c r="D39" i="3" a="1"/>
  <c r="D39" i="3" s="1"/>
  <c r="N39" i="3" s="1" a="1"/>
  <c r="N39" i="3" s="1"/>
  <c r="E39" i="3" a="1"/>
  <c r="E39" i="3" s="1"/>
  <c r="O39" i="3" s="1" a="1"/>
  <c r="O39" i="3" s="1"/>
  <c r="F39" i="3" a="1"/>
  <c r="F39" i="3" s="1"/>
  <c r="P39" i="3" s="1" a="1"/>
  <c r="P39" i="3" s="1"/>
  <c r="G39" i="3" a="1"/>
  <c r="G39" i="3" s="1"/>
  <c r="Q39" i="3" s="1" a="1"/>
  <c r="Q39" i="3" s="1"/>
  <c r="J39" i="3" a="1"/>
  <c r="J39" i="3" s="1"/>
  <c r="U39" i="3" s="1" a="1"/>
  <c r="U39" i="3" s="1"/>
  <c r="H39" i="3" a="1"/>
  <c r="H39" i="3" s="1"/>
  <c r="R39" i="3" s="1" a="1"/>
  <c r="R39" i="3" s="1"/>
  <c r="S39" i="3" s="1" a="1"/>
  <c r="S39" i="3" s="1"/>
  <c r="I39" i="3" a="1"/>
  <c r="I39" i="3" s="1"/>
  <c r="T39" i="3" s="1" a="1"/>
  <c r="T39" i="3" s="1"/>
  <c r="K39" i="3" a="1"/>
  <c r="K39" i="3" s="1"/>
  <c r="V39" i="3" s="1" a="1"/>
  <c r="V39" i="3" s="1"/>
  <c r="B35" i="3" a="1"/>
  <c r="B35" i="3" s="1"/>
  <c r="L35" i="3" s="1" a="1"/>
  <c r="L35" i="3" s="1"/>
  <c r="C35" i="3" a="1"/>
  <c r="C35" i="3" s="1"/>
  <c r="M35" i="3" s="1" a="1"/>
  <c r="M35" i="3" s="1"/>
  <c r="D35" i="3" a="1"/>
  <c r="D35" i="3" s="1"/>
  <c r="N35" i="3" s="1" a="1"/>
  <c r="N35" i="3" s="1"/>
  <c r="E35" i="3" a="1"/>
  <c r="E35" i="3" s="1"/>
  <c r="O35" i="3" s="1" a="1"/>
  <c r="O35" i="3" s="1"/>
  <c r="F35" i="3" a="1"/>
  <c r="F35" i="3" s="1"/>
  <c r="P35" i="3" s="1" a="1"/>
  <c r="P35" i="3" s="1"/>
  <c r="G35" i="3" a="1"/>
  <c r="G35" i="3" s="1"/>
  <c r="Q35" i="3" s="1" a="1"/>
  <c r="Q35" i="3" s="1"/>
  <c r="H35" i="3" a="1"/>
  <c r="H35" i="3" s="1"/>
  <c r="R35" i="3" s="1" a="1"/>
  <c r="R35" i="3" s="1"/>
  <c r="S35" i="3" s="1" a="1"/>
  <c r="S35" i="3" s="1"/>
  <c r="J35" i="3" a="1"/>
  <c r="J35" i="3" s="1"/>
  <c r="U35" i="3" s="1" a="1"/>
  <c r="U35" i="3" s="1"/>
  <c r="I35" i="3" a="1"/>
  <c r="I35" i="3" s="1"/>
  <c r="T35" i="3" s="1" a="1"/>
  <c r="T35" i="3" s="1"/>
  <c r="K35" i="3" a="1"/>
  <c r="K35" i="3" s="1"/>
  <c r="V35" i="3" s="1" a="1"/>
  <c r="V35" i="3" s="1"/>
  <c r="B31" i="3" a="1"/>
  <c r="B31" i="3" s="1"/>
  <c r="L31" i="3" s="1" a="1"/>
  <c r="L31" i="3" s="1"/>
  <c r="C31" i="3" a="1"/>
  <c r="C31" i="3" s="1"/>
  <c r="M31" i="3" s="1" a="1"/>
  <c r="M31" i="3" s="1"/>
  <c r="D31" i="3" a="1"/>
  <c r="D31" i="3" s="1"/>
  <c r="N31" i="3" s="1" a="1"/>
  <c r="N31" i="3" s="1"/>
  <c r="E31" i="3" a="1"/>
  <c r="E31" i="3" s="1"/>
  <c r="O31" i="3" s="1" a="1"/>
  <c r="O31" i="3" s="1"/>
  <c r="F31" i="3" a="1"/>
  <c r="F31" i="3" s="1"/>
  <c r="P31" i="3" s="1" a="1"/>
  <c r="P31" i="3" s="1"/>
  <c r="G31" i="3" a="1"/>
  <c r="G31" i="3" s="1"/>
  <c r="Q31" i="3" s="1" a="1"/>
  <c r="Q31" i="3" s="1"/>
  <c r="J31" i="3" a="1"/>
  <c r="J31" i="3" s="1"/>
  <c r="U31" i="3" s="1" a="1"/>
  <c r="U31" i="3" s="1"/>
  <c r="H31" i="3" a="1"/>
  <c r="H31" i="3" s="1"/>
  <c r="R31" i="3" s="1" a="1"/>
  <c r="R31" i="3" s="1"/>
  <c r="S31" i="3" s="1" a="1"/>
  <c r="S31" i="3" s="1"/>
  <c r="I31" i="3" a="1"/>
  <c r="I31" i="3" s="1"/>
  <c r="T31" i="3" s="1" a="1"/>
  <c r="T31" i="3" s="1"/>
  <c r="K31" i="3" a="1"/>
  <c r="K31" i="3" s="1"/>
  <c r="V31" i="3" s="1" a="1"/>
  <c r="V31" i="3" s="1"/>
  <c r="B27" i="3" a="1"/>
  <c r="B27" i="3" s="1"/>
  <c r="L27" i="3" s="1" a="1"/>
  <c r="L27" i="3" s="1"/>
  <c r="C27" i="3" a="1"/>
  <c r="C27" i="3" s="1"/>
  <c r="M27" i="3" s="1" a="1"/>
  <c r="M27" i="3" s="1"/>
  <c r="D27" i="3" a="1"/>
  <c r="D27" i="3" s="1"/>
  <c r="N27" i="3" s="1" a="1"/>
  <c r="N27" i="3" s="1"/>
  <c r="E27" i="3" a="1"/>
  <c r="E27" i="3" s="1"/>
  <c r="O27" i="3" s="1" a="1"/>
  <c r="O27" i="3" s="1"/>
  <c r="F27" i="3" a="1"/>
  <c r="F27" i="3" s="1"/>
  <c r="P27" i="3" s="1" a="1"/>
  <c r="P27" i="3" s="1"/>
  <c r="G27" i="3" a="1"/>
  <c r="G27" i="3" s="1"/>
  <c r="Q27" i="3" s="1" a="1"/>
  <c r="Q27" i="3" s="1"/>
  <c r="H27" i="3" a="1"/>
  <c r="H27" i="3" s="1"/>
  <c r="R27" i="3" s="1" a="1"/>
  <c r="R27" i="3" s="1"/>
  <c r="S27" i="3" s="1" a="1"/>
  <c r="S27" i="3" s="1"/>
  <c r="J27" i="3" a="1"/>
  <c r="J27" i="3" s="1"/>
  <c r="U27" i="3" s="1" a="1"/>
  <c r="U27" i="3" s="1"/>
  <c r="I27" i="3" a="1"/>
  <c r="I27" i="3" s="1"/>
  <c r="T27" i="3" s="1" a="1"/>
  <c r="T27" i="3" s="1"/>
  <c r="K27" i="3" a="1"/>
  <c r="K27" i="3" s="1"/>
  <c r="V27" i="3" s="1" a="1"/>
  <c r="V27" i="3" s="1"/>
  <c r="B23" i="3" a="1"/>
  <c r="B23" i="3" s="1"/>
  <c r="L23" i="3" s="1" a="1"/>
  <c r="L23" i="3" s="1"/>
  <c r="C23" i="3" a="1"/>
  <c r="C23" i="3" s="1"/>
  <c r="M23" i="3" s="1" a="1"/>
  <c r="M23" i="3" s="1"/>
  <c r="D23" i="3" a="1"/>
  <c r="D23" i="3" s="1"/>
  <c r="N23" i="3" s="1" a="1"/>
  <c r="N23" i="3" s="1"/>
  <c r="E23" i="3" a="1"/>
  <c r="E23" i="3" s="1"/>
  <c r="O23" i="3" s="1" a="1"/>
  <c r="O23" i="3" s="1"/>
  <c r="F23" i="3" a="1"/>
  <c r="F23" i="3" s="1"/>
  <c r="P23" i="3" s="1" a="1"/>
  <c r="P23" i="3" s="1"/>
  <c r="G23" i="3" a="1"/>
  <c r="G23" i="3" s="1"/>
  <c r="Q23" i="3" s="1" a="1"/>
  <c r="Q23" i="3" s="1"/>
  <c r="J23" i="3" a="1"/>
  <c r="J23" i="3" s="1"/>
  <c r="U23" i="3" s="1" a="1"/>
  <c r="U23" i="3" s="1"/>
  <c r="H23" i="3" a="1"/>
  <c r="H23" i="3" s="1"/>
  <c r="R23" i="3" s="1" a="1"/>
  <c r="R23" i="3" s="1"/>
  <c r="S23" i="3" s="1" a="1"/>
  <c r="S23" i="3" s="1"/>
  <c r="I23" i="3" a="1"/>
  <c r="I23" i="3" s="1"/>
  <c r="T23" i="3" s="1" a="1"/>
  <c r="T23" i="3" s="1"/>
  <c r="K23" i="3" a="1"/>
  <c r="K23" i="3" s="1"/>
  <c r="V23" i="3" s="1" a="1"/>
  <c r="V23" i="3" s="1"/>
  <c r="B19" i="3" a="1"/>
  <c r="B19" i="3" s="1"/>
  <c r="L19" i="3" s="1" a="1"/>
  <c r="L19" i="3" s="1"/>
  <c r="C19" i="3" a="1"/>
  <c r="C19" i="3" s="1"/>
  <c r="M19" i="3" s="1" a="1"/>
  <c r="M19" i="3" s="1"/>
  <c r="D19" i="3" a="1"/>
  <c r="D19" i="3" s="1"/>
  <c r="N19" i="3" s="1" a="1"/>
  <c r="N19" i="3" s="1"/>
  <c r="E19" i="3" a="1"/>
  <c r="E19" i="3" s="1"/>
  <c r="O19" i="3" s="1" a="1"/>
  <c r="O19" i="3" s="1"/>
  <c r="F19" i="3" a="1"/>
  <c r="F19" i="3" s="1"/>
  <c r="P19" i="3" s="1" a="1"/>
  <c r="P19" i="3" s="1"/>
  <c r="G19" i="3" a="1"/>
  <c r="G19" i="3" s="1"/>
  <c r="Q19" i="3" s="1" a="1"/>
  <c r="Q19" i="3" s="1"/>
  <c r="H19" i="3" a="1"/>
  <c r="H19" i="3" s="1"/>
  <c r="R19" i="3" s="1" a="1"/>
  <c r="R19" i="3" s="1"/>
  <c r="S19" i="3" s="1" a="1"/>
  <c r="S19" i="3" s="1"/>
  <c r="J19" i="3" a="1"/>
  <c r="J19" i="3" s="1"/>
  <c r="U19" i="3" s="1" a="1"/>
  <c r="U19" i="3" s="1"/>
  <c r="I19" i="3" a="1"/>
  <c r="I19" i="3" s="1"/>
  <c r="T19" i="3" s="1" a="1"/>
  <c r="T19" i="3" s="1"/>
  <c r="K19" i="3" a="1"/>
  <c r="K19" i="3" s="1"/>
  <c r="V19" i="3" s="1" a="1"/>
  <c r="V19" i="3" s="1"/>
  <c r="B15" i="3" a="1"/>
  <c r="B15" i="3" s="1"/>
  <c r="L15" i="3" s="1" a="1"/>
  <c r="L15" i="3" s="1"/>
  <c r="C15" i="3" a="1"/>
  <c r="C15" i="3" s="1"/>
  <c r="M15" i="3" s="1" a="1"/>
  <c r="M15" i="3" s="1"/>
  <c r="D15" i="3" a="1"/>
  <c r="D15" i="3" s="1"/>
  <c r="N15" i="3" s="1" a="1"/>
  <c r="N15" i="3" s="1"/>
  <c r="E15" i="3" a="1"/>
  <c r="E15" i="3" s="1"/>
  <c r="O15" i="3" s="1" a="1"/>
  <c r="O15" i="3" s="1"/>
  <c r="F15" i="3" a="1"/>
  <c r="F15" i="3" s="1"/>
  <c r="P15" i="3" s="1" a="1"/>
  <c r="P15" i="3" s="1"/>
  <c r="G15" i="3" a="1"/>
  <c r="G15" i="3" s="1"/>
  <c r="Q15" i="3" s="1" a="1"/>
  <c r="Q15" i="3" s="1"/>
  <c r="J15" i="3" a="1"/>
  <c r="J15" i="3" s="1"/>
  <c r="U15" i="3" s="1" a="1"/>
  <c r="U15" i="3" s="1"/>
  <c r="H15" i="3" a="1"/>
  <c r="H15" i="3" s="1"/>
  <c r="R15" i="3" s="1" a="1"/>
  <c r="R15" i="3" s="1"/>
  <c r="S15" i="3" s="1" a="1"/>
  <c r="S15" i="3" s="1"/>
  <c r="I15" i="3" a="1"/>
  <c r="I15" i="3" s="1"/>
  <c r="T15" i="3" s="1" a="1"/>
  <c r="T15" i="3" s="1"/>
  <c r="K15" i="3" a="1"/>
  <c r="K15" i="3" s="1"/>
  <c r="V15" i="3" s="1" a="1"/>
  <c r="V15" i="3" s="1"/>
  <c r="B11" i="3" a="1"/>
  <c r="B11" i="3" s="1"/>
  <c r="L11" i="3" s="1" a="1"/>
  <c r="L11" i="3" s="1"/>
  <c r="C11" i="3" a="1"/>
  <c r="C11" i="3" s="1"/>
  <c r="M11" i="3" s="1" a="1"/>
  <c r="M11" i="3" s="1"/>
  <c r="D11" i="3" a="1"/>
  <c r="D11" i="3" s="1"/>
  <c r="N11" i="3" s="1" a="1"/>
  <c r="N11" i="3" s="1"/>
  <c r="E11" i="3" a="1"/>
  <c r="E11" i="3" s="1"/>
  <c r="O11" i="3" s="1" a="1"/>
  <c r="O11" i="3" s="1"/>
  <c r="F11" i="3" a="1"/>
  <c r="F11" i="3" s="1"/>
  <c r="P11" i="3" s="1" a="1"/>
  <c r="P11" i="3" s="1"/>
  <c r="G11" i="3" a="1"/>
  <c r="G11" i="3" s="1"/>
  <c r="Q11" i="3" s="1" a="1"/>
  <c r="Q11" i="3" s="1"/>
  <c r="H11" i="3" a="1"/>
  <c r="H11" i="3" s="1"/>
  <c r="R11" i="3" s="1" a="1"/>
  <c r="R11" i="3" s="1"/>
  <c r="S11" i="3" s="1" a="1"/>
  <c r="S11" i="3" s="1"/>
  <c r="J11" i="3" a="1"/>
  <c r="J11" i="3" s="1"/>
  <c r="U11" i="3" s="1" a="1"/>
  <c r="U11" i="3" s="1"/>
  <c r="I11" i="3" a="1"/>
  <c r="I11" i="3" s="1"/>
  <c r="T11" i="3" s="1" a="1"/>
  <c r="T11" i="3" s="1"/>
  <c r="K11" i="3" a="1"/>
  <c r="K11" i="3" s="1"/>
  <c r="V11" i="3" s="1" a="1"/>
  <c r="V11" i="3" s="1"/>
  <c r="B7" i="3" a="1"/>
  <c r="B7" i="3" s="1"/>
  <c r="L7" i="3" s="1" a="1"/>
  <c r="L7" i="3" s="1"/>
  <c r="C7" i="3" a="1"/>
  <c r="C7" i="3" s="1"/>
  <c r="M7" i="3" s="1" a="1"/>
  <c r="M7" i="3" s="1"/>
  <c r="D7" i="3" a="1"/>
  <c r="D7" i="3" s="1"/>
  <c r="N7" i="3" s="1" a="1"/>
  <c r="N7" i="3" s="1"/>
  <c r="E7" i="3" a="1"/>
  <c r="E7" i="3" s="1"/>
  <c r="O7" i="3" s="1" a="1"/>
  <c r="O7" i="3" s="1"/>
  <c r="F7" i="3" a="1"/>
  <c r="F7" i="3" s="1"/>
  <c r="P7" i="3" s="1" a="1"/>
  <c r="P7" i="3" s="1"/>
  <c r="G7" i="3" a="1"/>
  <c r="G7" i="3" s="1"/>
  <c r="Q7" i="3" s="1" a="1"/>
  <c r="Q7" i="3" s="1"/>
  <c r="J7" i="3" a="1"/>
  <c r="J7" i="3" s="1"/>
  <c r="U7" i="3" s="1" a="1"/>
  <c r="U7" i="3" s="1"/>
  <c r="H7" i="3" a="1"/>
  <c r="H7" i="3" s="1"/>
  <c r="R7" i="3" s="1" a="1"/>
  <c r="R7" i="3" s="1"/>
  <c r="S7" i="3" s="1" a="1"/>
  <c r="S7" i="3" s="1"/>
  <c r="I7" i="3" a="1"/>
  <c r="I7" i="3" s="1"/>
  <c r="T7" i="3" s="1" a="1"/>
  <c r="T7" i="3" s="1"/>
  <c r="K7" i="3" a="1"/>
  <c r="K7" i="3" s="1"/>
  <c r="V7" i="3" s="1" a="1"/>
  <c r="V7" i="3" s="1"/>
  <c r="B3" i="3" a="1"/>
  <c r="B3" i="3" s="1"/>
  <c r="L3" i="3" s="1" a="1"/>
  <c r="L3" i="3" s="1"/>
  <c r="C3" i="3" a="1"/>
  <c r="C3" i="3" s="1"/>
  <c r="M3" i="3" s="1" a="1"/>
  <c r="M3" i="3" s="1"/>
  <c r="D3" i="3" a="1"/>
  <c r="D3" i="3" s="1"/>
  <c r="N3" i="3" s="1" a="1"/>
  <c r="N3" i="3" s="1"/>
  <c r="E3" i="3" a="1"/>
  <c r="E3" i="3" s="1"/>
  <c r="O3" i="3" s="1" a="1"/>
  <c r="O3" i="3" s="1"/>
  <c r="F3" i="3" a="1"/>
  <c r="F3" i="3" s="1"/>
  <c r="P3" i="3" s="1" a="1"/>
  <c r="P3" i="3" s="1"/>
  <c r="G3" i="3" a="1"/>
  <c r="G3" i="3" s="1"/>
  <c r="Q3" i="3" s="1" a="1"/>
  <c r="Q3" i="3" s="1"/>
  <c r="H3" i="3" a="1"/>
  <c r="H3" i="3" s="1"/>
  <c r="R3" i="3" s="1" a="1"/>
  <c r="R3" i="3" s="1"/>
  <c r="S3" i="3" s="1" a="1"/>
  <c r="S3" i="3" s="1"/>
  <c r="J3" i="3" a="1"/>
  <c r="J3" i="3" s="1"/>
  <c r="U3" i="3" s="1" a="1"/>
  <c r="U3" i="3" s="1"/>
  <c r="I3" i="3" a="1"/>
  <c r="I3" i="3" s="1"/>
  <c r="T3" i="3" s="1" a="1"/>
  <c r="T3" i="3" s="1"/>
  <c r="K3" i="3" a="1"/>
  <c r="K3" i="3" s="1"/>
  <c r="V3" i="3" s="1" a="1"/>
  <c r="V3" i="3" s="1"/>
  <c r="B290" i="3" a="1"/>
  <c r="B290" i="3" s="1"/>
  <c r="L290" i="3" s="1" a="1"/>
  <c r="L290" i="3" s="1"/>
  <c r="C290" i="3" a="1"/>
  <c r="C290" i="3" s="1"/>
  <c r="M290" i="3" s="1" a="1"/>
  <c r="M290" i="3" s="1"/>
  <c r="D290" i="3" a="1"/>
  <c r="D290" i="3" s="1"/>
  <c r="N290" i="3" s="1" a="1"/>
  <c r="N290" i="3" s="1"/>
  <c r="E290" i="3" a="1"/>
  <c r="E290" i="3" s="1"/>
  <c r="O290" i="3" s="1" a="1"/>
  <c r="O290" i="3" s="1"/>
  <c r="F290" i="3" a="1"/>
  <c r="F290" i="3" s="1"/>
  <c r="P290" i="3" s="1" a="1"/>
  <c r="P290" i="3" s="1"/>
  <c r="H290" i="3" a="1"/>
  <c r="H290" i="3" s="1"/>
  <c r="R290" i="3" s="1" a="1"/>
  <c r="R290" i="3" s="1"/>
  <c r="S290" i="3" s="1" a="1"/>
  <c r="S290" i="3" s="1"/>
  <c r="J290" i="3" a="1"/>
  <c r="J290" i="3" s="1"/>
  <c r="U290" i="3" s="1" a="1"/>
  <c r="U290" i="3" s="1"/>
  <c r="I290" i="3" a="1"/>
  <c r="I290" i="3" s="1"/>
  <c r="T290" i="3" s="1" a="1"/>
  <c r="T290" i="3" s="1"/>
  <c r="G290" i="3" a="1"/>
  <c r="G290" i="3" s="1"/>
  <c r="Q290" i="3" s="1" a="1"/>
  <c r="Q290" i="3" s="1"/>
  <c r="K290" i="3" a="1"/>
  <c r="K290" i="3" s="1"/>
  <c r="V290" i="3" s="1" a="1"/>
  <c r="V290" i="3" s="1"/>
  <c r="B286" i="3" a="1"/>
  <c r="B286" i="3" s="1"/>
  <c r="L286" i="3" s="1" a="1"/>
  <c r="L286" i="3" s="1"/>
  <c r="C286" i="3" a="1"/>
  <c r="C286" i="3" s="1"/>
  <c r="M286" i="3" s="1" a="1"/>
  <c r="M286" i="3" s="1"/>
  <c r="D286" i="3" a="1"/>
  <c r="D286" i="3" s="1"/>
  <c r="N286" i="3" s="1" a="1"/>
  <c r="N286" i="3" s="1"/>
  <c r="F286" i="3" a="1"/>
  <c r="F286" i="3" s="1"/>
  <c r="P286" i="3" s="1" a="1"/>
  <c r="P286" i="3" s="1"/>
  <c r="E286" i="3" a="1"/>
  <c r="E286" i="3" s="1"/>
  <c r="O286" i="3" s="1" a="1"/>
  <c r="O286" i="3" s="1"/>
  <c r="H286" i="3" a="1"/>
  <c r="H286" i="3" s="1"/>
  <c r="R286" i="3" s="1" a="1"/>
  <c r="R286" i="3" s="1"/>
  <c r="S286" i="3" s="1" a="1"/>
  <c r="S286" i="3" s="1"/>
  <c r="G286" i="3" a="1"/>
  <c r="G286" i="3" s="1"/>
  <c r="Q286" i="3" s="1" a="1"/>
  <c r="Q286" i="3" s="1"/>
  <c r="J286" i="3" a="1"/>
  <c r="J286" i="3" s="1"/>
  <c r="U286" i="3" s="1" a="1"/>
  <c r="U286" i="3" s="1"/>
  <c r="I286" i="3" a="1"/>
  <c r="I286" i="3" s="1"/>
  <c r="T286" i="3" s="1" a="1"/>
  <c r="T286" i="3" s="1"/>
  <c r="K286" i="3" a="1"/>
  <c r="K286" i="3" s="1"/>
  <c r="V286" i="3" s="1" a="1"/>
  <c r="V286" i="3" s="1"/>
  <c r="E9" i="11"/>
  <c r="E4" i="11"/>
  <c r="E8" i="11"/>
  <c r="E6" i="11"/>
  <c r="E10" i="11"/>
  <c r="E5" i="11"/>
  <c r="G9" i="11" a="1"/>
  <c r="G9" i="11" s="1"/>
  <c r="G4" i="11" a="1"/>
  <c r="G4" i="11" s="1"/>
  <c r="F6" i="11" a="1"/>
  <c r="F6" i="11" s="1"/>
  <c r="G8" i="11" a="1"/>
  <c r="G8" i="11" s="1"/>
  <c r="F10" i="11" a="1"/>
  <c r="F10" i="11" s="1"/>
  <c r="F5" i="11" a="1"/>
  <c r="F5" i="11" s="1"/>
  <c r="D8" i="11"/>
  <c r="G6" i="11" a="1"/>
  <c r="G6" i="11" s="1"/>
  <c r="F9" i="11" a="1"/>
  <c r="F9" i="11" s="1"/>
  <c r="F4" i="11" a="1"/>
  <c r="F4" i="11" s="1"/>
  <c r="G10" i="11" a="1"/>
  <c r="G10" i="11" s="1"/>
  <c r="G5" i="11" a="1"/>
  <c r="G5" i="11" s="1"/>
  <c r="F8" i="11" a="1"/>
  <c r="F8" i="11" s="1"/>
  <c r="D6" i="11"/>
  <c r="D5" i="11"/>
  <c r="D4" i="11"/>
  <c r="D10" i="11"/>
  <c r="D9" i="11"/>
  <c r="B2" i="6"/>
  <c r="H2" i="1" s="1"/>
  <c r="AC2" i="3" s="1"/>
  <c r="B3" i="6"/>
  <c r="H3" i="1" s="1"/>
  <c r="AC3" i="3" s="1"/>
  <c r="B4" i="6"/>
  <c r="H4" i="1" s="1"/>
  <c r="AC4" i="3" s="1"/>
  <c r="B5" i="6"/>
  <c r="H5" i="1" s="1"/>
  <c r="AC5" i="3" s="1"/>
  <c r="B6" i="6"/>
  <c r="H6" i="1" s="1"/>
  <c r="AC6" i="3" s="1"/>
  <c r="B7" i="6"/>
  <c r="H7" i="1" s="1"/>
  <c r="AC7" i="3" s="1"/>
  <c r="B8" i="6"/>
  <c r="H8" i="1" s="1"/>
  <c r="AC8" i="3" s="1"/>
  <c r="B9" i="6"/>
  <c r="H9" i="1" s="1"/>
  <c r="AC9" i="3" s="1"/>
  <c r="B10" i="6"/>
  <c r="H10" i="1" s="1"/>
  <c r="AC10" i="3" s="1"/>
  <c r="B11" i="6"/>
  <c r="H11" i="1" s="1"/>
  <c r="AC11" i="3" s="1"/>
  <c r="B12" i="6"/>
  <c r="H12" i="1" s="1"/>
  <c r="AC12" i="3" s="1"/>
  <c r="B13" i="6"/>
  <c r="H13" i="1" s="1"/>
  <c r="AC13" i="3" s="1"/>
  <c r="B14" i="6"/>
  <c r="H14" i="1" s="1"/>
  <c r="AC14" i="3" s="1"/>
  <c r="B15" i="6"/>
  <c r="H15" i="1" s="1"/>
  <c r="AC15" i="3" s="1"/>
  <c r="B16" i="6"/>
  <c r="H16" i="1" s="1"/>
  <c r="AC16" i="3" s="1"/>
  <c r="B17" i="6"/>
  <c r="H17" i="1" s="1"/>
  <c r="AC17" i="3" s="1"/>
  <c r="B18" i="6"/>
  <c r="H18" i="1" s="1"/>
  <c r="AC18" i="3" s="1"/>
  <c r="B19" i="6"/>
  <c r="H19" i="1" s="1"/>
  <c r="AC19" i="3" s="1"/>
  <c r="B20" i="6"/>
  <c r="H20" i="1" s="1"/>
  <c r="AC20" i="3" s="1"/>
  <c r="B21" i="6"/>
  <c r="H21" i="1" s="1"/>
  <c r="AC21" i="3" s="1"/>
  <c r="B22" i="6"/>
  <c r="H22" i="1" s="1"/>
  <c r="AC22" i="3" s="1"/>
  <c r="B23" i="6"/>
  <c r="H23" i="1" s="1"/>
  <c r="AC23" i="3" s="1"/>
  <c r="B24" i="6"/>
  <c r="H24" i="1" s="1"/>
  <c r="AC24" i="3" s="1"/>
  <c r="B25" i="6"/>
  <c r="H25" i="1" s="1"/>
  <c r="AC25" i="3" s="1"/>
  <c r="B26" i="6"/>
  <c r="H26" i="1" s="1"/>
  <c r="AC26" i="3" s="1"/>
  <c r="B27" i="6"/>
  <c r="H27" i="1" s="1"/>
  <c r="AC27" i="3" s="1"/>
  <c r="B28" i="6"/>
  <c r="H28" i="1" s="1"/>
  <c r="AC28" i="3" s="1"/>
  <c r="B29" i="6"/>
  <c r="H29" i="1" s="1"/>
  <c r="AC29" i="3" s="1"/>
  <c r="B30" i="6"/>
  <c r="H30" i="1" s="1"/>
  <c r="AC30" i="3" s="1"/>
  <c r="B31" i="6"/>
  <c r="H31" i="1" s="1"/>
  <c r="AC31" i="3" s="1"/>
  <c r="B32" i="6"/>
  <c r="H32" i="1" s="1"/>
  <c r="AC32" i="3" s="1"/>
  <c r="B33" i="6"/>
  <c r="H33" i="1" s="1"/>
  <c r="AC33" i="3" s="1"/>
  <c r="B34" i="6"/>
  <c r="H34" i="1" s="1"/>
  <c r="AC34" i="3" s="1"/>
  <c r="B35" i="6"/>
  <c r="H35" i="1" s="1"/>
  <c r="AC35" i="3" s="1"/>
  <c r="B36" i="6"/>
  <c r="H36" i="1" s="1"/>
  <c r="AC36" i="3" s="1"/>
  <c r="B37" i="6"/>
  <c r="H37" i="1" s="1"/>
  <c r="AC37" i="3" s="1"/>
  <c r="B38" i="6"/>
  <c r="H38" i="1" s="1"/>
  <c r="AC38" i="3" s="1"/>
  <c r="B39" i="6"/>
  <c r="H39" i="1" s="1"/>
  <c r="AC39" i="3" s="1"/>
  <c r="B40" i="6"/>
  <c r="H40" i="1" s="1"/>
  <c r="AC40" i="3" s="1"/>
  <c r="B41" i="6"/>
  <c r="H41" i="1" s="1"/>
  <c r="AC41" i="3" s="1"/>
  <c r="B42" i="6"/>
  <c r="H42" i="1" s="1"/>
  <c r="AC42" i="3" s="1"/>
  <c r="B43" i="6"/>
  <c r="H43" i="1" s="1"/>
  <c r="AC43" i="3" s="1"/>
  <c r="B44" i="6"/>
  <c r="H44" i="1" s="1"/>
  <c r="AC44" i="3" s="1"/>
  <c r="B45" i="6"/>
  <c r="H45" i="1" s="1"/>
  <c r="AC45" i="3" s="1"/>
  <c r="B46" i="6"/>
  <c r="H46" i="1" s="1"/>
  <c r="AC46" i="3" s="1"/>
  <c r="B47" i="6"/>
  <c r="H47" i="1" s="1"/>
  <c r="AC47" i="3" s="1"/>
  <c r="B48" i="6"/>
  <c r="H48" i="1" s="1"/>
  <c r="AC48" i="3" s="1"/>
  <c r="B49" i="6"/>
  <c r="H49" i="1" s="1"/>
  <c r="AC49" i="3" s="1"/>
  <c r="B50" i="6"/>
  <c r="H50" i="1" s="1"/>
  <c r="AC50" i="3" s="1"/>
  <c r="B51" i="6"/>
  <c r="H51" i="1" s="1"/>
  <c r="AC51" i="3" s="1"/>
  <c r="B52" i="6"/>
  <c r="H52" i="1" s="1"/>
  <c r="AC52" i="3" s="1"/>
  <c r="B53" i="6"/>
  <c r="H53" i="1" s="1"/>
  <c r="AC53" i="3" s="1"/>
  <c r="B54" i="6"/>
  <c r="H54" i="1" s="1"/>
  <c r="AC54" i="3" s="1"/>
  <c r="B55" i="6"/>
  <c r="H55" i="1" s="1"/>
  <c r="AC55" i="3" s="1"/>
  <c r="B56" i="6"/>
  <c r="H56" i="1" s="1"/>
  <c r="AC56" i="3" s="1"/>
  <c r="B57" i="6"/>
  <c r="H57" i="1" s="1"/>
  <c r="AC57" i="3" s="1"/>
  <c r="B58" i="6"/>
  <c r="H58" i="1" s="1"/>
  <c r="AC58" i="3" s="1"/>
  <c r="B59" i="6"/>
  <c r="H59" i="1" s="1"/>
  <c r="AC59" i="3" s="1"/>
  <c r="B60" i="6"/>
  <c r="H60" i="1" s="1"/>
  <c r="AC60" i="3" s="1"/>
  <c r="B61" i="6"/>
  <c r="H61" i="1" s="1"/>
  <c r="AC61" i="3" s="1"/>
  <c r="B62" i="6"/>
  <c r="H62" i="1" s="1"/>
  <c r="AC62" i="3" s="1"/>
  <c r="B63" i="6"/>
  <c r="H63" i="1" s="1"/>
  <c r="AC63" i="3" s="1"/>
  <c r="B64" i="6"/>
  <c r="H64" i="1" s="1"/>
  <c r="AC64" i="3" s="1"/>
  <c r="B65" i="6"/>
  <c r="H65" i="1" s="1"/>
  <c r="AC65" i="3" s="1"/>
  <c r="B66" i="6"/>
  <c r="H66" i="1" s="1"/>
  <c r="AC66" i="3" s="1"/>
  <c r="B67" i="6"/>
  <c r="H67" i="1" s="1"/>
  <c r="AC67" i="3" s="1"/>
  <c r="B68" i="6"/>
  <c r="H68" i="1" s="1"/>
  <c r="AC68" i="3" s="1"/>
  <c r="B69" i="6"/>
  <c r="H69" i="1" s="1"/>
  <c r="AC69" i="3" s="1"/>
  <c r="B70" i="6"/>
  <c r="H70" i="1" s="1"/>
  <c r="AC70" i="3" s="1"/>
  <c r="B71" i="6"/>
  <c r="H71" i="1" s="1"/>
  <c r="AC71" i="3" s="1"/>
  <c r="B72" i="6"/>
  <c r="H72" i="1" s="1"/>
  <c r="AC72" i="3" s="1"/>
  <c r="B73" i="6"/>
  <c r="H73" i="1" s="1"/>
  <c r="AC73" i="3" s="1"/>
  <c r="B74" i="6"/>
  <c r="H74" i="1" s="1"/>
  <c r="AC74" i="3" s="1"/>
  <c r="B75" i="6"/>
  <c r="H75" i="1" s="1"/>
  <c r="AC75" i="3" s="1"/>
  <c r="B76" i="6"/>
  <c r="H76" i="1" s="1"/>
  <c r="AC76" i="3" s="1"/>
  <c r="B77" i="6"/>
  <c r="H77" i="1" s="1"/>
  <c r="AC77" i="3" s="1"/>
  <c r="B78" i="6"/>
  <c r="H78" i="1" s="1"/>
  <c r="AC78" i="3" s="1"/>
  <c r="B79" i="6"/>
  <c r="H79" i="1" s="1"/>
  <c r="AC79" i="3" s="1"/>
  <c r="B80" i="6"/>
  <c r="H80" i="1" s="1"/>
  <c r="AC80" i="3" s="1"/>
  <c r="B81" i="6"/>
  <c r="H81" i="1" s="1"/>
  <c r="AC81" i="3" s="1"/>
  <c r="B82" i="6"/>
  <c r="H82" i="1" s="1"/>
  <c r="AC82" i="3" s="1"/>
  <c r="B83" i="6"/>
  <c r="H83" i="1" s="1"/>
  <c r="AC83" i="3" s="1"/>
  <c r="B84" i="6"/>
  <c r="H84" i="1" s="1"/>
  <c r="AC84" i="3" s="1"/>
  <c r="B85" i="6"/>
  <c r="H85" i="1" s="1"/>
  <c r="AC85" i="3" s="1"/>
  <c r="B86" i="6"/>
  <c r="H86" i="1" s="1"/>
  <c r="AC86" i="3" s="1"/>
  <c r="B87" i="6"/>
  <c r="H87" i="1" s="1"/>
  <c r="AC87" i="3" s="1"/>
  <c r="B88" i="6"/>
  <c r="H88" i="1" s="1"/>
  <c r="AC88" i="3" s="1"/>
  <c r="B89" i="6"/>
  <c r="H89" i="1" s="1"/>
  <c r="AC89" i="3" s="1"/>
  <c r="B90" i="6"/>
  <c r="H90" i="1" s="1"/>
  <c r="AC90" i="3" s="1"/>
  <c r="B91" i="6"/>
  <c r="H91" i="1" s="1"/>
  <c r="AC91" i="3" s="1"/>
  <c r="B92" i="6"/>
  <c r="H92" i="1" s="1"/>
  <c r="AC92" i="3" s="1"/>
  <c r="B93" i="6"/>
  <c r="H93" i="1" s="1"/>
  <c r="AC93" i="3" s="1"/>
  <c r="B94" i="6"/>
  <c r="H94" i="1" s="1"/>
  <c r="AC94" i="3" s="1"/>
  <c r="B95" i="6"/>
  <c r="H95" i="1" s="1"/>
  <c r="AC95" i="3" s="1"/>
  <c r="B96" i="6"/>
  <c r="H96" i="1" s="1"/>
  <c r="AC96" i="3" s="1"/>
  <c r="B97" i="6"/>
  <c r="H97" i="1" s="1"/>
  <c r="AC97" i="3" s="1"/>
  <c r="B98" i="6"/>
  <c r="H98" i="1" s="1"/>
  <c r="AC98" i="3" s="1"/>
  <c r="B99" i="6"/>
  <c r="H99" i="1" s="1"/>
  <c r="AC99" i="3" s="1"/>
  <c r="B100" i="6"/>
  <c r="H100" i="1" s="1"/>
  <c r="AC100" i="3" s="1"/>
  <c r="B101" i="6"/>
  <c r="H101" i="1" s="1"/>
  <c r="AC101" i="3" s="1"/>
  <c r="B102" i="6"/>
  <c r="H102" i="1" s="1"/>
  <c r="AC102" i="3" s="1"/>
  <c r="B103" i="6"/>
  <c r="H103" i="1" s="1"/>
  <c r="AC103" i="3" s="1"/>
  <c r="B104" i="6"/>
  <c r="H104" i="1" s="1"/>
  <c r="AC104" i="3" s="1"/>
  <c r="B105" i="6"/>
  <c r="H105" i="1" s="1"/>
  <c r="AC105" i="3" s="1"/>
  <c r="B106" i="6"/>
  <c r="H106" i="1" s="1"/>
  <c r="AC106" i="3" s="1"/>
  <c r="B107" i="6"/>
  <c r="H107" i="1" s="1"/>
  <c r="AC107" i="3" s="1"/>
  <c r="B108" i="6"/>
  <c r="H108" i="1" s="1"/>
  <c r="AC108" i="3" s="1"/>
  <c r="B109" i="6"/>
  <c r="H109" i="1" s="1"/>
  <c r="AC109" i="3" s="1"/>
  <c r="B110" i="6"/>
  <c r="H110" i="1" s="1"/>
  <c r="AC110" i="3" s="1"/>
  <c r="B111" i="6"/>
  <c r="H111" i="1" s="1"/>
  <c r="AC111" i="3" s="1"/>
  <c r="B112" i="6"/>
  <c r="H112" i="1" s="1"/>
  <c r="AC112" i="3" s="1"/>
  <c r="B113" i="6"/>
  <c r="H113" i="1" s="1"/>
  <c r="AC113" i="3" s="1"/>
  <c r="B114" i="6"/>
  <c r="H114" i="1" s="1"/>
  <c r="AC114" i="3" s="1"/>
  <c r="B115" i="6"/>
  <c r="H115" i="1" s="1"/>
  <c r="AC115" i="3" s="1"/>
  <c r="B116" i="6"/>
  <c r="H116" i="1" s="1"/>
  <c r="AC116" i="3" s="1"/>
  <c r="B117" i="6"/>
  <c r="H117" i="1" s="1"/>
  <c r="AC117" i="3" s="1"/>
  <c r="B118" i="6"/>
  <c r="H118" i="1" s="1"/>
  <c r="AC118" i="3" s="1"/>
  <c r="B119" i="6"/>
  <c r="H119" i="1" s="1"/>
  <c r="AC119" i="3" s="1"/>
  <c r="B120" i="6"/>
  <c r="H120" i="1" s="1"/>
  <c r="AC120" i="3" s="1"/>
  <c r="B121" i="6"/>
  <c r="H121" i="1" s="1"/>
  <c r="AC121" i="3" s="1"/>
  <c r="B122" i="6"/>
  <c r="H122" i="1" s="1"/>
  <c r="AC122" i="3" s="1"/>
  <c r="B123" i="6"/>
  <c r="H123" i="1" s="1"/>
  <c r="AC123" i="3" s="1"/>
  <c r="B124" i="6"/>
  <c r="H124" i="1" s="1"/>
  <c r="AC124" i="3" s="1"/>
  <c r="B125" i="6"/>
  <c r="H125" i="1" s="1"/>
  <c r="AC125" i="3" s="1"/>
  <c r="B126" i="6"/>
  <c r="H126" i="1" s="1"/>
  <c r="AC126" i="3" s="1"/>
  <c r="B127" i="6"/>
  <c r="H127" i="1" s="1"/>
  <c r="AC127" i="3" s="1"/>
  <c r="B128" i="6"/>
  <c r="H128" i="1" s="1"/>
  <c r="AC128" i="3" s="1"/>
  <c r="B129" i="6"/>
  <c r="H129" i="1" s="1"/>
  <c r="AC129" i="3" s="1"/>
  <c r="B130" i="6"/>
  <c r="H130" i="1" s="1"/>
  <c r="AC130" i="3" s="1"/>
  <c r="B131" i="6"/>
  <c r="H131" i="1" s="1"/>
  <c r="AC131" i="3" s="1"/>
  <c r="B132" i="6"/>
  <c r="H132" i="1" s="1"/>
  <c r="AC132" i="3" s="1"/>
  <c r="B133" i="6"/>
  <c r="H133" i="1" s="1"/>
  <c r="AC133" i="3" s="1"/>
  <c r="B134" i="6"/>
  <c r="H134" i="1" s="1"/>
  <c r="AC134" i="3" s="1"/>
  <c r="B135" i="6"/>
  <c r="H135" i="1" s="1"/>
  <c r="AC135" i="3" s="1"/>
  <c r="B136" i="6"/>
  <c r="H136" i="1" s="1"/>
  <c r="AC136" i="3" s="1"/>
  <c r="B137" i="6"/>
  <c r="H137" i="1" s="1"/>
  <c r="AC137" i="3" s="1"/>
  <c r="B138" i="6"/>
  <c r="H138" i="1" s="1"/>
  <c r="AC138" i="3" s="1"/>
  <c r="B139" i="6"/>
  <c r="H139" i="1" s="1"/>
  <c r="AC139" i="3" s="1"/>
  <c r="B140" i="6"/>
  <c r="H140" i="1" s="1"/>
  <c r="AC140" i="3" s="1"/>
  <c r="B141" i="6"/>
  <c r="H141" i="1" s="1"/>
  <c r="AC141" i="3" s="1"/>
  <c r="B142" i="6"/>
  <c r="H142" i="1" s="1"/>
  <c r="AC142" i="3" s="1"/>
  <c r="B143" i="6"/>
  <c r="H143" i="1" s="1"/>
  <c r="AC143" i="3" s="1"/>
  <c r="B144" i="6"/>
  <c r="H144" i="1" s="1"/>
  <c r="AC144" i="3" s="1"/>
  <c r="B145" i="6"/>
  <c r="H145" i="1" s="1"/>
  <c r="AC145" i="3" s="1"/>
  <c r="B146" i="6"/>
  <c r="H146" i="1" s="1"/>
  <c r="AC146" i="3" s="1"/>
  <c r="B147" i="6"/>
  <c r="H147" i="1" s="1"/>
  <c r="AC147" i="3" s="1"/>
  <c r="B148" i="6"/>
  <c r="H148" i="1" s="1"/>
  <c r="AC148" i="3" s="1"/>
  <c r="B149" i="6"/>
  <c r="H149" i="1" s="1"/>
  <c r="AC149" i="3" s="1"/>
  <c r="B150" i="6"/>
  <c r="H150" i="1" s="1"/>
  <c r="AC150" i="3" s="1"/>
  <c r="B151" i="6"/>
  <c r="H151" i="1" s="1"/>
  <c r="AC151" i="3" s="1"/>
  <c r="B152" i="6"/>
  <c r="H152" i="1" s="1"/>
  <c r="AC152" i="3" s="1"/>
  <c r="B153" i="6"/>
  <c r="H153" i="1" s="1"/>
  <c r="AC153" i="3" s="1"/>
  <c r="B154" i="6"/>
  <c r="H154" i="1" s="1"/>
  <c r="AC154" i="3" s="1"/>
  <c r="B155" i="6"/>
  <c r="H155" i="1" s="1"/>
  <c r="AC155" i="3" s="1"/>
  <c r="B156" i="6"/>
  <c r="H156" i="1" s="1"/>
  <c r="AC156" i="3" s="1"/>
  <c r="B157" i="6"/>
  <c r="H157" i="1" s="1"/>
  <c r="AC157" i="3" s="1"/>
  <c r="B158" i="6"/>
  <c r="H158" i="1" s="1"/>
  <c r="AC158" i="3" s="1"/>
  <c r="B159" i="6"/>
  <c r="H159" i="1" s="1"/>
  <c r="AC159" i="3" s="1"/>
  <c r="B160" i="6"/>
  <c r="H160" i="1" s="1"/>
  <c r="AC160" i="3" s="1"/>
  <c r="B161" i="6"/>
  <c r="H161" i="1" s="1"/>
  <c r="AC161" i="3" s="1"/>
  <c r="B162" i="6"/>
  <c r="H162" i="1" s="1"/>
  <c r="AC162" i="3" s="1"/>
  <c r="B163" i="6"/>
  <c r="H163" i="1" s="1"/>
  <c r="AC163" i="3" s="1"/>
  <c r="B164" i="6"/>
  <c r="H164" i="1" s="1"/>
  <c r="AC164" i="3" s="1"/>
  <c r="B165" i="6"/>
  <c r="H165" i="1" s="1"/>
  <c r="AC165" i="3" s="1"/>
  <c r="B166" i="6"/>
  <c r="H166" i="1" s="1"/>
  <c r="AC166" i="3" s="1"/>
  <c r="B167" i="6"/>
  <c r="H167" i="1" s="1"/>
  <c r="AC167" i="3" s="1"/>
  <c r="B168" i="6"/>
  <c r="H168" i="1" s="1"/>
  <c r="AC168" i="3" s="1"/>
  <c r="B169" i="6"/>
  <c r="H169" i="1" s="1"/>
  <c r="AC169" i="3" s="1"/>
  <c r="B170" i="6"/>
  <c r="H170" i="1" s="1"/>
  <c r="AC170" i="3" s="1"/>
  <c r="B171" i="6"/>
  <c r="H171" i="1" s="1"/>
  <c r="AC171" i="3" s="1"/>
  <c r="B172" i="6"/>
  <c r="H172" i="1" s="1"/>
  <c r="AC172" i="3" s="1"/>
  <c r="B173" i="6"/>
  <c r="H173" i="1" s="1"/>
  <c r="AC173" i="3" s="1"/>
  <c r="B174" i="6"/>
  <c r="H174" i="1" s="1"/>
  <c r="AC174" i="3" s="1"/>
  <c r="B175" i="6"/>
  <c r="H175" i="1" s="1"/>
  <c r="AC175" i="3" s="1"/>
  <c r="B176" i="6"/>
  <c r="H176" i="1" s="1"/>
  <c r="AC176" i="3" s="1"/>
  <c r="B177" i="6"/>
  <c r="H177" i="1" s="1"/>
  <c r="AC177" i="3" s="1"/>
  <c r="B178" i="6"/>
  <c r="H178" i="1" s="1"/>
  <c r="AC178" i="3" s="1"/>
  <c r="B179" i="6"/>
  <c r="H179" i="1" s="1"/>
  <c r="AC179" i="3" s="1"/>
  <c r="B180" i="6"/>
  <c r="H180" i="1" s="1"/>
  <c r="AC180" i="3" s="1"/>
  <c r="B181" i="6"/>
  <c r="H181" i="1" s="1"/>
  <c r="AC181" i="3" s="1"/>
  <c r="B182" i="6"/>
  <c r="H182" i="1" s="1"/>
  <c r="AC182" i="3" s="1"/>
  <c r="B183" i="6"/>
  <c r="H183" i="1" s="1"/>
  <c r="AC183" i="3" s="1"/>
  <c r="B184" i="6"/>
  <c r="H184" i="1" s="1"/>
  <c r="AC184" i="3" s="1"/>
  <c r="B185" i="6"/>
  <c r="H185" i="1" s="1"/>
  <c r="AC185" i="3" s="1"/>
  <c r="B186" i="6"/>
  <c r="H186" i="1" s="1"/>
  <c r="AC186" i="3" s="1"/>
  <c r="B187" i="6"/>
  <c r="H187" i="1" s="1"/>
  <c r="AC187" i="3" s="1"/>
  <c r="B188" i="6"/>
  <c r="H188" i="1" s="1"/>
  <c r="AC188" i="3" s="1"/>
  <c r="B189" i="6"/>
  <c r="H189" i="1" s="1"/>
  <c r="AC189" i="3" s="1"/>
  <c r="B190" i="6"/>
  <c r="H190" i="1" s="1"/>
  <c r="AC190" i="3" s="1"/>
  <c r="B191" i="6"/>
  <c r="H191" i="1" s="1"/>
  <c r="AC191" i="3" s="1"/>
  <c r="B192" i="6"/>
  <c r="H192" i="1" s="1"/>
  <c r="AC192" i="3" s="1"/>
  <c r="B193" i="6"/>
  <c r="H193" i="1" s="1"/>
  <c r="AC193" i="3" s="1"/>
  <c r="B194" i="6"/>
  <c r="H194" i="1" s="1"/>
  <c r="AC194" i="3" s="1"/>
  <c r="B195" i="6"/>
  <c r="H195" i="1" s="1"/>
  <c r="AC195" i="3" s="1"/>
  <c r="B196" i="6"/>
  <c r="H196" i="1" s="1"/>
  <c r="AC196" i="3" s="1"/>
  <c r="B197" i="6"/>
  <c r="H197" i="1" s="1"/>
  <c r="AC197" i="3" s="1"/>
  <c r="B198" i="6"/>
  <c r="H198" i="1" s="1"/>
  <c r="AC198" i="3" s="1"/>
  <c r="B199" i="6"/>
  <c r="H199" i="1" s="1"/>
  <c r="AC199" i="3" s="1"/>
  <c r="B200" i="6"/>
  <c r="H200" i="1" s="1"/>
  <c r="AC200" i="3" s="1"/>
  <c r="B201" i="6"/>
  <c r="H201" i="1" s="1"/>
  <c r="AC201" i="3" s="1"/>
  <c r="B202" i="6"/>
  <c r="H202" i="1" s="1"/>
  <c r="AC202" i="3" s="1"/>
  <c r="B203" i="6"/>
  <c r="H203" i="1" s="1"/>
  <c r="AC203" i="3" s="1"/>
  <c r="B204" i="6"/>
  <c r="H204" i="1" s="1"/>
  <c r="AC204" i="3" s="1"/>
  <c r="B205" i="6"/>
  <c r="H205" i="1" s="1"/>
  <c r="AC205" i="3" s="1"/>
  <c r="B206" i="6"/>
  <c r="H206" i="1" s="1"/>
  <c r="AC206" i="3" s="1"/>
  <c r="B207" i="6"/>
  <c r="H207" i="1" s="1"/>
  <c r="AC207" i="3" s="1"/>
  <c r="B208" i="6"/>
  <c r="H208" i="1" s="1"/>
  <c r="AC208" i="3" s="1"/>
  <c r="B209" i="6"/>
  <c r="H209" i="1" s="1"/>
  <c r="AC209" i="3" s="1"/>
  <c r="B210" i="6"/>
  <c r="H210" i="1" s="1"/>
  <c r="AC210" i="3" s="1"/>
  <c r="B211" i="6"/>
  <c r="H211" i="1" s="1"/>
  <c r="AC211" i="3" s="1"/>
  <c r="B212" i="6"/>
  <c r="H212" i="1" s="1"/>
  <c r="AC212" i="3" s="1"/>
  <c r="B213" i="6"/>
  <c r="H213" i="1" s="1"/>
  <c r="AC213" i="3" s="1"/>
  <c r="B214" i="6"/>
  <c r="H214" i="1" s="1"/>
  <c r="AC214" i="3" s="1"/>
  <c r="B215" i="6"/>
  <c r="H215" i="1" s="1"/>
  <c r="AC215" i="3" s="1"/>
  <c r="B216" i="6"/>
  <c r="H216" i="1" s="1"/>
  <c r="AC216" i="3" s="1"/>
  <c r="B217" i="6"/>
  <c r="H217" i="1" s="1"/>
  <c r="AC217" i="3" s="1"/>
  <c r="B218" i="6"/>
  <c r="H218" i="1" s="1"/>
  <c r="AC218" i="3" s="1"/>
  <c r="B219" i="6"/>
  <c r="H219" i="1" s="1"/>
  <c r="AC219" i="3" s="1"/>
  <c r="B220" i="6"/>
  <c r="H220" i="1" s="1"/>
  <c r="AC220" i="3" s="1"/>
  <c r="B221" i="6"/>
  <c r="H221" i="1" s="1"/>
  <c r="AC221" i="3" s="1"/>
  <c r="B222" i="6"/>
  <c r="H222" i="1" s="1"/>
  <c r="AC222" i="3" s="1"/>
  <c r="B223" i="6"/>
  <c r="H223" i="1" s="1"/>
  <c r="AC223" i="3" s="1"/>
  <c r="B224" i="6"/>
  <c r="H224" i="1" s="1"/>
  <c r="AC224" i="3" s="1"/>
  <c r="B225" i="6"/>
  <c r="H225" i="1" s="1"/>
  <c r="AC225" i="3" s="1"/>
  <c r="B226" i="6"/>
  <c r="H226" i="1" s="1"/>
  <c r="AC226" i="3" s="1"/>
  <c r="B227" i="6"/>
  <c r="H227" i="1" s="1"/>
  <c r="AC227" i="3" s="1"/>
  <c r="B228" i="6"/>
  <c r="H228" i="1" s="1"/>
  <c r="AC228" i="3" s="1"/>
  <c r="B229" i="6"/>
  <c r="H229" i="1" s="1"/>
  <c r="AC229" i="3" s="1"/>
  <c r="B230" i="6"/>
  <c r="H230" i="1" s="1"/>
  <c r="AC230" i="3" s="1"/>
  <c r="B231" i="6"/>
  <c r="H231" i="1" s="1"/>
  <c r="AC231" i="3" s="1"/>
  <c r="B232" i="6"/>
  <c r="H232" i="1" s="1"/>
  <c r="AC232" i="3" s="1"/>
  <c r="B233" i="6"/>
  <c r="H233" i="1" s="1"/>
  <c r="AC233" i="3" s="1"/>
  <c r="B234" i="6"/>
  <c r="H234" i="1" s="1"/>
  <c r="AC234" i="3" s="1"/>
  <c r="B235" i="6"/>
  <c r="H235" i="1" s="1"/>
  <c r="AC235" i="3" s="1"/>
  <c r="B236" i="6"/>
  <c r="H236" i="1" s="1"/>
  <c r="AC236" i="3" s="1"/>
  <c r="B237" i="6"/>
  <c r="H237" i="1" s="1"/>
  <c r="AC237" i="3" s="1"/>
  <c r="B238" i="6"/>
  <c r="H238" i="1" s="1"/>
  <c r="AC238" i="3" s="1"/>
  <c r="B239" i="6"/>
  <c r="H239" i="1" s="1"/>
  <c r="AC239" i="3" s="1"/>
  <c r="B240" i="6"/>
  <c r="H240" i="1" s="1"/>
  <c r="AC240" i="3" s="1"/>
  <c r="B241" i="6"/>
  <c r="H241" i="1" s="1"/>
  <c r="AC241" i="3" s="1"/>
  <c r="B242" i="6"/>
  <c r="H242" i="1" s="1"/>
  <c r="AC242" i="3" s="1"/>
  <c r="B243" i="6"/>
  <c r="H243" i="1" s="1"/>
  <c r="AC243" i="3" s="1"/>
  <c r="B244" i="6"/>
  <c r="H244" i="1" s="1"/>
  <c r="AC244" i="3" s="1"/>
  <c r="B245" i="6"/>
  <c r="H245" i="1" s="1"/>
  <c r="AC245" i="3" s="1"/>
  <c r="B246" i="6"/>
  <c r="H246" i="1" s="1"/>
  <c r="AC246" i="3" s="1"/>
  <c r="B247" i="6"/>
  <c r="H247" i="1" s="1"/>
  <c r="AC247" i="3" s="1"/>
  <c r="B248" i="6"/>
  <c r="H248" i="1" s="1"/>
  <c r="AC248" i="3" s="1"/>
  <c r="B249" i="6"/>
  <c r="H249" i="1" s="1"/>
  <c r="AC249" i="3" s="1"/>
  <c r="B250" i="6"/>
  <c r="H250" i="1" s="1"/>
  <c r="AC250" i="3" s="1"/>
  <c r="B251" i="6"/>
  <c r="H251" i="1" s="1"/>
  <c r="AC251" i="3" s="1"/>
  <c r="B252" i="6"/>
  <c r="H252" i="1" s="1"/>
  <c r="AC252" i="3" s="1"/>
  <c r="B253" i="6"/>
  <c r="H253" i="1" s="1"/>
  <c r="AC253" i="3" s="1"/>
  <c r="B254" i="6"/>
  <c r="H254" i="1" s="1"/>
  <c r="AC254" i="3" s="1"/>
  <c r="B255" i="6"/>
  <c r="H255" i="1" s="1"/>
  <c r="AC255" i="3" s="1"/>
  <c r="B256" i="6"/>
  <c r="H256" i="1" s="1"/>
  <c r="AC256" i="3" s="1"/>
  <c r="B257" i="6"/>
  <c r="H257" i="1" s="1"/>
  <c r="AC257" i="3" s="1"/>
  <c r="B258" i="6"/>
  <c r="H258" i="1" s="1"/>
  <c r="AC258" i="3" s="1"/>
  <c r="B259" i="6"/>
  <c r="H259" i="1" s="1"/>
  <c r="AC259" i="3" s="1"/>
  <c r="B260" i="6"/>
  <c r="H260" i="1" s="1"/>
  <c r="AC260" i="3" s="1"/>
  <c r="B261" i="6"/>
  <c r="H261" i="1" s="1"/>
  <c r="AC261" i="3" s="1"/>
  <c r="B262" i="6"/>
  <c r="H262" i="1" s="1"/>
  <c r="AC262" i="3" s="1"/>
  <c r="B263" i="6"/>
  <c r="H263" i="1" s="1"/>
  <c r="AC263" i="3" s="1"/>
  <c r="B264" i="6"/>
  <c r="H264" i="1" s="1"/>
  <c r="AC264" i="3" s="1"/>
  <c r="B265" i="6"/>
  <c r="H265" i="1" s="1"/>
  <c r="AC265" i="3" s="1"/>
  <c r="B266" i="6"/>
  <c r="H266" i="1" s="1"/>
  <c r="AC266" i="3" s="1"/>
  <c r="B267" i="6"/>
  <c r="H267" i="1" s="1"/>
  <c r="AC267" i="3" s="1"/>
  <c r="B268" i="6"/>
  <c r="H268" i="1" s="1"/>
  <c r="AC268" i="3" s="1"/>
  <c r="B269" i="6"/>
  <c r="H269" i="1" s="1"/>
  <c r="AC269" i="3" s="1"/>
  <c r="B270" i="6"/>
  <c r="H270" i="1" s="1"/>
  <c r="AC270" i="3" s="1"/>
  <c r="B271" i="6"/>
  <c r="H271" i="1" s="1"/>
  <c r="AC271" i="3" s="1"/>
  <c r="B272" i="6"/>
  <c r="H272" i="1" s="1"/>
  <c r="AC272" i="3" s="1"/>
  <c r="B273" i="6"/>
  <c r="H273" i="1" s="1"/>
  <c r="AC273" i="3" s="1"/>
  <c r="B274" i="6"/>
  <c r="H274" i="1" s="1"/>
  <c r="AC274" i="3" s="1"/>
  <c r="B275" i="6"/>
  <c r="H275" i="1" s="1"/>
  <c r="AC275" i="3" s="1"/>
  <c r="B276" i="6"/>
  <c r="H276" i="1" s="1"/>
  <c r="AC276" i="3" s="1"/>
  <c r="B277" i="6"/>
  <c r="H277" i="1" s="1"/>
  <c r="AC277" i="3" s="1"/>
  <c r="B278" i="6"/>
  <c r="H278" i="1" s="1"/>
  <c r="AC278" i="3" s="1"/>
  <c r="B279" i="6"/>
  <c r="H279" i="1" s="1"/>
  <c r="AC279" i="3" s="1"/>
  <c r="B280" i="6"/>
  <c r="H280" i="1" s="1"/>
  <c r="AC280" i="3" s="1"/>
  <c r="B281" i="6"/>
  <c r="H281" i="1" s="1"/>
  <c r="AC281" i="3" s="1"/>
  <c r="B282" i="6"/>
  <c r="H282" i="1" s="1"/>
  <c r="AC282" i="3" s="1"/>
  <c r="B283" i="6"/>
  <c r="H283" i="1" s="1"/>
  <c r="AC283" i="3" s="1"/>
  <c r="A2" i="6" l="1" a="1"/>
  <c r="A2" i="6" s="1"/>
  <c r="I2" i="2" l="1"/>
  <c r="J2" i="2"/>
  <c r="K2" i="2"/>
  <c r="I3" i="2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F2" i="6" l="1" a="1"/>
  <c r="E9999" i="6" s="1"/>
  <c r="K15" i="2"/>
  <c r="J15" i="2"/>
  <c r="I15" i="2"/>
  <c r="K14" i="2"/>
  <c r="J14" i="2"/>
  <c r="I14" i="2"/>
  <c r="K13" i="2"/>
  <c r="J13" i="2"/>
  <c r="I13" i="2"/>
  <c r="K12" i="2"/>
  <c r="J12" i="2"/>
  <c r="I12" i="2"/>
  <c r="K11" i="2"/>
  <c r="J11" i="2"/>
  <c r="I11" i="2"/>
  <c r="K10" i="2"/>
  <c r="J10" i="2"/>
  <c r="I10" i="2"/>
  <c r="K9" i="2"/>
  <c r="J9" i="2"/>
  <c r="I9" i="2"/>
  <c r="E352" i="6" l="1"/>
  <c r="E356" i="6"/>
  <c r="E360" i="6"/>
  <c r="E364" i="6"/>
  <c r="E368" i="6"/>
  <c r="E372" i="6"/>
  <c r="E376" i="6"/>
  <c r="E380" i="6"/>
  <c r="E384" i="6"/>
  <c r="E388" i="6"/>
  <c r="E392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00" i="6"/>
  <c r="E604" i="6"/>
  <c r="E608" i="6"/>
  <c r="E612" i="6"/>
  <c r="E616" i="6"/>
  <c r="E620" i="6"/>
  <c r="E624" i="6"/>
  <c r="E628" i="6"/>
  <c r="E632" i="6"/>
  <c r="E636" i="6"/>
  <c r="E640" i="6"/>
  <c r="E644" i="6"/>
  <c r="E648" i="6"/>
  <c r="E652" i="6"/>
  <c r="E656" i="6"/>
  <c r="E660" i="6"/>
  <c r="E664" i="6"/>
  <c r="E668" i="6"/>
  <c r="E672" i="6"/>
  <c r="E676" i="6"/>
  <c r="E680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1" i="6"/>
  <c r="E465" i="6"/>
  <c r="E469" i="6"/>
  <c r="E473" i="6"/>
  <c r="E477" i="6"/>
  <c r="E481" i="6"/>
  <c r="E485" i="6"/>
  <c r="E489" i="6"/>
  <c r="E493" i="6"/>
  <c r="E497" i="6"/>
  <c r="E501" i="6"/>
  <c r="E505" i="6"/>
  <c r="E509" i="6"/>
  <c r="E513" i="6"/>
  <c r="E517" i="6"/>
  <c r="E521" i="6"/>
  <c r="E525" i="6"/>
  <c r="E529" i="6"/>
  <c r="E533" i="6"/>
  <c r="E537" i="6"/>
  <c r="E541" i="6"/>
  <c r="E545" i="6"/>
  <c r="E549" i="6"/>
  <c r="E553" i="6"/>
  <c r="E557" i="6"/>
  <c r="E561" i="6"/>
  <c r="E565" i="6"/>
  <c r="E569" i="6"/>
  <c r="E573" i="6"/>
  <c r="E577" i="6"/>
  <c r="E581" i="6"/>
  <c r="E585" i="6"/>
  <c r="E589" i="6"/>
  <c r="E593" i="6"/>
  <c r="E597" i="6"/>
  <c r="E601" i="6"/>
  <c r="E605" i="6"/>
  <c r="E609" i="6"/>
  <c r="E613" i="6"/>
  <c r="E617" i="6"/>
  <c r="E621" i="6"/>
  <c r="E625" i="6"/>
  <c r="E629" i="6"/>
  <c r="E633" i="6"/>
  <c r="E637" i="6"/>
  <c r="E641" i="6"/>
  <c r="E645" i="6"/>
  <c r="E649" i="6"/>
  <c r="E653" i="6"/>
  <c r="E657" i="6"/>
  <c r="E661" i="6"/>
  <c r="E665" i="6"/>
  <c r="E669" i="6"/>
  <c r="E350" i="6"/>
  <c r="E354" i="6"/>
  <c r="E358" i="6"/>
  <c r="E362" i="6"/>
  <c r="E366" i="6"/>
  <c r="E370" i="6"/>
  <c r="E374" i="6"/>
  <c r="E378" i="6"/>
  <c r="E382" i="6"/>
  <c r="E386" i="6"/>
  <c r="E390" i="6"/>
  <c r="E394" i="6"/>
  <c r="E398" i="6"/>
  <c r="E402" i="6"/>
  <c r="E406" i="6"/>
  <c r="E410" i="6"/>
  <c r="E414" i="6"/>
  <c r="E418" i="6"/>
  <c r="E422" i="6"/>
  <c r="E426" i="6"/>
  <c r="E430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E598" i="6"/>
  <c r="E602" i="6"/>
  <c r="E606" i="6"/>
  <c r="E610" i="6"/>
  <c r="E614" i="6"/>
  <c r="E618" i="6"/>
  <c r="E622" i="6"/>
  <c r="E626" i="6"/>
  <c r="E630" i="6"/>
  <c r="E634" i="6"/>
  <c r="E638" i="6"/>
  <c r="E642" i="6"/>
  <c r="E646" i="6"/>
  <c r="E650" i="6"/>
  <c r="E654" i="6"/>
  <c r="E658" i="6"/>
  <c r="E662" i="6"/>
  <c r="E666" i="6"/>
  <c r="E670" i="6"/>
  <c r="E674" i="6"/>
  <c r="E678" i="6"/>
  <c r="E682" i="6"/>
  <c r="E351" i="6"/>
  <c r="E367" i="6"/>
  <c r="E383" i="6"/>
  <c r="E399" i="6"/>
  <c r="E415" i="6"/>
  <c r="E431" i="6"/>
  <c r="E447" i="6"/>
  <c r="E463" i="6"/>
  <c r="E479" i="6"/>
  <c r="E495" i="6"/>
  <c r="E511" i="6"/>
  <c r="E527" i="6"/>
  <c r="E543" i="6"/>
  <c r="E559" i="6"/>
  <c r="E575" i="6"/>
  <c r="E591" i="6"/>
  <c r="E607" i="6"/>
  <c r="E623" i="6"/>
  <c r="E639" i="6"/>
  <c r="E655" i="6"/>
  <c r="E671" i="6"/>
  <c r="E679" i="6"/>
  <c r="E685" i="6"/>
  <c r="E689" i="6"/>
  <c r="E693" i="6"/>
  <c r="E697" i="6"/>
  <c r="E701" i="6"/>
  <c r="E705" i="6"/>
  <c r="E709" i="6"/>
  <c r="E713" i="6"/>
  <c r="E717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1" i="6"/>
  <c r="E785" i="6"/>
  <c r="E789" i="6"/>
  <c r="E793" i="6"/>
  <c r="E797" i="6"/>
  <c r="E801" i="6"/>
  <c r="E805" i="6"/>
  <c r="E809" i="6"/>
  <c r="E813" i="6"/>
  <c r="E817" i="6"/>
  <c r="E821" i="6"/>
  <c r="E825" i="6"/>
  <c r="E829" i="6"/>
  <c r="E833" i="6"/>
  <c r="E837" i="6"/>
  <c r="E841" i="6"/>
  <c r="E845" i="6"/>
  <c r="E849" i="6"/>
  <c r="E853" i="6"/>
  <c r="E857" i="6"/>
  <c r="E861" i="6"/>
  <c r="E865" i="6"/>
  <c r="E869" i="6"/>
  <c r="E873" i="6"/>
  <c r="E877" i="6"/>
  <c r="E881" i="6"/>
  <c r="E885" i="6"/>
  <c r="E889" i="6"/>
  <c r="E893" i="6"/>
  <c r="E897" i="6"/>
  <c r="E901" i="6"/>
  <c r="E905" i="6"/>
  <c r="E909" i="6"/>
  <c r="E913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1001" i="6"/>
  <c r="E1005" i="6"/>
  <c r="E1009" i="6"/>
  <c r="E1013" i="6"/>
  <c r="E1017" i="6"/>
  <c r="E1021" i="6"/>
  <c r="E1025" i="6"/>
  <c r="E1029" i="6"/>
  <c r="E1033" i="6"/>
  <c r="E1037" i="6"/>
  <c r="E1041" i="6"/>
  <c r="E1045" i="6"/>
  <c r="E1049" i="6"/>
  <c r="E1053" i="6"/>
  <c r="E1057" i="6"/>
  <c r="E1061" i="6"/>
  <c r="E1065" i="6"/>
  <c r="E1069" i="6"/>
  <c r="E1073" i="6"/>
  <c r="E1077" i="6"/>
  <c r="E1081" i="6"/>
  <c r="E1085" i="6"/>
  <c r="E1089" i="6"/>
  <c r="E1093" i="6"/>
  <c r="E1097" i="6"/>
  <c r="E1101" i="6"/>
  <c r="E1105" i="6"/>
  <c r="E1109" i="6"/>
  <c r="E355" i="6"/>
  <c r="E371" i="6"/>
  <c r="E387" i="6"/>
  <c r="E403" i="6"/>
  <c r="E419" i="6"/>
  <c r="E435" i="6"/>
  <c r="E451" i="6"/>
  <c r="E467" i="6"/>
  <c r="E483" i="6"/>
  <c r="E499" i="6"/>
  <c r="E515" i="6"/>
  <c r="E531" i="6"/>
  <c r="E547" i="6"/>
  <c r="E563" i="6"/>
  <c r="E579" i="6"/>
  <c r="E595" i="6"/>
  <c r="E611" i="6"/>
  <c r="E627" i="6"/>
  <c r="E643" i="6"/>
  <c r="E659" i="6"/>
  <c r="E673" i="6"/>
  <c r="E681" i="6"/>
  <c r="E686" i="6"/>
  <c r="E690" i="6"/>
  <c r="E694" i="6"/>
  <c r="E698" i="6"/>
  <c r="E702" i="6"/>
  <c r="E706" i="6"/>
  <c r="E710" i="6"/>
  <c r="E714" i="6"/>
  <c r="E718" i="6"/>
  <c r="E722" i="6"/>
  <c r="E726" i="6"/>
  <c r="E730" i="6"/>
  <c r="E734" i="6"/>
  <c r="E738" i="6"/>
  <c r="E742" i="6"/>
  <c r="E746" i="6"/>
  <c r="E750" i="6"/>
  <c r="E754" i="6"/>
  <c r="E758" i="6"/>
  <c r="E762" i="6"/>
  <c r="E766" i="6"/>
  <c r="E770" i="6"/>
  <c r="E774" i="6"/>
  <c r="E778" i="6"/>
  <c r="E782" i="6"/>
  <c r="E786" i="6"/>
  <c r="E790" i="6"/>
  <c r="E794" i="6"/>
  <c r="E798" i="6"/>
  <c r="E802" i="6"/>
  <c r="E806" i="6"/>
  <c r="E810" i="6"/>
  <c r="E814" i="6"/>
  <c r="E818" i="6"/>
  <c r="E822" i="6"/>
  <c r="E826" i="6"/>
  <c r="E830" i="6"/>
  <c r="E834" i="6"/>
  <c r="E838" i="6"/>
  <c r="E842" i="6"/>
  <c r="E846" i="6"/>
  <c r="E850" i="6"/>
  <c r="E854" i="6"/>
  <c r="E858" i="6"/>
  <c r="E862" i="6"/>
  <c r="E866" i="6"/>
  <c r="E870" i="6"/>
  <c r="E874" i="6"/>
  <c r="E878" i="6"/>
  <c r="E882" i="6"/>
  <c r="E886" i="6"/>
  <c r="E890" i="6"/>
  <c r="E894" i="6"/>
  <c r="E898" i="6"/>
  <c r="E902" i="6"/>
  <c r="E906" i="6"/>
  <c r="E910" i="6"/>
  <c r="E914" i="6"/>
  <c r="E918" i="6"/>
  <c r="E922" i="6"/>
  <c r="E926" i="6"/>
  <c r="E930" i="6"/>
  <c r="E359" i="6"/>
  <c r="E375" i="6"/>
  <c r="E391" i="6"/>
  <c r="E407" i="6"/>
  <c r="E423" i="6"/>
  <c r="E439" i="6"/>
  <c r="E455" i="6"/>
  <c r="E471" i="6"/>
  <c r="E487" i="6"/>
  <c r="E503" i="6"/>
  <c r="E519" i="6"/>
  <c r="E535" i="6"/>
  <c r="E551" i="6"/>
  <c r="E567" i="6"/>
  <c r="E583" i="6"/>
  <c r="E599" i="6"/>
  <c r="E615" i="6"/>
  <c r="E631" i="6"/>
  <c r="E647" i="6"/>
  <c r="E663" i="6"/>
  <c r="E675" i="6"/>
  <c r="E683" i="6"/>
  <c r="E687" i="6"/>
  <c r="E691" i="6"/>
  <c r="E695" i="6"/>
  <c r="E699" i="6"/>
  <c r="E703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E783" i="6"/>
  <c r="E787" i="6"/>
  <c r="E791" i="6"/>
  <c r="E795" i="6"/>
  <c r="E799" i="6"/>
  <c r="E803" i="6"/>
  <c r="E807" i="6"/>
  <c r="E811" i="6"/>
  <c r="E815" i="6"/>
  <c r="E819" i="6"/>
  <c r="E823" i="6"/>
  <c r="E827" i="6"/>
  <c r="E831" i="6"/>
  <c r="E835" i="6"/>
  <c r="E839" i="6"/>
  <c r="E843" i="6"/>
  <c r="E847" i="6"/>
  <c r="E851" i="6"/>
  <c r="E855" i="6"/>
  <c r="E859" i="6"/>
  <c r="E863" i="6"/>
  <c r="E867" i="6"/>
  <c r="E871" i="6"/>
  <c r="E875" i="6"/>
  <c r="E879" i="6"/>
  <c r="E883" i="6"/>
  <c r="E887" i="6"/>
  <c r="E891" i="6"/>
  <c r="E895" i="6"/>
  <c r="E899" i="6"/>
  <c r="E903" i="6"/>
  <c r="E907" i="6"/>
  <c r="E911" i="6"/>
  <c r="E915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1003" i="6"/>
  <c r="E1007" i="6"/>
  <c r="E1011" i="6"/>
  <c r="E1015" i="6"/>
  <c r="E1019" i="6"/>
  <c r="E1023" i="6"/>
  <c r="E1027" i="6"/>
  <c r="E1031" i="6"/>
  <c r="E1035" i="6"/>
  <c r="E1039" i="6"/>
  <c r="E1043" i="6"/>
  <c r="E1047" i="6"/>
  <c r="E1051" i="6"/>
  <c r="E1055" i="6"/>
  <c r="E1059" i="6"/>
  <c r="E1063" i="6"/>
  <c r="E1067" i="6"/>
  <c r="E1071" i="6"/>
  <c r="E1075" i="6"/>
  <c r="E1079" i="6"/>
  <c r="E1083" i="6"/>
  <c r="E1087" i="6"/>
  <c r="E1091" i="6"/>
  <c r="E1095" i="6"/>
  <c r="E1099" i="6"/>
  <c r="E1103" i="6"/>
  <c r="E1107" i="6"/>
  <c r="E1111" i="6"/>
  <c r="E1115" i="6"/>
  <c r="E1119" i="6"/>
  <c r="E1123" i="6"/>
  <c r="E1127" i="6"/>
  <c r="E1131" i="6"/>
  <c r="E1135" i="6"/>
  <c r="E1139" i="6"/>
  <c r="E1143" i="6"/>
  <c r="E1147" i="6"/>
  <c r="E1151" i="6"/>
  <c r="E1155" i="6"/>
  <c r="E1159" i="6"/>
  <c r="E1163" i="6"/>
  <c r="E1167" i="6"/>
  <c r="E1171" i="6"/>
  <c r="E1175" i="6"/>
  <c r="E1179" i="6"/>
  <c r="E1183" i="6"/>
  <c r="E1187" i="6"/>
  <c r="E1191" i="6"/>
  <c r="E1195" i="6"/>
  <c r="E1199" i="6"/>
  <c r="E1203" i="6"/>
  <c r="E1207" i="6"/>
  <c r="E1211" i="6"/>
  <c r="E1215" i="6"/>
  <c r="E1219" i="6"/>
  <c r="E1223" i="6"/>
  <c r="E1227" i="6"/>
  <c r="E1231" i="6"/>
  <c r="E1235" i="6"/>
  <c r="E1239" i="6"/>
  <c r="E1243" i="6"/>
  <c r="E1247" i="6"/>
  <c r="E1251" i="6"/>
  <c r="E1255" i="6"/>
  <c r="E1259" i="6"/>
  <c r="E1263" i="6"/>
  <c r="E1267" i="6"/>
  <c r="E1271" i="6"/>
  <c r="E1275" i="6"/>
  <c r="E363" i="6"/>
  <c r="E427" i="6"/>
  <c r="E491" i="6"/>
  <c r="E555" i="6"/>
  <c r="E619" i="6"/>
  <c r="E677" i="6"/>
  <c r="E696" i="6"/>
  <c r="E712" i="6"/>
  <c r="E728" i="6"/>
  <c r="E744" i="6"/>
  <c r="E760" i="6"/>
  <c r="E776" i="6"/>
  <c r="E792" i="6"/>
  <c r="E808" i="6"/>
  <c r="E824" i="6"/>
  <c r="E840" i="6"/>
  <c r="E856" i="6"/>
  <c r="E872" i="6"/>
  <c r="E888" i="6"/>
  <c r="E904" i="6"/>
  <c r="E920" i="6"/>
  <c r="E934" i="6"/>
  <c r="E942" i="6"/>
  <c r="E950" i="6"/>
  <c r="E958" i="6"/>
  <c r="E966" i="6"/>
  <c r="E974" i="6"/>
  <c r="E982" i="6"/>
  <c r="E990" i="6"/>
  <c r="E998" i="6"/>
  <c r="E1006" i="6"/>
  <c r="E1014" i="6"/>
  <c r="E1022" i="6"/>
  <c r="E1030" i="6"/>
  <c r="E1038" i="6"/>
  <c r="E1046" i="6"/>
  <c r="E1054" i="6"/>
  <c r="E1062" i="6"/>
  <c r="E1070" i="6"/>
  <c r="E1078" i="6"/>
  <c r="E1086" i="6"/>
  <c r="E1094" i="6"/>
  <c r="E1102" i="6"/>
  <c r="E1110" i="6"/>
  <c r="E1116" i="6"/>
  <c r="E1121" i="6"/>
  <c r="E1126" i="6"/>
  <c r="E1132" i="6"/>
  <c r="E1137" i="6"/>
  <c r="E1142" i="6"/>
  <c r="E1148" i="6"/>
  <c r="E1153" i="6"/>
  <c r="E1158" i="6"/>
  <c r="E1164" i="6"/>
  <c r="E1169" i="6"/>
  <c r="E1174" i="6"/>
  <c r="E1180" i="6"/>
  <c r="E1185" i="6"/>
  <c r="E1190" i="6"/>
  <c r="E1196" i="6"/>
  <c r="E1201" i="6"/>
  <c r="E1206" i="6"/>
  <c r="E1212" i="6"/>
  <c r="E1217" i="6"/>
  <c r="E1222" i="6"/>
  <c r="E1228" i="6"/>
  <c r="E1233" i="6"/>
  <c r="E1238" i="6"/>
  <c r="E1244" i="6"/>
  <c r="E1249" i="6"/>
  <c r="E1254" i="6"/>
  <c r="E1260" i="6"/>
  <c r="E1265" i="6"/>
  <c r="E1270" i="6"/>
  <c r="E1276" i="6"/>
  <c r="E1280" i="6"/>
  <c r="E1284" i="6"/>
  <c r="E1288" i="6"/>
  <c r="E1292" i="6"/>
  <c r="E1296" i="6"/>
  <c r="E1300" i="6"/>
  <c r="E1304" i="6"/>
  <c r="E1308" i="6"/>
  <c r="E1312" i="6"/>
  <c r="E1316" i="6"/>
  <c r="E1320" i="6"/>
  <c r="E1324" i="6"/>
  <c r="E1328" i="6"/>
  <c r="E1332" i="6"/>
  <c r="E1336" i="6"/>
  <c r="E1340" i="6"/>
  <c r="E1344" i="6"/>
  <c r="E1348" i="6"/>
  <c r="E1352" i="6"/>
  <c r="E1356" i="6"/>
  <c r="E1360" i="6"/>
  <c r="E1364" i="6"/>
  <c r="E1368" i="6"/>
  <c r="E1372" i="6"/>
  <c r="E1376" i="6"/>
  <c r="E1380" i="6"/>
  <c r="E1384" i="6"/>
  <c r="E1388" i="6"/>
  <c r="E1392" i="6"/>
  <c r="E1396" i="6"/>
  <c r="E1400" i="6"/>
  <c r="E1404" i="6"/>
  <c r="E1408" i="6"/>
  <c r="E1412" i="6"/>
  <c r="E1416" i="6"/>
  <c r="E1420" i="6"/>
  <c r="E1424" i="6"/>
  <c r="E1428" i="6"/>
  <c r="E1432" i="6"/>
  <c r="E1436" i="6"/>
  <c r="E1440" i="6"/>
  <c r="E1444" i="6"/>
  <c r="E1448" i="6"/>
  <c r="E1452" i="6"/>
  <c r="E1456" i="6"/>
  <c r="E1460" i="6"/>
  <c r="E1464" i="6"/>
  <c r="E1468" i="6"/>
  <c r="E1472" i="6"/>
  <c r="E1476" i="6"/>
  <c r="E1480" i="6"/>
  <c r="E1484" i="6"/>
  <c r="E1488" i="6"/>
  <c r="E1492" i="6"/>
  <c r="E1496" i="6"/>
  <c r="E1500" i="6"/>
  <c r="E1504" i="6"/>
  <c r="E1508" i="6"/>
  <c r="E1512" i="6"/>
  <c r="E1516" i="6"/>
  <c r="E1520" i="6"/>
  <c r="E1524" i="6"/>
  <c r="E1528" i="6"/>
  <c r="E1532" i="6"/>
  <c r="E1536" i="6"/>
  <c r="E1540" i="6"/>
  <c r="E1544" i="6"/>
  <c r="E1548" i="6"/>
  <c r="E1552" i="6"/>
  <c r="E1556" i="6"/>
  <c r="E1560" i="6"/>
  <c r="E1564" i="6"/>
  <c r="E1568" i="6"/>
  <c r="E1572" i="6"/>
  <c r="E1576" i="6"/>
  <c r="E1580" i="6"/>
  <c r="E1584" i="6"/>
  <c r="E1588" i="6"/>
  <c r="E1592" i="6"/>
  <c r="E1596" i="6"/>
  <c r="E1600" i="6"/>
  <c r="E1604" i="6"/>
  <c r="E1608" i="6"/>
  <c r="E1612" i="6"/>
  <c r="E1616" i="6"/>
  <c r="E1620" i="6"/>
  <c r="E1624" i="6"/>
  <c r="E1628" i="6"/>
  <c r="E1632" i="6"/>
  <c r="E1636" i="6"/>
  <c r="E1640" i="6"/>
  <c r="E1644" i="6"/>
  <c r="E1648" i="6"/>
  <c r="E1652" i="6"/>
  <c r="E1656" i="6"/>
  <c r="E379" i="6"/>
  <c r="E443" i="6"/>
  <c r="E507" i="6"/>
  <c r="E571" i="6"/>
  <c r="E635" i="6"/>
  <c r="E684" i="6"/>
  <c r="E700" i="6"/>
  <c r="E716" i="6"/>
  <c r="E732" i="6"/>
  <c r="E748" i="6"/>
  <c r="E764" i="6"/>
  <c r="E780" i="6"/>
  <c r="E796" i="6"/>
  <c r="E812" i="6"/>
  <c r="E828" i="6"/>
  <c r="E844" i="6"/>
  <c r="E860" i="6"/>
  <c r="E876" i="6"/>
  <c r="E892" i="6"/>
  <c r="E908" i="6"/>
  <c r="E924" i="6"/>
  <c r="E936" i="6"/>
  <c r="E944" i="6"/>
  <c r="E952" i="6"/>
  <c r="E960" i="6"/>
  <c r="E968" i="6"/>
  <c r="E976" i="6"/>
  <c r="E984" i="6"/>
  <c r="E992" i="6"/>
  <c r="E1000" i="6"/>
  <c r="E1008" i="6"/>
  <c r="E1016" i="6"/>
  <c r="E1024" i="6"/>
  <c r="E1032" i="6"/>
  <c r="E1040" i="6"/>
  <c r="E1048" i="6"/>
  <c r="E1056" i="6"/>
  <c r="E1064" i="6"/>
  <c r="E1072" i="6"/>
  <c r="E1080" i="6"/>
  <c r="E1088" i="6"/>
  <c r="E1096" i="6"/>
  <c r="E1104" i="6"/>
  <c r="E1112" i="6"/>
  <c r="E1117" i="6"/>
  <c r="E1122" i="6"/>
  <c r="E1128" i="6"/>
  <c r="E1133" i="6"/>
  <c r="E1138" i="6"/>
  <c r="E1144" i="6"/>
  <c r="E1149" i="6"/>
  <c r="E1154" i="6"/>
  <c r="E1160" i="6"/>
  <c r="E1165" i="6"/>
  <c r="E1170" i="6"/>
  <c r="E1176" i="6"/>
  <c r="E1181" i="6"/>
  <c r="E1186" i="6"/>
  <c r="E1192" i="6"/>
  <c r="E1197" i="6"/>
  <c r="E1202" i="6"/>
  <c r="E1208" i="6"/>
  <c r="E1213" i="6"/>
  <c r="E1218" i="6"/>
  <c r="E1224" i="6"/>
  <c r="E1229" i="6"/>
  <c r="E1234" i="6"/>
  <c r="E1240" i="6"/>
  <c r="E1245" i="6"/>
  <c r="E1250" i="6"/>
  <c r="E1256" i="6"/>
  <c r="E1261" i="6"/>
  <c r="E1266" i="6"/>
  <c r="E1272" i="6"/>
  <c r="E1277" i="6"/>
  <c r="E1281" i="6"/>
  <c r="E1285" i="6"/>
  <c r="E1289" i="6"/>
  <c r="E1293" i="6"/>
  <c r="E1297" i="6"/>
  <c r="E1301" i="6"/>
  <c r="E1305" i="6"/>
  <c r="E1309" i="6"/>
  <c r="E1313" i="6"/>
  <c r="E1317" i="6"/>
  <c r="E1321" i="6"/>
  <c r="E1325" i="6"/>
  <c r="E1329" i="6"/>
  <c r="E1333" i="6"/>
  <c r="E1337" i="6"/>
  <c r="E1341" i="6"/>
  <c r="E1345" i="6"/>
  <c r="E1349" i="6"/>
  <c r="E1353" i="6"/>
  <c r="E1357" i="6"/>
  <c r="E1361" i="6"/>
  <c r="E1365" i="6"/>
  <c r="E1369" i="6"/>
  <c r="E1373" i="6"/>
  <c r="E1377" i="6"/>
  <c r="E1381" i="6"/>
  <c r="E1385" i="6"/>
  <c r="E1389" i="6"/>
  <c r="E1393" i="6"/>
  <c r="E1397" i="6"/>
  <c r="E1401" i="6"/>
  <c r="E1405" i="6"/>
  <c r="E1409" i="6"/>
  <c r="E1413" i="6"/>
  <c r="E1417" i="6"/>
  <c r="E1421" i="6"/>
  <c r="E1425" i="6"/>
  <c r="E1429" i="6"/>
  <c r="E1433" i="6"/>
  <c r="E1437" i="6"/>
  <c r="E1441" i="6"/>
  <c r="E1445" i="6"/>
  <c r="E395" i="6"/>
  <c r="E459" i="6"/>
  <c r="E523" i="6"/>
  <c r="E587" i="6"/>
  <c r="E651" i="6"/>
  <c r="E688" i="6"/>
  <c r="E704" i="6"/>
  <c r="E720" i="6"/>
  <c r="E736" i="6"/>
  <c r="E752" i="6"/>
  <c r="E768" i="6"/>
  <c r="E784" i="6"/>
  <c r="E800" i="6"/>
  <c r="E816" i="6"/>
  <c r="E832" i="6"/>
  <c r="E848" i="6"/>
  <c r="E864" i="6"/>
  <c r="E880" i="6"/>
  <c r="E896" i="6"/>
  <c r="E912" i="6"/>
  <c r="E928" i="6"/>
  <c r="E938" i="6"/>
  <c r="E946" i="6"/>
  <c r="E954" i="6"/>
  <c r="E962" i="6"/>
  <c r="E970" i="6"/>
  <c r="E978" i="6"/>
  <c r="E986" i="6"/>
  <c r="E994" i="6"/>
  <c r="E1002" i="6"/>
  <c r="E1010" i="6"/>
  <c r="E1018" i="6"/>
  <c r="E1026" i="6"/>
  <c r="E1034" i="6"/>
  <c r="E1042" i="6"/>
  <c r="E1050" i="6"/>
  <c r="E1058" i="6"/>
  <c r="E1066" i="6"/>
  <c r="E1074" i="6"/>
  <c r="E1082" i="6"/>
  <c r="E1090" i="6"/>
  <c r="E1098" i="6"/>
  <c r="E1106" i="6"/>
  <c r="E1113" i="6"/>
  <c r="E1118" i="6"/>
  <c r="E1124" i="6"/>
  <c r="E1129" i="6"/>
  <c r="E1134" i="6"/>
  <c r="E1140" i="6"/>
  <c r="E1145" i="6"/>
  <c r="E1150" i="6"/>
  <c r="E1156" i="6"/>
  <c r="E1161" i="6"/>
  <c r="E1166" i="6"/>
  <c r="E1172" i="6"/>
  <c r="E1177" i="6"/>
  <c r="E1182" i="6"/>
  <c r="E1188" i="6"/>
  <c r="E1193" i="6"/>
  <c r="E1198" i="6"/>
  <c r="E1204" i="6"/>
  <c r="E1209" i="6"/>
  <c r="E1214" i="6"/>
  <c r="E1220" i="6"/>
  <c r="E1225" i="6"/>
  <c r="E1230" i="6"/>
  <c r="E1236" i="6"/>
  <c r="E1241" i="6"/>
  <c r="E1246" i="6"/>
  <c r="E1252" i="6"/>
  <c r="E1257" i="6"/>
  <c r="E1262" i="6"/>
  <c r="E1268" i="6"/>
  <c r="E1273" i="6"/>
  <c r="E1278" i="6"/>
  <c r="E1282" i="6"/>
  <c r="E1286" i="6"/>
  <c r="E1290" i="6"/>
  <c r="E1294" i="6"/>
  <c r="E1298" i="6"/>
  <c r="E1302" i="6"/>
  <c r="E1306" i="6"/>
  <c r="E1310" i="6"/>
  <c r="E1314" i="6"/>
  <c r="E1318" i="6"/>
  <c r="E1322" i="6"/>
  <c r="E1326" i="6"/>
  <c r="E1330" i="6"/>
  <c r="E1334" i="6"/>
  <c r="E1338" i="6"/>
  <c r="E1342" i="6"/>
  <c r="E1346" i="6"/>
  <c r="E1350" i="6"/>
  <c r="E1354" i="6"/>
  <c r="E1358" i="6"/>
  <c r="E1362" i="6"/>
  <c r="E1366" i="6"/>
  <c r="E1370" i="6"/>
  <c r="E1374" i="6"/>
  <c r="E1378" i="6"/>
  <c r="E1382" i="6"/>
  <c r="E1386" i="6"/>
  <c r="E1390" i="6"/>
  <c r="E1394" i="6"/>
  <c r="E1398" i="6"/>
  <c r="E1402" i="6"/>
  <c r="E1406" i="6"/>
  <c r="E1410" i="6"/>
  <c r="E1414" i="6"/>
  <c r="E1418" i="6"/>
  <c r="E1422" i="6"/>
  <c r="E1426" i="6"/>
  <c r="E1430" i="6"/>
  <c r="E1434" i="6"/>
  <c r="E1438" i="6"/>
  <c r="E1442" i="6"/>
  <c r="E1446" i="6"/>
  <c r="E1450" i="6"/>
  <c r="E1454" i="6"/>
  <c r="E1458" i="6"/>
  <c r="E1462" i="6"/>
  <c r="E1466" i="6"/>
  <c r="E1470" i="6"/>
  <c r="E1474" i="6"/>
  <c r="E1478" i="6"/>
  <c r="E1482" i="6"/>
  <c r="E1486" i="6"/>
  <c r="E1490" i="6"/>
  <c r="E1494" i="6"/>
  <c r="E1498" i="6"/>
  <c r="E1502" i="6"/>
  <c r="E1506" i="6"/>
  <c r="E1510" i="6"/>
  <c r="E1514" i="6"/>
  <c r="E1518" i="6"/>
  <c r="E1522" i="6"/>
  <c r="E1526" i="6"/>
  <c r="E1530" i="6"/>
  <c r="E1534" i="6"/>
  <c r="E1538" i="6"/>
  <c r="E1542" i="6"/>
  <c r="E1546" i="6"/>
  <c r="E1550" i="6"/>
  <c r="E1554" i="6"/>
  <c r="E1558" i="6"/>
  <c r="E1562" i="6"/>
  <c r="E1566" i="6"/>
  <c r="E1570" i="6"/>
  <c r="E1574" i="6"/>
  <c r="E1578" i="6"/>
  <c r="E1582" i="6"/>
  <c r="E1586" i="6"/>
  <c r="E1590" i="6"/>
  <c r="E1594" i="6"/>
  <c r="E1598" i="6"/>
  <c r="E1602" i="6"/>
  <c r="E1606" i="6"/>
  <c r="E1610" i="6"/>
  <c r="E1614" i="6"/>
  <c r="E1618" i="6"/>
  <c r="E1622" i="6"/>
  <c r="E1626" i="6"/>
  <c r="E1630" i="6"/>
  <c r="E1634" i="6"/>
  <c r="E1638" i="6"/>
  <c r="E1642" i="6"/>
  <c r="E1646" i="6"/>
  <c r="E1650" i="6"/>
  <c r="E1654" i="6"/>
  <c r="E1658" i="6"/>
  <c r="E411" i="6"/>
  <c r="E667" i="6"/>
  <c r="E740" i="6"/>
  <c r="E804" i="6"/>
  <c r="E868" i="6"/>
  <c r="E932" i="6"/>
  <c r="E964" i="6"/>
  <c r="E996" i="6"/>
  <c r="E1028" i="6"/>
  <c r="E1060" i="6"/>
  <c r="E1092" i="6"/>
  <c r="E1120" i="6"/>
  <c r="E1141" i="6"/>
  <c r="E1162" i="6"/>
  <c r="E1184" i="6"/>
  <c r="E1205" i="6"/>
  <c r="E1226" i="6"/>
  <c r="E1248" i="6"/>
  <c r="E1269" i="6"/>
  <c r="E1287" i="6"/>
  <c r="E1303" i="6"/>
  <c r="E1319" i="6"/>
  <c r="E1335" i="6"/>
  <c r="E1351" i="6"/>
  <c r="E1367" i="6"/>
  <c r="E1383" i="6"/>
  <c r="E1399" i="6"/>
  <c r="E1415" i="6"/>
  <c r="E1431" i="6"/>
  <c r="E1447" i="6"/>
  <c r="E1455" i="6"/>
  <c r="E1463" i="6"/>
  <c r="E1471" i="6"/>
  <c r="E1479" i="6"/>
  <c r="E1487" i="6"/>
  <c r="E1495" i="6"/>
  <c r="E1503" i="6"/>
  <c r="E1511" i="6"/>
  <c r="E1519" i="6"/>
  <c r="E1527" i="6"/>
  <c r="E1535" i="6"/>
  <c r="E1543" i="6"/>
  <c r="E1551" i="6"/>
  <c r="E1559" i="6"/>
  <c r="E1567" i="6"/>
  <c r="E1575" i="6"/>
  <c r="E1583" i="6"/>
  <c r="E1591" i="6"/>
  <c r="E1599" i="6"/>
  <c r="E1607" i="6"/>
  <c r="E1615" i="6"/>
  <c r="E1623" i="6"/>
  <c r="E1631" i="6"/>
  <c r="E1639" i="6"/>
  <c r="E1647" i="6"/>
  <c r="E1655" i="6"/>
  <c r="E1661" i="6"/>
  <c r="E1665" i="6"/>
  <c r="E1669" i="6"/>
  <c r="E1673" i="6"/>
  <c r="E1677" i="6"/>
  <c r="E1681" i="6"/>
  <c r="E1685" i="6"/>
  <c r="E1689" i="6"/>
  <c r="E1693" i="6"/>
  <c r="E1697" i="6"/>
  <c r="E1701" i="6"/>
  <c r="E1705" i="6"/>
  <c r="E1709" i="6"/>
  <c r="E1713" i="6"/>
  <c r="E1717" i="6"/>
  <c r="E1721" i="6"/>
  <c r="E1725" i="6"/>
  <c r="E1729" i="6"/>
  <c r="E1733" i="6"/>
  <c r="E1737" i="6"/>
  <c r="E1741" i="6"/>
  <c r="E1745" i="6"/>
  <c r="E1749" i="6"/>
  <c r="E1753" i="6"/>
  <c r="E1757" i="6"/>
  <c r="E1761" i="6"/>
  <c r="E1765" i="6"/>
  <c r="E1769" i="6"/>
  <c r="E1773" i="6"/>
  <c r="E1777" i="6"/>
  <c r="E1781" i="6"/>
  <c r="E1785" i="6"/>
  <c r="E1789" i="6"/>
  <c r="E1793" i="6"/>
  <c r="E1797" i="6"/>
  <c r="E1801" i="6"/>
  <c r="E1805" i="6"/>
  <c r="E1809" i="6"/>
  <c r="E1813" i="6"/>
  <c r="E1817" i="6"/>
  <c r="E1821" i="6"/>
  <c r="E1825" i="6"/>
  <c r="E1829" i="6"/>
  <c r="E1833" i="6"/>
  <c r="E1837" i="6"/>
  <c r="E1841" i="6"/>
  <c r="E1845" i="6"/>
  <c r="E1849" i="6"/>
  <c r="E1853" i="6"/>
  <c r="E1857" i="6"/>
  <c r="E1861" i="6"/>
  <c r="E1865" i="6"/>
  <c r="E1869" i="6"/>
  <c r="E1873" i="6"/>
  <c r="E1877" i="6"/>
  <c r="E1881" i="6"/>
  <c r="E1885" i="6"/>
  <c r="E1889" i="6"/>
  <c r="E1893" i="6"/>
  <c r="E1897" i="6"/>
  <c r="E1901" i="6"/>
  <c r="E1905" i="6"/>
  <c r="E1909" i="6"/>
  <c r="E1913" i="6"/>
  <c r="E1917" i="6"/>
  <c r="E1921" i="6"/>
  <c r="E1925" i="6"/>
  <c r="E1929" i="6"/>
  <c r="E1933" i="6"/>
  <c r="E1937" i="6"/>
  <c r="E1941" i="6"/>
  <c r="E1945" i="6"/>
  <c r="E1949" i="6"/>
  <c r="E1953" i="6"/>
  <c r="E1957" i="6"/>
  <c r="E1961" i="6"/>
  <c r="E1965" i="6"/>
  <c r="E1969" i="6"/>
  <c r="E1973" i="6"/>
  <c r="E1977" i="6"/>
  <c r="E1981" i="6"/>
  <c r="E1985" i="6"/>
  <c r="E1989" i="6"/>
  <c r="E1993" i="6"/>
  <c r="E1997" i="6"/>
  <c r="E2001" i="6"/>
  <c r="E2005" i="6"/>
  <c r="E2009" i="6"/>
  <c r="E2013" i="6"/>
  <c r="E2017" i="6"/>
  <c r="E2021" i="6"/>
  <c r="E2025" i="6"/>
  <c r="E2029" i="6"/>
  <c r="E2033" i="6"/>
  <c r="E2037" i="6"/>
  <c r="E2041" i="6"/>
  <c r="E2045" i="6"/>
  <c r="E2049" i="6"/>
  <c r="E2053" i="6"/>
  <c r="E2057" i="6"/>
  <c r="E2061" i="6"/>
  <c r="E2065" i="6"/>
  <c r="E2069" i="6"/>
  <c r="E2073" i="6"/>
  <c r="E2077" i="6"/>
  <c r="E2081" i="6"/>
  <c r="E2085" i="6"/>
  <c r="E2089" i="6"/>
  <c r="E2093" i="6"/>
  <c r="E2097" i="6"/>
  <c r="E2101" i="6"/>
  <c r="E2105" i="6"/>
  <c r="E2109" i="6"/>
  <c r="E2113" i="6"/>
  <c r="E2117" i="6"/>
  <c r="E2121" i="6"/>
  <c r="E2125" i="6"/>
  <c r="E2129" i="6"/>
  <c r="E2133" i="6"/>
  <c r="E2137" i="6"/>
  <c r="E2141" i="6"/>
  <c r="E2145" i="6"/>
  <c r="E2149" i="6"/>
  <c r="E2153" i="6"/>
  <c r="E2157" i="6"/>
  <c r="E2161" i="6"/>
  <c r="E2165" i="6"/>
  <c r="E2169" i="6"/>
  <c r="E2173" i="6"/>
  <c r="E2177" i="6"/>
  <c r="E2181" i="6"/>
  <c r="E2185" i="6"/>
  <c r="E2189" i="6"/>
  <c r="E2193" i="6"/>
  <c r="E2197" i="6"/>
  <c r="E2201" i="6"/>
  <c r="E2205" i="6"/>
  <c r="E2209" i="6"/>
  <c r="E2213" i="6"/>
  <c r="E2217" i="6"/>
  <c r="E2221" i="6"/>
  <c r="E2225" i="6"/>
  <c r="E2229" i="6"/>
  <c r="E2233" i="6"/>
  <c r="E2237" i="6"/>
  <c r="E2241" i="6"/>
  <c r="E2245" i="6"/>
  <c r="E2249" i="6"/>
  <c r="E2253" i="6"/>
  <c r="E2257" i="6"/>
  <c r="E2261" i="6"/>
  <c r="E2265" i="6"/>
  <c r="E2269" i="6"/>
  <c r="E2273" i="6"/>
  <c r="E2277" i="6"/>
  <c r="E2281" i="6"/>
  <c r="E2285" i="6"/>
  <c r="E2289" i="6"/>
  <c r="E2293" i="6"/>
  <c r="E2297" i="6"/>
  <c r="E2301" i="6"/>
  <c r="E2305" i="6"/>
  <c r="E2309" i="6"/>
  <c r="E2313" i="6"/>
  <c r="E475" i="6"/>
  <c r="E692" i="6"/>
  <c r="E756" i="6"/>
  <c r="E820" i="6"/>
  <c r="E884" i="6"/>
  <c r="E940" i="6"/>
  <c r="E972" i="6"/>
  <c r="E1004" i="6"/>
  <c r="E1036" i="6"/>
  <c r="E1068" i="6"/>
  <c r="E1100" i="6"/>
  <c r="E1125" i="6"/>
  <c r="E1146" i="6"/>
  <c r="E1168" i="6"/>
  <c r="E1189" i="6"/>
  <c r="E1210" i="6"/>
  <c r="E1232" i="6"/>
  <c r="E1253" i="6"/>
  <c r="E1274" i="6"/>
  <c r="E1291" i="6"/>
  <c r="E1307" i="6"/>
  <c r="E1323" i="6"/>
  <c r="E1339" i="6"/>
  <c r="E1355" i="6"/>
  <c r="E1371" i="6"/>
  <c r="E1387" i="6"/>
  <c r="E1403" i="6"/>
  <c r="E1419" i="6"/>
  <c r="E1435" i="6"/>
  <c r="E1449" i="6"/>
  <c r="E1457" i="6"/>
  <c r="E1465" i="6"/>
  <c r="E1473" i="6"/>
  <c r="E1481" i="6"/>
  <c r="E1489" i="6"/>
  <c r="E1497" i="6"/>
  <c r="E1505" i="6"/>
  <c r="E1513" i="6"/>
  <c r="E1521" i="6"/>
  <c r="E1529" i="6"/>
  <c r="E1537" i="6"/>
  <c r="E1545" i="6"/>
  <c r="E1553" i="6"/>
  <c r="E1561" i="6"/>
  <c r="E1569" i="6"/>
  <c r="E1577" i="6"/>
  <c r="E1585" i="6"/>
  <c r="E1593" i="6"/>
  <c r="E1601" i="6"/>
  <c r="E1609" i="6"/>
  <c r="E1617" i="6"/>
  <c r="E1625" i="6"/>
  <c r="E1633" i="6"/>
  <c r="E1641" i="6"/>
  <c r="E1649" i="6"/>
  <c r="E1657" i="6"/>
  <c r="E1662" i="6"/>
  <c r="E1666" i="6"/>
  <c r="E1670" i="6"/>
  <c r="E1674" i="6"/>
  <c r="E1678" i="6"/>
  <c r="E1682" i="6"/>
  <c r="E1686" i="6"/>
  <c r="E1690" i="6"/>
  <c r="E1694" i="6"/>
  <c r="E1698" i="6"/>
  <c r="E1702" i="6"/>
  <c r="E1706" i="6"/>
  <c r="E1710" i="6"/>
  <c r="E1714" i="6"/>
  <c r="E1718" i="6"/>
  <c r="E1722" i="6"/>
  <c r="E1726" i="6"/>
  <c r="E1730" i="6"/>
  <c r="E1734" i="6"/>
  <c r="E1738" i="6"/>
  <c r="E1742" i="6"/>
  <c r="E1746" i="6"/>
  <c r="E1750" i="6"/>
  <c r="E1754" i="6"/>
  <c r="E1758" i="6"/>
  <c r="E1762" i="6"/>
  <c r="E1766" i="6"/>
  <c r="E1770" i="6"/>
  <c r="E1774" i="6"/>
  <c r="E1778" i="6"/>
  <c r="E1782" i="6"/>
  <c r="E1786" i="6"/>
  <c r="E1790" i="6"/>
  <c r="E1794" i="6"/>
  <c r="E1798" i="6"/>
  <c r="E1802" i="6"/>
  <c r="E1806" i="6"/>
  <c r="E1810" i="6"/>
  <c r="E1814" i="6"/>
  <c r="E1818" i="6"/>
  <c r="E1822" i="6"/>
  <c r="E1826" i="6"/>
  <c r="E1830" i="6"/>
  <c r="E1834" i="6"/>
  <c r="E1838" i="6"/>
  <c r="E1842" i="6"/>
  <c r="E1846" i="6"/>
  <c r="E1850" i="6"/>
  <c r="E1854" i="6"/>
  <c r="E1858" i="6"/>
  <c r="E1862" i="6"/>
  <c r="E1866" i="6"/>
  <c r="E1870" i="6"/>
  <c r="E1874" i="6"/>
  <c r="E1878" i="6"/>
  <c r="E1882" i="6"/>
  <c r="E1886" i="6"/>
  <c r="E1890" i="6"/>
  <c r="E1894" i="6"/>
  <c r="E1898" i="6"/>
  <c r="E1902" i="6"/>
  <c r="E1906" i="6"/>
  <c r="E1910" i="6"/>
  <c r="E1914" i="6"/>
  <c r="E1918" i="6"/>
  <c r="E1922" i="6"/>
  <c r="E1926" i="6"/>
  <c r="E1930" i="6"/>
  <c r="E1934" i="6"/>
  <c r="E1938" i="6"/>
  <c r="E1942" i="6"/>
  <c r="E1946" i="6"/>
  <c r="E1950" i="6"/>
  <c r="E1954" i="6"/>
  <c r="E1958" i="6"/>
  <c r="E1962" i="6"/>
  <c r="E1966" i="6"/>
  <c r="E1970" i="6"/>
  <c r="E1974" i="6"/>
  <c r="E1978" i="6"/>
  <c r="E1982" i="6"/>
  <c r="E1986" i="6"/>
  <c r="E1990" i="6"/>
  <c r="E1994" i="6"/>
  <c r="E1998" i="6"/>
  <c r="E2002" i="6"/>
  <c r="E2006" i="6"/>
  <c r="E2010" i="6"/>
  <c r="E2014" i="6"/>
  <c r="E2018" i="6"/>
  <c r="E2022" i="6"/>
  <c r="E2026" i="6"/>
  <c r="E2030" i="6"/>
  <c r="E2034" i="6"/>
  <c r="E2038" i="6"/>
  <c r="E2042" i="6"/>
  <c r="E2046" i="6"/>
  <c r="E2050" i="6"/>
  <c r="E2054" i="6"/>
  <c r="E2058" i="6"/>
  <c r="E2062" i="6"/>
  <c r="E2066" i="6"/>
  <c r="E2070" i="6"/>
  <c r="E2074" i="6"/>
  <c r="E2078" i="6"/>
  <c r="E2082" i="6"/>
  <c r="E2086" i="6"/>
  <c r="E2090" i="6"/>
  <c r="E2094" i="6"/>
  <c r="E2098" i="6"/>
  <c r="E2102" i="6"/>
  <c r="E2106" i="6"/>
  <c r="E2110" i="6"/>
  <c r="E2114" i="6"/>
  <c r="E539" i="6"/>
  <c r="E708" i="6"/>
  <c r="E772" i="6"/>
  <c r="E836" i="6"/>
  <c r="E900" i="6"/>
  <c r="E948" i="6"/>
  <c r="E980" i="6"/>
  <c r="E1012" i="6"/>
  <c r="E1044" i="6"/>
  <c r="E1076" i="6"/>
  <c r="E1108" i="6"/>
  <c r="E1130" i="6"/>
  <c r="E1152" i="6"/>
  <c r="E1173" i="6"/>
  <c r="E1194" i="6"/>
  <c r="E1216" i="6"/>
  <c r="E1237" i="6"/>
  <c r="E1258" i="6"/>
  <c r="E1279" i="6"/>
  <c r="E1295" i="6"/>
  <c r="E1311" i="6"/>
  <c r="E1327" i="6"/>
  <c r="E1343" i="6"/>
  <c r="E1359" i="6"/>
  <c r="E1375" i="6"/>
  <c r="E1391" i="6"/>
  <c r="E1407" i="6"/>
  <c r="E1423" i="6"/>
  <c r="E1439" i="6"/>
  <c r="E1451" i="6"/>
  <c r="E1459" i="6"/>
  <c r="E1467" i="6"/>
  <c r="E1475" i="6"/>
  <c r="E1483" i="6"/>
  <c r="E1491" i="6"/>
  <c r="E1499" i="6"/>
  <c r="E1507" i="6"/>
  <c r="E1515" i="6"/>
  <c r="E1523" i="6"/>
  <c r="E1531" i="6"/>
  <c r="E1539" i="6"/>
  <c r="E1547" i="6"/>
  <c r="E1555" i="6"/>
  <c r="E1563" i="6"/>
  <c r="E1571" i="6"/>
  <c r="E1579" i="6"/>
  <c r="E1587" i="6"/>
  <c r="E1595" i="6"/>
  <c r="E1603" i="6"/>
  <c r="E1611" i="6"/>
  <c r="E1619" i="6"/>
  <c r="E1627" i="6"/>
  <c r="E1635" i="6"/>
  <c r="E1643" i="6"/>
  <c r="E1651" i="6"/>
  <c r="E1659" i="6"/>
  <c r="E1663" i="6"/>
  <c r="E1667" i="6"/>
  <c r="E1671" i="6"/>
  <c r="E1675" i="6"/>
  <c r="E1679" i="6"/>
  <c r="E1683" i="6"/>
  <c r="E1687" i="6"/>
  <c r="E1691" i="6"/>
  <c r="E1695" i="6"/>
  <c r="E1699" i="6"/>
  <c r="E1703" i="6"/>
  <c r="E1707" i="6"/>
  <c r="E1711" i="6"/>
  <c r="E1715" i="6"/>
  <c r="E1719" i="6"/>
  <c r="E1723" i="6"/>
  <c r="E1727" i="6"/>
  <c r="E1731" i="6"/>
  <c r="E1735" i="6"/>
  <c r="E1739" i="6"/>
  <c r="E1743" i="6"/>
  <c r="E1747" i="6"/>
  <c r="E1751" i="6"/>
  <c r="E1755" i="6"/>
  <c r="E1759" i="6"/>
  <c r="E1763" i="6"/>
  <c r="E1767" i="6"/>
  <c r="E1771" i="6"/>
  <c r="E1775" i="6"/>
  <c r="E1779" i="6"/>
  <c r="E1783" i="6"/>
  <c r="E1787" i="6"/>
  <c r="E1791" i="6"/>
  <c r="E1795" i="6"/>
  <c r="E1799" i="6"/>
  <c r="E1803" i="6"/>
  <c r="E1807" i="6"/>
  <c r="E1811" i="6"/>
  <c r="E1815" i="6"/>
  <c r="E1819" i="6"/>
  <c r="E1823" i="6"/>
  <c r="E1827" i="6"/>
  <c r="E1831" i="6"/>
  <c r="E1835" i="6"/>
  <c r="E1839" i="6"/>
  <c r="E1843" i="6"/>
  <c r="E1847" i="6"/>
  <c r="E1851" i="6"/>
  <c r="E1855" i="6"/>
  <c r="E1859" i="6"/>
  <c r="E1863" i="6"/>
  <c r="E1867" i="6"/>
  <c r="E1871" i="6"/>
  <c r="E1875" i="6"/>
  <c r="E1879" i="6"/>
  <c r="E1883" i="6"/>
  <c r="E1887" i="6"/>
  <c r="E1891" i="6"/>
  <c r="E1895" i="6"/>
  <c r="E1899" i="6"/>
  <c r="E1903" i="6"/>
  <c r="E1907" i="6"/>
  <c r="E1911" i="6"/>
  <c r="E1915" i="6"/>
  <c r="E1919" i="6"/>
  <c r="E1923" i="6"/>
  <c r="E1927" i="6"/>
  <c r="E1931" i="6"/>
  <c r="E1935" i="6"/>
  <c r="E1939" i="6"/>
  <c r="E1943" i="6"/>
  <c r="E1947" i="6"/>
  <c r="E1951" i="6"/>
  <c r="E1955" i="6"/>
  <c r="E1959" i="6"/>
  <c r="E1963" i="6"/>
  <c r="E1967" i="6"/>
  <c r="E1971" i="6"/>
  <c r="E1975" i="6"/>
  <c r="E1979" i="6"/>
  <c r="E1983" i="6"/>
  <c r="E1987" i="6"/>
  <c r="E1991" i="6"/>
  <c r="E1995" i="6"/>
  <c r="E1999" i="6"/>
  <c r="E2003" i="6"/>
  <c r="E2007" i="6"/>
  <c r="E2011" i="6"/>
  <c r="E2015" i="6"/>
  <c r="E2019" i="6"/>
  <c r="E2023" i="6"/>
  <c r="E2027" i="6"/>
  <c r="E2031" i="6"/>
  <c r="E2035" i="6"/>
  <c r="E2039" i="6"/>
  <c r="E2043" i="6"/>
  <c r="E2047" i="6"/>
  <c r="E2051" i="6"/>
  <c r="E2055" i="6"/>
  <c r="E2059" i="6"/>
  <c r="E2063" i="6"/>
  <c r="E2067" i="6"/>
  <c r="E2071" i="6"/>
  <c r="E2075" i="6"/>
  <c r="E2079" i="6"/>
  <c r="E2083" i="6"/>
  <c r="E2087" i="6"/>
  <c r="E2091" i="6"/>
  <c r="E2095" i="6"/>
  <c r="E2099" i="6"/>
  <c r="E2103" i="6"/>
  <c r="E2107" i="6"/>
  <c r="E2111" i="6"/>
  <c r="E2115" i="6"/>
  <c r="E2119" i="6"/>
  <c r="E2123" i="6"/>
  <c r="E2127" i="6"/>
  <c r="E2131" i="6"/>
  <c r="E2135" i="6"/>
  <c r="E2139" i="6"/>
  <c r="E2143" i="6"/>
  <c r="E2147" i="6"/>
  <c r="E2151" i="6"/>
  <c r="E2155" i="6"/>
  <c r="E2159" i="6"/>
  <c r="E2163" i="6"/>
  <c r="E2167" i="6"/>
  <c r="E2171" i="6"/>
  <c r="E2175" i="6"/>
  <c r="E2179" i="6"/>
  <c r="E2183" i="6"/>
  <c r="E2187" i="6"/>
  <c r="E2191" i="6"/>
  <c r="E2195" i="6"/>
  <c r="E2199" i="6"/>
  <c r="E2203" i="6"/>
  <c r="E2207" i="6"/>
  <c r="E2211" i="6"/>
  <c r="E2215" i="6"/>
  <c r="E2219" i="6"/>
  <c r="E2223" i="6"/>
  <c r="E2227" i="6"/>
  <c r="E2231" i="6"/>
  <c r="E2235" i="6"/>
  <c r="E2239" i="6"/>
  <c r="E2243" i="6"/>
  <c r="E2247" i="6"/>
  <c r="E2251" i="6"/>
  <c r="E2255" i="6"/>
  <c r="E2259" i="6"/>
  <c r="E2263" i="6"/>
  <c r="E2267" i="6"/>
  <c r="E2271" i="6"/>
  <c r="E2275" i="6"/>
  <c r="E2279" i="6"/>
  <c r="E2283" i="6"/>
  <c r="E2287" i="6"/>
  <c r="E2291" i="6"/>
  <c r="E2295" i="6"/>
  <c r="E2299" i="6"/>
  <c r="E2303" i="6"/>
  <c r="E2307" i="6"/>
  <c r="E2311" i="6"/>
  <c r="E2315" i="6"/>
  <c r="E603" i="6"/>
  <c r="E916" i="6"/>
  <c r="E1052" i="6"/>
  <c r="E1157" i="6"/>
  <c r="E1242" i="6"/>
  <c r="E1315" i="6"/>
  <c r="E1379" i="6"/>
  <c r="E1443" i="6"/>
  <c r="E1477" i="6"/>
  <c r="E1509" i="6"/>
  <c r="E1541" i="6"/>
  <c r="E1573" i="6"/>
  <c r="E1605" i="6"/>
  <c r="E1637" i="6"/>
  <c r="E1664" i="6"/>
  <c r="E1680" i="6"/>
  <c r="E1696" i="6"/>
  <c r="E1712" i="6"/>
  <c r="E1728" i="6"/>
  <c r="E1744" i="6"/>
  <c r="E1760" i="6"/>
  <c r="E1776" i="6"/>
  <c r="E1792" i="6"/>
  <c r="E1808" i="6"/>
  <c r="E1824" i="6"/>
  <c r="E1840" i="6"/>
  <c r="E1856" i="6"/>
  <c r="E1872" i="6"/>
  <c r="E1888" i="6"/>
  <c r="E1904" i="6"/>
  <c r="E1920" i="6"/>
  <c r="E1936" i="6"/>
  <c r="E1952" i="6"/>
  <c r="E1968" i="6"/>
  <c r="E1984" i="6"/>
  <c r="E2000" i="6"/>
  <c r="E2016" i="6"/>
  <c r="E2032" i="6"/>
  <c r="E2048" i="6"/>
  <c r="E2064" i="6"/>
  <c r="E2080" i="6"/>
  <c r="E2096" i="6"/>
  <c r="E2112" i="6"/>
  <c r="E2122" i="6"/>
  <c r="E2130" i="6"/>
  <c r="E2138" i="6"/>
  <c r="E2146" i="6"/>
  <c r="E2154" i="6"/>
  <c r="E2162" i="6"/>
  <c r="E2170" i="6"/>
  <c r="E2178" i="6"/>
  <c r="E2186" i="6"/>
  <c r="E2194" i="6"/>
  <c r="E2202" i="6"/>
  <c r="E2210" i="6"/>
  <c r="E2218" i="6"/>
  <c r="E2226" i="6"/>
  <c r="E2234" i="6"/>
  <c r="E2242" i="6"/>
  <c r="E2250" i="6"/>
  <c r="E2258" i="6"/>
  <c r="E2266" i="6"/>
  <c r="E2274" i="6"/>
  <c r="E2282" i="6"/>
  <c r="E2290" i="6"/>
  <c r="E2298" i="6"/>
  <c r="E2306" i="6"/>
  <c r="E2314" i="6"/>
  <c r="E2319" i="6"/>
  <c r="E2323" i="6"/>
  <c r="E2327" i="6"/>
  <c r="E2331" i="6"/>
  <c r="E2335" i="6"/>
  <c r="E2339" i="6"/>
  <c r="E2343" i="6"/>
  <c r="E2347" i="6"/>
  <c r="E2351" i="6"/>
  <c r="E2355" i="6"/>
  <c r="E2359" i="6"/>
  <c r="E2363" i="6"/>
  <c r="E2367" i="6"/>
  <c r="E2371" i="6"/>
  <c r="E2375" i="6"/>
  <c r="E2379" i="6"/>
  <c r="E2383" i="6"/>
  <c r="E2387" i="6"/>
  <c r="E2391" i="6"/>
  <c r="E2395" i="6"/>
  <c r="E2399" i="6"/>
  <c r="E2403" i="6"/>
  <c r="E2407" i="6"/>
  <c r="E2411" i="6"/>
  <c r="E2415" i="6"/>
  <c r="E2419" i="6"/>
  <c r="E2423" i="6"/>
  <c r="E2427" i="6"/>
  <c r="E2431" i="6"/>
  <c r="E2435" i="6"/>
  <c r="E2439" i="6"/>
  <c r="E2443" i="6"/>
  <c r="E2447" i="6"/>
  <c r="E2451" i="6"/>
  <c r="E2455" i="6"/>
  <c r="E2459" i="6"/>
  <c r="E2463" i="6"/>
  <c r="E2467" i="6"/>
  <c r="E2471" i="6"/>
  <c r="E2475" i="6"/>
  <c r="E2479" i="6"/>
  <c r="E2483" i="6"/>
  <c r="E2487" i="6"/>
  <c r="E2491" i="6"/>
  <c r="E2495" i="6"/>
  <c r="E2499" i="6"/>
  <c r="E2503" i="6"/>
  <c r="E2507" i="6"/>
  <c r="E2511" i="6"/>
  <c r="E2515" i="6"/>
  <c r="E2519" i="6"/>
  <c r="E2523" i="6"/>
  <c r="E2527" i="6"/>
  <c r="E2531" i="6"/>
  <c r="E2535" i="6"/>
  <c r="E2539" i="6"/>
  <c r="E2543" i="6"/>
  <c r="E2547" i="6"/>
  <c r="E2551" i="6"/>
  <c r="E2555" i="6"/>
  <c r="E2559" i="6"/>
  <c r="E2563" i="6"/>
  <c r="E2567" i="6"/>
  <c r="E2571" i="6"/>
  <c r="E2575" i="6"/>
  <c r="E2579" i="6"/>
  <c r="E2583" i="6"/>
  <c r="E2587" i="6"/>
  <c r="E2591" i="6"/>
  <c r="E2595" i="6"/>
  <c r="E2599" i="6"/>
  <c r="E2603" i="6"/>
  <c r="E2607" i="6"/>
  <c r="E2611" i="6"/>
  <c r="E2615" i="6"/>
  <c r="E2619" i="6"/>
  <c r="E2623" i="6"/>
  <c r="E2627" i="6"/>
  <c r="E2631" i="6"/>
  <c r="E2635" i="6"/>
  <c r="E2639" i="6"/>
  <c r="E2643" i="6"/>
  <c r="E2647" i="6"/>
  <c r="E2651" i="6"/>
  <c r="E2655" i="6"/>
  <c r="E2659" i="6"/>
  <c r="E2663" i="6"/>
  <c r="E2667" i="6"/>
  <c r="E2671" i="6"/>
  <c r="E2675" i="6"/>
  <c r="E2679" i="6"/>
  <c r="E2683" i="6"/>
  <c r="E2687" i="6"/>
  <c r="E2691" i="6"/>
  <c r="E2695" i="6"/>
  <c r="E2699" i="6"/>
  <c r="E2703" i="6"/>
  <c r="E2707" i="6"/>
  <c r="E2711" i="6"/>
  <c r="E2715" i="6"/>
  <c r="E2719" i="6"/>
  <c r="E2723" i="6"/>
  <c r="E2727" i="6"/>
  <c r="E2731" i="6"/>
  <c r="E2735" i="6"/>
  <c r="E2739" i="6"/>
  <c r="E2743" i="6"/>
  <c r="E2747" i="6"/>
  <c r="E2751" i="6"/>
  <c r="E2755" i="6"/>
  <c r="E2759" i="6"/>
  <c r="E2763" i="6"/>
  <c r="E2767" i="6"/>
  <c r="E2771" i="6"/>
  <c r="E2775" i="6"/>
  <c r="E2779" i="6"/>
  <c r="E2783" i="6"/>
  <c r="E2787" i="6"/>
  <c r="E2791" i="6"/>
  <c r="E2795" i="6"/>
  <c r="E2799" i="6"/>
  <c r="E2803" i="6"/>
  <c r="E2807" i="6"/>
  <c r="E2811" i="6"/>
  <c r="E2815" i="6"/>
  <c r="E2819" i="6"/>
  <c r="E2823" i="6"/>
  <c r="E2827" i="6"/>
  <c r="E2831" i="6"/>
  <c r="E2835" i="6"/>
  <c r="E2839" i="6"/>
  <c r="E2843" i="6"/>
  <c r="E2847" i="6"/>
  <c r="E2851" i="6"/>
  <c r="E2855" i="6"/>
  <c r="E2859" i="6"/>
  <c r="E2863" i="6"/>
  <c r="E2867" i="6"/>
  <c r="E2871" i="6"/>
  <c r="E2875" i="6"/>
  <c r="E2879" i="6"/>
  <c r="E2883" i="6"/>
  <c r="E2887" i="6"/>
  <c r="E2891" i="6"/>
  <c r="E2895" i="6"/>
  <c r="E2899" i="6"/>
  <c r="E2903" i="6"/>
  <c r="E2907" i="6"/>
  <c r="E2911" i="6"/>
  <c r="E2915" i="6"/>
  <c r="E2919" i="6"/>
  <c r="E2923" i="6"/>
  <c r="E2927" i="6"/>
  <c r="E2931" i="6"/>
  <c r="E2935" i="6"/>
  <c r="E2939" i="6"/>
  <c r="E2943" i="6"/>
  <c r="E2947" i="6"/>
  <c r="E2951" i="6"/>
  <c r="E2955" i="6"/>
  <c r="E2959" i="6"/>
  <c r="E2963" i="6"/>
  <c r="E2967" i="6"/>
  <c r="E2971" i="6"/>
  <c r="E2975" i="6"/>
  <c r="E2979" i="6"/>
  <c r="E2983" i="6"/>
  <c r="E2987" i="6"/>
  <c r="E2991" i="6"/>
  <c r="E2995" i="6"/>
  <c r="E2999" i="6"/>
  <c r="E3003" i="6"/>
  <c r="E3007" i="6"/>
  <c r="E3011" i="6"/>
  <c r="E3015" i="6"/>
  <c r="E3019" i="6"/>
  <c r="E3023" i="6"/>
  <c r="E3027" i="6"/>
  <c r="E3031" i="6"/>
  <c r="E3035" i="6"/>
  <c r="E3039" i="6"/>
  <c r="E3043" i="6"/>
  <c r="E3047" i="6"/>
  <c r="E3051" i="6"/>
  <c r="E3055" i="6"/>
  <c r="E3059" i="6"/>
  <c r="E3063" i="6"/>
  <c r="E3067" i="6"/>
  <c r="E3071" i="6"/>
  <c r="E3075" i="6"/>
  <c r="E3079" i="6"/>
  <c r="E3083" i="6"/>
  <c r="E3087" i="6"/>
  <c r="E3091" i="6"/>
  <c r="E3095" i="6"/>
  <c r="E3099" i="6"/>
  <c r="E3103" i="6"/>
  <c r="E3107" i="6"/>
  <c r="E3111" i="6"/>
  <c r="E3115" i="6"/>
  <c r="E3119" i="6"/>
  <c r="E3123" i="6"/>
  <c r="E3127" i="6"/>
  <c r="E3131" i="6"/>
  <c r="E3135" i="6"/>
  <c r="E3139" i="6"/>
  <c r="E3143" i="6"/>
  <c r="E3147" i="6"/>
  <c r="E3151" i="6"/>
  <c r="E3155" i="6"/>
  <c r="E3159" i="6"/>
  <c r="E3163" i="6"/>
  <c r="E3167" i="6"/>
  <c r="E3171" i="6"/>
  <c r="E3175" i="6"/>
  <c r="E3179" i="6"/>
  <c r="E3183" i="6"/>
  <c r="E3187" i="6"/>
  <c r="E3191" i="6"/>
  <c r="E3195" i="6"/>
  <c r="E3199" i="6"/>
  <c r="E3203" i="6"/>
  <c r="E3207" i="6"/>
  <c r="E3211" i="6"/>
  <c r="E3215" i="6"/>
  <c r="E3219" i="6"/>
  <c r="E3223" i="6"/>
  <c r="E3227" i="6"/>
  <c r="E3231" i="6"/>
  <c r="E3235" i="6"/>
  <c r="E3239" i="6"/>
  <c r="E3243" i="6"/>
  <c r="E3247" i="6"/>
  <c r="E3251" i="6"/>
  <c r="E3255" i="6"/>
  <c r="E3259" i="6"/>
  <c r="E3263" i="6"/>
  <c r="E3267" i="6"/>
  <c r="E3271" i="6"/>
  <c r="E3275" i="6"/>
  <c r="E3279" i="6"/>
  <c r="E3283" i="6"/>
  <c r="E3287" i="6"/>
  <c r="E3291" i="6"/>
  <c r="E3295" i="6"/>
  <c r="E3299" i="6"/>
  <c r="E3303" i="6"/>
  <c r="E3307" i="6"/>
  <c r="E3311" i="6"/>
  <c r="E3315" i="6"/>
  <c r="E3319" i="6"/>
  <c r="E3323" i="6"/>
  <c r="E3327" i="6"/>
  <c r="E3331" i="6"/>
  <c r="E3335" i="6"/>
  <c r="E3339" i="6"/>
  <c r="E3343" i="6"/>
  <c r="E3347" i="6"/>
  <c r="E3351" i="6"/>
  <c r="E3355" i="6"/>
  <c r="E3359" i="6"/>
  <c r="E3363" i="6"/>
  <c r="E3367" i="6"/>
  <c r="E3371" i="6"/>
  <c r="E3375" i="6"/>
  <c r="E3379" i="6"/>
  <c r="E3383" i="6"/>
  <c r="E3387" i="6"/>
  <c r="E3391" i="6"/>
  <c r="E3395" i="6"/>
  <c r="E3399" i="6"/>
  <c r="E3403" i="6"/>
  <c r="E3407" i="6"/>
  <c r="E724" i="6"/>
  <c r="E956" i="6"/>
  <c r="E1084" i="6"/>
  <c r="E1178" i="6"/>
  <c r="E1264" i="6"/>
  <c r="E1331" i="6"/>
  <c r="E1395" i="6"/>
  <c r="E1453" i="6"/>
  <c r="E1485" i="6"/>
  <c r="E1517" i="6"/>
  <c r="E1549" i="6"/>
  <c r="E1581" i="6"/>
  <c r="E1613" i="6"/>
  <c r="E1645" i="6"/>
  <c r="E1668" i="6"/>
  <c r="E1684" i="6"/>
  <c r="E1700" i="6"/>
  <c r="E1716" i="6"/>
  <c r="E1732" i="6"/>
  <c r="E1748" i="6"/>
  <c r="E1764" i="6"/>
  <c r="E1780" i="6"/>
  <c r="E1796" i="6"/>
  <c r="E1812" i="6"/>
  <c r="E1828" i="6"/>
  <c r="E1844" i="6"/>
  <c r="E1860" i="6"/>
  <c r="E1876" i="6"/>
  <c r="E1892" i="6"/>
  <c r="E1908" i="6"/>
  <c r="E1924" i="6"/>
  <c r="E1940" i="6"/>
  <c r="E1956" i="6"/>
  <c r="E1972" i="6"/>
  <c r="E1988" i="6"/>
  <c r="E2004" i="6"/>
  <c r="E2020" i="6"/>
  <c r="E2036" i="6"/>
  <c r="E2052" i="6"/>
  <c r="E2068" i="6"/>
  <c r="E2084" i="6"/>
  <c r="E2100" i="6"/>
  <c r="E2116" i="6"/>
  <c r="E2124" i="6"/>
  <c r="E2132" i="6"/>
  <c r="E2140" i="6"/>
  <c r="E2148" i="6"/>
  <c r="E2156" i="6"/>
  <c r="E2164" i="6"/>
  <c r="E2172" i="6"/>
  <c r="E2180" i="6"/>
  <c r="E2188" i="6"/>
  <c r="E2196" i="6"/>
  <c r="E2204" i="6"/>
  <c r="E2212" i="6"/>
  <c r="E2220" i="6"/>
  <c r="E2228" i="6"/>
  <c r="E2236" i="6"/>
  <c r="E2244" i="6"/>
  <c r="E2252" i="6"/>
  <c r="E2260" i="6"/>
  <c r="E2268" i="6"/>
  <c r="E2276" i="6"/>
  <c r="E2284" i="6"/>
  <c r="E2292" i="6"/>
  <c r="E2300" i="6"/>
  <c r="E2308" i="6"/>
  <c r="E2316" i="6"/>
  <c r="E2320" i="6"/>
  <c r="E2324" i="6"/>
  <c r="E2328" i="6"/>
  <c r="E2332" i="6"/>
  <c r="E2336" i="6"/>
  <c r="E2340" i="6"/>
  <c r="E2344" i="6"/>
  <c r="E2348" i="6"/>
  <c r="E2352" i="6"/>
  <c r="E2356" i="6"/>
  <c r="E2360" i="6"/>
  <c r="E2364" i="6"/>
  <c r="E2368" i="6"/>
  <c r="E2372" i="6"/>
  <c r="E2376" i="6"/>
  <c r="E2380" i="6"/>
  <c r="E2384" i="6"/>
  <c r="E2388" i="6"/>
  <c r="E2392" i="6"/>
  <c r="E2396" i="6"/>
  <c r="E2400" i="6"/>
  <c r="E2404" i="6"/>
  <c r="E2408" i="6"/>
  <c r="E2412" i="6"/>
  <c r="E2416" i="6"/>
  <c r="E2420" i="6"/>
  <c r="E2424" i="6"/>
  <c r="E2428" i="6"/>
  <c r="E2432" i="6"/>
  <c r="E2436" i="6"/>
  <c r="E2440" i="6"/>
  <c r="E2444" i="6"/>
  <c r="E2448" i="6"/>
  <c r="E2452" i="6"/>
  <c r="E2456" i="6"/>
  <c r="E2460" i="6"/>
  <c r="E2464" i="6"/>
  <c r="E2468" i="6"/>
  <c r="E2472" i="6"/>
  <c r="E2476" i="6"/>
  <c r="E2480" i="6"/>
  <c r="E2484" i="6"/>
  <c r="E2488" i="6"/>
  <c r="E2492" i="6"/>
  <c r="E2496" i="6"/>
  <c r="E2500" i="6"/>
  <c r="E2504" i="6"/>
  <c r="E2508" i="6"/>
  <c r="E2512" i="6"/>
  <c r="E2516" i="6"/>
  <c r="E2520" i="6"/>
  <c r="E2524" i="6"/>
  <c r="E2528" i="6"/>
  <c r="E2532" i="6"/>
  <c r="E2536" i="6"/>
  <c r="E2540" i="6"/>
  <c r="E2544" i="6"/>
  <c r="E2548" i="6"/>
  <c r="E2552" i="6"/>
  <c r="E2556" i="6"/>
  <c r="E2560" i="6"/>
  <c r="E2564" i="6"/>
  <c r="E2568" i="6"/>
  <c r="E2572" i="6"/>
  <c r="E2576" i="6"/>
  <c r="E2580" i="6"/>
  <c r="E2584" i="6"/>
  <c r="E2588" i="6"/>
  <c r="E2592" i="6"/>
  <c r="E2596" i="6"/>
  <c r="E2600" i="6"/>
  <c r="E2604" i="6"/>
  <c r="E2608" i="6"/>
  <c r="E2612" i="6"/>
  <c r="E2616" i="6"/>
  <c r="E2620" i="6"/>
  <c r="E2624" i="6"/>
  <c r="E2628" i="6"/>
  <c r="E2632" i="6"/>
  <c r="E2636" i="6"/>
  <c r="E2640" i="6"/>
  <c r="E2644" i="6"/>
  <c r="E2648" i="6"/>
  <c r="E2652" i="6"/>
  <c r="E2656" i="6"/>
  <c r="E2660" i="6"/>
  <c r="E2664" i="6"/>
  <c r="E2668" i="6"/>
  <c r="E2672" i="6"/>
  <c r="E2676" i="6"/>
  <c r="E2680" i="6"/>
  <c r="E2684" i="6"/>
  <c r="E2688" i="6"/>
  <c r="E2692" i="6"/>
  <c r="E2696" i="6"/>
  <c r="E2700" i="6"/>
  <c r="E2704" i="6"/>
  <c r="E2708" i="6"/>
  <c r="E2712" i="6"/>
  <c r="E2716" i="6"/>
  <c r="E2720" i="6"/>
  <c r="E2724" i="6"/>
  <c r="E2728" i="6"/>
  <c r="E2732" i="6"/>
  <c r="E2736" i="6"/>
  <c r="E2740" i="6"/>
  <c r="E2744" i="6"/>
  <c r="E2748" i="6"/>
  <c r="E2752" i="6"/>
  <c r="E2756" i="6"/>
  <c r="E2760" i="6"/>
  <c r="E2764" i="6"/>
  <c r="E2768" i="6"/>
  <c r="E2772" i="6"/>
  <c r="E2776" i="6"/>
  <c r="E2780" i="6"/>
  <c r="E2784" i="6"/>
  <c r="E2788" i="6"/>
  <c r="E2792" i="6"/>
  <c r="E2796" i="6"/>
  <c r="E2800" i="6"/>
  <c r="E2804" i="6"/>
  <c r="E2808" i="6"/>
  <c r="E2812" i="6"/>
  <c r="E2816" i="6"/>
  <c r="E2820" i="6"/>
  <c r="E2824" i="6"/>
  <c r="E2828" i="6"/>
  <c r="E2832" i="6"/>
  <c r="E2836" i="6"/>
  <c r="E2840" i="6"/>
  <c r="E2844" i="6"/>
  <c r="E2848" i="6"/>
  <c r="E2852" i="6"/>
  <c r="E2856" i="6"/>
  <c r="E2860" i="6"/>
  <c r="E2864" i="6"/>
  <c r="E2868" i="6"/>
  <c r="E2872" i="6"/>
  <c r="E2876" i="6"/>
  <c r="E2880" i="6"/>
  <c r="E2884" i="6"/>
  <c r="E2888" i="6"/>
  <c r="E2892" i="6"/>
  <c r="E2896" i="6"/>
  <c r="E2900" i="6"/>
  <c r="E2904" i="6"/>
  <c r="E2908" i="6"/>
  <c r="E2912" i="6"/>
  <c r="E2916" i="6"/>
  <c r="E2920" i="6"/>
  <c r="E2924" i="6"/>
  <c r="E2928" i="6"/>
  <c r="E2932" i="6"/>
  <c r="E2936" i="6"/>
  <c r="E2940" i="6"/>
  <c r="E2944" i="6"/>
  <c r="E2948" i="6"/>
  <c r="E2952" i="6"/>
  <c r="E2956" i="6"/>
  <c r="E2960" i="6"/>
  <c r="E2964" i="6"/>
  <c r="E2968" i="6"/>
  <c r="E2972" i="6"/>
  <c r="E2976" i="6"/>
  <c r="E2980" i="6"/>
  <c r="E2984" i="6"/>
  <c r="E2988" i="6"/>
  <c r="E2992" i="6"/>
  <c r="E2996" i="6"/>
  <c r="E3000" i="6"/>
  <c r="E3004" i="6"/>
  <c r="E3008" i="6"/>
  <c r="E3012" i="6"/>
  <c r="E3016" i="6"/>
  <c r="E3020" i="6"/>
  <c r="E3024" i="6"/>
  <c r="E3028" i="6"/>
  <c r="E3032" i="6"/>
  <c r="E3036" i="6"/>
  <c r="E3040" i="6"/>
  <c r="E3044" i="6"/>
  <c r="E3048" i="6"/>
  <c r="E3052" i="6"/>
  <c r="E3056" i="6"/>
  <c r="E3060" i="6"/>
  <c r="E3064" i="6"/>
  <c r="E3068" i="6"/>
  <c r="E3072" i="6"/>
  <c r="E3076" i="6"/>
  <c r="E3080" i="6"/>
  <c r="E3084" i="6"/>
  <c r="E3088" i="6"/>
  <c r="E3092" i="6"/>
  <c r="E3096" i="6"/>
  <c r="E3100" i="6"/>
  <c r="E3104" i="6"/>
  <c r="E3108" i="6"/>
  <c r="E3112" i="6"/>
  <c r="E3116" i="6"/>
  <c r="E3120" i="6"/>
  <c r="E3124" i="6"/>
  <c r="E3128" i="6"/>
  <c r="E3132" i="6"/>
  <c r="E3136" i="6"/>
  <c r="E3140" i="6"/>
  <c r="E3144" i="6"/>
  <c r="E3148" i="6"/>
  <c r="E3152" i="6"/>
  <c r="E3156" i="6"/>
  <c r="E3160" i="6"/>
  <c r="E3164" i="6"/>
  <c r="E3168" i="6"/>
  <c r="E3172" i="6"/>
  <c r="E788" i="6"/>
  <c r="E988" i="6"/>
  <c r="E1114" i="6"/>
  <c r="E1200" i="6"/>
  <c r="E1283" i="6"/>
  <c r="E1347" i="6"/>
  <c r="E1411" i="6"/>
  <c r="E1461" i="6"/>
  <c r="E1493" i="6"/>
  <c r="E1525" i="6"/>
  <c r="E1557" i="6"/>
  <c r="E1589" i="6"/>
  <c r="E1621" i="6"/>
  <c r="E1653" i="6"/>
  <c r="E1672" i="6"/>
  <c r="E1688" i="6"/>
  <c r="E1704" i="6"/>
  <c r="E1720" i="6"/>
  <c r="E1736" i="6"/>
  <c r="E1752" i="6"/>
  <c r="E1768" i="6"/>
  <c r="E1784" i="6"/>
  <c r="E1800" i="6"/>
  <c r="E1816" i="6"/>
  <c r="E1832" i="6"/>
  <c r="E1848" i="6"/>
  <c r="E1864" i="6"/>
  <c r="E1880" i="6"/>
  <c r="E1896" i="6"/>
  <c r="E1912" i="6"/>
  <c r="E1928" i="6"/>
  <c r="E1944" i="6"/>
  <c r="E1960" i="6"/>
  <c r="E1976" i="6"/>
  <c r="E1992" i="6"/>
  <c r="E2008" i="6"/>
  <c r="E2024" i="6"/>
  <c r="E2040" i="6"/>
  <c r="E2056" i="6"/>
  <c r="E2072" i="6"/>
  <c r="E2088" i="6"/>
  <c r="E2104" i="6"/>
  <c r="E2118" i="6"/>
  <c r="E2126" i="6"/>
  <c r="E2134" i="6"/>
  <c r="E2142" i="6"/>
  <c r="E2150" i="6"/>
  <c r="E2158" i="6"/>
  <c r="E2166" i="6"/>
  <c r="E2174" i="6"/>
  <c r="E2182" i="6"/>
  <c r="E2190" i="6"/>
  <c r="E2198" i="6"/>
  <c r="E2206" i="6"/>
  <c r="E2214" i="6"/>
  <c r="E2222" i="6"/>
  <c r="E2230" i="6"/>
  <c r="E2238" i="6"/>
  <c r="E2246" i="6"/>
  <c r="E2254" i="6"/>
  <c r="E2262" i="6"/>
  <c r="E2270" i="6"/>
  <c r="E2278" i="6"/>
  <c r="E2286" i="6"/>
  <c r="E2294" i="6"/>
  <c r="E2302" i="6"/>
  <c r="E2310" i="6"/>
  <c r="E2317" i="6"/>
  <c r="E2321" i="6"/>
  <c r="E2325" i="6"/>
  <c r="E2329" i="6"/>
  <c r="E2333" i="6"/>
  <c r="E2337" i="6"/>
  <c r="E2341" i="6"/>
  <c r="E2345" i="6"/>
  <c r="E2349" i="6"/>
  <c r="E2353" i="6"/>
  <c r="E2357" i="6"/>
  <c r="E2361" i="6"/>
  <c r="E2365" i="6"/>
  <c r="E2369" i="6"/>
  <c r="E2373" i="6"/>
  <c r="E2377" i="6"/>
  <c r="E2381" i="6"/>
  <c r="E2385" i="6"/>
  <c r="E2389" i="6"/>
  <c r="E2393" i="6"/>
  <c r="E2397" i="6"/>
  <c r="E2401" i="6"/>
  <c r="E2405" i="6"/>
  <c r="E2409" i="6"/>
  <c r="E2413" i="6"/>
  <c r="E2417" i="6"/>
  <c r="E2421" i="6"/>
  <c r="E2425" i="6"/>
  <c r="E2429" i="6"/>
  <c r="E2433" i="6"/>
  <c r="E2437" i="6"/>
  <c r="E2441" i="6"/>
  <c r="E2445" i="6"/>
  <c r="E2449" i="6"/>
  <c r="E2453" i="6"/>
  <c r="E2457" i="6"/>
  <c r="E2461" i="6"/>
  <c r="E2465" i="6"/>
  <c r="E2469" i="6"/>
  <c r="E2473" i="6"/>
  <c r="E2477" i="6"/>
  <c r="E2481" i="6"/>
  <c r="E2485" i="6"/>
  <c r="E2489" i="6"/>
  <c r="E2493" i="6"/>
  <c r="E2497" i="6"/>
  <c r="E2501" i="6"/>
  <c r="E2505" i="6"/>
  <c r="E2509" i="6"/>
  <c r="E2513" i="6"/>
  <c r="E2517" i="6"/>
  <c r="E2521" i="6"/>
  <c r="E2525" i="6"/>
  <c r="E2529" i="6"/>
  <c r="E2533" i="6"/>
  <c r="E2537" i="6"/>
  <c r="E2541" i="6"/>
  <c r="E2545" i="6"/>
  <c r="E2549" i="6"/>
  <c r="E2553" i="6"/>
  <c r="E2557" i="6"/>
  <c r="E2561" i="6"/>
  <c r="E2565" i="6"/>
  <c r="E2569" i="6"/>
  <c r="E2573" i="6"/>
  <c r="E2577" i="6"/>
  <c r="E2581" i="6"/>
  <c r="E2585" i="6"/>
  <c r="E2589" i="6"/>
  <c r="E2593" i="6"/>
  <c r="E2597" i="6"/>
  <c r="E2601" i="6"/>
  <c r="E2605" i="6"/>
  <c r="E2609" i="6"/>
  <c r="E2613" i="6"/>
  <c r="E2617" i="6"/>
  <c r="E2621" i="6"/>
  <c r="E2625" i="6"/>
  <c r="E2629" i="6"/>
  <c r="E2633" i="6"/>
  <c r="E2637" i="6"/>
  <c r="E2641" i="6"/>
  <c r="E2645" i="6"/>
  <c r="E2649" i="6"/>
  <c r="E2653" i="6"/>
  <c r="E2657" i="6"/>
  <c r="E2661" i="6"/>
  <c r="E2665" i="6"/>
  <c r="E2669" i="6"/>
  <c r="E2673" i="6"/>
  <c r="E2677" i="6"/>
  <c r="E2681" i="6"/>
  <c r="E2685" i="6"/>
  <c r="E2689" i="6"/>
  <c r="E2693" i="6"/>
  <c r="E2697" i="6"/>
  <c r="E2701" i="6"/>
  <c r="E2705" i="6"/>
  <c r="E2709" i="6"/>
  <c r="E2713" i="6"/>
  <c r="E2717" i="6"/>
  <c r="E2721" i="6"/>
  <c r="E2725" i="6"/>
  <c r="E2729" i="6"/>
  <c r="E2733" i="6"/>
  <c r="E2737" i="6"/>
  <c r="E2741" i="6"/>
  <c r="E2745" i="6"/>
  <c r="E2749" i="6"/>
  <c r="E2753" i="6"/>
  <c r="E2757" i="6"/>
  <c r="E2761" i="6"/>
  <c r="E2765" i="6"/>
  <c r="E2769" i="6"/>
  <c r="E2773" i="6"/>
  <c r="E2777" i="6"/>
  <c r="E2781" i="6"/>
  <c r="E2785" i="6"/>
  <c r="E2789" i="6"/>
  <c r="E2793" i="6"/>
  <c r="E2797" i="6"/>
  <c r="E2801" i="6"/>
  <c r="E2805" i="6"/>
  <c r="E2809" i="6"/>
  <c r="E2813" i="6"/>
  <c r="E2817" i="6"/>
  <c r="E2821" i="6"/>
  <c r="E2825" i="6"/>
  <c r="E2829" i="6"/>
  <c r="E2833" i="6"/>
  <c r="E2837" i="6"/>
  <c r="E2841" i="6"/>
  <c r="E2845" i="6"/>
  <c r="E2849" i="6"/>
  <c r="E2853" i="6"/>
  <c r="E2857" i="6"/>
  <c r="E2861" i="6"/>
  <c r="E2865" i="6"/>
  <c r="E2869" i="6"/>
  <c r="E2873" i="6"/>
  <c r="E2877" i="6"/>
  <c r="E2881" i="6"/>
  <c r="E2885" i="6"/>
  <c r="E2889" i="6"/>
  <c r="E2893" i="6"/>
  <c r="E2897" i="6"/>
  <c r="E2901" i="6"/>
  <c r="E2905" i="6"/>
  <c r="E2909" i="6"/>
  <c r="E2913" i="6"/>
  <c r="E2917" i="6"/>
  <c r="E2921" i="6"/>
  <c r="E2925" i="6"/>
  <c r="E2929" i="6"/>
  <c r="E2933" i="6"/>
  <c r="E2937" i="6"/>
  <c r="E2941" i="6"/>
  <c r="E2945" i="6"/>
  <c r="E2949" i="6"/>
  <c r="E2953" i="6"/>
  <c r="E2957" i="6"/>
  <c r="E2961" i="6"/>
  <c r="E2965" i="6"/>
  <c r="E2969" i="6"/>
  <c r="E2973" i="6"/>
  <c r="E2977" i="6"/>
  <c r="E2981" i="6"/>
  <c r="E2985" i="6"/>
  <c r="E2989" i="6"/>
  <c r="E2993" i="6"/>
  <c r="E2997" i="6"/>
  <c r="E3001" i="6"/>
  <c r="E3005" i="6"/>
  <c r="E3009" i="6"/>
  <c r="E3013" i="6"/>
  <c r="E3017" i="6"/>
  <c r="E3021" i="6"/>
  <c r="E3025" i="6"/>
  <c r="E3029" i="6"/>
  <c r="E3033" i="6"/>
  <c r="E3037" i="6"/>
  <c r="E3041" i="6"/>
  <c r="E3045" i="6"/>
  <c r="E3049" i="6"/>
  <c r="E3053" i="6"/>
  <c r="E3057" i="6"/>
  <c r="E3061" i="6"/>
  <c r="E3065" i="6"/>
  <c r="E3069" i="6"/>
  <c r="E3073" i="6"/>
  <c r="E3077" i="6"/>
  <c r="E3081" i="6"/>
  <c r="E3085" i="6"/>
  <c r="E3089" i="6"/>
  <c r="E3093" i="6"/>
  <c r="E3097" i="6"/>
  <c r="E3101" i="6"/>
  <c r="E3105" i="6"/>
  <c r="E3109" i="6"/>
  <c r="E3113" i="6"/>
  <c r="E3117" i="6"/>
  <c r="E3121" i="6"/>
  <c r="E3125" i="6"/>
  <c r="E3129" i="6"/>
  <c r="E3133" i="6"/>
  <c r="E3137" i="6"/>
  <c r="E3141" i="6"/>
  <c r="E3145" i="6"/>
  <c r="E3149" i="6"/>
  <c r="E3153" i="6"/>
  <c r="E3157" i="6"/>
  <c r="E3161" i="6"/>
  <c r="E3165" i="6"/>
  <c r="E3169" i="6"/>
  <c r="E3173" i="6"/>
  <c r="E3177" i="6"/>
  <c r="E3181" i="6"/>
  <c r="E3185" i="6"/>
  <c r="E3189" i="6"/>
  <c r="E3193" i="6"/>
  <c r="E3197" i="6"/>
  <c r="E3201" i="6"/>
  <c r="E3205" i="6"/>
  <c r="E3209" i="6"/>
  <c r="E3213" i="6"/>
  <c r="E3217" i="6"/>
  <c r="E3221" i="6"/>
  <c r="E3225" i="6"/>
  <c r="E3229" i="6"/>
  <c r="E3233" i="6"/>
  <c r="E3237" i="6"/>
  <c r="E3241" i="6"/>
  <c r="E3245" i="6"/>
  <c r="E3249" i="6"/>
  <c r="E3253" i="6"/>
  <c r="E3257" i="6"/>
  <c r="E3261" i="6"/>
  <c r="E3265" i="6"/>
  <c r="E3269" i="6"/>
  <c r="E3273" i="6"/>
  <c r="E3277" i="6"/>
  <c r="E3281" i="6"/>
  <c r="E3285" i="6"/>
  <c r="E3289" i="6"/>
  <c r="E3293" i="6"/>
  <c r="E3297" i="6"/>
  <c r="E3301" i="6"/>
  <c r="E3305" i="6"/>
  <c r="E3309" i="6"/>
  <c r="E3313" i="6"/>
  <c r="E3317" i="6"/>
  <c r="E3321" i="6"/>
  <c r="E3325" i="6"/>
  <c r="E3329" i="6"/>
  <c r="E3333" i="6"/>
  <c r="E3337" i="6"/>
  <c r="E3341" i="6"/>
  <c r="E3345" i="6"/>
  <c r="E3349" i="6"/>
  <c r="E3353" i="6"/>
  <c r="E3357" i="6"/>
  <c r="E3361" i="6"/>
  <c r="E3365" i="6"/>
  <c r="E3369" i="6"/>
  <c r="E3373" i="6"/>
  <c r="E3377" i="6"/>
  <c r="E3381" i="6"/>
  <c r="E3385" i="6"/>
  <c r="E3389" i="6"/>
  <c r="E3393" i="6"/>
  <c r="E3397" i="6"/>
  <c r="E3401" i="6"/>
  <c r="E3405" i="6"/>
  <c r="E852" i="6"/>
  <c r="E1299" i="6"/>
  <c r="E1501" i="6"/>
  <c r="E1629" i="6"/>
  <c r="E1708" i="6"/>
  <c r="E1772" i="6"/>
  <c r="E1836" i="6"/>
  <c r="E1900" i="6"/>
  <c r="E1964" i="6"/>
  <c r="E2028" i="6"/>
  <c r="E2092" i="6"/>
  <c r="E2136" i="6"/>
  <c r="E2168" i="6"/>
  <c r="E2200" i="6"/>
  <c r="E2232" i="6"/>
  <c r="E2264" i="6"/>
  <c r="E2296" i="6"/>
  <c r="E2322" i="6"/>
  <c r="E2338" i="6"/>
  <c r="E2354" i="6"/>
  <c r="E2370" i="6"/>
  <c r="E2386" i="6"/>
  <c r="E2402" i="6"/>
  <c r="E2418" i="6"/>
  <c r="E2434" i="6"/>
  <c r="E2450" i="6"/>
  <c r="E2466" i="6"/>
  <c r="E2482" i="6"/>
  <c r="E2498" i="6"/>
  <c r="E2514" i="6"/>
  <c r="E2530" i="6"/>
  <c r="E2546" i="6"/>
  <c r="E2562" i="6"/>
  <c r="E2578" i="6"/>
  <c r="E2594" i="6"/>
  <c r="E2610" i="6"/>
  <c r="E2626" i="6"/>
  <c r="E2642" i="6"/>
  <c r="E2658" i="6"/>
  <c r="E2674" i="6"/>
  <c r="E2690" i="6"/>
  <c r="E2706" i="6"/>
  <c r="E2722" i="6"/>
  <c r="E2738" i="6"/>
  <c r="E2754" i="6"/>
  <c r="E2770" i="6"/>
  <c r="E2786" i="6"/>
  <c r="E2802" i="6"/>
  <c r="E2818" i="6"/>
  <c r="E2834" i="6"/>
  <c r="E2850" i="6"/>
  <c r="E2866" i="6"/>
  <c r="E2882" i="6"/>
  <c r="E2898" i="6"/>
  <c r="E2914" i="6"/>
  <c r="E2930" i="6"/>
  <c r="E2946" i="6"/>
  <c r="E2962" i="6"/>
  <c r="E2978" i="6"/>
  <c r="E2994" i="6"/>
  <c r="E3010" i="6"/>
  <c r="E3026" i="6"/>
  <c r="E3042" i="6"/>
  <c r="E3058" i="6"/>
  <c r="E3074" i="6"/>
  <c r="E3090" i="6"/>
  <c r="E3106" i="6"/>
  <c r="E3122" i="6"/>
  <c r="E3138" i="6"/>
  <c r="E3154" i="6"/>
  <c r="E3170" i="6"/>
  <c r="E3180" i="6"/>
  <c r="E3188" i="6"/>
  <c r="E3196" i="6"/>
  <c r="E3204" i="6"/>
  <c r="E3212" i="6"/>
  <c r="E3220" i="6"/>
  <c r="E3228" i="6"/>
  <c r="E3236" i="6"/>
  <c r="E3244" i="6"/>
  <c r="E3252" i="6"/>
  <c r="E3260" i="6"/>
  <c r="E3268" i="6"/>
  <c r="E3276" i="6"/>
  <c r="E3284" i="6"/>
  <c r="E3292" i="6"/>
  <c r="E3300" i="6"/>
  <c r="E3308" i="6"/>
  <c r="E3316" i="6"/>
  <c r="E3324" i="6"/>
  <c r="E3332" i="6"/>
  <c r="E3340" i="6"/>
  <c r="E3348" i="6"/>
  <c r="E3356" i="6"/>
  <c r="E3364" i="6"/>
  <c r="E3372" i="6"/>
  <c r="E3380" i="6"/>
  <c r="E3388" i="6"/>
  <c r="E3396" i="6"/>
  <c r="E3404" i="6"/>
  <c r="E3410" i="6"/>
  <c r="E3414" i="6"/>
  <c r="E3418" i="6"/>
  <c r="E3422" i="6"/>
  <c r="E3426" i="6"/>
  <c r="E3430" i="6"/>
  <c r="E3434" i="6"/>
  <c r="E3438" i="6"/>
  <c r="E3442" i="6"/>
  <c r="E3446" i="6"/>
  <c r="E3450" i="6"/>
  <c r="E3454" i="6"/>
  <c r="E3458" i="6"/>
  <c r="E3462" i="6"/>
  <c r="E3466" i="6"/>
  <c r="E3470" i="6"/>
  <c r="E3474" i="6"/>
  <c r="E3478" i="6"/>
  <c r="E3482" i="6"/>
  <c r="E3486" i="6"/>
  <c r="E3490" i="6"/>
  <c r="E3494" i="6"/>
  <c r="E3498" i="6"/>
  <c r="E3502" i="6"/>
  <c r="E3506" i="6"/>
  <c r="E3510" i="6"/>
  <c r="E3514" i="6"/>
  <c r="E3518" i="6"/>
  <c r="E3522" i="6"/>
  <c r="E3526" i="6"/>
  <c r="E3530" i="6"/>
  <c r="E3534" i="6"/>
  <c r="E3538" i="6"/>
  <c r="E3542" i="6"/>
  <c r="E3546" i="6"/>
  <c r="E3550" i="6"/>
  <c r="E3554" i="6"/>
  <c r="E3558" i="6"/>
  <c r="E3562" i="6"/>
  <c r="E3566" i="6"/>
  <c r="E3570" i="6"/>
  <c r="E3574" i="6"/>
  <c r="E3578" i="6"/>
  <c r="E3582" i="6"/>
  <c r="E3586" i="6"/>
  <c r="E3590" i="6"/>
  <c r="E3594" i="6"/>
  <c r="E3598" i="6"/>
  <c r="E3602" i="6"/>
  <c r="E3606" i="6"/>
  <c r="E3610" i="6"/>
  <c r="E3614" i="6"/>
  <c r="E3618" i="6"/>
  <c r="E3622" i="6"/>
  <c r="E3626" i="6"/>
  <c r="E3630" i="6"/>
  <c r="E3634" i="6"/>
  <c r="E3638" i="6"/>
  <c r="E3642" i="6"/>
  <c r="E3646" i="6"/>
  <c r="E3650" i="6"/>
  <c r="E3654" i="6"/>
  <c r="E3658" i="6"/>
  <c r="E3662" i="6"/>
  <c r="E3666" i="6"/>
  <c r="E3670" i="6"/>
  <c r="E3674" i="6"/>
  <c r="E3678" i="6"/>
  <c r="E3682" i="6"/>
  <c r="E3686" i="6"/>
  <c r="E3690" i="6"/>
  <c r="E3694" i="6"/>
  <c r="E3698" i="6"/>
  <c r="E3702" i="6"/>
  <c r="E3706" i="6"/>
  <c r="E3710" i="6"/>
  <c r="E3714" i="6"/>
  <c r="E3718" i="6"/>
  <c r="E3722" i="6"/>
  <c r="E3726" i="6"/>
  <c r="E3730" i="6"/>
  <c r="E3734" i="6"/>
  <c r="E3738" i="6"/>
  <c r="E3742" i="6"/>
  <c r="E3746" i="6"/>
  <c r="E3750" i="6"/>
  <c r="E3754" i="6"/>
  <c r="E3758" i="6"/>
  <c r="E3762" i="6"/>
  <c r="E3766" i="6"/>
  <c r="E3770" i="6"/>
  <c r="E3774" i="6"/>
  <c r="E3778" i="6"/>
  <c r="E3782" i="6"/>
  <c r="E3786" i="6"/>
  <c r="E3790" i="6"/>
  <c r="E3794" i="6"/>
  <c r="E3798" i="6"/>
  <c r="E3802" i="6"/>
  <c r="E3806" i="6"/>
  <c r="E3810" i="6"/>
  <c r="E3814" i="6"/>
  <c r="E3818" i="6"/>
  <c r="E3822" i="6"/>
  <c r="E3826" i="6"/>
  <c r="E3830" i="6"/>
  <c r="E3834" i="6"/>
  <c r="E3838" i="6"/>
  <c r="E3842" i="6"/>
  <c r="E3846" i="6"/>
  <c r="E3850" i="6"/>
  <c r="E3854" i="6"/>
  <c r="E3858" i="6"/>
  <c r="E3862" i="6"/>
  <c r="E3866" i="6"/>
  <c r="E3870" i="6"/>
  <c r="E3874" i="6"/>
  <c r="E3878" i="6"/>
  <c r="E3882" i="6"/>
  <c r="E3886" i="6"/>
  <c r="E3890" i="6"/>
  <c r="E3894" i="6"/>
  <c r="E3898" i="6"/>
  <c r="E3902" i="6"/>
  <c r="E3906" i="6"/>
  <c r="E3910" i="6"/>
  <c r="E3914" i="6"/>
  <c r="E3918" i="6"/>
  <c r="E3922" i="6"/>
  <c r="E3926" i="6"/>
  <c r="E3930" i="6"/>
  <c r="E3934" i="6"/>
  <c r="E3938" i="6"/>
  <c r="E3942" i="6"/>
  <c r="E3946" i="6"/>
  <c r="E3950" i="6"/>
  <c r="E3954" i="6"/>
  <c r="E3958" i="6"/>
  <c r="E3962" i="6"/>
  <c r="E3966" i="6"/>
  <c r="E3970" i="6"/>
  <c r="E3974" i="6"/>
  <c r="E3978" i="6"/>
  <c r="E3982" i="6"/>
  <c r="E3986" i="6"/>
  <c r="E3990" i="6"/>
  <c r="E3994" i="6"/>
  <c r="E3998" i="6"/>
  <c r="E4002" i="6"/>
  <c r="E4006" i="6"/>
  <c r="E4010" i="6"/>
  <c r="E4014" i="6"/>
  <c r="E4018" i="6"/>
  <c r="E4022" i="6"/>
  <c r="E4026" i="6"/>
  <c r="E4030" i="6"/>
  <c r="E4034" i="6"/>
  <c r="E4038" i="6"/>
  <c r="E4042" i="6"/>
  <c r="E4046" i="6"/>
  <c r="E4050" i="6"/>
  <c r="E4054" i="6"/>
  <c r="E4058" i="6"/>
  <c r="E4062" i="6"/>
  <c r="E4066" i="6"/>
  <c r="E4070" i="6"/>
  <c r="E4074" i="6"/>
  <c r="E4078" i="6"/>
  <c r="E4082" i="6"/>
  <c r="E4086" i="6"/>
  <c r="E4090" i="6"/>
  <c r="E4094" i="6"/>
  <c r="E4098" i="6"/>
  <c r="E4102" i="6"/>
  <c r="E4106" i="6"/>
  <c r="E4110" i="6"/>
  <c r="E4114" i="6"/>
  <c r="E4118" i="6"/>
  <c r="E4122" i="6"/>
  <c r="E4126" i="6"/>
  <c r="E4130" i="6"/>
  <c r="E4134" i="6"/>
  <c r="E4138" i="6"/>
  <c r="E4142" i="6"/>
  <c r="E4146" i="6"/>
  <c r="E4150" i="6"/>
  <c r="E4154" i="6"/>
  <c r="E4158" i="6"/>
  <c r="E4162" i="6"/>
  <c r="E4166" i="6"/>
  <c r="E4170" i="6"/>
  <c r="E4174" i="6"/>
  <c r="E4178" i="6"/>
  <c r="E4182" i="6"/>
  <c r="E4186" i="6"/>
  <c r="E4190" i="6"/>
  <c r="E4194" i="6"/>
  <c r="E4198" i="6"/>
  <c r="E4202" i="6"/>
  <c r="E4206" i="6"/>
  <c r="E4210" i="6"/>
  <c r="E4214" i="6"/>
  <c r="E4218" i="6"/>
  <c r="E4222" i="6"/>
  <c r="E4226" i="6"/>
  <c r="E4230" i="6"/>
  <c r="E4234" i="6"/>
  <c r="E4238" i="6"/>
  <c r="E4242" i="6"/>
  <c r="E4246" i="6"/>
  <c r="E4250" i="6"/>
  <c r="E4254" i="6"/>
  <c r="E4258" i="6"/>
  <c r="E4262" i="6"/>
  <c r="E4266" i="6"/>
  <c r="E4270" i="6"/>
  <c r="E4274" i="6"/>
  <c r="E4278" i="6"/>
  <c r="E4282" i="6"/>
  <c r="E4286" i="6"/>
  <c r="E4290" i="6"/>
  <c r="E4294" i="6"/>
  <c r="E4298" i="6"/>
  <c r="E4302" i="6"/>
  <c r="E4306" i="6"/>
  <c r="E4310" i="6"/>
  <c r="E4314" i="6"/>
  <c r="E4318" i="6"/>
  <c r="E4322" i="6"/>
  <c r="E4326" i="6"/>
  <c r="E4330" i="6"/>
  <c r="E4334" i="6"/>
  <c r="E4338" i="6"/>
  <c r="E4342" i="6"/>
  <c r="E4346" i="6"/>
  <c r="E4350" i="6"/>
  <c r="E4354" i="6"/>
  <c r="E4358" i="6"/>
  <c r="E4362" i="6"/>
  <c r="E4366" i="6"/>
  <c r="E4370" i="6"/>
  <c r="E4374" i="6"/>
  <c r="E4378" i="6"/>
  <c r="E4382" i="6"/>
  <c r="E4386" i="6"/>
  <c r="E4390" i="6"/>
  <c r="E4394" i="6"/>
  <c r="E4398" i="6"/>
  <c r="E1020" i="6"/>
  <c r="E1363" i="6"/>
  <c r="E1533" i="6"/>
  <c r="E1660" i="6"/>
  <c r="E1724" i="6"/>
  <c r="E1788" i="6"/>
  <c r="E1852" i="6"/>
  <c r="E1916" i="6"/>
  <c r="E1980" i="6"/>
  <c r="E2044" i="6"/>
  <c r="E2108" i="6"/>
  <c r="E2144" i="6"/>
  <c r="E2176" i="6"/>
  <c r="E2208" i="6"/>
  <c r="E2240" i="6"/>
  <c r="E2272" i="6"/>
  <c r="E2304" i="6"/>
  <c r="E2326" i="6"/>
  <c r="E2342" i="6"/>
  <c r="E2358" i="6"/>
  <c r="E2374" i="6"/>
  <c r="E2390" i="6"/>
  <c r="E2406" i="6"/>
  <c r="E2422" i="6"/>
  <c r="E2438" i="6"/>
  <c r="E2454" i="6"/>
  <c r="E2470" i="6"/>
  <c r="E2486" i="6"/>
  <c r="E2502" i="6"/>
  <c r="E2518" i="6"/>
  <c r="E2534" i="6"/>
  <c r="E2550" i="6"/>
  <c r="E2566" i="6"/>
  <c r="E2582" i="6"/>
  <c r="E2598" i="6"/>
  <c r="E2614" i="6"/>
  <c r="E2630" i="6"/>
  <c r="E2646" i="6"/>
  <c r="E2662" i="6"/>
  <c r="E2678" i="6"/>
  <c r="E2694" i="6"/>
  <c r="E2710" i="6"/>
  <c r="E2726" i="6"/>
  <c r="E2742" i="6"/>
  <c r="E2758" i="6"/>
  <c r="E2774" i="6"/>
  <c r="E2790" i="6"/>
  <c r="E2806" i="6"/>
  <c r="E2822" i="6"/>
  <c r="E2838" i="6"/>
  <c r="E2854" i="6"/>
  <c r="E2870" i="6"/>
  <c r="E2886" i="6"/>
  <c r="E2902" i="6"/>
  <c r="E2918" i="6"/>
  <c r="E2934" i="6"/>
  <c r="E2950" i="6"/>
  <c r="E2966" i="6"/>
  <c r="E2982" i="6"/>
  <c r="E2998" i="6"/>
  <c r="E3014" i="6"/>
  <c r="E3030" i="6"/>
  <c r="E3046" i="6"/>
  <c r="E3062" i="6"/>
  <c r="E3078" i="6"/>
  <c r="E3094" i="6"/>
  <c r="E3110" i="6"/>
  <c r="E3126" i="6"/>
  <c r="E3142" i="6"/>
  <c r="E3158" i="6"/>
  <c r="E3174" i="6"/>
  <c r="E3182" i="6"/>
  <c r="E3190" i="6"/>
  <c r="E3198" i="6"/>
  <c r="E3206" i="6"/>
  <c r="E3214" i="6"/>
  <c r="E3222" i="6"/>
  <c r="E3230" i="6"/>
  <c r="E3238" i="6"/>
  <c r="E3246" i="6"/>
  <c r="E3254" i="6"/>
  <c r="E3262" i="6"/>
  <c r="E3270" i="6"/>
  <c r="E3278" i="6"/>
  <c r="E3286" i="6"/>
  <c r="E3294" i="6"/>
  <c r="E3302" i="6"/>
  <c r="E3310" i="6"/>
  <c r="E3318" i="6"/>
  <c r="E3326" i="6"/>
  <c r="E3334" i="6"/>
  <c r="E3342" i="6"/>
  <c r="E3350" i="6"/>
  <c r="E3358" i="6"/>
  <c r="E3366" i="6"/>
  <c r="E3374" i="6"/>
  <c r="E3382" i="6"/>
  <c r="E3390" i="6"/>
  <c r="E3398" i="6"/>
  <c r="E3406" i="6"/>
  <c r="E3411" i="6"/>
  <c r="E3415" i="6"/>
  <c r="E3419" i="6"/>
  <c r="E3423" i="6"/>
  <c r="E3427" i="6"/>
  <c r="E3431" i="6"/>
  <c r="E3435" i="6"/>
  <c r="E3439" i="6"/>
  <c r="E3443" i="6"/>
  <c r="E3447" i="6"/>
  <c r="E3451" i="6"/>
  <c r="E3455" i="6"/>
  <c r="E3459" i="6"/>
  <c r="E3463" i="6"/>
  <c r="E3467" i="6"/>
  <c r="E3471" i="6"/>
  <c r="E3475" i="6"/>
  <c r="E3479" i="6"/>
  <c r="E3483" i="6"/>
  <c r="E3487" i="6"/>
  <c r="E3491" i="6"/>
  <c r="E3495" i="6"/>
  <c r="E3499" i="6"/>
  <c r="E3503" i="6"/>
  <c r="E3507" i="6"/>
  <c r="E3511" i="6"/>
  <c r="E3515" i="6"/>
  <c r="E3519" i="6"/>
  <c r="E3523" i="6"/>
  <c r="E3527" i="6"/>
  <c r="E3531" i="6"/>
  <c r="E3535" i="6"/>
  <c r="E3539" i="6"/>
  <c r="E3543" i="6"/>
  <c r="E3547" i="6"/>
  <c r="E3551" i="6"/>
  <c r="E3555" i="6"/>
  <c r="E3559" i="6"/>
  <c r="E3563" i="6"/>
  <c r="E3567" i="6"/>
  <c r="E3571" i="6"/>
  <c r="E3575" i="6"/>
  <c r="E3579" i="6"/>
  <c r="E3583" i="6"/>
  <c r="E3587" i="6"/>
  <c r="E3591" i="6"/>
  <c r="E3595" i="6"/>
  <c r="E3599" i="6"/>
  <c r="E3603" i="6"/>
  <c r="E3607" i="6"/>
  <c r="E3611" i="6"/>
  <c r="E3615" i="6"/>
  <c r="E3619" i="6"/>
  <c r="E3623" i="6"/>
  <c r="E3627" i="6"/>
  <c r="E3631" i="6"/>
  <c r="E3635" i="6"/>
  <c r="E3639" i="6"/>
  <c r="E3643" i="6"/>
  <c r="E3647" i="6"/>
  <c r="E3651" i="6"/>
  <c r="E3655" i="6"/>
  <c r="E3659" i="6"/>
  <c r="E3663" i="6"/>
  <c r="E3667" i="6"/>
  <c r="E3671" i="6"/>
  <c r="E3675" i="6"/>
  <c r="E3679" i="6"/>
  <c r="E3683" i="6"/>
  <c r="E3687" i="6"/>
  <c r="E3691" i="6"/>
  <c r="E3695" i="6"/>
  <c r="E3699" i="6"/>
  <c r="E3703" i="6"/>
  <c r="E3707" i="6"/>
  <c r="E3711" i="6"/>
  <c r="E3715" i="6"/>
  <c r="E3719" i="6"/>
  <c r="E3723" i="6"/>
  <c r="E3727" i="6"/>
  <c r="E3731" i="6"/>
  <c r="E3735" i="6"/>
  <c r="E3739" i="6"/>
  <c r="E3743" i="6"/>
  <c r="E3747" i="6"/>
  <c r="E3751" i="6"/>
  <c r="E3755" i="6"/>
  <c r="E3759" i="6"/>
  <c r="E3763" i="6"/>
  <c r="E3767" i="6"/>
  <c r="E3771" i="6"/>
  <c r="E3775" i="6"/>
  <c r="E3779" i="6"/>
  <c r="E3783" i="6"/>
  <c r="E3787" i="6"/>
  <c r="E3791" i="6"/>
  <c r="E3795" i="6"/>
  <c r="E3799" i="6"/>
  <c r="E3803" i="6"/>
  <c r="E3807" i="6"/>
  <c r="E3811" i="6"/>
  <c r="E3815" i="6"/>
  <c r="E3819" i="6"/>
  <c r="E3823" i="6"/>
  <c r="E3827" i="6"/>
  <c r="E3831" i="6"/>
  <c r="E3835" i="6"/>
  <c r="E3839" i="6"/>
  <c r="E3843" i="6"/>
  <c r="E3847" i="6"/>
  <c r="E3851" i="6"/>
  <c r="E3855" i="6"/>
  <c r="E3859" i="6"/>
  <c r="E3863" i="6"/>
  <c r="E3867" i="6"/>
  <c r="E3871" i="6"/>
  <c r="E3875" i="6"/>
  <c r="E3879" i="6"/>
  <c r="E3883" i="6"/>
  <c r="E3887" i="6"/>
  <c r="E3891" i="6"/>
  <c r="E3895" i="6"/>
  <c r="E3899" i="6"/>
  <c r="E3903" i="6"/>
  <c r="E3907" i="6"/>
  <c r="E3911" i="6"/>
  <c r="E3915" i="6"/>
  <c r="E3919" i="6"/>
  <c r="E3923" i="6"/>
  <c r="E3927" i="6"/>
  <c r="E3931" i="6"/>
  <c r="E3935" i="6"/>
  <c r="E3939" i="6"/>
  <c r="E3943" i="6"/>
  <c r="E3947" i="6"/>
  <c r="E3951" i="6"/>
  <c r="E3955" i="6"/>
  <c r="E3959" i="6"/>
  <c r="E3963" i="6"/>
  <c r="E3967" i="6"/>
  <c r="E3971" i="6"/>
  <c r="E3975" i="6"/>
  <c r="E3979" i="6"/>
  <c r="E3983" i="6"/>
  <c r="E3987" i="6"/>
  <c r="E3991" i="6"/>
  <c r="E3995" i="6"/>
  <c r="E3999" i="6"/>
  <c r="E4003" i="6"/>
  <c r="E4007" i="6"/>
  <c r="E4011" i="6"/>
  <c r="E4015" i="6"/>
  <c r="E4019" i="6"/>
  <c r="E4023" i="6"/>
  <c r="E4027" i="6"/>
  <c r="E4031" i="6"/>
  <c r="E4035" i="6"/>
  <c r="E4039" i="6"/>
  <c r="E4043" i="6"/>
  <c r="E4047" i="6"/>
  <c r="E4051" i="6"/>
  <c r="E4055" i="6"/>
  <c r="E4059" i="6"/>
  <c r="E4063" i="6"/>
  <c r="E4067" i="6"/>
  <c r="E4071" i="6"/>
  <c r="E4075" i="6"/>
  <c r="E4079" i="6"/>
  <c r="E4083" i="6"/>
  <c r="E4087" i="6"/>
  <c r="E4091" i="6"/>
  <c r="E4095" i="6"/>
  <c r="E4099" i="6"/>
  <c r="E4103" i="6"/>
  <c r="E4107" i="6"/>
  <c r="E4111" i="6"/>
  <c r="E4115" i="6"/>
  <c r="E4119" i="6"/>
  <c r="E4123" i="6"/>
  <c r="E4127" i="6"/>
  <c r="E4131" i="6"/>
  <c r="E4135" i="6"/>
  <c r="E4139" i="6"/>
  <c r="E4143" i="6"/>
  <c r="E4147" i="6"/>
  <c r="E4151" i="6"/>
  <c r="E4155" i="6"/>
  <c r="E4159" i="6"/>
  <c r="E4163" i="6"/>
  <c r="E4167" i="6"/>
  <c r="E4171" i="6"/>
  <c r="E4175" i="6"/>
  <c r="E4179" i="6"/>
  <c r="E4183" i="6"/>
  <c r="E4187" i="6"/>
  <c r="E4191" i="6"/>
  <c r="E4195" i="6"/>
  <c r="E4199" i="6"/>
  <c r="E4203" i="6"/>
  <c r="E4207" i="6"/>
  <c r="E4211" i="6"/>
  <c r="E4215" i="6"/>
  <c r="E4219" i="6"/>
  <c r="E4223" i="6"/>
  <c r="E4227" i="6"/>
  <c r="E4231" i="6"/>
  <c r="E4235" i="6"/>
  <c r="E4239" i="6"/>
  <c r="E4243" i="6"/>
  <c r="E4247" i="6"/>
  <c r="E4251" i="6"/>
  <c r="E4255" i="6"/>
  <c r="E4259" i="6"/>
  <c r="E4263" i="6"/>
  <c r="E4267" i="6"/>
  <c r="E4271" i="6"/>
  <c r="E4275" i="6"/>
  <c r="E4279" i="6"/>
  <c r="E4283" i="6"/>
  <c r="E4287" i="6"/>
  <c r="E4291" i="6"/>
  <c r="E4295" i="6"/>
  <c r="E4299" i="6"/>
  <c r="E4303" i="6"/>
  <c r="E4307" i="6"/>
  <c r="E4311" i="6"/>
  <c r="E4315" i="6"/>
  <c r="E4319" i="6"/>
  <c r="E4323" i="6"/>
  <c r="E4327" i="6"/>
  <c r="E4331" i="6"/>
  <c r="E4335" i="6"/>
  <c r="E4339" i="6"/>
  <c r="E4343" i="6"/>
  <c r="E4347" i="6"/>
  <c r="E4351" i="6"/>
  <c r="E4355" i="6"/>
  <c r="E4359" i="6"/>
  <c r="E4363" i="6"/>
  <c r="E4367" i="6"/>
  <c r="E4371" i="6"/>
  <c r="E1136" i="6"/>
  <c r="E1427" i="6"/>
  <c r="E1565" i="6"/>
  <c r="E1676" i="6"/>
  <c r="E1740" i="6"/>
  <c r="E1804" i="6"/>
  <c r="E1868" i="6"/>
  <c r="E1932" i="6"/>
  <c r="E1996" i="6"/>
  <c r="E2060" i="6"/>
  <c r="E2120" i="6"/>
  <c r="E2152" i="6"/>
  <c r="E2184" i="6"/>
  <c r="E2216" i="6"/>
  <c r="E2248" i="6"/>
  <c r="E2280" i="6"/>
  <c r="E2312" i="6"/>
  <c r="E2330" i="6"/>
  <c r="E2346" i="6"/>
  <c r="E2362" i="6"/>
  <c r="E2378" i="6"/>
  <c r="E2394" i="6"/>
  <c r="E2410" i="6"/>
  <c r="E2426" i="6"/>
  <c r="E2442" i="6"/>
  <c r="E2458" i="6"/>
  <c r="E2474" i="6"/>
  <c r="E2490" i="6"/>
  <c r="E2506" i="6"/>
  <c r="E2522" i="6"/>
  <c r="E2538" i="6"/>
  <c r="E2554" i="6"/>
  <c r="E2570" i="6"/>
  <c r="E2586" i="6"/>
  <c r="E2602" i="6"/>
  <c r="E2618" i="6"/>
  <c r="E2634" i="6"/>
  <c r="E2650" i="6"/>
  <c r="E2666" i="6"/>
  <c r="E2682" i="6"/>
  <c r="E2698" i="6"/>
  <c r="E2714" i="6"/>
  <c r="E2730" i="6"/>
  <c r="E2746" i="6"/>
  <c r="E2762" i="6"/>
  <c r="E2778" i="6"/>
  <c r="E2794" i="6"/>
  <c r="E2810" i="6"/>
  <c r="E2826" i="6"/>
  <c r="E2842" i="6"/>
  <c r="E2858" i="6"/>
  <c r="E2874" i="6"/>
  <c r="E2890" i="6"/>
  <c r="E2906" i="6"/>
  <c r="E2922" i="6"/>
  <c r="E2938" i="6"/>
  <c r="E2954" i="6"/>
  <c r="E2970" i="6"/>
  <c r="E2986" i="6"/>
  <c r="E3002" i="6"/>
  <c r="E3018" i="6"/>
  <c r="E3034" i="6"/>
  <c r="E3050" i="6"/>
  <c r="E3066" i="6"/>
  <c r="E3082" i="6"/>
  <c r="E3098" i="6"/>
  <c r="E3114" i="6"/>
  <c r="E3130" i="6"/>
  <c r="E3146" i="6"/>
  <c r="E3162" i="6"/>
  <c r="E3176" i="6"/>
  <c r="E3184" i="6"/>
  <c r="E3192" i="6"/>
  <c r="E3200" i="6"/>
  <c r="E3208" i="6"/>
  <c r="E3216" i="6"/>
  <c r="E3224" i="6"/>
  <c r="E3232" i="6"/>
  <c r="E3240" i="6"/>
  <c r="E3248" i="6"/>
  <c r="E3256" i="6"/>
  <c r="E3264" i="6"/>
  <c r="E3272" i="6"/>
  <c r="E3280" i="6"/>
  <c r="E3288" i="6"/>
  <c r="E3296" i="6"/>
  <c r="E3304" i="6"/>
  <c r="E3312" i="6"/>
  <c r="E3320" i="6"/>
  <c r="E3328" i="6"/>
  <c r="E3336" i="6"/>
  <c r="E3344" i="6"/>
  <c r="E3352" i="6"/>
  <c r="E3360" i="6"/>
  <c r="E3368" i="6"/>
  <c r="E3376" i="6"/>
  <c r="E3384" i="6"/>
  <c r="E3392" i="6"/>
  <c r="E3400" i="6"/>
  <c r="E3408" i="6"/>
  <c r="E3412" i="6"/>
  <c r="E3416" i="6"/>
  <c r="E3420" i="6"/>
  <c r="E3424" i="6"/>
  <c r="E3428" i="6"/>
  <c r="E3432" i="6"/>
  <c r="E3436" i="6"/>
  <c r="E3440" i="6"/>
  <c r="E3444" i="6"/>
  <c r="E3448" i="6"/>
  <c r="E3452" i="6"/>
  <c r="E3456" i="6"/>
  <c r="E3460" i="6"/>
  <c r="E3464" i="6"/>
  <c r="E3468" i="6"/>
  <c r="E3472" i="6"/>
  <c r="E3476" i="6"/>
  <c r="E3480" i="6"/>
  <c r="E3484" i="6"/>
  <c r="E3488" i="6"/>
  <c r="E3492" i="6"/>
  <c r="E3496" i="6"/>
  <c r="E3500" i="6"/>
  <c r="E3504" i="6"/>
  <c r="E3508" i="6"/>
  <c r="E3512" i="6"/>
  <c r="E3516" i="6"/>
  <c r="E3520" i="6"/>
  <c r="E3524" i="6"/>
  <c r="E3528" i="6"/>
  <c r="E3532" i="6"/>
  <c r="E3536" i="6"/>
  <c r="E3540" i="6"/>
  <c r="E3544" i="6"/>
  <c r="E3548" i="6"/>
  <c r="E3552" i="6"/>
  <c r="E3556" i="6"/>
  <c r="E3560" i="6"/>
  <c r="E3564" i="6"/>
  <c r="E3568" i="6"/>
  <c r="E3572" i="6"/>
  <c r="E3576" i="6"/>
  <c r="E3580" i="6"/>
  <c r="E3584" i="6"/>
  <c r="E3588" i="6"/>
  <c r="E3592" i="6"/>
  <c r="E3596" i="6"/>
  <c r="E3600" i="6"/>
  <c r="E3604" i="6"/>
  <c r="E3608" i="6"/>
  <c r="E3612" i="6"/>
  <c r="E3616" i="6"/>
  <c r="E3620" i="6"/>
  <c r="E3624" i="6"/>
  <c r="E3628" i="6"/>
  <c r="E3632" i="6"/>
  <c r="E3636" i="6"/>
  <c r="E3640" i="6"/>
  <c r="E3644" i="6"/>
  <c r="E3648" i="6"/>
  <c r="E3652" i="6"/>
  <c r="E3656" i="6"/>
  <c r="E3660" i="6"/>
  <c r="E3664" i="6"/>
  <c r="E3668" i="6"/>
  <c r="E3672" i="6"/>
  <c r="E3676" i="6"/>
  <c r="E3680" i="6"/>
  <c r="E3684" i="6"/>
  <c r="E3688" i="6"/>
  <c r="E3692" i="6"/>
  <c r="E3696" i="6"/>
  <c r="E3700" i="6"/>
  <c r="E3704" i="6"/>
  <c r="E3708" i="6"/>
  <c r="E3712" i="6"/>
  <c r="E3716" i="6"/>
  <c r="E3720" i="6"/>
  <c r="E3724" i="6"/>
  <c r="E3728" i="6"/>
  <c r="E3732" i="6"/>
  <c r="E3736" i="6"/>
  <c r="E3740" i="6"/>
  <c r="E3744" i="6"/>
  <c r="E3748" i="6"/>
  <c r="E3752" i="6"/>
  <c r="E3756" i="6"/>
  <c r="E3760" i="6"/>
  <c r="E3764" i="6"/>
  <c r="E3768" i="6"/>
  <c r="E3772" i="6"/>
  <c r="E3776" i="6"/>
  <c r="E3780" i="6"/>
  <c r="E3784" i="6"/>
  <c r="E3788" i="6"/>
  <c r="E3792" i="6"/>
  <c r="E3796" i="6"/>
  <c r="E3800" i="6"/>
  <c r="E3804" i="6"/>
  <c r="E3808" i="6"/>
  <c r="E3812" i="6"/>
  <c r="E3816" i="6"/>
  <c r="E3820" i="6"/>
  <c r="E3824" i="6"/>
  <c r="E3828" i="6"/>
  <c r="E3832" i="6"/>
  <c r="E3836" i="6"/>
  <c r="E3840" i="6"/>
  <c r="E3844" i="6"/>
  <c r="E3848" i="6"/>
  <c r="E3852" i="6"/>
  <c r="E3856" i="6"/>
  <c r="E3860" i="6"/>
  <c r="E3864" i="6"/>
  <c r="E3868" i="6"/>
  <c r="E3872" i="6"/>
  <c r="E3876" i="6"/>
  <c r="E3880" i="6"/>
  <c r="E3884" i="6"/>
  <c r="E3888" i="6"/>
  <c r="E3892" i="6"/>
  <c r="E3896" i="6"/>
  <c r="E3900" i="6"/>
  <c r="E3904" i="6"/>
  <c r="E3908" i="6"/>
  <c r="E3912" i="6"/>
  <c r="E3916" i="6"/>
  <c r="E3920" i="6"/>
  <c r="E3924" i="6"/>
  <c r="E3928" i="6"/>
  <c r="E3932" i="6"/>
  <c r="E3936" i="6"/>
  <c r="E3940" i="6"/>
  <c r="E3944" i="6"/>
  <c r="E3948" i="6"/>
  <c r="E3952" i="6"/>
  <c r="E3956" i="6"/>
  <c r="E3960" i="6"/>
  <c r="E3964" i="6"/>
  <c r="E3968" i="6"/>
  <c r="E3972" i="6"/>
  <c r="E3976" i="6"/>
  <c r="E3980" i="6"/>
  <c r="E3984" i="6"/>
  <c r="E3988" i="6"/>
  <c r="E3992" i="6"/>
  <c r="E3996" i="6"/>
  <c r="E4000" i="6"/>
  <c r="E4004" i="6"/>
  <c r="E4008" i="6"/>
  <c r="E4012" i="6"/>
  <c r="E4016" i="6"/>
  <c r="E4020" i="6"/>
  <c r="E4024" i="6"/>
  <c r="E4028" i="6"/>
  <c r="E4032" i="6"/>
  <c r="E4036" i="6"/>
  <c r="E4040" i="6"/>
  <c r="E4044" i="6"/>
  <c r="E4048" i="6"/>
  <c r="E4052" i="6"/>
  <c r="E4056" i="6"/>
  <c r="E4060" i="6"/>
  <c r="E4064" i="6"/>
  <c r="E4068" i="6"/>
  <c r="E4072" i="6"/>
  <c r="E4076" i="6"/>
  <c r="E4080" i="6"/>
  <c r="E4084" i="6"/>
  <c r="E4088" i="6"/>
  <c r="E4092" i="6"/>
  <c r="E4096" i="6"/>
  <c r="E4100" i="6"/>
  <c r="E4104" i="6"/>
  <c r="E4108" i="6"/>
  <c r="E4112" i="6"/>
  <c r="E1221" i="6"/>
  <c r="E1756" i="6"/>
  <c r="E2012" i="6"/>
  <c r="E2192" i="6"/>
  <c r="E2318" i="6"/>
  <c r="E2382" i="6"/>
  <c r="E2446" i="6"/>
  <c r="E2510" i="6"/>
  <c r="E2574" i="6"/>
  <c r="E2638" i="6"/>
  <c r="E2702" i="6"/>
  <c r="E2766" i="6"/>
  <c r="E2830" i="6"/>
  <c r="E2894" i="6"/>
  <c r="E2958" i="6"/>
  <c r="E3022" i="6"/>
  <c r="E3086" i="6"/>
  <c r="E3150" i="6"/>
  <c r="E3194" i="6"/>
  <c r="E3226" i="6"/>
  <c r="E3258" i="6"/>
  <c r="E3290" i="6"/>
  <c r="E3322" i="6"/>
  <c r="E3354" i="6"/>
  <c r="E3386" i="6"/>
  <c r="E3413" i="6"/>
  <c r="E3429" i="6"/>
  <c r="E3445" i="6"/>
  <c r="E3461" i="6"/>
  <c r="E3477" i="6"/>
  <c r="E3493" i="6"/>
  <c r="E3509" i="6"/>
  <c r="E3525" i="6"/>
  <c r="E3541" i="6"/>
  <c r="E3557" i="6"/>
  <c r="E3573" i="6"/>
  <c r="E3589" i="6"/>
  <c r="E3605" i="6"/>
  <c r="E3621" i="6"/>
  <c r="E3637" i="6"/>
  <c r="E3653" i="6"/>
  <c r="E3669" i="6"/>
  <c r="E3685" i="6"/>
  <c r="E3701" i="6"/>
  <c r="E3717" i="6"/>
  <c r="E3733" i="6"/>
  <c r="E3749" i="6"/>
  <c r="E3765" i="6"/>
  <c r="E3781" i="6"/>
  <c r="E3797" i="6"/>
  <c r="E3813" i="6"/>
  <c r="E3829" i="6"/>
  <c r="E3845" i="6"/>
  <c r="E3861" i="6"/>
  <c r="E3877" i="6"/>
  <c r="E3893" i="6"/>
  <c r="E3909" i="6"/>
  <c r="E3925" i="6"/>
  <c r="E3941" i="6"/>
  <c r="E3957" i="6"/>
  <c r="E3973" i="6"/>
  <c r="E3989" i="6"/>
  <c r="E4005" i="6"/>
  <c r="E4021" i="6"/>
  <c r="E4037" i="6"/>
  <c r="E4053" i="6"/>
  <c r="E4069" i="6"/>
  <c r="E4085" i="6"/>
  <c r="E4101" i="6"/>
  <c r="E4116" i="6"/>
  <c r="E4124" i="6"/>
  <c r="E4132" i="6"/>
  <c r="E4140" i="6"/>
  <c r="E4148" i="6"/>
  <c r="E4156" i="6"/>
  <c r="E4164" i="6"/>
  <c r="E4172" i="6"/>
  <c r="E4180" i="6"/>
  <c r="E4188" i="6"/>
  <c r="E4196" i="6"/>
  <c r="E4204" i="6"/>
  <c r="E4212" i="6"/>
  <c r="E4220" i="6"/>
  <c r="E4228" i="6"/>
  <c r="E4236" i="6"/>
  <c r="E4244" i="6"/>
  <c r="E4252" i="6"/>
  <c r="E4260" i="6"/>
  <c r="E4268" i="6"/>
  <c r="E4276" i="6"/>
  <c r="E4284" i="6"/>
  <c r="E4292" i="6"/>
  <c r="E4300" i="6"/>
  <c r="E4308" i="6"/>
  <c r="E4316" i="6"/>
  <c r="E4324" i="6"/>
  <c r="E4332" i="6"/>
  <c r="E4340" i="6"/>
  <c r="E4348" i="6"/>
  <c r="E4356" i="6"/>
  <c r="E4364" i="6"/>
  <c r="E4372" i="6"/>
  <c r="E4377" i="6"/>
  <c r="E4383" i="6"/>
  <c r="E4388" i="6"/>
  <c r="E4393" i="6"/>
  <c r="E4399" i="6"/>
  <c r="E4403" i="6"/>
  <c r="E4407" i="6"/>
  <c r="E4411" i="6"/>
  <c r="E4415" i="6"/>
  <c r="E4419" i="6"/>
  <c r="E4423" i="6"/>
  <c r="E4427" i="6"/>
  <c r="E4431" i="6"/>
  <c r="E4435" i="6"/>
  <c r="E4439" i="6"/>
  <c r="E4443" i="6"/>
  <c r="E4447" i="6"/>
  <c r="E4451" i="6"/>
  <c r="E4455" i="6"/>
  <c r="E4459" i="6"/>
  <c r="E4463" i="6"/>
  <c r="E4467" i="6"/>
  <c r="E4471" i="6"/>
  <c r="E4475" i="6"/>
  <c r="E4479" i="6"/>
  <c r="E4483" i="6"/>
  <c r="E4487" i="6"/>
  <c r="E4491" i="6"/>
  <c r="E4495" i="6"/>
  <c r="E4499" i="6"/>
  <c r="E4503" i="6"/>
  <c r="E4507" i="6"/>
  <c r="E4511" i="6"/>
  <c r="E4515" i="6"/>
  <c r="E4519" i="6"/>
  <c r="E4523" i="6"/>
  <c r="E4527" i="6"/>
  <c r="E4531" i="6"/>
  <c r="E4535" i="6"/>
  <c r="E4539" i="6"/>
  <c r="E4543" i="6"/>
  <c r="E4547" i="6"/>
  <c r="E4551" i="6"/>
  <c r="E4555" i="6"/>
  <c r="E4559" i="6"/>
  <c r="E4563" i="6"/>
  <c r="E4567" i="6"/>
  <c r="E4571" i="6"/>
  <c r="E4575" i="6"/>
  <c r="E4579" i="6"/>
  <c r="E4583" i="6"/>
  <c r="E4587" i="6"/>
  <c r="E4591" i="6"/>
  <c r="E4595" i="6"/>
  <c r="E4599" i="6"/>
  <c r="E4603" i="6"/>
  <c r="E4607" i="6"/>
  <c r="E4611" i="6"/>
  <c r="E4615" i="6"/>
  <c r="E4619" i="6"/>
  <c r="E4623" i="6"/>
  <c r="E4627" i="6"/>
  <c r="E4631" i="6"/>
  <c r="E4635" i="6"/>
  <c r="E4639" i="6"/>
  <c r="E4643" i="6"/>
  <c r="E4647" i="6"/>
  <c r="E4651" i="6"/>
  <c r="E4655" i="6"/>
  <c r="E4659" i="6"/>
  <c r="E4663" i="6"/>
  <c r="E4667" i="6"/>
  <c r="E4671" i="6"/>
  <c r="E4675" i="6"/>
  <c r="E4679" i="6"/>
  <c r="E4683" i="6"/>
  <c r="E4687" i="6"/>
  <c r="E4691" i="6"/>
  <c r="E4695" i="6"/>
  <c r="E4699" i="6"/>
  <c r="E4703" i="6"/>
  <c r="E4707" i="6"/>
  <c r="E4711" i="6"/>
  <c r="E4715" i="6"/>
  <c r="E4719" i="6"/>
  <c r="E4723" i="6"/>
  <c r="E4727" i="6"/>
  <c r="E4731" i="6"/>
  <c r="E4735" i="6"/>
  <c r="E4739" i="6"/>
  <c r="E4743" i="6"/>
  <c r="E4747" i="6"/>
  <c r="E4751" i="6"/>
  <c r="E4755" i="6"/>
  <c r="E4759" i="6"/>
  <c r="E4763" i="6"/>
  <c r="E4767" i="6"/>
  <c r="E4771" i="6"/>
  <c r="E4775" i="6"/>
  <c r="E4779" i="6"/>
  <c r="E4783" i="6"/>
  <c r="E4787" i="6"/>
  <c r="E4791" i="6"/>
  <c r="E4795" i="6"/>
  <c r="E4799" i="6"/>
  <c r="E4803" i="6"/>
  <c r="E4807" i="6"/>
  <c r="E4811" i="6"/>
  <c r="E4815" i="6"/>
  <c r="E4819" i="6"/>
  <c r="E4823" i="6"/>
  <c r="E4827" i="6"/>
  <c r="E4831" i="6"/>
  <c r="E4835" i="6"/>
  <c r="E4839" i="6"/>
  <c r="E4843" i="6"/>
  <c r="E4847" i="6"/>
  <c r="E4851" i="6"/>
  <c r="E4855" i="6"/>
  <c r="E4859" i="6"/>
  <c r="E4863" i="6"/>
  <c r="E4867" i="6"/>
  <c r="E4871" i="6"/>
  <c r="E4875" i="6"/>
  <c r="E4879" i="6"/>
  <c r="E4883" i="6"/>
  <c r="E4887" i="6"/>
  <c r="E4891" i="6"/>
  <c r="E4895" i="6"/>
  <c r="E4899" i="6"/>
  <c r="E4903" i="6"/>
  <c r="E4907" i="6"/>
  <c r="E4911" i="6"/>
  <c r="E4915" i="6"/>
  <c r="E4919" i="6"/>
  <c r="E4923" i="6"/>
  <c r="E4927" i="6"/>
  <c r="E4931" i="6"/>
  <c r="E4935" i="6"/>
  <c r="E4939" i="6"/>
  <c r="E4943" i="6"/>
  <c r="E4947" i="6"/>
  <c r="E4951" i="6"/>
  <c r="E4955" i="6"/>
  <c r="E4959" i="6"/>
  <c r="E4963" i="6"/>
  <c r="E4967" i="6"/>
  <c r="E4971" i="6"/>
  <c r="E4975" i="6"/>
  <c r="E4979" i="6"/>
  <c r="E4983" i="6"/>
  <c r="E4987" i="6"/>
  <c r="E4991" i="6"/>
  <c r="E4995" i="6"/>
  <c r="E4999" i="6"/>
  <c r="E5003" i="6"/>
  <c r="E5007" i="6"/>
  <c r="E5011" i="6"/>
  <c r="E5015" i="6"/>
  <c r="E5019" i="6"/>
  <c r="E5023" i="6"/>
  <c r="E5027" i="6"/>
  <c r="E5031" i="6"/>
  <c r="E5035" i="6"/>
  <c r="E5039" i="6"/>
  <c r="E5043" i="6"/>
  <c r="E5047" i="6"/>
  <c r="E5051" i="6"/>
  <c r="E5055" i="6"/>
  <c r="E5059" i="6"/>
  <c r="E5063" i="6"/>
  <c r="E5067" i="6"/>
  <c r="E5071" i="6"/>
  <c r="E5075" i="6"/>
  <c r="E5079" i="6"/>
  <c r="E5083" i="6"/>
  <c r="E5087" i="6"/>
  <c r="E5091" i="6"/>
  <c r="E5095" i="6"/>
  <c r="E5099" i="6"/>
  <c r="E5103" i="6"/>
  <c r="E5107" i="6"/>
  <c r="E5111" i="6"/>
  <c r="E5115" i="6"/>
  <c r="E5119" i="6"/>
  <c r="E5123" i="6"/>
  <c r="E5127" i="6"/>
  <c r="E5131" i="6"/>
  <c r="E5135" i="6"/>
  <c r="E5139" i="6"/>
  <c r="E5143" i="6"/>
  <c r="E5147" i="6"/>
  <c r="E5151" i="6"/>
  <c r="E5155" i="6"/>
  <c r="E5159" i="6"/>
  <c r="E5163" i="6"/>
  <c r="E5167" i="6"/>
  <c r="E5171" i="6"/>
  <c r="E5175" i="6"/>
  <c r="E5179" i="6"/>
  <c r="E5183" i="6"/>
  <c r="E5187" i="6"/>
  <c r="E5191" i="6"/>
  <c r="E5195" i="6"/>
  <c r="E5199" i="6"/>
  <c r="E5203" i="6"/>
  <c r="E5207" i="6"/>
  <c r="E5211" i="6"/>
  <c r="E5215" i="6"/>
  <c r="E5219" i="6"/>
  <c r="E5223" i="6"/>
  <c r="E5227" i="6"/>
  <c r="E5231" i="6"/>
  <c r="E5235" i="6"/>
  <c r="E5239" i="6"/>
  <c r="E5243" i="6"/>
  <c r="E5247" i="6"/>
  <c r="E5251" i="6"/>
  <c r="E5255" i="6"/>
  <c r="E5259" i="6"/>
  <c r="E5263" i="6"/>
  <c r="E5267" i="6"/>
  <c r="E5271" i="6"/>
  <c r="E5275" i="6"/>
  <c r="E5279" i="6"/>
  <c r="E5283" i="6"/>
  <c r="E5287" i="6"/>
  <c r="E5291" i="6"/>
  <c r="E5295" i="6"/>
  <c r="E5299" i="6"/>
  <c r="E5303" i="6"/>
  <c r="E5307" i="6"/>
  <c r="E5311" i="6"/>
  <c r="E5315" i="6"/>
  <c r="E5319" i="6"/>
  <c r="E5323" i="6"/>
  <c r="E5327" i="6"/>
  <c r="E5331" i="6"/>
  <c r="E5335" i="6"/>
  <c r="E5339" i="6"/>
  <c r="E5343" i="6"/>
  <c r="E5347" i="6"/>
  <c r="E5351" i="6"/>
  <c r="E5355" i="6"/>
  <c r="E5359" i="6"/>
  <c r="E5363" i="6"/>
  <c r="E5367" i="6"/>
  <c r="E5371" i="6"/>
  <c r="E5375" i="6"/>
  <c r="E5379" i="6"/>
  <c r="E5383" i="6"/>
  <c r="E5387" i="6"/>
  <c r="E5391" i="6"/>
  <c r="E5395" i="6"/>
  <c r="E5399" i="6"/>
  <c r="E5403" i="6"/>
  <c r="E5407" i="6"/>
  <c r="E5411" i="6"/>
  <c r="E5415" i="6"/>
  <c r="E5419" i="6"/>
  <c r="E5423" i="6"/>
  <c r="E5427" i="6"/>
  <c r="E5431" i="6"/>
  <c r="E5435" i="6"/>
  <c r="E5439" i="6"/>
  <c r="E5443" i="6"/>
  <c r="E5447" i="6"/>
  <c r="E5451" i="6"/>
  <c r="E5455" i="6"/>
  <c r="E5459" i="6"/>
  <c r="E5463" i="6"/>
  <c r="E5467" i="6"/>
  <c r="E5471" i="6"/>
  <c r="E5475" i="6"/>
  <c r="E5479" i="6"/>
  <c r="E5483" i="6"/>
  <c r="E5487" i="6"/>
  <c r="E5491" i="6"/>
  <c r="E5495" i="6"/>
  <c r="E5499" i="6"/>
  <c r="E5503" i="6"/>
  <c r="E5507" i="6"/>
  <c r="E5511" i="6"/>
  <c r="E5515" i="6"/>
  <c r="E5519" i="6"/>
  <c r="E5523" i="6"/>
  <c r="E5527" i="6"/>
  <c r="E5531" i="6"/>
  <c r="E5535" i="6"/>
  <c r="E5539" i="6"/>
  <c r="E5543" i="6"/>
  <c r="E5547" i="6"/>
  <c r="E5551" i="6"/>
  <c r="E5555" i="6"/>
  <c r="E5559" i="6"/>
  <c r="E5563" i="6"/>
  <c r="E5567" i="6"/>
  <c r="E5571" i="6"/>
  <c r="E5575" i="6"/>
  <c r="E5579" i="6"/>
  <c r="E5583" i="6"/>
  <c r="E5587" i="6"/>
  <c r="E5591" i="6"/>
  <c r="E5595" i="6"/>
  <c r="E5599" i="6"/>
  <c r="E5603" i="6"/>
  <c r="E5607" i="6"/>
  <c r="E5611" i="6"/>
  <c r="E5615" i="6"/>
  <c r="E5619" i="6"/>
  <c r="E5623" i="6"/>
  <c r="E5627" i="6"/>
  <c r="E5631" i="6"/>
  <c r="E5635" i="6"/>
  <c r="E5639" i="6"/>
  <c r="E5643" i="6"/>
  <c r="E5647" i="6"/>
  <c r="E5651" i="6"/>
  <c r="E5655" i="6"/>
  <c r="E5659" i="6"/>
  <c r="E5663" i="6"/>
  <c r="E5667" i="6"/>
  <c r="E5671" i="6"/>
  <c r="E5675" i="6"/>
  <c r="E5679" i="6"/>
  <c r="E5683" i="6"/>
  <c r="E5687" i="6"/>
  <c r="E5691" i="6"/>
  <c r="E5695" i="6"/>
  <c r="E5699" i="6"/>
  <c r="E5703" i="6"/>
  <c r="E5707" i="6"/>
  <c r="E5711" i="6"/>
  <c r="E5715" i="6"/>
  <c r="E5719" i="6"/>
  <c r="E5723" i="6"/>
  <c r="E5727" i="6"/>
  <c r="E5731" i="6"/>
  <c r="E5735" i="6"/>
  <c r="E5739" i="6"/>
  <c r="E5743" i="6"/>
  <c r="E5747" i="6"/>
  <c r="E5751" i="6"/>
  <c r="E5755" i="6"/>
  <c r="E5759" i="6"/>
  <c r="E5763" i="6"/>
  <c r="E5767" i="6"/>
  <c r="E5771" i="6"/>
  <c r="E5775" i="6"/>
  <c r="E5779" i="6"/>
  <c r="E5783" i="6"/>
  <c r="E5787" i="6"/>
  <c r="E5791" i="6"/>
  <c r="E5795" i="6"/>
  <c r="E5799" i="6"/>
  <c r="E5803" i="6"/>
  <c r="E5807" i="6"/>
  <c r="E5811" i="6"/>
  <c r="E5815" i="6"/>
  <c r="E5819" i="6"/>
  <c r="E5823" i="6"/>
  <c r="E5827" i="6"/>
  <c r="E5831" i="6"/>
  <c r="E5835" i="6"/>
  <c r="E5839" i="6"/>
  <c r="E5843" i="6"/>
  <c r="E5847" i="6"/>
  <c r="E5851" i="6"/>
  <c r="E5855" i="6"/>
  <c r="E5859" i="6"/>
  <c r="E5863" i="6"/>
  <c r="E5867" i="6"/>
  <c r="E5871" i="6"/>
  <c r="E5875" i="6"/>
  <c r="E5879" i="6"/>
  <c r="E5883" i="6"/>
  <c r="E5887" i="6"/>
  <c r="E5891" i="6"/>
  <c r="E5895" i="6"/>
  <c r="E5899" i="6"/>
  <c r="E5903" i="6"/>
  <c r="E5907" i="6"/>
  <c r="E5911" i="6"/>
  <c r="E5915" i="6"/>
  <c r="E5919" i="6"/>
  <c r="E5923" i="6"/>
  <c r="E5927" i="6"/>
  <c r="E5931" i="6"/>
  <c r="E5935" i="6"/>
  <c r="E5939" i="6"/>
  <c r="E5943" i="6"/>
  <c r="E5947" i="6"/>
  <c r="E5951" i="6"/>
  <c r="E5955" i="6"/>
  <c r="E5959" i="6"/>
  <c r="E5963" i="6"/>
  <c r="E5967" i="6"/>
  <c r="E5971" i="6"/>
  <c r="E5975" i="6"/>
  <c r="E5979" i="6"/>
  <c r="E5983" i="6"/>
  <c r="E5987" i="6"/>
  <c r="E5991" i="6"/>
  <c r="E5995" i="6"/>
  <c r="E5999" i="6"/>
  <c r="E6003" i="6"/>
  <c r="E6007" i="6"/>
  <c r="E6011" i="6"/>
  <c r="E6015" i="6"/>
  <c r="E6019" i="6"/>
  <c r="E6023" i="6"/>
  <c r="E6027" i="6"/>
  <c r="E6031" i="6"/>
  <c r="E6035" i="6"/>
  <c r="E6039" i="6"/>
  <c r="E6043" i="6"/>
  <c r="E6047" i="6"/>
  <c r="E6051" i="6"/>
  <c r="E6055" i="6"/>
  <c r="E6059" i="6"/>
  <c r="E6063" i="6"/>
  <c r="E6067" i="6"/>
  <c r="E6071" i="6"/>
  <c r="E6075" i="6"/>
  <c r="E6079" i="6"/>
  <c r="E6083" i="6"/>
  <c r="E6087" i="6"/>
  <c r="E6091" i="6"/>
  <c r="E6095" i="6"/>
  <c r="E6099" i="6"/>
  <c r="E6103" i="6"/>
  <c r="E6107" i="6"/>
  <c r="E6111" i="6"/>
  <c r="E6115" i="6"/>
  <c r="E6119" i="6"/>
  <c r="E6123" i="6"/>
  <c r="E6127" i="6"/>
  <c r="E6131" i="6"/>
  <c r="E6135" i="6"/>
  <c r="E6139" i="6"/>
  <c r="E6143" i="6"/>
  <c r="E6147" i="6"/>
  <c r="E6151" i="6"/>
  <c r="E6155" i="6"/>
  <c r="E6159" i="6"/>
  <c r="E6163" i="6"/>
  <c r="E6167" i="6"/>
  <c r="E6171" i="6"/>
  <c r="E6175" i="6"/>
  <c r="E6179" i="6"/>
  <c r="E6183" i="6"/>
  <c r="E6187" i="6"/>
  <c r="E6191" i="6"/>
  <c r="E6195" i="6"/>
  <c r="E6199" i="6"/>
  <c r="E6203" i="6"/>
  <c r="E6207" i="6"/>
  <c r="E6211" i="6"/>
  <c r="E6215" i="6"/>
  <c r="E6219" i="6"/>
  <c r="E6223" i="6"/>
  <c r="E6227" i="6"/>
  <c r="E6231" i="6"/>
  <c r="E6235" i="6"/>
  <c r="E6239" i="6"/>
  <c r="E6243" i="6"/>
  <c r="E6247" i="6"/>
  <c r="E6251" i="6"/>
  <c r="E6255" i="6"/>
  <c r="E6259" i="6"/>
  <c r="E6263" i="6"/>
  <c r="E6267" i="6"/>
  <c r="E6271" i="6"/>
  <c r="E6275" i="6"/>
  <c r="E6279" i="6"/>
  <c r="E6283" i="6"/>
  <c r="E6287" i="6"/>
  <c r="E6291" i="6"/>
  <c r="E6295" i="6"/>
  <c r="E6299" i="6"/>
  <c r="E6303" i="6"/>
  <c r="E6307" i="6"/>
  <c r="E6311" i="6"/>
  <c r="E6315" i="6"/>
  <c r="E6319" i="6"/>
  <c r="E6323" i="6"/>
  <c r="E6327" i="6"/>
  <c r="E6331" i="6"/>
  <c r="E6335" i="6"/>
  <c r="E6339" i="6"/>
  <c r="E6343" i="6"/>
  <c r="E6347" i="6"/>
  <c r="E6351" i="6"/>
  <c r="E6355" i="6"/>
  <c r="E6359" i="6"/>
  <c r="E6363" i="6"/>
  <c r="E6367" i="6"/>
  <c r="E6371" i="6"/>
  <c r="E6375" i="6"/>
  <c r="E6379" i="6"/>
  <c r="E6383" i="6"/>
  <c r="E6387" i="6"/>
  <c r="E6391" i="6"/>
  <c r="E6395" i="6"/>
  <c r="E6399" i="6"/>
  <c r="E6403" i="6"/>
  <c r="E6407" i="6"/>
  <c r="E6411" i="6"/>
  <c r="E6415" i="6"/>
  <c r="E6419" i="6"/>
  <c r="E6423" i="6"/>
  <c r="E6427" i="6"/>
  <c r="E6431" i="6"/>
  <c r="E6435" i="6"/>
  <c r="E6439" i="6"/>
  <c r="E6443" i="6"/>
  <c r="E6447" i="6"/>
  <c r="E6451" i="6"/>
  <c r="E6455" i="6"/>
  <c r="E6459" i="6"/>
  <c r="E6463" i="6"/>
  <c r="E6467" i="6"/>
  <c r="E6471" i="6"/>
  <c r="E6475" i="6"/>
  <c r="E6479" i="6"/>
  <c r="E6483" i="6"/>
  <c r="E6487" i="6"/>
  <c r="E6491" i="6"/>
  <c r="E6495" i="6"/>
  <c r="E6499" i="6"/>
  <c r="E6503" i="6"/>
  <c r="E6507" i="6"/>
  <c r="E6511" i="6"/>
  <c r="E6515" i="6"/>
  <c r="E6519" i="6"/>
  <c r="E6523" i="6"/>
  <c r="E6527" i="6"/>
  <c r="E6531" i="6"/>
  <c r="E6535" i="6"/>
  <c r="E6539" i="6"/>
  <c r="E6543" i="6"/>
  <c r="E6547" i="6"/>
  <c r="E6551" i="6"/>
  <c r="E6555" i="6"/>
  <c r="E6559" i="6"/>
  <c r="E6563" i="6"/>
  <c r="E6567" i="6"/>
  <c r="E6571" i="6"/>
  <c r="E6575" i="6"/>
  <c r="E6579" i="6"/>
  <c r="E6583" i="6"/>
  <c r="E6587" i="6"/>
  <c r="E6591" i="6"/>
  <c r="E6595" i="6"/>
  <c r="E6599" i="6"/>
  <c r="E6603" i="6"/>
  <c r="E6607" i="6"/>
  <c r="E6611" i="6"/>
  <c r="E6615" i="6"/>
  <c r="E6619" i="6"/>
  <c r="E6623" i="6"/>
  <c r="E6627" i="6"/>
  <c r="E6631" i="6"/>
  <c r="E6635" i="6"/>
  <c r="E6639" i="6"/>
  <c r="E6643" i="6"/>
  <c r="E6647" i="6"/>
  <c r="E6651" i="6"/>
  <c r="E6655" i="6"/>
  <c r="E6659" i="6"/>
  <c r="E6663" i="6"/>
  <c r="E6667" i="6"/>
  <c r="E6671" i="6"/>
  <c r="E6675" i="6"/>
  <c r="E6679" i="6"/>
  <c r="E6683" i="6"/>
  <c r="E6687" i="6"/>
  <c r="E6691" i="6"/>
  <c r="E6695" i="6"/>
  <c r="E6699" i="6"/>
  <c r="E1469" i="6"/>
  <c r="E1820" i="6"/>
  <c r="E2076" i="6"/>
  <c r="E2224" i="6"/>
  <c r="E2334" i="6"/>
  <c r="E2398" i="6"/>
  <c r="E2462" i="6"/>
  <c r="E2526" i="6"/>
  <c r="E2590" i="6"/>
  <c r="E2654" i="6"/>
  <c r="E2718" i="6"/>
  <c r="E2782" i="6"/>
  <c r="E2846" i="6"/>
  <c r="E2910" i="6"/>
  <c r="E2974" i="6"/>
  <c r="E3038" i="6"/>
  <c r="E3102" i="6"/>
  <c r="E3166" i="6"/>
  <c r="E3202" i="6"/>
  <c r="E3234" i="6"/>
  <c r="E3266" i="6"/>
  <c r="E3298" i="6"/>
  <c r="E3330" i="6"/>
  <c r="E3362" i="6"/>
  <c r="E3394" i="6"/>
  <c r="E3417" i="6"/>
  <c r="E3433" i="6"/>
  <c r="E3449" i="6"/>
  <c r="E3465" i="6"/>
  <c r="E3481" i="6"/>
  <c r="E3497" i="6"/>
  <c r="E3513" i="6"/>
  <c r="E3529" i="6"/>
  <c r="E3545" i="6"/>
  <c r="E3561" i="6"/>
  <c r="E3577" i="6"/>
  <c r="E3593" i="6"/>
  <c r="E3609" i="6"/>
  <c r="E3625" i="6"/>
  <c r="E3641" i="6"/>
  <c r="E3657" i="6"/>
  <c r="E3673" i="6"/>
  <c r="E3689" i="6"/>
  <c r="E3705" i="6"/>
  <c r="E3721" i="6"/>
  <c r="E3737" i="6"/>
  <c r="E3753" i="6"/>
  <c r="E3769" i="6"/>
  <c r="E3785" i="6"/>
  <c r="E3801" i="6"/>
  <c r="E3817" i="6"/>
  <c r="E3833" i="6"/>
  <c r="E3849" i="6"/>
  <c r="E3865" i="6"/>
  <c r="E3881" i="6"/>
  <c r="E3897" i="6"/>
  <c r="E3913" i="6"/>
  <c r="E3929" i="6"/>
  <c r="E3945" i="6"/>
  <c r="E3961" i="6"/>
  <c r="E3977" i="6"/>
  <c r="E3993" i="6"/>
  <c r="E4009" i="6"/>
  <c r="E4025" i="6"/>
  <c r="E4041" i="6"/>
  <c r="E4057" i="6"/>
  <c r="E4073" i="6"/>
  <c r="E4089" i="6"/>
  <c r="E4105" i="6"/>
  <c r="E4117" i="6"/>
  <c r="E4125" i="6"/>
  <c r="E4133" i="6"/>
  <c r="E4141" i="6"/>
  <c r="E4149" i="6"/>
  <c r="E4157" i="6"/>
  <c r="E4165" i="6"/>
  <c r="E4173" i="6"/>
  <c r="E4181" i="6"/>
  <c r="E4189" i="6"/>
  <c r="E4197" i="6"/>
  <c r="E4205" i="6"/>
  <c r="E4213" i="6"/>
  <c r="E4221" i="6"/>
  <c r="E4229" i="6"/>
  <c r="E4237" i="6"/>
  <c r="E4245" i="6"/>
  <c r="E4253" i="6"/>
  <c r="E4261" i="6"/>
  <c r="E4269" i="6"/>
  <c r="E4277" i="6"/>
  <c r="E4285" i="6"/>
  <c r="E4293" i="6"/>
  <c r="E4301" i="6"/>
  <c r="E4309" i="6"/>
  <c r="E4317" i="6"/>
  <c r="E4325" i="6"/>
  <c r="E4333" i="6"/>
  <c r="E4341" i="6"/>
  <c r="E4349" i="6"/>
  <c r="E4357" i="6"/>
  <c r="E4365" i="6"/>
  <c r="E4373" i="6"/>
  <c r="E4379" i="6"/>
  <c r="E4384" i="6"/>
  <c r="E4389" i="6"/>
  <c r="E4395" i="6"/>
  <c r="E4400" i="6"/>
  <c r="E4404" i="6"/>
  <c r="E4408" i="6"/>
  <c r="E4412" i="6"/>
  <c r="E4416" i="6"/>
  <c r="E4420" i="6"/>
  <c r="E4424" i="6"/>
  <c r="E4428" i="6"/>
  <c r="E4432" i="6"/>
  <c r="E4436" i="6"/>
  <c r="E4440" i="6"/>
  <c r="E4444" i="6"/>
  <c r="E4448" i="6"/>
  <c r="E4452" i="6"/>
  <c r="E4456" i="6"/>
  <c r="E4460" i="6"/>
  <c r="E4464" i="6"/>
  <c r="E4468" i="6"/>
  <c r="E4472" i="6"/>
  <c r="E4476" i="6"/>
  <c r="E4480" i="6"/>
  <c r="E4484" i="6"/>
  <c r="E4488" i="6"/>
  <c r="E4492" i="6"/>
  <c r="E4496" i="6"/>
  <c r="E4500" i="6"/>
  <c r="E4504" i="6"/>
  <c r="E4508" i="6"/>
  <c r="E4512" i="6"/>
  <c r="E4516" i="6"/>
  <c r="E4520" i="6"/>
  <c r="E4524" i="6"/>
  <c r="E4528" i="6"/>
  <c r="E4532" i="6"/>
  <c r="E4536" i="6"/>
  <c r="E4540" i="6"/>
  <c r="E4544" i="6"/>
  <c r="E4548" i="6"/>
  <c r="E4552" i="6"/>
  <c r="E4556" i="6"/>
  <c r="E4560" i="6"/>
  <c r="E4564" i="6"/>
  <c r="E4568" i="6"/>
  <c r="E4572" i="6"/>
  <c r="E4576" i="6"/>
  <c r="E4580" i="6"/>
  <c r="E4584" i="6"/>
  <c r="E4588" i="6"/>
  <c r="E4592" i="6"/>
  <c r="E4596" i="6"/>
  <c r="E4600" i="6"/>
  <c r="E4604" i="6"/>
  <c r="E4608" i="6"/>
  <c r="E4612" i="6"/>
  <c r="E4616" i="6"/>
  <c r="E4620" i="6"/>
  <c r="E4624" i="6"/>
  <c r="E4628" i="6"/>
  <c r="E4632" i="6"/>
  <c r="E4636" i="6"/>
  <c r="E4640" i="6"/>
  <c r="E4644" i="6"/>
  <c r="E4648" i="6"/>
  <c r="E4652" i="6"/>
  <c r="E4656" i="6"/>
  <c r="E4660" i="6"/>
  <c r="E4664" i="6"/>
  <c r="E4668" i="6"/>
  <c r="E4672" i="6"/>
  <c r="E4676" i="6"/>
  <c r="E4680" i="6"/>
  <c r="E4684" i="6"/>
  <c r="E4688" i="6"/>
  <c r="E4692" i="6"/>
  <c r="E4696" i="6"/>
  <c r="E4700" i="6"/>
  <c r="E4704" i="6"/>
  <c r="E4708" i="6"/>
  <c r="E4712" i="6"/>
  <c r="E4716" i="6"/>
  <c r="E4720" i="6"/>
  <c r="E4724" i="6"/>
  <c r="E4728" i="6"/>
  <c r="E4732" i="6"/>
  <c r="E4736" i="6"/>
  <c r="E4740" i="6"/>
  <c r="E4744" i="6"/>
  <c r="E4748" i="6"/>
  <c r="E4752" i="6"/>
  <c r="E4756" i="6"/>
  <c r="E4760" i="6"/>
  <c r="E4764" i="6"/>
  <c r="E4768" i="6"/>
  <c r="E4772" i="6"/>
  <c r="E4776" i="6"/>
  <c r="E4780" i="6"/>
  <c r="E4784" i="6"/>
  <c r="E4788" i="6"/>
  <c r="E4792" i="6"/>
  <c r="E4796" i="6"/>
  <c r="E4800" i="6"/>
  <c r="E4804" i="6"/>
  <c r="E4808" i="6"/>
  <c r="E4812" i="6"/>
  <c r="E4816" i="6"/>
  <c r="E4820" i="6"/>
  <c r="E4824" i="6"/>
  <c r="E4828" i="6"/>
  <c r="E4832" i="6"/>
  <c r="E4836" i="6"/>
  <c r="E4840" i="6"/>
  <c r="E4844" i="6"/>
  <c r="E4848" i="6"/>
  <c r="E4852" i="6"/>
  <c r="E4856" i="6"/>
  <c r="E4860" i="6"/>
  <c r="E4864" i="6"/>
  <c r="E4868" i="6"/>
  <c r="E4872" i="6"/>
  <c r="E4876" i="6"/>
  <c r="E4880" i="6"/>
  <c r="E4884" i="6"/>
  <c r="E4888" i="6"/>
  <c r="E4892" i="6"/>
  <c r="E4896" i="6"/>
  <c r="E4900" i="6"/>
  <c r="E4904" i="6"/>
  <c r="E4908" i="6"/>
  <c r="E4912" i="6"/>
  <c r="E4916" i="6"/>
  <c r="E4920" i="6"/>
  <c r="E4924" i="6"/>
  <c r="E4928" i="6"/>
  <c r="E4932" i="6"/>
  <c r="E4936" i="6"/>
  <c r="E4940" i="6"/>
  <c r="E4944" i="6"/>
  <c r="E4948" i="6"/>
  <c r="E4952" i="6"/>
  <c r="E4956" i="6"/>
  <c r="E4960" i="6"/>
  <c r="E4964" i="6"/>
  <c r="E4968" i="6"/>
  <c r="E4972" i="6"/>
  <c r="E4976" i="6"/>
  <c r="E4980" i="6"/>
  <c r="E4984" i="6"/>
  <c r="E4988" i="6"/>
  <c r="E4992" i="6"/>
  <c r="E4996" i="6"/>
  <c r="E5000" i="6"/>
  <c r="E5004" i="6"/>
  <c r="E5008" i="6"/>
  <c r="E5012" i="6"/>
  <c r="E5016" i="6"/>
  <c r="E5020" i="6"/>
  <c r="E5024" i="6"/>
  <c r="E5028" i="6"/>
  <c r="E5032" i="6"/>
  <c r="E5036" i="6"/>
  <c r="E5040" i="6"/>
  <c r="E5044" i="6"/>
  <c r="E5048" i="6"/>
  <c r="E5052" i="6"/>
  <c r="E5056" i="6"/>
  <c r="E5060" i="6"/>
  <c r="E5064" i="6"/>
  <c r="E5068" i="6"/>
  <c r="E5072" i="6"/>
  <c r="E5076" i="6"/>
  <c r="E5080" i="6"/>
  <c r="E5084" i="6"/>
  <c r="E5088" i="6"/>
  <c r="E5092" i="6"/>
  <c r="E5096" i="6"/>
  <c r="E5100" i="6"/>
  <c r="E5104" i="6"/>
  <c r="E5108" i="6"/>
  <c r="E5112" i="6"/>
  <c r="E5116" i="6"/>
  <c r="E5120" i="6"/>
  <c r="E5124" i="6"/>
  <c r="E5128" i="6"/>
  <c r="E5132" i="6"/>
  <c r="E5136" i="6"/>
  <c r="E5140" i="6"/>
  <c r="E5144" i="6"/>
  <c r="E5148" i="6"/>
  <c r="E5152" i="6"/>
  <c r="E5156" i="6"/>
  <c r="E5160" i="6"/>
  <c r="E5164" i="6"/>
  <c r="E5168" i="6"/>
  <c r="E5172" i="6"/>
  <c r="E5176" i="6"/>
  <c r="E5180" i="6"/>
  <c r="E5184" i="6"/>
  <c r="E5188" i="6"/>
  <c r="E5192" i="6"/>
  <c r="E5196" i="6"/>
  <c r="E5200" i="6"/>
  <c r="E5204" i="6"/>
  <c r="E5208" i="6"/>
  <c r="E5212" i="6"/>
  <c r="E5216" i="6"/>
  <c r="E5220" i="6"/>
  <c r="E5224" i="6"/>
  <c r="E5228" i="6"/>
  <c r="E5232" i="6"/>
  <c r="E5236" i="6"/>
  <c r="E5240" i="6"/>
  <c r="E5244" i="6"/>
  <c r="E5248" i="6"/>
  <c r="E5252" i="6"/>
  <c r="E5256" i="6"/>
  <c r="E5260" i="6"/>
  <c r="E5264" i="6"/>
  <c r="E5268" i="6"/>
  <c r="E5272" i="6"/>
  <c r="E5276" i="6"/>
  <c r="E5280" i="6"/>
  <c r="E5284" i="6"/>
  <c r="E5288" i="6"/>
  <c r="E5292" i="6"/>
  <c r="E5296" i="6"/>
  <c r="E5300" i="6"/>
  <c r="E5304" i="6"/>
  <c r="E5308" i="6"/>
  <c r="E5312" i="6"/>
  <c r="E5316" i="6"/>
  <c r="E5320" i="6"/>
  <c r="E5324" i="6"/>
  <c r="E5328" i="6"/>
  <c r="E5332" i="6"/>
  <c r="E5336" i="6"/>
  <c r="E5340" i="6"/>
  <c r="E1597" i="6"/>
  <c r="E1884" i="6"/>
  <c r="E1692" i="6"/>
  <c r="E2256" i="6"/>
  <c r="E2414" i="6"/>
  <c r="E2542" i="6"/>
  <c r="E2670" i="6"/>
  <c r="E2798" i="6"/>
  <c r="E2926" i="6"/>
  <c r="E3054" i="6"/>
  <c r="E3178" i="6"/>
  <c r="E3242" i="6"/>
  <c r="E3306" i="6"/>
  <c r="E3370" i="6"/>
  <c r="E3421" i="6"/>
  <c r="E3453" i="6"/>
  <c r="E3485" i="6"/>
  <c r="E3517" i="6"/>
  <c r="E3549" i="6"/>
  <c r="E3581" i="6"/>
  <c r="E3613" i="6"/>
  <c r="E3645" i="6"/>
  <c r="E3677" i="6"/>
  <c r="E3709" i="6"/>
  <c r="E3741" i="6"/>
  <c r="E3773" i="6"/>
  <c r="E3805" i="6"/>
  <c r="E3837" i="6"/>
  <c r="E3869" i="6"/>
  <c r="E3901" i="6"/>
  <c r="E3933" i="6"/>
  <c r="E3965" i="6"/>
  <c r="E3997" i="6"/>
  <c r="E4029" i="6"/>
  <c r="E4061" i="6"/>
  <c r="E4093" i="6"/>
  <c r="E4120" i="6"/>
  <c r="E4136" i="6"/>
  <c r="E4152" i="6"/>
  <c r="E4168" i="6"/>
  <c r="E4184" i="6"/>
  <c r="E4200" i="6"/>
  <c r="E4216" i="6"/>
  <c r="E4232" i="6"/>
  <c r="E4248" i="6"/>
  <c r="E4264" i="6"/>
  <c r="E4280" i="6"/>
  <c r="E4296" i="6"/>
  <c r="E4312" i="6"/>
  <c r="E4328" i="6"/>
  <c r="E4344" i="6"/>
  <c r="E4360" i="6"/>
  <c r="E4375" i="6"/>
  <c r="E4385" i="6"/>
  <c r="E4396" i="6"/>
  <c r="E4405" i="6"/>
  <c r="E4413" i="6"/>
  <c r="E4421" i="6"/>
  <c r="E4429" i="6"/>
  <c r="E4437" i="6"/>
  <c r="E4445" i="6"/>
  <c r="E4453" i="6"/>
  <c r="E4461" i="6"/>
  <c r="E4469" i="6"/>
  <c r="E4477" i="6"/>
  <c r="E4485" i="6"/>
  <c r="E4493" i="6"/>
  <c r="E4501" i="6"/>
  <c r="E4509" i="6"/>
  <c r="E4517" i="6"/>
  <c r="E4525" i="6"/>
  <c r="E4533" i="6"/>
  <c r="E4541" i="6"/>
  <c r="E4549" i="6"/>
  <c r="E4557" i="6"/>
  <c r="E4565" i="6"/>
  <c r="E4573" i="6"/>
  <c r="E4581" i="6"/>
  <c r="E4589" i="6"/>
  <c r="E4597" i="6"/>
  <c r="E4605" i="6"/>
  <c r="E4613" i="6"/>
  <c r="E4621" i="6"/>
  <c r="E4629" i="6"/>
  <c r="E4637" i="6"/>
  <c r="E4645" i="6"/>
  <c r="E4653" i="6"/>
  <c r="E4661" i="6"/>
  <c r="E4669" i="6"/>
  <c r="E4677" i="6"/>
  <c r="E4685" i="6"/>
  <c r="E4693" i="6"/>
  <c r="E4701" i="6"/>
  <c r="E4709" i="6"/>
  <c r="E4717" i="6"/>
  <c r="E4725" i="6"/>
  <c r="E4733" i="6"/>
  <c r="E4741" i="6"/>
  <c r="E4749" i="6"/>
  <c r="E4757" i="6"/>
  <c r="E4765" i="6"/>
  <c r="E4773" i="6"/>
  <c r="E4781" i="6"/>
  <c r="E4789" i="6"/>
  <c r="E4797" i="6"/>
  <c r="E4805" i="6"/>
  <c r="E4813" i="6"/>
  <c r="E4821" i="6"/>
  <c r="E4829" i="6"/>
  <c r="E4837" i="6"/>
  <c r="E4845" i="6"/>
  <c r="E4853" i="6"/>
  <c r="E4861" i="6"/>
  <c r="E4869" i="6"/>
  <c r="E4877" i="6"/>
  <c r="E4885" i="6"/>
  <c r="E4893" i="6"/>
  <c r="E4901" i="6"/>
  <c r="E4909" i="6"/>
  <c r="E4917" i="6"/>
  <c r="E4925" i="6"/>
  <c r="E4933" i="6"/>
  <c r="E4941" i="6"/>
  <c r="E4949" i="6"/>
  <c r="E4957" i="6"/>
  <c r="E4965" i="6"/>
  <c r="E4973" i="6"/>
  <c r="E4981" i="6"/>
  <c r="E4989" i="6"/>
  <c r="E4997" i="6"/>
  <c r="E5005" i="6"/>
  <c r="E5013" i="6"/>
  <c r="E5021" i="6"/>
  <c r="E5029" i="6"/>
  <c r="E5037" i="6"/>
  <c r="E5045" i="6"/>
  <c r="E5053" i="6"/>
  <c r="E5061" i="6"/>
  <c r="E5069" i="6"/>
  <c r="E5077" i="6"/>
  <c r="E5085" i="6"/>
  <c r="E5093" i="6"/>
  <c r="E5101" i="6"/>
  <c r="E5109" i="6"/>
  <c r="E5117" i="6"/>
  <c r="E5125" i="6"/>
  <c r="E5133" i="6"/>
  <c r="E5141" i="6"/>
  <c r="E5149" i="6"/>
  <c r="E5157" i="6"/>
  <c r="E5165" i="6"/>
  <c r="E5173" i="6"/>
  <c r="E5181" i="6"/>
  <c r="E5189" i="6"/>
  <c r="E5197" i="6"/>
  <c r="E5205" i="6"/>
  <c r="E5213" i="6"/>
  <c r="E5221" i="6"/>
  <c r="E5229" i="6"/>
  <c r="E5237" i="6"/>
  <c r="E5245" i="6"/>
  <c r="E5253" i="6"/>
  <c r="E5261" i="6"/>
  <c r="E5269" i="6"/>
  <c r="E5277" i="6"/>
  <c r="E5285" i="6"/>
  <c r="E5293" i="6"/>
  <c r="E5301" i="6"/>
  <c r="E5309" i="6"/>
  <c r="E5317" i="6"/>
  <c r="E5325" i="6"/>
  <c r="E5333" i="6"/>
  <c r="E5341" i="6"/>
  <c r="E5346" i="6"/>
  <c r="E5352" i="6"/>
  <c r="E5357" i="6"/>
  <c r="E5362" i="6"/>
  <c r="E5368" i="6"/>
  <c r="E5373" i="6"/>
  <c r="E5378" i="6"/>
  <c r="E5384" i="6"/>
  <c r="E5389" i="6"/>
  <c r="E5394" i="6"/>
  <c r="E5400" i="6"/>
  <c r="E5405" i="6"/>
  <c r="E5410" i="6"/>
  <c r="E5416" i="6"/>
  <c r="E5421" i="6"/>
  <c r="E5426" i="6"/>
  <c r="E5432" i="6"/>
  <c r="E5437" i="6"/>
  <c r="E5442" i="6"/>
  <c r="E5448" i="6"/>
  <c r="E5453" i="6"/>
  <c r="E5458" i="6"/>
  <c r="E5464" i="6"/>
  <c r="E5469" i="6"/>
  <c r="E5474" i="6"/>
  <c r="E5480" i="6"/>
  <c r="E5485" i="6"/>
  <c r="E5490" i="6"/>
  <c r="E5496" i="6"/>
  <c r="E5501" i="6"/>
  <c r="E5506" i="6"/>
  <c r="E5512" i="6"/>
  <c r="E5517" i="6"/>
  <c r="E5522" i="6"/>
  <c r="E5528" i="6"/>
  <c r="E5533" i="6"/>
  <c r="E5538" i="6"/>
  <c r="E5544" i="6"/>
  <c r="E5549" i="6"/>
  <c r="E5554" i="6"/>
  <c r="E5560" i="6"/>
  <c r="E5565" i="6"/>
  <c r="E5570" i="6"/>
  <c r="E5576" i="6"/>
  <c r="E5581" i="6"/>
  <c r="E5586" i="6"/>
  <c r="E5592" i="6"/>
  <c r="E5597" i="6"/>
  <c r="E5602" i="6"/>
  <c r="E5608" i="6"/>
  <c r="E5613" i="6"/>
  <c r="E5618" i="6"/>
  <c r="E5624" i="6"/>
  <c r="E5629" i="6"/>
  <c r="E5634" i="6"/>
  <c r="E5640" i="6"/>
  <c r="E5645" i="6"/>
  <c r="E5650" i="6"/>
  <c r="E5656" i="6"/>
  <c r="E5661" i="6"/>
  <c r="E5666" i="6"/>
  <c r="E5672" i="6"/>
  <c r="E5677" i="6"/>
  <c r="E5682" i="6"/>
  <c r="E5688" i="6"/>
  <c r="E5693" i="6"/>
  <c r="E5698" i="6"/>
  <c r="E5704" i="6"/>
  <c r="E5709" i="6"/>
  <c r="E5714" i="6"/>
  <c r="E5720" i="6"/>
  <c r="E5725" i="6"/>
  <c r="E5730" i="6"/>
  <c r="E5736" i="6"/>
  <c r="E5741" i="6"/>
  <c r="E5746" i="6"/>
  <c r="E5752" i="6"/>
  <c r="E5757" i="6"/>
  <c r="E5762" i="6"/>
  <c r="E5768" i="6"/>
  <c r="E5773" i="6"/>
  <c r="E5778" i="6"/>
  <c r="E5784" i="6"/>
  <c r="E5789" i="6"/>
  <c r="E5794" i="6"/>
  <c r="E5800" i="6"/>
  <c r="E5805" i="6"/>
  <c r="E5810" i="6"/>
  <c r="E5816" i="6"/>
  <c r="E5821" i="6"/>
  <c r="E5826" i="6"/>
  <c r="E5832" i="6"/>
  <c r="E5837" i="6"/>
  <c r="E5842" i="6"/>
  <c r="E5848" i="6"/>
  <c r="E5853" i="6"/>
  <c r="E5858" i="6"/>
  <c r="E5864" i="6"/>
  <c r="E5869" i="6"/>
  <c r="E5874" i="6"/>
  <c r="E5880" i="6"/>
  <c r="E5885" i="6"/>
  <c r="E5890" i="6"/>
  <c r="E5896" i="6"/>
  <c r="E5901" i="6"/>
  <c r="E5906" i="6"/>
  <c r="E5912" i="6"/>
  <c r="E5917" i="6"/>
  <c r="E5922" i="6"/>
  <c r="E5928" i="6"/>
  <c r="E5933" i="6"/>
  <c r="E5938" i="6"/>
  <c r="E5944" i="6"/>
  <c r="E5949" i="6"/>
  <c r="E5954" i="6"/>
  <c r="E5960" i="6"/>
  <c r="E5965" i="6"/>
  <c r="E5970" i="6"/>
  <c r="E5976" i="6"/>
  <c r="E5981" i="6"/>
  <c r="E5986" i="6"/>
  <c r="E5992" i="6"/>
  <c r="E5997" i="6"/>
  <c r="E6002" i="6"/>
  <c r="E6008" i="6"/>
  <c r="E6013" i="6"/>
  <c r="E6018" i="6"/>
  <c r="E6024" i="6"/>
  <c r="E6029" i="6"/>
  <c r="E6034" i="6"/>
  <c r="E6040" i="6"/>
  <c r="E6045" i="6"/>
  <c r="E6050" i="6"/>
  <c r="E6056" i="6"/>
  <c r="E6061" i="6"/>
  <c r="E6066" i="6"/>
  <c r="E6072" i="6"/>
  <c r="E6077" i="6"/>
  <c r="E6082" i="6"/>
  <c r="E6088" i="6"/>
  <c r="E6093" i="6"/>
  <c r="E6098" i="6"/>
  <c r="E6104" i="6"/>
  <c r="E6109" i="6"/>
  <c r="E6114" i="6"/>
  <c r="E6120" i="6"/>
  <c r="E6125" i="6"/>
  <c r="E6130" i="6"/>
  <c r="E6136" i="6"/>
  <c r="E6141" i="6"/>
  <c r="E6146" i="6"/>
  <c r="E6152" i="6"/>
  <c r="E6157" i="6"/>
  <c r="E6162" i="6"/>
  <c r="E6168" i="6"/>
  <c r="E6173" i="6"/>
  <c r="E6178" i="6"/>
  <c r="E6184" i="6"/>
  <c r="E6189" i="6"/>
  <c r="E6194" i="6"/>
  <c r="E6200" i="6"/>
  <c r="E6205" i="6"/>
  <c r="E6210" i="6"/>
  <c r="E6216" i="6"/>
  <c r="E6221" i="6"/>
  <c r="E6226" i="6"/>
  <c r="E6232" i="6"/>
  <c r="E6237" i="6"/>
  <c r="E6242" i="6"/>
  <c r="E6248" i="6"/>
  <c r="E6253" i="6"/>
  <c r="E6258" i="6"/>
  <c r="E1948" i="6"/>
  <c r="E2288" i="6"/>
  <c r="E2430" i="6"/>
  <c r="E2558" i="6"/>
  <c r="E2686" i="6"/>
  <c r="E2814" i="6"/>
  <c r="E2942" i="6"/>
  <c r="E3070" i="6"/>
  <c r="E3186" i="6"/>
  <c r="E3250" i="6"/>
  <c r="E3314" i="6"/>
  <c r="E3378" i="6"/>
  <c r="E3425" i="6"/>
  <c r="E3457" i="6"/>
  <c r="E3489" i="6"/>
  <c r="E3521" i="6"/>
  <c r="E3553" i="6"/>
  <c r="E3585" i="6"/>
  <c r="E3617" i="6"/>
  <c r="E3649" i="6"/>
  <c r="E3681" i="6"/>
  <c r="E3713" i="6"/>
  <c r="E3745" i="6"/>
  <c r="E3777" i="6"/>
  <c r="E3809" i="6"/>
  <c r="E3841" i="6"/>
  <c r="E3873" i="6"/>
  <c r="E3905" i="6"/>
  <c r="E3937" i="6"/>
  <c r="E3969" i="6"/>
  <c r="E4001" i="6"/>
  <c r="E4033" i="6"/>
  <c r="E4065" i="6"/>
  <c r="E4097" i="6"/>
  <c r="E4121" i="6"/>
  <c r="E4137" i="6"/>
  <c r="E4153" i="6"/>
  <c r="E4169" i="6"/>
  <c r="E4185" i="6"/>
  <c r="E4201" i="6"/>
  <c r="E4217" i="6"/>
  <c r="E4233" i="6"/>
  <c r="E4249" i="6"/>
  <c r="E4265" i="6"/>
  <c r="E4281" i="6"/>
  <c r="E4297" i="6"/>
  <c r="E4313" i="6"/>
  <c r="E4329" i="6"/>
  <c r="E4345" i="6"/>
  <c r="E4361" i="6"/>
  <c r="E4376" i="6"/>
  <c r="E4387" i="6"/>
  <c r="E4397" i="6"/>
  <c r="E4406" i="6"/>
  <c r="E4414" i="6"/>
  <c r="E4422" i="6"/>
  <c r="E4430" i="6"/>
  <c r="E4438" i="6"/>
  <c r="E4446" i="6"/>
  <c r="E4454" i="6"/>
  <c r="E4462" i="6"/>
  <c r="E4470" i="6"/>
  <c r="E4478" i="6"/>
  <c r="E4486" i="6"/>
  <c r="E4494" i="6"/>
  <c r="E4502" i="6"/>
  <c r="E4510" i="6"/>
  <c r="E4518" i="6"/>
  <c r="E4526" i="6"/>
  <c r="E4534" i="6"/>
  <c r="E4542" i="6"/>
  <c r="E4550" i="6"/>
  <c r="E4558" i="6"/>
  <c r="E4566" i="6"/>
  <c r="E4574" i="6"/>
  <c r="E4582" i="6"/>
  <c r="E4590" i="6"/>
  <c r="E4598" i="6"/>
  <c r="E4606" i="6"/>
  <c r="E4614" i="6"/>
  <c r="E4622" i="6"/>
  <c r="E4630" i="6"/>
  <c r="E4638" i="6"/>
  <c r="E4646" i="6"/>
  <c r="E4654" i="6"/>
  <c r="E4662" i="6"/>
  <c r="E4670" i="6"/>
  <c r="E4678" i="6"/>
  <c r="E4686" i="6"/>
  <c r="E4694" i="6"/>
  <c r="E4702" i="6"/>
  <c r="E4710" i="6"/>
  <c r="E4718" i="6"/>
  <c r="E4726" i="6"/>
  <c r="E4734" i="6"/>
  <c r="E4742" i="6"/>
  <c r="E4750" i="6"/>
  <c r="E4758" i="6"/>
  <c r="E4766" i="6"/>
  <c r="E4774" i="6"/>
  <c r="E4782" i="6"/>
  <c r="E4790" i="6"/>
  <c r="E4798" i="6"/>
  <c r="E4806" i="6"/>
  <c r="E4814" i="6"/>
  <c r="E4822" i="6"/>
  <c r="E4830" i="6"/>
  <c r="E4838" i="6"/>
  <c r="E4846" i="6"/>
  <c r="E4854" i="6"/>
  <c r="E4862" i="6"/>
  <c r="E4870" i="6"/>
  <c r="E4878" i="6"/>
  <c r="E4886" i="6"/>
  <c r="E4894" i="6"/>
  <c r="E4902" i="6"/>
  <c r="E4910" i="6"/>
  <c r="E4918" i="6"/>
  <c r="E4926" i="6"/>
  <c r="E4934" i="6"/>
  <c r="E4942" i="6"/>
  <c r="E4950" i="6"/>
  <c r="E4958" i="6"/>
  <c r="E4966" i="6"/>
  <c r="E4974" i="6"/>
  <c r="E4982" i="6"/>
  <c r="E4990" i="6"/>
  <c r="E4998" i="6"/>
  <c r="E5006" i="6"/>
  <c r="E5014" i="6"/>
  <c r="E5022" i="6"/>
  <c r="E5030" i="6"/>
  <c r="E5038" i="6"/>
  <c r="E5046" i="6"/>
  <c r="E5054" i="6"/>
  <c r="E5062" i="6"/>
  <c r="E5070" i="6"/>
  <c r="E5078" i="6"/>
  <c r="E5086" i="6"/>
  <c r="E5094" i="6"/>
  <c r="E5102" i="6"/>
  <c r="E5110" i="6"/>
  <c r="E5118" i="6"/>
  <c r="E5126" i="6"/>
  <c r="E5134" i="6"/>
  <c r="E5142" i="6"/>
  <c r="E5150" i="6"/>
  <c r="E5158" i="6"/>
  <c r="E5166" i="6"/>
  <c r="E5174" i="6"/>
  <c r="E5182" i="6"/>
  <c r="E5190" i="6"/>
  <c r="E5198" i="6"/>
  <c r="E5206" i="6"/>
  <c r="E5214" i="6"/>
  <c r="E5222" i="6"/>
  <c r="E5230" i="6"/>
  <c r="E5238" i="6"/>
  <c r="E5246" i="6"/>
  <c r="E5254" i="6"/>
  <c r="E5262" i="6"/>
  <c r="E5270" i="6"/>
  <c r="E5278" i="6"/>
  <c r="E5286" i="6"/>
  <c r="E5294" i="6"/>
  <c r="E5302" i="6"/>
  <c r="E5310" i="6"/>
  <c r="E5318" i="6"/>
  <c r="E5326" i="6"/>
  <c r="E5334" i="6"/>
  <c r="E5342" i="6"/>
  <c r="E5348" i="6"/>
  <c r="E5353" i="6"/>
  <c r="E5358" i="6"/>
  <c r="E5364" i="6"/>
  <c r="E5369" i="6"/>
  <c r="E5374" i="6"/>
  <c r="E5380" i="6"/>
  <c r="E5385" i="6"/>
  <c r="E5390" i="6"/>
  <c r="E5396" i="6"/>
  <c r="E5401" i="6"/>
  <c r="E5406" i="6"/>
  <c r="E5412" i="6"/>
  <c r="E5417" i="6"/>
  <c r="E5422" i="6"/>
  <c r="E5428" i="6"/>
  <c r="E5433" i="6"/>
  <c r="E5438" i="6"/>
  <c r="E5444" i="6"/>
  <c r="E5449" i="6"/>
  <c r="E5454" i="6"/>
  <c r="E5460" i="6"/>
  <c r="E5465" i="6"/>
  <c r="E5470" i="6"/>
  <c r="E5476" i="6"/>
  <c r="E5481" i="6"/>
  <c r="E5486" i="6"/>
  <c r="E5492" i="6"/>
  <c r="E5497" i="6"/>
  <c r="E5502" i="6"/>
  <c r="E5508" i="6"/>
  <c r="E5513" i="6"/>
  <c r="E5518" i="6"/>
  <c r="E5524" i="6"/>
  <c r="E5529" i="6"/>
  <c r="E5534" i="6"/>
  <c r="E5540" i="6"/>
  <c r="E5545" i="6"/>
  <c r="E5550" i="6"/>
  <c r="E5556" i="6"/>
  <c r="E5561" i="6"/>
  <c r="E5566" i="6"/>
  <c r="E5572" i="6"/>
  <c r="E5577" i="6"/>
  <c r="E5582" i="6"/>
  <c r="E5588" i="6"/>
  <c r="E5593" i="6"/>
  <c r="E5598" i="6"/>
  <c r="E5604" i="6"/>
  <c r="E5609" i="6"/>
  <c r="E5614" i="6"/>
  <c r="E5620" i="6"/>
  <c r="E5625" i="6"/>
  <c r="E5630" i="6"/>
  <c r="E5636" i="6"/>
  <c r="E5641" i="6"/>
  <c r="E5646" i="6"/>
  <c r="E5652" i="6"/>
  <c r="E5657" i="6"/>
  <c r="E5662" i="6"/>
  <c r="E5668" i="6"/>
  <c r="E5673" i="6"/>
  <c r="E5678" i="6"/>
  <c r="E5684" i="6"/>
  <c r="E5689" i="6"/>
  <c r="E5694" i="6"/>
  <c r="E5700" i="6"/>
  <c r="E5705" i="6"/>
  <c r="E5710" i="6"/>
  <c r="E5716" i="6"/>
  <c r="E5721" i="6"/>
  <c r="E5726" i="6"/>
  <c r="E5732" i="6"/>
  <c r="E5737" i="6"/>
  <c r="E5742" i="6"/>
  <c r="E5748" i="6"/>
  <c r="E5753" i="6"/>
  <c r="E5758" i="6"/>
  <c r="E5764" i="6"/>
  <c r="E5769" i="6"/>
  <c r="E5774" i="6"/>
  <c r="E5780" i="6"/>
  <c r="E5785" i="6"/>
  <c r="E5790" i="6"/>
  <c r="E5796" i="6"/>
  <c r="E5801" i="6"/>
  <c r="E5806" i="6"/>
  <c r="E5812" i="6"/>
  <c r="E5817" i="6"/>
  <c r="E5822" i="6"/>
  <c r="E5828" i="6"/>
  <c r="E5833" i="6"/>
  <c r="E5838" i="6"/>
  <c r="E5844" i="6"/>
  <c r="E5849" i="6"/>
  <c r="E5854" i="6"/>
  <c r="E5860" i="6"/>
  <c r="E5865" i="6"/>
  <c r="E5870" i="6"/>
  <c r="E5876" i="6"/>
  <c r="E5881" i="6"/>
  <c r="E5886" i="6"/>
  <c r="E5892" i="6"/>
  <c r="E5897" i="6"/>
  <c r="E5902" i="6"/>
  <c r="E5908" i="6"/>
  <c r="E5913" i="6"/>
  <c r="E5918" i="6"/>
  <c r="E5924" i="6"/>
  <c r="E2128" i="6"/>
  <c r="E2350" i="6"/>
  <c r="E2478" i="6"/>
  <c r="E2606" i="6"/>
  <c r="E2734" i="6"/>
  <c r="E2862" i="6"/>
  <c r="E2990" i="6"/>
  <c r="E3118" i="6"/>
  <c r="E3210" i="6"/>
  <c r="E3274" i="6"/>
  <c r="E3338" i="6"/>
  <c r="E3402" i="6"/>
  <c r="E3437" i="6"/>
  <c r="E3469" i="6"/>
  <c r="E3501" i="6"/>
  <c r="E3533" i="6"/>
  <c r="E3565" i="6"/>
  <c r="E3597" i="6"/>
  <c r="E3629" i="6"/>
  <c r="E3661" i="6"/>
  <c r="E3693" i="6"/>
  <c r="E3725" i="6"/>
  <c r="E3757" i="6"/>
  <c r="E3789" i="6"/>
  <c r="E3821" i="6"/>
  <c r="E3853" i="6"/>
  <c r="E3885" i="6"/>
  <c r="E3917" i="6"/>
  <c r="E3949" i="6"/>
  <c r="E3981" i="6"/>
  <c r="E4013" i="6"/>
  <c r="E4045" i="6"/>
  <c r="E4077" i="6"/>
  <c r="E4109" i="6"/>
  <c r="E4128" i="6"/>
  <c r="E4144" i="6"/>
  <c r="E4160" i="6"/>
  <c r="E4176" i="6"/>
  <c r="E4192" i="6"/>
  <c r="E4208" i="6"/>
  <c r="E4224" i="6"/>
  <c r="E4240" i="6"/>
  <c r="E4256" i="6"/>
  <c r="E4272" i="6"/>
  <c r="E4288" i="6"/>
  <c r="E4304" i="6"/>
  <c r="E4320" i="6"/>
  <c r="E4336" i="6"/>
  <c r="E4352" i="6"/>
  <c r="E4368" i="6"/>
  <c r="E4380" i="6"/>
  <c r="E4391" i="6"/>
  <c r="E4401" i="6"/>
  <c r="E4409" i="6"/>
  <c r="E4417" i="6"/>
  <c r="E4425" i="6"/>
  <c r="E4433" i="6"/>
  <c r="E4441" i="6"/>
  <c r="E4449" i="6"/>
  <c r="E4457" i="6"/>
  <c r="E4465" i="6"/>
  <c r="E4473" i="6"/>
  <c r="E4481" i="6"/>
  <c r="E4489" i="6"/>
  <c r="E4497" i="6"/>
  <c r="E4505" i="6"/>
  <c r="E4513" i="6"/>
  <c r="E4521" i="6"/>
  <c r="E4529" i="6"/>
  <c r="E4537" i="6"/>
  <c r="E4545" i="6"/>
  <c r="E4553" i="6"/>
  <c r="E4561" i="6"/>
  <c r="E4569" i="6"/>
  <c r="E4577" i="6"/>
  <c r="E4585" i="6"/>
  <c r="E4593" i="6"/>
  <c r="E4601" i="6"/>
  <c r="E4609" i="6"/>
  <c r="E4617" i="6"/>
  <c r="E4625" i="6"/>
  <c r="E4633" i="6"/>
  <c r="E4641" i="6"/>
  <c r="E4649" i="6"/>
  <c r="E4657" i="6"/>
  <c r="E4665" i="6"/>
  <c r="E4673" i="6"/>
  <c r="E4681" i="6"/>
  <c r="E4689" i="6"/>
  <c r="E4697" i="6"/>
  <c r="E4705" i="6"/>
  <c r="E4713" i="6"/>
  <c r="E4721" i="6"/>
  <c r="E4729" i="6"/>
  <c r="E4737" i="6"/>
  <c r="E4745" i="6"/>
  <c r="E4753" i="6"/>
  <c r="E4761" i="6"/>
  <c r="E4769" i="6"/>
  <c r="E4777" i="6"/>
  <c r="E4785" i="6"/>
  <c r="E4793" i="6"/>
  <c r="E4801" i="6"/>
  <c r="E4809" i="6"/>
  <c r="E4817" i="6"/>
  <c r="E4825" i="6"/>
  <c r="E4833" i="6"/>
  <c r="E4841" i="6"/>
  <c r="E4849" i="6"/>
  <c r="E4857" i="6"/>
  <c r="E4865" i="6"/>
  <c r="E4873" i="6"/>
  <c r="E4881" i="6"/>
  <c r="E4889" i="6"/>
  <c r="E4897" i="6"/>
  <c r="E4905" i="6"/>
  <c r="E4913" i="6"/>
  <c r="E4921" i="6"/>
  <c r="E4929" i="6"/>
  <c r="E4937" i="6"/>
  <c r="E4945" i="6"/>
  <c r="E4953" i="6"/>
  <c r="E4961" i="6"/>
  <c r="E4969" i="6"/>
  <c r="E4977" i="6"/>
  <c r="E4985" i="6"/>
  <c r="E4993" i="6"/>
  <c r="E5001" i="6"/>
  <c r="E5009" i="6"/>
  <c r="E5017" i="6"/>
  <c r="E5025" i="6"/>
  <c r="E5033" i="6"/>
  <c r="E5041" i="6"/>
  <c r="E5049" i="6"/>
  <c r="E5057" i="6"/>
  <c r="E5065" i="6"/>
  <c r="E5073" i="6"/>
  <c r="E5081" i="6"/>
  <c r="E5089" i="6"/>
  <c r="E5097" i="6"/>
  <c r="E5105" i="6"/>
  <c r="E5113" i="6"/>
  <c r="E5121" i="6"/>
  <c r="E5129" i="6"/>
  <c r="E5137" i="6"/>
  <c r="E5145" i="6"/>
  <c r="E5153" i="6"/>
  <c r="E5161" i="6"/>
  <c r="E5169" i="6"/>
  <c r="E5177" i="6"/>
  <c r="E5185" i="6"/>
  <c r="E5193" i="6"/>
  <c r="E5201" i="6"/>
  <c r="E5209" i="6"/>
  <c r="E5217" i="6"/>
  <c r="E5225" i="6"/>
  <c r="E5233" i="6"/>
  <c r="E5241" i="6"/>
  <c r="E5249" i="6"/>
  <c r="E5257" i="6"/>
  <c r="E5265" i="6"/>
  <c r="E5273" i="6"/>
  <c r="E5281" i="6"/>
  <c r="E5289" i="6"/>
  <c r="E5297" i="6"/>
  <c r="E5305" i="6"/>
  <c r="E5313" i="6"/>
  <c r="E5321" i="6"/>
  <c r="E5329" i="6"/>
  <c r="E5337" i="6"/>
  <c r="E5344" i="6"/>
  <c r="E5349" i="6"/>
  <c r="E5354" i="6"/>
  <c r="E5360" i="6"/>
  <c r="E5365" i="6"/>
  <c r="E5370" i="6"/>
  <c r="E5376" i="6"/>
  <c r="E5381" i="6"/>
  <c r="E5386" i="6"/>
  <c r="E5392" i="6"/>
  <c r="E5397" i="6"/>
  <c r="E5402" i="6"/>
  <c r="E5408" i="6"/>
  <c r="E5413" i="6"/>
  <c r="E5418" i="6"/>
  <c r="E5424" i="6"/>
  <c r="E5429" i="6"/>
  <c r="E5434" i="6"/>
  <c r="E5440" i="6"/>
  <c r="E5445" i="6"/>
  <c r="E5450" i="6"/>
  <c r="E5456" i="6"/>
  <c r="E5461" i="6"/>
  <c r="E5466" i="6"/>
  <c r="E5472" i="6"/>
  <c r="E5477" i="6"/>
  <c r="E5482" i="6"/>
  <c r="E5488" i="6"/>
  <c r="E5493" i="6"/>
  <c r="E5498" i="6"/>
  <c r="E5504" i="6"/>
  <c r="E5509" i="6"/>
  <c r="E5514" i="6"/>
  <c r="E5520" i="6"/>
  <c r="E5525" i="6"/>
  <c r="E5530" i="6"/>
  <c r="E5536" i="6"/>
  <c r="E5541" i="6"/>
  <c r="E5546" i="6"/>
  <c r="E5552" i="6"/>
  <c r="E5557" i="6"/>
  <c r="E5562" i="6"/>
  <c r="E5568" i="6"/>
  <c r="E5573" i="6"/>
  <c r="E5578" i="6"/>
  <c r="E5584" i="6"/>
  <c r="E5589" i="6"/>
  <c r="E5594" i="6"/>
  <c r="E5600" i="6"/>
  <c r="E5605" i="6"/>
  <c r="E5610" i="6"/>
  <c r="E5616" i="6"/>
  <c r="E5621" i="6"/>
  <c r="E5626" i="6"/>
  <c r="E5632" i="6"/>
  <c r="E5637" i="6"/>
  <c r="E5642" i="6"/>
  <c r="E5648" i="6"/>
  <c r="E5653" i="6"/>
  <c r="E5658" i="6"/>
  <c r="E5664" i="6"/>
  <c r="E5669" i="6"/>
  <c r="E5674" i="6"/>
  <c r="E5680" i="6"/>
  <c r="E5685" i="6"/>
  <c r="E5690" i="6"/>
  <c r="E5696" i="6"/>
  <c r="E5701" i="6"/>
  <c r="E5706" i="6"/>
  <c r="E5712" i="6"/>
  <c r="E5717" i="6"/>
  <c r="E5722" i="6"/>
  <c r="E5728" i="6"/>
  <c r="E5733" i="6"/>
  <c r="E5738" i="6"/>
  <c r="E5744" i="6"/>
  <c r="E5749" i="6"/>
  <c r="E5754" i="6"/>
  <c r="E5760" i="6"/>
  <c r="E5765" i="6"/>
  <c r="E5770" i="6"/>
  <c r="E5776" i="6"/>
  <c r="E5781" i="6"/>
  <c r="E5786" i="6"/>
  <c r="E5792" i="6"/>
  <c r="E5797" i="6"/>
  <c r="E5802" i="6"/>
  <c r="E5808" i="6"/>
  <c r="E5813" i="6"/>
  <c r="E5818" i="6"/>
  <c r="E5824" i="6"/>
  <c r="E5829" i="6"/>
  <c r="E5834" i="6"/>
  <c r="E5840" i="6"/>
  <c r="E5845" i="6"/>
  <c r="E5850" i="6"/>
  <c r="E5856" i="6"/>
  <c r="E5861" i="6"/>
  <c r="E5866" i="6"/>
  <c r="E5872" i="6"/>
  <c r="E5877" i="6"/>
  <c r="E5882" i="6"/>
  <c r="E5888" i="6"/>
  <c r="E5893" i="6"/>
  <c r="E5898" i="6"/>
  <c r="E5904" i="6"/>
  <c r="E5909" i="6"/>
  <c r="E5914" i="6"/>
  <c r="E5920" i="6"/>
  <c r="E5925" i="6"/>
  <c r="E5930" i="6"/>
  <c r="E5936" i="6"/>
  <c r="E5941" i="6"/>
  <c r="E5946" i="6"/>
  <c r="E5952" i="6"/>
  <c r="E5957" i="6"/>
  <c r="E5962" i="6"/>
  <c r="E5968" i="6"/>
  <c r="E5973" i="6"/>
  <c r="E5978" i="6"/>
  <c r="E5984" i="6"/>
  <c r="E5989" i="6"/>
  <c r="E5994" i="6"/>
  <c r="E6000" i="6"/>
  <c r="E6005" i="6"/>
  <c r="E6010" i="6"/>
  <c r="E6016" i="6"/>
  <c r="E6021" i="6"/>
  <c r="E6026" i="6"/>
  <c r="E6032" i="6"/>
  <c r="E6037" i="6"/>
  <c r="E6042" i="6"/>
  <c r="E6048" i="6"/>
  <c r="E6053" i="6"/>
  <c r="E6058" i="6"/>
  <c r="E6064" i="6"/>
  <c r="E6069" i="6"/>
  <c r="E6074" i="6"/>
  <c r="E6080" i="6"/>
  <c r="E6085" i="6"/>
  <c r="E6090" i="6"/>
  <c r="E6096" i="6"/>
  <c r="E6101" i="6"/>
  <c r="E6106" i="6"/>
  <c r="E6112" i="6"/>
  <c r="E6117" i="6"/>
  <c r="E6122" i="6"/>
  <c r="E6128" i="6"/>
  <c r="E6133" i="6"/>
  <c r="E6138" i="6"/>
  <c r="E6144" i="6"/>
  <c r="E6149" i="6"/>
  <c r="E6154" i="6"/>
  <c r="E6160" i="6"/>
  <c r="E6165" i="6"/>
  <c r="E6170" i="6"/>
  <c r="E6176" i="6"/>
  <c r="E6181" i="6"/>
  <c r="E6186" i="6"/>
  <c r="E6192" i="6"/>
  <c r="E6197" i="6"/>
  <c r="E6202" i="6"/>
  <c r="E6208" i="6"/>
  <c r="E6213" i="6"/>
  <c r="E6218" i="6"/>
  <c r="E6224" i="6"/>
  <c r="E6229" i="6"/>
  <c r="E6234" i="6"/>
  <c r="E6240" i="6"/>
  <c r="E6245" i="6"/>
  <c r="E6250" i="6"/>
  <c r="E2494" i="6"/>
  <c r="E3006" i="6"/>
  <c r="E3346" i="6"/>
  <c r="E3505" i="6"/>
  <c r="E3633" i="6"/>
  <c r="E3761" i="6"/>
  <c r="E3889" i="6"/>
  <c r="E4017" i="6"/>
  <c r="E4129" i="6"/>
  <c r="E4193" i="6"/>
  <c r="E4257" i="6"/>
  <c r="E4321" i="6"/>
  <c r="E4381" i="6"/>
  <c r="E4418" i="6"/>
  <c r="E4450" i="6"/>
  <c r="E4482" i="6"/>
  <c r="E4514" i="6"/>
  <c r="E4546" i="6"/>
  <c r="E4578" i="6"/>
  <c r="E4610" i="6"/>
  <c r="E4642" i="6"/>
  <c r="E4674" i="6"/>
  <c r="E4706" i="6"/>
  <c r="E4738" i="6"/>
  <c r="E4770" i="6"/>
  <c r="E4802" i="6"/>
  <c r="E4834" i="6"/>
  <c r="E4866" i="6"/>
  <c r="E4898" i="6"/>
  <c r="E4930" i="6"/>
  <c r="E4962" i="6"/>
  <c r="E4994" i="6"/>
  <c r="E5026" i="6"/>
  <c r="E5058" i="6"/>
  <c r="E5090" i="6"/>
  <c r="E5122" i="6"/>
  <c r="E5154" i="6"/>
  <c r="E5186" i="6"/>
  <c r="E5218" i="6"/>
  <c r="E5250" i="6"/>
  <c r="E5282" i="6"/>
  <c r="E5314" i="6"/>
  <c r="E5345" i="6"/>
  <c r="E5366" i="6"/>
  <c r="E5388" i="6"/>
  <c r="E5409" i="6"/>
  <c r="E5430" i="6"/>
  <c r="E5452" i="6"/>
  <c r="E5473" i="6"/>
  <c r="E5494" i="6"/>
  <c r="E5516" i="6"/>
  <c r="E5537" i="6"/>
  <c r="E5558" i="6"/>
  <c r="E5580" i="6"/>
  <c r="E5601" i="6"/>
  <c r="E5622" i="6"/>
  <c r="E5644" i="6"/>
  <c r="E5665" i="6"/>
  <c r="E5686" i="6"/>
  <c r="E5708" i="6"/>
  <c r="E5729" i="6"/>
  <c r="E5750" i="6"/>
  <c r="E5772" i="6"/>
  <c r="E5793" i="6"/>
  <c r="E5814" i="6"/>
  <c r="E5836" i="6"/>
  <c r="E5857" i="6"/>
  <c r="E5878" i="6"/>
  <c r="E5900" i="6"/>
  <c r="E5921" i="6"/>
  <c r="E5934" i="6"/>
  <c r="E5945" i="6"/>
  <c r="E5956" i="6"/>
  <c r="E5966" i="6"/>
  <c r="E5977" i="6"/>
  <c r="E5988" i="6"/>
  <c r="E5998" i="6"/>
  <c r="E6009" i="6"/>
  <c r="E6020" i="6"/>
  <c r="E6030" i="6"/>
  <c r="E6041" i="6"/>
  <c r="E6052" i="6"/>
  <c r="E6062" i="6"/>
  <c r="E6073" i="6"/>
  <c r="E6084" i="6"/>
  <c r="E6094" i="6"/>
  <c r="E6105" i="6"/>
  <c r="E6116" i="6"/>
  <c r="E6126" i="6"/>
  <c r="E6137" i="6"/>
  <c r="E6148" i="6"/>
  <c r="E6158" i="6"/>
  <c r="E6169" i="6"/>
  <c r="E6180" i="6"/>
  <c r="E6190" i="6"/>
  <c r="E6201" i="6"/>
  <c r="E6212" i="6"/>
  <c r="E6222" i="6"/>
  <c r="E6233" i="6"/>
  <c r="E6244" i="6"/>
  <c r="E6254" i="6"/>
  <c r="E6261" i="6"/>
  <c r="E6266" i="6"/>
  <c r="E6272" i="6"/>
  <c r="E6277" i="6"/>
  <c r="E6282" i="6"/>
  <c r="E6288" i="6"/>
  <c r="E6293" i="6"/>
  <c r="E6298" i="6"/>
  <c r="E6304" i="6"/>
  <c r="E6309" i="6"/>
  <c r="E6314" i="6"/>
  <c r="E6320" i="6"/>
  <c r="E6325" i="6"/>
  <c r="E6330" i="6"/>
  <c r="E6336" i="6"/>
  <c r="E6341" i="6"/>
  <c r="E6346" i="6"/>
  <c r="E6352" i="6"/>
  <c r="E6357" i="6"/>
  <c r="E6362" i="6"/>
  <c r="E2160" i="6"/>
  <c r="E2750" i="6"/>
  <c r="E3218" i="6"/>
  <c r="E3441" i="6"/>
  <c r="E3569" i="6"/>
  <c r="E3697" i="6"/>
  <c r="E3825" i="6"/>
  <c r="E3953" i="6"/>
  <c r="E4081" i="6"/>
  <c r="E4161" i="6"/>
  <c r="E4225" i="6"/>
  <c r="E4289" i="6"/>
  <c r="E4353" i="6"/>
  <c r="E4402" i="6"/>
  <c r="E4434" i="6"/>
  <c r="E4466" i="6"/>
  <c r="E4498" i="6"/>
  <c r="E4530" i="6"/>
  <c r="E4562" i="6"/>
  <c r="E4594" i="6"/>
  <c r="E4626" i="6"/>
  <c r="E4658" i="6"/>
  <c r="E4690" i="6"/>
  <c r="E4722" i="6"/>
  <c r="E4754" i="6"/>
  <c r="E4786" i="6"/>
  <c r="E4818" i="6"/>
  <c r="E4850" i="6"/>
  <c r="E4882" i="6"/>
  <c r="E4914" i="6"/>
  <c r="E4946" i="6"/>
  <c r="E4978" i="6"/>
  <c r="E5010" i="6"/>
  <c r="E5042" i="6"/>
  <c r="E5074" i="6"/>
  <c r="E5106" i="6"/>
  <c r="E5138" i="6"/>
  <c r="E5170" i="6"/>
  <c r="E5202" i="6"/>
  <c r="E5234" i="6"/>
  <c r="E5266" i="6"/>
  <c r="E5298" i="6"/>
  <c r="E5330" i="6"/>
  <c r="E5356" i="6"/>
  <c r="E5377" i="6"/>
  <c r="E5398" i="6"/>
  <c r="E5420" i="6"/>
  <c r="E5441" i="6"/>
  <c r="E5462" i="6"/>
  <c r="E5484" i="6"/>
  <c r="E5505" i="6"/>
  <c r="E5526" i="6"/>
  <c r="E5548" i="6"/>
  <c r="E5569" i="6"/>
  <c r="E5590" i="6"/>
  <c r="E5612" i="6"/>
  <c r="E5633" i="6"/>
  <c r="E5654" i="6"/>
  <c r="E5676" i="6"/>
  <c r="E5697" i="6"/>
  <c r="E5718" i="6"/>
  <c r="E5740" i="6"/>
  <c r="E5761" i="6"/>
  <c r="E5782" i="6"/>
  <c r="E5804" i="6"/>
  <c r="E5825" i="6"/>
  <c r="E5846" i="6"/>
  <c r="E5868" i="6"/>
  <c r="E5889" i="6"/>
  <c r="E5910" i="6"/>
  <c r="E5929" i="6"/>
  <c r="E5940" i="6"/>
  <c r="E5950" i="6"/>
  <c r="E5961" i="6"/>
  <c r="E5972" i="6"/>
  <c r="E5982" i="6"/>
  <c r="E5993" i="6"/>
  <c r="E6004" i="6"/>
  <c r="E6014" i="6"/>
  <c r="E6025" i="6"/>
  <c r="E6036" i="6"/>
  <c r="E6046" i="6"/>
  <c r="E6057" i="6"/>
  <c r="E6068" i="6"/>
  <c r="E6078" i="6"/>
  <c r="E2622" i="6"/>
  <c r="E3409" i="6"/>
  <c r="E3665" i="6"/>
  <c r="E3921" i="6"/>
  <c r="E4145" i="6"/>
  <c r="E4273" i="6"/>
  <c r="E4392" i="6"/>
  <c r="E4458" i="6"/>
  <c r="E4522" i="6"/>
  <c r="E4586" i="6"/>
  <c r="E4650" i="6"/>
  <c r="E4714" i="6"/>
  <c r="E4778" i="6"/>
  <c r="E4842" i="6"/>
  <c r="E4906" i="6"/>
  <c r="E4970" i="6"/>
  <c r="E5034" i="6"/>
  <c r="E5098" i="6"/>
  <c r="E5162" i="6"/>
  <c r="E5226" i="6"/>
  <c r="E5290" i="6"/>
  <c r="E5350" i="6"/>
  <c r="E5393" i="6"/>
  <c r="E5436" i="6"/>
  <c r="E5478" i="6"/>
  <c r="E5521" i="6"/>
  <c r="E5564" i="6"/>
  <c r="E5606" i="6"/>
  <c r="E5649" i="6"/>
  <c r="E5692" i="6"/>
  <c r="E5734" i="6"/>
  <c r="E5777" i="6"/>
  <c r="E5820" i="6"/>
  <c r="E5862" i="6"/>
  <c r="E5905" i="6"/>
  <c r="E5937" i="6"/>
  <c r="E5958" i="6"/>
  <c r="E5980" i="6"/>
  <c r="E6001" i="6"/>
  <c r="E6022" i="6"/>
  <c r="E6044" i="6"/>
  <c r="E6065" i="6"/>
  <c r="E6086" i="6"/>
  <c r="E6100" i="6"/>
  <c r="E6113" i="6"/>
  <c r="E6129" i="6"/>
  <c r="E6142" i="6"/>
  <c r="E6156" i="6"/>
  <c r="E6172" i="6"/>
  <c r="E6185" i="6"/>
  <c r="E6198" i="6"/>
  <c r="E6214" i="6"/>
  <c r="E6228" i="6"/>
  <c r="E6241" i="6"/>
  <c r="E6256" i="6"/>
  <c r="E6264" i="6"/>
  <c r="E6270" i="6"/>
  <c r="E6278" i="6"/>
  <c r="E6285" i="6"/>
  <c r="E6292" i="6"/>
  <c r="E6300" i="6"/>
  <c r="E6306" i="6"/>
  <c r="E6313" i="6"/>
  <c r="E6321" i="6"/>
  <c r="E6328" i="6"/>
  <c r="E6334" i="6"/>
  <c r="E6342" i="6"/>
  <c r="E6349" i="6"/>
  <c r="E6356" i="6"/>
  <c r="E6364" i="6"/>
  <c r="E6369" i="6"/>
  <c r="E6374" i="6"/>
  <c r="E6380" i="6"/>
  <c r="E6385" i="6"/>
  <c r="E6390" i="6"/>
  <c r="E6396" i="6"/>
  <c r="E6401" i="6"/>
  <c r="E6406" i="6"/>
  <c r="E6412" i="6"/>
  <c r="E6417" i="6"/>
  <c r="E6422" i="6"/>
  <c r="E6428" i="6"/>
  <c r="E6433" i="6"/>
  <c r="E6438" i="6"/>
  <c r="E6444" i="6"/>
  <c r="E6449" i="6"/>
  <c r="E6454" i="6"/>
  <c r="E6460" i="6"/>
  <c r="E6465" i="6"/>
  <c r="E6470" i="6"/>
  <c r="E6476" i="6"/>
  <c r="E6481" i="6"/>
  <c r="E6486" i="6"/>
  <c r="E6492" i="6"/>
  <c r="E6497" i="6"/>
  <c r="E6502" i="6"/>
  <c r="E6508" i="6"/>
  <c r="E6513" i="6"/>
  <c r="E6518" i="6"/>
  <c r="E6524" i="6"/>
  <c r="E6529" i="6"/>
  <c r="E6534" i="6"/>
  <c r="E6540" i="6"/>
  <c r="E6545" i="6"/>
  <c r="E6550" i="6"/>
  <c r="E6556" i="6"/>
  <c r="E6561" i="6"/>
  <c r="E6566" i="6"/>
  <c r="E6572" i="6"/>
  <c r="E6577" i="6"/>
  <c r="E6582" i="6"/>
  <c r="E6588" i="6"/>
  <c r="E6593" i="6"/>
  <c r="E6598" i="6"/>
  <c r="E6604" i="6"/>
  <c r="E6609" i="6"/>
  <c r="E6614" i="6"/>
  <c r="E6620" i="6"/>
  <c r="E6625" i="6"/>
  <c r="E6630" i="6"/>
  <c r="E6636" i="6"/>
  <c r="E6641" i="6"/>
  <c r="E6646" i="6"/>
  <c r="E6652" i="6"/>
  <c r="E6657" i="6"/>
  <c r="E6662" i="6"/>
  <c r="E6668" i="6"/>
  <c r="E6673" i="6"/>
  <c r="E6678" i="6"/>
  <c r="E6684" i="6"/>
  <c r="E6689" i="6"/>
  <c r="E2878" i="6"/>
  <c r="E3473" i="6"/>
  <c r="E3729" i="6"/>
  <c r="E3985" i="6"/>
  <c r="E4177" i="6"/>
  <c r="E4305" i="6"/>
  <c r="E4410" i="6"/>
  <c r="E4474" i="6"/>
  <c r="E4538" i="6"/>
  <c r="E4602" i="6"/>
  <c r="E4666" i="6"/>
  <c r="E4730" i="6"/>
  <c r="E4794" i="6"/>
  <c r="E4858" i="6"/>
  <c r="E4922" i="6"/>
  <c r="E4986" i="6"/>
  <c r="E5050" i="6"/>
  <c r="E5114" i="6"/>
  <c r="E5178" i="6"/>
  <c r="E5242" i="6"/>
  <c r="E5306" i="6"/>
  <c r="E5361" i="6"/>
  <c r="E5404" i="6"/>
  <c r="E5446" i="6"/>
  <c r="E5489" i="6"/>
  <c r="E5532" i="6"/>
  <c r="E5574" i="6"/>
  <c r="E5617" i="6"/>
  <c r="E5660" i="6"/>
  <c r="E5702" i="6"/>
  <c r="E5745" i="6"/>
  <c r="E5788" i="6"/>
  <c r="E5830" i="6"/>
  <c r="E5873" i="6"/>
  <c r="E5916" i="6"/>
  <c r="E5942" i="6"/>
  <c r="E5964" i="6"/>
  <c r="E5985" i="6"/>
  <c r="E6006" i="6"/>
  <c r="E6028" i="6"/>
  <c r="E6049" i="6"/>
  <c r="E6070" i="6"/>
  <c r="E6089" i="6"/>
  <c r="E6102" i="6"/>
  <c r="E6118" i="6"/>
  <c r="E6132" i="6"/>
  <c r="E6145" i="6"/>
  <c r="E6161" i="6"/>
  <c r="E6174" i="6"/>
  <c r="E6188" i="6"/>
  <c r="E6204" i="6"/>
  <c r="E6217" i="6"/>
  <c r="E6230" i="6"/>
  <c r="E6246" i="6"/>
  <c r="E6257" i="6"/>
  <c r="E6265" i="6"/>
  <c r="E6273" i="6"/>
  <c r="E6280" i="6"/>
  <c r="E6286" i="6"/>
  <c r="E6294" i="6"/>
  <c r="E6301" i="6"/>
  <c r="E6308" i="6"/>
  <c r="E6316" i="6"/>
  <c r="E6322" i="6"/>
  <c r="E6329" i="6"/>
  <c r="E6337" i="6"/>
  <c r="E6344" i="6"/>
  <c r="E6350" i="6"/>
  <c r="E6358" i="6"/>
  <c r="E6365" i="6"/>
  <c r="E6370" i="6"/>
  <c r="E6376" i="6"/>
  <c r="E6381" i="6"/>
  <c r="E6386" i="6"/>
  <c r="E6392" i="6"/>
  <c r="E6397" i="6"/>
  <c r="E6402" i="6"/>
  <c r="E6408" i="6"/>
  <c r="E6413" i="6"/>
  <c r="E6418" i="6"/>
  <c r="E6424" i="6"/>
  <c r="E6429" i="6"/>
  <c r="E6434" i="6"/>
  <c r="E6440" i="6"/>
  <c r="E6445" i="6"/>
  <c r="E6450" i="6"/>
  <c r="E6456" i="6"/>
  <c r="E6461" i="6"/>
  <c r="E6466" i="6"/>
  <c r="E6472" i="6"/>
  <c r="E6477" i="6"/>
  <c r="E6482" i="6"/>
  <c r="E6488" i="6"/>
  <c r="E6493" i="6"/>
  <c r="E6498" i="6"/>
  <c r="E6504" i="6"/>
  <c r="E6509" i="6"/>
  <c r="E6514" i="6"/>
  <c r="E6520" i="6"/>
  <c r="E6525" i="6"/>
  <c r="E6530" i="6"/>
  <c r="E6536" i="6"/>
  <c r="E6541" i="6"/>
  <c r="E6546" i="6"/>
  <c r="E6552" i="6"/>
  <c r="E6557" i="6"/>
  <c r="E6562" i="6"/>
  <c r="E6568" i="6"/>
  <c r="E6573" i="6"/>
  <c r="E6578" i="6"/>
  <c r="E6584" i="6"/>
  <c r="E6589" i="6"/>
  <c r="E6594" i="6"/>
  <c r="E6600" i="6"/>
  <c r="E6605" i="6"/>
  <c r="E6610" i="6"/>
  <c r="E6616" i="6"/>
  <c r="E6621" i="6"/>
  <c r="E6626" i="6"/>
  <c r="E6632" i="6"/>
  <c r="E6637" i="6"/>
  <c r="E6642" i="6"/>
  <c r="E6648" i="6"/>
  <c r="E6653" i="6"/>
  <c r="E6658" i="6"/>
  <c r="E6664" i="6"/>
  <c r="E6669" i="6"/>
  <c r="E6674" i="6"/>
  <c r="E6680" i="6"/>
  <c r="E6685" i="6"/>
  <c r="E6690" i="6"/>
  <c r="E6696" i="6"/>
  <c r="E6701" i="6"/>
  <c r="E6705" i="6"/>
  <c r="E6709" i="6"/>
  <c r="E6713" i="6"/>
  <c r="E6717" i="6"/>
  <c r="E6721" i="6"/>
  <c r="E6725" i="6"/>
  <c r="E6729" i="6"/>
  <c r="E6733" i="6"/>
  <c r="E6737" i="6"/>
  <c r="E6741" i="6"/>
  <c r="E6745" i="6"/>
  <c r="E6749" i="6"/>
  <c r="E6753" i="6"/>
  <c r="E6757" i="6"/>
  <c r="E6761" i="6"/>
  <c r="E6765" i="6"/>
  <c r="E6769" i="6"/>
  <c r="E6773" i="6"/>
  <c r="E6777" i="6"/>
  <c r="E6781" i="6"/>
  <c r="E6785" i="6"/>
  <c r="E6789" i="6"/>
  <c r="E6793" i="6"/>
  <c r="E6797" i="6"/>
  <c r="E6801" i="6"/>
  <c r="E6805" i="6"/>
  <c r="E6809" i="6"/>
  <c r="E6813" i="6"/>
  <c r="E6817" i="6"/>
  <c r="E6821" i="6"/>
  <c r="E6825" i="6"/>
  <c r="E6829" i="6"/>
  <c r="E6833" i="6"/>
  <c r="E6837" i="6"/>
  <c r="E6841" i="6"/>
  <c r="E6845" i="6"/>
  <c r="E6849" i="6"/>
  <c r="E3134" i="6"/>
  <c r="E3537" i="6"/>
  <c r="E3793" i="6"/>
  <c r="E4049" i="6"/>
  <c r="E4209" i="6"/>
  <c r="E4337" i="6"/>
  <c r="E4426" i="6"/>
  <c r="E4490" i="6"/>
  <c r="E4554" i="6"/>
  <c r="E4618" i="6"/>
  <c r="E4682" i="6"/>
  <c r="E4746" i="6"/>
  <c r="E4810" i="6"/>
  <c r="E4874" i="6"/>
  <c r="E4938" i="6"/>
  <c r="E5002" i="6"/>
  <c r="E5066" i="6"/>
  <c r="E5130" i="6"/>
  <c r="E5194" i="6"/>
  <c r="E5258" i="6"/>
  <c r="E5322" i="6"/>
  <c r="E5372" i="6"/>
  <c r="E5414" i="6"/>
  <c r="E5457" i="6"/>
  <c r="E5500" i="6"/>
  <c r="E5542" i="6"/>
  <c r="E5585" i="6"/>
  <c r="E5628" i="6"/>
  <c r="E5670" i="6"/>
  <c r="E5713" i="6"/>
  <c r="E5756" i="6"/>
  <c r="E5798" i="6"/>
  <c r="E5841" i="6"/>
  <c r="E5884" i="6"/>
  <c r="E5926" i="6"/>
  <c r="E5948" i="6"/>
  <c r="E5969" i="6"/>
  <c r="E5990" i="6"/>
  <c r="E6012" i="6"/>
  <c r="E6033" i="6"/>
  <c r="E6054" i="6"/>
  <c r="E6076" i="6"/>
  <c r="E6092" i="6"/>
  <c r="E6108" i="6"/>
  <c r="E6121" i="6"/>
  <c r="E6134" i="6"/>
  <c r="E6150" i="6"/>
  <c r="E6164" i="6"/>
  <c r="E6177" i="6"/>
  <c r="E6193" i="6"/>
  <c r="E6206" i="6"/>
  <c r="E6220" i="6"/>
  <c r="E6236" i="6"/>
  <c r="E6249" i="6"/>
  <c r="E6260" i="6"/>
  <c r="E6268" i="6"/>
  <c r="E6274" i="6"/>
  <c r="E6281" i="6"/>
  <c r="E6289" i="6"/>
  <c r="E6296" i="6"/>
  <c r="E6302" i="6"/>
  <c r="E6310" i="6"/>
  <c r="E6317" i="6"/>
  <c r="E6324" i="6"/>
  <c r="E6332" i="6"/>
  <c r="E6338" i="6"/>
  <c r="E6345" i="6"/>
  <c r="E6353" i="6"/>
  <c r="E6360" i="6"/>
  <c r="E6366" i="6"/>
  <c r="E6372" i="6"/>
  <c r="E6377" i="6"/>
  <c r="E6382" i="6"/>
  <c r="E6388" i="6"/>
  <c r="E6393" i="6"/>
  <c r="E6398" i="6"/>
  <c r="E6404" i="6"/>
  <c r="E6409" i="6"/>
  <c r="E6414" i="6"/>
  <c r="E6420" i="6"/>
  <c r="E6425" i="6"/>
  <c r="E6430" i="6"/>
  <c r="E6436" i="6"/>
  <c r="E6441" i="6"/>
  <c r="E6446" i="6"/>
  <c r="E6452" i="6"/>
  <c r="E6457" i="6"/>
  <c r="E6462" i="6"/>
  <c r="E6468" i="6"/>
  <c r="E6473" i="6"/>
  <c r="E6478" i="6"/>
  <c r="E6484" i="6"/>
  <c r="E6489" i="6"/>
  <c r="E6494" i="6"/>
  <c r="E6500" i="6"/>
  <c r="E6505" i="6"/>
  <c r="E6510" i="6"/>
  <c r="E6516" i="6"/>
  <c r="E6521" i="6"/>
  <c r="E6526" i="6"/>
  <c r="E6532" i="6"/>
  <c r="E6537" i="6"/>
  <c r="E6542" i="6"/>
  <c r="E6548" i="6"/>
  <c r="E6553" i="6"/>
  <c r="E6558" i="6"/>
  <c r="E6564" i="6"/>
  <c r="E6569" i="6"/>
  <c r="E6574" i="6"/>
  <c r="E6580" i="6"/>
  <c r="E6585" i="6"/>
  <c r="E6590" i="6"/>
  <c r="E6596" i="6"/>
  <c r="E6601" i="6"/>
  <c r="E6606" i="6"/>
  <c r="E6612" i="6"/>
  <c r="E6617" i="6"/>
  <c r="E6622" i="6"/>
  <c r="E6628" i="6"/>
  <c r="E6633" i="6"/>
  <c r="E6638" i="6"/>
  <c r="E6644" i="6"/>
  <c r="E6649" i="6"/>
  <c r="E6654" i="6"/>
  <c r="E6660" i="6"/>
  <c r="E6665" i="6"/>
  <c r="E6670" i="6"/>
  <c r="E6676" i="6"/>
  <c r="E6681" i="6"/>
  <c r="E6686" i="6"/>
  <c r="E6692" i="6"/>
  <c r="E2366" i="6"/>
  <c r="E3282" i="6"/>
  <c r="E3601" i="6"/>
  <c r="E3857" i="6"/>
  <c r="E4113" i="6"/>
  <c r="E4241" i="6"/>
  <c r="E4369" i="6"/>
  <c r="E4442" i="6"/>
  <c r="E4506" i="6"/>
  <c r="E4570" i="6"/>
  <c r="E4634" i="6"/>
  <c r="E4698" i="6"/>
  <c r="E4762" i="6"/>
  <c r="E4826" i="6"/>
  <c r="E4890" i="6"/>
  <c r="E4954" i="6"/>
  <c r="E5018" i="6"/>
  <c r="E5082" i="6"/>
  <c r="E5146" i="6"/>
  <c r="E5210" i="6"/>
  <c r="E5274" i="6"/>
  <c r="E5338" i="6"/>
  <c r="E5382" i="6"/>
  <c r="E5425" i="6"/>
  <c r="E5468" i="6"/>
  <c r="E5510" i="6"/>
  <c r="E5553" i="6"/>
  <c r="E5596" i="6"/>
  <c r="E5638" i="6"/>
  <c r="E5681" i="6"/>
  <c r="E5724" i="6"/>
  <c r="E5766" i="6"/>
  <c r="E5809" i="6"/>
  <c r="E5852" i="6"/>
  <c r="E5894" i="6"/>
  <c r="E5932" i="6"/>
  <c r="E5953" i="6"/>
  <c r="E5974" i="6"/>
  <c r="E5996" i="6"/>
  <c r="E6017" i="6"/>
  <c r="E6038" i="6"/>
  <c r="E6060" i="6"/>
  <c r="E6081" i="6"/>
  <c r="E6097" i="6"/>
  <c r="E6110" i="6"/>
  <c r="E6124" i="6"/>
  <c r="E6140" i="6"/>
  <c r="E6153" i="6"/>
  <c r="E6166" i="6"/>
  <c r="E6182" i="6"/>
  <c r="E6196" i="6"/>
  <c r="E6209" i="6"/>
  <c r="E6225" i="6"/>
  <c r="E6238" i="6"/>
  <c r="E6252" i="6"/>
  <c r="E6262" i="6"/>
  <c r="E6269" i="6"/>
  <c r="E6276" i="6"/>
  <c r="E6284" i="6"/>
  <c r="E6290" i="6"/>
  <c r="E6297" i="6"/>
  <c r="E6305" i="6"/>
  <c r="E6312" i="6"/>
  <c r="E6318" i="6"/>
  <c r="E6326" i="6"/>
  <c r="E6333" i="6"/>
  <c r="E6340" i="6"/>
  <c r="E6348" i="6"/>
  <c r="E6354" i="6"/>
  <c r="E6361" i="6"/>
  <c r="E6368" i="6"/>
  <c r="E6373" i="6"/>
  <c r="E6378" i="6"/>
  <c r="E6384" i="6"/>
  <c r="E6389" i="6"/>
  <c r="E6394" i="6"/>
  <c r="E6400" i="6"/>
  <c r="E6405" i="6"/>
  <c r="E6410" i="6"/>
  <c r="E6416" i="6"/>
  <c r="E6421" i="6"/>
  <c r="E6426" i="6"/>
  <c r="E6432" i="6"/>
  <c r="E6437" i="6"/>
  <c r="E6442" i="6"/>
  <c r="E6448" i="6"/>
  <c r="E6453" i="6"/>
  <c r="E6458" i="6"/>
  <c r="E6464" i="6"/>
  <c r="E6469" i="6"/>
  <c r="E6474" i="6"/>
  <c r="E6480" i="6"/>
  <c r="E6485" i="6"/>
  <c r="E6490" i="6"/>
  <c r="E6496" i="6"/>
  <c r="E6501" i="6"/>
  <c r="E6506" i="6"/>
  <c r="E6512" i="6"/>
  <c r="E6517" i="6"/>
  <c r="E6522" i="6"/>
  <c r="E6528" i="6"/>
  <c r="E6533" i="6"/>
  <c r="E6538" i="6"/>
  <c r="E6544" i="6"/>
  <c r="E6549" i="6"/>
  <c r="E6554" i="6"/>
  <c r="E6560" i="6"/>
  <c r="E6565" i="6"/>
  <c r="E6570" i="6"/>
  <c r="E6576" i="6"/>
  <c r="E6581" i="6"/>
  <c r="E6586" i="6"/>
  <c r="E6592" i="6"/>
  <c r="E6597" i="6"/>
  <c r="E6602" i="6"/>
  <c r="E6608" i="6"/>
  <c r="E6613" i="6"/>
  <c r="E6618" i="6"/>
  <c r="E6624" i="6"/>
  <c r="E6629" i="6"/>
  <c r="E6634" i="6"/>
  <c r="E6640" i="6"/>
  <c r="E6645" i="6"/>
  <c r="E6650" i="6"/>
  <c r="E6656" i="6"/>
  <c r="E6661" i="6"/>
  <c r="E6666" i="6"/>
  <c r="E6672" i="6"/>
  <c r="E6677" i="6"/>
  <c r="E6682" i="6"/>
  <c r="E6688" i="6"/>
  <c r="E6693" i="6"/>
  <c r="E6698" i="6"/>
  <c r="E6703" i="6"/>
  <c r="E6707" i="6"/>
  <c r="E6711" i="6"/>
  <c r="E6715" i="6"/>
  <c r="E6719" i="6"/>
  <c r="E6723" i="6"/>
  <c r="E6727" i="6"/>
  <c r="E6731" i="6"/>
  <c r="E6735" i="6"/>
  <c r="E6739" i="6"/>
  <c r="E6743" i="6"/>
  <c r="E6747" i="6"/>
  <c r="E6751" i="6"/>
  <c r="E6755" i="6"/>
  <c r="E6759" i="6"/>
  <c r="E6763" i="6"/>
  <c r="E6767" i="6"/>
  <c r="E6771" i="6"/>
  <c r="E6775" i="6"/>
  <c r="E6779" i="6"/>
  <c r="E6783" i="6"/>
  <c r="E6787" i="6"/>
  <c r="E6791" i="6"/>
  <c r="E6795" i="6"/>
  <c r="E6799" i="6"/>
  <c r="E6803" i="6"/>
  <c r="E6807" i="6"/>
  <c r="E6811" i="6"/>
  <c r="E6815" i="6"/>
  <c r="E6819" i="6"/>
  <c r="E6823" i="6"/>
  <c r="E6827" i="6"/>
  <c r="E6831" i="6"/>
  <c r="E6835" i="6"/>
  <c r="E6839" i="6"/>
  <c r="E6843" i="6"/>
  <c r="E6847" i="6"/>
  <c r="E6697" i="6"/>
  <c r="E6706" i="6"/>
  <c r="E6714" i="6"/>
  <c r="E6722" i="6"/>
  <c r="E6730" i="6"/>
  <c r="E6738" i="6"/>
  <c r="E6746" i="6"/>
  <c r="E6754" i="6"/>
  <c r="E6762" i="6"/>
  <c r="E6770" i="6"/>
  <c r="E6778" i="6"/>
  <c r="E6786" i="6"/>
  <c r="E6794" i="6"/>
  <c r="E6802" i="6"/>
  <c r="E6810" i="6"/>
  <c r="E6818" i="6"/>
  <c r="E6826" i="6"/>
  <c r="E6834" i="6"/>
  <c r="E6842" i="6"/>
  <c r="E6850" i="6"/>
  <c r="E6854" i="6"/>
  <c r="E6858" i="6"/>
  <c r="E6862" i="6"/>
  <c r="E6866" i="6"/>
  <c r="E6870" i="6"/>
  <c r="E6874" i="6"/>
  <c r="E6878" i="6"/>
  <c r="E6882" i="6"/>
  <c r="E6886" i="6"/>
  <c r="E6890" i="6"/>
  <c r="E6894" i="6"/>
  <c r="E6898" i="6"/>
  <c r="E6902" i="6"/>
  <c r="E6906" i="6"/>
  <c r="E6910" i="6"/>
  <c r="E6914" i="6"/>
  <c r="E6918" i="6"/>
  <c r="E6922" i="6"/>
  <c r="E6926" i="6"/>
  <c r="E6930" i="6"/>
  <c r="E6934" i="6"/>
  <c r="E6938" i="6"/>
  <c r="E6942" i="6"/>
  <c r="E6946" i="6"/>
  <c r="E6950" i="6"/>
  <c r="E6954" i="6"/>
  <c r="E6958" i="6"/>
  <c r="E6962" i="6"/>
  <c r="E6966" i="6"/>
  <c r="E6970" i="6"/>
  <c r="E6974" i="6"/>
  <c r="E6978" i="6"/>
  <c r="E6982" i="6"/>
  <c r="E6986" i="6"/>
  <c r="E6990" i="6"/>
  <c r="E6994" i="6"/>
  <c r="E6998" i="6"/>
  <c r="E7002" i="6"/>
  <c r="E7006" i="6"/>
  <c r="E7010" i="6"/>
  <c r="E7014" i="6"/>
  <c r="E7018" i="6"/>
  <c r="E7022" i="6"/>
  <c r="E7026" i="6"/>
  <c r="E7030" i="6"/>
  <c r="E7034" i="6"/>
  <c r="E7038" i="6"/>
  <c r="E7042" i="6"/>
  <c r="E7046" i="6"/>
  <c r="E7050" i="6"/>
  <c r="E7054" i="6"/>
  <c r="E7058" i="6"/>
  <c r="E7062" i="6"/>
  <c r="E7066" i="6"/>
  <c r="E7070" i="6"/>
  <c r="E7074" i="6"/>
  <c r="E7078" i="6"/>
  <c r="E7082" i="6"/>
  <c r="E7086" i="6"/>
  <c r="E7090" i="6"/>
  <c r="E7094" i="6"/>
  <c r="E7098" i="6"/>
  <c r="E7102" i="6"/>
  <c r="E7106" i="6"/>
  <c r="E7110" i="6"/>
  <c r="E7114" i="6"/>
  <c r="E7118" i="6"/>
  <c r="E7122" i="6"/>
  <c r="E7126" i="6"/>
  <c r="E7130" i="6"/>
  <c r="E7134" i="6"/>
  <c r="E7138" i="6"/>
  <c r="E7142" i="6"/>
  <c r="E7146" i="6"/>
  <c r="E7150" i="6"/>
  <c r="E7154" i="6"/>
  <c r="E7158" i="6"/>
  <c r="E7162" i="6"/>
  <c r="E7166" i="6"/>
  <c r="E7170" i="6"/>
  <c r="E7174" i="6"/>
  <c r="E7178" i="6"/>
  <c r="E7182" i="6"/>
  <c r="E7186" i="6"/>
  <c r="E7190" i="6"/>
  <c r="E7194" i="6"/>
  <c r="E7198" i="6"/>
  <c r="E7202" i="6"/>
  <c r="E7206" i="6"/>
  <c r="E7210" i="6"/>
  <c r="E7214" i="6"/>
  <c r="E7218" i="6"/>
  <c r="E7222" i="6"/>
  <c r="E7226" i="6"/>
  <c r="E7230" i="6"/>
  <c r="E7234" i="6"/>
  <c r="E7238" i="6"/>
  <c r="E7242" i="6"/>
  <c r="E7246" i="6"/>
  <c r="E7250" i="6"/>
  <c r="E7254" i="6"/>
  <c r="E7258" i="6"/>
  <c r="E7262" i="6"/>
  <c r="E7266" i="6"/>
  <c r="E7270" i="6"/>
  <c r="E7274" i="6"/>
  <c r="E7278" i="6"/>
  <c r="E7282" i="6"/>
  <c r="E7286" i="6"/>
  <c r="E7290" i="6"/>
  <c r="E7294" i="6"/>
  <c r="E7298" i="6"/>
  <c r="E7302" i="6"/>
  <c r="E7306" i="6"/>
  <c r="E7310" i="6"/>
  <c r="E7314" i="6"/>
  <c r="E7318" i="6"/>
  <c r="E7322" i="6"/>
  <c r="E7326" i="6"/>
  <c r="E7330" i="6"/>
  <c r="E7334" i="6"/>
  <c r="E7338" i="6"/>
  <c r="E7342" i="6"/>
  <c r="E7346" i="6"/>
  <c r="E7350" i="6"/>
  <c r="E7354" i="6"/>
  <c r="E7358" i="6"/>
  <c r="E7362" i="6"/>
  <c r="E7366" i="6"/>
  <c r="E7370" i="6"/>
  <c r="E7374" i="6"/>
  <c r="E7378" i="6"/>
  <c r="E7382" i="6"/>
  <c r="E7386" i="6"/>
  <c r="E7390" i="6"/>
  <c r="E7394" i="6"/>
  <c r="E7398" i="6"/>
  <c r="E7402" i="6"/>
  <c r="E7406" i="6"/>
  <c r="E7410" i="6"/>
  <c r="E7414" i="6"/>
  <c r="E7418" i="6"/>
  <c r="E7422" i="6"/>
  <c r="E7426" i="6"/>
  <c r="E7430" i="6"/>
  <c r="E7434" i="6"/>
  <c r="E7438" i="6"/>
  <c r="E7442" i="6"/>
  <c r="E7446" i="6"/>
  <c r="E7450" i="6"/>
  <c r="E7454" i="6"/>
  <c r="E7458" i="6"/>
  <c r="E7462" i="6"/>
  <c r="E7466" i="6"/>
  <c r="E7470" i="6"/>
  <c r="E7474" i="6"/>
  <c r="E7478" i="6"/>
  <c r="E7482" i="6"/>
  <c r="E7486" i="6"/>
  <c r="E7490" i="6"/>
  <c r="E7494" i="6"/>
  <c r="E7498" i="6"/>
  <c r="E7502" i="6"/>
  <c r="E7506" i="6"/>
  <c r="E7510" i="6"/>
  <c r="E7514" i="6"/>
  <c r="E7518" i="6"/>
  <c r="E7522" i="6"/>
  <c r="E7526" i="6"/>
  <c r="E7530" i="6"/>
  <c r="E7534" i="6"/>
  <c r="E7538" i="6"/>
  <c r="E7542" i="6"/>
  <c r="E7546" i="6"/>
  <c r="E7550" i="6"/>
  <c r="E7554" i="6"/>
  <c r="E7558" i="6"/>
  <c r="E7562" i="6"/>
  <c r="E7566" i="6"/>
  <c r="E7570" i="6"/>
  <c r="E7574" i="6"/>
  <c r="E7578" i="6"/>
  <c r="E7582" i="6"/>
  <c r="E7586" i="6"/>
  <c r="E7590" i="6"/>
  <c r="E7594" i="6"/>
  <c r="E7598" i="6"/>
  <c r="E7602" i="6"/>
  <c r="E7606" i="6"/>
  <c r="E7610" i="6"/>
  <c r="E7614" i="6"/>
  <c r="E7618" i="6"/>
  <c r="E7622" i="6"/>
  <c r="E7626" i="6"/>
  <c r="E7630" i="6"/>
  <c r="E7634" i="6"/>
  <c r="E7638" i="6"/>
  <c r="E7642" i="6"/>
  <c r="E7646" i="6"/>
  <c r="E7650" i="6"/>
  <c r="E7654" i="6"/>
  <c r="E7658" i="6"/>
  <c r="E7662" i="6"/>
  <c r="E7666" i="6"/>
  <c r="E7670" i="6"/>
  <c r="E7674" i="6"/>
  <c r="E7678" i="6"/>
  <c r="E7682" i="6"/>
  <c r="E7686" i="6"/>
  <c r="E7690" i="6"/>
  <c r="E7694" i="6"/>
  <c r="E7698" i="6"/>
  <c r="E7702" i="6"/>
  <c r="E7706" i="6"/>
  <c r="E7710" i="6"/>
  <c r="E7714" i="6"/>
  <c r="E7718" i="6"/>
  <c r="E7722" i="6"/>
  <c r="E7726" i="6"/>
  <c r="E7730" i="6"/>
  <c r="E7734" i="6"/>
  <c r="E7738" i="6"/>
  <c r="E7742" i="6"/>
  <c r="E7746" i="6"/>
  <c r="E7750" i="6"/>
  <c r="E7754" i="6"/>
  <c r="E7758" i="6"/>
  <c r="E7762" i="6"/>
  <c r="E7766" i="6"/>
  <c r="E7770" i="6"/>
  <c r="E7774" i="6"/>
  <c r="E7778" i="6"/>
  <c r="E7782" i="6"/>
  <c r="E7786" i="6"/>
  <c r="E7790" i="6"/>
  <c r="E7794" i="6"/>
  <c r="E7798" i="6"/>
  <c r="E7802" i="6"/>
  <c r="E7806" i="6"/>
  <c r="E7810" i="6"/>
  <c r="E7814" i="6"/>
  <c r="E7818" i="6"/>
  <c r="E7822" i="6"/>
  <c r="E7826" i="6"/>
  <c r="E7830" i="6"/>
  <c r="E7834" i="6"/>
  <c r="E7838" i="6"/>
  <c r="E7842" i="6"/>
  <c r="E7846" i="6"/>
  <c r="E7850" i="6"/>
  <c r="E7854" i="6"/>
  <c r="E7858" i="6"/>
  <c r="E7862" i="6"/>
  <c r="E7866" i="6"/>
  <c r="E7870" i="6"/>
  <c r="E7874" i="6"/>
  <c r="E7878" i="6"/>
  <c r="E7882" i="6"/>
  <c r="E7886" i="6"/>
  <c r="E7890" i="6"/>
  <c r="E7894" i="6"/>
  <c r="E7898" i="6"/>
  <c r="E7902" i="6"/>
  <c r="E7906" i="6"/>
  <c r="E7910" i="6"/>
  <c r="E7914" i="6"/>
  <c r="E7918" i="6"/>
  <c r="E7922" i="6"/>
  <c r="E7926" i="6"/>
  <c r="E7930" i="6"/>
  <c r="E7934" i="6"/>
  <c r="E7938" i="6"/>
  <c r="E7942" i="6"/>
  <c r="E7946" i="6"/>
  <c r="E7950" i="6"/>
  <c r="E7954" i="6"/>
  <c r="E7958" i="6"/>
  <c r="E7962" i="6"/>
  <c r="E7966" i="6"/>
  <c r="E7970" i="6"/>
  <c r="E7974" i="6"/>
  <c r="E7978" i="6"/>
  <c r="E7982" i="6"/>
  <c r="E7986" i="6"/>
  <c r="E7990" i="6"/>
  <c r="E7994" i="6"/>
  <c r="E7998" i="6"/>
  <c r="E8002" i="6"/>
  <c r="E8006" i="6"/>
  <c r="E8010" i="6"/>
  <c r="E8014" i="6"/>
  <c r="E8018" i="6"/>
  <c r="E8022" i="6"/>
  <c r="E8026" i="6"/>
  <c r="E8030" i="6"/>
  <c r="E8034" i="6"/>
  <c r="E8038" i="6"/>
  <c r="E8042" i="6"/>
  <c r="E8046" i="6"/>
  <c r="E8050" i="6"/>
  <c r="E8054" i="6"/>
  <c r="E8058" i="6"/>
  <c r="E8062" i="6"/>
  <c r="E8066" i="6"/>
  <c r="E8070" i="6"/>
  <c r="E8074" i="6"/>
  <c r="E8078" i="6"/>
  <c r="E8082" i="6"/>
  <c r="E8086" i="6"/>
  <c r="E8090" i="6"/>
  <c r="E8094" i="6"/>
  <c r="E8098" i="6"/>
  <c r="E8102" i="6"/>
  <c r="E8106" i="6"/>
  <c r="E8110" i="6"/>
  <c r="E8114" i="6"/>
  <c r="E8118" i="6"/>
  <c r="E8122" i="6"/>
  <c r="E8126" i="6"/>
  <c r="E8130" i="6"/>
  <c r="E8134" i="6"/>
  <c r="E6700" i="6"/>
  <c r="E6708" i="6"/>
  <c r="E6716" i="6"/>
  <c r="E6724" i="6"/>
  <c r="E6732" i="6"/>
  <c r="E6740" i="6"/>
  <c r="E6748" i="6"/>
  <c r="E6756" i="6"/>
  <c r="E6764" i="6"/>
  <c r="E6772" i="6"/>
  <c r="E6780" i="6"/>
  <c r="E6788" i="6"/>
  <c r="E6796" i="6"/>
  <c r="E6804" i="6"/>
  <c r="E6812" i="6"/>
  <c r="E6820" i="6"/>
  <c r="E6828" i="6"/>
  <c r="E6836" i="6"/>
  <c r="E6844" i="6"/>
  <c r="E6851" i="6"/>
  <c r="E6855" i="6"/>
  <c r="E6859" i="6"/>
  <c r="E6863" i="6"/>
  <c r="E6867" i="6"/>
  <c r="E6871" i="6"/>
  <c r="E6875" i="6"/>
  <c r="E6879" i="6"/>
  <c r="E6883" i="6"/>
  <c r="E6887" i="6"/>
  <c r="E6891" i="6"/>
  <c r="E6895" i="6"/>
  <c r="E6899" i="6"/>
  <c r="E6903" i="6"/>
  <c r="E6907" i="6"/>
  <c r="E6911" i="6"/>
  <c r="E6915" i="6"/>
  <c r="E6919" i="6"/>
  <c r="E6923" i="6"/>
  <c r="E6927" i="6"/>
  <c r="E6931" i="6"/>
  <c r="E6935" i="6"/>
  <c r="E6939" i="6"/>
  <c r="E6943" i="6"/>
  <c r="E6947" i="6"/>
  <c r="E6951" i="6"/>
  <c r="E6955" i="6"/>
  <c r="E6959" i="6"/>
  <c r="E6963" i="6"/>
  <c r="E6967" i="6"/>
  <c r="E6971" i="6"/>
  <c r="E6975" i="6"/>
  <c r="E6979" i="6"/>
  <c r="E6983" i="6"/>
  <c r="E6987" i="6"/>
  <c r="E6991" i="6"/>
  <c r="E6995" i="6"/>
  <c r="E6999" i="6"/>
  <c r="E7003" i="6"/>
  <c r="E7007" i="6"/>
  <c r="E7011" i="6"/>
  <c r="E7015" i="6"/>
  <c r="E7019" i="6"/>
  <c r="E7023" i="6"/>
  <c r="E7027" i="6"/>
  <c r="E7031" i="6"/>
  <c r="E7035" i="6"/>
  <c r="E7039" i="6"/>
  <c r="E7043" i="6"/>
  <c r="E7047" i="6"/>
  <c r="E7051" i="6"/>
  <c r="E7055" i="6"/>
  <c r="E7059" i="6"/>
  <c r="E7063" i="6"/>
  <c r="E7067" i="6"/>
  <c r="E7071" i="6"/>
  <c r="E7075" i="6"/>
  <c r="E7079" i="6"/>
  <c r="E7083" i="6"/>
  <c r="E7087" i="6"/>
  <c r="E7091" i="6"/>
  <c r="E7095" i="6"/>
  <c r="E7099" i="6"/>
  <c r="E7103" i="6"/>
  <c r="E7107" i="6"/>
  <c r="E7111" i="6"/>
  <c r="E7115" i="6"/>
  <c r="E7119" i="6"/>
  <c r="E7123" i="6"/>
  <c r="E7127" i="6"/>
  <c r="E7131" i="6"/>
  <c r="E7135" i="6"/>
  <c r="E7139" i="6"/>
  <c r="E7143" i="6"/>
  <c r="E7147" i="6"/>
  <c r="E7151" i="6"/>
  <c r="E7155" i="6"/>
  <c r="E7159" i="6"/>
  <c r="E7163" i="6"/>
  <c r="E7167" i="6"/>
  <c r="E7171" i="6"/>
  <c r="E7175" i="6"/>
  <c r="E7179" i="6"/>
  <c r="E7183" i="6"/>
  <c r="E7187" i="6"/>
  <c r="E7191" i="6"/>
  <c r="E7195" i="6"/>
  <c r="E7199" i="6"/>
  <c r="E7203" i="6"/>
  <c r="E7207" i="6"/>
  <c r="E7211" i="6"/>
  <c r="E7215" i="6"/>
  <c r="E7219" i="6"/>
  <c r="E7223" i="6"/>
  <c r="E7227" i="6"/>
  <c r="E7231" i="6"/>
  <c r="E7235" i="6"/>
  <c r="E7239" i="6"/>
  <c r="E7243" i="6"/>
  <c r="E7247" i="6"/>
  <c r="E7251" i="6"/>
  <c r="E7255" i="6"/>
  <c r="E7259" i="6"/>
  <c r="E7263" i="6"/>
  <c r="E7267" i="6"/>
  <c r="E7271" i="6"/>
  <c r="E7275" i="6"/>
  <c r="E7279" i="6"/>
  <c r="E7283" i="6"/>
  <c r="E7287" i="6"/>
  <c r="E7291" i="6"/>
  <c r="E7295" i="6"/>
  <c r="E7299" i="6"/>
  <c r="E7303" i="6"/>
  <c r="E7307" i="6"/>
  <c r="E7311" i="6"/>
  <c r="E7315" i="6"/>
  <c r="E7319" i="6"/>
  <c r="E7323" i="6"/>
  <c r="E7327" i="6"/>
  <c r="E7331" i="6"/>
  <c r="E7335" i="6"/>
  <c r="E7339" i="6"/>
  <c r="E7343" i="6"/>
  <c r="E7347" i="6"/>
  <c r="E7351" i="6"/>
  <c r="E7355" i="6"/>
  <c r="E7359" i="6"/>
  <c r="E7363" i="6"/>
  <c r="E7367" i="6"/>
  <c r="E7371" i="6"/>
  <c r="E7375" i="6"/>
  <c r="E7379" i="6"/>
  <c r="E7383" i="6"/>
  <c r="E7387" i="6"/>
  <c r="E7391" i="6"/>
  <c r="E7395" i="6"/>
  <c r="E7399" i="6"/>
  <c r="E7403" i="6"/>
  <c r="E7407" i="6"/>
  <c r="E7411" i="6"/>
  <c r="E7415" i="6"/>
  <c r="E7419" i="6"/>
  <c r="E7423" i="6"/>
  <c r="E7427" i="6"/>
  <c r="E7431" i="6"/>
  <c r="E7435" i="6"/>
  <c r="E7439" i="6"/>
  <c r="E7443" i="6"/>
  <c r="E7447" i="6"/>
  <c r="E7451" i="6"/>
  <c r="E7455" i="6"/>
  <c r="E7459" i="6"/>
  <c r="E7463" i="6"/>
  <c r="E7467" i="6"/>
  <c r="E7471" i="6"/>
  <c r="E7475" i="6"/>
  <c r="E7479" i="6"/>
  <c r="E7483" i="6"/>
  <c r="E7487" i="6"/>
  <c r="E7491" i="6"/>
  <c r="E7495" i="6"/>
  <c r="E7499" i="6"/>
  <c r="E7503" i="6"/>
  <c r="E7507" i="6"/>
  <c r="E7511" i="6"/>
  <c r="E7515" i="6"/>
  <c r="E7519" i="6"/>
  <c r="E7523" i="6"/>
  <c r="E7527" i="6"/>
  <c r="E7531" i="6"/>
  <c r="E7535" i="6"/>
  <c r="E7539" i="6"/>
  <c r="E7543" i="6"/>
  <c r="E7547" i="6"/>
  <c r="E7551" i="6"/>
  <c r="E7555" i="6"/>
  <c r="E7559" i="6"/>
  <c r="E7563" i="6"/>
  <c r="E7567" i="6"/>
  <c r="E7571" i="6"/>
  <c r="E7575" i="6"/>
  <c r="E7579" i="6"/>
  <c r="E7583" i="6"/>
  <c r="E7587" i="6"/>
  <c r="E7591" i="6"/>
  <c r="E7595" i="6"/>
  <c r="E7599" i="6"/>
  <c r="E7603" i="6"/>
  <c r="E7607" i="6"/>
  <c r="E7611" i="6"/>
  <c r="E7615" i="6"/>
  <c r="E7619" i="6"/>
  <c r="E7623" i="6"/>
  <c r="E7627" i="6"/>
  <c r="E7631" i="6"/>
  <c r="E7635" i="6"/>
  <c r="E7639" i="6"/>
  <c r="E7643" i="6"/>
  <c r="E7647" i="6"/>
  <c r="E7651" i="6"/>
  <c r="E7655" i="6"/>
  <c r="E7659" i="6"/>
  <c r="E7663" i="6"/>
  <c r="E7667" i="6"/>
  <c r="E7671" i="6"/>
  <c r="E7675" i="6"/>
  <c r="E7679" i="6"/>
  <c r="E7683" i="6"/>
  <c r="E7687" i="6"/>
  <c r="E7691" i="6"/>
  <c r="E7695" i="6"/>
  <c r="E7699" i="6"/>
  <c r="E7703" i="6"/>
  <c r="E7707" i="6"/>
  <c r="E7711" i="6"/>
  <c r="E7715" i="6"/>
  <c r="E7719" i="6"/>
  <c r="E7723" i="6"/>
  <c r="E7727" i="6"/>
  <c r="E7731" i="6"/>
  <c r="E7735" i="6"/>
  <c r="E7739" i="6"/>
  <c r="E7743" i="6"/>
  <c r="E7747" i="6"/>
  <c r="E7751" i="6"/>
  <c r="E7755" i="6"/>
  <c r="E7759" i="6"/>
  <c r="E7763" i="6"/>
  <c r="E7767" i="6"/>
  <c r="E7771" i="6"/>
  <c r="E7775" i="6"/>
  <c r="E7779" i="6"/>
  <c r="E7783" i="6"/>
  <c r="E7787" i="6"/>
  <c r="E7791" i="6"/>
  <c r="E7795" i="6"/>
  <c r="E7799" i="6"/>
  <c r="E7803" i="6"/>
  <c r="E7807" i="6"/>
  <c r="E7811" i="6"/>
  <c r="E7815" i="6"/>
  <c r="E7819" i="6"/>
  <c r="E7823" i="6"/>
  <c r="E7827" i="6"/>
  <c r="E7831" i="6"/>
  <c r="E7835" i="6"/>
  <c r="E7839" i="6"/>
  <c r="E7843" i="6"/>
  <c r="E7847" i="6"/>
  <c r="E7851" i="6"/>
  <c r="E7855" i="6"/>
  <c r="E7859" i="6"/>
  <c r="E7863" i="6"/>
  <c r="E7867" i="6"/>
  <c r="E7871" i="6"/>
  <c r="E7875" i="6"/>
  <c r="E7879" i="6"/>
  <c r="E7883" i="6"/>
  <c r="E7887" i="6"/>
  <c r="E7891" i="6"/>
  <c r="E7895" i="6"/>
  <c r="E7899" i="6"/>
  <c r="E7903" i="6"/>
  <c r="E7907" i="6"/>
  <c r="E7911" i="6"/>
  <c r="E7915" i="6"/>
  <c r="E7919" i="6"/>
  <c r="E7923" i="6"/>
  <c r="E7927" i="6"/>
  <c r="E7931" i="6"/>
  <c r="E7935" i="6"/>
  <c r="E7939" i="6"/>
  <c r="E7943" i="6"/>
  <c r="E7947" i="6"/>
  <c r="E7951" i="6"/>
  <c r="E7955" i="6"/>
  <c r="E7959" i="6"/>
  <c r="E7963" i="6"/>
  <c r="E7967" i="6"/>
  <c r="E7971" i="6"/>
  <c r="E7975" i="6"/>
  <c r="E7979" i="6"/>
  <c r="E7983" i="6"/>
  <c r="E7987" i="6"/>
  <c r="E7991" i="6"/>
  <c r="E7995" i="6"/>
  <c r="E7999" i="6"/>
  <c r="E8003" i="6"/>
  <c r="E8007" i="6"/>
  <c r="E8011" i="6"/>
  <c r="E8015" i="6"/>
  <c r="E8019" i="6"/>
  <c r="E8023" i="6"/>
  <c r="E8027" i="6"/>
  <c r="E8031" i="6"/>
  <c r="E8035" i="6"/>
  <c r="E8039" i="6"/>
  <c r="E8043" i="6"/>
  <c r="E8047" i="6"/>
  <c r="E8051" i="6"/>
  <c r="E8055" i="6"/>
  <c r="E8059" i="6"/>
  <c r="E8063" i="6"/>
  <c r="E8067" i="6"/>
  <c r="E8071" i="6"/>
  <c r="E8075" i="6"/>
  <c r="E8079" i="6"/>
  <c r="E8083" i="6"/>
  <c r="E8087" i="6"/>
  <c r="E8091" i="6"/>
  <c r="E8095" i="6"/>
  <c r="E8099" i="6"/>
  <c r="E8103" i="6"/>
  <c r="E8107" i="6"/>
  <c r="E8111" i="6"/>
  <c r="E8115" i="6"/>
  <c r="E8119" i="6"/>
  <c r="E8123" i="6"/>
  <c r="E8127" i="6"/>
  <c r="E8131" i="6"/>
  <c r="E8135" i="6"/>
  <c r="E8139" i="6"/>
  <c r="E6702" i="6"/>
  <c r="E6710" i="6"/>
  <c r="E6718" i="6"/>
  <c r="E6726" i="6"/>
  <c r="E6734" i="6"/>
  <c r="E6742" i="6"/>
  <c r="E6750" i="6"/>
  <c r="E6758" i="6"/>
  <c r="E6766" i="6"/>
  <c r="E6774" i="6"/>
  <c r="E6782" i="6"/>
  <c r="E6790" i="6"/>
  <c r="E6798" i="6"/>
  <c r="E6806" i="6"/>
  <c r="E6814" i="6"/>
  <c r="E6822" i="6"/>
  <c r="E6830" i="6"/>
  <c r="E6838" i="6"/>
  <c r="E6846" i="6"/>
  <c r="E6852" i="6"/>
  <c r="E6856" i="6"/>
  <c r="E6860" i="6"/>
  <c r="E6864" i="6"/>
  <c r="E6868" i="6"/>
  <c r="E6872" i="6"/>
  <c r="E6876" i="6"/>
  <c r="E6880" i="6"/>
  <c r="E6884" i="6"/>
  <c r="E6888" i="6"/>
  <c r="E6892" i="6"/>
  <c r="E6896" i="6"/>
  <c r="E6900" i="6"/>
  <c r="E6904" i="6"/>
  <c r="E6908" i="6"/>
  <c r="E6912" i="6"/>
  <c r="E6916" i="6"/>
  <c r="E6920" i="6"/>
  <c r="E6924" i="6"/>
  <c r="E6928" i="6"/>
  <c r="E6932" i="6"/>
  <c r="E6936" i="6"/>
  <c r="E6940" i="6"/>
  <c r="E6944" i="6"/>
  <c r="E6948" i="6"/>
  <c r="E6952" i="6"/>
  <c r="E6956" i="6"/>
  <c r="E6960" i="6"/>
  <c r="E6964" i="6"/>
  <c r="E6968" i="6"/>
  <c r="E6972" i="6"/>
  <c r="E6976" i="6"/>
  <c r="E6980" i="6"/>
  <c r="E6984" i="6"/>
  <c r="E6988" i="6"/>
  <c r="E6992" i="6"/>
  <c r="E6996" i="6"/>
  <c r="E7000" i="6"/>
  <c r="E7004" i="6"/>
  <c r="E7008" i="6"/>
  <c r="E7012" i="6"/>
  <c r="E7016" i="6"/>
  <c r="E7020" i="6"/>
  <c r="E7024" i="6"/>
  <c r="E7028" i="6"/>
  <c r="E7032" i="6"/>
  <c r="E7036" i="6"/>
  <c r="E7040" i="6"/>
  <c r="E7044" i="6"/>
  <c r="E7048" i="6"/>
  <c r="E7052" i="6"/>
  <c r="E7056" i="6"/>
  <c r="E7060" i="6"/>
  <c r="E7064" i="6"/>
  <c r="E7068" i="6"/>
  <c r="E7072" i="6"/>
  <c r="E7076" i="6"/>
  <c r="E7080" i="6"/>
  <c r="E7084" i="6"/>
  <c r="E7088" i="6"/>
  <c r="E7092" i="6"/>
  <c r="E7096" i="6"/>
  <c r="E7100" i="6"/>
  <c r="E7104" i="6"/>
  <c r="E7108" i="6"/>
  <c r="E7112" i="6"/>
  <c r="E7116" i="6"/>
  <c r="E7120" i="6"/>
  <c r="E7124" i="6"/>
  <c r="E7128" i="6"/>
  <c r="E7132" i="6"/>
  <c r="E7136" i="6"/>
  <c r="E7140" i="6"/>
  <c r="E7144" i="6"/>
  <c r="E7148" i="6"/>
  <c r="E7152" i="6"/>
  <c r="E7156" i="6"/>
  <c r="E7160" i="6"/>
  <c r="E7164" i="6"/>
  <c r="E7168" i="6"/>
  <c r="E7172" i="6"/>
  <c r="E7176" i="6"/>
  <c r="E7180" i="6"/>
  <c r="E7184" i="6"/>
  <c r="E7188" i="6"/>
  <c r="E7192" i="6"/>
  <c r="E7196" i="6"/>
  <c r="E7200" i="6"/>
  <c r="E7204" i="6"/>
  <c r="E7208" i="6"/>
  <c r="E7212" i="6"/>
  <c r="E7216" i="6"/>
  <c r="E7220" i="6"/>
  <c r="E7224" i="6"/>
  <c r="E7228" i="6"/>
  <c r="E7232" i="6"/>
  <c r="E7236" i="6"/>
  <c r="E7240" i="6"/>
  <c r="E7244" i="6"/>
  <c r="E7248" i="6"/>
  <c r="E7252" i="6"/>
  <c r="E7256" i="6"/>
  <c r="E7260" i="6"/>
  <c r="E7264" i="6"/>
  <c r="E7268" i="6"/>
  <c r="E7272" i="6"/>
  <c r="E7276" i="6"/>
  <c r="E7280" i="6"/>
  <c r="E7284" i="6"/>
  <c r="E7288" i="6"/>
  <c r="E7292" i="6"/>
  <c r="E7296" i="6"/>
  <c r="E7300" i="6"/>
  <c r="E7304" i="6"/>
  <c r="E7308" i="6"/>
  <c r="E7312" i="6"/>
  <c r="E7316" i="6"/>
  <c r="E7320" i="6"/>
  <c r="E7324" i="6"/>
  <c r="E7328" i="6"/>
  <c r="E7332" i="6"/>
  <c r="E7336" i="6"/>
  <c r="E7340" i="6"/>
  <c r="E7344" i="6"/>
  <c r="E7348" i="6"/>
  <c r="E7352" i="6"/>
  <c r="E7356" i="6"/>
  <c r="E7360" i="6"/>
  <c r="E7364" i="6"/>
  <c r="E7368" i="6"/>
  <c r="E7372" i="6"/>
  <c r="E7376" i="6"/>
  <c r="E7380" i="6"/>
  <c r="E7384" i="6"/>
  <c r="E7388" i="6"/>
  <c r="E7392" i="6"/>
  <c r="E7396" i="6"/>
  <c r="E7400" i="6"/>
  <c r="E7404" i="6"/>
  <c r="E7408" i="6"/>
  <c r="E7412" i="6"/>
  <c r="E7416" i="6"/>
  <c r="E7420" i="6"/>
  <c r="E7424" i="6"/>
  <c r="E7428" i="6"/>
  <c r="E7432" i="6"/>
  <c r="E7436" i="6"/>
  <c r="E7440" i="6"/>
  <c r="E7444" i="6"/>
  <c r="E7448" i="6"/>
  <c r="E7452" i="6"/>
  <c r="E7456" i="6"/>
  <c r="E7460" i="6"/>
  <c r="E7464" i="6"/>
  <c r="E7468" i="6"/>
  <c r="E7472" i="6"/>
  <c r="E7476" i="6"/>
  <c r="E7480" i="6"/>
  <c r="E7484" i="6"/>
  <c r="E7488" i="6"/>
  <c r="E7492" i="6"/>
  <c r="E7496" i="6"/>
  <c r="E7500" i="6"/>
  <c r="E7504" i="6"/>
  <c r="E7508" i="6"/>
  <c r="E7512" i="6"/>
  <c r="E7516" i="6"/>
  <c r="E7520" i="6"/>
  <c r="E7524" i="6"/>
  <c r="E7528" i="6"/>
  <c r="E7532" i="6"/>
  <c r="E7536" i="6"/>
  <c r="E7540" i="6"/>
  <c r="E7544" i="6"/>
  <c r="E7548" i="6"/>
  <c r="E7552" i="6"/>
  <c r="E7556" i="6"/>
  <c r="E7560" i="6"/>
  <c r="E7564" i="6"/>
  <c r="E7568" i="6"/>
  <c r="E7572" i="6"/>
  <c r="E7576" i="6"/>
  <c r="E7580" i="6"/>
  <c r="E7584" i="6"/>
  <c r="E7588" i="6"/>
  <c r="E7592" i="6"/>
  <c r="E7596" i="6"/>
  <c r="E7600" i="6"/>
  <c r="E7604" i="6"/>
  <c r="E7608" i="6"/>
  <c r="E7612" i="6"/>
  <c r="E7616" i="6"/>
  <c r="E7620" i="6"/>
  <c r="E7624" i="6"/>
  <c r="E7628" i="6"/>
  <c r="E7632" i="6"/>
  <c r="E7636" i="6"/>
  <c r="E7640" i="6"/>
  <c r="E7644" i="6"/>
  <c r="E7648" i="6"/>
  <c r="E7652" i="6"/>
  <c r="E7656" i="6"/>
  <c r="E7660" i="6"/>
  <c r="E7664" i="6"/>
  <c r="E7668" i="6"/>
  <c r="E7672" i="6"/>
  <c r="E7676" i="6"/>
  <c r="E7680" i="6"/>
  <c r="E7684" i="6"/>
  <c r="E7688" i="6"/>
  <c r="E7692" i="6"/>
  <c r="E7696" i="6"/>
  <c r="E7700" i="6"/>
  <c r="E7704" i="6"/>
  <c r="E7708" i="6"/>
  <c r="E7712" i="6"/>
  <c r="E7716" i="6"/>
  <c r="E7720" i="6"/>
  <c r="E7724" i="6"/>
  <c r="E7728" i="6"/>
  <c r="E7732" i="6"/>
  <c r="E7736" i="6"/>
  <c r="E7740" i="6"/>
  <c r="E7744" i="6"/>
  <c r="E7748" i="6"/>
  <c r="E7752" i="6"/>
  <c r="E7756" i="6"/>
  <c r="E7760" i="6"/>
  <c r="E7764" i="6"/>
  <c r="E7768" i="6"/>
  <c r="E7772" i="6"/>
  <c r="E7776" i="6"/>
  <c r="E7780" i="6"/>
  <c r="E7784" i="6"/>
  <c r="E7788" i="6"/>
  <c r="E7792" i="6"/>
  <c r="E7796" i="6"/>
  <c r="E7800" i="6"/>
  <c r="E7804" i="6"/>
  <c r="E7808" i="6"/>
  <c r="E7812" i="6"/>
  <c r="E7816" i="6"/>
  <c r="E7820" i="6"/>
  <c r="E7824" i="6"/>
  <c r="E7828" i="6"/>
  <c r="E7832" i="6"/>
  <c r="E7836" i="6"/>
  <c r="E7840" i="6"/>
  <c r="E7844" i="6"/>
  <c r="E7848" i="6"/>
  <c r="E7852" i="6"/>
  <c r="E7856" i="6"/>
  <c r="E7860" i="6"/>
  <c r="E7864" i="6"/>
  <c r="E7868" i="6"/>
  <c r="E7872" i="6"/>
  <c r="E7876" i="6"/>
  <c r="E7880" i="6"/>
  <c r="E7884" i="6"/>
  <c r="E7888" i="6"/>
  <c r="E7892" i="6"/>
  <c r="E7896" i="6"/>
  <c r="E7900" i="6"/>
  <c r="E7904" i="6"/>
  <c r="E7908" i="6"/>
  <c r="E7912" i="6"/>
  <c r="E7916" i="6"/>
  <c r="E7920" i="6"/>
  <c r="E7924" i="6"/>
  <c r="E7928" i="6"/>
  <c r="E7932" i="6"/>
  <c r="E7936" i="6"/>
  <c r="E7940" i="6"/>
  <c r="E7944" i="6"/>
  <c r="E7948" i="6"/>
  <c r="E7952" i="6"/>
  <c r="E7956" i="6"/>
  <c r="E7960" i="6"/>
  <c r="E7964" i="6"/>
  <c r="E7968" i="6"/>
  <c r="E7972" i="6"/>
  <c r="E7976" i="6"/>
  <c r="E7980" i="6"/>
  <c r="E7984" i="6"/>
  <c r="E7988" i="6"/>
  <c r="E7992" i="6"/>
  <c r="E7996" i="6"/>
  <c r="E8000" i="6"/>
  <c r="E8004" i="6"/>
  <c r="E8008" i="6"/>
  <c r="E8012" i="6"/>
  <c r="E8016" i="6"/>
  <c r="E8020" i="6"/>
  <c r="E8024" i="6"/>
  <c r="E8028" i="6"/>
  <c r="E8032" i="6"/>
  <c r="E8036" i="6"/>
  <c r="E8040" i="6"/>
  <c r="E8044" i="6"/>
  <c r="E8048" i="6"/>
  <c r="E8052" i="6"/>
  <c r="E8056" i="6"/>
  <c r="E8060" i="6"/>
  <c r="E8064" i="6"/>
  <c r="E8068" i="6"/>
  <c r="E8072" i="6"/>
  <c r="E8076" i="6"/>
  <c r="E8080" i="6"/>
  <c r="E8084" i="6"/>
  <c r="E8088" i="6"/>
  <c r="E8092" i="6"/>
  <c r="E8096" i="6"/>
  <c r="E8100" i="6"/>
  <c r="E8104" i="6"/>
  <c r="E8108" i="6"/>
  <c r="E8112" i="6"/>
  <c r="E8116" i="6"/>
  <c r="E8120" i="6"/>
  <c r="E8124" i="6"/>
  <c r="E8128" i="6"/>
  <c r="E8132" i="6"/>
  <c r="E8136" i="6"/>
  <c r="E6694" i="6"/>
  <c r="E6704" i="6"/>
  <c r="E6712" i="6"/>
  <c r="E6720" i="6"/>
  <c r="E6728" i="6"/>
  <c r="E6736" i="6"/>
  <c r="E6744" i="6"/>
  <c r="E6752" i="6"/>
  <c r="E6760" i="6"/>
  <c r="E6768" i="6"/>
  <c r="E6776" i="6"/>
  <c r="E6784" i="6"/>
  <c r="E6792" i="6"/>
  <c r="E6800" i="6"/>
  <c r="E6808" i="6"/>
  <c r="E6816" i="6"/>
  <c r="E6824" i="6"/>
  <c r="E6832" i="6"/>
  <c r="E6840" i="6"/>
  <c r="E6848" i="6"/>
  <c r="E6853" i="6"/>
  <c r="E6857" i="6"/>
  <c r="E6861" i="6"/>
  <c r="E6865" i="6"/>
  <c r="E6869" i="6"/>
  <c r="E6873" i="6"/>
  <c r="E6877" i="6"/>
  <c r="E6881" i="6"/>
  <c r="E6885" i="6"/>
  <c r="E6889" i="6"/>
  <c r="E6893" i="6"/>
  <c r="E6897" i="6"/>
  <c r="E6901" i="6"/>
  <c r="E6905" i="6"/>
  <c r="E6909" i="6"/>
  <c r="E6913" i="6"/>
  <c r="E6917" i="6"/>
  <c r="E6921" i="6"/>
  <c r="E6925" i="6"/>
  <c r="E6929" i="6"/>
  <c r="E6933" i="6"/>
  <c r="E6937" i="6"/>
  <c r="E6941" i="6"/>
  <c r="E6945" i="6"/>
  <c r="E6949" i="6"/>
  <c r="E6953" i="6"/>
  <c r="E6957" i="6"/>
  <c r="E6961" i="6"/>
  <c r="E6965" i="6"/>
  <c r="E6969" i="6"/>
  <c r="E6973" i="6"/>
  <c r="E6977" i="6"/>
  <c r="E6981" i="6"/>
  <c r="E6985" i="6"/>
  <c r="E6989" i="6"/>
  <c r="E6993" i="6"/>
  <c r="E6997" i="6"/>
  <c r="E7001" i="6"/>
  <c r="E7005" i="6"/>
  <c r="E7009" i="6"/>
  <c r="E7013" i="6"/>
  <c r="E7017" i="6"/>
  <c r="E7021" i="6"/>
  <c r="E7025" i="6"/>
  <c r="E7029" i="6"/>
  <c r="E7033" i="6"/>
  <c r="E7037" i="6"/>
  <c r="E7041" i="6"/>
  <c r="E7045" i="6"/>
  <c r="E7049" i="6"/>
  <c r="E7053" i="6"/>
  <c r="E7057" i="6"/>
  <c r="E7061" i="6"/>
  <c r="E7065" i="6"/>
  <c r="E7069" i="6"/>
  <c r="E7073" i="6"/>
  <c r="E7077" i="6"/>
  <c r="E7081" i="6"/>
  <c r="E7085" i="6"/>
  <c r="E7089" i="6"/>
  <c r="E7093" i="6"/>
  <c r="E7097" i="6"/>
  <c r="E7101" i="6"/>
  <c r="E7105" i="6"/>
  <c r="E7109" i="6"/>
  <c r="E7113" i="6"/>
  <c r="E7117" i="6"/>
  <c r="E7121" i="6"/>
  <c r="E7125" i="6"/>
  <c r="E7129" i="6"/>
  <c r="E7133" i="6"/>
  <c r="E7137" i="6"/>
  <c r="E7141" i="6"/>
  <c r="E7145" i="6"/>
  <c r="E7149" i="6"/>
  <c r="E7153" i="6"/>
  <c r="E7157" i="6"/>
  <c r="E7161" i="6"/>
  <c r="E7165" i="6"/>
  <c r="E7169" i="6"/>
  <c r="E7173" i="6"/>
  <c r="E7177" i="6"/>
  <c r="E7181" i="6"/>
  <c r="E7185" i="6"/>
  <c r="E7189" i="6"/>
  <c r="E7193" i="6"/>
  <c r="E7197" i="6"/>
  <c r="E7201" i="6"/>
  <c r="E7205" i="6"/>
  <c r="E7209" i="6"/>
  <c r="E7213" i="6"/>
  <c r="E7217" i="6"/>
  <c r="E7221" i="6"/>
  <c r="E7225" i="6"/>
  <c r="E7229" i="6"/>
  <c r="E7233" i="6"/>
  <c r="E7237" i="6"/>
  <c r="E7241" i="6"/>
  <c r="E7245" i="6"/>
  <c r="E7249" i="6"/>
  <c r="E7253" i="6"/>
  <c r="E7257" i="6"/>
  <c r="E7261" i="6"/>
  <c r="E7265" i="6"/>
  <c r="E7269" i="6"/>
  <c r="E7273" i="6"/>
  <c r="E7277" i="6"/>
  <c r="E7281" i="6"/>
  <c r="E7285" i="6"/>
  <c r="E7289" i="6"/>
  <c r="E7293" i="6"/>
  <c r="E7297" i="6"/>
  <c r="E7301" i="6"/>
  <c r="E7305" i="6"/>
  <c r="E7309" i="6"/>
  <c r="E7313" i="6"/>
  <c r="E7317" i="6"/>
  <c r="E7321" i="6"/>
  <c r="E7325" i="6"/>
  <c r="E7329" i="6"/>
  <c r="E7333" i="6"/>
  <c r="E7337" i="6"/>
  <c r="E7341" i="6"/>
  <c r="E7345" i="6"/>
  <c r="E7349" i="6"/>
  <c r="E7353" i="6"/>
  <c r="E7357" i="6"/>
  <c r="E7361" i="6"/>
  <c r="E7365" i="6"/>
  <c r="E7369" i="6"/>
  <c r="E7373" i="6"/>
  <c r="E7377" i="6"/>
  <c r="E7381" i="6"/>
  <c r="E7385" i="6"/>
  <c r="E7389" i="6"/>
  <c r="E7393" i="6"/>
  <c r="E7397" i="6"/>
  <c r="E7401" i="6"/>
  <c r="E7405" i="6"/>
  <c r="E7409" i="6"/>
  <c r="E7413" i="6"/>
  <c r="E7417" i="6"/>
  <c r="E7421" i="6"/>
  <c r="E7425" i="6"/>
  <c r="E7429" i="6"/>
  <c r="E7433" i="6"/>
  <c r="E7437" i="6"/>
  <c r="E7441" i="6"/>
  <c r="E7445" i="6"/>
  <c r="E7449" i="6"/>
  <c r="E7453" i="6"/>
  <c r="E7457" i="6"/>
  <c r="E7461" i="6"/>
  <c r="E7465" i="6"/>
  <c r="E7469" i="6"/>
  <c r="E7473" i="6"/>
  <c r="E7477" i="6"/>
  <c r="E7481" i="6"/>
  <c r="E7485" i="6"/>
  <c r="E7489" i="6"/>
  <c r="E7493" i="6"/>
  <c r="E7497" i="6"/>
  <c r="E7501" i="6"/>
  <c r="E7505" i="6"/>
  <c r="E7509" i="6"/>
  <c r="E7513" i="6"/>
  <c r="E7517" i="6"/>
  <c r="E7521" i="6"/>
  <c r="E7525" i="6"/>
  <c r="E7529" i="6"/>
  <c r="E7533" i="6"/>
  <c r="E7537" i="6"/>
  <c r="E7541" i="6"/>
  <c r="E7545" i="6"/>
  <c r="E7549" i="6"/>
  <c r="E7553" i="6"/>
  <c r="E7557" i="6"/>
  <c r="E7561" i="6"/>
  <c r="E7565" i="6"/>
  <c r="E7569" i="6"/>
  <c r="E7573" i="6"/>
  <c r="E7577" i="6"/>
  <c r="E7581" i="6"/>
  <c r="E7585" i="6"/>
  <c r="E7589" i="6"/>
  <c r="E7593" i="6"/>
  <c r="E7597" i="6"/>
  <c r="E7601" i="6"/>
  <c r="E7605" i="6"/>
  <c r="E7609" i="6"/>
  <c r="E7613" i="6"/>
  <c r="E7617" i="6"/>
  <c r="E7621" i="6"/>
  <c r="E7625" i="6"/>
  <c r="E7629" i="6"/>
  <c r="E7633" i="6"/>
  <c r="E7637" i="6"/>
  <c r="E7641" i="6"/>
  <c r="E7645" i="6"/>
  <c r="E7649" i="6"/>
  <c r="E7653" i="6"/>
  <c r="E7657" i="6"/>
  <c r="E7661" i="6"/>
  <c r="E7665" i="6"/>
  <c r="E7669" i="6"/>
  <c r="E7673" i="6"/>
  <c r="E7677" i="6"/>
  <c r="E7681" i="6"/>
  <c r="E7685" i="6"/>
  <c r="E7689" i="6"/>
  <c r="E7693" i="6"/>
  <c r="E7697" i="6"/>
  <c r="E7701" i="6"/>
  <c r="E7705" i="6"/>
  <c r="E7709" i="6"/>
  <c r="E7713" i="6"/>
  <c r="E7717" i="6"/>
  <c r="E7721" i="6"/>
  <c r="E7725" i="6"/>
  <c r="E7729" i="6"/>
  <c r="E7733" i="6"/>
  <c r="E7737" i="6"/>
  <c r="E7741" i="6"/>
  <c r="E7745" i="6"/>
  <c r="E7749" i="6"/>
  <c r="E7753" i="6"/>
  <c r="E7757" i="6"/>
  <c r="E7761" i="6"/>
  <c r="E7765" i="6"/>
  <c r="E7769" i="6"/>
  <c r="E7773" i="6"/>
  <c r="E7777" i="6"/>
  <c r="E7781" i="6"/>
  <c r="E7785" i="6"/>
  <c r="E7789" i="6"/>
  <c r="E7793" i="6"/>
  <c r="E7797" i="6"/>
  <c r="E7801" i="6"/>
  <c r="E7805" i="6"/>
  <c r="E7809" i="6"/>
  <c r="E7813" i="6"/>
  <c r="E7817" i="6"/>
  <c r="E7821" i="6"/>
  <c r="E7825" i="6"/>
  <c r="E7829" i="6"/>
  <c r="E7833" i="6"/>
  <c r="E7837" i="6"/>
  <c r="E7841" i="6"/>
  <c r="E7845" i="6"/>
  <c r="E7849" i="6"/>
  <c r="E7853" i="6"/>
  <c r="E7857" i="6"/>
  <c r="E7861" i="6"/>
  <c r="E7865" i="6"/>
  <c r="E7869" i="6"/>
  <c r="E7873" i="6"/>
  <c r="E7877" i="6"/>
  <c r="E7881" i="6"/>
  <c r="E7885" i="6"/>
  <c r="E7889" i="6"/>
  <c r="E7893" i="6"/>
  <c r="E7897" i="6"/>
  <c r="E7901" i="6"/>
  <c r="E7905" i="6"/>
  <c r="E7909" i="6"/>
  <c r="E7913" i="6"/>
  <c r="E7917" i="6"/>
  <c r="E7921" i="6"/>
  <c r="E7925" i="6"/>
  <c r="E7929" i="6"/>
  <c r="E7933" i="6"/>
  <c r="E7937" i="6"/>
  <c r="E7941" i="6"/>
  <c r="E7945" i="6"/>
  <c r="E7949" i="6"/>
  <c r="E7953" i="6"/>
  <c r="E7957" i="6"/>
  <c r="E7961" i="6"/>
  <c r="E7965" i="6"/>
  <c r="E7969" i="6"/>
  <c r="E7973" i="6"/>
  <c r="E7977" i="6"/>
  <c r="E7981" i="6"/>
  <c r="E7985" i="6"/>
  <c r="E7989" i="6"/>
  <c r="E7993" i="6"/>
  <c r="E7997" i="6"/>
  <c r="E8001" i="6"/>
  <c r="E8005" i="6"/>
  <c r="E8009" i="6"/>
  <c r="E8013" i="6"/>
  <c r="E8017" i="6"/>
  <c r="E8021" i="6"/>
  <c r="E8025" i="6"/>
  <c r="E8029" i="6"/>
  <c r="E8033" i="6"/>
  <c r="E8037" i="6"/>
  <c r="E8041" i="6"/>
  <c r="E8045" i="6"/>
  <c r="E8049" i="6"/>
  <c r="E8053" i="6"/>
  <c r="E8057" i="6"/>
  <c r="E8061" i="6"/>
  <c r="E8065" i="6"/>
  <c r="E8069" i="6"/>
  <c r="E8073" i="6"/>
  <c r="E8077" i="6"/>
  <c r="E8081" i="6"/>
  <c r="E8085" i="6"/>
  <c r="E8089" i="6"/>
  <c r="E8093" i="6"/>
  <c r="E8097" i="6"/>
  <c r="E8101" i="6"/>
  <c r="E8105" i="6"/>
  <c r="E8109" i="6"/>
  <c r="E8113" i="6"/>
  <c r="E8117" i="6"/>
  <c r="E8121" i="6"/>
  <c r="E8125" i="6"/>
  <c r="E8129" i="6"/>
  <c r="E8133" i="6"/>
  <c r="E8138" i="6"/>
  <c r="E8143" i="6"/>
  <c r="E8147" i="6"/>
  <c r="E8151" i="6"/>
  <c r="E8155" i="6"/>
  <c r="E8159" i="6"/>
  <c r="E8163" i="6"/>
  <c r="E8167" i="6"/>
  <c r="E8171" i="6"/>
  <c r="E8175" i="6"/>
  <c r="E8179" i="6"/>
  <c r="E8183" i="6"/>
  <c r="E8187" i="6"/>
  <c r="E8191" i="6"/>
  <c r="E8195" i="6"/>
  <c r="E8199" i="6"/>
  <c r="E8203" i="6"/>
  <c r="E8207" i="6"/>
  <c r="E8211" i="6"/>
  <c r="E8215" i="6"/>
  <c r="E8219" i="6"/>
  <c r="E8223" i="6"/>
  <c r="E8227" i="6"/>
  <c r="E8231" i="6"/>
  <c r="E8235" i="6"/>
  <c r="E8239" i="6"/>
  <c r="E8243" i="6"/>
  <c r="E8247" i="6"/>
  <c r="E8251" i="6"/>
  <c r="E8255" i="6"/>
  <c r="E8259" i="6"/>
  <c r="E8263" i="6"/>
  <c r="E8267" i="6"/>
  <c r="E8271" i="6"/>
  <c r="E8275" i="6"/>
  <c r="E8279" i="6"/>
  <c r="E8283" i="6"/>
  <c r="E8287" i="6"/>
  <c r="E8291" i="6"/>
  <c r="E8295" i="6"/>
  <c r="E8299" i="6"/>
  <c r="E8303" i="6"/>
  <c r="E8307" i="6"/>
  <c r="E8311" i="6"/>
  <c r="E8315" i="6"/>
  <c r="E8319" i="6"/>
  <c r="E8323" i="6"/>
  <c r="E8327" i="6"/>
  <c r="E8331" i="6"/>
  <c r="E8335" i="6"/>
  <c r="E8339" i="6"/>
  <c r="E8343" i="6"/>
  <c r="E8347" i="6"/>
  <c r="E8351" i="6"/>
  <c r="E8355" i="6"/>
  <c r="E8359" i="6"/>
  <c r="E8363" i="6"/>
  <c r="E8367" i="6"/>
  <c r="E8371" i="6"/>
  <c r="E8375" i="6"/>
  <c r="E8379" i="6"/>
  <c r="E8383" i="6"/>
  <c r="E8387" i="6"/>
  <c r="E8391" i="6"/>
  <c r="E8395" i="6"/>
  <c r="E8399" i="6"/>
  <c r="E8403" i="6"/>
  <c r="E8407" i="6"/>
  <c r="E8411" i="6"/>
  <c r="E8415" i="6"/>
  <c r="E8419" i="6"/>
  <c r="E8423" i="6"/>
  <c r="E8427" i="6"/>
  <c r="E8431" i="6"/>
  <c r="E8435" i="6"/>
  <c r="E8439" i="6"/>
  <c r="E8443" i="6"/>
  <c r="E8447" i="6"/>
  <c r="E8451" i="6"/>
  <c r="E8455" i="6"/>
  <c r="E8459" i="6"/>
  <c r="E8463" i="6"/>
  <c r="E8467" i="6"/>
  <c r="E8471" i="6"/>
  <c r="E8475" i="6"/>
  <c r="E8479" i="6"/>
  <c r="E8483" i="6"/>
  <c r="E8487" i="6"/>
  <c r="E8491" i="6"/>
  <c r="E8495" i="6"/>
  <c r="E8499" i="6"/>
  <c r="E8503" i="6"/>
  <c r="E8507" i="6"/>
  <c r="E8511" i="6"/>
  <c r="E8515" i="6"/>
  <c r="E8519" i="6"/>
  <c r="E8523" i="6"/>
  <c r="E8527" i="6"/>
  <c r="E8531" i="6"/>
  <c r="E8535" i="6"/>
  <c r="E8539" i="6"/>
  <c r="E8543" i="6"/>
  <c r="E8547" i="6"/>
  <c r="E8551" i="6"/>
  <c r="E8555" i="6"/>
  <c r="E8559" i="6"/>
  <c r="E8563" i="6"/>
  <c r="E8567" i="6"/>
  <c r="E8571" i="6"/>
  <c r="E8575" i="6"/>
  <c r="E8579" i="6"/>
  <c r="E8583" i="6"/>
  <c r="E8587" i="6"/>
  <c r="E8591" i="6"/>
  <c r="E8595" i="6"/>
  <c r="E8599" i="6"/>
  <c r="E8603" i="6"/>
  <c r="E8607" i="6"/>
  <c r="E8611" i="6"/>
  <c r="E8615" i="6"/>
  <c r="E8619" i="6"/>
  <c r="E8623" i="6"/>
  <c r="E8627" i="6"/>
  <c r="E8631" i="6"/>
  <c r="E8635" i="6"/>
  <c r="E8639" i="6"/>
  <c r="E8643" i="6"/>
  <c r="E8647" i="6"/>
  <c r="E8651" i="6"/>
  <c r="E8655" i="6"/>
  <c r="E8659" i="6"/>
  <c r="E8663" i="6"/>
  <c r="E8667" i="6"/>
  <c r="E8671" i="6"/>
  <c r="E8675" i="6"/>
  <c r="E8679" i="6"/>
  <c r="E8683" i="6"/>
  <c r="E8687" i="6"/>
  <c r="E8691" i="6"/>
  <c r="E8695" i="6"/>
  <c r="E8699" i="6"/>
  <c r="E8703" i="6"/>
  <c r="E8707" i="6"/>
  <c r="E8711" i="6"/>
  <c r="E8715" i="6"/>
  <c r="E8719" i="6"/>
  <c r="E8723" i="6"/>
  <c r="E8727" i="6"/>
  <c r="E8731" i="6"/>
  <c r="E8735" i="6"/>
  <c r="E8739" i="6"/>
  <c r="E8743" i="6"/>
  <c r="E8747" i="6"/>
  <c r="E8751" i="6"/>
  <c r="E8755" i="6"/>
  <c r="E8759" i="6"/>
  <c r="E8763" i="6"/>
  <c r="E8767" i="6"/>
  <c r="E8771" i="6"/>
  <c r="E8775" i="6"/>
  <c r="E8779" i="6"/>
  <c r="E8783" i="6"/>
  <c r="E8787" i="6"/>
  <c r="E8791" i="6"/>
  <c r="E8795" i="6"/>
  <c r="E8799" i="6"/>
  <c r="E8803" i="6"/>
  <c r="E8807" i="6"/>
  <c r="E8811" i="6"/>
  <c r="E8815" i="6"/>
  <c r="E8819" i="6"/>
  <c r="E8823" i="6"/>
  <c r="E8827" i="6"/>
  <c r="E8831" i="6"/>
  <c r="E8835" i="6"/>
  <c r="E8839" i="6"/>
  <c r="E8843" i="6"/>
  <c r="E8847" i="6"/>
  <c r="E8851" i="6"/>
  <c r="E8855" i="6"/>
  <c r="E8859" i="6"/>
  <c r="E8863" i="6"/>
  <c r="E8867" i="6"/>
  <c r="E8871" i="6"/>
  <c r="E8875" i="6"/>
  <c r="E8879" i="6"/>
  <c r="E8883" i="6"/>
  <c r="E8887" i="6"/>
  <c r="E8891" i="6"/>
  <c r="E8895" i="6"/>
  <c r="E8899" i="6"/>
  <c r="E8903" i="6"/>
  <c r="E8907" i="6"/>
  <c r="E8911" i="6"/>
  <c r="E8915" i="6"/>
  <c r="E8919" i="6"/>
  <c r="E8923" i="6"/>
  <c r="E8927" i="6"/>
  <c r="E8931" i="6"/>
  <c r="E8935" i="6"/>
  <c r="E8939" i="6"/>
  <c r="E8943" i="6"/>
  <c r="E8947" i="6"/>
  <c r="E8951" i="6"/>
  <c r="E8955" i="6"/>
  <c r="E8959" i="6"/>
  <c r="E8963" i="6"/>
  <c r="E8967" i="6"/>
  <c r="E8971" i="6"/>
  <c r="E8975" i="6"/>
  <c r="E8979" i="6"/>
  <c r="E8983" i="6"/>
  <c r="E8987" i="6"/>
  <c r="E8991" i="6"/>
  <c r="E8995" i="6"/>
  <c r="E8999" i="6"/>
  <c r="E9003" i="6"/>
  <c r="E9007" i="6"/>
  <c r="E9011" i="6"/>
  <c r="E9015" i="6"/>
  <c r="E9019" i="6"/>
  <c r="E9023" i="6"/>
  <c r="E9027" i="6"/>
  <c r="E9031" i="6"/>
  <c r="E9035" i="6"/>
  <c r="E9039" i="6"/>
  <c r="E9043" i="6"/>
  <c r="E9047" i="6"/>
  <c r="E9051" i="6"/>
  <c r="E9055" i="6"/>
  <c r="E9059" i="6"/>
  <c r="E9063" i="6"/>
  <c r="E9067" i="6"/>
  <c r="E9071" i="6"/>
  <c r="E9075" i="6"/>
  <c r="E9079" i="6"/>
  <c r="E9083" i="6"/>
  <c r="E9087" i="6"/>
  <c r="E9091" i="6"/>
  <c r="E9095" i="6"/>
  <c r="E9099" i="6"/>
  <c r="E9103" i="6"/>
  <c r="E9107" i="6"/>
  <c r="E9111" i="6"/>
  <c r="E9115" i="6"/>
  <c r="E9119" i="6"/>
  <c r="E9123" i="6"/>
  <c r="E9127" i="6"/>
  <c r="E9131" i="6"/>
  <c r="E9135" i="6"/>
  <c r="E9139" i="6"/>
  <c r="E9143" i="6"/>
  <c r="E9147" i="6"/>
  <c r="E9151" i="6"/>
  <c r="E9155" i="6"/>
  <c r="E9159" i="6"/>
  <c r="E9163" i="6"/>
  <c r="E9167" i="6"/>
  <c r="E9171" i="6"/>
  <c r="E9175" i="6"/>
  <c r="E9179" i="6"/>
  <c r="E9183" i="6"/>
  <c r="E9187" i="6"/>
  <c r="E9191" i="6"/>
  <c r="E9195" i="6"/>
  <c r="E9199" i="6"/>
  <c r="E9203" i="6"/>
  <c r="E9207" i="6"/>
  <c r="E9211" i="6"/>
  <c r="E9215" i="6"/>
  <c r="E9219" i="6"/>
  <c r="E9223" i="6"/>
  <c r="E9227" i="6"/>
  <c r="E9231" i="6"/>
  <c r="E9235" i="6"/>
  <c r="E9239" i="6"/>
  <c r="E9243" i="6"/>
  <c r="E9247" i="6"/>
  <c r="E9251" i="6"/>
  <c r="E9255" i="6"/>
  <c r="E9259" i="6"/>
  <c r="E9263" i="6"/>
  <c r="E9267" i="6"/>
  <c r="E9271" i="6"/>
  <c r="E9275" i="6"/>
  <c r="E9279" i="6"/>
  <c r="E9283" i="6"/>
  <c r="E9287" i="6"/>
  <c r="E9291" i="6"/>
  <c r="E9295" i="6"/>
  <c r="E9299" i="6"/>
  <c r="E9303" i="6"/>
  <c r="E9307" i="6"/>
  <c r="E9311" i="6"/>
  <c r="E9315" i="6"/>
  <c r="E9319" i="6"/>
  <c r="E9323" i="6"/>
  <c r="E9327" i="6"/>
  <c r="E9331" i="6"/>
  <c r="E9335" i="6"/>
  <c r="E9339" i="6"/>
  <c r="E9343" i="6"/>
  <c r="E9347" i="6"/>
  <c r="E9351" i="6"/>
  <c r="E9355" i="6"/>
  <c r="E9359" i="6"/>
  <c r="E9363" i="6"/>
  <c r="E9367" i="6"/>
  <c r="E9371" i="6"/>
  <c r="E9375" i="6"/>
  <c r="E9379" i="6"/>
  <c r="E9383" i="6"/>
  <c r="E9387" i="6"/>
  <c r="E9391" i="6"/>
  <c r="E9395" i="6"/>
  <c r="E9399" i="6"/>
  <c r="E9403" i="6"/>
  <c r="E9407" i="6"/>
  <c r="E9411" i="6"/>
  <c r="E9415" i="6"/>
  <c r="E9419" i="6"/>
  <c r="E9423" i="6"/>
  <c r="E9427" i="6"/>
  <c r="E9431" i="6"/>
  <c r="E9435" i="6"/>
  <c r="E9439" i="6"/>
  <c r="E9443" i="6"/>
  <c r="E9447" i="6"/>
  <c r="E9451" i="6"/>
  <c r="E9455" i="6"/>
  <c r="E9459" i="6"/>
  <c r="E9463" i="6"/>
  <c r="E9467" i="6"/>
  <c r="E9471" i="6"/>
  <c r="E9475" i="6"/>
  <c r="E9479" i="6"/>
  <c r="E9483" i="6"/>
  <c r="E9487" i="6"/>
  <c r="E9491" i="6"/>
  <c r="E9495" i="6"/>
  <c r="E9499" i="6"/>
  <c r="E9503" i="6"/>
  <c r="E9507" i="6"/>
  <c r="E9511" i="6"/>
  <c r="E9515" i="6"/>
  <c r="E9519" i="6"/>
  <c r="E9523" i="6"/>
  <c r="E9527" i="6"/>
  <c r="E9531" i="6"/>
  <c r="E9535" i="6"/>
  <c r="E9539" i="6"/>
  <c r="E9543" i="6"/>
  <c r="E9547" i="6"/>
  <c r="E9551" i="6"/>
  <c r="E9555" i="6"/>
  <c r="E9559" i="6"/>
  <c r="E9563" i="6"/>
  <c r="E9567" i="6"/>
  <c r="E9571" i="6"/>
  <c r="E9575" i="6"/>
  <c r="E9579" i="6"/>
  <c r="E9583" i="6"/>
  <c r="E9587" i="6"/>
  <c r="E9591" i="6"/>
  <c r="E9595" i="6"/>
  <c r="E9599" i="6"/>
  <c r="E9603" i="6"/>
  <c r="E9607" i="6"/>
  <c r="E9611" i="6"/>
  <c r="E9615" i="6"/>
  <c r="E9619" i="6"/>
  <c r="E9623" i="6"/>
  <c r="E9627" i="6"/>
  <c r="E9631" i="6"/>
  <c r="E9635" i="6"/>
  <c r="E9639" i="6"/>
  <c r="E9643" i="6"/>
  <c r="E9647" i="6"/>
  <c r="E9651" i="6"/>
  <c r="E9655" i="6"/>
  <c r="E9659" i="6"/>
  <c r="E9663" i="6"/>
  <c r="E9667" i="6"/>
  <c r="E9671" i="6"/>
  <c r="E9675" i="6"/>
  <c r="E9679" i="6"/>
  <c r="E9683" i="6"/>
  <c r="E9687" i="6"/>
  <c r="E9691" i="6"/>
  <c r="E9695" i="6"/>
  <c r="E9699" i="6"/>
  <c r="E9703" i="6"/>
  <c r="E9707" i="6"/>
  <c r="E9711" i="6"/>
  <c r="E9715" i="6"/>
  <c r="E9719" i="6"/>
  <c r="E9723" i="6"/>
  <c r="E9727" i="6"/>
  <c r="E9731" i="6"/>
  <c r="E9735" i="6"/>
  <c r="E9739" i="6"/>
  <c r="E9743" i="6"/>
  <c r="E9747" i="6"/>
  <c r="E9751" i="6"/>
  <c r="E9755" i="6"/>
  <c r="E9759" i="6"/>
  <c r="E9763" i="6"/>
  <c r="E9767" i="6"/>
  <c r="E9771" i="6"/>
  <c r="E9775" i="6"/>
  <c r="E9779" i="6"/>
  <c r="E9783" i="6"/>
  <c r="E9787" i="6"/>
  <c r="E9791" i="6"/>
  <c r="E9795" i="6"/>
  <c r="E9799" i="6"/>
  <c r="E9803" i="6"/>
  <c r="E9807" i="6"/>
  <c r="E9811" i="6"/>
  <c r="E9815" i="6"/>
  <c r="E9819" i="6"/>
  <c r="E9823" i="6"/>
  <c r="E9827" i="6"/>
  <c r="E9831" i="6"/>
  <c r="E9835" i="6"/>
  <c r="E9839" i="6"/>
  <c r="E9843" i="6"/>
  <c r="E9847" i="6"/>
  <c r="E9851" i="6"/>
  <c r="E9855" i="6"/>
  <c r="E9859" i="6"/>
  <c r="E9863" i="6"/>
  <c r="E9867" i="6"/>
  <c r="E9871" i="6"/>
  <c r="E9875" i="6"/>
  <c r="E9879" i="6"/>
  <c r="E9883" i="6"/>
  <c r="E9887" i="6"/>
  <c r="E9891" i="6"/>
  <c r="E9895" i="6"/>
  <c r="E9899" i="6"/>
  <c r="E9903" i="6"/>
  <c r="E9907" i="6"/>
  <c r="E9911" i="6"/>
  <c r="E9915" i="6"/>
  <c r="E9919" i="6"/>
  <c r="E9923" i="6"/>
  <c r="E9927" i="6"/>
  <c r="E9931" i="6"/>
  <c r="E9935" i="6"/>
  <c r="E9939" i="6"/>
  <c r="E9943" i="6"/>
  <c r="E9947" i="6"/>
  <c r="E9951" i="6"/>
  <c r="E9955" i="6"/>
  <c r="E9959" i="6"/>
  <c r="E9963" i="6"/>
  <c r="E9967" i="6"/>
  <c r="E9971" i="6"/>
  <c r="E9975" i="6"/>
  <c r="E9979" i="6"/>
  <c r="E9983" i="6"/>
  <c r="E9987" i="6"/>
  <c r="E9991" i="6"/>
  <c r="E9995" i="6"/>
  <c r="E345" i="6"/>
  <c r="E8140" i="6"/>
  <c r="E8144" i="6"/>
  <c r="E8148" i="6"/>
  <c r="E8152" i="6"/>
  <c r="E8156" i="6"/>
  <c r="E8160" i="6"/>
  <c r="E8164" i="6"/>
  <c r="E8168" i="6"/>
  <c r="E8172" i="6"/>
  <c r="E8176" i="6"/>
  <c r="E8180" i="6"/>
  <c r="E8184" i="6"/>
  <c r="E8188" i="6"/>
  <c r="E8192" i="6"/>
  <c r="E8196" i="6"/>
  <c r="E8200" i="6"/>
  <c r="E8204" i="6"/>
  <c r="E8208" i="6"/>
  <c r="E8212" i="6"/>
  <c r="E8216" i="6"/>
  <c r="E8220" i="6"/>
  <c r="E8224" i="6"/>
  <c r="E8228" i="6"/>
  <c r="E8232" i="6"/>
  <c r="E8236" i="6"/>
  <c r="E8240" i="6"/>
  <c r="E8244" i="6"/>
  <c r="E8248" i="6"/>
  <c r="E8252" i="6"/>
  <c r="E8256" i="6"/>
  <c r="E8260" i="6"/>
  <c r="E8264" i="6"/>
  <c r="E8268" i="6"/>
  <c r="E8272" i="6"/>
  <c r="E8276" i="6"/>
  <c r="E8280" i="6"/>
  <c r="E8284" i="6"/>
  <c r="E8288" i="6"/>
  <c r="E8292" i="6"/>
  <c r="E8296" i="6"/>
  <c r="E8300" i="6"/>
  <c r="E8304" i="6"/>
  <c r="E8308" i="6"/>
  <c r="E8312" i="6"/>
  <c r="E8316" i="6"/>
  <c r="E8320" i="6"/>
  <c r="E8324" i="6"/>
  <c r="E8328" i="6"/>
  <c r="E8332" i="6"/>
  <c r="E8336" i="6"/>
  <c r="E8340" i="6"/>
  <c r="E8344" i="6"/>
  <c r="E8348" i="6"/>
  <c r="E8352" i="6"/>
  <c r="E8356" i="6"/>
  <c r="E8360" i="6"/>
  <c r="E8364" i="6"/>
  <c r="E8368" i="6"/>
  <c r="E8372" i="6"/>
  <c r="E8376" i="6"/>
  <c r="E8380" i="6"/>
  <c r="E8384" i="6"/>
  <c r="E8388" i="6"/>
  <c r="E8392" i="6"/>
  <c r="E8396" i="6"/>
  <c r="E8400" i="6"/>
  <c r="E8404" i="6"/>
  <c r="E8408" i="6"/>
  <c r="E8412" i="6"/>
  <c r="E8416" i="6"/>
  <c r="E8420" i="6"/>
  <c r="E8424" i="6"/>
  <c r="E8428" i="6"/>
  <c r="E8432" i="6"/>
  <c r="E8436" i="6"/>
  <c r="E8440" i="6"/>
  <c r="E8444" i="6"/>
  <c r="E8448" i="6"/>
  <c r="E8452" i="6"/>
  <c r="E8456" i="6"/>
  <c r="E8460" i="6"/>
  <c r="E8464" i="6"/>
  <c r="E8468" i="6"/>
  <c r="E8472" i="6"/>
  <c r="E8476" i="6"/>
  <c r="E8480" i="6"/>
  <c r="E8484" i="6"/>
  <c r="E8488" i="6"/>
  <c r="E8492" i="6"/>
  <c r="E8496" i="6"/>
  <c r="E8500" i="6"/>
  <c r="E8504" i="6"/>
  <c r="E8508" i="6"/>
  <c r="E8512" i="6"/>
  <c r="E8516" i="6"/>
  <c r="E8520" i="6"/>
  <c r="E8524" i="6"/>
  <c r="E8528" i="6"/>
  <c r="E8532" i="6"/>
  <c r="E8536" i="6"/>
  <c r="E8540" i="6"/>
  <c r="E8544" i="6"/>
  <c r="E8548" i="6"/>
  <c r="E8552" i="6"/>
  <c r="E8556" i="6"/>
  <c r="E8560" i="6"/>
  <c r="E8564" i="6"/>
  <c r="E8568" i="6"/>
  <c r="E8572" i="6"/>
  <c r="E8576" i="6"/>
  <c r="E8580" i="6"/>
  <c r="E8584" i="6"/>
  <c r="E8588" i="6"/>
  <c r="E8592" i="6"/>
  <c r="E8596" i="6"/>
  <c r="E8600" i="6"/>
  <c r="E8604" i="6"/>
  <c r="E8608" i="6"/>
  <c r="E8612" i="6"/>
  <c r="E8616" i="6"/>
  <c r="E8620" i="6"/>
  <c r="E8624" i="6"/>
  <c r="E8628" i="6"/>
  <c r="E8632" i="6"/>
  <c r="E8636" i="6"/>
  <c r="E8640" i="6"/>
  <c r="E8644" i="6"/>
  <c r="E8648" i="6"/>
  <c r="E8652" i="6"/>
  <c r="E8656" i="6"/>
  <c r="E8660" i="6"/>
  <c r="E8664" i="6"/>
  <c r="E8668" i="6"/>
  <c r="E8672" i="6"/>
  <c r="E8676" i="6"/>
  <c r="E8680" i="6"/>
  <c r="E8684" i="6"/>
  <c r="E8688" i="6"/>
  <c r="E8692" i="6"/>
  <c r="E8696" i="6"/>
  <c r="E8700" i="6"/>
  <c r="E8704" i="6"/>
  <c r="E8708" i="6"/>
  <c r="E8712" i="6"/>
  <c r="E8716" i="6"/>
  <c r="E8720" i="6"/>
  <c r="E8724" i="6"/>
  <c r="E8728" i="6"/>
  <c r="E8732" i="6"/>
  <c r="E8736" i="6"/>
  <c r="E8740" i="6"/>
  <c r="E8744" i="6"/>
  <c r="E8748" i="6"/>
  <c r="E8752" i="6"/>
  <c r="E8756" i="6"/>
  <c r="E8760" i="6"/>
  <c r="E8764" i="6"/>
  <c r="E8768" i="6"/>
  <c r="E8772" i="6"/>
  <c r="E8776" i="6"/>
  <c r="E8780" i="6"/>
  <c r="E8784" i="6"/>
  <c r="E8788" i="6"/>
  <c r="E8792" i="6"/>
  <c r="E8796" i="6"/>
  <c r="E8800" i="6"/>
  <c r="E8804" i="6"/>
  <c r="E8808" i="6"/>
  <c r="E8812" i="6"/>
  <c r="E8816" i="6"/>
  <c r="E8820" i="6"/>
  <c r="E8824" i="6"/>
  <c r="E8828" i="6"/>
  <c r="E8832" i="6"/>
  <c r="E8836" i="6"/>
  <c r="E8840" i="6"/>
  <c r="E8844" i="6"/>
  <c r="E8848" i="6"/>
  <c r="E8852" i="6"/>
  <c r="E8856" i="6"/>
  <c r="E8860" i="6"/>
  <c r="E8864" i="6"/>
  <c r="E8868" i="6"/>
  <c r="E8872" i="6"/>
  <c r="E8876" i="6"/>
  <c r="E8880" i="6"/>
  <c r="E8884" i="6"/>
  <c r="E8888" i="6"/>
  <c r="E8892" i="6"/>
  <c r="E8896" i="6"/>
  <c r="E8900" i="6"/>
  <c r="E8904" i="6"/>
  <c r="E8908" i="6"/>
  <c r="E8912" i="6"/>
  <c r="E8916" i="6"/>
  <c r="E8920" i="6"/>
  <c r="E8924" i="6"/>
  <c r="E8928" i="6"/>
  <c r="E8932" i="6"/>
  <c r="E8936" i="6"/>
  <c r="E8940" i="6"/>
  <c r="E8944" i="6"/>
  <c r="E8948" i="6"/>
  <c r="E8952" i="6"/>
  <c r="E8956" i="6"/>
  <c r="E8960" i="6"/>
  <c r="E8964" i="6"/>
  <c r="E8968" i="6"/>
  <c r="E8972" i="6"/>
  <c r="E8976" i="6"/>
  <c r="E8980" i="6"/>
  <c r="E8984" i="6"/>
  <c r="E8988" i="6"/>
  <c r="E8992" i="6"/>
  <c r="E8996" i="6"/>
  <c r="E9000" i="6"/>
  <c r="E9004" i="6"/>
  <c r="E9008" i="6"/>
  <c r="E9012" i="6"/>
  <c r="E9016" i="6"/>
  <c r="E9020" i="6"/>
  <c r="E9024" i="6"/>
  <c r="E9028" i="6"/>
  <c r="E9032" i="6"/>
  <c r="E9036" i="6"/>
  <c r="E9040" i="6"/>
  <c r="E9044" i="6"/>
  <c r="E9048" i="6"/>
  <c r="E9052" i="6"/>
  <c r="E9056" i="6"/>
  <c r="E9060" i="6"/>
  <c r="E9064" i="6"/>
  <c r="E9068" i="6"/>
  <c r="E9072" i="6"/>
  <c r="E9076" i="6"/>
  <c r="E9080" i="6"/>
  <c r="E9084" i="6"/>
  <c r="E9088" i="6"/>
  <c r="E9092" i="6"/>
  <c r="E9096" i="6"/>
  <c r="E9100" i="6"/>
  <c r="E9104" i="6"/>
  <c r="E9108" i="6"/>
  <c r="E9112" i="6"/>
  <c r="E9116" i="6"/>
  <c r="E9120" i="6"/>
  <c r="E9124" i="6"/>
  <c r="E9128" i="6"/>
  <c r="E9132" i="6"/>
  <c r="E9136" i="6"/>
  <c r="E9140" i="6"/>
  <c r="E9144" i="6"/>
  <c r="E9148" i="6"/>
  <c r="E9152" i="6"/>
  <c r="E9156" i="6"/>
  <c r="E9160" i="6"/>
  <c r="E9164" i="6"/>
  <c r="E9168" i="6"/>
  <c r="E9172" i="6"/>
  <c r="E9176" i="6"/>
  <c r="E9180" i="6"/>
  <c r="E9184" i="6"/>
  <c r="E9188" i="6"/>
  <c r="E9192" i="6"/>
  <c r="E9196" i="6"/>
  <c r="E9200" i="6"/>
  <c r="E9204" i="6"/>
  <c r="E9208" i="6"/>
  <c r="E9212" i="6"/>
  <c r="E9216" i="6"/>
  <c r="E9220" i="6"/>
  <c r="E9224" i="6"/>
  <c r="E9228" i="6"/>
  <c r="E9232" i="6"/>
  <c r="E9236" i="6"/>
  <c r="E9240" i="6"/>
  <c r="E9244" i="6"/>
  <c r="E9248" i="6"/>
  <c r="E9252" i="6"/>
  <c r="E9256" i="6"/>
  <c r="E9260" i="6"/>
  <c r="E9264" i="6"/>
  <c r="E9268" i="6"/>
  <c r="E9272" i="6"/>
  <c r="E9276" i="6"/>
  <c r="E9280" i="6"/>
  <c r="E9284" i="6"/>
  <c r="E9288" i="6"/>
  <c r="E9292" i="6"/>
  <c r="E9296" i="6"/>
  <c r="E9300" i="6"/>
  <c r="E9304" i="6"/>
  <c r="E9308" i="6"/>
  <c r="E9312" i="6"/>
  <c r="E9316" i="6"/>
  <c r="E9320" i="6"/>
  <c r="E9324" i="6"/>
  <c r="E9328" i="6"/>
  <c r="E9332" i="6"/>
  <c r="E9336" i="6"/>
  <c r="E9340" i="6"/>
  <c r="E9344" i="6"/>
  <c r="E9348" i="6"/>
  <c r="E9352" i="6"/>
  <c r="E9356" i="6"/>
  <c r="E9360" i="6"/>
  <c r="E9364" i="6"/>
  <c r="E9368" i="6"/>
  <c r="E9372" i="6"/>
  <c r="E9376" i="6"/>
  <c r="E9380" i="6"/>
  <c r="E9384" i="6"/>
  <c r="E9388" i="6"/>
  <c r="E9392" i="6"/>
  <c r="E9396" i="6"/>
  <c r="E9400" i="6"/>
  <c r="E9404" i="6"/>
  <c r="E9408" i="6"/>
  <c r="E9412" i="6"/>
  <c r="E9416" i="6"/>
  <c r="E9420" i="6"/>
  <c r="E9424" i="6"/>
  <c r="E9428" i="6"/>
  <c r="E9432" i="6"/>
  <c r="E9436" i="6"/>
  <c r="E9440" i="6"/>
  <c r="E9444" i="6"/>
  <c r="E9448" i="6"/>
  <c r="E9452" i="6"/>
  <c r="E9456" i="6"/>
  <c r="E9460" i="6"/>
  <c r="E9464" i="6"/>
  <c r="E9468" i="6"/>
  <c r="E9472" i="6"/>
  <c r="E9476" i="6"/>
  <c r="E9480" i="6"/>
  <c r="E9484" i="6"/>
  <c r="E9488" i="6"/>
  <c r="E9492" i="6"/>
  <c r="E9496" i="6"/>
  <c r="E9500" i="6"/>
  <c r="E9504" i="6"/>
  <c r="E9508" i="6"/>
  <c r="E9512" i="6"/>
  <c r="E9516" i="6"/>
  <c r="E9520" i="6"/>
  <c r="E9524" i="6"/>
  <c r="E9528" i="6"/>
  <c r="E9532" i="6"/>
  <c r="E9536" i="6"/>
  <c r="E9540" i="6"/>
  <c r="E9544" i="6"/>
  <c r="E9548" i="6"/>
  <c r="E9552" i="6"/>
  <c r="E9556" i="6"/>
  <c r="E9560" i="6"/>
  <c r="E9564" i="6"/>
  <c r="E9568" i="6"/>
  <c r="E9572" i="6"/>
  <c r="E9576" i="6"/>
  <c r="E9580" i="6"/>
  <c r="E9584" i="6"/>
  <c r="E9588" i="6"/>
  <c r="E9592" i="6"/>
  <c r="E9596" i="6"/>
  <c r="E9600" i="6"/>
  <c r="E9604" i="6"/>
  <c r="E9608" i="6"/>
  <c r="E9612" i="6"/>
  <c r="E9616" i="6"/>
  <c r="E9620" i="6"/>
  <c r="E9624" i="6"/>
  <c r="E9628" i="6"/>
  <c r="E9632" i="6"/>
  <c r="E9636" i="6"/>
  <c r="E9640" i="6"/>
  <c r="E9644" i="6"/>
  <c r="E9648" i="6"/>
  <c r="E9652" i="6"/>
  <c r="E9656" i="6"/>
  <c r="E9660" i="6"/>
  <c r="E9664" i="6"/>
  <c r="E9668" i="6"/>
  <c r="E9672" i="6"/>
  <c r="E9676" i="6"/>
  <c r="E9680" i="6"/>
  <c r="E9684" i="6"/>
  <c r="E9688" i="6"/>
  <c r="E9692" i="6"/>
  <c r="E9696" i="6"/>
  <c r="E9700" i="6"/>
  <c r="E9704" i="6"/>
  <c r="E9708" i="6"/>
  <c r="E9712" i="6"/>
  <c r="E9716" i="6"/>
  <c r="E9720" i="6"/>
  <c r="E9724" i="6"/>
  <c r="E9728" i="6"/>
  <c r="E9732" i="6"/>
  <c r="E9736" i="6"/>
  <c r="E9740" i="6"/>
  <c r="E9744" i="6"/>
  <c r="E9748" i="6"/>
  <c r="E9752" i="6"/>
  <c r="E9756" i="6"/>
  <c r="E9760" i="6"/>
  <c r="E9764" i="6"/>
  <c r="E9768" i="6"/>
  <c r="E9772" i="6"/>
  <c r="E9776" i="6"/>
  <c r="E9780" i="6"/>
  <c r="E9784" i="6"/>
  <c r="E9788" i="6"/>
  <c r="E9792" i="6"/>
  <c r="E9796" i="6"/>
  <c r="E9800" i="6"/>
  <c r="E9804" i="6"/>
  <c r="E9808" i="6"/>
  <c r="E9812" i="6"/>
  <c r="E9816" i="6"/>
  <c r="E9820" i="6"/>
  <c r="E9824" i="6"/>
  <c r="E9828" i="6"/>
  <c r="E9832" i="6"/>
  <c r="E9836" i="6"/>
  <c r="E9840" i="6"/>
  <c r="E9844" i="6"/>
  <c r="E9848" i="6"/>
  <c r="E9852" i="6"/>
  <c r="E9856" i="6"/>
  <c r="E9860" i="6"/>
  <c r="E9864" i="6"/>
  <c r="E9868" i="6"/>
  <c r="E9872" i="6"/>
  <c r="E9876" i="6"/>
  <c r="E9880" i="6"/>
  <c r="E9884" i="6"/>
  <c r="E9888" i="6"/>
  <c r="E9892" i="6"/>
  <c r="E9896" i="6"/>
  <c r="E9900" i="6"/>
  <c r="E9904" i="6"/>
  <c r="E9908" i="6"/>
  <c r="E9912" i="6"/>
  <c r="E9916" i="6"/>
  <c r="E9920" i="6"/>
  <c r="E9924" i="6"/>
  <c r="E9928" i="6"/>
  <c r="E9932" i="6"/>
  <c r="E9936" i="6"/>
  <c r="E9940" i="6"/>
  <c r="E9944" i="6"/>
  <c r="E9948" i="6"/>
  <c r="E9952" i="6"/>
  <c r="E9956" i="6"/>
  <c r="E9960" i="6"/>
  <c r="E9964" i="6"/>
  <c r="E9968" i="6"/>
  <c r="E9972" i="6"/>
  <c r="E9976" i="6"/>
  <c r="E9980" i="6"/>
  <c r="E9984" i="6"/>
  <c r="E9988" i="6"/>
  <c r="E9992" i="6"/>
  <c r="E9996" i="6"/>
  <c r="E346" i="6"/>
  <c r="E8141" i="6"/>
  <c r="E8145" i="6"/>
  <c r="E8149" i="6"/>
  <c r="E8153" i="6"/>
  <c r="E8157" i="6"/>
  <c r="E8161" i="6"/>
  <c r="E8165" i="6"/>
  <c r="E8169" i="6"/>
  <c r="E8173" i="6"/>
  <c r="E8177" i="6"/>
  <c r="E8181" i="6"/>
  <c r="E8185" i="6"/>
  <c r="E8189" i="6"/>
  <c r="E8193" i="6"/>
  <c r="E8197" i="6"/>
  <c r="E8201" i="6"/>
  <c r="E8205" i="6"/>
  <c r="E8209" i="6"/>
  <c r="E8213" i="6"/>
  <c r="E8217" i="6"/>
  <c r="E8221" i="6"/>
  <c r="E8225" i="6"/>
  <c r="E8229" i="6"/>
  <c r="E8233" i="6"/>
  <c r="E8237" i="6"/>
  <c r="E8241" i="6"/>
  <c r="E8245" i="6"/>
  <c r="E8249" i="6"/>
  <c r="E8253" i="6"/>
  <c r="E8257" i="6"/>
  <c r="E8261" i="6"/>
  <c r="E8265" i="6"/>
  <c r="E8269" i="6"/>
  <c r="E8273" i="6"/>
  <c r="E8277" i="6"/>
  <c r="E8281" i="6"/>
  <c r="E8285" i="6"/>
  <c r="E8289" i="6"/>
  <c r="E8293" i="6"/>
  <c r="E8297" i="6"/>
  <c r="E8301" i="6"/>
  <c r="E8305" i="6"/>
  <c r="E8309" i="6"/>
  <c r="E8313" i="6"/>
  <c r="E8317" i="6"/>
  <c r="E8321" i="6"/>
  <c r="E8325" i="6"/>
  <c r="E8329" i="6"/>
  <c r="E8333" i="6"/>
  <c r="E8337" i="6"/>
  <c r="E8341" i="6"/>
  <c r="E8345" i="6"/>
  <c r="E8349" i="6"/>
  <c r="E8353" i="6"/>
  <c r="E8357" i="6"/>
  <c r="E8361" i="6"/>
  <c r="E8365" i="6"/>
  <c r="E8369" i="6"/>
  <c r="E8373" i="6"/>
  <c r="E8377" i="6"/>
  <c r="E8381" i="6"/>
  <c r="E8385" i="6"/>
  <c r="E8389" i="6"/>
  <c r="E8393" i="6"/>
  <c r="E8397" i="6"/>
  <c r="E8401" i="6"/>
  <c r="E8405" i="6"/>
  <c r="E8409" i="6"/>
  <c r="E8413" i="6"/>
  <c r="E8417" i="6"/>
  <c r="E8421" i="6"/>
  <c r="E8425" i="6"/>
  <c r="E8429" i="6"/>
  <c r="E8433" i="6"/>
  <c r="E8437" i="6"/>
  <c r="E8441" i="6"/>
  <c r="E8445" i="6"/>
  <c r="E8449" i="6"/>
  <c r="E8453" i="6"/>
  <c r="E8457" i="6"/>
  <c r="E8461" i="6"/>
  <c r="E8465" i="6"/>
  <c r="E8469" i="6"/>
  <c r="E8473" i="6"/>
  <c r="E8477" i="6"/>
  <c r="E8481" i="6"/>
  <c r="E8485" i="6"/>
  <c r="E8489" i="6"/>
  <c r="E8493" i="6"/>
  <c r="E8497" i="6"/>
  <c r="E8501" i="6"/>
  <c r="E8505" i="6"/>
  <c r="E8509" i="6"/>
  <c r="E8513" i="6"/>
  <c r="E8517" i="6"/>
  <c r="E8521" i="6"/>
  <c r="E8525" i="6"/>
  <c r="E8529" i="6"/>
  <c r="E8533" i="6"/>
  <c r="E8537" i="6"/>
  <c r="E8541" i="6"/>
  <c r="E8545" i="6"/>
  <c r="E8549" i="6"/>
  <c r="E8553" i="6"/>
  <c r="E8557" i="6"/>
  <c r="E8561" i="6"/>
  <c r="E8565" i="6"/>
  <c r="E8569" i="6"/>
  <c r="E8573" i="6"/>
  <c r="E8577" i="6"/>
  <c r="E8581" i="6"/>
  <c r="E8585" i="6"/>
  <c r="E8589" i="6"/>
  <c r="E8593" i="6"/>
  <c r="E8597" i="6"/>
  <c r="E8601" i="6"/>
  <c r="E8605" i="6"/>
  <c r="E8609" i="6"/>
  <c r="E8613" i="6"/>
  <c r="E8617" i="6"/>
  <c r="E8621" i="6"/>
  <c r="E8625" i="6"/>
  <c r="E8629" i="6"/>
  <c r="E8633" i="6"/>
  <c r="E8637" i="6"/>
  <c r="E8641" i="6"/>
  <c r="E8645" i="6"/>
  <c r="E8649" i="6"/>
  <c r="E8653" i="6"/>
  <c r="E8657" i="6"/>
  <c r="E8661" i="6"/>
  <c r="E8665" i="6"/>
  <c r="E8669" i="6"/>
  <c r="E8673" i="6"/>
  <c r="E8677" i="6"/>
  <c r="E8681" i="6"/>
  <c r="E8685" i="6"/>
  <c r="E8689" i="6"/>
  <c r="E8693" i="6"/>
  <c r="E8697" i="6"/>
  <c r="E8701" i="6"/>
  <c r="E8705" i="6"/>
  <c r="E8709" i="6"/>
  <c r="E8713" i="6"/>
  <c r="E8717" i="6"/>
  <c r="E8721" i="6"/>
  <c r="E8725" i="6"/>
  <c r="E8729" i="6"/>
  <c r="E8733" i="6"/>
  <c r="E8737" i="6"/>
  <c r="E8741" i="6"/>
  <c r="E8745" i="6"/>
  <c r="E8749" i="6"/>
  <c r="E8753" i="6"/>
  <c r="E8757" i="6"/>
  <c r="E8761" i="6"/>
  <c r="E8765" i="6"/>
  <c r="E8769" i="6"/>
  <c r="E8773" i="6"/>
  <c r="E8777" i="6"/>
  <c r="E8781" i="6"/>
  <c r="E8785" i="6"/>
  <c r="E8789" i="6"/>
  <c r="E8793" i="6"/>
  <c r="E8797" i="6"/>
  <c r="E8801" i="6"/>
  <c r="E8805" i="6"/>
  <c r="E8809" i="6"/>
  <c r="E8813" i="6"/>
  <c r="E8817" i="6"/>
  <c r="E8821" i="6"/>
  <c r="E8825" i="6"/>
  <c r="E8829" i="6"/>
  <c r="E8833" i="6"/>
  <c r="E8837" i="6"/>
  <c r="E8841" i="6"/>
  <c r="E8845" i="6"/>
  <c r="E8849" i="6"/>
  <c r="E8853" i="6"/>
  <c r="E8857" i="6"/>
  <c r="E8861" i="6"/>
  <c r="E8865" i="6"/>
  <c r="E8869" i="6"/>
  <c r="E8873" i="6"/>
  <c r="E8877" i="6"/>
  <c r="E8881" i="6"/>
  <c r="E8885" i="6"/>
  <c r="E8889" i="6"/>
  <c r="E8893" i="6"/>
  <c r="E8897" i="6"/>
  <c r="E8901" i="6"/>
  <c r="E8905" i="6"/>
  <c r="E8909" i="6"/>
  <c r="E8913" i="6"/>
  <c r="E8917" i="6"/>
  <c r="E8921" i="6"/>
  <c r="E8925" i="6"/>
  <c r="E8929" i="6"/>
  <c r="E8933" i="6"/>
  <c r="E8937" i="6"/>
  <c r="E8941" i="6"/>
  <c r="E8945" i="6"/>
  <c r="E8949" i="6"/>
  <c r="E8953" i="6"/>
  <c r="E8957" i="6"/>
  <c r="E8961" i="6"/>
  <c r="E8965" i="6"/>
  <c r="E8969" i="6"/>
  <c r="E8973" i="6"/>
  <c r="E8977" i="6"/>
  <c r="E8981" i="6"/>
  <c r="E8985" i="6"/>
  <c r="E8989" i="6"/>
  <c r="E8993" i="6"/>
  <c r="E8997" i="6"/>
  <c r="E9001" i="6"/>
  <c r="E9005" i="6"/>
  <c r="E9009" i="6"/>
  <c r="E9013" i="6"/>
  <c r="E9017" i="6"/>
  <c r="E9021" i="6"/>
  <c r="E9025" i="6"/>
  <c r="E9029" i="6"/>
  <c r="E9033" i="6"/>
  <c r="E9037" i="6"/>
  <c r="E9041" i="6"/>
  <c r="E9045" i="6"/>
  <c r="E9049" i="6"/>
  <c r="E9053" i="6"/>
  <c r="E9057" i="6"/>
  <c r="E9061" i="6"/>
  <c r="E9065" i="6"/>
  <c r="E9069" i="6"/>
  <c r="E9073" i="6"/>
  <c r="E9077" i="6"/>
  <c r="E9081" i="6"/>
  <c r="E9085" i="6"/>
  <c r="E9089" i="6"/>
  <c r="E9093" i="6"/>
  <c r="E9097" i="6"/>
  <c r="E9101" i="6"/>
  <c r="E9105" i="6"/>
  <c r="E9109" i="6"/>
  <c r="E9113" i="6"/>
  <c r="E9117" i="6"/>
  <c r="E9121" i="6"/>
  <c r="E9125" i="6"/>
  <c r="E9129" i="6"/>
  <c r="E9133" i="6"/>
  <c r="E9137" i="6"/>
  <c r="E9141" i="6"/>
  <c r="E9145" i="6"/>
  <c r="E9149" i="6"/>
  <c r="E9153" i="6"/>
  <c r="E9157" i="6"/>
  <c r="E9161" i="6"/>
  <c r="E9165" i="6"/>
  <c r="E9169" i="6"/>
  <c r="E9173" i="6"/>
  <c r="E9177" i="6"/>
  <c r="E9181" i="6"/>
  <c r="E9185" i="6"/>
  <c r="E9189" i="6"/>
  <c r="E9193" i="6"/>
  <c r="E9197" i="6"/>
  <c r="E9201" i="6"/>
  <c r="E9205" i="6"/>
  <c r="E9209" i="6"/>
  <c r="E9213" i="6"/>
  <c r="E9217" i="6"/>
  <c r="E9221" i="6"/>
  <c r="E9225" i="6"/>
  <c r="E9229" i="6"/>
  <c r="E9233" i="6"/>
  <c r="E9237" i="6"/>
  <c r="E9241" i="6"/>
  <c r="E9245" i="6"/>
  <c r="E9249" i="6"/>
  <c r="E9253" i="6"/>
  <c r="E9257" i="6"/>
  <c r="E9261" i="6"/>
  <c r="E9265" i="6"/>
  <c r="E9269" i="6"/>
  <c r="E9273" i="6"/>
  <c r="E9277" i="6"/>
  <c r="E9281" i="6"/>
  <c r="E9285" i="6"/>
  <c r="E9289" i="6"/>
  <c r="E9293" i="6"/>
  <c r="E9297" i="6"/>
  <c r="E9301" i="6"/>
  <c r="E9305" i="6"/>
  <c r="E9309" i="6"/>
  <c r="E9313" i="6"/>
  <c r="E9317" i="6"/>
  <c r="E9321" i="6"/>
  <c r="E9325" i="6"/>
  <c r="E9329" i="6"/>
  <c r="E9333" i="6"/>
  <c r="E9337" i="6"/>
  <c r="E9341" i="6"/>
  <c r="E9345" i="6"/>
  <c r="E9349" i="6"/>
  <c r="E9353" i="6"/>
  <c r="E9357" i="6"/>
  <c r="E9361" i="6"/>
  <c r="E9365" i="6"/>
  <c r="E9369" i="6"/>
  <c r="E9373" i="6"/>
  <c r="E9377" i="6"/>
  <c r="E9381" i="6"/>
  <c r="E9385" i="6"/>
  <c r="E9389" i="6"/>
  <c r="E9393" i="6"/>
  <c r="E9397" i="6"/>
  <c r="E9401" i="6"/>
  <c r="E9405" i="6"/>
  <c r="E9409" i="6"/>
  <c r="E9413" i="6"/>
  <c r="E9417" i="6"/>
  <c r="E9421" i="6"/>
  <c r="E9425" i="6"/>
  <c r="E9429" i="6"/>
  <c r="E9433" i="6"/>
  <c r="E9437" i="6"/>
  <c r="E9441" i="6"/>
  <c r="E9445" i="6"/>
  <c r="E9449" i="6"/>
  <c r="E9453" i="6"/>
  <c r="E9457" i="6"/>
  <c r="E9461" i="6"/>
  <c r="E9465" i="6"/>
  <c r="E9469" i="6"/>
  <c r="E9473" i="6"/>
  <c r="E9477" i="6"/>
  <c r="E9481" i="6"/>
  <c r="E9485" i="6"/>
  <c r="E9489" i="6"/>
  <c r="E9493" i="6"/>
  <c r="E9497" i="6"/>
  <c r="E9501" i="6"/>
  <c r="E9505" i="6"/>
  <c r="E9509" i="6"/>
  <c r="E9513" i="6"/>
  <c r="E9517" i="6"/>
  <c r="E9521" i="6"/>
  <c r="E9525" i="6"/>
  <c r="E9529" i="6"/>
  <c r="E9533" i="6"/>
  <c r="E9537" i="6"/>
  <c r="E9541" i="6"/>
  <c r="E9545" i="6"/>
  <c r="E9549" i="6"/>
  <c r="E9553" i="6"/>
  <c r="E9557" i="6"/>
  <c r="E9561" i="6"/>
  <c r="E9565" i="6"/>
  <c r="E9569" i="6"/>
  <c r="E9573" i="6"/>
  <c r="E9577" i="6"/>
  <c r="E9581" i="6"/>
  <c r="E9585" i="6"/>
  <c r="E9589" i="6"/>
  <c r="E9593" i="6"/>
  <c r="E9597" i="6"/>
  <c r="E9601" i="6"/>
  <c r="E9605" i="6"/>
  <c r="E9609" i="6"/>
  <c r="E9613" i="6"/>
  <c r="E9617" i="6"/>
  <c r="E9621" i="6"/>
  <c r="E9625" i="6"/>
  <c r="E9629" i="6"/>
  <c r="E9633" i="6"/>
  <c r="E9637" i="6"/>
  <c r="E9641" i="6"/>
  <c r="E9645" i="6"/>
  <c r="E9649" i="6"/>
  <c r="E9653" i="6"/>
  <c r="E9657" i="6"/>
  <c r="E9661" i="6"/>
  <c r="E9665" i="6"/>
  <c r="E9669" i="6"/>
  <c r="E9673" i="6"/>
  <c r="E9677" i="6"/>
  <c r="E9681" i="6"/>
  <c r="E9685" i="6"/>
  <c r="E9689" i="6"/>
  <c r="E9693" i="6"/>
  <c r="E9697" i="6"/>
  <c r="E9701" i="6"/>
  <c r="E9705" i="6"/>
  <c r="E9709" i="6"/>
  <c r="E9713" i="6"/>
  <c r="E9717" i="6"/>
  <c r="E9721" i="6"/>
  <c r="E9725" i="6"/>
  <c r="E9729" i="6"/>
  <c r="E9733" i="6"/>
  <c r="E9737" i="6"/>
  <c r="E9741" i="6"/>
  <c r="E9745" i="6"/>
  <c r="E9749" i="6"/>
  <c r="E9753" i="6"/>
  <c r="E9757" i="6"/>
  <c r="E9761" i="6"/>
  <c r="E9765" i="6"/>
  <c r="E9769" i="6"/>
  <c r="E9773" i="6"/>
  <c r="E9777" i="6"/>
  <c r="E9781" i="6"/>
  <c r="E9785" i="6"/>
  <c r="E9789" i="6"/>
  <c r="E9793" i="6"/>
  <c r="E9797" i="6"/>
  <c r="E9801" i="6"/>
  <c r="E9805" i="6"/>
  <c r="E9809" i="6"/>
  <c r="E9813" i="6"/>
  <c r="E9817" i="6"/>
  <c r="E9821" i="6"/>
  <c r="E9825" i="6"/>
  <c r="E9829" i="6"/>
  <c r="E9833" i="6"/>
  <c r="E9837" i="6"/>
  <c r="E9841" i="6"/>
  <c r="E9845" i="6"/>
  <c r="E9849" i="6"/>
  <c r="E9853" i="6"/>
  <c r="E9857" i="6"/>
  <c r="E9861" i="6"/>
  <c r="E9865" i="6"/>
  <c r="E9869" i="6"/>
  <c r="E9873" i="6"/>
  <c r="E9877" i="6"/>
  <c r="E9881" i="6"/>
  <c r="E9885" i="6"/>
  <c r="E9889" i="6"/>
  <c r="E9893" i="6"/>
  <c r="E9897" i="6"/>
  <c r="E9901" i="6"/>
  <c r="E9905" i="6"/>
  <c r="E9909" i="6"/>
  <c r="E9913" i="6"/>
  <c r="E9917" i="6"/>
  <c r="E9921" i="6"/>
  <c r="E9925" i="6"/>
  <c r="E9929" i="6"/>
  <c r="E9933" i="6"/>
  <c r="E9937" i="6"/>
  <c r="E9941" i="6"/>
  <c r="E9945" i="6"/>
  <c r="E9949" i="6"/>
  <c r="E9953" i="6"/>
  <c r="E9957" i="6"/>
  <c r="E9961" i="6"/>
  <c r="E9965" i="6"/>
  <c r="E9969" i="6"/>
  <c r="E9973" i="6"/>
  <c r="E9977" i="6"/>
  <c r="E9981" i="6"/>
  <c r="E9985" i="6"/>
  <c r="E9989" i="6"/>
  <c r="E9993" i="6"/>
  <c r="E9997" i="6"/>
  <c r="E343" i="6"/>
  <c r="E347" i="6"/>
  <c r="E8137" i="6"/>
  <c r="E8142" i="6"/>
  <c r="E8146" i="6"/>
  <c r="E8150" i="6"/>
  <c r="E8154" i="6"/>
  <c r="E8158" i="6"/>
  <c r="E8162" i="6"/>
  <c r="E8166" i="6"/>
  <c r="E8170" i="6"/>
  <c r="E8174" i="6"/>
  <c r="E8178" i="6"/>
  <c r="E8182" i="6"/>
  <c r="E8186" i="6"/>
  <c r="E8190" i="6"/>
  <c r="E8194" i="6"/>
  <c r="E8198" i="6"/>
  <c r="E8202" i="6"/>
  <c r="E8206" i="6"/>
  <c r="E8210" i="6"/>
  <c r="E8214" i="6"/>
  <c r="E8218" i="6"/>
  <c r="E8222" i="6"/>
  <c r="E8226" i="6"/>
  <c r="E8230" i="6"/>
  <c r="E8234" i="6"/>
  <c r="E8238" i="6"/>
  <c r="E8242" i="6"/>
  <c r="E8246" i="6"/>
  <c r="E8250" i="6"/>
  <c r="E8254" i="6"/>
  <c r="E8258" i="6"/>
  <c r="E8262" i="6"/>
  <c r="E8266" i="6"/>
  <c r="E8270" i="6"/>
  <c r="E8274" i="6"/>
  <c r="E8278" i="6"/>
  <c r="E8282" i="6"/>
  <c r="E8286" i="6"/>
  <c r="E8290" i="6"/>
  <c r="E8294" i="6"/>
  <c r="E8298" i="6"/>
  <c r="E8302" i="6"/>
  <c r="E8306" i="6"/>
  <c r="E8310" i="6"/>
  <c r="E8314" i="6"/>
  <c r="E8318" i="6"/>
  <c r="E8322" i="6"/>
  <c r="E8326" i="6"/>
  <c r="E8330" i="6"/>
  <c r="E8334" i="6"/>
  <c r="E8338" i="6"/>
  <c r="E8342" i="6"/>
  <c r="E8346" i="6"/>
  <c r="E8350" i="6"/>
  <c r="E8354" i="6"/>
  <c r="E8358" i="6"/>
  <c r="E8362" i="6"/>
  <c r="E8366" i="6"/>
  <c r="E8370" i="6"/>
  <c r="E8374" i="6"/>
  <c r="E8378" i="6"/>
  <c r="E8382" i="6"/>
  <c r="E8386" i="6"/>
  <c r="E8390" i="6"/>
  <c r="E8394" i="6"/>
  <c r="E8398" i="6"/>
  <c r="E8402" i="6"/>
  <c r="E8406" i="6"/>
  <c r="E8410" i="6"/>
  <c r="E8414" i="6"/>
  <c r="E8418" i="6"/>
  <c r="E8422" i="6"/>
  <c r="E8426" i="6"/>
  <c r="E8430" i="6"/>
  <c r="E8434" i="6"/>
  <c r="E8438" i="6"/>
  <c r="E8442" i="6"/>
  <c r="E8446" i="6"/>
  <c r="E8450" i="6"/>
  <c r="E8454" i="6"/>
  <c r="E8458" i="6"/>
  <c r="E8462" i="6"/>
  <c r="E8466" i="6"/>
  <c r="E8470" i="6"/>
  <c r="E8474" i="6"/>
  <c r="E8478" i="6"/>
  <c r="E8482" i="6"/>
  <c r="E8486" i="6"/>
  <c r="E8490" i="6"/>
  <c r="E8494" i="6"/>
  <c r="E8498" i="6"/>
  <c r="E8502" i="6"/>
  <c r="E8506" i="6"/>
  <c r="E8510" i="6"/>
  <c r="E8514" i="6"/>
  <c r="E8518" i="6"/>
  <c r="E8522" i="6"/>
  <c r="E8526" i="6"/>
  <c r="E8530" i="6"/>
  <c r="E8534" i="6"/>
  <c r="E8538" i="6"/>
  <c r="E8542" i="6"/>
  <c r="E8546" i="6"/>
  <c r="E8550" i="6"/>
  <c r="E8554" i="6"/>
  <c r="E8558" i="6"/>
  <c r="E8562" i="6"/>
  <c r="E8566" i="6"/>
  <c r="E8570" i="6"/>
  <c r="E8574" i="6"/>
  <c r="E8578" i="6"/>
  <c r="E8582" i="6"/>
  <c r="E8586" i="6"/>
  <c r="E8590" i="6"/>
  <c r="E8594" i="6"/>
  <c r="E8598" i="6"/>
  <c r="E8602" i="6"/>
  <c r="E8606" i="6"/>
  <c r="E8610" i="6"/>
  <c r="E8614" i="6"/>
  <c r="E8618" i="6"/>
  <c r="E8622" i="6"/>
  <c r="E8626" i="6"/>
  <c r="E8630" i="6"/>
  <c r="E8634" i="6"/>
  <c r="E8638" i="6"/>
  <c r="E8642" i="6"/>
  <c r="E8646" i="6"/>
  <c r="E8650" i="6"/>
  <c r="E8654" i="6"/>
  <c r="E8658" i="6"/>
  <c r="E8662" i="6"/>
  <c r="E8666" i="6"/>
  <c r="E8670" i="6"/>
  <c r="E8674" i="6"/>
  <c r="E8678" i="6"/>
  <c r="E8682" i="6"/>
  <c r="E8686" i="6"/>
  <c r="E8690" i="6"/>
  <c r="E8694" i="6"/>
  <c r="E8698" i="6"/>
  <c r="E8702" i="6"/>
  <c r="E8706" i="6"/>
  <c r="E8710" i="6"/>
  <c r="E8714" i="6"/>
  <c r="E8718" i="6"/>
  <c r="E8722" i="6"/>
  <c r="E8726" i="6"/>
  <c r="E8730" i="6"/>
  <c r="E8734" i="6"/>
  <c r="E8738" i="6"/>
  <c r="E8742" i="6"/>
  <c r="E8746" i="6"/>
  <c r="E8750" i="6"/>
  <c r="E8754" i="6"/>
  <c r="E8758" i="6"/>
  <c r="E8762" i="6"/>
  <c r="E8766" i="6"/>
  <c r="E8770" i="6"/>
  <c r="E8774" i="6"/>
  <c r="E8778" i="6"/>
  <c r="E8782" i="6"/>
  <c r="E8786" i="6"/>
  <c r="E8790" i="6"/>
  <c r="E8794" i="6"/>
  <c r="E8798" i="6"/>
  <c r="E8802" i="6"/>
  <c r="E8806" i="6"/>
  <c r="E8810" i="6"/>
  <c r="E8814" i="6"/>
  <c r="E8818" i="6"/>
  <c r="E8822" i="6"/>
  <c r="E8826" i="6"/>
  <c r="E8830" i="6"/>
  <c r="E8834" i="6"/>
  <c r="E8838" i="6"/>
  <c r="E8842" i="6"/>
  <c r="E8846" i="6"/>
  <c r="E8850" i="6"/>
  <c r="E8854" i="6"/>
  <c r="E8858" i="6"/>
  <c r="E8862" i="6"/>
  <c r="E8866" i="6"/>
  <c r="E8870" i="6"/>
  <c r="E8874" i="6"/>
  <c r="E8878" i="6"/>
  <c r="E8882" i="6"/>
  <c r="E8886" i="6"/>
  <c r="E8890" i="6"/>
  <c r="E8894" i="6"/>
  <c r="E8898" i="6"/>
  <c r="E8902" i="6"/>
  <c r="E8906" i="6"/>
  <c r="E8910" i="6"/>
  <c r="E8914" i="6"/>
  <c r="E8918" i="6"/>
  <c r="E8922" i="6"/>
  <c r="E8926" i="6"/>
  <c r="E8930" i="6"/>
  <c r="E8934" i="6"/>
  <c r="E8938" i="6"/>
  <c r="E8942" i="6"/>
  <c r="E8946" i="6"/>
  <c r="E8950" i="6"/>
  <c r="E8954" i="6"/>
  <c r="E8958" i="6"/>
  <c r="E8962" i="6"/>
  <c r="E8966" i="6"/>
  <c r="E8970" i="6"/>
  <c r="E8974" i="6"/>
  <c r="E8978" i="6"/>
  <c r="E8982" i="6"/>
  <c r="E8986" i="6"/>
  <c r="E8990" i="6"/>
  <c r="E8994" i="6"/>
  <c r="E8998" i="6"/>
  <c r="E9002" i="6"/>
  <c r="E9006" i="6"/>
  <c r="E9010" i="6"/>
  <c r="E9014" i="6"/>
  <c r="E9018" i="6"/>
  <c r="E9022" i="6"/>
  <c r="E9026" i="6"/>
  <c r="E9030" i="6"/>
  <c r="E9034" i="6"/>
  <c r="E9038" i="6"/>
  <c r="E9042" i="6"/>
  <c r="E9046" i="6"/>
  <c r="E9050" i="6"/>
  <c r="E9054" i="6"/>
  <c r="E9058" i="6"/>
  <c r="E9062" i="6"/>
  <c r="E9066" i="6"/>
  <c r="E9070" i="6"/>
  <c r="E9074" i="6"/>
  <c r="E9078" i="6"/>
  <c r="E9082" i="6"/>
  <c r="E9086" i="6"/>
  <c r="E9090" i="6"/>
  <c r="E9094" i="6"/>
  <c r="E9098" i="6"/>
  <c r="E9102" i="6"/>
  <c r="E9106" i="6"/>
  <c r="E9110" i="6"/>
  <c r="E9114" i="6"/>
  <c r="E9118" i="6"/>
  <c r="E9122" i="6"/>
  <c r="E9126" i="6"/>
  <c r="E9130" i="6"/>
  <c r="E9134" i="6"/>
  <c r="E9138" i="6"/>
  <c r="E9142" i="6"/>
  <c r="E9146" i="6"/>
  <c r="E9150" i="6"/>
  <c r="E9154" i="6"/>
  <c r="E9158" i="6"/>
  <c r="E9162" i="6"/>
  <c r="E9166" i="6"/>
  <c r="E9170" i="6"/>
  <c r="E9174" i="6"/>
  <c r="E9178" i="6"/>
  <c r="E9182" i="6"/>
  <c r="E9186" i="6"/>
  <c r="E9190" i="6"/>
  <c r="E9194" i="6"/>
  <c r="E9198" i="6"/>
  <c r="E9202" i="6"/>
  <c r="E9206" i="6"/>
  <c r="E9210" i="6"/>
  <c r="E9214" i="6"/>
  <c r="E9218" i="6"/>
  <c r="E9222" i="6"/>
  <c r="E9226" i="6"/>
  <c r="E9230" i="6"/>
  <c r="E9234" i="6"/>
  <c r="E9238" i="6"/>
  <c r="E9242" i="6"/>
  <c r="E9246" i="6"/>
  <c r="E9250" i="6"/>
  <c r="E9254" i="6"/>
  <c r="E9258" i="6"/>
  <c r="E9262" i="6"/>
  <c r="E9266" i="6"/>
  <c r="E9270" i="6"/>
  <c r="E9274" i="6"/>
  <c r="E9278" i="6"/>
  <c r="E9282" i="6"/>
  <c r="E9286" i="6"/>
  <c r="E9290" i="6"/>
  <c r="E9294" i="6"/>
  <c r="E9298" i="6"/>
  <c r="E9302" i="6"/>
  <c r="E9306" i="6"/>
  <c r="E9310" i="6"/>
  <c r="E9314" i="6"/>
  <c r="E9318" i="6"/>
  <c r="E9322" i="6"/>
  <c r="E9326" i="6"/>
  <c r="E9330" i="6"/>
  <c r="E9334" i="6"/>
  <c r="E9338" i="6"/>
  <c r="E9342" i="6"/>
  <c r="E9346" i="6"/>
  <c r="E9350" i="6"/>
  <c r="E9354" i="6"/>
  <c r="E9358" i="6"/>
  <c r="E9362" i="6"/>
  <c r="E9366" i="6"/>
  <c r="E9370" i="6"/>
  <c r="E9374" i="6"/>
  <c r="E9378" i="6"/>
  <c r="E9382" i="6"/>
  <c r="E9386" i="6"/>
  <c r="E9390" i="6"/>
  <c r="E9394" i="6"/>
  <c r="E9398" i="6"/>
  <c r="E9402" i="6"/>
  <c r="E9406" i="6"/>
  <c r="E9410" i="6"/>
  <c r="E9414" i="6"/>
  <c r="E9418" i="6"/>
  <c r="E9422" i="6"/>
  <c r="E9426" i="6"/>
  <c r="E9430" i="6"/>
  <c r="E9434" i="6"/>
  <c r="E9438" i="6"/>
  <c r="E9442" i="6"/>
  <c r="E9446" i="6"/>
  <c r="E9450" i="6"/>
  <c r="E9454" i="6"/>
  <c r="E9458" i="6"/>
  <c r="E9462" i="6"/>
  <c r="E9466" i="6"/>
  <c r="E9470" i="6"/>
  <c r="E9474" i="6"/>
  <c r="E9478" i="6"/>
  <c r="E9482" i="6"/>
  <c r="E9486" i="6"/>
  <c r="E9490" i="6"/>
  <c r="E9494" i="6"/>
  <c r="E9498" i="6"/>
  <c r="E9502" i="6"/>
  <c r="E9506" i="6"/>
  <c r="E9510" i="6"/>
  <c r="E9514" i="6"/>
  <c r="E9518" i="6"/>
  <c r="E9522" i="6"/>
  <c r="E9526" i="6"/>
  <c r="E9530" i="6"/>
  <c r="E9534" i="6"/>
  <c r="E9538" i="6"/>
  <c r="E9542" i="6"/>
  <c r="E9546" i="6"/>
  <c r="E9550" i="6"/>
  <c r="E9554" i="6"/>
  <c r="E9558" i="6"/>
  <c r="E9562" i="6"/>
  <c r="E9566" i="6"/>
  <c r="E9570" i="6"/>
  <c r="E9574" i="6"/>
  <c r="E9578" i="6"/>
  <c r="E9582" i="6"/>
  <c r="E9586" i="6"/>
  <c r="E9590" i="6"/>
  <c r="E9594" i="6"/>
  <c r="E9598" i="6"/>
  <c r="E9602" i="6"/>
  <c r="E9606" i="6"/>
  <c r="E9610" i="6"/>
  <c r="E9614" i="6"/>
  <c r="E9618" i="6"/>
  <c r="E9622" i="6"/>
  <c r="E9626" i="6"/>
  <c r="E9630" i="6"/>
  <c r="E9634" i="6"/>
  <c r="E9638" i="6"/>
  <c r="E9642" i="6"/>
  <c r="E9646" i="6"/>
  <c r="E9650" i="6"/>
  <c r="E9654" i="6"/>
  <c r="E9658" i="6"/>
  <c r="E9662" i="6"/>
  <c r="E9666" i="6"/>
  <c r="E9670" i="6"/>
  <c r="E9674" i="6"/>
  <c r="E9678" i="6"/>
  <c r="E9682" i="6"/>
  <c r="E9686" i="6"/>
  <c r="E9690" i="6"/>
  <c r="E9694" i="6"/>
  <c r="E9698" i="6"/>
  <c r="E9702" i="6"/>
  <c r="E9706" i="6"/>
  <c r="E9710" i="6"/>
  <c r="E9714" i="6"/>
  <c r="E9718" i="6"/>
  <c r="E9722" i="6"/>
  <c r="E9726" i="6"/>
  <c r="E9730" i="6"/>
  <c r="E9734" i="6"/>
  <c r="E9738" i="6"/>
  <c r="E9742" i="6"/>
  <c r="E9746" i="6"/>
  <c r="E9750" i="6"/>
  <c r="E9754" i="6"/>
  <c r="E9758" i="6"/>
  <c r="E9762" i="6"/>
  <c r="E9766" i="6"/>
  <c r="E9770" i="6"/>
  <c r="E9774" i="6"/>
  <c r="E9778" i="6"/>
  <c r="E9782" i="6"/>
  <c r="E9786" i="6"/>
  <c r="E9790" i="6"/>
  <c r="E9794" i="6"/>
  <c r="E9798" i="6"/>
  <c r="E9802" i="6"/>
  <c r="E9806" i="6"/>
  <c r="E9810" i="6"/>
  <c r="E9814" i="6"/>
  <c r="E9818" i="6"/>
  <c r="E9822" i="6"/>
  <c r="E9826" i="6"/>
  <c r="E9830" i="6"/>
  <c r="E9834" i="6"/>
  <c r="E9838" i="6"/>
  <c r="E9842" i="6"/>
  <c r="E9846" i="6"/>
  <c r="E9850" i="6"/>
  <c r="E9854" i="6"/>
  <c r="E9858" i="6"/>
  <c r="E9862" i="6"/>
  <c r="E9866" i="6"/>
  <c r="E9870" i="6"/>
  <c r="E9874" i="6"/>
  <c r="E9878" i="6"/>
  <c r="E9882" i="6"/>
  <c r="E9886" i="6"/>
  <c r="E9890" i="6"/>
  <c r="E9894" i="6"/>
  <c r="E9898" i="6"/>
  <c r="E9902" i="6"/>
  <c r="E9906" i="6"/>
  <c r="E9910" i="6"/>
  <c r="E9914" i="6"/>
  <c r="E9918" i="6"/>
  <c r="E9922" i="6"/>
  <c r="E9926" i="6"/>
  <c r="E9930" i="6"/>
  <c r="E9934" i="6"/>
  <c r="E9938" i="6"/>
  <c r="E9942" i="6"/>
  <c r="E9946" i="6"/>
  <c r="E9950" i="6"/>
  <c r="E9954" i="6"/>
  <c r="E9958" i="6"/>
  <c r="E9962" i="6"/>
  <c r="E9966" i="6"/>
  <c r="E9970" i="6"/>
  <c r="E9974" i="6"/>
  <c r="E9978" i="6"/>
  <c r="E9982" i="6"/>
  <c r="E9986" i="6"/>
  <c r="E9990" i="6"/>
  <c r="E9994" i="6"/>
  <c r="E9998" i="6"/>
  <c r="E344" i="6"/>
  <c r="E348" i="6"/>
  <c r="E316" i="6"/>
  <c r="E320" i="6"/>
  <c r="E324" i="6"/>
  <c r="E328" i="6"/>
  <c r="E332" i="6"/>
  <c r="E336" i="6"/>
  <c r="E340" i="6"/>
  <c r="E317" i="6"/>
  <c r="E321" i="6"/>
  <c r="E325" i="6"/>
  <c r="E329" i="6"/>
  <c r="E333" i="6"/>
  <c r="E337" i="6"/>
  <c r="E341" i="6"/>
  <c r="E318" i="6"/>
  <c r="E322" i="6"/>
  <c r="E326" i="6"/>
  <c r="E330" i="6"/>
  <c r="E334" i="6"/>
  <c r="E338" i="6"/>
  <c r="E342" i="6"/>
  <c r="E319" i="6"/>
  <c r="E335" i="6"/>
  <c r="E323" i="6"/>
  <c r="E339" i="6"/>
  <c r="E327" i="6"/>
  <c r="E315" i="6"/>
  <c r="E331" i="6"/>
  <c r="E314" i="6"/>
  <c r="E312" i="6"/>
  <c r="E313" i="6"/>
  <c r="E294" i="6"/>
  <c r="E298" i="6"/>
  <c r="E302" i="6"/>
  <c r="E306" i="6"/>
  <c r="E310" i="6"/>
  <c r="E295" i="6"/>
  <c r="E299" i="6"/>
  <c r="E303" i="6"/>
  <c r="E307" i="6"/>
  <c r="E311" i="6"/>
  <c r="E292" i="6"/>
  <c r="E296" i="6"/>
  <c r="E300" i="6"/>
  <c r="E304" i="6"/>
  <c r="E308" i="6"/>
  <c r="E301" i="6"/>
  <c r="E305" i="6"/>
  <c r="E293" i="6"/>
  <c r="E309" i="6"/>
  <c r="E297" i="6"/>
  <c r="E291" i="6"/>
  <c r="E264" i="6"/>
  <c r="E268" i="6"/>
  <c r="E272" i="6"/>
  <c r="E276" i="6"/>
  <c r="E280" i="6"/>
  <c r="E284" i="6"/>
  <c r="E288" i="6"/>
  <c r="E265" i="6"/>
  <c r="E269" i="6"/>
  <c r="E273" i="6"/>
  <c r="E277" i="6"/>
  <c r="E281" i="6"/>
  <c r="E285" i="6"/>
  <c r="E289" i="6"/>
  <c r="E266" i="6"/>
  <c r="E274" i="6"/>
  <c r="E282" i="6"/>
  <c r="E290" i="6"/>
  <c r="E267" i="6"/>
  <c r="E275" i="6"/>
  <c r="E283" i="6"/>
  <c r="E262" i="6"/>
  <c r="E270" i="6"/>
  <c r="E278" i="6"/>
  <c r="E286" i="6"/>
  <c r="E263" i="6"/>
  <c r="E271" i="6"/>
  <c r="E279" i="6"/>
  <c r="E287" i="6"/>
  <c r="E220" i="6"/>
  <c r="E232" i="6"/>
  <c r="E244" i="6"/>
  <c r="E248" i="6"/>
  <c r="E176" i="6"/>
  <c r="E188" i="6"/>
  <c r="E196" i="6"/>
  <c r="E208" i="6"/>
  <c r="E165" i="6"/>
  <c r="E88" i="6"/>
  <c r="E100" i="6"/>
  <c r="E108" i="6"/>
  <c r="E116" i="6"/>
  <c r="E124" i="6"/>
  <c r="E132" i="6"/>
  <c r="E144" i="6"/>
  <c r="E156" i="6"/>
  <c r="E69" i="6"/>
  <c r="E77" i="6"/>
  <c r="E13" i="6"/>
  <c r="E21" i="6"/>
  <c r="E33" i="6"/>
  <c r="E41" i="6"/>
  <c r="E53" i="6"/>
  <c r="E61" i="6"/>
  <c r="E256" i="6"/>
  <c r="E260" i="6"/>
  <c r="E221" i="6"/>
  <c r="E225" i="6"/>
  <c r="E229" i="6"/>
  <c r="E233" i="6"/>
  <c r="E237" i="6"/>
  <c r="E241" i="6"/>
  <c r="E245" i="6"/>
  <c r="E249" i="6"/>
  <c r="E253" i="6"/>
  <c r="E177" i="6"/>
  <c r="E181" i="6"/>
  <c r="E185" i="6"/>
  <c r="E189" i="6"/>
  <c r="E193" i="6"/>
  <c r="E197" i="6"/>
  <c r="E201" i="6"/>
  <c r="E205" i="6"/>
  <c r="E209" i="6"/>
  <c r="E213" i="6"/>
  <c r="E217" i="6"/>
  <c r="E166" i="6"/>
  <c r="E170" i="6"/>
  <c r="E174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85" i="6"/>
  <c r="E66" i="6"/>
  <c r="E70" i="6"/>
  <c r="E74" i="6"/>
  <c r="E78" i="6"/>
  <c r="E82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261" i="6"/>
  <c r="E222" i="6"/>
  <c r="E226" i="6"/>
  <c r="E234" i="6"/>
  <c r="E238" i="6"/>
  <c r="E242" i="6"/>
  <c r="E250" i="6"/>
  <c r="E178" i="6"/>
  <c r="E182" i="6"/>
  <c r="E190" i="6"/>
  <c r="E194" i="6"/>
  <c r="E198" i="6"/>
  <c r="E206" i="6"/>
  <c r="E214" i="6"/>
  <c r="E218" i="6"/>
  <c r="E171" i="6"/>
  <c r="E175" i="6"/>
  <c r="E94" i="6"/>
  <c r="E98" i="6"/>
  <c r="E102" i="6"/>
  <c r="E106" i="6"/>
  <c r="E114" i="6"/>
  <c r="E118" i="6"/>
  <c r="E122" i="6"/>
  <c r="E130" i="6"/>
  <c r="E134" i="6"/>
  <c r="E142" i="6"/>
  <c r="E150" i="6"/>
  <c r="E154" i="6"/>
  <c r="E162" i="6"/>
  <c r="E67" i="6"/>
  <c r="E71" i="6"/>
  <c r="E79" i="6"/>
  <c r="E3" i="6"/>
  <c r="E7" i="6"/>
  <c r="E15" i="6"/>
  <c r="E19" i="6"/>
  <c r="E23" i="6"/>
  <c r="E27" i="6"/>
  <c r="E35" i="6"/>
  <c r="E39" i="6"/>
  <c r="E47" i="6"/>
  <c r="E51" i="6"/>
  <c r="E59" i="6"/>
  <c r="E63" i="6"/>
  <c r="E257" i="6"/>
  <c r="E230" i="6"/>
  <c r="E246" i="6"/>
  <c r="E254" i="6"/>
  <c r="E186" i="6"/>
  <c r="E202" i="6"/>
  <c r="E210" i="6"/>
  <c r="E167" i="6"/>
  <c r="E90" i="6"/>
  <c r="E110" i="6"/>
  <c r="E126" i="6"/>
  <c r="E138" i="6"/>
  <c r="E146" i="6"/>
  <c r="E158" i="6"/>
  <c r="E86" i="6"/>
  <c r="E75" i="6"/>
  <c r="E11" i="6"/>
  <c r="E31" i="6"/>
  <c r="E43" i="6"/>
  <c r="E55" i="6"/>
  <c r="E258" i="6"/>
  <c r="E219" i="6"/>
  <c r="E223" i="6"/>
  <c r="E227" i="6"/>
  <c r="E231" i="6"/>
  <c r="E235" i="6"/>
  <c r="E239" i="6"/>
  <c r="E243" i="6"/>
  <c r="E247" i="6"/>
  <c r="E251" i="6"/>
  <c r="E255" i="6"/>
  <c r="E179" i="6"/>
  <c r="E183" i="6"/>
  <c r="E187" i="6"/>
  <c r="E191" i="6"/>
  <c r="E195" i="6"/>
  <c r="E199" i="6"/>
  <c r="E203" i="6"/>
  <c r="E207" i="6"/>
  <c r="E211" i="6"/>
  <c r="E215" i="6"/>
  <c r="E164" i="6"/>
  <c r="E168" i="6"/>
  <c r="E172" i="6"/>
  <c r="E163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87" i="6"/>
  <c r="E83" i="6"/>
  <c r="E68" i="6"/>
  <c r="E72" i="6"/>
  <c r="E76" i="6"/>
  <c r="E80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259" i="6"/>
  <c r="E224" i="6"/>
  <c r="E228" i="6"/>
  <c r="E236" i="6"/>
  <c r="E240" i="6"/>
  <c r="E252" i="6"/>
  <c r="E180" i="6"/>
  <c r="E184" i="6"/>
  <c r="E192" i="6"/>
  <c r="E200" i="6"/>
  <c r="E204" i="6"/>
  <c r="E212" i="6"/>
  <c r="E216" i="6"/>
  <c r="E169" i="6"/>
  <c r="E173" i="6"/>
  <c r="E92" i="6"/>
  <c r="E96" i="6"/>
  <c r="E104" i="6"/>
  <c r="E112" i="6"/>
  <c r="E120" i="6"/>
  <c r="E128" i="6"/>
  <c r="E136" i="6"/>
  <c r="E140" i="6"/>
  <c r="E148" i="6"/>
  <c r="E152" i="6"/>
  <c r="E160" i="6"/>
  <c r="E84" i="6"/>
  <c r="E65" i="6"/>
  <c r="E73" i="6"/>
  <c r="E81" i="6"/>
  <c r="E5" i="6"/>
  <c r="E9" i="6"/>
  <c r="E17" i="6"/>
  <c r="E25" i="6"/>
  <c r="E29" i="6"/>
  <c r="E37" i="6"/>
  <c r="E45" i="6"/>
  <c r="E49" i="6"/>
  <c r="E57" i="6"/>
  <c r="F2" i="6"/>
  <c r="E2" i="6" s="1"/>
  <c r="H4" i="6" a="1"/>
  <c r="H4" i="6" s="1"/>
  <c r="M130" i="1" a="1"/>
  <c r="M264" i="1" a="1"/>
  <c r="M119" i="1" a="1"/>
  <c r="M281" i="1" a="1"/>
  <c r="M39" i="1" a="1"/>
  <c r="M146" i="1" a="1"/>
  <c r="M200" i="1" a="1"/>
  <c r="M207" i="1" a="1"/>
  <c r="M243" i="1" a="1"/>
  <c r="M98" i="1" a="1"/>
  <c r="M217" i="1" a="1"/>
  <c r="M181" i="1" a="1"/>
  <c r="M74" i="1" a="1"/>
  <c r="M272" i="1" a="1"/>
  <c r="M198" i="1" a="1"/>
  <c r="M70" i="1" a="1"/>
  <c r="M169" i="1" a="1"/>
  <c r="M51" i="1" a="1"/>
  <c r="M135" i="1" a="1"/>
  <c r="M2" i="1" a="1"/>
  <c r="M75" i="1" a="1"/>
  <c r="M149" i="1" a="1"/>
  <c r="M52" i="1" a="1"/>
  <c r="M80" i="1" a="1"/>
  <c r="M49" i="1" a="1"/>
  <c r="M73" i="1" a="1"/>
  <c r="M5" i="1" a="1"/>
  <c r="M93" i="1" a="1"/>
  <c r="M59" i="1" a="1"/>
  <c r="M179" i="1" a="1"/>
  <c r="M108" i="1" a="1"/>
  <c r="M47" i="1" a="1"/>
  <c r="M42" i="1" a="1"/>
  <c r="M289" i="1" a="1"/>
  <c r="M132" i="1" a="1"/>
  <c r="M165" i="1" a="1"/>
  <c r="M246" i="1" a="1"/>
  <c r="M97" i="1" a="1"/>
  <c r="M233" i="1" a="1"/>
  <c r="M185" i="1" a="1"/>
  <c r="M91" i="1" a="1"/>
  <c r="M122" i="1" a="1"/>
  <c r="M68" i="1" a="1"/>
  <c r="M216" i="1" a="1"/>
  <c r="M121" i="1" a="1"/>
  <c r="M251" i="1" a="1"/>
  <c r="M9" i="1" a="1"/>
  <c r="M96" i="1" a="1"/>
  <c r="M83" i="1" a="1"/>
  <c r="M283" i="1" a="1"/>
  <c r="M131" i="1" a="1"/>
  <c r="M18" i="1" a="1"/>
  <c r="M255" i="1" a="1"/>
  <c r="M234" i="1" a="1"/>
  <c r="M155" i="1" a="1"/>
  <c r="M226" i="1" a="1"/>
  <c r="M183" i="1" a="1"/>
  <c r="M95" i="1" a="1"/>
  <c r="M81" i="1" a="1"/>
  <c r="M10" i="1" a="1"/>
  <c r="M175" i="1" a="1"/>
  <c r="M174" i="1" a="1"/>
  <c r="M20" i="1" a="1"/>
  <c r="M37" i="1" a="1"/>
  <c r="M45" i="1" a="1"/>
  <c r="M38" i="1" a="1"/>
  <c r="M143" i="1" a="1"/>
  <c r="M60" i="1" a="1"/>
  <c r="M203" i="1" a="1"/>
  <c r="M141" i="1" a="1"/>
  <c r="M76" i="1" a="1"/>
  <c r="M84" i="1" a="1"/>
  <c r="M102" i="1" a="1"/>
  <c r="M177" i="1" a="1"/>
  <c r="M12" i="1" a="1"/>
  <c r="M256" i="1" a="1"/>
  <c r="M154" i="1" a="1"/>
  <c r="M123" i="1" a="1"/>
  <c r="M152" i="1" a="1"/>
  <c r="M239" i="1" a="1"/>
  <c r="M171" i="1" a="1"/>
  <c r="M147" i="1" a="1"/>
  <c r="M100" i="1" a="1"/>
  <c r="M22" i="1" a="1"/>
  <c r="M223" i="1" a="1"/>
  <c r="M166" i="1" a="1"/>
  <c r="M161" i="1" a="1"/>
  <c r="M204" i="1" a="1"/>
  <c r="M285" i="1" a="1"/>
  <c r="M250" i="1" a="1"/>
  <c r="M55" i="1" a="1"/>
  <c r="M279" i="1" a="1"/>
  <c r="M180" i="1" a="1"/>
  <c r="M168" i="1" a="1"/>
  <c r="M159" i="1" a="1"/>
  <c r="M103" i="1" a="1"/>
  <c r="M184" i="1" a="1"/>
  <c r="M85" i="1" a="1"/>
  <c r="M99" i="1" a="1"/>
  <c r="M110" i="1" a="1"/>
  <c r="M46" i="1" a="1"/>
  <c r="M218" i="1" a="1"/>
  <c r="M57" i="1" a="1"/>
  <c r="M231" i="1" a="1"/>
  <c r="M232" i="1" a="1"/>
  <c r="M172" i="1" a="1"/>
  <c r="M201" i="1" a="1"/>
  <c r="M244" i="1" a="1"/>
  <c r="M259" i="1" a="1"/>
  <c r="M94" i="1" a="1"/>
  <c r="M11" i="1" a="1"/>
  <c r="M6" i="1" a="1"/>
  <c r="M253" i="1" a="1"/>
  <c r="M71" i="1" a="1"/>
  <c r="M157" i="1" a="1"/>
  <c r="M120" i="1" a="1"/>
  <c r="M260" i="1" a="1"/>
  <c r="AL1" i="3" a="1"/>
  <c r="M133" i="1" a="1"/>
  <c r="M89" i="1" a="1"/>
  <c r="M144" i="1" a="1"/>
  <c r="M265" i="1" a="1"/>
  <c r="M268" i="1" a="1"/>
  <c r="M125" i="1" a="1"/>
  <c r="M209" i="1" a="1"/>
  <c r="M160" i="1" a="1"/>
  <c r="M43" i="1" a="1"/>
  <c r="M271" i="1" a="1"/>
  <c r="M286" i="1" a="1"/>
  <c r="M278" i="1" a="1"/>
  <c r="M151" i="1" a="1"/>
  <c r="M158" i="1" a="1"/>
  <c r="M124" i="1" a="1"/>
  <c r="M199" i="1" a="1"/>
  <c r="M67" i="1" a="1"/>
  <c r="M24" i="1" a="1"/>
  <c r="M150" i="1" a="1"/>
  <c r="M224" i="1" a="1"/>
  <c r="M107" i="1" a="1"/>
  <c r="M176" i="1" a="1"/>
  <c r="M282" i="1" a="1"/>
  <c r="M28" i="1" a="1"/>
  <c r="M127" i="1" a="1"/>
  <c r="M40" i="1" a="1"/>
  <c r="M63" i="1" a="1"/>
  <c r="M247" i="1" a="1"/>
  <c r="M134" i="1" a="1"/>
  <c r="M236" i="1" a="1"/>
  <c r="M230" i="1" a="1"/>
  <c r="M206" i="1" a="1"/>
  <c r="M214" i="1" a="1"/>
  <c r="M257" i="1" a="1"/>
  <c r="M220" i="1" a="1"/>
  <c r="M229" i="1" a="1"/>
  <c r="M262" i="1" a="1"/>
  <c r="M249" i="1" a="1"/>
  <c r="M213" i="1" a="1"/>
  <c r="M44" i="1" a="1"/>
  <c r="M27" i="1" a="1"/>
  <c r="M237" i="1" a="1"/>
  <c r="M30" i="1" a="1"/>
  <c r="M167" i="1" a="1"/>
  <c r="M50" i="1" a="1"/>
  <c r="M101" i="1" a="1"/>
  <c r="M186" i="1" a="1"/>
  <c r="M219" i="1" a="1"/>
  <c r="M162" i="1" a="1"/>
  <c r="M273" i="1" a="1"/>
  <c r="M170" i="1" a="1"/>
  <c r="M248" i="1" a="1"/>
  <c r="M197" i="1" a="1"/>
  <c r="M72" i="1" a="1"/>
  <c r="M53" i="1" a="1"/>
  <c r="M227" i="1" a="1"/>
  <c r="M290" i="1" a="1"/>
  <c r="M78" i="1" a="1"/>
  <c r="M276" i="1" a="1"/>
  <c r="M128" i="1" a="1"/>
  <c r="M261" i="1" a="1"/>
  <c r="M25" i="1" a="1"/>
  <c r="M280" i="1" a="1"/>
  <c r="M32" i="1" a="1"/>
  <c r="M210" i="1" a="1"/>
  <c r="M90" i="1" a="1"/>
  <c r="M187" i="1" a="1"/>
  <c r="M221" i="1" a="1"/>
  <c r="M137" i="1" a="1"/>
  <c r="M79" i="1" a="1"/>
  <c r="M87" i="1" a="1"/>
  <c r="M23" i="1" a="1"/>
  <c r="M115" i="1" a="1"/>
  <c r="M104" i="1" a="1"/>
  <c r="M173" i="1" a="1"/>
  <c r="M242" i="1" a="1"/>
  <c r="M109" i="1" a="1"/>
  <c r="M62" i="1" a="1"/>
  <c r="M61" i="1" a="1"/>
  <c r="M269" i="1" a="1"/>
  <c r="M153" i="1" a="1"/>
  <c r="M26" i="1" a="1"/>
  <c r="M8" i="1" a="1"/>
  <c r="M263" i="1" a="1"/>
  <c r="M191" i="1" a="1"/>
  <c r="M69" i="1" a="1"/>
  <c r="M274" i="1" a="1"/>
  <c r="M215" i="1" a="1"/>
  <c r="M142" i="1" a="1"/>
  <c r="M138" i="1" a="1"/>
  <c r="M116" i="1" a="1"/>
  <c r="M267" i="1" a="1"/>
  <c r="M19" i="1" a="1"/>
  <c r="M65" i="1" a="1"/>
  <c r="M287" i="1" a="1"/>
  <c r="M156" i="1" a="1"/>
  <c r="M178" i="1" a="1"/>
  <c r="M252" i="1" a="1"/>
  <c r="M82" i="1" a="1"/>
  <c r="M148" i="1" a="1"/>
  <c r="M189" i="1" a="1"/>
  <c r="M277" i="1" a="1"/>
  <c r="M205" i="1" a="1"/>
  <c r="M212" i="1" a="1"/>
  <c r="M254" i="1" a="1"/>
  <c r="M193" i="1" a="1"/>
  <c r="M190" i="1" a="1"/>
  <c r="M275" i="1" a="1"/>
  <c r="M77" i="1" a="1"/>
  <c r="M225" i="1" a="1"/>
  <c r="P2" i="1" a="1"/>
  <c r="M228" i="1" a="1"/>
  <c r="M29" i="1" a="1"/>
  <c r="M145" i="1" a="1"/>
  <c r="M164" i="1" a="1"/>
  <c r="M15" i="1" a="1"/>
  <c r="M66" i="1" a="1"/>
  <c r="M211" i="1" a="1"/>
  <c r="M245" i="1" a="1"/>
  <c r="M36" i="1" a="1"/>
  <c r="M16" i="1" a="1"/>
  <c r="M34" i="1" a="1"/>
  <c r="M54" i="1" a="1"/>
  <c r="M284" i="1" a="1"/>
  <c r="M266" i="1" a="1"/>
  <c r="M113" i="1" a="1"/>
  <c r="M64" i="1" a="1"/>
  <c r="M13" i="1" a="1"/>
  <c r="M196" i="1" a="1"/>
  <c r="M163" i="1" a="1"/>
  <c r="M105" i="1" a="1"/>
  <c r="M106" i="1" a="1"/>
  <c r="M14" i="1" a="1"/>
  <c r="M31" i="1" a="1"/>
  <c r="M114" i="1" a="1"/>
  <c r="M140" i="1" a="1"/>
  <c r="M240" i="1" a="1"/>
  <c r="M288" i="1" a="1"/>
  <c r="M48" i="1" a="1"/>
  <c r="M7" i="1" a="1"/>
  <c r="M238" i="1" a="1"/>
  <c r="M118" i="1" a="1"/>
  <c r="M192" i="1" a="1"/>
  <c r="M111" i="1" a="1"/>
  <c r="M4" i="1" a="1"/>
  <c r="M92" i="1" a="1"/>
  <c r="M21" i="1" a="1"/>
  <c r="M129" i="1" a="1"/>
  <c r="M33" i="1" a="1"/>
  <c r="M86" i="1" a="1"/>
  <c r="M112" i="1" a="1"/>
  <c r="M58" i="1" a="1"/>
  <c r="M3" i="1" a="1"/>
  <c r="M235" i="1" a="1"/>
  <c r="M126" i="1" a="1"/>
  <c r="M41" i="1" a="1"/>
  <c r="M202" i="1" a="1"/>
  <c r="M139" i="1" a="1"/>
  <c r="M208" i="1" a="1"/>
  <c r="M241" i="1" a="1"/>
  <c r="M222" i="1" a="1"/>
  <c r="M194" i="1" a="1"/>
  <c r="M136" i="1" a="1"/>
  <c r="M117" i="1" a="1"/>
  <c r="M35" i="1" a="1"/>
  <c r="M270" i="1" a="1"/>
  <c r="M56" i="1" a="1"/>
  <c r="M88" i="1" a="1"/>
  <c r="M182" i="1" a="1"/>
  <c r="M17" i="1" a="1"/>
  <c r="M258" i="1" a="1"/>
  <c r="M188" i="1" a="1"/>
  <c r="M195" i="1" a="1"/>
  <c r="M271" i="1" l="1"/>
  <c r="M70" i="1"/>
  <c r="M27" i="1"/>
  <c r="M261" i="1"/>
  <c r="M279" i="1"/>
  <c r="M128" i="1"/>
  <c r="M176" i="1"/>
  <c r="M270" i="1"/>
  <c r="M85" i="1"/>
  <c r="M166" i="1"/>
  <c r="M237" i="1"/>
  <c r="M153" i="1"/>
  <c r="M136" i="1"/>
  <c r="M286" i="1"/>
  <c r="M89" i="1"/>
  <c r="M215" i="1"/>
  <c r="M173" i="1"/>
  <c r="M20" i="1"/>
  <c r="M98" i="1"/>
  <c r="M167" i="1"/>
  <c r="M94" i="1"/>
  <c r="M226" i="1"/>
  <c r="M228" i="1"/>
  <c r="M57" i="1"/>
  <c r="M109" i="1"/>
  <c r="M284" i="1"/>
  <c r="M63" i="1"/>
  <c r="M39" i="1"/>
  <c r="M34" i="1"/>
  <c r="M256" i="1"/>
  <c r="M202" i="1"/>
  <c r="M231" i="1"/>
  <c r="AL1" i="3"/>
  <c r="M31" i="1"/>
  <c r="M61" i="1"/>
  <c r="M127" i="1"/>
  <c r="M212" i="1"/>
  <c r="M207" i="1"/>
  <c r="M66" i="1"/>
  <c r="M272" i="1"/>
  <c r="M14" i="1"/>
  <c r="M42" i="1"/>
  <c r="M234" i="1"/>
  <c r="M216" i="1"/>
  <c r="M104" i="1"/>
  <c r="M260" i="1"/>
  <c r="M80" i="1"/>
  <c r="M105" i="1"/>
  <c r="M76" i="1"/>
  <c r="M149" i="1"/>
  <c r="M52" i="1"/>
  <c r="M130" i="1"/>
  <c r="M91" i="1"/>
  <c r="M199" i="1"/>
  <c r="M21" i="1"/>
  <c r="M47" i="1"/>
  <c r="M171" i="1"/>
  <c r="M174" i="1"/>
  <c r="M150" i="1"/>
  <c r="M117" i="1"/>
  <c r="M164" i="1"/>
  <c r="M169" i="1"/>
  <c r="M195" i="1"/>
  <c r="M87" i="1"/>
  <c r="M49" i="1"/>
  <c r="M183" i="1"/>
  <c r="M74" i="1"/>
  <c r="M113" i="1"/>
  <c r="M7" i="1"/>
  <c r="M172" i="1"/>
  <c r="M59" i="1"/>
  <c r="M93" i="1"/>
  <c r="M217" i="1"/>
  <c r="M266" i="1"/>
  <c r="M121" i="1"/>
  <c r="M48" i="1"/>
  <c r="M30" i="1"/>
  <c r="M236" i="1"/>
  <c r="M144" i="1"/>
  <c r="M17" i="1"/>
  <c r="M6" i="1"/>
  <c r="M36" i="1"/>
  <c r="M251" i="1"/>
  <c r="M274" i="1"/>
  <c r="M81" i="1"/>
  <c r="M44" i="1"/>
  <c r="M157" i="1"/>
  <c r="M239" i="1"/>
  <c r="M250" i="1"/>
  <c r="M110" i="1"/>
  <c r="M210" i="1"/>
  <c r="M213" i="1"/>
  <c r="M276" i="1"/>
  <c r="M147" i="1"/>
  <c r="M26" i="1"/>
  <c r="M146" i="1"/>
  <c r="M129" i="1"/>
  <c r="M185" i="1"/>
  <c r="M282" i="1"/>
  <c r="M106" i="1"/>
  <c r="M137" i="1"/>
  <c r="M90" i="1"/>
  <c r="M235" i="1"/>
  <c r="M283" i="1"/>
  <c r="M37" i="1"/>
  <c r="M23" i="1"/>
  <c r="M133" i="1"/>
  <c r="M11" i="1"/>
  <c r="M46" i="1"/>
  <c r="M12" i="1"/>
  <c r="M222" i="1"/>
  <c r="M88" i="1"/>
  <c r="M275" i="1"/>
  <c r="M200" i="1"/>
  <c r="M186" i="1"/>
  <c r="M18" i="1"/>
  <c r="M120" i="1"/>
  <c r="M124" i="1"/>
  <c r="M51" i="1"/>
  <c r="M97" i="1"/>
  <c r="M269" i="1"/>
  <c r="M69" i="1"/>
  <c r="M79" i="1"/>
  <c r="M54" i="1"/>
  <c r="M114" i="1"/>
  <c r="M247" i="1"/>
  <c r="M163" i="1"/>
  <c r="M115" i="1"/>
  <c r="M192" i="1"/>
  <c r="P2" i="1"/>
  <c r="Q2" i="1" s="1"/>
  <c r="M148" i="1"/>
  <c r="M194" i="1"/>
  <c r="M252" i="1"/>
  <c r="M82" i="1"/>
  <c r="M16" i="1"/>
  <c r="M242" i="1"/>
  <c r="M75" i="1"/>
  <c r="M138" i="1"/>
  <c r="M28" i="1"/>
  <c r="M131" i="1"/>
  <c r="M257" i="1"/>
  <c r="M4" i="1"/>
  <c r="M268" i="1"/>
  <c r="M72" i="1"/>
  <c r="M206" i="1"/>
  <c r="M265" i="1"/>
  <c r="M19" i="1"/>
  <c r="M126" i="1"/>
  <c r="M262" i="1"/>
  <c r="M155" i="1"/>
  <c r="M151" i="1"/>
  <c r="M223" i="1"/>
  <c r="M123" i="1"/>
  <c r="M243" i="1"/>
  <c r="M68" i="1"/>
  <c r="M204" i="1"/>
  <c r="M211" i="1"/>
  <c r="M152" i="1"/>
  <c r="M55" i="1"/>
  <c r="M60" i="1"/>
  <c r="M288" i="1"/>
  <c r="M40" i="1"/>
  <c r="M249" i="1"/>
  <c r="M233" i="1"/>
  <c r="M181" i="1"/>
  <c r="M175" i="1"/>
  <c r="M253" i="1"/>
  <c r="M281" i="1"/>
  <c r="M224" i="1"/>
  <c r="M64" i="1"/>
  <c r="M180" i="1"/>
  <c r="M221" i="1"/>
  <c r="M159" i="1"/>
  <c r="M132" i="1"/>
  <c r="M264" i="1"/>
  <c r="M67" i="1"/>
  <c r="M188" i="1"/>
  <c r="M196" i="1"/>
  <c r="M177" i="1"/>
  <c r="M141" i="1"/>
  <c r="M3" i="1"/>
  <c r="M259" i="1"/>
  <c r="M108" i="1"/>
  <c r="M197" i="1"/>
  <c r="M280" i="1"/>
  <c r="M241" i="1"/>
  <c r="M134" i="1"/>
  <c r="M142" i="1"/>
  <c r="M156" i="1"/>
  <c r="M161" i="1"/>
  <c r="M43" i="1"/>
  <c r="M125" i="1"/>
  <c r="M160" i="1"/>
  <c r="M208" i="1"/>
  <c r="M278" i="1"/>
  <c r="M145" i="1"/>
  <c r="M245" i="1"/>
  <c r="M102" i="1"/>
  <c r="M219" i="1"/>
  <c r="M111" i="1"/>
  <c r="M86" i="1"/>
  <c r="M78" i="1"/>
  <c r="M65" i="1"/>
  <c r="M118" i="1"/>
  <c r="M254" i="1"/>
  <c r="M229" i="1"/>
  <c r="M225" i="1"/>
  <c r="M287" i="1"/>
  <c r="M290" i="1"/>
  <c r="M58" i="1"/>
  <c r="M119" i="1"/>
  <c r="M53" i="1"/>
  <c r="M232" i="1"/>
  <c r="M73" i="1"/>
  <c r="M62" i="1"/>
  <c r="M255" i="1"/>
  <c r="M285" i="1"/>
  <c r="M35" i="1"/>
  <c r="M218" i="1"/>
  <c r="M214" i="1"/>
  <c r="M101" i="1"/>
  <c r="M92" i="1"/>
  <c r="M24" i="1"/>
  <c r="M99" i="1"/>
  <c r="M244" i="1"/>
  <c r="M201" i="1"/>
  <c r="M9" i="1"/>
  <c r="M289" i="1"/>
  <c r="M220" i="1"/>
  <c r="M5" i="1"/>
  <c r="M187" i="1"/>
  <c r="M193" i="1"/>
  <c r="M103" i="1"/>
  <c r="M95" i="1"/>
  <c r="M248" i="1"/>
  <c r="M246" i="1"/>
  <c r="M41" i="1"/>
  <c r="M122" i="1"/>
  <c r="M96" i="1"/>
  <c r="M83" i="1"/>
  <c r="M178" i="1"/>
  <c r="M45" i="1"/>
  <c r="M165" i="1"/>
  <c r="M140" i="1"/>
  <c r="M238" i="1"/>
  <c r="M33" i="1"/>
  <c r="M15" i="1"/>
  <c r="M154" i="1"/>
  <c r="M143" i="1"/>
  <c r="M84" i="1"/>
  <c r="M179" i="1"/>
  <c r="M158" i="1"/>
  <c r="M230" i="1"/>
  <c r="M184" i="1"/>
  <c r="M29" i="1"/>
  <c r="M203" i="1"/>
  <c r="M205" i="1"/>
  <c r="M189" i="1"/>
  <c r="M170" i="1"/>
  <c r="M2" i="1"/>
  <c r="M22" i="1"/>
  <c r="M263" i="1"/>
  <c r="M107" i="1"/>
  <c r="M258" i="1"/>
  <c r="M38" i="1"/>
  <c r="M190" i="1"/>
  <c r="M267" i="1"/>
  <c r="M8" i="1"/>
  <c r="M198" i="1"/>
  <c r="M77" i="1"/>
  <c r="M191" i="1"/>
  <c r="M209" i="1"/>
  <c r="M112" i="1"/>
  <c r="M116" i="1"/>
  <c r="M50" i="1"/>
  <c r="M273" i="1"/>
  <c r="M32" i="1"/>
  <c r="M168" i="1"/>
  <c r="M277" i="1"/>
  <c r="M25" i="1"/>
  <c r="M162" i="1"/>
  <c r="M71" i="1"/>
  <c r="M240" i="1"/>
  <c r="M10" i="1"/>
  <c r="M139" i="1"/>
  <c r="M182" i="1"/>
  <c r="M100" i="1"/>
  <c r="M135" i="1"/>
  <c r="M13" i="1"/>
  <c r="M56" i="1"/>
  <c r="M2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<sst xmlns="http://schemas.openxmlformats.org/spreadsheetml/2006/main" count="132" uniqueCount="71">
  <si>
    <t>Data</t>
  </si>
  <si>
    <t>Etica Rendita Bilanciata</t>
  </si>
  <si>
    <t>Etica Obbligazionario Breve Termine</t>
  </si>
  <si>
    <t>Etica Obbligazionario Misto</t>
  </si>
  <si>
    <t>Etica Bilanciato</t>
  </si>
  <si>
    <t>Etica Azionario</t>
  </si>
  <si>
    <t>Etica Transizione Climatica</t>
  </si>
  <si>
    <t>Etica Obiettivo Sociale</t>
  </si>
  <si>
    <t>Etica Conservative Allocation</t>
  </si>
  <si>
    <t>Etica Dynamic Allocation</t>
  </si>
  <si>
    <t>Etica Global Equity</t>
  </si>
  <si>
    <t>Data2</t>
  </si>
  <si>
    <t>Filtro</t>
  </si>
  <si>
    <t>Valore Volatilità</t>
  </si>
  <si>
    <t>Data Da File VaR</t>
  </si>
  <si>
    <t>VaR OS</t>
  </si>
  <si>
    <t>Controllo</t>
  </si>
  <si>
    <t>Data da Foglio Output Fondi</t>
  </si>
  <si>
    <t>=SE('Output Fondi'!L2:L10000=0;"";'Output Fondi'!L2:L10000)</t>
  </si>
  <si>
    <t>Limite RB</t>
  </si>
  <si>
    <t>Limite BT</t>
  </si>
  <si>
    <t>Limite OM</t>
  </si>
  <si>
    <t>Limite Bil</t>
  </si>
  <si>
    <t>Limite AZ</t>
  </si>
  <si>
    <t>Limite IC</t>
  </si>
  <si>
    <t>Limite OS</t>
  </si>
  <si>
    <t>Limite Cons</t>
  </si>
  <si>
    <t>Limite Dyn</t>
  </si>
  <si>
    <t>Limite Glob</t>
  </si>
  <si>
    <t>Limite maggiorato RB</t>
  </si>
  <si>
    <t>Limite maggiorato BT</t>
  </si>
  <si>
    <t>Limite maggiorato OM</t>
  </si>
  <si>
    <t>Limite maggiorato Bil</t>
  </si>
  <si>
    <t>Limite maggiorato AZ</t>
  </si>
  <si>
    <t>Limite maggiorato IC</t>
  </si>
  <si>
    <t>Limite  OS</t>
  </si>
  <si>
    <t>Limite maggiorato OS</t>
  </si>
  <si>
    <t>Limite maggiorato Cons</t>
  </si>
  <si>
    <t>Limite maggiorato Dyn</t>
  </si>
  <si>
    <t>Limite maggiorato Glob</t>
  </si>
  <si>
    <t>FONDI ETICA SGR</t>
  </si>
  <si>
    <t>Fascia Ridotta</t>
  </si>
  <si>
    <t>Fascia Intermedia</t>
  </si>
  <si>
    <t>Fascia Normale</t>
  </si>
  <si>
    <t>Fascia Dinamica</t>
  </si>
  <si>
    <t>Fascia Estesa</t>
  </si>
  <si>
    <t>Etichette di riga</t>
  </si>
  <si>
    <t>Limite</t>
  </si>
  <si>
    <t>Limite maggiorato</t>
  </si>
  <si>
    <t>Rendita Bilanciata</t>
  </si>
  <si>
    <t>Breve Termine</t>
  </si>
  <si>
    <t>Obbligazionario Misto</t>
  </si>
  <si>
    <t>Bilanciato</t>
  </si>
  <si>
    <t>Azionario</t>
  </si>
  <si>
    <t>Transizione Climatica</t>
  </si>
  <si>
    <t>Obiettivo Sociale</t>
  </si>
  <si>
    <t>Limite Maggiorato</t>
  </si>
  <si>
    <t>Totale complessivo</t>
  </si>
  <si>
    <t>TE media del mese</t>
  </si>
  <si>
    <t>TE media YTD</t>
  </si>
  <si>
    <t>max TE</t>
  </si>
  <si>
    <t>data max TE</t>
  </si>
  <si>
    <t>Limite di TE</t>
  </si>
  <si>
    <t xml:space="preserve"> Etica Obbligazionario Breve Termine</t>
  </si>
  <si>
    <t xml:space="preserve"> Etica Obbligazionario Misto</t>
  </si>
  <si>
    <t xml:space="preserve"> Etica Rendita Bilanciata</t>
  </si>
  <si>
    <t xml:space="preserve"> Etica Obiettivo Sociale</t>
  </si>
  <si>
    <t>-</t>
  </si>
  <si>
    <t xml:space="preserve"> Etica Transizione Climatica</t>
  </si>
  <si>
    <t xml:space="preserve"> Etica Bilanciato</t>
  </si>
  <si>
    <t xml:space="preserve"> Etica Azionario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</si>
</sst>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m/d/yyyy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SolexRegular"/>
    </font>
    <font>
      <b/>
      <sz val="14"/>
      <color theme="1"/>
      <name val="SolexBold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0423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4" borderId="0" xfId="0" applyFill="1"/>
    <xf numFmtId="0" fontId="0" fillId="5" borderId="2" xfId="0" applyFill="1" applyBorder="1"/>
    <xf numFmtId="0" fontId="0" fillId="4" borderId="2" xfId="0" applyFill="1" applyBorder="1"/>
    <xf numFmtId="14" fontId="0" fillId="0" borderId="0" xfId="0" applyNumberFormat="1"/>
    <xf numFmtId="0" fontId="0" fillId="0" borderId="0" xfId="0" pivotButton="1"/>
    <xf numFmtId="4" fontId="0" fillId="0" borderId="0" xfId="0" applyNumberFormat="1" applyAlignment="1">
      <alignment horizontal="center"/>
    </xf>
    <xf numFmtId="0" fontId="0" fillId="0" borderId="0" xfId="0" quotePrefix="1"/>
    <xf numFmtId="0" fontId="0" fillId="3" borderId="0" xfId="0" applyFill="1"/>
    <xf numFmtId="3" fontId="0" fillId="0" borderId="0" xfId="0" applyNumberFormat="1"/>
    <xf numFmtId="3" fontId="0" fillId="0" borderId="0" xfId="0" applyNumberFormat="1" applyAlignment="1">
      <alignment horizontal="center"/>
    </xf>
    <xf numFmtId="0" fontId="1" fillId="2" borderId="0" xfId="0" applyFont="1" applyFill="1"/>
    <xf numFmtId="0" fontId="1" fillId="2" borderId="5" xfId="0" applyFont="1" applyFill="1" applyBorder="1"/>
    <xf numFmtId="0" fontId="1" fillId="2" borderId="4" xfId="0" applyFont="1" applyFill="1" applyBorder="1"/>
    <xf numFmtId="14" fontId="1" fillId="2" borderId="3" xfId="0" applyNumberFormat="1" applyFont="1" applyFill="1" applyBorder="1"/>
    <xf numFmtId="14" fontId="0" fillId="0" borderId="0" xfId="0" applyNumberFormat="1" applyAlignment="1">
      <alignment horizontal="left"/>
    </xf>
    <xf numFmtId="14" fontId="2" fillId="6" borderId="0" xfId="0" applyNumberFormat="1" applyFont="1" applyFill="1" applyAlignment="1">
      <alignment horizontal="left"/>
    </xf>
    <xf numFmtId="2" fontId="3" fillId="0" borderId="6" xfId="0" applyNumberFormat="1" applyFont="1" applyBorder="1" applyAlignment="1">
      <alignment horizontal="center"/>
    </xf>
    <xf numFmtId="14" fontId="3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3" fillId="9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11" borderId="0" xfId="0" applyFont="1" applyFill="1"/>
    <xf numFmtId="2" fontId="3" fillId="0" borderId="7" xfId="0" applyNumberFormat="1" applyFont="1" applyBorder="1" applyAlignment="1">
      <alignment horizontal="center"/>
    </xf>
    <xf numFmtId="0" fontId="3" fillId="12" borderId="0" xfId="0" applyFont="1" applyFill="1"/>
    <xf numFmtId="0" fontId="3" fillId="0" borderId="0" xfId="0" applyFont="1" applyAlignment="1">
      <alignment horizontal="left"/>
    </xf>
    <xf numFmtId="0" fontId="3" fillId="0" borderId="0" xfId="0" applyFont="1"/>
    <xf numFmtId="164" fontId="0" fillId="0" borderId="0" xfId="0" applyNumberFormat="1"/>
    <xf numFmtId="0" fontId="4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0" borderId="0" xfId="0" applyNumberFormat="1"/>
    <xf numFmtId="165" fontId="0" fillId="0" borderId="3" xfId="0" applyNumberFormat="1" applyBorder="1"/>
    <xf numFmtId="0" fontId="0" fillId="0" borderId="0" xfId="0" applyNumberFormat="1"/>
  </cellXfs>
  <cellStyles count="1">
    <cellStyle name="Normale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alignment horizontal="center" vertical="bottom" textRotation="0" wrapText="0" indent="0" justifyLastLine="0" shrinkToFit="0" readingOrder="0"/>
    </dxf>
    <dxf>
      <numFmt numFmtId="165" formatCode="m/d/yyyy"/>
    </dxf>
    <dxf>
      <numFmt numFmtId="0" formatCode="General"/>
    </dxf>
    <dxf>
      <numFmt numFmtId="0" formatCode="General"/>
    </dxf>
    <dxf>
      <numFmt numFmtId="165" formatCode="m/d/yyyy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[Grafici TEV.xlsm]Tabelle Pivot!Tabella pivot1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Rendita</a:t>
            </a:r>
            <a:r>
              <a:rPr lang="it-IT" baseline="0"/>
              <a:t> Bilanciata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Pivot'!$B$3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Pivot'!$B$4:$B$439</c:f>
              <c:numCache>
                <c:formatCode>General</c:formatCode>
                <c:ptCount val="435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1.75</c:v>
                </c:pt>
                <c:pt idx="37">
                  <c:v>1.75</c:v>
                </c:pt>
                <c:pt idx="38">
                  <c:v>1.75</c:v>
                </c:pt>
                <c:pt idx="39">
                  <c:v>1.75</c:v>
                </c:pt>
                <c:pt idx="40">
                  <c:v>1.75</c:v>
                </c:pt>
                <c:pt idx="41">
                  <c:v>1.75</c:v>
                </c:pt>
                <c:pt idx="42">
                  <c:v>1.75</c:v>
                </c:pt>
                <c:pt idx="43">
                  <c:v>1.75</c:v>
                </c:pt>
                <c:pt idx="44">
                  <c:v>1.75</c:v>
                </c:pt>
                <c:pt idx="45">
                  <c:v>1.75</c:v>
                </c:pt>
                <c:pt idx="46">
                  <c:v>1.75</c:v>
                </c:pt>
                <c:pt idx="47">
                  <c:v>1.75</c:v>
                </c:pt>
                <c:pt idx="48">
                  <c:v>1.75</c:v>
                </c:pt>
                <c:pt idx="49">
                  <c:v>1.75</c:v>
                </c:pt>
                <c:pt idx="50">
                  <c:v>1.75</c:v>
                </c:pt>
                <c:pt idx="51">
                  <c:v>1.75</c:v>
                </c:pt>
                <c:pt idx="52">
                  <c:v>1.75</c:v>
                </c:pt>
                <c:pt idx="53">
                  <c:v>1.75</c:v>
                </c:pt>
                <c:pt idx="54">
                  <c:v>1.75</c:v>
                </c:pt>
                <c:pt idx="55">
                  <c:v>1.75</c:v>
                </c:pt>
                <c:pt idx="56">
                  <c:v>1.75</c:v>
                </c:pt>
                <c:pt idx="57">
                  <c:v>1.75</c:v>
                </c:pt>
                <c:pt idx="58">
                  <c:v>1.75</c:v>
                </c:pt>
                <c:pt idx="59">
                  <c:v>1.75</c:v>
                </c:pt>
                <c:pt idx="60">
                  <c:v>1.75</c:v>
                </c:pt>
                <c:pt idx="61">
                  <c:v>1.75</c:v>
                </c:pt>
                <c:pt idx="62">
                  <c:v>1.75</c:v>
                </c:pt>
                <c:pt idx="63">
                  <c:v>1.75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1.75</c:v>
                </c:pt>
                <c:pt idx="68">
                  <c:v>1.75</c:v>
                </c:pt>
                <c:pt idx="69">
                  <c:v>1.75</c:v>
                </c:pt>
                <c:pt idx="70">
                  <c:v>1.75</c:v>
                </c:pt>
                <c:pt idx="71">
                  <c:v>1.75</c:v>
                </c:pt>
                <c:pt idx="72">
                  <c:v>1.75</c:v>
                </c:pt>
                <c:pt idx="73">
                  <c:v>1.75</c:v>
                </c:pt>
                <c:pt idx="74">
                  <c:v>1.75</c:v>
                </c:pt>
                <c:pt idx="75">
                  <c:v>1.75</c:v>
                </c:pt>
                <c:pt idx="76">
                  <c:v>1.75</c:v>
                </c:pt>
                <c:pt idx="77">
                  <c:v>1.75</c:v>
                </c:pt>
                <c:pt idx="78">
                  <c:v>1.75</c:v>
                </c:pt>
                <c:pt idx="79">
                  <c:v>1.75</c:v>
                </c:pt>
                <c:pt idx="80">
                  <c:v>1.75</c:v>
                </c:pt>
                <c:pt idx="81">
                  <c:v>1.75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2.5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2.5</c:v>
                </c:pt>
                <c:pt idx="111">
                  <c:v>2.5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2.5</c:v>
                </c:pt>
                <c:pt idx="116">
                  <c:v>2.5</c:v>
                </c:pt>
                <c:pt idx="117">
                  <c:v>2.5</c:v>
                </c:pt>
                <c:pt idx="118">
                  <c:v>2.5</c:v>
                </c:pt>
                <c:pt idx="119">
                  <c:v>2.5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2.5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2.5</c:v>
                </c:pt>
                <c:pt idx="155">
                  <c:v>2.5</c:v>
                </c:pt>
                <c:pt idx="156">
                  <c:v>2.5</c:v>
                </c:pt>
                <c:pt idx="157">
                  <c:v>2.5</c:v>
                </c:pt>
                <c:pt idx="158">
                  <c:v>2.5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2.5</c:v>
                </c:pt>
                <c:pt idx="178">
                  <c:v>2.5</c:v>
                </c:pt>
                <c:pt idx="179">
                  <c:v>2.5</c:v>
                </c:pt>
                <c:pt idx="180">
                  <c:v>2.5</c:v>
                </c:pt>
                <c:pt idx="181">
                  <c:v>2.5</c:v>
                </c:pt>
                <c:pt idx="182">
                  <c:v>2.5</c:v>
                </c:pt>
                <c:pt idx="183">
                  <c:v>2.5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2.5</c:v>
                </c:pt>
                <c:pt idx="189">
                  <c:v>2.5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2.5</c:v>
                </c:pt>
                <c:pt idx="195">
                  <c:v>2.5</c:v>
                </c:pt>
                <c:pt idx="196">
                  <c:v>2.5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2.5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2.5</c:v>
                </c:pt>
                <c:pt idx="210">
                  <c:v>2.5</c:v>
                </c:pt>
                <c:pt idx="211">
                  <c:v>2.5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2.5</c:v>
                </c:pt>
                <c:pt idx="219">
                  <c:v>2.5</c:v>
                </c:pt>
                <c:pt idx="220">
                  <c:v>2.5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2.5</c:v>
                </c:pt>
                <c:pt idx="230">
                  <c:v>2.5</c:v>
                </c:pt>
                <c:pt idx="231">
                  <c:v>2.5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1.75</c:v>
                </c:pt>
                <c:pt idx="236">
                  <c:v>1.75</c:v>
                </c:pt>
                <c:pt idx="237">
                  <c:v>1.75</c:v>
                </c:pt>
                <c:pt idx="238">
                  <c:v>1.75</c:v>
                </c:pt>
                <c:pt idx="239">
                  <c:v>1.75</c:v>
                </c:pt>
                <c:pt idx="240">
                  <c:v>1.75</c:v>
                </c:pt>
                <c:pt idx="241">
                  <c:v>1.75</c:v>
                </c:pt>
                <c:pt idx="242">
                  <c:v>1.75</c:v>
                </c:pt>
                <c:pt idx="243">
                  <c:v>1.75</c:v>
                </c:pt>
                <c:pt idx="244">
                  <c:v>1.75</c:v>
                </c:pt>
                <c:pt idx="245">
                  <c:v>1.75</c:v>
                </c:pt>
                <c:pt idx="246">
                  <c:v>1.75</c:v>
                </c:pt>
                <c:pt idx="247">
                  <c:v>1.75</c:v>
                </c:pt>
                <c:pt idx="248">
                  <c:v>1.75</c:v>
                </c:pt>
                <c:pt idx="249">
                  <c:v>1.75</c:v>
                </c:pt>
                <c:pt idx="250">
                  <c:v>1.75</c:v>
                </c:pt>
                <c:pt idx="251">
                  <c:v>1.75</c:v>
                </c:pt>
                <c:pt idx="252">
                  <c:v>1.75</c:v>
                </c:pt>
                <c:pt idx="253">
                  <c:v>1.75</c:v>
                </c:pt>
                <c:pt idx="254">
                  <c:v>1.75</c:v>
                </c:pt>
                <c:pt idx="255">
                  <c:v>1.75</c:v>
                </c:pt>
                <c:pt idx="256">
                  <c:v>1.75</c:v>
                </c:pt>
                <c:pt idx="257">
                  <c:v>1.75</c:v>
                </c:pt>
                <c:pt idx="258">
                  <c:v>1.75</c:v>
                </c:pt>
                <c:pt idx="259">
                  <c:v>1.75</c:v>
                </c:pt>
                <c:pt idx="260">
                  <c:v>1.75</c:v>
                </c:pt>
                <c:pt idx="261">
                  <c:v>1.75</c:v>
                </c:pt>
                <c:pt idx="262">
                  <c:v>1.75</c:v>
                </c:pt>
                <c:pt idx="263">
                  <c:v>1.75</c:v>
                </c:pt>
                <c:pt idx="264">
                  <c:v>1.75</c:v>
                </c:pt>
                <c:pt idx="265">
                  <c:v>1.75</c:v>
                </c:pt>
                <c:pt idx="266">
                  <c:v>1.75</c:v>
                </c:pt>
                <c:pt idx="267">
                  <c:v>1.75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1.75</c:v>
                </c:pt>
                <c:pt idx="274">
                  <c:v>1.75</c:v>
                </c:pt>
                <c:pt idx="275">
                  <c:v>1.75</c:v>
                </c:pt>
                <c:pt idx="276">
                  <c:v>1.75</c:v>
                </c:pt>
                <c:pt idx="277">
                  <c:v>1.75</c:v>
                </c:pt>
                <c:pt idx="278">
                  <c:v>1.75</c:v>
                </c:pt>
                <c:pt idx="279">
                  <c:v>1.75</c:v>
                </c:pt>
                <c:pt idx="280">
                  <c:v>1.75</c:v>
                </c:pt>
                <c:pt idx="281">
                  <c:v>1.75</c:v>
                </c:pt>
                <c:pt idx="282">
                  <c:v>1.75</c:v>
                </c:pt>
                <c:pt idx="283">
                  <c:v>1.75</c:v>
                </c:pt>
                <c:pt idx="284">
                  <c:v>1.75</c:v>
                </c:pt>
                <c:pt idx="285">
                  <c:v>1.75</c:v>
                </c:pt>
                <c:pt idx="286">
                  <c:v>1.75</c:v>
                </c:pt>
                <c:pt idx="287">
                  <c:v>1.75</c:v>
                </c:pt>
                <c:pt idx="288">
                  <c:v>1.75</c:v>
                </c:pt>
                <c:pt idx="289">
                  <c:v>1.75</c:v>
                </c:pt>
                <c:pt idx="290">
                  <c:v>1.75</c:v>
                </c:pt>
                <c:pt idx="291">
                  <c:v>1.75</c:v>
                </c:pt>
                <c:pt idx="292">
                  <c:v>1.75</c:v>
                </c:pt>
                <c:pt idx="293">
                  <c:v>1.75</c:v>
                </c:pt>
                <c:pt idx="294">
                  <c:v>1.75</c:v>
                </c:pt>
                <c:pt idx="295">
                  <c:v>1.75</c:v>
                </c:pt>
                <c:pt idx="296">
                  <c:v>1.75</c:v>
                </c:pt>
                <c:pt idx="297">
                  <c:v>1.75</c:v>
                </c:pt>
                <c:pt idx="298">
                  <c:v>1.75</c:v>
                </c:pt>
                <c:pt idx="299">
                  <c:v>1.75</c:v>
                </c:pt>
                <c:pt idx="300">
                  <c:v>1.75</c:v>
                </c:pt>
                <c:pt idx="301">
                  <c:v>1.75</c:v>
                </c:pt>
                <c:pt idx="302">
                  <c:v>1.75</c:v>
                </c:pt>
                <c:pt idx="303">
                  <c:v>1.75</c:v>
                </c:pt>
                <c:pt idx="304">
                  <c:v>1.75</c:v>
                </c:pt>
                <c:pt idx="305">
                  <c:v>1.75</c:v>
                </c:pt>
                <c:pt idx="306">
                  <c:v>1.75</c:v>
                </c:pt>
                <c:pt idx="307">
                  <c:v>1.75</c:v>
                </c:pt>
                <c:pt idx="308">
                  <c:v>1.75</c:v>
                </c:pt>
                <c:pt idx="309">
                  <c:v>1.75</c:v>
                </c:pt>
                <c:pt idx="310">
                  <c:v>1.75</c:v>
                </c:pt>
                <c:pt idx="311">
                  <c:v>1.75</c:v>
                </c:pt>
                <c:pt idx="312">
                  <c:v>1.75</c:v>
                </c:pt>
                <c:pt idx="313">
                  <c:v>1.75</c:v>
                </c:pt>
                <c:pt idx="314">
                  <c:v>1.75</c:v>
                </c:pt>
                <c:pt idx="315">
                  <c:v>1.75</c:v>
                </c:pt>
                <c:pt idx="316">
                  <c:v>1.75</c:v>
                </c:pt>
                <c:pt idx="317">
                  <c:v>1.75</c:v>
                </c:pt>
                <c:pt idx="318">
                  <c:v>1.75</c:v>
                </c:pt>
                <c:pt idx="319">
                  <c:v>1.75</c:v>
                </c:pt>
                <c:pt idx="320">
                  <c:v>1.75</c:v>
                </c:pt>
                <c:pt idx="321">
                  <c:v>1.75</c:v>
                </c:pt>
                <c:pt idx="322">
                  <c:v>1.75</c:v>
                </c:pt>
                <c:pt idx="323">
                  <c:v>1.75</c:v>
                </c:pt>
                <c:pt idx="324">
                  <c:v>1.75</c:v>
                </c:pt>
                <c:pt idx="325">
                  <c:v>1.75</c:v>
                </c:pt>
                <c:pt idx="326">
                  <c:v>1.75</c:v>
                </c:pt>
                <c:pt idx="327">
                  <c:v>1.75</c:v>
                </c:pt>
                <c:pt idx="328">
                  <c:v>1.75</c:v>
                </c:pt>
                <c:pt idx="329">
                  <c:v>1.75</c:v>
                </c:pt>
                <c:pt idx="330">
                  <c:v>1.75</c:v>
                </c:pt>
                <c:pt idx="331">
                  <c:v>1.75</c:v>
                </c:pt>
                <c:pt idx="332">
                  <c:v>1.75</c:v>
                </c:pt>
                <c:pt idx="333">
                  <c:v>1.75</c:v>
                </c:pt>
                <c:pt idx="334">
                  <c:v>1.75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2.5</c:v>
                </c:pt>
                <c:pt idx="348">
                  <c:v>2.5</c:v>
                </c:pt>
                <c:pt idx="349">
                  <c:v>2.5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2.5</c:v>
                </c:pt>
                <c:pt idx="355">
                  <c:v>2.5</c:v>
                </c:pt>
                <c:pt idx="356">
                  <c:v>2.5</c:v>
                </c:pt>
                <c:pt idx="357">
                  <c:v>2.5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2.5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2.5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29-4A27-8201-F29A3EE55CB8}"/>
            </c:ext>
          </c:extLst>
        </c:ser>
        <c:ser>
          <c:idx val="1"/>
          <c:order val="1"/>
          <c:tx>
            <c:strRef>
              <c:f>'Tabelle Pivot'!$C$3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Pivot'!$C$4:$C$439</c:f>
              <c:numCache>
                <c:formatCode>General</c:formatCode>
                <c:ptCount val="435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1.9</c:v>
                </c:pt>
                <c:pt idx="5">
                  <c:v>1.9</c:v>
                </c:pt>
                <c:pt idx="6">
                  <c:v>1.9</c:v>
                </c:pt>
                <c:pt idx="7">
                  <c:v>1.9</c:v>
                </c:pt>
                <c:pt idx="8">
                  <c:v>1.9</c:v>
                </c:pt>
                <c:pt idx="9">
                  <c:v>1.9</c:v>
                </c:pt>
                <c:pt idx="10">
                  <c:v>1.9</c:v>
                </c:pt>
                <c:pt idx="11">
                  <c:v>1.9</c:v>
                </c:pt>
                <c:pt idx="12">
                  <c:v>1.9</c:v>
                </c:pt>
                <c:pt idx="13">
                  <c:v>1.9</c:v>
                </c:pt>
                <c:pt idx="14">
                  <c:v>1.9</c:v>
                </c:pt>
                <c:pt idx="15">
                  <c:v>1.9</c:v>
                </c:pt>
                <c:pt idx="16">
                  <c:v>1.9</c:v>
                </c:pt>
                <c:pt idx="17">
                  <c:v>1.9</c:v>
                </c:pt>
                <c:pt idx="18">
                  <c:v>1.9</c:v>
                </c:pt>
                <c:pt idx="19">
                  <c:v>1.9</c:v>
                </c:pt>
                <c:pt idx="20">
                  <c:v>1.9</c:v>
                </c:pt>
                <c:pt idx="21">
                  <c:v>1.9</c:v>
                </c:pt>
                <c:pt idx="22">
                  <c:v>1.9</c:v>
                </c:pt>
                <c:pt idx="23">
                  <c:v>1.9</c:v>
                </c:pt>
                <c:pt idx="24">
                  <c:v>1.9</c:v>
                </c:pt>
                <c:pt idx="25">
                  <c:v>1.9</c:v>
                </c:pt>
                <c:pt idx="26">
                  <c:v>1.9</c:v>
                </c:pt>
                <c:pt idx="27">
                  <c:v>1.9</c:v>
                </c:pt>
                <c:pt idx="28">
                  <c:v>1.9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1.9</c:v>
                </c:pt>
                <c:pt idx="34">
                  <c:v>1.9</c:v>
                </c:pt>
                <c:pt idx="35">
                  <c:v>1.9</c:v>
                </c:pt>
                <c:pt idx="36">
                  <c:v>1.9</c:v>
                </c:pt>
                <c:pt idx="37">
                  <c:v>1.9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1.9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1.9</c:v>
                </c:pt>
                <c:pt idx="65">
                  <c:v>1.9</c:v>
                </c:pt>
                <c:pt idx="66">
                  <c:v>1.9</c:v>
                </c:pt>
                <c:pt idx="67">
                  <c:v>1.9</c:v>
                </c:pt>
                <c:pt idx="68">
                  <c:v>1.9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1.9</c:v>
                </c:pt>
                <c:pt idx="75">
                  <c:v>1.9</c:v>
                </c:pt>
                <c:pt idx="76">
                  <c:v>1.9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1.9</c:v>
                </c:pt>
                <c:pt idx="84">
                  <c:v>1.9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2.65</c:v>
                </c:pt>
                <c:pt idx="101">
                  <c:v>2.65</c:v>
                </c:pt>
                <c:pt idx="102">
                  <c:v>2.65</c:v>
                </c:pt>
                <c:pt idx="103">
                  <c:v>2.65</c:v>
                </c:pt>
                <c:pt idx="104">
                  <c:v>2.65</c:v>
                </c:pt>
                <c:pt idx="105">
                  <c:v>2.65</c:v>
                </c:pt>
                <c:pt idx="106">
                  <c:v>2.65</c:v>
                </c:pt>
                <c:pt idx="107">
                  <c:v>2.65</c:v>
                </c:pt>
                <c:pt idx="108">
                  <c:v>2.65</c:v>
                </c:pt>
                <c:pt idx="109">
                  <c:v>2.65</c:v>
                </c:pt>
                <c:pt idx="110">
                  <c:v>2.65</c:v>
                </c:pt>
                <c:pt idx="111">
                  <c:v>2.65</c:v>
                </c:pt>
                <c:pt idx="112">
                  <c:v>2.65</c:v>
                </c:pt>
                <c:pt idx="113">
                  <c:v>2.65</c:v>
                </c:pt>
                <c:pt idx="114">
                  <c:v>2.65</c:v>
                </c:pt>
                <c:pt idx="115">
                  <c:v>2.65</c:v>
                </c:pt>
                <c:pt idx="116">
                  <c:v>2.65</c:v>
                </c:pt>
                <c:pt idx="117">
                  <c:v>2.65</c:v>
                </c:pt>
                <c:pt idx="118">
                  <c:v>2.65</c:v>
                </c:pt>
                <c:pt idx="119">
                  <c:v>2.65</c:v>
                </c:pt>
                <c:pt idx="120">
                  <c:v>2.65</c:v>
                </c:pt>
                <c:pt idx="121">
                  <c:v>2.65</c:v>
                </c:pt>
                <c:pt idx="122">
                  <c:v>2.65</c:v>
                </c:pt>
                <c:pt idx="123">
                  <c:v>2.65</c:v>
                </c:pt>
                <c:pt idx="124">
                  <c:v>2.65</c:v>
                </c:pt>
                <c:pt idx="125">
                  <c:v>2.65</c:v>
                </c:pt>
                <c:pt idx="126">
                  <c:v>2.65</c:v>
                </c:pt>
                <c:pt idx="127">
                  <c:v>2.65</c:v>
                </c:pt>
                <c:pt idx="128">
                  <c:v>2.65</c:v>
                </c:pt>
                <c:pt idx="129">
                  <c:v>2.65</c:v>
                </c:pt>
                <c:pt idx="130">
                  <c:v>2.65</c:v>
                </c:pt>
                <c:pt idx="131">
                  <c:v>2.65</c:v>
                </c:pt>
                <c:pt idx="132">
                  <c:v>2.65</c:v>
                </c:pt>
                <c:pt idx="133">
                  <c:v>2.65</c:v>
                </c:pt>
                <c:pt idx="134">
                  <c:v>2.65</c:v>
                </c:pt>
                <c:pt idx="135">
                  <c:v>2.65</c:v>
                </c:pt>
                <c:pt idx="136">
                  <c:v>2.65</c:v>
                </c:pt>
                <c:pt idx="137">
                  <c:v>2.65</c:v>
                </c:pt>
                <c:pt idx="138">
                  <c:v>2.65</c:v>
                </c:pt>
                <c:pt idx="139">
                  <c:v>2.65</c:v>
                </c:pt>
                <c:pt idx="140">
                  <c:v>2.65</c:v>
                </c:pt>
                <c:pt idx="141">
                  <c:v>2.65</c:v>
                </c:pt>
                <c:pt idx="142">
                  <c:v>2.65</c:v>
                </c:pt>
                <c:pt idx="143">
                  <c:v>2.65</c:v>
                </c:pt>
                <c:pt idx="144">
                  <c:v>2.65</c:v>
                </c:pt>
                <c:pt idx="145">
                  <c:v>2.65</c:v>
                </c:pt>
                <c:pt idx="146">
                  <c:v>2.65</c:v>
                </c:pt>
                <c:pt idx="147">
                  <c:v>2.65</c:v>
                </c:pt>
                <c:pt idx="148">
                  <c:v>2.65</c:v>
                </c:pt>
                <c:pt idx="149">
                  <c:v>2.65</c:v>
                </c:pt>
                <c:pt idx="150">
                  <c:v>2.65</c:v>
                </c:pt>
                <c:pt idx="151">
                  <c:v>2.65</c:v>
                </c:pt>
                <c:pt idx="152">
                  <c:v>2.65</c:v>
                </c:pt>
                <c:pt idx="153">
                  <c:v>2.65</c:v>
                </c:pt>
                <c:pt idx="154">
                  <c:v>2.65</c:v>
                </c:pt>
                <c:pt idx="155">
                  <c:v>2.65</c:v>
                </c:pt>
                <c:pt idx="156">
                  <c:v>2.65</c:v>
                </c:pt>
                <c:pt idx="157">
                  <c:v>2.65</c:v>
                </c:pt>
                <c:pt idx="158">
                  <c:v>2.65</c:v>
                </c:pt>
                <c:pt idx="159">
                  <c:v>2.65</c:v>
                </c:pt>
                <c:pt idx="160">
                  <c:v>2.65</c:v>
                </c:pt>
                <c:pt idx="161">
                  <c:v>2.65</c:v>
                </c:pt>
                <c:pt idx="162">
                  <c:v>2.65</c:v>
                </c:pt>
                <c:pt idx="163">
                  <c:v>2.65</c:v>
                </c:pt>
                <c:pt idx="164">
                  <c:v>2.65</c:v>
                </c:pt>
                <c:pt idx="165">
                  <c:v>2.65</c:v>
                </c:pt>
                <c:pt idx="166">
                  <c:v>2.65</c:v>
                </c:pt>
                <c:pt idx="167">
                  <c:v>2.65</c:v>
                </c:pt>
                <c:pt idx="168">
                  <c:v>2.65</c:v>
                </c:pt>
                <c:pt idx="169">
                  <c:v>2.65</c:v>
                </c:pt>
                <c:pt idx="170">
                  <c:v>2.65</c:v>
                </c:pt>
                <c:pt idx="171">
                  <c:v>2.65</c:v>
                </c:pt>
                <c:pt idx="172">
                  <c:v>2.65</c:v>
                </c:pt>
                <c:pt idx="173">
                  <c:v>2.65</c:v>
                </c:pt>
                <c:pt idx="174">
                  <c:v>2.65</c:v>
                </c:pt>
                <c:pt idx="175">
                  <c:v>2.65</c:v>
                </c:pt>
                <c:pt idx="176">
                  <c:v>2.65</c:v>
                </c:pt>
                <c:pt idx="177">
                  <c:v>2.65</c:v>
                </c:pt>
                <c:pt idx="178">
                  <c:v>2.65</c:v>
                </c:pt>
                <c:pt idx="179">
                  <c:v>2.65</c:v>
                </c:pt>
                <c:pt idx="180">
                  <c:v>2.65</c:v>
                </c:pt>
                <c:pt idx="181">
                  <c:v>2.65</c:v>
                </c:pt>
                <c:pt idx="182">
                  <c:v>2.65</c:v>
                </c:pt>
                <c:pt idx="183">
                  <c:v>2.65</c:v>
                </c:pt>
                <c:pt idx="184">
                  <c:v>2.65</c:v>
                </c:pt>
                <c:pt idx="185">
                  <c:v>2.65</c:v>
                </c:pt>
                <c:pt idx="186">
                  <c:v>2.65</c:v>
                </c:pt>
                <c:pt idx="187">
                  <c:v>2.65</c:v>
                </c:pt>
                <c:pt idx="188">
                  <c:v>2.65</c:v>
                </c:pt>
                <c:pt idx="189">
                  <c:v>2.65</c:v>
                </c:pt>
                <c:pt idx="190">
                  <c:v>2.65</c:v>
                </c:pt>
                <c:pt idx="191">
                  <c:v>2.65</c:v>
                </c:pt>
                <c:pt idx="192">
                  <c:v>2.65</c:v>
                </c:pt>
                <c:pt idx="193">
                  <c:v>2.65</c:v>
                </c:pt>
                <c:pt idx="194">
                  <c:v>2.65</c:v>
                </c:pt>
                <c:pt idx="195">
                  <c:v>2.65</c:v>
                </c:pt>
                <c:pt idx="196">
                  <c:v>2.65</c:v>
                </c:pt>
                <c:pt idx="197">
                  <c:v>2.65</c:v>
                </c:pt>
                <c:pt idx="198">
                  <c:v>2.65</c:v>
                </c:pt>
                <c:pt idx="199">
                  <c:v>2.65</c:v>
                </c:pt>
                <c:pt idx="200">
                  <c:v>2.65</c:v>
                </c:pt>
                <c:pt idx="201">
                  <c:v>2.65</c:v>
                </c:pt>
                <c:pt idx="202">
                  <c:v>2.65</c:v>
                </c:pt>
                <c:pt idx="203">
                  <c:v>2.65</c:v>
                </c:pt>
                <c:pt idx="204">
                  <c:v>2.65</c:v>
                </c:pt>
                <c:pt idx="205">
                  <c:v>2.65</c:v>
                </c:pt>
                <c:pt idx="206">
                  <c:v>2.65</c:v>
                </c:pt>
                <c:pt idx="207">
                  <c:v>2.65</c:v>
                </c:pt>
                <c:pt idx="208">
                  <c:v>2.65</c:v>
                </c:pt>
                <c:pt idx="209">
                  <c:v>2.65</c:v>
                </c:pt>
                <c:pt idx="210">
                  <c:v>2.65</c:v>
                </c:pt>
                <c:pt idx="211">
                  <c:v>2.65</c:v>
                </c:pt>
                <c:pt idx="212">
                  <c:v>2.65</c:v>
                </c:pt>
                <c:pt idx="213">
                  <c:v>2.65</c:v>
                </c:pt>
                <c:pt idx="214">
                  <c:v>2.65</c:v>
                </c:pt>
                <c:pt idx="215">
                  <c:v>2.65</c:v>
                </c:pt>
                <c:pt idx="216">
                  <c:v>2.65</c:v>
                </c:pt>
                <c:pt idx="217">
                  <c:v>2.65</c:v>
                </c:pt>
                <c:pt idx="218">
                  <c:v>2.65</c:v>
                </c:pt>
                <c:pt idx="219">
                  <c:v>2.65</c:v>
                </c:pt>
                <c:pt idx="220">
                  <c:v>2.65</c:v>
                </c:pt>
                <c:pt idx="221">
                  <c:v>2.65</c:v>
                </c:pt>
                <c:pt idx="222">
                  <c:v>2.65</c:v>
                </c:pt>
                <c:pt idx="223">
                  <c:v>2.65</c:v>
                </c:pt>
                <c:pt idx="224">
                  <c:v>2.65</c:v>
                </c:pt>
                <c:pt idx="225">
                  <c:v>2.65</c:v>
                </c:pt>
                <c:pt idx="226">
                  <c:v>2.65</c:v>
                </c:pt>
                <c:pt idx="227">
                  <c:v>2.65</c:v>
                </c:pt>
                <c:pt idx="228">
                  <c:v>2.65</c:v>
                </c:pt>
                <c:pt idx="229">
                  <c:v>2.65</c:v>
                </c:pt>
                <c:pt idx="230">
                  <c:v>2.65</c:v>
                </c:pt>
                <c:pt idx="231">
                  <c:v>2.65</c:v>
                </c:pt>
                <c:pt idx="232">
                  <c:v>2.65</c:v>
                </c:pt>
                <c:pt idx="233">
                  <c:v>2.65</c:v>
                </c:pt>
                <c:pt idx="234">
                  <c:v>2.65</c:v>
                </c:pt>
                <c:pt idx="235">
                  <c:v>1.9</c:v>
                </c:pt>
                <c:pt idx="236">
                  <c:v>1.9</c:v>
                </c:pt>
                <c:pt idx="237">
                  <c:v>1.9</c:v>
                </c:pt>
                <c:pt idx="238">
                  <c:v>1.9</c:v>
                </c:pt>
                <c:pt idx="239">
                  <c:v>1.9</c:v>
                </c:pt>
                <c:pt idx="240">
                  <c:v>1.9</c:v>
                </c:pt>
                <c:pt idx="241">
                  <c:v>1.9</c:v>
                </c:pt>
                <c:pt idx="242">
                  <c:v>1.9</c:v>
                </c:pt>
                <c:pt idx="243">
                  <c:v>1.9</c:v>
                </c:pt>
                <c:pt idx="244">
                  <c:v>1.9</c:v>
                </c:pt>
                <c:pt idx="245">
                  <c:v>1.9</c:v>
                </c:pt>
                <c:pt idx="246">
                  <c:v>1.9</c:v>
                </c:pt>
                <c:pt idx="247">
                  <c:v>1.9</c:v>
                </c:pt>
                <c:pt idx="248">
                  <c:v>1.9</c:v>
                </c:pt>
                <c:pt idx="249">
                  <c:v>1.9</c:v>
                </c:pt>
                <c:pt idx="250">
                  <c:v>1.9</c:v>
                </c:pt>
                <c:pt idx="251">
                  <c:v>1.9</c:v>
                </c:pt>
                <c:pt idx="252">
                  <c:v>1.9</c:v>
                </c:pt>
                <c:pt idx="253">
                  <c:v>1.9</c:v>
                </c:pt>
                <c:pt idx="254">
                  <c:v>1.9</c:v>
                </c:pt>
                <c:pt idx="255">
                  <c:v>1.9</c:v>
                </c:pt>
                <c:pt idx="256">
                  <c:v>1.9</c:v>
                </c:pt>
                <c:pt idx="257">
                  <c:v>1.9</c:v>
                </c:pt>
                <c:pt idx="258">
                  <c:v>1.9</c:v>
                </c:pt>
                <c:pt idx="259">
                  <c:v>1.9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1.9</c:v>
                </c:pt>
                <c:pt idx="271">
                  <c:v>1.9</c:v>
                </c:pt>
                <c:pt idx="272">
                  <c:v>1.9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1.9</c:v>
                </c:pt>
                <c:pt idx="278">
                  <c:v>1.9</c:v>
                </c:pt>
                <c:pt idx="279">
                  <c:v>1.9</c:v>
                </c:pt>
                <c:pt idx="280">
                  <c:v>1.9</c:v>
                </c:pt>
                <c:pt idx="281">
                  <c:v>1.9</c:v>
                </c:pt>
                <c:pt idx="282">
                  <c:v>1.9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1.9</c:v>
                </c:pt>
                <c:pt idx="295">
                  <c:v>1.9</c:v>
                </c:pt>
                <c:pt idx="296">
                  <c:v>1.9</c:v>
                </c:pt>
                <c:pt idx="297">
                  <c:v>1.9</c:v>
                </c:pt>
                <c:pt idx="298">
                  <c:v>1.9</c:v>
                </c:pt>
                <c:pt idx="299">
                  <c:v>1.9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1.9</c:v>
                </c:pt>
                <c:pt idx="318">
                  <c:v>1.9</c:v>
                </c:pt>
                <c:pt idx="319">
                  <c:v>1.9</c:v>
                </c:pt>
                <c:pt idx="320">
                  <c:v>1.9</c:v>
                </c:pt>
                <c:pt idx="321">
                  <c:v>1.9</c:v>
                </c:pt>
                <c:pt idx="322">
                  <c:v>1.9</c:v>
                </c:pt>
                <c:pt idx="323">
                  <c:v>1.9</c:v>
                </c:pt>
                <c:pt idx="324">
                  <c:v>1.9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2.65</c:v>
                </c:pt>
                <c:pt idx="336">
                  <c:v>2.65</c:v>
                </c:pt>
                <c:pt idx="337">
                  <c:v>2.65</c:v>
                </c:pt>
                <c:pt idx="338">
                  <c:v>2.65</c:v>
                </c:pt>
                <c:pt idx="339">
                  <c:v>2.65</c:v>
                </c:pt>
                <c:pt idx="340">
                  <c:v>2.65</c:v>
                </c:pt>
                <c:pt idx="341">
                  <c:v>2.65</c:v>
                </c:pt>
                <c:pt idx="342">
                  <c:v>2.65</c:v>
                </c:pt>
                <c:pt idx="343">
                  <c:v>2.65</c:v>
                </c:pt>
                <c:pt idx="344">
                  <c:v>2.65</c:v>
                </c:pt>
                <c:pt idx="345">
                  <c:v>2.65</c:v>
                </c:pt>
                <c:pt idx="346">
                  <c:v>2.65</c:v>
                </c:pt>
                <c:pt idx="347">
                  <c:v>2.65</c:v>
                </c:pt>
                <c:pt idx="348">
                  <c:v>2.65</c:v>
                </c:pt>
                <c:pt idx="349">
                  <c:v>2.65</c:v>
                </c:pt>
                <c:pt idx="350">
                  <c:v>2.65</c:v>
                </c:pt>
                <c:pt idx="351">
                  <c:v>2.65</c:v>
                </c:pt>
                <c:pt idx="352">
                  <c:v>2.65</c:v>
                </c:pt>
                <c:pt idx="353">
                  <c:v>2.65</c:v>
                </c:pt>
                <c:pt idx="354">
                  <c:v>2.65</c:v>
                </c:pt>
                <c:pt idx="355">
                  <c:v>2.65</c:v>
                </c:pt>
                <c:pt idx="356">
                  <c:v>2.65</c:v>
                </c:pt>
                <c:pt idx="357">
                  <c:v>2.65</c:v>
                </c:pt>
                <c:pt idx="358">
                  <c:v>2.65</c:v>
                </c:pt>
                <c:pt idx="359">
                  <c:v>2.65</c:v>
                </c:pt>
                <c:pt idx="360">
                  <c:v>2.65</c:v>
                </c:pt>
                <c:pt idx="361">
                  <c:v>2.65</c:v>
                </c:pt>
                <c:pt idx="362">
                  <c:v>2.65</c:v>
                </c:pt>
                <c:pt idx="363">
                  <c:v>2.65</c:v>
                </c:pt>
                <c:pt idx="364">
                  <c:v>2.65</c:v>
                </c:pt>
                <c:pt idx="365">
                  <c:v>2.65</c:v>
                </c:pt>
                <c:pt idx="366">
                  <c:v>2.65</c:v>
                </c:pt>
                <c:pt idx="367">
                  <c:v>2.65</c:v>
                </c:pt>
                <c:pt idx="368">
                  <c:v>2.65</c:v>
                </c:pt>
                <c:pt idx="369">
                  <c:v>2.65</c:v>
                </c:pt>
                <c:pt idx="370">
                  <c:v>2.65</c:v>
                </c:pt>
                <c:pt idx="371">
                  <c:v>2.65</c:v>
                </c:pt>
                <c:pt idx="372">
                  <c:v>2.65</c:v>
                </c:pt>
                <c:pt idx="373">
                  <c:v>2.65</c:v>
                </c:pt>
                <c:pt idx="374">
                  <c:v>2.65</c:v>
                </c:pt>
                <c:pt idx="375">
                  <c:v>2.65</c:v>
                </c:pt>
                <c:pt idx="376">
                  <c:v>2.65</c:v>
                </c:pt>
                <c:pt idx="377">
                  <c:v>2.65</c:v>
                </c:pt>
                <c:pt idx="378">
                  <c:v>2.65</c:v>
                </c:pt>
                <c:pt idx="379">
                  <c:v>2.65</c:v>
                </c:pt>
                <c:pt idx="380">
                  <c:v>2.65</c:v>
                </c:pt>
                <c:pt idx="381">
                  <c:v>2.65</c:v>
                </c:pt>
                <c:pt idx="382">
                  <c:v>2.65</c:v>
                </c:pt>
                <c:pt idx="383">
                  <c:v>2.65</c:v>
                </c:pt>
                <c:pt idx="384">
                  <c:v>2.65</c:v>
                </c:pt>
                <c:pt idx="385">
                  <c:v>2.65</c:v>
                </c:pt>
                <c:pt idx="386">
                  <c:v>2.65</c:v>
                </c:pt>
                <c:pt idx="387">
                  <c:v>2.65</c:v>
                </c:pt>
                <c:pt idx="388">
                  <c:v>2.65</c:v>
                </c:pt>
                <c:pt idx="389">
                  <c:v>2.65</c:v>
                </c:pt>
                <c:pt idx="390">
                  <c:v>2.65</c:v>
                </c:pt>
                <c:pt idx="391">
                  <c:v>2.65</c:v>
                </c:pt>
                <c:pt idx="392">
                  <c:v>2.65</c:v>
                </c:pt>
                <c:pt idx="393">
                  <c:v>2.65</c:v>
                </c:pt>
                <c:pt idx="394">
                  <c:v>2.65</c:v>
                </c:pt>
                <c:pt idx="395">
                  <c:v>2.65</c:v>
                </c:pt>
                <c:pt idx="396">
                  <c:v>2.65</c:v>
                </c:pt>
                <c:pt idx="397">
                  <c:v>2.65</c:v>
                </c:pt>
                <c:pt idx="398">
                  <c:v>2.65</c:v>
                </c:pt>
                <c:pt idx="399">
                  <c:v>2.65</c:v>
                </c:pt>
                <c:pt idx="400">
                  <c:v>2.65</c:v>
                </c:pt>
                <c:pt idx="401">
                  <c:v>2.65</c:v>
                </c:pt>
                <c:pt idx="402">
                  <c:v>2.65</c:v>
                </c:pt>
                <c:pt idx="403">
                  <c:v>2.65</c:v>
                </c:pt>
                <c:pt idx="404">
                  <c:v>2.65</c:v>
                </c:pt>
                <c:pt idx="405">
                  <c:v>2.65</c:v>
                </c:pt>
                <c:pt idx="406">
                  <c:v>2.65</c:v>
                </c:pt>
                <c:pt idx="407">
                  <c:v>2.65</c:v>
                </c:pt>
                <c:pt idx="408">
                  <c:v>2.65</c:v>
                </c:pt>
                <c:pt idx="409">
                  <c:v>2.65</c:v>
                </c:pt>
                <c:pt idx="410">
                  <c:v>2.65</c:v>
                </c:pt>
                <c:pt idx="411">
                  <c:v>2.65</c:v>
                </c:pt>
                <c:pt idx="412">
                  <c:v>2.65</c:v>
                </c:pt>
                <c:pt idx="413">
                  <c:v>2.65</c:v>
                </c:pt>
                <c:pt idx="414">
                  <c:v>2.65</c:v>
                </c:pt>
                <c:pt idx="415">
                  <c:v>2.65</c:v>
                </c:pt>
                <c:pt idx="416">
                  <c:v>2.65</c:v>
                </c:pt>
                <c:pt idx="417">
                  <c:v>2.65</c:v>
                </c:pt>
                <c:pt idx="418">
                  <c:v>2.65</c:v>
                </c:pt>
                <c:pt idx="419">
                  <c:v>2.65</c:v>
                </c:pt>
                <c:pt idx="420">
                  <c:v>2.65</c:v>
                </c:pt>
                <c:pt idx="421">
                  <c:v>2.65</c:v>
                </c:pt>
                <c:pt idx="422">
                  <c:v>2.65</c:v>
                </c:pt>
                <c:pt idx="423">
                  <c:v>2.65</c:v>
                </c:pt>
                <c:pt idx="424">
                  <c:v>2.65</c:v>
                </c:pt>
                <c:pt idx="425">
                  <c:v>2.65</c:v>
                </c:pt>
                <c:pt idx="426">
                  <c:v>2.65</c:v>
                </c:pt>
                <c:pt idx="427">
                  <c:v>2.65</c:v>
                </c:pt>
                <c:pt idx="428">
                  <c:v>2.65</c:v>
                </c:pt>
                <c:pt idx="429">
                  <c:v>2.65</c:v>
                </c:pt>
                <c:pt idx="430">
                  <c:v>2.65</c:v>
                </c:pt>
                <c:pt idx="431">
                  <c:v>2.65</c:v>
                </c:pt>
                <c:pt idx="432">
                  <c:v>2.65</c:v>
                </c:pt>
                <c:pt idx="433">
                  <c:v>2.65</c:v>
                </c:pt>
                <c:pt idx="434">
                  <c:v>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29-4A27-8201-F29A3EE55CB8}"/>
            </c:ext>
          </c:extLst>
        </c:ser>
        <c:ser>
          <c:idx val="2"/>
          <c:order val="2"/>
          <c:tx>
            <c:strRef>
              <c:f>'Tabelle Pivot'!$D$3</c:f>
              <c:strCache>
                <c:ptCount val="1"/>
                <c:pt idx="0">
                  <c:v>Rendita Bilanciata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Pivot'!$D$4:$D$439</c:f>
              <c:numCache>
                <c:formatCode>General</c:formatCode>
                <c:ptCount val="435"/>
                <c:pt idx="0">
                  <c:v>1.3382210000000001</c:v>
                </c:pt>
                <c:pt idx="1">
                  <c:v>1.3948929999999999</c:v>
                </c:pt>
                <c:pt idx="2">
                  <c:v>1.3766370000000001</c:v>
                </c:pt>
                <c:pt idx="3">
                  <c:v>1.3674299999999999</c:v>
                </c:pt>
                <c:pt idx="4">
                  <c:v>1.36616</c:v>
                </c:pt>
                <c:pt idx="5">
                  <c:v>1.3623499999999999</c:v>
                </c:pt>
                <c:pt idx="6">
                  <c:v>1.353461</c:v>
                </c:pt>
                <c:pt idx="7">
                  <c:v>1.3448880000000001</c:v>
                </c:pt>
                <c:pt idx="8">
                  <c:v>1.329966</c:v>
                </c:pt>
                <c:pt idx="9">
                  <c:v>1.319807</c:v>
                </c:pt>
                <c:pt idx="10">
                  <c:v>1.3105990000000001</c:v>
                </c:pt>
                <c:pt idx="11">
                  <c:v>1.316155</c:v>
                </c:pt>
                <c:pt idx="12">
                  <c:v>1.334252</c:v>
                </c:pt>
                <c:pt idx="13">
                  <c:v>1.3339350000000001</c:v>
                </c:pt>
                <c:pt idx="14">
                  <c:v>1.3253630000000001</c:v>
                </c:pt>
                <c:pt idx="15">
                  <c:v>1.3236159999999999</c:v>
                </c:pt>
                <c:pt idx="16">
                  <c:v>1.322505</c:v>
                </c:pt>
                <c:pt idx="17">
                  <c:v>1.247736</c:v>
                </c:pt>
                <c:pt idx="18">
                  <c:v>1.229163</c:v>
                </c:pt>
                <c:pt idx="19">
                  <c:v>1.228369</c:v>
                </c:pt>
                <c:pt idx="20">
                  <c:v>1.2193210000000001</c:v>
                </c:pt>
                <c:pt idx="21">
                  <c:v>1.21567</c:v>
                </c:pt>
                <c:pt idx="22">
                  <c:v>1.230909</c:v>
                </c:pt>
                <c:pt idx="23">
                  <c:v>1.314727</c:v>
                </c:pt>
                <c:pt idx="24">
                  <c:v>1.3023450000000001</c:v>
                </c:pt>
                <c:pt idx="25">
                  <c:v>1.307901</c:v>
                </c:pt>
                <c:pt idx="26">
                  <c:v>1.307107</c:v>
                </c:pt>
                <c:pt idx="27">
                  <c:v>1.3347290000000001</c:v>
                </c:pt>
                <c:pt idx="28">
                  <c:v>1.3290139999999999</c:v>
                </c:pt>
                <c:pt idx="29">
                  <c:v>1.3364750000000001</c:v>
                </c:pt>
                <c:pt idx="30">
                  <c:v>1.33203</c:v>
                </c:pt>
                <c:pt idx="31">
                  <c:v>1.3433010000000001</c:v>
                </c:pt>
                <c:pt idx="32">
                  <c:v>1.4001319999999999</c:v>
                </c:pt>
                <c:pt idx="33">
                  <c:v>1.3972739999999999</c:v>
                </c:pt>
                <c:pt idx="34">
                  <c:v>1.396004</c:v>
                </c:pt>
                <c:pt idx="35">
                  <c:v>1.3586990000000001</c:v>
                </c:pt>
                <c:pt idx="36">
                  <c:v>1.353461</c:v>
                </c:pt>
                <c:pt idx="37">
                  <c:v>1.3493329999999999</c:v>
                </c:pt>
                <c:pt idx="38">
                  <c:v>1.3579049999999999</c:v>
                </c:pt>
                <c:pt idx="39">
                  <c:v>1.347904</c:v>
                </c:pt>
                <c:pt idx="40">
                  <c:v>1.351397</c:v>
                </c:pt>
                <c:pt idx="41">
                  <c:v>1.5288740000000001</c:v>
                </c:pt>
                <c:pt idx="42">
                  <c:v>1.503633</c:v>
                </c:pt>
                <c:pt idx="43">
                  <c:v>1.5050619999999999</c:v>
                </c:pt>
                <c:pt idx="44">
                  <c:v>1.5049030000000001</c:v>
                </c:pt>
                <c:pt idx="45">
                  <c:v>1.496014</c:v>
                </c:pt>
                <c:pt idx="46">
                  <c:v>1.5009349999999999</c:v>
                </c:pt>
                <c:pt idx="47">
                  <c:v>1.4955369999999999</c:v>
                </c:pt>
                <c:pt idx="48">
                  <c:v>1.4876</c:v>
                </c:pt>
                <c:pt idx="49">
                  <c:v>1.4209270000000001</c:v>
                </c:pt>
                <c:pt idx="50">
                  <c:v>1.35727</c:v>
                </c:pt>
                <c:pt idx="51">
                  <c:v>1.4477549999999999</c:v>
                </c:pt>
                <c:pt idx="52">
                  <c:v>1.4564859999999999</c:v>
                </c:pt>
                <c:pt idx="53">
                  <c:v>1.4577560000000001</c:v>
                </c:pt>
                <c:pt idx="54">
                  <c:v>1.4617249999999999</c:v>
                </c:pt>
                <c:pt idx="55">
                  <c:v>1.456169</c:v>
                </c:pt>
                <c:pt idx="56">
                  <c:v>1.451724</c:v>
                </c:pt>
                <c:pt idx="57">
                  <c:v>1.4572799999999999</c:v>
                </c:pt>
                <c:pt idx="58">
                  <c:v>1.465058</c:v>
                </c:pt>
                <c:pt idx="59">
                  <c:v>1.472996</c:v>
                </c:pt>
                <c:pt idx="60">
                  <c:v>1.468709</c:v>
                </c:pt>
                <c:pt idx="61">
                  <c:v>1.479822</c:v>
                </c:pt>
                <c:pt idx="62">
                  <c:v>1.442358</c:v>
                </c:pt>
                <c:pt idx="63">
                  <c:v>1.435214</c:v>
                </c:pt>
                <c:pt idx="64">
                  <c:v>1.392671</c:v>
                </c:pt>
                <c:pt idx="65">
                  <c:v>1.414895</c:v>
                </c:pt>
                <c:pt idx="66">
                  <c:v>1.426642</c:v>
                </c:pt>
                <c:pt idx="67">
                  <c:v>1.4390240000000001</c:v>
                </c:pt>
                <c:pt idx="68">
                  <c:v>1.41934</c:v>
                </c:pt>
                <c:pt idx="69">
                  <c:v>1.4331510000000001</c:v>
                </c:pt>
                <c:pt idx="70">
                  <c:v>1.4391830000000001</c:v>
                </c:pt>
                <c:pt idx="71">
                  <c:v>1.480615</c:v>
                </c:pt>
                <c:pt idx="72">
                  <c:v>1.49014</c:v>
                </c:pt>
                <c:pt idx="73">
                  <c:v>1.472837</c:v>
                </c:pt>
                <c:pt idx="74">
                  <c:v>1.4672810000000001</c:v>
                </c:pt>
                <c:pt idx="75">
                  <c:v>1.4642649999999999</c:v>
                </c:pt>
                <c:pt idx="76">
                  <c:v>1.689365</c:v>
                </c:pt>
                <c:pt idx="77">
                  <c:v>1.6861900000000001</c:v>
                </c:pt>
                <c:pt idx="78">
                  <c:v>1.6904760000000001</c:v>
                </c:pt>
                <c:pt idx="79">
                  <c:v>1.666506</c:v>
                </c:pt>
                <c:pt idx="80">
                  <c:v>1.6649179999999999</c:v>
                </c:pt>
                <c:pt idx="81">
                  <c:v>1.649044</c:v>
                </c:pt>
                <c:pt idx="82">
                  <c:v>1.6541239999999999</c:v>
                </c:pt>
                <c:pt idx="83">
                  <c:v>1.657934</c:v>
                </c:pt>
                <c:pt idx="84">
                  <c:v>1.630471</c:v>
                </c:pt>
                <c:pt idx="85">
                  <c:v>1.627772</c:v>
                </c:pt>
                <c:pt idx="86">
                  <c:v>1.639837</c:v>
                </c:pt>
                <c:pt idx="87">
                  <c:v>1.642377</c:v>
                </c:pt>
                <c:pt idx="88">
                  <c:v>1.638725</c:v>
                </c:pt>
                <c:pt idx="89">
                  <c:v>1.6463449999999999</c:v>
                </c:pt>
                <c:pt idx="90">
                  <c:v>1.6374550000000001</c:v>
                </c:pt>
                <c:pt idx="91">
                  <c:v>1.6314230000000001</c:v>
                </c:pt>
                <c:pt idx="92">
                  <c:v>1.6290420000000001</c:v>
                </c:pt>
                <c:pt idx="93">
                  <c:v>1.613167</c:v>
                </c:pt>
                <c:pt idx="94">
                  <c:v>1.773183</c:v>
                </c:pt>
                <c:pt idx="95">
                  <c:v>1.8073129999999999</c:v>
                </c:pt>
                <c:pt idx="96">
                  <c:v>1.793026</c:v>
                </c:pt>
                <c:pt idx="97">
                  <c:v>1.8019149999999999</c:v>
                </c:pt>
                <c:pt idx="98">
                  <c:v>1.7962009999999999</c:v>
                </c:pt>
                <c:pt idx="99">
                  <c:v>1.8001689999999999</c:v>
                </c:pt>
                <c:pt idx="100">
                  <c:v>1.804297</c:v>
                </c:pt>
                <c:pt idx="101">
                  <c:v>1.8173140000000001</c:v>
                </c:pt>
                <c:pt idx="102">
                  <c:v>1.824298</c:v>
                </c:pt>
                <c:pt idx="103">
                  <c:v>1.8238220000000001</c:v>
                </c:pt>
                <c:pt idx="104">
                  <c:v>1.824775</c:v>
                </c:pt>
                <c:pt idx="105">
                  <c:v>1.8257270000000001</c:v>
                </c:pt>
                <c:pt idx="106">
                  <c:v>1.820171</c:v>
                </c:pt>
                <c:pt idx="107">
                  <c:v>1.7915970000000001</c:v>
                </c:pt>
                <c:pt idx="108">
                  <c:v>1.829696</c:v>
                </c:pt>
                <c:pt idx="109">
                  <c:v>1.8208059999999999</c:v>
                </c:pt>
                <c:pt idx="110">
                  <c:v>1.835728</c:v>
                </c:pt>
                <c:pt idx="111">
                  <c:v>1.822076</c:v>
                </c:pt>
                <c:pt idx="112">
                  <c:v>1.8033440000000001</c:v>
                </c:pt>
                <c:pt idx="113">
                  <c:v>1.7915970000000001</c:v>
                </c:pt>
                <c:pt idx="114">
                  <c:v>1.802392</c:v>
                </c:pt>
                <c:pt idx="115">
                  <c:v>1.8420780000000001</c:v>
                </c:pt>
                <c:pt idx="116">
                  <c:v>1.840967</c:v>
                </c:pt>
                <c:pt idx="117">
                  <c:v>1.822711</c:v>
                </c:pt>
                <c:pt idx="118">
                  <c:v>1.8206469999999999</c:v>
                </c:pt>
                <c:pt idx="119">
                  <c:v>2.0717819999999998</c:v>
                </c:pt>
                <c:pt idx="120">
                  <c:v>2.0676549999999998</c:v>
                </c:pt>
                <c:pt idx="121">
                  <c:v>2.0459070000000001</c:v>
                </c:pt>
                <c:pt idx="122">
                  <c:v>2.0300319999999998</c:v>
                </c:pt>
                <c:pt idx="123">
                  <c:v>2.0030450000000002</c:v>
                </c:pt>
                <c:pt idx="124">
                  <c:v>1.827315</c:v>
                </c:pt>
                <c:pt idx="125">
                  <c:v>1.8190599999999999</c:v>
                </c:pt>
                <c:pt idx="126">
                  <c:v>1.8250919999999999</c:v>
                </c:pt>
                <c:pt idx="127">
                  <c:v>1.8019149999999999</c:v>
                </c:pt>
                <c:pt idx="128">
                  <c:v>1.824775</c:v>
                </c:pt>
                <c:pt idx="129">
                  <c:v>1.8282670000000001</c:v>
                </c:pt>
                <c:pt idx="130">
                  <c:v>1.818584</c:v>
                </c:pt>
                <c:pt idx="131">
                  <c:v>1.8096939999999999</c:v>
                </c:pt>
                <c:pt idx="132">
                  <c:v>1.777469</c:v>
                </c:pt>
                <c:pt idx="133">
                  <c:v>1.785088</c:v>
                </c:pt>
                <c:pt idx="134">
                  <c:v>1.7822309999999999</c:v>
                </c:pt>
                <c:pt idx="135">
                  <c:v>1.774929</c:v>
                </c:pt>
                <c:pt idx="136">
                  <c:v>1.7668330000000001</c:v>
                </c:pt>
                <c:pt idx="137">
                  <c:v>1.7709600000000001</c:v>
                </c:pt>
                <c:pt idx="138">
                  <c:v>1.7711190000000001</c:v>
                </c:pt>
                <c:pt idx="139">
                  <c:v>1.5812600000000001</c:v>
                </c:pt>
                <c:pt idx="140">
                  <c:v>1.5274449999999999</c:v>
                </c:pt>
                <c:pt idx="141">
                  <c:v>1.4914099999999999</c:v>
                </c:pt>
                <c:pt idx="142">
                  <c:v>1.5233179999999999</c:v>
                </c:pt>
                <c:pt idx="143">
                  <c:v>1.53443</c:v>
                </c:pt>
                <c:pt idx="144">
                  <c:v>1.543002</c:v>
                </c:pt>
                <c:pt idx="145">
                  <c:v>1.513952</c:v>
                </c:pt>
                <c:pt idx="146">
                  <c:v>1.5290330000000001</c:v>
                </c:pt>
                <c:pt idx="147">
                  <c:v>1.5229999999999999</c:v>
                </c:pt>
                <c:pt idx="148">
                  <c:v>1.462995</c:v>
                </c:pt>
                <c:pt idx="149">
                  <c:v>1.467916</c:v>
                </c:pt>
                <c:pt idx="150">
                  <c:v>1.5852280000000001</c:v>
                </c:pt>
                <c:pt idx="151">
                  <c:v>1.497601</c:v>
                </c:pt>
                <c:pt idx="152">
                  <c:v>1.466963</c:v>
                </c:pt>
                <c:pt idx="153">
                  <c:v>1.4366429999999999</c:v>
                </c:pt>
                <c:pt idx="154">
                  <c:v>1.4777579999999999</c:v>
                </c:pt>
                <c:pt idx="155">
                  <c:v>1.509666</c:v>
                </c:pt>
                <c:pt idx="156">
                  <c:v>1.5222070000000001</c:v>
                </c:pt>
                <c:pt idx="157">
                  <c:v>1.53189</c:v>
                </c:pt>
                <c:pt idx="158">
                  <c:v>1.5382400000000001</c:v>
                </c:pt>
                <c:pt idx="159">
                  <c:v>1.5760209999999999</c:v>
                </c:pt>
                <c:pt idx="160">
                  <c:v>1.573005</c:v>
                </c:pt>
                <c:pt idx="161">
                  <c:v>1.586657</c:v>
                </c:pt>
                <c:pt idx="162">
                  <c:v>1.6018969999999999</c:v>
                </c:pt>
                <c:pt idx="163">
                  <c:v>1.6042780000000001</c:v>
                </c:pt>
                <c:pt idx="164">
                  <c:v>1.5818950000000001</c:v>
                </c:pt>
                <c:pt idx="165">
                  <c:v>1.578244</c:v>
                </c:pt>
                <c:pt idx="166">
                  <c:v>1.5558609999999999</c:v>
                </c:pt>
                <c:pt idx="167">
                  <c:v>1.5698300000000001</c:v>
                </c:pt>
                <c:pt idx="168">
                  <c:v>1.554273</c:v>
                </c:pt>
                <c:pt idx="169">
                  <c:v>1.5485580000000001</c:v>
                </c:pt>
                <c:pt idx="170">
                  <c:v>1.533954</c:v>
                </c:pt>
                <c:pt idx="171">
                  <c:v>1.518238</c:v>
                </c:pt>
                <c:pt idx="172">
                  <c:v>1.509031</c:v>
                </c:pt>
                <c:pt idx="173">
                  <c:v>1.5074430000000001</c:v>
                </c:pt>
                <c:pt idx="174">
                  <c:v>1.4672810000000001</c:v>
                </c:pt>
                <c:pt idx="175">
                  <c:v>1.450771</c:v>
                </c:pt>
                <c:pt idx="176">
                  <c:v>1.460137</c:v>
                </c:pt>
                <c:pt idx="177">
                  <c:v>1.473948</c:v>
                </c:pt>
                <c:pt idx="178">
                  <c:v>1.4799800000000001</c:v>
                </c:pt>
                <c:pt idx="179">
                  <c:v>1.4769639999999999</c:v>
                </c:pt>
                <c:pt idx="180">
                  <c:v>1.4844250000000001</c:v>
                </c:pt>
                <c:pt idx="181">
                  <c:v>1.531255</c:v>
                </c:pt>
                <c:pt idx="182">
                  <c:v>1.4945850000000001</c:v>
                </c:pt>
                <c:pt idx="183">
                  <c:v>1.484108</c:v>
                </c:pt>
                <c:pt idx="184">
                  <c:v>1.4571210000000001</c:v>
                </c:pt>
                <c:pt idx="185">
                  <c:v>1.4460090000000001</c:v>
                </c:pt>
                <c:pt idx="186">
                  <c:v>1.5274449999999999</c:v>
                </c:pt>
                <c:pt idx="187">
                  <c:v>1.555067</c:v>
                </c:pt>
                <c:pt idx="188">
                  <c:v>1.5495110000000001</c:v>
                </c:pt>
                <c:pt idx="189">
                  <c:v>1.5626869999999999</c:v>
                </c:pt>
                <c:pt idx="190">
                  <c:v>1.5657030000000001</c:v>
                </c:pt>
                <c:pt idx="191">
                  <c:v>1.6192</c:v>
                </c:pt>
                <c:pt idx="192">
                  <c:v>1.6393599999999999</c:v>
                </c:pt>
                <c:pt idx="193">
                  <c:v>1.650631</c:v>
                </c:pt>
                <c:pt idx="194">
                  <c:v>1.6382490000000001</c:v>
                </c:pt>
                <c:pt idx="195">
                  <c:v>1.6333279999999999</c:v>
                </c:pt>
                <c:pt idx="196">
                  <c:v>1.627613</c:v>
                </c:pt>
                <c:pt idx="197">
                  <c:v>1.6379319999999999</c:v>
                </c:pt>
                <c:pt idx="198">
                  <c:v>1.6453930000000001</c:v>
                </c:pt>
                <c:pt idx="199">
                  <c:v>1.6536470000000001</c:v>
                </c:pt>
                <c:pt idx="200">
                  <c:v>1.6512659999999999</c:v>
                </c:pt>
                <c:pt idx="201">
                  <c:v>1.6522190000000001</c:v>
                </c:pt>
                <c:pt idx="202">
                  <c:v>1.6245970000000001</c:v>
                </c:pt>
                <c:pt idx="203">
                  <c:v>1.6452340000000001</c:v>
                </c:pt>
                <c:pt idx="204">
                  <c:v>1.6245970000000001</c:v>
                </c:pt>
                <c:pt idx="205">
                  <c:v>1.6241209999999999</c:v>
                </c:pt>
                <c:pt idx="206">
                  <c:v>1.6239619999999999</c:v>
                </c:pt>
                <c:pt idx="207">
                  <c:v>1.6214219999999999</c:v>
                </c:pt>
                <c:pt idx="208">
                  <c:v>1.626026</c:v>
                </c:pt>
                <c:pt idx="209">
                  <c:v>1.549193</c:v>
                </c:pt>
                <c:pt idx="210">
                  <c:v>1.52935</c:v>
                </c:pt>
                <c:pt idx="211">
                  <c:v>1.5272859999999999</c:v>
                </c:pt>
                <c:pt idx="212">
                  <c:v>1.524905</c:v>
                </c:pt>
                <c:pt idx="213">
                  <c:v>1.522524</c:v>
                </c:pt>
                <c:pt idx="214">
                  <c:v>1.5229999999999999</c:v>
                </c:pt>
                <c:pt idx="215">
                  <c:v>1.484901</c:v>
                </c:pt>
                <c:pt idx="216">
                  <c:v>1.462677</c:v>
                </c:pt>
                <c:pt idx="217">
                  <c:v>1.454264</c:v>
                </c:pt>
                <c:pt idx="218">
                  <c:v>1.445533</c:v>
                </c:pt>
                <c:pt idx="219">
                  <c:v>1.458391</c:v>
                </c:pt>
                <c:pt idx="220">
                  <c:v>1.548082</c:v>
                </c:pt>
                <c:pt idx="221">
                  <c:v>1.5625279999999999</c:v>
                </c:pt>
                <c:pt idx="222">
                  <c:v>1.5349060000000001</c:v>
                </c:pt>
                <c:pt idx="223">
                  <c:v>1.539034</c:v>
                </c:pt>
                <c:pt idx="224">
                  <c:v>1.5263340000000001</c:v>
                </c:pt>
                <c:pt idx="225">
                  <c:v>1.5557019999999999</c:v>
                </c:pt>
                <c:pt idx="226">
                  <c:v>1.5555429999999999</c:v>
                </c:pt>
                <c:pt idx="227">
                  <c:v>1.575545</c:v>
                </c:pt>
                <c:pt idx="228">
                  <c:v>1.557607</c:v>
                </c:pt>
                <c:pt idx="229">
                  <c:v>1.5598289999999999</c:v>
                </c:pt>
                <c:pt idx="230">
                  <c:v>1.5539559999999999</c:v>
                </c:pt>
                <c:pt idx="231">
                  <c:v>1.5547489999999999</c:v>
                </c:pt>
                <c:pt idx="232">
                  <c:v>1.5588770000000001</c:v>
                </c:pt>
                <c:pt idx="233">
                  <c:v>1.5436369999999999</c:v>
                </c:pt>
                <c:pt idx="234">
                  <c:v>1.533795</c:v>
                </c:pt>
                <c:pt idx="235">
                  <c:v>1.51919</c:v>
                </c:pt>
                <c:pt idx="236">
                  <c:v>1.504586</c:v>
                </c:pt>
                <c:pt idx="237">
                  <c:v>1.497125</c:v>
                </c:pt>
                <c:pt idx="238">
                  <c:v>1.5004580000000001</c:v>
                </c:pt>
                <c:pt idx="239">
                  <c:v>1.4974419999999999</c:v>
                </c:pt>
                <c:pt idx="240">
                  <c:v>1.495379</c:v>
                </c:pt>
                <c:pt idx="241">
                  <c:v>1.494267</c:v>
                </c:pt>
                <c:pt idx="242">
                  <c:v>1.4955369999999999</c:v>
                </c:pt>
                <c:pt idx="243">
                  <c:v>1.48125</c:v>
                </c:pt>
                <c:pt idx="244">
                  <c:v>1.4709319999999999</c:v>
                </c:pt>
                <c:pt idx="245">
                  <c:v>1.4836320000000001</c:v>
                </c:pt>
                <c:pt idx="246">
                  <c:v>1.4810920000000001</c:v>
                </c:pt>
                <c:pt idx="247">
                  <c:v>1.5374460000000001</c:v>
                </c:pt>
                <c:pt idx="248">
                  <c:v>1.570465</c:v>
                </c:pt>
                <c:pt idx="249">
                  <c:v>1.577291</c:v>
                </c:pt>
                <c:pt idx="250">
                  <c:v>1.5904670000000001</c:v>
                </c:pt>
                <c:pt idx="251">
                  <c:v>1.601262</c:v>
                </c:pt>
                <c:pt idx="252">
                  <c:v>1.5896729999999999</c:v>
                </c:pt>
                <c:pt idx="253">
                  <c:v>1.588721</c:v>
                </c:pt>
                <c:pt idx="254">
                  <c:v>1.602373</c:v>
                </c:pt>
                <c:pt idx="255">
                  <c:v>1.589197</c:v>
                </c:pt>
                <c:pt idx="256">
                  <c:v>1.582212</c:v>
                </c:pt>
                <c:pt idx="257">
                  <c:v>1.565385</c:v>
                </c:pt>
                <c:pt idx="258">
                  <c:v>1.554273</c:v>
                </c:pt>
                <c:pt idx="259">
                  <c:v>1.5682430000000001</c:v>
                </c:pt>
                <c:pt idx="260">
                  <c:v>1.5699890000000001</c:v>
                </c:pt>
                <c:pt idx="261">
                  <c:v>1.5590349999999999</c:v>
                </c:pt>
                <c:pt idx="262">
                  <c:v>1.539669</c:v>
                </c:pt>
                <c:pt idx="263">
                  <c:v>1.496807</c:v>
                </c:pt>
                <c:pt idx="264">
                  <c:v>1.49522</c:v>
                </c:pt>
                <c:pt idx="265">
                  <c:v>1.488394</c:v>
                </c:pt>
                <c:pt idx="266">
                  <c:v>1.471249</c:v>
                </c:pt>
                <c:pt idx="267">
                  <c:v>1.488553</c:v>
                </c:pt>
                <c:pt idx="268">
                  <c:v>1.4876</c:v>
                </c:pt>
                <c:pt idx="269">
                  <c:v>1.4917279999999999</c:v>
                </c:pt>
                <c:pt idx="270">
                  <c:v>1.486013</c:v>
                </c:pt>
                <c:pt idx="271">
                  <c:v>1.504745</c:v>
                </c:pt>
                <c:pt idx="272">
                  <c:v>1.495061</c:v>
                </c:pt>
                <c:pt idx="273">
                  <c:v>1.492362</c:v>
                </c:pt>
                <c:pt idx="274">
                  <c:v>1.489981</c:v>
                </c:pt>
                <c:pt idx="275">
                  <c:v>1.4706140000000001</c:v>
                </c:pt>
                <c:pt idx="276">
                  <c:v>1.4779169999999999</c:v>
                </c:pt>
                <c:pt idx="277">
                  <c:v>1.4741070000000001</c:v>
                </c:pt>
                <c:pt idx="278">
                  <c:v>1.473948</c:v>
                </c:pt>
                <c:pt idx="279">
                  <c:v>1.4658519999999999</c:v>
                </c:pt>
                <c:pt idx="280">
                  <c:v>1.4183870000000001</c:v>
                </c:pt>
                <c:pt idx="281">
                  <c:v>1.428547</c:v>
                </c:pt>
                <c:pt idx="282">
                  <c:v>1.4469609999999999</c:v>
                </c:pt>
                <c:pt idx="283">
                  <c:v>1.447438</c:v>
                </c:pt>
                <c:pt idx="284">
                  <c:v>1.438072</c:v>
                </c:pt>
                <c:pt idx="285">
                  <c:v>1.453311</c:v>
                </c:pt>
                <c:pt idx="286">
                  <c:v>1.4442630000000001</c:v>
                </c:pt>
                <c:pt idx="287">
                  <c:v>1.4479139999999999</c:v>
                </c:pt>
                <c:pt idx="288">
                  <c:v>1.488235</c:v>
                </c:pt>
                <c:pt idx="289">
                  <c:v>1.494902</c:v>
                </c:pt>
                <c:pt idx="290">
                  <c:v>1.490934</c:v>
                </c:pt>
                <c:pt idx="291">
                  <c:v>1.4775990000000001</c:v>
                </c:pt>
                <c:pt idx="292">
                  <c:v>1.465376</c:v>
                </c:pt>
                <c:pt idx="293">
                  <c:v>1.518397</c:v>
                </c:pt>
                <c:pt idx="294">
                  <c:v>1.5479229999999999</c:v>
                </c:pt>
                <c:pt idx="295">
                  <c:v>1.534589</c:v>
                </c:pt>
                <c:pt idx="296">
                  <c:v>1.5110939999999999</c:v>
                </c:pt>
                <c:pt idx="297">
                  <c:v>1.5215719999999999</c:v>
                </c:pt>
                <c:pt idx="298">
                  <c:v>1.50665</c:v>
                </c:pt>
                <c:pt idx="299">
                  <c:v>1.5441130000000001</c:v>
                </c:pt>
                <c:pt idx="300">
                  <c:v>1.52173</c:v>
                </c:pt>
                <c:pt idx="301">
                  <c:v>1.504586</c:v>
                </c:pt>
                <c:pt idx="302">
                  <c:v>1.541415</c:v>
                </c:pt>
                <c:pt idx="303">
                  <c:v>1.57491</c:v>
                </c:pt>
                <c:pt idx="304">
                  <c:v>1.565544</c:v>
                </c:pt>
                <c:pt idx="305">
                  <c:v>1.578244</c:v>
                </c:pt>
                <c:pt idx="306">
                  <c:v>1.6033249999999999</c:v>
                </c:pt>
                <c:pt idx="307">
                  <c:v>1.606976</c:v>
                </c:pt>
                <c:pt idx="308">
                  <c:v>1.6360269999999999</c:v>
                </c:pt>
                <c:pt idx="309">
                  <c:v>1.629677</c:v>
                </c:pt>
                <c:pt idx="310">
                  <c:v>1.613961</c:v>
                </c:pt>
                <c:pt idx="311">
                  <c:v>1.634757</c:v>
                </c:pt>
                <c:pt idx="312">
                  <c:v>1.582212</c:v>
                </c:pt>
                <c:pt idx="313">
                  <c:v>1.5736399999999999</c:v>
                </c:pt>
                <c:pt idx="314">
                  <c:v>1.5914189999999999</c:v>
                </c:pt>
                <c:pt idx="315">
                  <c:v>1.5949120000000001</c:v>
                </c:pt>
                <c:pt idx="316">
                  <c:v>1.6085640000000001</c:v>
                </c:pt>
                <c:pt idx="317">
                  <c:v>1.5906260000000001</c:v>
                </c:pt>
                <c:pt idx="318">
                  <c:v>1.581736</c:v>
                </c:pt>
                <c:pt idx="319">
                  <c:v>1.582212</c:v>
                </c:pt>
                <c:pt idx="320">
                  <c:v>1.51919</c:v>
                </c:pt>
                <c:pt idx="321">
                  <c:v>1.5236350000000001</c:v>
                </c:pt>
                <c:pt idx="322">
                  <c:v>1.5307789999999999</c:v>
                </c:pt>
                <c:pt idx="323">
                  <c:v>1.551733</c:v>
                </c:pt>
                <c:pt idx="324">
                  <c:v>1.639043</c:v>
                </c:pt>
                <c:pt idx="325">
                  <c:v>1.728575</c:v>
                </c:pt>
                <c:pt idx="326">
                  <c:v>1.7139709999999999</c:v>
                </c:pt>
                <c:pt idx="327">
                  <c:v>1.902242</c:v>
                </c:pt>
                <c:pt idx="328">
                  <c:v>1.9749479999999999</c:v>
                </c:pt>
                <c:pt idx="329">
                  <c:v>1.9251020000000001</c:v>
                </c:pt>
                <c:pt idx="330">
                  <c:v>1.8496980000000001</c:v>
                </c:pt>
                <c:pt idx="331">
                  <c:v>1.835569</c:v>
                </c:pt>
                <c:pt idx="332">
                  <c:v>1.8087409999999999</c:v>
                </c:pt>
                <c:pt idx="333">
                  <c:v>1.7755639999999999</c:v>
                </c:pt>
                <c:pt idx="334">
                  <c:v>1.7888980000000001</c:v>
                </c:pt>
                <c:pt idx="335">
                  <c:v>1.7619119999999999</c:v>
                </c:pt>
                <c:pt idx="336">
                  <c:v>1.7433380000000001</c:v>
                </c:pt>
                <c:pt idx="337">
                  <c:v>1.724289</c:v>
                </c:pt>
                <c:pt idx="338">
                  <c:v>1.77477</c:v>
                </c:pt>
                <c:pt idx="339">
                  <c:v>1.6982550000000001</c:v>
                </c:pt>
                <c:pt idx="340">
                  <c:v>1.676666</c:v>
                </c:pt>
                <c:pt idx="341">
                  <c:v>1.692064</c:v>
                </c:pt>
                <c:pt idx="342">
                  <c:v>1.6674580000000001</c:v>
                </c:pt>
                <c:pt idx="343">
                  <c:v>1.6263430000000001</c:v>
                </c:pt>
                <c:pt idx="344">
                  <c:v>1.6290420000000001</c:v>
                </c:pt>
                <c:pt idx="345">
                  <c:v>1.642218</c:v>
                </c:pt>
                <c:pt idx="346">
                  <c:v>1.6488849999999999</c:v>
                </c:pt>
                <c:pt idx="347">
                  <c:v>1.6811100000000001</c:v>
                </c:pt>
                <c:pt idx="348">
                  <c:v>1.682857</c:v>
                </c:pt>
                <c:pt idx="349">
                  <c:v>1.6461859999999999</c:v>
                </c:pt>
                <c:pt idx="350">
                  <c:v>1.634439</c:v>
                </c:pt>
                <c:pt idx="351">
                  <c:v>1.626978</c:v>
                </c:pt>
                <c:pt idx="352">
                  <c:v>1.631264</c:v>
                </c:pt>
                <c:pt idx="353">
                  <c:v>1.6265019999999999</c:v>
                </c:pt>
                <c:pt idx="354">
                  <c:v>1.62809</c:v>
                </c:pt>
                <c:pt idx="355">
                  <c:v>1.6298360000000001</c:v>
                </c:pt>
                <c:pt idx="356">
                  <c:v>1.607135</c:v>
                </c:pt>
                <c:pt idx="357">
                  <c:v>1.5520510000000001</c:v>
                </c:pt>
                <c:pt idx="358">
                  <c:v>1.554273</c:v>
                </c:pt>
                <c:pt idx="359">
                  <c:v>1.591102</c:v>
                </c:pt>
                <c:pt idx="360">
                  <c:v>1.5904670000000001</c:v>
                </c:pt>
                <c:pt idx="361">
                  <c:v>1.515063</c:v>
                </c:pt>
                <c:pt idx="362">
                  <c:v>1.5076020000000001</c:v>
                </c:pt>
                <c:pt idx="363">
                  <c:v>1.4822029999999999</c:v>
                </c:pt>
                <c:pt idx="364">
                  <c:v>1.48125</c:v>
                </c:pt>
                <c:pt idx="365">
                  <c:v>1.474424</c:v>
                </c:pt>
                <c:pt idx="366">
                  <c:v>1.485695</c:v>
                </c:pt>
                <c:pt idx="367">
                  <c:v>1.4888699999999999</c:v>
                </c:pt>
                <c:pt idx="368">
                  <c:v>1.472996</c:v>
                </c:pt>
                <c:pt idx="369">
                  <c:v>1.5042679999999999</c:v>
                </c:pt>
                <c:pt idx="370">
                  <c:v>1.490934</c:v>
                </c:pt>
                <c:pt idx="371">
                  <c:v>1.4826790000000001</c:v>
                </c:pt>
                <c:pt idx="372">
                  <c:v>1.48506</c:v>
                </c:pt>
                <c:pt idx="373">
                  <c:v>1.5042679999999999</c:v>
                </c:pt>
                <c:pt idx="374">
                  <c:v>1.5003</c:v>
                </c:pt>
                <c:pt idx="375">
                  <c:v>1.501887</c:v>
                </c:pt>
                <c:pt idx="376">
                  <c:v>1.513952</c:v>
                </c:pt>
                <c:pt idx="377">
                  <c:v>1.501252</c:v>
                </c:pt>
                <c:pt idx="378">
                  <c:v>1.529191</c:v>
                </c:pt>
                <c:pt idx="379">
                  <c:v>1.520302</c:v>
                </c:pt>
                <c:pt idx="380">
                  <c:v>1.5053799999999999</c:v>
                </c:pt>
                <c:pt idx="381">
                  <c:v>1.499506</c:v>
                </c:pt>
                <c:pt idx="382">
                  <c:v>1.4922040000000001</c:v>
                </c:pt>
                <c:pt idx="383">
                  <c:v>1.4853780000000001</c:v>
                </c:pt>
                <c:pt idx="384">
                  <c:v>1.475536</c:v>
                </c:pt>
                <c:pt idx="385">
                  <c:v>1.4706140000000001</c:v>
                </c:pt>
                <c:pt idx="386">
                  <c:v>1.4620420000000001</c:v>
                </c:pt>
                <c:pt idx="387">
                  <c:v>1.46109</c:v>
                </c:pt>
                <c:pt idx="388">
                  <c:v>1.453311</c:v>
                </c:pt>
                <c:pt idx="389">
                  <c:v>1.486013</c:v>
                </c:pt>
                <c:pt idx="390">
                  <c:v>1.493474</c:v>
                </c:pt>
                <c:pt idx="391">
                  <c:v>1.503633</c:v>
                </c:pt>
                <c:pt idx="392">
                  <c:v>1.4853780000000001</c:v>
                </c:pt>
                <c:pt idx="393">
                  <c:v>1.476647</c:v>
                </c:pt>
                <c:pt idx="394">
                  <c:v>1.479663</c:v>
                </c:pt>
                <c:pt idx="395">
                  <c:v>1.483949</c:v>
                </c:pt>
                <c:pt idx="396">
                  <c:v>1.4731540000000001</c:v>
                </c:pt>
                <c:pt idx="397">
                  <c:v>1.4775990000000001</c:v>
                </c:pt>
                <c:pt idx="398">
                  <c:v>1.4563269999999999</c:v>
                </c:pt>
                <c:pt idx="399">
                  <c:v>1.4571210000000001</c:v>
                </c:pt>
                <c:pt idx="400">
                  <c:v>1.472361</c:v>
                </c:pt>
                <c:pt idx="401">
                  <c:v>1.4639470000000001</c:v>
                </c:pt>
                <c:pt idx="402">
                  <c:v>1.501887</c:v>
                </c:pt>
                <c:pt idx="403">
                  <c:v>1.51919</c:v>
                </c:pt>
                <c:pt idx="404">
                  <c:v>1.5483990000000001</c:v>
                </c:pt>
                <c:pt idx="405">
                  <c:v>1.532049</c:v>
                </c:pt>
                <c:pt idx="406">
                  <c:v>1.520778</c:v>
                </c:pt>
                <c:pt idx="407">
                  <c:v>1.5425260000000001</c:v>
                </c:pt>
                <c:pt idx="408">
                  <c:v>1.54078</c:v>
                </c:pt>
                <c:pt idx="409">
                  <c:v>1.5382400000000001</c:v>
                </c:pt>
                <c:pt idx="410">
                  <c:v>1.532049</c:v>
                </c:pt>
                <c:pt idx="411">
                  <c:v>1.528715</c:v>
                </c:pt>
                <c:pt idx="412">
                  <c:v>1.540303</c:v>
                </c:pt>
                <c:pt idx="413">
                  <c:v>1.539669</c:v>
                </c:pt>
                <c:pt idx="414">
                  <c:v>1.522365</c:v>
                </c:pt>
                <c:pt idx="415">
                  <c:v>1.5326839999999999</c:v>
                </c:pt>
                <c:pt idx="416">
                  <c:v>1.525223</c:v>
                </c:pt>
                <c:pt idx="417">
                  <c:v>1.525064</c:v>
                </c:pt>
                <c:pt idx="418">
                  <c:v>1.528715</c:v>
                </c:pt>
                <c:pt idx="419">
                  <c:v>1.525223</c:v>
                </c:pt>
                <c:pt idx="420">
                  <c:v>1.524429</c:v>
                </c:pt>
                <c:pt idx="421">
                  <c:v>1.52173</c:v>
                </c:pt>
                <c:pt idx="422">
                  <c:v>1.530303</c:v>
                </c:pt>
                <c:pt idx="423">
                  <c:v>1.518397</c:v>
                </c:pt>
                <c:pt idx="424">
                  <c:v>1.524905</c:v>
                </c:pt>
                <c:pt idx="425">
                  <c:v>1.5553840000000001</c:v>
                </c:pt>
                <c:pt idx="426">
                  <c:v>1.5647500000000001</c:v>
                </c:pt>
                <c:pt idx="427">
                  <c:v>1.5760209999999999</c:v>
                </c:pt>
                <c:pt idx="428">
                  <c:v>1.6065</c:v>
                </c:pt>
                <c:pt idx="429">
                  <c:v>1.5768150000000001</c:v>
                </c:pt>
                <c:pt idx="430">
                  <c:v>1.5761799999999999</c:v>
                </c:pt>
                <c:pt idx="431">
                  <c:v>1.5852280000000001</c:v>
                </c:pt>
                <c:pt idx="432">
                  <c:v>1.5690360000000001</c:v>
                </c:pt>
                <c:pt idx="433">
                  <c:v>1.6087229999999999</c:v>
                </c:pt>
                <c:pt idx="434">
                  <c:v>1.6218980000000001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29-4A27-8201-F29A3EE55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pivot3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Obbligazionario</a:t>
            </a:r>
            <a:r>
              <a:rPr lang="it-IT" baseline="0"/>
              <a:t> </a:t>
            </a:r>
            <a:r>
              <a:rPr lang="it-IT"/>
              <a:t>Breve Termine</a:t>
            </a:r>
            <a:endParaRPr lang="it-IT" baseline="0"/>
          </a:p>
        </c:rich>
      </c:tx>
      <c:layout>
        <c:manualLayout>
          <c:xMode val="edge"/>
          <c:yMode val="edge"/>
          <c:x val="0.3418767857142857"/>
          <c:y val="3.7743055555555557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Pivot'!$F$3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Pivot'!$F$4:$F$439</c:f>
              <c:numCache>
                <c:formatCode>General</c:formatCode>
                <c:ptCount val="43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1-41F5-818D-CB9D286FA9A7}"/>
            </c:ext>
          </c:extLst>
        </c:ser>
        <c:ser>
          <c:idx val="1"/>
          <c:order val="1"/>
          <c:tx>
            <c:strRef>
              <c:f>'Tabelle Pivot'!$G$3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Pivot'!$G$4:$G$439</c:f>
              <c:numCache>
                <c:formatCode>General</c:formatCode>
                <c:ptCount val="435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0.6</c:v>
                </c:pt>
                <c:pt idx="202">
                  <c:v>0.6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0.6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0.6</c:v>
                </c:pt>
                <c:pt idx="212">
                  <c:v>0.6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0.6</c:v>
                </c:pt>
                <c:pt idx="220">
                  <c:v>0.6</c:v>
                </c:pt>
                <c:pt idx="221">
                  <c:v>0.6</c:v>
                </c:pt>
                <c:pt idx="222">
                  <c:v>0.6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0.6</c:v>
                </c:pt>
                <c:pt idx="246">
                  <c:v>0.6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0.6</c:v>
                </c:pt>
                <c:pt idx="251">
                  <c:v>0.6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0.6</c:v>
                </c:pt>
                <c:pt idx="281">
                  <c:v>0.6</c:v>
                </c:pt>
                <c:pt idx="282">
                  <c:v>0.6</c:v>
                </c:pt>
                <c:pt idx="283">
                  <c:v>0.6</c:v>
                </c:pt>
                <c:pt idx="284">
                  <c:v>0.6</c:v>
                </c:pt>
                <c:pt idx="285">
                  <c:v>0.6</c:v>
                </c:pt>
                <c:pt idx="286">
                  <c:v>0.6</c:v>
                </c:pt>
                <c:pt idx="287">
                  <c:v>0.6</c:v>
                </c:pt>
                <c:pt idx="288">
                  <c:v>0.6</c:v>
                </c:pt>
                <c:pt idx="289">
                  <c:v>0.6</c:v>
                </c:pt>
                <c:pt idx="290">
                  <c:v>0.6</c:v>
                </c:pt>
                <c:pt idx="291">
                  <c:v>0.6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0.6</c:v>
                </c:pt>
                <c:pt idx="302">
                  <c:v>0.6</c:v>
                </c:pt>
                <c:pt idx="303">
                  <c:v>0.6</c:v>
                </c:pt>
                <c:pt idx="304">
                  <c:v>0.6</c:v>
                </c:pt>
                <c:pt idx="305">
                  <c:v>0.6</c:v>
                </c:pt>
                <c:pt idx="306">
                  <c:v>0.6</c:v>
                </c:pt>
                <c:pt idx="307">
                  <c:v>0.6</c:v>
                </c:pt>
                <c:pt idx="308">
                  <c:v>0.6</c:v>
                </c:pt>
                <c:pt idx="309">
                  <c:v>0.6</c:v>
                </c:pt>
                <c:pt idx="310">
                  <c:v>0.6</c:v>
                </c:pt>
                <c:pt idx="311">
                  <c:v>0.6</c:v>
                </c:pt>
                <c:pt idx="312">
                  <c:v>0.6</c:v>
                </c:pt>
                <c:pt idx="313">
                  <c:v>0.6</c:v>
                </c:pt>
                <c:pt idx="314">
                  <c:v>0.6</c:v>
                </c:pt>
                <c:pt idx="315">
                  <c:v>0.6</c:v>
                </c:pt>
                <c:pt idx="316">
                  <c:v>0.6</c:v>
                </c:pt>
                <c:pt idx="317">
                  <c:v>0.6</c:v>
                </c:pt>
                <c:pt idx="318">
                  <c:v>0.6</c:v>
                </c:pt>
                <c:pt idx="319">
                  <c:v>0.6</c:v>
                </c:pt>
                <c:pt idx="320">
                  <c:v>0.6</c:v>
                </c:pt>
                <c:pt idx="321">
                  <c:v>0.6</c:v>
                </c:pt>
                <c:pt idx="322">
                  <c:v>0.6</c:v>
                </c:pt>
                <c:pt idx="323">
                  <c:v>0.6</c:v>
                </c:pt>
                <c:pt idx="324">
                  <c:v>0.6</c:v>
                </c:pt>
                <c:pt idx="325">
                  <c:v>0.6</c:v>
                </c:pt>
                <c:pt idx="326">
                  <c:v>0.6</c:v>
                </c:pt>
                <c:pt idx="327">
                  <c:v>0.6</c:v>
                </c:pt>
                <c:pt idx="328">
                  <c:v>0.6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0.6</c:v>
                </c:pt>
                <c:pt idx="401">
                  <c:v>0.6</c:v>
                </c:pt>
                <c:pt idx="402">
                  <c:v>0.6</c:v>
                </c:pt>
                <c:pt idx="403">
                  <c:v>0.6</c:v>
                </c:pt>
                <c:pt idx="404">
                  <c:v>0.6</c:v>
                </c:pt>
                <c:pt idx="405">
                  <c:v>0.6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61-41F5-818D-CB9D286FA9A7}"/>
            </c:ext>
          </c:extLst>
        </c:ser>
        <c:ser>
          <c:idx val="2"/>
          <c:order val="2"/>
          <c:tx>
            <c:strRef>
              <c:f>'Tabelle Pivot'!$H$3</c:f>
              <c:strCache>
                <c:ptCount val="1"/>
                <c:pt idx="0">
                  <c:v>Breve Termine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Pivot'!$H$4:$H$439</c:f>
              <c:numCache>
                <c:formatCode>General</c:formatCode>
                <c:ptCount val="435"/>
                <c:pt idx="0">
                  <c:v>0.181446</c:v>
                </c:pt>
                <c:pt idx="1">
                  <c:v>0.18112800000000001</c:v>
                </c:pt>
                <c:pt idx="2">
                  <c:v>0.17922299999999999</c:v>
                </c:pt>
                <c:pt idx="3">
                  <c:v>0.177318</c:v>
                </c:pt>
                <c:pt idx="4">
                  <c:v>0.17700099999999999</c:v>
                </c:pt>
                <c:pt idx="5">
                  <c:v>0.17588999999999999</c:v>
                </c:pt>
                <c:pt idx="6">
                  <c:v>0.177477</c:v>
                </c:pt>
                <c:pt idx="7">
                  <c:v>0.177318</c:v>
                </c:pt>
                <c:pt idx="8">
                  <c:v>0.17779400000000001</c:v>
                </c:pt>
                <c:pt idx="9">
                  <c:v>0.17636599999999999</c:v>
                </c:pt>
                <c:pt idx="10">
                  <c:v>0.175096</c:v>
                </c:pt>
                <c:pt idx="11">
                  <c:v>0.172873</c:v>
                </c:pt>
                <c:pt idx="12">
                  <c:v>0.17255599999999999</c:v>
                </c:pt>
                <c:pt idx="13">
                  <c:v>0.17255599999999999</c:v>
                </c:pt>
                <c:pt idx="14">
                  <c:v>0.17255599999999999</c:v>
                </c:pt>
                <c:pt idx="15">
                  <c:v>0.17128599999999999</c:v>
                </c:pt>
                <c:pt idx="16">
                  <c:v>0.170492</c:v>
                </c:pt>
                <c:pt idx="17">
                  <c:v>0.16985700000000001</c:v>
                </c:pt>
                <c:pt idx="18">
                  <c:v>0.167794</c:v>
                </c:pt>
                <c:pt idx="19">
                  <c:v>0.16652400000000001</c:v>
                </c:pt>
                <c:pt idx="20">
                  <c:v>0.16509499999999999</c:v>
                </c:pt>
                <c:pt idx="21">
                  <c:v>0.16446</c:v>
                </c:pt>
                <c:pt idx="22">
                  <c:v>0.16700000000000001</c:v>
                </c:pt>
                <c:pt idx="23">
                  <c:v>0.17144499999999999</c:v>
                </c:pt>
                <c:pt idx="24">
                  <c:v>0.16954</c:v>
                </c:pt>
                <c:pt idx="25">
                  <c:v>0.16811100000000001</c:v>
                </c:pt>
                <c:pt idx="26">
                  <c:v>0.16700000000000001</c:v>
                </c:pt>
                <c:pt idx="27">
                  <c:v>0.16620599999999999</c:v>
                </c:pt>
                <c:pt idx="28">
                  <c:v>0.166047</c:v>
                </c:pt>
                <c:pt idx="29">
                  <c:v>0.16477700000000001</c:v>
                </c:pt>
                <c:pt idx="30">
                  <c:v>0.19763800000000001</c:v>
                </c:pt>
                <c:pt idx="31">
                  <c:v>0.19684399999999999</c:v>
                </c:pt>
                <c:pt idx="32">
                  <c:v>0.19636799999999999</c:v>
                </c:pt>
                <c:pt idx="33">
                  <c:v>0.19986000000000001</c:v>
                </c:pt>
                <c:pt idx="34">
                  <c:v>0.20017799999999999</c:v>
                </c:pt>
                <c:pt idx="35">
                  <c:v>0.191605</c:v>
                </c:pt>
                <c:pt idx="36">
                  <c:v>0.18604899999999999</c:v>
                </c:pt>
                <c:pt idx="37">
                  <c:v>0.185414</c:v>
                </c:pt>
                <c:pt idx="38">
                  <c:v>0.203511</c:v>
                </c:pt>
                <c:pt idx="39">
                  <c:v>0.20160600000000001</c:v>
                </c:pt>
                <c:pt idx="40">
                  <c:v>0.201765</c:v>
                </c:pt>
                <c:pt idx="41">
                  <c:v>0.201765</c:v>
                </c:pt>
                <c:pt idx="42">
                  <c:v>0.173985</c:v>
                </c:pt>
                <c:pt idx="43">
                  <c:v>0.18684300000000001</c:v>
                </c:pt>
                <c:pt idx="44">
                  <c:v>0.18684300000000001</c:v>
                </c:pt>
                <c:pt idx="45">
                  <c:v>0.18890699999999999</c:v>
                </c:pt>
                <c:pt idx="46">
                  <c:v>0.189224</c:v>
                </c:pt>
                <c:pt idx="47">
                  <c:v>0.189383</c:v>
                </c:pt>
                <c:pt idx="48">
                  <c:v>0.18906500000000001</c:v>
                </c:pt>
                <c:pt idx="49">
                  <c:v>0.18890699999999999</c:v>
                </c:pt>
                <c:pt idx="50">
                  <c:v>0.188113</c:v>
                </c:pt>
                <c:pt idx="51">
                  <c:v>0.188113</c:v>
                </c:pt>
                <c:pt idx="52">
                  <c:v>0.189383</c:v>
                </c:pt>
                <c:pt idx="53">
                  <c:v>0.18890699999999999</c:v>
                </c:pt>
                <c:pt idx="54">
                  <c:v>0.188748</c:v>
                </c:pt>
                <c:pt idx="55">
                  <c:v>0.18842999999999999</c:v>
                </c:pt>
                <c:pt idx="56">
                  <c:v>0.18747800000000001</c:v>
                </c:pt>
                <c:pt idx="57">
                  <c:v>0.188113</c:v>
                </c:pt>
                <c:pt idx="58">
                  <c:v>0.18731900000000001</c:v>
                </c:pt>
                <c:pt idx="59">
                  <c:v>0.18573200000000001</c:v>
                </c:pt>
                <c:pt idx="60">
                  <c:v>0.18509700000000001</c:v>
                </c:pt>
                <c:pt idx="61">
                  <c:v>0.18430299999999999</c:v>
                </c:pt>
                <c:pt idx="62">
                  <c:v>0.16572999999999999</c:v>
                </c:pt>
                <c:pt idx="63">
                  <c:v>0.15684000000000001</c:v>
                </c:pt>
                <c:pt idx="64">
                  <c:v>0.15604599999999999</c:v>
                </c:pt>
                <c:pt idx="65">
                  <c:v>0.155888</c:v>
                </c:pt>
                <c:pt idx="66">
                  <c:v>0.15937999999999999</c:v>
                </c:pt>
                <c:pt idx="67">
                  <c:v>0.159856</c:v>
                </c:pt>
                <c:pt idx="68">
                  <c:v>0.15779299999999999</c:v>
                </c:pt>
                <c:pt idx="69">
                  <c:v>0.15906300000000001</c:v>
                </c:pt>
                <c:pt idx="70">
                  <c:v>0.15795100000000001</c:v>
                </c:pt>
                <c:pt idx="71">
                  <c:v>0.15795100000000001</c:v>
                </c:pt>
                <c:pt idx="72">
                  <c:v>0.15969800000000001</c:v>
                </c:pt>
                <c:pt idx="73">
                  <c:v>0.16017400000000001</c:v>
                </c:pt>
                <c:pt idx="74">
                  <c:v>0.15953899999999999</c:v>
                </c:pt>
                <c:pt idx="75">
                  <c:v>0.159856</c:v>
                </c:pt>
                <c:pt idx="76">
                  <c:v>0.15953899999999999</c:v>
                </c:pt>
                <c:pt idx="77">
                  <c:v>0.15842800000000001</c:v>
                </c:pt>
                <c:pt idx="78">
                  <c:v>0.15890399999999999</c:v>
                </c:pt>
                <c:pt idx="79">
                  <c:v>0.220973</c:v>
                </c:pt>
                <c:pt idx="80">
                  <c:v>0.221132</c:v>
                </c:pt>
                <c:pt idx="81">
                  <c:v>0.219386</c:v>
                </c:pt>
                <c:pt idx="82">
                  <c:v>0.222243</c:v>
                </c:pt>
                <c:pt idx="83">
                  <c:v>0.222084</c:v>
                </c:pt>
                <c:pt idx="84">
                  <c:v>0.18842999999999999</c:v>
                </c:pt>
                <c:pt idx="85">
                  <c:v>0.18589</c:v>
                </c:pt>
                <c:pt idx="86">
                  <c:v>0.185414</c:v>
                </c:pt>
                <c:pt idx="87">
                  <c:v>0.185414</c:v>
                </c:pt>
                <c:pt idx="88">
                  <c:v>0.18493799999999999</c:v>
                </c:pt>
                <c:pt idx="89">
                  <c:v>0.184779</c:v>
                </c:pt>
                <c:pt idx="90">
                  <c:v>0.18382699999999999</c:v>
                </c:pt>
                <c:pt idx="91">
                  <c:v>0.17985799999999999</c:v>
                </c:pt>
                <c:pt idx="92">
                  <c:v>0.18049299999999999</c:v>
                </c:pt>
                <c:pt idx="93">
                  <c:v>0.18001700000000001</c:v>
                </c:pt>
                <c:pt idx="94">
                  <c:v>0.17874699999999999</c:v>
                </c:pt>
                <c:pt idx="95">
                  <c:v>0.18176300000000001</c:v>
                </c:pt>
                <c:pt idx="96">
                  <c:v>0.18112800000000001</c:v>
                </c:pt>
                <c:pt idx="97">
                  <c:v>0.18033399999999999</c:v>
                </c:pt>
                <c:pt idx="98">
                  <c:v>0.17954100000000001</c:v>
                </c:pt>
                <c:pt idx="99">
                  <c:v>0.179064</c:v>
                </c:pt>
                <c:pt idx="100">
                  <c:v>0.17779400000000001</c:v>
                </c:pt>
                <c:pt idx="101">
                  <c:v>0.17763599999999999</c:v>
                </c:pt>
                <c:pt idx="102">
                  <c:v>0.25081700000000001</c:v>
                </c:pt>
                <c:pt idx="103">
                  <c:v>0.27748600000000001</c:v>
                </c:pt>
                <c:pt idx="104">
                  <c:v>0.27700999999999998</c:v>
                </c:pt>
                <c:pt idx="105">
                  <c:v>0.27542299999999997</c:v>
                </c:pt>
                <c:pt idx="106">
                  <c:v>0.273835</c:v>
                </c:pt>
                <c:pt idx="107">
                  <c:v>0.32320500000000002</c:v>
                </c:pt>
                <c:pt idx="108">
                  <c:v>0.32828499999999999</c:v>
                </c:pt>
                <c:pt idx="109">
                  <c:v>0.32669700000000002</c:v>
                </c:pt>
                <c:pt idx="110">
                  <c:v>0.32384000000000002</c:v>
                </c:pt>
                <c:pt idx="111">
                  <c:v>0.32114100000000001</c:v>
                </c:pt>
                <c:pt idx="112">
                  <c:v>0.32034800000000002</c:v>
                </c:pt>
                <c:pt idx="113">
                  <c:v>0.31717299999999998</c:v>
                </c:pt>
                <c:pt idx="114">
                  <c:v>0.28034399999999998</c:v>
                </c:pt>
                <c:pt idx="115">
                  <c:v>0.27812100000000001</c:v>
                </c:pt>
                <c:pt idx="116">
                  <c:v>0.28034399999999998</c:v>
                </c:pt>
                <c:pt idx="117">
                  <c:v>0.28510600000000003</c:v>
                </c:pt>
                <c:pt idx="118">
                  <c:v>0.28304200000000002</c:v>
                </c:pt>
                <c:pt idx="119">
                  <c:v>0.28145500000000001</c:v>
                </c:pt>
                <c:pt idx="120">
                  <c:v>0.27970899999999999</c:v>
                </c:pt>
                <c:pt idx="121">
                  <c:v>0.27732800000000002</c:v>
                </c:pt>
                <c:pt idx="122">
                  <c:v>0.27589900000000001</c:v>
                </c:pt>
                <c:pt idx="123">
                  <c:v>0.273835</c:v>
                </c:pt>
                <c:pt idx="124">
                  <c:v>0.27240700000000001</c:v>
                </c:pt>
                <c:pt idx="125">
                  <c:v>0.27081899999999998</c:v>
                </c:pt>
                <c:pt idx="126">
                  <c:v>0.26986700000000002</c:v>
                </c:pt>
                <c:pt idx="127">
                  <c:v>0.289551</c:v>
                </c:pt>
                <c:pt idx="128">
                  <c:v>0.29510700000000001</c:v>
                </c:pt>
                <c:pt idx="129">
                  <c:v>0.29320200000000002</c:v>
                </c:pt>
                <c:pt idx="130">
                  <c:v>0.29161500000000001</c:v>
                </c:pt>
                <c:pt idx="131">
                  <c:v>0.29002699999999998</c:v>
                </c:pt>
                <c:pt idx="132">
                  <c:v>0.28907500000000003</c:v>
                </c:pt>
                <c:pt idx="133">
                  <c:v>0.28605900000000001</c:v>
                </c:pt>
                <c:pt idx="134">
                  <c:v>0.28462999999999999</c:v>
                </c:pt>
                <c:pt idx="135">
                  <c:v>0.28240700000000002</c:v>
                </c:pt>
                <c:pt idx="136">
                  <c:v>0.28574100000000002</c:v>
                </c:pt>
                <c:pt idx="137">
                  <c:v>0.28383599999999998</c:v>
                </c:pt>
                <c:pt idx="138">
                  <c:v>0.281773</c:v>
                </c:pt>
                <c:pt idx="139">
                  <c:v>0.28097899999999998</c:v>
                </c:pt>
                <c:pt idx="140">
                  <c:v>0.28066099999999999</c:v>
                </c:pt>
                <c:pt idx="141">
                  <c:v>0.278756</c:v>
                </c:pt>
                <c:pt idx="142">
                  <c:v>0.28526499999999999</c:v>
                </c:pt>
                <c:pt idx="143">
                  <c:v>0.28383599999999998</c:v>
                </c:pt>
                <c:pt idx="144">
                  <c:v>0.283995</c:v>
                </c:pt>
                <c:pt idx="145">
                  <c:v>0.28462999999999999</c:v>
                </c:pt>
                <c:pt idx="146">
                  <c:v>0.285582</c:v>
                </c:pt>
                <c:pt idx="147">
                  <c:v>0.28320099999999998</c:v>
                </c:pt>
                <c:pt idx="148">
                  <c:v>0.27955000000000002</c:v>
                </c:pt>
                <c:pt idx="149">
                  <c:v>0.27955000000000002</c:v>
                </c:pt>
                <c:pt idx="150">
                  <c:v>0.33368199999999998</c:v>
                </c:pt>
                <c:pt idx="151">
                  <c:v>0.33400000000000002</c:v>
                </c:pt>
                <c:pt idx="152">
                  <c:v>0.34606399999999998</c:v>
                </c:pt>
                <c:pt idx="153">
                  <c:v>0.34908</c:v>
                </c:pt>
                <c:pt idx="154">
                  <c:v>0.34765200000000002</c:v>
                </c:pt>
                <c:pt idx="155">
                  <c:v>0.34860400000000002</c:v>
                </c:pt>
                <c:pt idx="156">
                  <c:v>0.346858</c:v>
                </c:pt>
                <c:pt idx="157">
                  <c:v>0.34511199999999997</c:v>
                </c:pt>
                <c:pt idx="158">
                  <c:v>0.34114299999999997</c:v>
                </c:pt>
                <c:pt idx="159">
                  <c:v>0.340667</c:v>
                </c:pt>
                <c:pt idx="160">
                  <c:v>0.33828599999999998</c:v>
                </c:pt>
                <c:pt idx="161">
                  <c:v>0.342254</c:v>
                </c:pt>
                <c:pt idx="162">
                  <c:v>0.33987299999999998</c:v>
                </c:pt>
                <c:pt idx="163">
                  <c:v>0.33638099999999999</c:v>
                </c:pt>
                <c:pt idx="164">
                  <c:v>0.33511099999999999</c:v>
                </c:pt>
                <c:pt idx="165">
                  <c:v>0.33273000000000003</c:v>
                </c:pt>
                <c:pt idx="166">
                  <c:v>0.33145999999999998</c:v>
                </c:pt>
                <c:pt idx="167">
                  <c:v>0.329237</c:v>
                </c:pt>
                <c:pt idx="168">
                  <c:v>0.32622099999999998</c:v>
                </c:pt>
                <c:pt idx="169">
                  <c:v>0.32161800000000001</c:v>
                </c:pt>
                <c:pt idx="170">
                  <c:v>0.31971300000000002</c:v>
                </c:pt>
                <c:pt idx="171">
                  <c:v>0.31828400000000001</c:v>
                </c:pt>
                <c:pt idx="172">
                  <c:v>0.36479600000000001</c:v>
                </c:pt>
                <c:pt idx="173">
                  <c:v>0.366701</c:v>
                </c:pt>
                <c:pt idx="174">
                  <c:v>0.36527199999999999</c:v>
                </c:pt>
                <c:pt idx="175">
                  <c:v>0.36511399999999999</c:v>
                </c:pt>
                <c:pt idx="176">
                  <c:v>0.42908800000000002</c:v>
                </c:pt>
                <c:pt idx="177">
                  <c:v>0.430199</c:v>
                </c:pt>
                <c:pt idx="178">
                  <c:v>0.42543700000000001</c:v>
                </c:pt>
                <c:pt idx="179">
                  <c:v>0.42289700000000002</c:v>
                </c:pt>
                <c:pt idx="180">
                  <c:v>0.42226200000000003</c:v>
                </c:pt>
                <c:pt idx="181">
                  <c:v>0.43035800000000002</c:v>
                </c:pt>
                <c:pt idx="182">
                  <c:v>0.42781799999999998</c:v>
                </c:pt>
                <c:pt idx="183">
                  <c:v>0.423373</c:v>
                </c:pt>
                <c:pt idx="184">
                  <c:v>0.420516</c:v>
                </c:pt>
                <c:pt idx="185">
                  <c:v>0.423373</c:v>
                </c:pt>
                <c:pt idx="186">
                  <c:v>0.420516</c:v>
                </c:pt>
                <c:pt idx="187">
                  <c:v>0.41892800000000002</c:v>
                </c:pt>
                <c:pt idx="188">
                  <c:v>0.42654799999999998</c:v>
                </c:pt>
                <c:pt idx="189">
                  <c:v>0.427342</c:v>
                </c:pt>
                <c:pt idx="190">
                  <c:v>0.280503</c:v>
                </c:pt>
                <c:pt idx="191">
                  <c:v>0.278756</c:v>
                </c:pt>
                <c:pt idx="192">
                  <c:v>0.27986800000000001</c:v>
                </c:pt>
                <c:pt idx="193">
                  <c:v>0.31526799999999999</c:v>
                </c:pt>
                <c:pt idx="194">
                  <c:v>0.31907799999999997</c:v>
                </c:pt>
                <c:pt idx="195">
                  <c:v>0.31669599999999998</c:v>
                </c:pt>
                <c:pt idx="196">
                  <c:v>0.31193399999999999</c:v>
                </c:pt>
                <c:pt idx="197">
                  <c:v>0.323681</c:v>
                </c:pt>
                <c:pt idx="198">
                  <c:v>0.32177600000000001</c:v>
                </c:pt>
                <c:pt idx="199">
                  <c:v>0.319554</c:v>
                </c:pt>
                <c:pt idx="200">
                  <c:v>0.26986700000000002</c:v>
                </c:pt>
                <c:pt idx="201">
                  <c:v>0.27955000000000002</c:v>
                </c:pt>
                <c:pt idx="202">
                  <c:v>0.27859800000000001</c:v>
                </c:pt>
                <c:pt idx="203">
                  <c:v>0.27748600000000001</c:v>
                </c:pt>
                <c:pt idx="204">
                  <c:v>0.28320099999999998</c:v>
                </c:pt>
                <c:pt idx="205">
                  <c:v>0.282725</c:v>
                </c:pt>
                <c:pt idx="206">
                  <c:v>0.28288400000000002</c:v>
                </c:pt>
                <c:pt idx="207">
                  <c:v>0.28240700000000002</c:v>
                </c:pt>
                <c:pt idx="208">
                  <c:v>0.28812199999999999</c:v>
                </c:pt>
                <c:pt idx="209">
                  <c:v>0.28701100000000002</c:v>
                </c:pt>
                <c:pt idx="210">
                  <c:v>0.28653499999999998</c:v>
                </c:pt>
                <c:pt idx="211">
                  <c:v>0.28828100000000001</c:v>
                </c:pt>
                <c:pt idx="212">
                  <c:v>0.28748699999999999</c:v>
                </c:pt>
                <c:pt idx="213">
                  <c:v>0.286694</c:v>
                </c:pt>
                <c:pt idx="214">
                  <c:v>0.28716999999999998</c:v>
                </c:pt>
                <c:pt idx="215">
                  <c:v>0.32034800000000002</c:v>
                </c:pt>
                <c:pt idx="216">
                  <c:v>0.25192799999999999</c:v>
                </c:pt>
                <c:pt idx="217">
                  <c:v>0.24970600000000001</c:v>
                </c:pt>
                <c:pt idx="218">
                  <c:v>0.249389</c:v>
                </c:pt>
                <c:pt idx="219">
                  <c:v>0.24811900000000001</c:v>
                </c:pt>
                <c:pt idx="220">
                  <c:v>0.24970600000000001</c:v>
                </c:pt>
                <c:pt idx="221">
                  <c:v>0.24954699999999999</c:v>
                </c:pt>
                <c:pt idx="222">
                  <c:v>0.249389</c:v>
                </c:pt>
                <c:pt idx="223">
                  <c:v>0.25208700000000001</c:v>
                </c:pt>
                <c:pt idx="224">
                  <c:v>0.252722</c:v>
                </c:pt>
                <c:pt idx="225">
                  <c:v>0.29685299999999998</c:v>
                </c:pt>
                <c:pt idx="226">
                  <c:v>0.31304500000000002</c:v>
                </c:pt>
                <c:pt idx="227">
                  <c:v>0.31272800000000001</c:v>
                </c:pt>
                <c:pt idx="228">
                  <c:v>0.31161699999999998</c:v>
                </c:pt>
                <c:pt idx="229">
                  <c:v>0.31193399999999999</c:v>
                </c:pt>
                <c:pt idx="230">
                  <c:v>0.31050499999999998</c:v>
                </c:pt>
                <c:pt idx="231">
                  <c:v>0.310664</c:v>
                </c:pt>
                <c:pt idx="232">
                  <c:v>0.31114000000000003</c:v>
                </c:pt>
                <c:pt idx="233">
                  <c:v>0.31161699999999998</c:v>
                </c:pt>
                <c:pt idx="234">
                  <c:v>0.26827899999999999</c:v>
                </c:pt>
                <c:pt idx="235">
                  <c:v>0.27066000000000001</c:v>
                </c:pt>
                <c:pt idx="236">
                  <c:v>0.27081899999999998</c:v>
                </c:pt>
                <c:pt idx="237">
                  <c:v>0.25208700000000001</c:v>
                </c:pt>
                <c:pt idx="238">
                  <c:v>0.25161099999999997</c:v>
                </c:pt>
                <c:pt idx="239">
                  <c:v>0.25097599999999998</c:v>
                </c:pt>
                <c:pt idx="240">
                  <c:v>0.25034099999999998</c:v>
                </c:pt>
                <c:pt idx="241">
                  <c:v>0.25065799999999999</c:v>
                </c:pt>
                <c:pt idx="242">
                  <c:v>0.249389</c:v>
                </c:pt>
                <c:pt idx="243">
                  <c:v>0.248277</c:v>
                </c:pt>
                <c:pt idx="244">
                  <c:v>0.247166</c:v>
                </c:pt>
                <c:pt idx="245">
                  <c:v>0.24684900000000001</c:v>
                </c:pt>
                <c:pt idx="246">
                  <c:v>0.25192799999999999</c:v>
                </c:pt>
                <c:pt idx="247">
                  <c:v>0.25097599999999998</c:v>
                </c:pt>
                <c:pt idx="248">
                  <c:v>0.24923000000000001</c:v>
                </c:pt>
                <c:pt idx="249">
                  <c:v>0.24780099999999999</c:v>
                </c:pt>
                <c:pt idx="250">
                  <c:v>0.248754</c:v>
                </c:pt>
                <c:pt idx="251">
                  <c:v>0.24923000000000001</c:v>
                </c:pt>
                <c:pt idx="252">
                  <c:v>0.248754</c:v>
                </c:pt>
                <c:pt idx="253">
                  <c:v>0.248277</c:v>
                </c:pt>
                <c:pt idx="254">
                  <c:v>0.24954699999999999</c:v>
                </c:pt>
                <c:pt idx="255">
                  <c:v>0.24923000000000001</c:v>
                </c:pt>
                <c:pt idx="256">
                  <c:v>0.24811900000000001</c:v>
                </c:pt>
                <c:pt idx="257">
                  <c:v>0.239705</c:v>
                </c:pt>
                <c:pt idx="258">
                  <c:v>0.237959</c:v>
                </c:pt>
                <c:pt idx="259">
                  <c:v>0.23621300000000001</c:v>
                </c:pt>
                <c:pt idx="260">
                  <c:v>0.238594</c:v>
                </c:pt>
                <c:pt idx="261">
                  <c:v>0.23732400000000001</c:v>
                </c:pt>
                <c:pt idx="262">
                  <c:v>0.23605400000000001</c:v>
                </c:pt>
                <c:pt idx="263">
                  <c:v>0.23526</c:v>
                </c:pt>
                <c:pt idx="264">
                  <c:v>0.23446600000000001</c:v>
                </c:pt>
                <c:pt idx="265">
                  <c:v>0.23383200000000001</c:v>
                </c:pt>
                <c:pt idx="266">
                  <c:v>0.23224400000000001</c:v>
                </c:pt>
                <c:pt idx="267">
                  <c:v>0.26113599999999998</c:v>
                </c:pt>
                <c:pt idx="268">
                  <c:v>0.26034200000000002</c:v>
                </c:pt>
                <c:pt idx="269">
                  <c:v>0.26002399999999998</c:v>
                </c:pt>
                <c:pt idx="270">
                  <c:v>0.259548</c:v>
                </c:pt>
                <c:pt idx="271">
                  <c:v>0.25938899999999998</c:v>
                </c:pt>
                <c:pt idx="272">
                  <c:v>0.27955000000000002</c:v>
                </c:pt>
                <c:pt idx="273">
                  <c:v>0.28462999999999999</c:v>
                </c:pt>
                <c:pt idx="274">
                  <c:v>0.28383599999999998</c:v>
                </c:pt>
                <c:pt idx="275">
                  <c:v>0.28383599999999998</c:v>
                </c:pt>
                <c:pt idx="276">
                  <c:v>0.314633</c:v>
                </c:pt>
                <c:pt idx="277">
                  <c:v>0.32606200000000002</c:v>
                </c:pt>
                <c:pt idx="278">
                  <c:v>0.32717400000000002</c:v>
                </c:pt>
                <c:pt idx="279">
                  <c:v>0.29129699999999997</c:v>
                </c:pt>
                <c:pt idx="280">
                  <c:v>0.28907500000000003</c:v>
                </c:pt>
                <c:pt idx="281">
                  <c:v>0.28780499999999998</c:v>
                </c:pt>
                <c:pt idx="282">
                  <c:v>0.28923399999999999</c:v>
                </c:pt>
                <c:pt idx="283">
                  <c:v>0.28986899999999999</c:v>
                </c:pt>
                <c:pt idx="284">
                  <c:v>0.29288500000000001</c:v>
                </c:pt>
                <c:pt idx="285">
                  <c:v>0.29288500000000001</c:v>
                </c:pt>
                <c:pt idx="286">
                  <c:v>0.29399599999999998</c:v>
                </c:pt>
                <c:pt idx="287">
                  <c:v>0.29383700000000001</c:v>
                </c:pt>
                <c:pt idx="288">
                  <c:v>0.29732999999999998</c:v>
                </c:pt>
                <c:pt idx="289">
                  <c:v>0.29796499999999998</c:v>
                </c:pt>
                <c:pt idx="290">
                  <c:v>0.29828199999999999</c:v>
                </c:pt>
                <c:pt idx="291">
                  <c:v>0.29875800000000002</c:v>
                </c:pt>
                <c:pt idx="292">
                  <c:v>0.35939900000000002</c:v>
                </c:pt>
                <c:pt idx="293">
                  <c:v>0.36590699999999998</c:v>
                </c:pt>
                <c:pt idx="294">
                  <c:v>0.36686000000000002</c:v>
                </c:pt>
                <c:pt idx="295">
                  <c:v>0.36590699999999998</c:v>
                </c:pt>
                <c:pt idx="296">
                  <c:v>0.36559000000000003</c:v>
                </c:pt>
                <c:pt idx="297">
                  <c:v>0.36701899999999998</c:v>
                </c:pt>
                <c:pt idx="298">
                  <c:v>0.367336</c:v>
                </c:pt>
                <c:pt idx="299">
                  <c:v>0.33368199999999998</c:v>
                </c:pt>
                <c:pt idx="300">
                  <c:v>0.33082499999999998</c:v>
                </c:pt>
                <c:pt idx="301">
                  <c:v>0.330507</c:v>
                </c:pt>
                <c:pt idx="302">
                  <c:v>0.37559100000000001</c:v>
                </c:pt>
                <c:pt idx="303">
                  <c:v>0.38130599999999998</c:v>
                </c:pt>
                <c:pt idx="304">
                  <c:v>0.38575100000000001</c:v>
                </c:pt>
                <c:pt idx="305">
                  <c:v>0.38829000000000002</c:v>
                </c:pt>
                <c:pt idx="306">
                  <c:v>0.385909</c:v>
                </c:pt>
                <c:pt idx="307">
                  <c:v>0.384322</c:v>
                </c:pt>
                <c:pt idx="308">
                  <c:v>0.38321100000000002</c:v>
                </c:pt>
                <c:pt idx="309">
                  <c:v>0.38194099999999997</c:v>
                </c:pt>
                <c:pt idx="310">
                  <c:v>0.383687</c:v>
                </c:pt>
                <c:pt idx="311">
                  <c:v>0.38463900000000001</c:v>
                </c:pt>
                <c:pt idx="312">
                  <c:v>0.38543300000000003</c:v>
                </c:pt>
                <c:pt idx="313">
                  <c:v>0.38622699999999999</c:v>
                </c:pt>
                <c:pt idx="314">
                  <c:v>0.38749699999999998</c:v>
                </c:pt>
                <c:pt idx="315">
                  <c:v>0.393847</c:v>
                </c:pt>
                <c:pt idx="316">
                  <c:v>0.40114899999999998</c:v>
                </c:pt>
                <c:pt idx="317">
                  <c:v>0.40035500000000002</c:v>
                </c:pt>
                <c:pt idx="318">
                  <c:v>0.39987899999999998</c:v>
                </c:pt>
                <c:pt idx="319">
                  <c:v>0.400038</c:v>
                </c:pt>
                <c:pt idx="320">
                  <c:v>0.33527000000000001</c:v>
                </c:pt>
                <c:pt idx="321">
                  <c:v>0.32590400000000003</c:v>
                </c:pt>
                <c:pt idx="322">
                  <c:v>0.32447500000000001</c:v>
                </c:pt>
                <c:pt idx="323">
                  <c:v>0.32590400000000003</c:v>
                </c:pt>
                <c:pt idx="324">
                  <c:v>0.32606200000000002</c:v>
                </c:pt>
                <c:pt idx="325">
                  <c:v>0.33066600000000002</c:v>
                </c:pt>
                <c:pt idx="326">
                  <c:v>0.32780900000000002</c:v>
                </c:pt>
                <c:pt idx="327">
                  <c:v>0.32384000000000002</c:v>
                </c:pt>
                <c:pt idx="328">
                  <c:v>0.322411</c:v>
                </c:pt>
                <c:pt idx="329">
                  <c:v>0.32050600000000001</c:v>
                </c:pt>
                <c:pt idx="330">
                  <c:v>0.33828599999999998</c:v>
                </c:pt>
                <c:pt idx="331">
                  <c:v>0.33685700000000002</c:v>
                </c:pt>
                <c:pt idx="332">
                  <c:v>0.29526599999999997</c:v>
                </c:pt>
                <c:pt idx="333">
                  <c:v>0.29558299999999998</c:v>
                </c:pt>
                <c:pt idx="334">
                  <c:v>0.29336099999999998</c:v>
                </c:pt>
                <c:pt idx="335">
                  <c:v>0.29272599999999999</c:v>
                </c:pt>
                <c:pt idx="336">
                  <c:v>0.29558299999999998</c:v>
                </c:pt>
                <c:pt idx="337">
                  <c:v>0.29526599999999997</c:v>
                </c:pt>
                <c:pt idx="338">
                  <c:v>0.430199</c:v>
                </c:pt>
                <c:pt idx="339">
                  <c:v>0.40194299999999999</c:v>
                </c:pt>
                <c:pt idx="340">
                  <c:v>0.39162400000000003</c:v>
                </c:pt>
                <c:pt idx="341">
                  <c:v>0.39432299999999998</c:v>
                </c:pt>
                <c:pt idx="342">
                  <c:v>0.39083000000000001</c:v>
                </c:pt>
                <c:pt idx="343">
                  <c:v>0.39067200000000002</c:v>
                </c:pt>
                <c:pt idx="344">
                  <c:v>0.39003700000000002</c:v>
                </c:pt>
                <c:pt idx="345">
                  <c:v>0.38892500000000002</c:v>
                </c:pt>
                <c:pt idx="346">
                  <c:v>0.385909</c:v>
                </c:pt>
                <c:pt idx="347">
                  <c:v>0.38384600000000002</c:v>
                </c:pt>
                <c:pt idx="348">
                  <c:v>0.38098799999999999</c:v>
                </c:pt>
                <c:pt idx="349">
                  <c:v>0.38241700000000001</c:v>
                </c:pt>
                <c:pt idx="350">
                  <c:v>0.38225799999999999</c:v>
                </c:pt>
                <c:pt idx="351">
                  <c:v>0.383052</c:v>
                </c:pt>
                <c:pt idx="352">
                  <c:v>0.38289299999999998</c:v>
                </c:pt>
                <c:pt idx="353">
                  <c:v>0.38273400000000002</c:v>
                </c:pt>
                <c:pt idx="354">
                  <c:v>0.38321100000000002</c:v>
                </c:pt>
                <c:pt idx="355">
                  <c:v>0.38416299999999998</c:v>
                </c:pt>
                <c:pt idx="356">
                  <c:v>0.38289299999999998</c:v>
                </c:pt>
                <c:pt idx="357">
                  <c:v>0.38051200000000002</c:v>
                </c:pt>
                <c:pt idx="358">
                  <c:v>0.37876599999999999</c:v>
                </c:pt>
                <c:pt idx="359">
                  <c:v>0.380353</c:v>
                </c:pt>
                <c:pt idx="360">
                  <c:v>0.35066799999999998</c:v>
                </c:pt>
                <c:pt idx="361">
                  <c:v>0.34558800000000001</c:v>
                </c:pt>
                <c:pt idx="362">
                  <c:v>0.34177800000000003</c:v>
                </c:pt>
                <c:pt idx="363">
                  <c:v>0.33971400000000002</c:v>
                </c:pt>
                <c:pt idx="364">
                  <c:v>0.339397</c:v>
                </c:pt>
                <c:pt idx="365">
                  <c:v>0.33828599999999998</c:v>
                </c:pt>
                <c:pt idx="366">
                  <c:v>0.33812700000000001</c:v>
                </c:pt>
                <c:pt idx="367">
                  <c:v>0.33749200000000001</c:v>
                </c:pt>
                <c:pt idx="368">
                  <c:v>0.33654000000000001</c:v>
                </c:pt>
                <c:pt idx="369">
                  <c:v>0.340667</c:v>
                </c:pt>
                <c:pt idx="370">
                  <c:v>0.34209600000000001</c:v>
                </c:pt>
                <c:pt idx="371">
                  <c:v>0.344001</c:v>
                </c:pt>
                <c:pt idx="372">
                  <c:v>0.34558800000000001</c:v>
                </c:pt>
                <c:pt idx="373">
                  <c:v>0.34479399999999999</c:v>
                </c:pt>
                <c:pt idx="374">
                  <c:v>0.34273100000000001</c:v>
                </c:pt>
                <c:pt idx="375">
                  <c:v>0.34098400000000001</c:v>
                </c:pt>
                <c:pt idx="376">
                  <c:v>0.34050799999999998</c:v>
                </c:pt>
                <c:pt idx="377">
                  <c:v>0.33892099999999997</c:v>
                </c:pt>
                <c:pt idx="378">
                  <c:v>0.33749200000000001</c:v>
                </c:pt>
                <c:pt idx="379">
                  <c:v>0.33781</c:v>
                </c:pt>
                <c:pt idx="380">
                  <c:v>0.320824</c:v>
                </c:pt>
                <c:pt idx="381">
                  <c:v>0.31780799999999998</c:v>
                </c:pt>
                <c:pt idx="382">
                  <c:v>0.31717299999999998</c:v>
                </c:pt>
                <c:pt idx="383">
                  <c:v>0.31796600000000003</c:v>
                </c:pt>
                <c:pt idx="384">
                  <c:v>0.31637900000000002</c:v>
                </c:pt>
                <c:pt idx="385">
                  <c:v>0.315585</c:v>
                </c:pt>
                <c:pt idx="386">
                  <c:v>0.31431500000000001</c:v>
                </c:pt>
                <c:pt idx="387">
                  <c:v>0.31304500000000002</c:v>
                </c:pt>
                <c:pt idx="388">
                  <c:v>0.31129899999999999</c:v>
                </c:pt>
                <c:pt idx="389">
                  <c:v>0.30986999999999998</c:v>
                </c:pt>
                <c:pt idx="390">
                  <c:v>0.30828299999999997</c:v>
                </c:pt>
                <c:pt idx="391">
                  <c:v>0.30764799999999998</c:v>
                </c:pt>
                <c:pt idx="392">
                  <c:v>0.30177399999999999</c:v>
                </c:pt>
                <c:pt idx="393">
                  <c:v>0.295742</c:v>
                </c:pt>
                <c:pt idx="394">
                  <c:v>0.29764699999999999</c:v>
                </c:pt>
                <c:pt idx="395">
                  <c:v>0.30225099999999999</c:v>
                </c:pt>
                <c:pt idx="396">
                  <c:v>0.30129800000000001</c:v>
                </c:pt>
                <c:pt idx="397">
                  <c:v>0.30082199999999998</c:v>
                </c:pt>
                <c:pt idx="398">
                  <c:v>0.30796499999999999</c:v>
                </c:pt>
                <c:pt idx="399">
                  <c:v>0.307172</c:v>
                </c:pt>
                <c:pt idx="400">
                  <c:v>0.30907699999999999</c:v>
                </c:pt>
                <c:pt idx="401">
                  <c:v>0.30796499999999999</c:v>
                </c:pt>
                <c:pt idx="402">
                  <c:v>0.306537</c:v>
                </c:pt>
                <c:pt idx="403">
                  <c:v>0.27050200000000002</c:v>
                </c:pt>
                <c:pt idx="404">
                  <c:v>0.26923200000000003</c:v>
                </c:pt>
                <c:pt idx="405">
                  <c:v>0.26891399999999999</c:v>
                </c:pt>
                <c:pt idx="406">
                  <c:v>0.26780300000000001</c:v>
                </c:pt>
                <c:pt idx="407">
                  <c:v>0.26684999999999998</c:v>
                </c:pt>
                <c:pt idx="408">
                  <c:v>0.265739</c:v>
                </c:pt>
                <c:pt idx="409">
                  <c:v>0.26605699999999999</c:v>
                </c:pt>
                <c:pt idx="410">
                  <c:v>0.26494600000000001</c:v>
                </c:pt>
                <c:pt idx="411">
                  <c:v>0.263517</c:v>
                </c:pt>
                <c:pt idx="412">
                  <c:v>0.26589800000000002</c:v>
                </c:pt>
                <c:pt idx="413">
                  <c:v>0.26558100000000001</c:v>
                </c:pt>
                <c:pt idx="414">
                  <c:v>0.26256400000000002</c:v>
                </c:pt>
                <c:pt idx="415">
                  <c:v>0.26145299999999999</c:v>
                </c:pt>
                <c:pt idx="416">
                  <c:v>0.26097700000000001</c:v>
                </c:pt>
                <c:pt idx="417">
                  <c:v>0.26097700000000001</c:v>
                </c:pt>
                <c:pt idx="418">
                  <c:v>0.26192900000000002</c:v>
                </c:pt>
                <c:pt idx="419">
                  <c:v>0.26256400000000002</c:v>
                </c:pt>
                <c:pt idx="420">
                  <c:v>0.26161200000000001</c:v>
                </c:pt>
                <c:pt idx="421">
                  <c:v>0.26081799999999999</c:v>
                </c:pt>
                <c:pt idx="422">
                  <c:v>0.26081799999999999</c:v>
                </c:pt>
                <c:pt idx="423">
                  <c:v>0.244944</c:v>
                </c:pt>
                <c:pt idx="424">
                  <c:v>0.24272099999999999</c:v>
                </c:pt>
                <c:pt idx="425">
                  <c:v>0.242562</c:v>
                </c:pt>
                <c:pt idx="426">
                  <c:v>0.28875699999999999</c:v>
                </c:pt>
                <c:pt idx="427">
                  <c:v>0.28812199999999999</c:v>
                </c:pt>
                <c:pt idx="428">
                  <c:v>0.29050300000000001</c:v>
                </c:pt>
                <c:pt idx="429">
                  <c:v>0.27859800000000001</c:v>
                </c:pt>
                <c:pt idx="430">
                  <c:v>0.30415599999999998</c:v>
                </c:pt>
                <c:pt idx="431">
                  <c:v>0.30288599999999999</c:v>
                </c:pt>
                <c:pt idx="432">
                  <c:v>0.30177399999999999</c:v>
                </c:pt>
                <c:pt idx="433">
                  <c:v>0.29971100000000001</c:v>
                </c:pt>
                <c:pt idx="434">
                  <c:v>0.30145699999999997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1-41F5-818D-CB9D286F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8"/>
        <c:tickMarkSkip val="20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 baseline="0"/>
              <a:t>Obbligazionario Misto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Pivot'!$J$3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Pivot'!$J$4:$J$439</c:f>
              <c:numCache>
                <c:formatCode>General</c:formatCode>
                <c:ptCount val="4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0-4874-9B95-06749632299B}"/>
            </c:ext>
          </c:extLst>
        </c:ser>
        <c:ser>
          <c:idx val="1"/>
          <c:order val="1"/>
          <c:tx>
            <c:strRef>
              <c:f>'Tabelle Pivot'!$K$3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Pivot'!$K$4:$K$439</c:f>
              <c:numCache>
                <c:formatCode>General</c:formatCode>
                <c:ptCount val="435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  <c:pt idx="12">
                  <c:v>1.1499999999999999</c:v>
                </c:pt>
                <c:pt idx="13">
                  <c:v>1.1499999999999999</c:v>
                </c:pt>
                <c:pt idx="14">
                  <c:v>1.1499999999999999</c:v>
                </c:pt>
                <c:pt idx="15">
                  <c:v>1.1499999999999999</c:v>
                </c:pt>
                <c:pt idx="16">
                  <c:v>1.1499999999999999</c:v>
                </c:pt>
                <c:pt idx="17">
                  <c:v>1.1499999999999999</c:v>
                </c:pt>
                <c:pt idx="18">
                  <c:v>1.1499999999999999</c:v>
                </c:pt>
                <c:pt idx="19">
                  <c:v>1.1499999999999999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1.1499999999999999</c:v>
                </c:pt>
                <c:pt idx="23">
                  <c:v>1.1499999999999999</c:v>
                </c:pt>
                <c:pt idx="24">
                  <c:v>1.1499999999999999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1.1499999999999999</c:v>
                </c:pt>
                <c:pt idx="28">
                  <c:v>1.1499999999999999</c:v>
                </c:pt>
                <c:pt idx="29">
                  <c:v>1.1499999999999999</c:v>
                </c:pt>
                <c:pt idx="30">
                  <c:v>1.1499999999999999</c:v>
                </c:pt>
                <c:pt idx="31">
                  <c:v>1.1499999999999999</c:v>
                </c:pt>
                <c:pt idx="32">
                  <c:v>1.1499999999999999</c:v>
                </c:pt>
                <c:pt idx="33">
                  <c:v>1.1499999999999999</c:v>
                </c:pt>
                <c:pt idx="34">
                  <c:v>1.1499999999999999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1.1499999999999999</c:v>
                </c:pt>
                <c:pt idx="38">
                  <c:v>1.1499999999999999</c:v>
                </c:pt>
                <c:pt idx="39">
                  <c:v>1.1499999999999999</c:v>
                </c:pt>
                <c:pt idx="40">
                  <c:v>1.1499999999999999</c:v>
                </c:pt>
                <c:pt idx="41">
                  <c:v>1.1499999999999999</c:v>
                </c:pt>
                <c:pt idx="42">
                  <c:v>1.1499999999999999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1.1499999999999999</c:v>
                </c:pt>
                <c:pt idx="46">
                  <c:v>1.1499999999999999</c:v>
                </c:pt>
                <c:pt idx="47">
                  <c:v>1.1499999999999999</c:v>
                </c:pt>
                <c:pt idx="48">
                  <c:v>1.1499999999999999</c:v>
                </c:pt>
                <c:pt idx="49">
                  <c:v>1.1499999999999999</c:v>
                </c:pt>
                <c:pt idx="50">
                  <c:v>1.1499999999999999</c:v>
                </c:pt>
                <c:pt idx="51">
                  <c:v>1.1499999999999999</c:v>
                </c:pt>
                <c:pt idx="52">
                  <c:v>1.1499999999999999</c:v>
                </c:pt>
                <c:pt idx="53">
                  <c:v>1.1499999999999999</c:v>
                </c:pt>
                <c:pt idx="54">
                  <c:v>1.1499999999999999</c:v>
                </c:pt>
                <c:pt idx="55">
                  <c:v>1.1499999999999999</c:v>
                </c:pt>
                <c:pt idx="56">
                  <c:v>1.1499999999999999</c:v>
                </c:pt>
                <c:pt idx="57">
                  <c:v>1.1499999999999999</c:v>
                </c:pt>
                <c:pt idx="58">
                  <c:v>1.1499999999999999</c:v>
                </c:pt>
                <c:pt idx="59">
                  <c:v>1.1499999999999999</c:v>
                </c:pt>
                <c:pt idx="60">
                  <c:v>1.1499999999999999</c:v>
                </c:pt>
                <c:pt idx="61">
                  <c:v>1.1499999999999999</c:v>
                </c:pt>
                <c:pt idx="62">
                  <c:v>1.1499999999999999</c:v>
                </c:pt>
                <c:pt idx="63">
                  <c:v>1.1499999999999999</c:v>
                </c:pt>
                <c:pt idx="64">
                  <c:v>1.1499999999999999</c:v>
                </c:pt>
                <c:pt idx="65">
                  <c:v>1.1499999999999999</c:v>
                </c:pt>
                <c:pt idx="66">
                  <c:v>1.1499999999999999</c:v>
                </c:pt>
                <c:pt idx="67">
                  <c:v>1.1499999999999999</c:v>
                </c:pt>
                <c:pt idx="68">
                  <c:v>1.1499999999999999</c:v>
                </c:pt>
                <c:pt idx="69">
                  <c:v>1.1499999999999999</c:v>
                </c:pt>
                <c:pt idx="70">
                  <c:v>1.1499999999999999</c:v>
                </c:pt>
                <c:pt idx="71">
                  <c:v>1.1499999999999999</c:v>
                </c:pt>
                <c:pt idx="72">
                  <c:v>1.1499999999999999</c:v>
                </c:pt>
                <c:pt idx="73">
                  <c:v>1.1499999999999999</c:v>
                </c:pt>
                <c:pt idx="74">
                  <c:v>1.1499999999999999</c:v>
                </c:pt>
                <c:pt idx="75">
                  <c:v>1.1499999999999999</c:v>
                </c:pt>
                <c:pt idx="76">
                  <c:v>1.1499999999999999</c:v>
                </c:pt>
                <c:pt idx="77">
                  <c:v>1.1499999999999999</c:v>
                </c:pt>
                <c:pt idx="78">
                  <c:v>1.1499999999999999</c:v>
                </c:pt>
                <c:pt idx="79">
                  <c:v>1.1499999999999999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1.1499999999999999</c:v>
                </c:pt>
                <c:pt idx="236">
                  <c:v>1.1499999999999999</c:v>
                </c:pt>
                <c:pt idx="237">
                  <c:v>1.1499999999999999</c:v>
                </c:pt>
                <c:pt idx="238">
                  <c:v>1.1499999999999999</c:v>
                </c:pt>
                <c:pt idx="239">
                  <c:v>1.1499999999999999</c:v>
                </c:pt>
                <c:pt idx="240">
                  <c:v>1.1499999999999999</c:v>
                </c:pt>
                <c:pt idx="241">
                  <c:v>1.1499999999999999</c:v>
                </c:pt>
                <c:pt idx="242">
                  <c:v>1.1499999999999999</c:v>
                </c:pt>
                <c:pt idx="243">
                  <c:v>1.1499999999999999</c:v>
                </c:pt>
                <c:pt idx="244">
                  <c:v>1.1499999999999999</c:v>
                </c:pt>
                <c:pt idx="245">
                  <c:v>1.1499999999999999</c:v>
                </c:pt>
                <c:pt idx="246">
                  <c:v>1.1499999999999999</c:v>
                </c:pt>
                <c:pt idx="247">
                  <c:v>1.1499999999999999</c:v>
                </c:pt>
                <c:pt idx="248">
                  <c:v>1.1499999999999999</c:v>
                </c:pt>
                <c:pt idx="249">
                  <c:v>1.1499999999999999</c:v>
                </c:pt>
                <c:pt idx="250">
                  <c:v>1.1499999999999999</c:v>
                </c:pt>
                <c:pt idx="251">
                  <c:v>1.1499999999999999</c:v>
                </c:pt>
                <c:pt idx="252">
                  <c:v>1.1499999999999999</c:v>
                </c:pt>
                <c:pt idx="253">
                  <c:v>1.1499999999999999</c:v>
                </c:pt>
                <c:pt idx="254">
                  <c:v>1.1499999999999999</c:v>
                </c:pt>
                <c:pt idx="255">
                  <c:v>1.1499999999999999</c:v>
                </c:pt>
                <c:pt idx="256">
                  <c:v>1.1499999999999999</c:v>
                </c:pt>
                <c:pt idx="257">
                  <c:v>1.1499999999999999</c:v>
                </c:pt>
                <c:pt idx="258">
                  <c:v>1.1499999999999999</c:v>
                </c:pt>
                <c:pt idx="259">
                  <c:v>1.1499999999999999</c:v>
                </c:pt>
                <c:pt idx="260">
                  <c:v>1.1499999999999999</c:v>
                </c:pt>
                <c:pt idx="261">
                  <c:v>1.1499999999999999</c:v>
                </c:pt>
                <c:pt idx="262">
                  <c:v>1.1499999999999999</c:v>
                </c:pt>
                <c:pt idx="263">
                  <c:v>1.1499999999999999</c:v>
                </c:pt>
                <c:pt idx="264">
                  <c:v>1.1499999999999999</c:v>
                </c:pt>
                <c:pt idx="265">
                  <c:v>1.1499999999999999</c:v>
                </c:pt>
                <c:pt idx="266">
                  <c:v>1.1499999999999999</c:v>
                </c:pt>
                <c:pt idx="267">
                  <c:v>1.1499999999999999</c:v>
                </c:pt>
                <c:pt idx="268">
                  <c:v>1.1499999999999999</c:v>
                </c:pt>
                <c:pt idx="269">
                  <c:v>1.1499999999999999</c:v>
                </c:pt>
                <c:pt idx="270">
                  <c:v>1.1499999999999999</c:v>
                </c:pt>
                <c:pt idx="271">
                  <c:v>1.1499999999999999</c:v>
                </c:pt>
                <c:pt idx="272">
                  <c:v>1.1499999999999999</c:v>
                </c:pt>
                <c:pt idx="273">
                  <c:v>1.1499999999999999</c:v>
                </c:pt>
                <c:pt idx="274">
                  <c:v>1.1499999999999999</c:v>
                </c:pt>
                <c:pt idx="275">
                  <c:v>1.1499999999999999</c:v>
                </c:pt>
                <c:pt idx="276">
                  <c:v>1.1499999999999999</c:v>
                </c:pt>
                <c:pt idx="277">
                  <c:v>1.1499999999999999</c:v>
                </c:pt>
                <c:pt idx="278">
                  <c:v>1.1499999999999999</c:v>
                </c:pt>
                <c:pt idx="279">
                  <c:v>1.1499999999999999</c:v>
                </c:pt>
                <c:pt idx="280">
                  <c:v>1.1499999999999999</c:v>
                </c:pt>
                <c:pt idx="281">
                  <c:v>1.1499999999999999</c:v>
                </c:pt>
                <c:pt idx="282">
                  <c:v>1.1499999999999999</c:v>
                </c:pt>
                <c:pt idx="283">
                  <c:v>1.1499999999999999</c:v>
                </c:pt>
                <c:pt idx="284">
                  <c:v>1.1499999999999999</c:v>
                </c:pt>
                <c:pt idx="285">
                  <c:v>1.1499999999999999</c:v>
                </c:pt>
                <c:pt idx="286">
                  <c:v>1.1499999999999999</c:v>
                </c:pt>
                <c:pt idx="287">
                  <c:v>1.1499999999999999</c:v>
                </c:pt>
                <c:pt idx="288">
                  <c:v>1.1499999999999999</c:v>
                </c:pt>
                <c:pt idx="289">
                  <c:v>1.1499999999999999</c:v>
                </c:pt>
                <c:pt idx="290">
                  <c:v>1.1499999999999999</c:v>
                </c:pt>
                <c:pt idx="291">
                  <c:v>1.1499999999999999</c:v>
                </c:pt>
                <c:pt idx="292">
                  <c:v>1.1499999999999999</c:v>
                </c:pt>
                <c:pt idx="293">
                  <c:v>1.1499999999999999</c:v>
                </c:pt>
                <c:pt idx="294">
                  <c:v>1.1499999999999999</c:v>
                </c:pt>
                <c:pt idx="295">
                  <c:v>1.1499999999999999</c:v>
                </c:pt>
                <c:pt idx="296">
                  <c:v>1.1499999999999999</c:v>
                </c:pt>
                <c:pt idx="297">
                  <c:v>1.1499999999999999</c:v>
                </c:pt>
                <c:pt idx="298">
                  <c:v>1.1499999999999999</c:v>
                </c:pt>
                <c:pt idx="299">
                  <c:v>1.1499999999999999</c:v>
                </c:pt>
                <c:pt idx="300">
                  <c:v>1.1499999999999999</c:v>
                </c:pt>
                <c:pt idx="301">
                  <c:v>1.1499999999999999</c:v>
                </c:pt>
                <c:pt idx="302">
                  <c:v>1.1499999999999999</c:v>
                </c:pt>
                <c:pt idx="303">
                  <c:v>1.1499999999999999</c:v>
                </c:pt>
                <c:pt idx="304">
                  <c:v>1.1499999999999999</c:v>
                </c:pt>
                <c:pt idx="305">
                  <c:v>1.1499999999999999</c:v>
                </c:pt>
                <c:pt idx="306">
                  <c:v>1.1499999999999999</c:v>
                </c:pt>
                <c:pt idx="307">
                  <c:v>1.1499999999999999</c:v>
                </c:pt>
                <c:pt idx="308">
                  <c:v>1.1499999999999999</c:v>
                </c:pt>
                <c:pt idx="309">
                  <c:v>1.1499999999999999</c:v>
                </c:pt>
                <c:pt idx="310">
                  <c:v>1.1499999999999999</c:v>
                </c:pt>
                <c:pt idx="311">
                  <c:v>1.1499999999999999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1.1499999999999999</c:v>
                </c:pt>
                <c:pt idx="350">
                  <c:v>1.1499999999999999</c:v>
                </c:pt>
                <c:pt idx="351">
                  <c:v>1.1499999999999999</c:v>
                </c:pt>
                <c:pt idx="352">
                  <c:v>1.1499999999999999</c:v>
                </c:pt>
                <c:pt idx="353">
                  <c:v>1.1499999999999999</c:v>
                </c:pt>
                <c:pt idx="354">
                  <c:v>1.1499999999999999</c:v>
                </c:pt>
                <c:pt idx="355">
                  <c:v>1.1499999999999999</c:v>
                </c:pt>
                <c:pt idx="356">
                  <c:v>1.1499999999999999</c:v>
                </c:pt>
                <c:pt idx="357">
                  <c:v>1.1499999999999999</c:v>
                </c:pt>
                <c:pt idx="358">
                  <c:v>1.1499999999999999</c:v>
                </c:pt>
                <c:pt idx="359">
                  <c:v>1.1499999999999999</c:v>
                </c:pt>
                <c:pt idx="360">
                  <c:v>1.1499999999999999</c:v>
                </c:pt>
                <c:pt idx="361">
                  <c:v>1.1499999999999999</c:v>
                </c:pt>
                <c:pt idx="362">
                  <c:v>1.1499999999999999</c:v>
                </c:pt>
                <c:pt idx="363">
                  <c:v>1.1499999999999999</c:v>
                </c:pt>
                <c:pt idx="364">
                  <c:v>1.1499999999999999</c:v>
                </c:pt>
                <c:pt idx="365">
                  <c:v>1.1499999999999999</c:v>
                </c:pt>
                <c:pt idx="366">
                  <c:v>1.1499999999999999</c:v>
                </c:pt>
                <c:pt idx="367">
                  <c:v>1.1499999999999999</c:v>
                </c:pt>
                <c:pt idx="368">
                  <c:v>1.1499999999999999</c:v>
                </c:pt>
                <c:pt idx="369">
                  <c:v>1.1499999999999999</c:v>
                </c:pt>
                <c:pt idx="370">
                  <c:v>1.1499999999999999</c:v>
                </c:pt>
                <c:pt idx="371">
                  <c:v>1.1499999999999999</c:v>
                </c:pt>
                <c:pt idx="372">
                  <c:v>1.1499999999999999</c:v>
                </c:pt>
                <c:pt idx="373">
                  <c:v>1.1499999999999999</c:v>
                </c:pt>
                <c:pt idx="374">
                  <c:v>1.1499999999999999</c:v>
                </c:pt>
                <c:pt idx="375">
                  <c:v>1.1499999999999999</c:v>
                </c:pt>
                <c:pt idx="376">
                  <c:v>1.1499999999999999</c:v>
                </c:pt>
                <c:pt idx="377">
                  <c:v>1.1499999999999999</c:v>
                </c:pt>
                <c:pt idx="378">
                  <c:v>1.1499999999999999</c:v>
                </c:pt>
                <c:pt idx="379">
                  <c:v>1.1499999999999999</c:v>
                </c:pt>
                <c:pt idx="380">
                  <c:v>1.1499999999999999</c:v>
                </c:pt>
                <c:pt idx="381">
                  <c:v>1.1499999999999999</c:v>
                </c:pt>
                <c:pt idx="382">
                  <c:v>1.1499999999999999</c:v>
                </c:pt>
                <c:pt idx="383">
                  <c:v>1.1499999999999999</c:v>
                </c:pt>
                <c:pt idx="384">
                  <c:v>1.1499999999999999</c:v>
                </c:pt>
                <c:pt idx="385">
                  <c:v>1.1499999999999999</c:v>
                </c:pt>
                <c:pt idx="386">
                  <c:v>1.1499999999999999</c:v>
                </c:pt>
                <c:pt idx="387">
                  <c:v>1.1499999999999999</c:v>
                </c:pt>
                <c:pt idx="388">
                  <c:v>1.1499999999999999</c:v>
                </c:pt>
                <c:pt idx="389">
                  <c:v>1.1499999999999999</c:v>
                </c:pt>
                <c:pt idx="390">
                  <c:v>1.1499999999999999</c:v>
                </c:pt>
                <c:pt idx="391">
                  <c:v>1.1499999999999999</c:v>
                </c:pt>
                <c:pt idx="392">
                  <c:v>1.1499999999999999</c:v>
                </c:pt>
                <c:pt idx="393">
                  <c:v>1.1499999999999999</c:v>
                </c:pt>
                <c:pt idx="394">
                  <c:v>1.1499999999999999</c:v>
                </c:pt>
                <c:pt idx="395">
                  <c:v>1.1499999999999999</c:v>
                </c:pt>
                <c:pt idx="396">
                  <c:v>1.1499999999999999</c:v>
                </c:pt>
                <c:pt idx="397">
                  <c:v>1.1499999999999999</c:v>
                </c:pt>
                <c:pt idx="398">
                  <c:v>1.1499999999999999</c:v>
                </c:pt>
                <c:pt idx="399">
                  <c:v>1.1499999999999999</c:v>
                </c:pt>
                <c:pt idx="400">
                  <c:v>1.1499999999999999</c:v>
                </c:pt>
                <c:pt idx="401">
                  <c:v>1.1499999999999999</c:v>
                </c:pt>
                <c:pt idx="402">
                  <c:v>1.1499999999999999</c:v>
                </c:pt>
                <c:pt idx="403">
                  <c:v>1.1499999999999999</c:v>
                </c:pt>
                <c:pt idx="404">
                  <c:v>1.1499999999999999</c:v>
                </c:pt>
                <c:pt idx="405">
                  <c:v>1.1499999999999999</c:v>
                </c:pt>
                <c:pt idx="406">
                  <c:v>1.1499999999999999</c:v>
                </c:pt>
                <c:pt idx="407">
                  <c:v>1.1499999999999999</c:v>
                </c:pt>
                <c:pt idx="408">
                  <c:v>1.1499999999999999</c:v>
                </c:pt>
                <c:pt idx="409">
                  <c:v>1.1499999999999999</c:v>
                </c:pt>
                <c:pt idx="410">
                  <c:v>1.1499999999999999</c:v>
                </c:pt>
                <c:pt idx="411">
                  <c:v>1.1499999999999999</c:v>
                </c:pt>
                <c:pt idx="412">
                  <c:v>1.1499999999999999</c:v>
                </c:pt>
                <c:pt idx="413">
                  <c:v>1.1499999999999999</c:v>
                </c:pt>
                <c:pt idx="414">
                  <c:v>1.1499999999999999</c:v>
                </c:pt>
                <c:pt idx="415">
                  <c:v>1.1499999999999999</c:v>
                </c:pt>
                <c:pt idx="416">
                  <c:v>1.1499999999999999</c:v>
                </c:pt>
                <c:pt idx="417">
                  <c:v>1.1499999999999999</c:v>
                </c:pt>
                <c:pt idx="418">
                  <c:v>1.1499999999999999</c:v>
                </c:pt>
                <c:pt idx="419">
                  <c:v>1.1499999999999999</c:v>
                </c:pt>
                <c:pt idx="420">
                  <c:v>1.1499999999999999</c:v>
                </c:pt>
                <c:pt idx="421">
                  <c:v>1.1499999999999999</c:v>
                </c:pt>
                <c:pt idx="422">
                  <c:v>1.1499999999999999</c:v>
                </c:pt>
                <c:pt idx="423">
                  <c:v>1.1499999999999999</c:v>
                </c:pt>
                <c:pt idx="424">
                  <c:v>1.1499999999999999</c:v>
                </c:pt>
                <c:pt idx="425">
                  <c:v>1.1499999999999999</c:v>
                </c:pt>
                <c:pt idx="426">
                  <c:v>1.1499999999999999</c:v>
                </c:pt>
                <c:pt idx="427">
                  <c:v>1.1499999999999999</c:v>
                </c:pt>
                <c:pt idx="428">
                  <c:v>1.1499999999999999</c:v>
                </c:pt>
                <c:pt idx="429">
                  <c:v>1.1499999999999999</c:v>
                </c:pt>
                <c:pt idx="430">
                  <c:v>1.1499999999999999</c:v>
                </c:pt>
                <c:pt idx="431">
                  <c:v>1.1499999999999999</c:v>
                </c:pt>
                <c:pt idx="432">
                  <c:v>1.1499999999999999</c:v>
                </c:pt>
                <c:pt idx="433">
                  <c:v>1.1499999999999999</c:v>
                </c:pt>
                <c:pt idx="434">
                  <c:v>1.1499999999999999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C0-4874-9B95-06749632299B}"/>
            </c:ext>
          </c:extLst>
        </c:ser>
        <c:ser>
          <c:idx val="2"/>
          <c:order val="2"/>
          <c:tx>
            <c:strRef>
              <c:f>'Tabelle Pivot'!$L$3</c:f>
              <c:strCache>
                <c:ptCount val="1"/>
                <c:pt idx="0">
                  <c:v>Obbligazionario Misto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Pivot'!$L$4:$L$439</c:f>
              <c:numCache>
                <c:formatCode>General</c:formatCode>
                <c:ptCount val="435"/>
                <c:pt idx="0">
                  <c:v>0.63847299999999996</c:v>
                </c:pt>
                <c:pt idx="1">
                  <c:v>0.68165100000000001</c:v>
                </c:pt>
                <c:pt idx="2">
                  <c:v>0.67736499999999999</c:v>
                </c:pt>
                <c:pt idx="3">
                  <c:v>0.67133299999999996</c:v>
                </c:pt>
                <c:pt idx="4">
                  <c:v>0.67371400000000004</c:v>
                </c:pt>
                <c:pt idx="5">
                  <c:v>0.66688800000000004</c:v>
                </c:pt>
                <c:pt idx="6">
                  <c:v>0.65990300000000002</c:v>
                </c:pt>
                <c:pt idx="7">
                  <c:v>0.65704600000000002</c:v>
                </c:pt>
                <c:pt idx="8">
                  <c:v>0.65434700000000001</c:v>
                </c:pt>
                <c:pt idx="9">
                  <c:v>0.64688599999999996</c:v>
                </c:pt>
                <c:pt idx="10">
                  <c:v>0.64418799999999998</c:v>
                </c:pt>
                <c:pt idx="11">
                  <c:v>0.64768000000000003</c:v>
                </c:pt>
                <c:pt idx="12">
                  <c:v>0.69800200000000001</c:v>
                </c:pt>
                <c:pt idx="13">
                  <c:v>0.70165299999999997</c:v>
                </c:pt>
                <c:pt idx="14">
                  <c:v>0.70276400000000006</c:v>
                </c:pt>
                <c:pt idx="15">
                  <c:v>0.69847800000000004</c:v>
                </c:pt>
                <c:pt idx="16">
                  <c:v>0.69863699999999995</c:v>
                </c:pt>
                <c:pt idx="17">
                  <c:v>0.66069699999999998</c:v>
                </c:pt>
                <c:pt idx="18">
                  <c:v>0.65037900000000004</c:v>
                </c:pt>
                <c:pt idx="19">
                  <c:v>0.65085499999999996</c:v>
                </c:pt>
                <c:pt idx="20">
                  <c:v>0.66006200000000004</c:v>
                </c:pt>
                <c:pt idx="21">
                  <c:v>0.67403199999999996</c:v>
                </c:pt>
                <c:pt idx="22">
                  <c:v>0.69450999999999996</c:v>
                </c:pt>
                <c:pt idx="23">
                  <c:v>0.69800200000000001</c:v>
                </c:pt>
                <c:pt idx="24">
                  <c:v>0.69133500000000003</c:v>
                </c:pt>
                <c:pt idx="25">
                  <c:v>0.69308099999999995</c:v>
                </c:pt>
                <c:pt idx="26">
                  <c:v>0.68831900000000001</c:v>
                </c:pt>
                <c:pt idx="27">
                  <c:v>0.72244900000000001</c:v>
                </c:pt>
                <c:pt idx="28">
                  <c:v>0.68942999999999999</c:v>
                </c:pt>
                <c:pt idx="29">
                  <c:v>0.69593799999999995</c:v>
                </c:pt>
                <c:pt idx="30">
                  <c:v>0.73451299999999997</c:v>
                </c:pt>
                <c:pt idx="31">
                  <c:v>0.74070499999999995</c:v>
                </c:pt>
                <c:pt idx="32">
                  <c:v>0.80198000000000003</c:v>
                </c:pt>
                <c:pt idx="33">
                  <c:v>0.80086900000000005</c:v>
                </c:pt>
                <c:pt idx="34">
                  <c:v>0.79959899999999995</c:v>
                </c:pt>
                <c:pt idx="35">
                  <c:v>0.78483599999999998</c:v>
                </c:pt>
                <c:pt idx="36">
                  <c:v>0.77769200000000005</c:v>
                </c:pt>
                <c:pt idx="37">
                  <c:v>0.77658099999999997</c:v>
                </c:pt>
                <c:pt idx="38">
                  <c:v>0.79023299999999996</c:v>
                </c:pt>
                <c:pt idx="39">
                  <c:v>0.77721600000000002</c:v>
                </c:pt>
                <c:pt idx="40">
                  <c:v>0.77737500000000004</c:v>
                </c:pt>
                <c:pt idx="41">
                  <c:v>0.79197899999999999</c:v>
                </c:pt>
                <c:pt idx="42">
                  <c:v>0.76435799999999998</c:v>
                </c:pt>
                <c:pt idx="43">
                  <c:v>0.75435700000000006</c:v>
                </c:pt>
                <c:pt idx="44">
                  <c:v>0.75927800000000001</c:v>
                </c:pt>
                <c:pt idx="45">
                  <c:v>0.75880099999999995</c:v>
                </c:pt>
                <c:pt idx="46">
                  <c:v>0.76372300000000004</c:v>
                </c:pt>
                <c:pt idx="47">
                  <c:v>0.84499999999999997</c:v>
                </c:pt>
                <c:pt idx="48">
                  <c:v>0.87246299999999999</c:v>
                </c:pt>
                <c:pt idx="49">
                  <c:v>0.79039199999999998</c:v>
                </c:pt>
                <c:pt idx="50">
                  <c:v>0.74737200000000004</c:v>
                </c:pt>
                <c:pt idx="51">
                  <c:v>0.887544</c:v>
                </c:pt>
                <c:pt idx="52">
                  <c:v>0.89246499999999995</c:v>
                </c:pt>
                <c:pt idx="53">
                  <c:v>0.89468700000000001</c:v>
                </c:pt>
                <c:pt idx="54">
                  <c:v>0.90357699999999996</c:v>
                </c:pt>
                <c:pt idx="55">
                  <c:v>0.89960799999999996</c:v>
                </c:pt>
                <c:pt idx="56">
                  <c:v>0.89627500000000004</c:v>
                </c:pt>
                <c:pt idx="57">
                  <c:v>0.90024300000000002</c:v>
                </c:pt>
                <c:pt idx="58">
                  <c:v>0.90421200000000002</c:v>
                </c:pt>
                <c:pt idx="59">
                  <c:v>0.91024400000000005</c:v>
                </c:pt>
                <c:pt idx="60">
                  <c:v>0.90849800000000003</c:v>
                </c:pt>
                <c:pt idx="61">
                  <c:v>0.921991</c:v>
                </c:pt>
                <c:pt idx="62">
                  <c:v>0.87214499999999995</c:v>
                </c:pt>
                <c:pt idx="63">
                  <c:v>0.86754200000000004</c:v>
                </c:pt>
                <c:pt idx="64">
                  <c:v>0.85055599999999998</c:v>
                </c:pt>
                <c:pt idx="65">
                  <c:v>0.85865199999999997</c:v>
                </c:pt>
                <c:pt idx="66">
                  <c:v>0.88548000000000004</c:v>
                </c:pt>
                <c:pt idx="67">
                  <c:v>0.8931</c:v>
                </c:pt>
                <c:pt idx="68">
                  <c:v>0.88706700000000005</c:v>
                </c:pt>
                <c:pt idx="69">
                  <c:v>0.89627500000000004</c:v>
                </c:pt>
                <c:pt idx="70">
                  <c:v>0.89532199999999995</c:v>
                </c:pt>
                <c:pt idx="71">
                  <c:v>0.92072100000000001</c:v>
                </c:pt>
                <c:pt idx="72">
                  <c:v>0.93627800000000005</c:v>
                </c:pt>
                <c:pt idx="73">
                  <c:v>0.93103999999999998</c:v>
                </c:pt>
                <c:pt idx="74">
                  <c:v>0.93659599999999998</c:v>
                </c:pt>
                <c:pt idx="75">
                  <c:v>0.93294500000000002</c:v>
                </c:pt>
                <c:pt idx="76">
                  <c:v>1.1150249999999999</c:v>
                </c:pt>
                <c:pt idx="77">
                  <c:v>1.118994</c:v>
                </c:pt>
                <c:pt idx="78">
                  <c:v>1.122169</c:v>
                </c:pt>
                <c:pt idx="79">
                  <c:v>1.1069290000000001</c:v>
                </c:pt>
                <c:pt idx="80">
                  <c:v>1.1066119999999999</c:v>
                </c:pt>
                <c:pt idx="81">
                  <c:v>1.0943890000000001</c:v>
                </c:pt>
                <c:pt idx="82">
                  <c:v>1.1020080000000001</c:v>
                </c:pt>
                <c:pt idx="83">
                  <c:v>1.111057</c:v>
                </c:pt>
                <c:pt idx="84">
                  <c:v>1.082165</c:v>
                </c:pt>
                <c:pt idx="85">
                  <c:v>1.073752</c:v>
                </c:pt>
                <c:pt idx="86">
                  <c:v>1.082641</c:v>
                </c:pt>
                <c:pt idx="87">
                  <c:v>1.0869279999999999</c:v>
                </c:pt>
                <c:pt idx="88">
                  <c:v>1.080578</c:v>
                </c:pt>
                <c:pt idx="89">
                  <c:v>1.086293</c:v>
                </c:pt>
                <c:pt idx="90">
                  <c:v>1.0789899999999999</c:v>
                </c:pt>
                <c:pt idx="91">
                  <c:v>1.071688</c:v>
                </c:pt>
                <c:pt idx="92">
                  <c:v>1.067561</c:v>
                </c:pt>
                <c:pt idx="93">
                  <c:v>1.0610520000000001</c:v>
                </c:pt>
                <c:pt idx="94">
                  <c:v>1.3201240000000001</c:v>
                </c:pt>
                <c:pt idx="95">
                  <c:v>1.3586990000000001</c:v>
                </c:pt>
                <c:pt idx="96">
                  <c:v>1.3474280000000001</c:v>
                </c:pt>
                <c:pt idx="97">
                  <c:v>1.3453649999999999</c:v>
                </c:pt>
                <c:pt idx="98">
                  <c:v>1.343777</c:v>
                </c:pt>
                <c:pt idx="99">
                  <c:v>1.3444119999999999</c:v>
                </c:pt>
                <c:pt idx="100">
                  <c:v>1.3417129999999999</c:v>
                </c:pt>
                <c:pt idx="101">
                  <c:v>1.3380620000000001</c:v>
                </c:pt>
                <c:pt idx="102">
                  <c:v>1.3336170000000001</c:v>
                </c:pt>
                <c:pt idx="103">
                  <c:v>1.335364</c:v>
                </c:pt>
                <c:pt idx="104">
                  <c:v>1.3255209999999999</c:v>
                </c:pt>
                <c:pt idx="105">
                  <c:v>1.3237749999999999</c:v>
                </c:pt>
                <c:pt idx="106">
                  <c:v>1.3271090000000001</c:v>
                </c:pt>
                <c:pt idx="107">
                  <c:v>1.284089</c:v>
                </c:pt>
                <c:pt idx="108">
                  <c:v>1.297582</c:v>
                </c:pt>
                <c:pt idx="109">
                  <c:v>1.28901</c:v>
                </c:pt>
                <c:pt idx="110">
                  <c:v>1.2945660000000001</c:v>
                </c:pt>
                <c:pt idx="111">
                  <c:v>1.291391</c:v>
                </c:pt>
                <c:pt idx="112">
                  <c:v>1.284089</c:v>
                </c:pt>
                <c:pt idx="113">
                  <c:v>1.2844059999999999</c:v>
                </c:pt>
                <c:pt idx="114">
                  <c:v>1.2850410000000001</c:v>
                </c:pt>
                <c:pt idx="115">
                  <c:v>1.313933</c:v>
                </c:pt>
                <c:pt idx="116">
                  <c:v>1.31552</c:v>
                </c:pt>
                <c:pt idx="117">
                  <c:v>1.30552</c:v>
                </c:pt>
                <c:pt idx="118">
                  <c:v>1.480615</c:v>
                </c:pt>
                <c:pt idx="119">
                  <c:v>1.3982270000000001</c:v>
                </c:pt>
                <c:pt idx="120">
                  <c:v>1.4552160000000001</c:v>
                </c:pt>
                <c:pt idx="121">
                  <c:v>1.4456910000000001</c:v>
                </c:pt>
                <c:pt idx="122">
                  <c:v>1.437119</c:v>
                </c:pt>
                <c:pt idx="123">
                  <c:v>1.434579</c:v>
                </c:pt>
                <c:pt idx="124">
                  <c:v>1.413942</c:v>
                </c:pt>
                <c:pt idx="125">
                  <c:v>1.4179109999999999</c:v>
                </c:pt>
                <c:pt idx="126">
                  <c:v>1.399497</c:v>
                </c:pt>
                <c:pt idx="127">
                  <c:v>1.3494919999999999</c:v>
                </c:pt>
                <c:pt idx="128">
                  <c:v>1.345682</c:v>
                </c:pt>
                <c:pt idx="129">
                  <c:v>1.348063</c:v>
                </c:pt>
                <c:pt idx="130">
                  <c:v>1.3310770000000001</c:v>
                </c:pt>
                <c:pt idx="131">
                  <c:v>1.323299</c:v>
                </c:pt>
                <c:pt idx="132">
                  <c:v>1.288375</c:v>
                </c:pt>
                <c:pt idx="133">
                  <c:v>1.296154</c:v>
                </c:pt>
                <c:pt idx="134">
                  <c:v>1.2920259999999999</c:v>
                </c:pt>
                <c:pt idx="135">
                  <c:v>1.2994870000000001</c:v>
                </c:pt>
                <c:pt idx="136">
                  <c:v>1.290915</c:v>
                </c:pt>
                <c:pt idx="137">
                  <c:v>1.2886930000000001</c:v>
                </c:pt>
                <c:pt idx="138">
                  <c:v>1.29155</c:v>
                </c:pt>
                <c:pt idx="139">
                  <c:v>0.97787000000000002</c:v>
                </c:pt>
                <c:pt idx="140">
                  <c:v>0.93389699999999998</c:v>
                </c:pt>
                <c:pt idx="141">
                  <c:v>0.86087499999999995</c:v>
                </c:pt>
                <c:pt idx="142">
                  <c:v>0.89230600000000004</c:v>
                </c:pt>
                <c:pt idx="143">
                  <c:v>0.88849599999999995</c:v>
                </c:pt>
                <c:pt idx="144">
                  <c:v>0.89452900000000002</c:v>
                </c:pt>
                <c:pt idx="145">
                  <c:v>0.88516300000000003</c:v>
                </c:pt>
                <c:pt idx="146">
                  <c:v>0.92246799999999995</c:v>
                </c:pt>
                <c:pt idx="147">
                  <c:v>0.91961000000000004</c:v>
                </c:pt>
                <c:pt idx="148">
                  <c:v>0.79785300000000003</c:v>
                </c:pt>
                <c:pt idx="149">
                  <c:v>0.79086800000000002</c:v>
                </c:pt>
                <c:pt idx="150">
                  <c:v>0.78896299999999997</c:v>
                </c:pt>
                <c:pt idx="151">
                  <c:v>0.68085799999999996</c:v>
                </c:pt>
                <c:pt idx="152">
                  <c:v>0.67974599999999996</c:v>
                </c:pt>
                <c:pt idx="153">
                  <c:v>0.682921</c:v>
                </c:pt>
                <c:pt idx="154">
                  <c:v>0.69816100000000003</c:v>
                </c:pt>
                <c:pt idx="155">
                  <c:v>0.70832099999999998</c:v>
                </c:pt>
                <c:pt idx="156">
                  <c:v>0.71070199999999994</c:v>
                </c:pt>
                <c:pt idx="157">
                  <c:v>0.712924</c:v>
                </c:pt>
                <c:pt idx="158">
                  <c:v>0.71578200000000003</c:v>
                </c:pt>
                <c:pt idx="159">
                  <c:v>0.73197400000000001</c:v>
                </c:pt>
                <c:pt idx="160">
                  <c:v>0.73197400000000001</c:v>
                </c:pt>
                <c:pt idx="161">
                  <c:v>0.73229100000000003</c:v>
                </c:pt>
                <c:pt idx="162">
                  <c:v>0.73435499999999998</c:v>
                </c:pt>
                <c:pt idx="163">
                  <c:v>0.73530700000000004</c:v>
                </c:pt>
                <c:pt idx="164">
                  <c:v>0.73086200000000001</c:v>
                </c:pt>
                <c:pt idx="165">
                  <c:v>0.73260899999999995</c:v>
                </c:pt>
                <c:pt idx="166">
                  <c:v>0.72324299999999997</c:v>
                </c:pt>
                <c:pt idx="167">
                  <c:v>0.72975100000000004</c:v>
                </c:pt>
                <c:pt idx="168">
                  <c:v>0.72355999999999998</c:v>
                </c:pt>
                <c:pt idx="169">
                  <c:v>0.72228999999999999</c:v>
                </c:pt>
                <c:pt idx="170">
                  <c:v>0.71832099999999999</c:v>
                </c:pt>
                <c:pt idx="171">
                  <c:v>0.71641699999999997</c:v>
                </c:pt>
                <c:pt idx="172">
                  <c:v>0.68609600000000004</c:v>
                </c:pt>
                <c:pt idx="173">
                  <c:v>0.68387399999999998</c:v>
                </c:pt>
                <c:pt idx="174">
                  <c:v>0.67260299999999995</c:v>
                </c:pt>
                <c:pt idx="175">
                  <c:v>0.64402899999999996</c:v>
                </c:pt>
                <c:pt idx="176">
                  <c:v>0.66974500000000003</c:v>
                </c:pt>
                <c:pt idx="177">
                  <c:v>0.67879400000000001</c:v>
                </c:pt>
                <c:pt idx="178">
                  <c:v>0.68212799999999996</c:v>
                </c:pt>
                <c:pt idx="179">
                  <c:v>0.68339799999999995</c:v>
                </c:pt>
                <c:pt idx="180">
                  <c:v>0.68276300000000001</c:v>
                </c:pt>
                <c:pt idx="181">
                  <c:v>0.70419299999999996</c:v>
                </c:pt>
                <c:pt idx="182">
                  <c:v>0.70990799999999998</c:v>
                </c:pt>
                <c:pt idx="183">
                  <c:v>0.70705099999999999</c:v>
                </c:pt>
                <c:pt idx="184">
                  <c:v>0.66672900000000002</c:v>
                </c:pt>
                <c:pt idx="185">
                  <c:v>0.66149100000000005</c:v>
                </c:pt>
                <c:pt idx="186">
                  <c:v>0.74070499999999995</c:v>
                </c:pt>
                <c:pt idx="187">
                  <c:v>0.72784599999999999</c:v>
                </c:pt>
                <c:pt idx="188">
                  <c:v>0.72879899999999997</c:v>
                </c:pt>
                <c:pt idx="189">
                  <c:v>0.73308499999999999</c:v>
                </c:pt>
                <c:pt idx="190">
                  <c:v>0.73419599999999996</c:v>
                </c:pt>
                <c:pt idx="191">
                  <c:v>0.745784</c:v>
                </c:pt>
                <c:pt idx="192">
                  <c:v>0.76229400000000003</c:v>
                </c:pt>
                <c:pt idx="193">
                  <c:v>0.74768900000000005</c:v>
                </c:pt>
                <c:pt idx="194">
                  <c:v>0.74340300000000004</c:v>
                </c:pt>
                <c:pt idx="195">
                  <c:v>0.74276799999999998</c:v>
                </c:pt>
                <c:pt idx="196">
                  <c:v>0.73768800000000001</c:v>
                </c:pt>
                <c:pt idx="197">
                  <c:v>0.73959299999999994</c:v>
                </c:pt>
                <c:pt idx="198">
                  <c:v>0.73880000000000001</c:v>
                </c:pt>
                <c:pt idx="199">
                  <c:v>0.79277299999999995</c:v>
                </c:pt>
                <c:pt idx="200">
                  <c:v>0.78896299999999997</c:v>
                </c:pt>
                <c:pt idx="201">
                  <c:v>0.79023299999999996</c:v>
                </c:pt>
                <c:pt idx="202">
                  <c:v>0.781026</c:v>
                </c:pt>
                <c:pt idx="203">
                  <c:v>0.79039199999999998</c:v>
                </c:pt>
                <c:pt idx="204">
                  <c:v>0.78213699999999997</c:v>
                </c:pt>
                <c:pt idx="205">
                  <c:v>0.78293100000000004</c:v>
                </c:pt>
                <c:pt idx="206">
                  <c:v>0.78531200000000001</c:v>
                </c:pt>
                <c:pt idx="207">
                  <c:v>0.78674100000000002</c:v>
                </c:pt>
                <c:pt idx="208">
                  <c:v>0.78467699999999996</c:v>
                </c:pt>
                <c:pt idx="209">
                  <c:v>0.76753199999999999</c:v>
                </c:pt>
                <c:pt idx="210">
                  <c:v>0.76642100000000002</c:v>
                </c:pt>
                <c:pt idx="211">
                  <c:v>0.76292899999999997</c:v>
                </c:pt>
                <c:pt idx="212">
                  <c:v>0.761818</c:v>
                </c:pt>
                <c:pt idx="213">
                  <c:v>0.76213500000000001</c:v>
                </c:pt>
                <c:pt idx="214">
                  <c:v>0.76276999999999995</c:v>
                </c:pt>
                <c:pt idx="215">
                  <c:v>0.76880199999999999</c:v>
                </c:pt>
                <c:pt idx="216">
                  <c:v>0.747054</c:v>
                </c:pt>
                <c:pt idx="217">
                  <c:v>0.73832299999999995</c:v>
                </c:pt>
                <c:pt idx="218">
                  <c:v>0.73387800000000003</c:v>
                </c:pt>
                <c:pt idx="219">
                  <c:v>0.737371</c:v>
                </c:pt>
                <c:pt idx="220">
                  <c:v>0.748166</c:v>
                </c:pt>
                <c:pt idx="221">
                  <c:v>0.75387999999999999</c:v>
                </c:pt>
                <c:pt idx="222">
                  <c:v>0.74721300000000002</c:v>
                </c:pt>
                <c:pt idx="223">
                  <c:v>0.74800699999999998</c:v>
                </c:pt>
                <c:pt idx="224">
                  <c:v>0.74102199999999996</c:v>
                </c:pt>
                <c:pt idx="225">
                  <c:v>0.77483500000000005</c:v>
                </c:pt>
                <c:pt idx="226">
                  <c:v>0.77927999999999997</c:v>
                </c:pt>
                <c:pt idx="227">
                  <c:v>0.82769700000000002</c:v>
                </c:pt>
                <c:pt idx="228">
                  <c:v>0.82499800000000001</c:v>
                </c:pt>
                <c:pt idx="229">
                  <c:v>0.82531600000000005</c:v>
                </c:pt>
                <c:pt idx="230">
                  <c:v>0.82309299999999996</c:v>
                </c:pt>
                <c:pt idx="231">
                  <c:v>0.82198199999999999</c:v>
                </c:pt>
                <c:pt idx="232">
                  <c:v>0.82563299999999995</c:v>
                </c:pt>
                <c:pt idx="233">
                  <c:v>0.81467999999999996</c:v>
                </c:pt>
                <c:pt idx="234">
                  <c:v>0.77181900000000003</c:v>
                </c:pt>
                <c:pt idx="235">
                  <c:v>0.73070400000000002</c:v>
                </c:pt>
                <c:pt idx="236">
                  <c:v>0.71467000000000003</c:v>
                </c:pt>
                <c:pt idx="237">
                  <c:v>0.69546200000000002</c:v>
                </c:pt>
                <c:pt idx="238">
                  <c:v>0.693716</c:v>
                </c:pt>
                <c:pt idx="239">
                  <c:v>0.69165200000000004</c:v>
                </c:pt>
                <c:pt idx="240">
                  <c:v>0.68323900000000004</c:v>
                </c:pt>
                <c:pt idx="241">
                  <c:v>0.67736499999999999</c:v>
                </c:pt>
                <c:pt idx="242">
                  <c:v>0.67879400000000001</c:v>
                </c:pt>
                <c:pt idx="243">
                  <c:v>0.67434899999999998</c:v>
                </c:pt>
                <c:pt idx="244">
                  <c:v>0.67101500000000003</c:v>
                </c:pt>
                <c:pt idx="245">
                  <c:v>0.67371400000000004</c:v>
                </c:pt>
                <c:pt idx="246">
                  <c:v>0.66260200000000002</c:v>
                </c:pt>
                <c:pt idx="247">
                  <c:v>0.68165100000000001</c:v>
                </c:pt>
                <c:pt idx="248">
                  <c:v>0.69133500000000003</c:v>
                </c:pt>
                <c:pt idx="249">
                  <c:v>0.69593799999999995</c:v>
                </c:pt>
                <c:pt idx="250">
                  <c:v>0.69577999999999995</c:v>
                </c:pt>
                <c:pt idx="251">
                  <c:v>0.70435199999999998</c:v>
                </c:pt>
                <c:pt idx="252">
                  <c:v>0.703399</c:v>
                </c:pt>
                <c:pt idx="253">
                  <c:v>0.70149499999999998</c:v>
                </c:pt>
                <c:pt idx="254">
                  <c:v>0.70482800000000001</c:v>
                </c:pt>
                <c:pt idx="255">
                  <c:v>0.69720800000000005</c:v>
                </c:pt>
                <c:pt idx="256">
                  <c:v>0.69609699999999997</c:v>
                </c:pt>
                <c:pt idx="257">
                  <c:v>0.67815899999999996</c:v>
                </c:pt>
                <c:pt idx="258">
                  <c:v>0.66815800000000003</c:v>
                </c:pt>
                <c:pt idx="259">
                  <c:v>0.67371400000000004</c:v>
                </c:pt>
                <c:pt idx="260">
                  <c:v>0.67276199999999997</c:v>
                </c:pt>
                <c:pt idx="261">
                  <c:v>0.66657100000000002</c:v>
                </c:pt>
                <c:pt idx="262">
                  <c:v>0.65799799999999997</c:v>
                </c:pt>
                <c:pt idx="263">
                  <c:v>0.61990000000000001</c:v>
                </c:pt>
                <c:pt idx="264">
                  <c:v>0.62751900000000005</c:v>
                </c:pt>
                <c:pt idx="265">
                  <c:v>0.62640799999999996</c:v>
                </c:pt>
                <c:pt idx="266">
                  <c:v>0.61958199999999997</c:v>
                </c:pt>
                <c:pt idx="267">
                  <c:v>0.62291600000000003</c:v>
                </c:pt>
                <c:pt idx="268">
                  <c:v>0.624027</c:v>
                </c:pt>
                <c:pt idx="269">
                  <c:v>0.62894799999999995</c:v>
                </c:pt>
                <c:pt idx="270">
                  <c:v>0.62863100000000005</c:v>
                </c:pt>
                <c:pt idx="271">
                  <c:v>0.63910800000000001</c:v>
                </c:pt>
                <c:pt idx="272">
                  <c:v>0.63497999999999999</c:v>
                </c:pt>
                <c:pt idx="273">
                  <c:v>0.63688500000000003</c:v>
                </c:pt>
                <c:pt idx="274">
                  <c:v>0.63783800000000002</c:v>
                </c:pt>
                <c:pt idx="275">
                  <c:v>0.64117100000000005</c:v>
                </c:pt>
                <c:pt idx="276">
                  <c:v>0.64228300000000005</c:v>
                </c:pt>
                <c:pt idx="277">
                  <c:v>0.64021899999999998</c:v>
                </c:pt>
                <c:pt idx="278">
                  <c:v>0.68514399999999998</c:v>
                </c:pt>
                <c:pt idx="279">
                  <c:v>0.67196800000000001</c:v>
                </c:pt>
                <c:pt idx="280">
                  <c:v>0.62656699999999999</c:v>
                </c:pt>
                <c:pt idx="281">
                  <c:v>0.630853</c:v>
                </c:pt>
                <c:pt idx="282">
                  <c:v>0.64148899999999998</c:v>
                </c:pt>
                <c:pt idx="283">
                  <c:v>0.643235</c:v>
                </c:pt>
                <c:pt idx="284">
                  <c:v>0.64863199999999999</c:v>
                </c:pt>
                <c:pt idx="285">
                  <c:v>0.663713</c:v>
                </c:pt>
                <c:pt idx="286">
                  <c:v>0.66418900000000003</c:v>
                </c:pt>
                <c:pt idx="287">
                  <c:v>0.66672900000000002</c:v>
                </c:pt>
                <c:pt idx="288">
                  <c:v>0.69752599999999998</c:v>
                </c:pt>
                <c:pt idx="289">
                  <c:v>0.70181199999999999</c:v>
                </c:pt>
                <c:pt idx="290">
                  <c:v>0.70149499999999998</c:v>
                </c:pt>
                <c:pt idx="291">
                  <c:v>0.69625599999999999</c:v>
                </c:pt>
                <c:pt idx="292">
                  <c:v>0.67514300000000005</c:v>
                </c:pt>
                <c:pt idx="293">
                  <c:v>0.74054600000000004</c:v>
                </c:pt>
                <c:pt idx="294">
                  <c:v>0.76038899999999998</c:v>
                </c:pt>
                <c:pt idx="295">
                  <c:v>0.76102400000000003</c:v>
                </c:pt>
                <c:pt idx="296">
                  <c:v>0.75959500000000002</c:v>
                </c:pt>
                <c:pt idx="297">
                  <c:v>0.76959599999999995</c:v>
                </c:pt>
                <c:pt idx="298">
                  <c:v>0.76594499999999999</c:v>
                </c:pt>
                <c:pt idx="299">
                  <c:v>0.74054600000000004</c:v>
                </c:pt>
                <c:pt idx="300">
                  <c:v>0.73657700000000004</c:v>
                </c:pt>
                <c:pt idx="301">
                  <c:v>0.73070400000000002</c:v>
                </c:pt>
                <c:pt idx="302">
                  <c:v>0.77896200000000004</c:v>
                </c:pt>
                <c:pt idx="303">
                  <c:v>0.79499500000000001</c:v>
                </c:pt>
                <c:pt idx="304">
                  <c:v>0.79785300000000003</c:v>
                </c:pt>
                <c:pt idx="305">
                  <c:v>0.80356799999999995</c:v>
                </c:pt>
                <c:pt idx="306">
                  <c:v>0.81721999999999995</c:v>
                </c:pt>
                <c:pt idx="307">
                  <c:v>0.82261700000000004</c:v>
                </c:pt>
                <c:pt idx="308">
                  <c:v>0.94373899999999999</c:v>
                </c:pt>
                <c:pt idx="309">
                  <c:v>0.94500899999999999</c:v>
                </c:pt>
                <c:pt idx="310">
                  <c:v>0.953264</c:v>
                </c:pt>
                <c:pt idx="311">
                  <c:v>0.95770900000000003</c:v>
                </c:pt>
                <c:pt idx="312">
                  <c:v>0.94516800000000001</c:v>
                </c:pt>
                <c:pt idx="313">
                  <c:v>0.94564400000000004</c:v>
                </c:pt>
                <c:pt idx="314">
                  <c:v>0.94881899999999997</c:v>
                </c:pt>
                <c:pt idx="315">
                  <c:v>0.95802699999999996</c:v>
                </c:pt>
                <c:pt idx="316">
                  <c:v>0.96326500000000004</c:v>
                </c:pt>
                <c:pt idx="317">
                  <c:v>0.96247099999999997</c:v>
                </c:pt>
                <c:pt idx="318">
                  <c:v>0.96310600000000002</c:v>
                </c:pt>
                <c:pt idx="319">
                  <c:v>0.96818599999999999</c:v>
                </c:pt>
                <c:pt idx="320">
                  <c:v>0.88230500000000001</c:v>
                </c:pt>
                <c:pt idx="321">
                  <c:v>0.88690899999999995</c:v>
                </c:pt>
                <c:pt idx="322">
                  <c:v>0.88516300000000003</c:v>
                </c:pt>
                <c:pt idx="323">
                  <c:v>0.72800500000000001</c:v>
                </c:pt>
                <c:pt idx="324">
                  <c:v>0.75197499999999995</c:v>
                </c:pt>
                <c:pt idx="325">
                  <c:v>0.78737599999999996</c:v>
                </c:pt>
                <c:pt idx="326">
                  <c:v>0.78213699999999997</c:v>
                </c:pt>
                <c:pt idx="327">
                  <c:v>0.84277800000000003</c:v>
                </c:pt>
                <c:pt idx="328">
                  <c:v>0.87992400000000004</c:v>
                </c:pt>
                <c:pt idx="329">
                  <c:v>0.89865600000000001</c:v>
                </c:pt>
                <c:pt idx="330">
                  <c:v>0.90310100000000004</c:v>
                </c:pt>
                <c:pt idx="331">
                  <c:v>0.90103699999999998</c:v>
                </c:pt>
                <c:pt idx="332">
                  <c:v>0.82214100000000001</c:v>
                </c:pt>
                <c:pt idx="333">
                  <c:v>0.77531099999999997</c:v>
                </c:pt>
                <c:pt idx="334">
                  <c:v>0.77054900000000004</c:v>
                </c:pt>
                <c:pt idx="335">
                  <c:v>0.76562799999999998</c:v>
                </c:pt>
                <c:pt idx="336">
                  <c:v>0.76785000000000003</c:v>
                </c:pt>
                <c:pt idx="337">
                  <c:v>0.75753199999999998</c:v>
                </c:pt>
                <c:pt idx="338">
                  <c:v>0.83865000000000001</c:v>
                </c:pt>
                <c:pt idx="339">
                  <c:v>0.74959399999999998</c:v>
                </c:pt>
                <c:pt idx="340">
                  <c:v>0.74086300000000005</c:v>
                </c:pt>
                <c:pt idx="341">
                  <c:v>0.74657799999999996</c:v>
                </c:pt>
                <c:pt idx="342">
                  <c:v>0.73832299999999995</c:v>
                </c:pt>
                <c:pt idx="343">
                  <c:v>0.738958</c:v>
                </c:pt>
                <c:pt idx="344">
                  <c:v>0.74134</c:v>
                </c:pt>
                <c:pt idx="345">
                  <c:v>0.74451400000000001</c:v>
                </c:pt>
                <c:pt idx="346">
                  <c:v>0.811029</c:v>
                </c:pt>
                <c:pt idx="347">
                  <c:v>0.84595299999999995</c:v>
                </c:pt>
                <c:pt idx="348">
                  <c:v>0.84595299999999995</c:v>
                </c:pt>
                <c:pt idx="349">
                  <c:v>0.85007999999999995</c:v>
                </c:pt>
                <c:pt idx="350">
                  <c:v>0.85373100000000002</c:v>
                </c:pt>
                <c:pt idx="351">
                  <c:v>0.85023899999999997</c:v>
                </c:pt>
                <c:pt idx="352">
                  <c:v>0.82912600000000003</c:v>
                </c:pt>
                <c:pt idx="353">
                  <c:v>0.82499800000000001</c:v>
                </c:pt>
                <c:pt idx="354">
                  <c:v>0.83071300000000003</c:v>
                </c:pt>
                <c:pt idx="355">
                  <c:v>0.82039499999999999</c:v>
                </c:pt>
                <c:pt idx="356">
                  <c:v>0.81610799999999994</c:v>
                </c:pt>
                <c:pt idx="357">
                  <c:v>0.75483299999999998</c:v>
                </c:pt>
                <c:pt idx="358">
                  <c:v>0.763405</c:v>
                </c:pt>
                <c:pt idx="359">
                  <c:v>0.80404399999999998</c:v>
                </c:pt>
                <c:pt idx="360">
                  <c:v>0.79293199999999997</c:v>
                </c:pt>
                <c:pt idx="361">
                  <c:v>0.72673500000000002</c:v>
                </c:pt>
                <c:pt idx="362">
                  <c:v>0.72673500000000002</c:v>
                </c:pt>
                <c:pt idx="363">
                  <c:v>0.716893</c:v>
                </c:pt>
                <c:pt idx="364">
                  <c:v>0.71752800000000005</c:v>
                </c:pt>
                <c:pt idx="365">
                  <c:v>0.71800399999999998</c:v>
                </c:pt>
                <c:pt idx="366">
                  <c:v>0.72498899999999999</c:v>
                </c:pt>
                <c:pt idx="367">
                  <c:v>0.72292500000000004</c:v>
                </c:pt>
                <c:pt idx="368">
                  <c:v>0.71562300000000001</c:v>
                </c:pt>
                <c:pt idx="369">
                  <c:v>0.73181499999999999</c:v>
                </c:pt>
                <c:pt idx="370">
                  <c:v>0.72863999999999995</c:v>
                </c:pt>
                <c:pt idx="371">
                  <c:v>0.72641699999999998</c:v>
                </c:pt>
                <c:pt idx="372">
                  <c:v>0.72879899999999997</c:v>
                </c:pt>
                <c:pt idx="373">
                  <c:v>0.75689700000000004</c:v>
                </c:pt>
                <c:pt idx="374">
                  <c:v>0.75768999999999997</c:v>
                </c:pt>
                <c:pt idx="375">
                  <c:v>0.75594399999999995</c:v>
                </c:pt>
                <c:pt idx="376">
                  <c:v>0.76229400000000003</c:v>
                </c:pt>
                <c:pt idx="377">
                  <c:v>0.747054</c:v>
                </c:pt>
                <c:pt idx="378">
                  <c:v>0.75324500000000005</c:v>
                </c:pt>
                <c:pt idx="379">
                  <c:v>0.75054699999999996</c:v>
                </c:pt>
                <c:pt idx="380">
                  <c:v>0.73165599999999997</c:v>
                </c:pt>
                <c:pt idx="381">
                  <c:v>0.726576</c:v>
                </c:pt>
                <c:pt idx="382">
                  <c:v>0.72308399999999995</c:v>
                </c:pt>
                <c:pt idx="383">
                  <c:v>0.72340099999999996</c:v>
                </c:pt>
                <c:pt idx="384">
                  <c:v>0.72038500000000005</c:v>
                </c:pt>
                <c:pt idx="385">
                  <c:v>0.71990900000000002</c:v>
                </c:pt>
                <c:pt idx="386">
                  <c:v>0.71467000000000003</c:v>
                </c:pt>
                <c:pt idx="387">
                  <c:v>0.710225</c:v>
                </c:pt>
                <c:pt idx="388">
                  <c:v>0.70689199999999996</c:v>
                </c:pt>
                <c:pt idx="389">
                  <c:v>0.72006800000000004</c:v>
                </c:pt>
                <c:pt idx="390">
                  <c:v>0.723719</c:v>
                </c:pt>
                <c:pt idx="391">
                  <c:v>0.72625899999999999</c:v>
                </c:pt>
                <c:pt idx="392">
                  <c:v>0.723719</c:v>
                </c:pt>
                <c:pt idx="393">
                  <c:v>0.72054399999999996</c:v>
                </c:pt>
                <c:pt idx="394">
                  <c:v>0.72340099999999996</c:v>
                </c:pt>
                <c:pt idx="395">
                  <c:v>0.72927500000000001</c:v>
                </c:pt>
                <c:pt idx="396">
                  <c:v>0.72594099999999995</c:v>
                </c:pt>
                <c:pt idx="397">
                  <c:v>0.72705200000000003</c:v>
                </c:pt>
                <c:pt idx="398">
                  <c:v>0.73308499999999999</c:v>
                </c:pt>
                <c:pt idx="399">
                  <c:v>0.737371</c:v>
                </c:pt>
                <c:pt idx="400">
                  <c:v>0.74276799999999998</c:v>
                </c:pt>
                <c:pt idx="401">
                  <c:v>0.70593899999999998</c:v>
                </c:pt>
                <c:pt idx="402">
                  <c:v>0.79832899999999996</c:v>
                </c:pt>
                <c:pt idx="403">
                  <c:v>0.77880300000000002</c:v>
                </c:pt>
                <c:pt idx="404">
                  <c:v>0.78308900000000004</c:v>
                </c:pt>
                <c:pt idx="405">
                  <c:v>0.78070799999999996</c:v>
                </c:pt>
                <c:pt idx="406">
                  <c:v>0.77626300000000004</c:v>
                </c:pt>
                <c:pt idx="407">
                  <c:v>0.78118500000000002</c:v>
                </c:pt>
                <c:pt idx="408">
                  <c:v>0.78134300000000001</c:v>
                </c:pt>
                <c:pt idx="409">
                  <c:v>0.78054999999999997</c:v>
                </c:pt>
                <c:pt idx="410">
                  <c:v>0.779756</c:v>
                </c:pt>
                <c:pt idx="411">
                  <c:v>0.77864500000000003</c:v>
                </c:pt>
                <c:pt idx="412">
                  <c:v>0.79324899999999998</c:v>
                </c:pt>
                <c:pt idx="413">
                  <c:v>0.79245500000000002</c:v>
                </c:pt>
                <c:pt idx="414">
                  <c:v>0.78816900000000001</c:v>
                </c:pt>
                <c:pt idx="415">
                  <c:v>0.78753399999999996</c:v>
                </c:pt>
                <c:pt idx="416">
                  <c:v>0.78594699999999995</c:v>
                </c:pt>
                <c:pt idx="417">
                  <c:v>0.78896299999999997</c:v>
                </c:pt>
                <c:pt idx="418">
                  <c:v>0.79118500000000003</c:v>
                </c:pt>
                <c:pt idx="419">
                  <c:v>0.79197899999999999</c:v>
                </c:pt>
                <c:pt idx="420">
                  <c:v>0.79404300000000005</c:v>
                </c:pt>
                <c:pt idx="421">
                  <c:v>0.79181999999999997</c:v>
                </c:pt>
                <c:pt idx="422">
                  <c:v>0.794678</c:v>
                </c:pt>
                <c:pt idx="423">
                  <c:v>0.777057</c:v>
                </c:pt>
                <c:pt idx="424">
                  <c:v>0.77658099999999997</c:v>
                </c:pt>
                <c:pt idx="425">
                  <c:v>0.78896299999999997</c:v>
                </c:pt>
                <c:pt idx="426">
                  <c:v>0.79086800000000002</c:v>
                </c:pt>
                <c:pt idx="427">
                  <c:v>0.88976599999999995</c:v>
                </c:pt>
                <c:pt idx="428">
                  <c:v>0.76404000000000005</c:v>
                </c:pt>
                <c:pt idx="429">
                  <c:v>0.76594499999999999</c:v>
                </c:pt>
                <c:pt idx="430">
                  <c:v>0.76816700000000004</c:v>
                </c:pt>
                <c:pt idx="431">
                  <c:v>0.77800999999999998</c:v>
                </c:pt>
                <c:pt idx="432">
                  <c:v>0.77245399999999997</c:v>
                </c:pt>
                <c:pt idx="433">
                  <c:v>0.78515299999999999</c:v>
                </c:pt>
                <c:pt idx="434">
                  <c:v>0.79547199999999996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C0-4874-9B95-067496322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Bilanciato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Pivot'!$N$3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Pivot'!$N$4:$N$439</c:f>
              <c:numCache>
                <c:formatCode>General</c:formatCode>
                <c:ptCount val="43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8-44B4-9FD2-A3C9D00D1604}"/>
            </c:ext>
          </c:extLst>
        </c:ser>
        <c:ser>
          <c:idx val="1"/>
          <c:order val="1"/>
          <c:tx>
            <c:strRef>
              <c:f>'Tabelle Pivot'!$O$3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Pivot'!$O$4:$O$439</c:f>
              <c:numCache>
                <c:formatCode>General</c:formatCode>
                <c:ptCount val="435"/>
                <c:pt idx="0">
                  <c:v>3.15</c:v>
                </c:pt>
                <c:pt idx="1">
                  <c:v>3.15</c:v>
                </c:pt>
                <c:pt idx="2">
                  <c:v>3.15</c:v>
                </c:pt>
                <c:pt idx="3">
                  <c:v>3.15</c:v>
                </c:pt>
                <c:pt idx="4">
                  <c:v>3.15</c:v>
                </c:pt>
                <c:pt idx="5">
                  <c:v>3.15</c:v>
                </c:pt>
                <c:pt idx="6">
                  <c:v>3.15</c:v>
                </c:pt>
                <c:pt idx="7">
                  <c:v>3.15</c:v>
                </c:pt>
                <c:pt idx="8">
                  <c:v>3.15</c:v>
                </c:pt>
                <c:pt idx="9">
                  <c:v>3.15</c:v>
                </c:pt>
                <c:pt idx="10">
                  <c:v>3.15</c:v>
                </c:pt>
                <c:pt idx="11">
                  <c:v>3.15</c:v>
                </c:pt>
                <c:pt idx="12">
                  <c:v>3.15</c:v>
                </c:pt>
                <c:pt idx="13">
                  <c:v>3.15</c:v>
                </c:pt>
                <c:pt idx="14">
                  <c:v>3.15</c:v>
                </c:pt>
                <c:pt idx="15">
                  <c:v>3.15</c:v>
                </c:pt>
                <c:pt idx="16">
                  <c:v>3.15</c:v>
                </c:pt>
                <c:pt idx="17">
                  <c:v>3.15</c:v>
                </c:pt>
                <c:pt idx="18">
                  <c:v>3.15</c:v>
                </c:pt>
                <c:pt idx="19">
                  <c:v>3.15</c:v>
                </c:pt>
                <c:pt idx="20">
                  <c:v>3.15</c:v>
                </c:pt>
                <c:pt idx="21">
                  <c:v>3.15</c:v>
                </c:pt>
                <c:pt idx="22">
                  <c:v>3.15</c:v>
                </c:pt>
                <c:pt idx="23">
                  <c:v>3.15</c:v>
                </c:pt>
                <c:pt idx="24">
                  <c:v>3.15</c:v>
                </c:pt>
                <c:pt idx="25">
                  <c:v>3.15</c:v>
                </c:pt>
                <c:pt idx="26">
                  <c:v>3.15</c:v>
                </c:pt>
                <c:pt idx="27">
                  <c:v>3.15</c:v>
                </c:pt>
                <c:pt idx="28">
                  <c:v>3.15</c:v>
                </c:pt>
                <c:pt idx="29">
                  <c:v>3.15</c:v>
                </c:pt>
                <c:pt idx="30">
                  <c:v>3.15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3.15</c:v>
                </c:pt>
                <c:pt idx="35">
                  <c:v>3.15</c:v>
                </c:pt>
                <c:pt idx="36">
                  <c:v>3.15</c:v>
                </c:pt>
                <c:pt idx="37">
                  <c:v>3.15</c:v>
                </c:pt>
                <c:pt idx="38">
                  <c:v>3.15</c:v>
                </c:pt>
                <c:pt idx="39">
                  <c:v>3.15</c:v>
                </c:pt>
                <c:pt idx="40">
                  <c:v>3.15</c:v>
                </c:pt>
                <c:pt idx="41">
                  <c:v>3.15</c:v>
                </c:pt>
                <c:pt idx="42">
                  <c:v>3.15</c:v>
                </c:pt>
                <c:pt idx="43">
                  <c:v>3.15</c:v>
                </c:pt>
                <c:pt idx="44">
                  <c:v>3.15</c:v>
                </c:pt>
                <c:pt idx="45">
                  <c:v>3.15</c:v>
                </c:pt>
                <c:pt idx="46">
                  <c:v>3.15</c:v>
                </c:pt>
                <c:pt idx="47">
                  <c:v>3.15</c:v>
                </c:pt>
                <c:pt idx="48">
                  <c:v>3.15</c:v>
                </c:pt>
                <c:pt idx="49">
                  <c:v>3.15</c:v>
                </c:pt>
                <c:pt idx="50">
                  <c:v>3.15</c:v>
                </c:pt>
                <c:pt idx="51">
                  <c:v>3.15</c:v>
                </c:pt>
                <c:pt idx="52">
                  <c:v>3.15</c:v>
                </c:pt>
                <c:pt idx="53">
                  <c:v>3.15</c:v>
                </c:pt>
                <c:pt idx="54">
                  <c:v>3.15</c:v>
                </c:pt>
                <c:pt idx="55">
                  <c:v>3.15</c:v>
                </c:pt>
                <c:pt idx="56">
                  <c:v>3.15</c:v>
                </c:pt>
                <c:pt idx="57">
                  <c:v>3.15</c:v>
                </c:pt>
                <c:pt idx="58">
                  <c:v>3.15</c:v>
                </c:pt>
                <c:pt idx="59">
                  <c:v>3.15</c:v>
                </c:pt>
                <c:pt idx="60">
                  <c:v>3.15</c:v>
                </c:pt>
                <c:pt idx="61">
                  <c:v>3.15</c:v>
                </c:pt>
                <c:pt idx="62">
                  <c:v>3.15</c:v>
                </c:pt>
                <c:pt idx="63">
                  <c:v>3.15</c:v>
                </c:pt>
                <c:pt idx="64">
                  <c:v>3.15</c:v>
                </c:pt>
                <c:pt idx="65">
                  <c:v>3.15</c:v>
                </c:pt>
                <c:pt idx="66">
                  <c:v>3.15</c:v>
                </c:pt>
                <c:pt idx="67">
                  <c:v>3.15</c:v>
                </c:pt>
                <c:pt idx="68">
                  <c:v>3.15</c:v>
                </c:pt>
                <c:pt idx="69">
                  <c:v>3.15</c:v>
                </c:pt>
                <c:pt idx="70">
                  <c:v>3.15</c:v>
                </c:pt>
                <c:pt idx="71">
                  <c:v>3.15</c:v>
                </c:pt>
                <c:pt idx="72">
                  <c:v>3.15</c:v>
                </c:pt>
                <c:pt idx="73">
                  <c:v>3.15</c:v>
                </c:pt>
                <c:pt idx="74">
                  <c:v>3.15</c:v>
                </c:pt>
                <c:pt idx="75">
                  <c:v>3.15</c:v>
                </c:pt>
                <c:pt idx="76">
                  <c:v>3.15</c:v>
                </c:pt>
                <c:pt idx="77">
                  <c:v>3.15</c:v>
                </c:pt>
                <c:pt idx="78">
                  <c:v>3.15</c:v>
                </c:pt>
                <c:pt idx="79">
                  <c:v>3.15</c:v>
                </c:pt>
                <c:pt idx="80">
                  <c:v>3.15</c:v>
                </c:pt>
                <c:pt idx="81">
                  <c:v>3.15</c:v>
                </c:pt>
                <c:pt idx="82">
                  <c:v>3.15</c:v>
                </c:pt>
                <c:pt idx="83">
                  <c:v>3.15</c:v>
                </c:pt>
                <c:pt idx="84">
                  <c:v>3.15</c:v>
                </c:pt>
                <c:pt idx="85">
                  <c:v>3.15</c:v>
                </c:pt>
                <c:pt idx="86">
                  <c:v>3.15</c:v>
                </c:pt>
                <c:pt idx="87">
                  <c:v>3.15</c:v>
                </c:pt>
                <c:pt idx="88">
                  <c:v>3.15</c:v>
                </c:pt>
                <c:pt idx="89">
                  <c:v>3.15</c:v>
                </c:pt>
                <c:pt idx="90">
                  <c:v>3.15</c:v>
                </c:pt>
                <c:pt idx="91">
                  <c:v>3.15</c:v>
                </c:pt>
                <c:pt idx="92">
                  <c:v>3.15</c:v>
                </c:pt>
                <c:pt idx="93">
                  <c:v>3.15</c:v>
                </c:pt>
                <c:pt idx="94">
                  <c:v>3.15</c:v>
                </c:pt>
                <c:pt idx="95">
                  <c:v>3.15</c:v>
                </c:pt>
                <c:pt idx="96">
                  <c:v>3.15</c:v>
                </c:pt>
                <c:pt idx="97">
                  <c:v>3.15</c:v>
                </c:pt>
                <c:pt idx="98">
                  <c:v>3.15</c:v>
                </c:pt>
                <c:pt idx="99">
                  <c:v>3.15</c:v>
                </c:pt>
                <c:pt idx="100">
                  <c:v>3.15</c:v>
                </c:pt>
                <c:pt idx="101">
                  <c:v>3.15</c:v>
                </c:pt>
                <c:pt idx="102">
                  <c:v>3.15</c:v>
                </c:pt>
                <c:pt idx="103">
                  <c:v>3.15</c:v>
                </c:pt>
                <c:pt idx="104">
                  <c:v>3.15</c:v>
                </c:pt>
                <c:pt idx="105">
                  <c:v>3.15</c:v>
                </c:pt>
                <c:pt idx="106">
                  <c:v>3.15</c:v>
                </c:pt>
                <c:pt idx="107">
                  <c:v>3.15</c:v>
                </c:pt>
                <c:pt idx="108">
                  <c:v>3.15</c:v>
                </c:pt>
                <c:pt idx="109">
                  <c:v>3.15</c:v>
                </c:pt>
                <c:pt idx="110">
                  <c:v>3.15</c:v>
                </c:pt>
                <c:pt idx="111">
                  <c:v>3.15</c:v>
                </c:pt>
                <c:pt idx="112">
                  <c:v>3.15</c:v>
                </c:pt>
                <c:pt idx="113">
                  <c:v>3.15</c:v>
                </c:pt>
                <c:pt idx="114">
                  <c:v>3.15</c:v>
                </c:pt>
                <c:pt idx="115">
                  <c:v>3.15</c:v>
                </c:pt>
                <c:pt idx="116">
                  <c:v>3.15</c:v>
                </c:pt>
                <c:pt idx="117">
                  <c:v>3.15</c:v>
                </c:pt>
                <c:pt idx="118">
                  <c:v>3.15</c:v>
                </c:pt>
                <c:pt idx="119">
                  <c:v>3.15</c:v>
                </c:pt>
                <c:pt idx="120">
                  <c:v>3.15</c:v>
                </c:pt>
                <c:pt idx="121">
                  <c:v>3.15</c:v>
                </c:pt>
                <c:pt idx="122">
                  <c:v>3.15</c:v>
                </c:pt>
                <c:pt idx="123">
                  <c:v>3.15</c:v>
                </c:pt>
                <c:pt idx="124">
                  <c:v>3.15</c:v>
                </c:pt>
                <c:pt idx="125">
                  <c:v>3.15</c:v>
                </c:pt>
                <c:pt idx="126">
                  <c:v>3.15</c:v>
                </c:pt>
                <c:pt idx="127">
                  <c:v>3.15</c:v>
                </c:pt>
                <c:pt idx="128">
                  <c:v>3.15</c:v>
                </c:pt>
                <c:pt idx="129">
                  <c:v>3.15</c:v>
                </c:pt>
                <c:pt idx="130">
                  <c:v>3.15</c:v>
                </c:pt>
                <c:pt idx="131">
                  <c:v>3.15</c:v>
                </c:pt>
                <c:pt idx="132">
                  <c:v>3.15</c:v>
                </c:pt>
                <c:pt idx="133">
                  <c:v>3.15</c:v>
                </c:pt>
                <c:pt idx="134">
                  <c:v>3.15</c:v>
                </c:pt>
                <c:pt idx="135">
                  <c:v>3.15</c:v>
                </c:pt>
                <c:pt idx="136">
                  <c:v>3.15</c:v>
                </c:pt>
                <c:pt idx="137">
                  <c:v>3.15</c:v>
                </c:pt>
                <c:pt idx="138">
                  <c:v>3.15</c:v>
                </c:pt>
                <c:pt idx="139">
                  <c:v>3.15</c:v>
                </c:pt>
                <c:pt idx="140">
                  <c:v>3.15</c:v>
                </c:pt>
                <c:pt idx="141">
                  <c:v>3.15</c:v>
                </c:pt>
                <c:pt idx="142">
                  <c:v>3.15</c:v>
                </c:pt>
                <c:pt idx="143">
                  <c:v>3.15</c:v>
                </c:pt>
                <c:pt idx="144">
                  <c:v>3.15</c:v>
                </c:pt>
                <c:pt idx="145">
                  <c:v>3.15</c:v>
                </c:pt>
                <c:pt idx="146">
                  <c:v>3.15</c:v>
                </c:pt>
                <c:pt idx="147">
                  <c:v>3.15</c:v>
                </c:pt>
                <c:pt idx="148">
                  <c:v>3.15</c:v>
                </c:pt>
                <c:pt idx="149">
                  <c:v>3.15</c:v>
                </c:pt>
                <c:pt idx="150">
                  <c:v>3.15</c:v>
                </c:pt>
                <c:pt idx="151">
                  <c:v>3.15</c:v>
                </c:pt>
                <c:pt idx="152">
                  <c:v>3.15</c:v>
                </c:pt>
                <c:pt idx="153">
                  <c:v>3.15</c:v>
                </c:pt>
                <c:pt idx="154">
                  <c:v>3.15</c:v>
                </c:pt>
                <c:pt idx="155">
                  <c:v>3.15</c:v>
                </c:pt>
                <c:pt idx="156">
                  <c:v>3.15</c:v>
                </c:pt>
                <c:pt idx="157">
                  <c:v>3.15</c:v>
                </c:pt>
                <c:pt idx="158">
                  <c:v>3.15</c:v>
                </c:pt>
                <c:pt idx="159">
                  <c:v>3.15</c:v>
                </c:pt>
                <c:pt idx="160">
                  <c:v>3.15</c:v>
                </c:pt>
                <c:pt idx="161">
                  <c:v>3.15</c:v>
                </c:pt>
                <c:pt idx="162">
                  <c:v>3.15</c:v>
                </c:pt>
                <c:pt idx="163">
                  <c:v>3.15</c:v>
                </c:pt>
                <c:pt idx="164">
                  <c:v>3.15</c:v>
                </c:pt>
                <c:pt idx="165">
                  <c:v>3.15</c:v>
                </c:pt>
                <c:pt idx="166">
                  <c:v>3.15</c:v>
                </c:pt>
                <c:pt idx="167">
                  <c:v>3.15</c:v>
                </c:pt>
                <c:pt idx="168">
                  <c:v>3.15</c:v>
                </c:pt>
                <c:pt idx="169">
                  <c:v>3.15</c:v>
                </c:pt>
                <c:pt idx="170">
                  <c:v>3.15</c:v>
                </c:pt>
                <c:pt idx="171">
                  <c:v>3.15</c:v>
                </c:pt>
                <c:pt idx="172">
                  <c:v>3.15</c:v>
                </c:pt>
                <c:pt idx="173">
                  <c:v>3.15</c:v>
                </c:pt>
                <c:pt idx="174">
                  <c:v>3.15</c:v>
                </c:pt>
                <c:pt idx="175">
                  <c:v>3.15</c:v>
                </c:pt>
                <c:pt idx="176">
                  <c:v>3.15</c:v>
                </c:pt>
                <c:pt idx="177">
                  <c:v>3.15</c:v>
                </c:pt>
                <c:pt idx="178">
                  <c:v>3.15</c:v>
                </c:pt>
                <c:pt idx="179">
                  <c:v>3.15</c:v>
                </c:pt>
                <c:pt idx="180">
                  <c:v>3.15</c:v>
                </c:pt>
                <c:pt idx="181">
                  <c:v>3.15</c:v>
                </c:pt>
                <c:pt idx="182">
                  <c:v>3.15</c:v>
                </c:pt>
                <c:pt idx="183">
                  <c:v>3.15</c:v>
                </c:pt>
                <c:pt idx="184">
                  <c:v>3.15</c:v>
                </c:pt>
                <c:pt idx="185">
                  <c:v>3.15</c:v>
                </c:pt>
                <c:pt idx="186">
                  <c:v>3.15</c:v>
                </c:pt>
                <c:pt idx="187">
                  <c:v>3.15</c:v>
                </c:pt>
                <c:pt idx="188">
                  <c:v>3.15</c:v>
                </c:pt>
                <c:pt idx="189">
                  <c:v>3.15</c:v>
                </c:pt>
                <c:pt idx="190">
                  <c:v>3.15</c:v>
                </c:pt>
                <c:pt idx="191">
                  <c:v>3.15</c:v>
                </c:pt>
                <c:pt idx="192">
                  <c:v>3.15</c:v>
                </c:pt>
                <c:pt idx="193">
                  <c:v>3.15</c:v>
                </c:pt>
                <c:pt idx="194">
                  <c:v>3.15</c:v>
                </c:pt>
                <c:pt idx="195">
                  <c:v>3.15</c:v>
                </c:pt>
                <c:pt idx="196">
                  <c:v>3.15</c:v>
                </c:pt>
                <c:pt idx="197">
                  <c:v>3.15</c:v>
                </c:pt>
                <c:pt idx="198">
                  <c:v>3.15</c:v>
                </c:pt>
                <c:pt idx="199">
                  <c:v>3.15</c:v>
                </c:pt>
                <c:pt idx="200">
                  <c:v>3.15</c:v>
                </c:pt>
                <c:pt idx="201">
                  <c:v>3.15</c:v>
                </c:pt>
                <c:pt idx="202">
                  <c:v>3.15</c:v>
                </c:pt>
                <c:pt idx="203">
                  <c:v>3.15</c:v>
                </c:pt>
                <c:pt idx="204">
                  <c:v>3.15</c:v>
                </c:pt>
                <c:pt idx="205">
                  <c:v>3.15</c:v>
                </c:pt>
                <c:pt idx="206">
                  <c:v>3.15</c:v>
                </c:pt>
                <c:pt idx="207">
                  <c:v>3.15</c:v>
                </c:pt>
                <c:pt idx="208">
                  <c:v>3.15</c:v>
                </c:pt>
                <c:pt idx="209">
                  <c:v>3.15</c:v>
                </c:pt>
                <c:pt idx="210">
                  <c:v>3.15</c:v>
                </c:pt>
                <c:pt idx="211">
                  <c:v>3.15</c:v>
                </c:pt>
                <c:pt idx="212">
                  <c:v>3.15</c:v>
                </c:pt>
                <c:pt idx="213">
                  <c:v>3.15</c:v>
                </c:pt>
                <c:pt idx="214">
                  <c:v>3.15</c:v>
                </c:pt>
                <c:pt idx="215">
                  <c:v>3.15</c:v>
                </c:pt>
                <c:pt idx="216">
                  <c:v>3.15</c:v>
                </c:pt>
                <c:pt idx="217">
                  <c:v>3.15</c:v>
                </c:pt>
                <c:pt idx="218">
                  <c:v>3.15</c:v>
                </c:pt>
                <c:pt idx="219">
                  <c:v>3.15</c:v>
                </c:pt>
                <c:pt idx="220">
                  <c:v>3.15</c:v>
                </c:pt>
                <c:pt idx="221">
                  <c:v>3.15</c:v>
                </c:pt>
                <c:pt idx="222">
                  <c:v>3.15</c:v>
                </c:pt>
                <c:pt idx="223">
                  <c:v>3.15</c:v>
                </c:pt>
                <c:pt idx="224">
                  <c:v>3.15</c:v>
                </c:pt>
                <c:pt idx="225">
                  <c:v>3.15</c:v>
                </c:pt>
                <c:pt idx="226">
                  <c:v>3.15</c:v>
                </c:pt>
                <c:pt idx="227">
                  <c:v>3.15</c:v>
                </c:pt>
                <c:pt idx="228">
                  <c:v>3.15</c:v>
                </c:pt>
                <c:pt idx="229">
                  <c:v>3.15</c:v>
                </c:pt>
                <c:pt idx="230">
                  <c:v>3.15</c:v>
                </c:pt>
                <c:pt idx="231">
                  <c:v>3.15</c:v>
                </c:pt>
                <c:pt idx="232">
                  <c:v>3.15</c:v>
                </c:pt>
                <c:pt idx="233">
                  <c:v>3.15</c:v>
                </c:pt>
                <c:pt idx="234">
                  <c:v>3.15</c:v>
                </c:pt>
                <c:pt idx="235">
                  <c:v>3.15</c:v>
                </c:pt>
                <c:pt idx="236">
                  <c:v>3.15</c:v>
                </c:pt>
                <c:pt idx="237">
                  <c:v>3.15</c:v>
                </c:pt>
                <c:pt idx="238">
                  <c:v>3.15</c:v>
                </c:pt>
                <c:pt idx="239">
                  <c:v>3.15</c:v>
                </c:pt>
                <c:pt idx="240">
                  <c:v>3.15</c:v>
                </c:pt>
                <c:pt idx="241">
                  <c:v>3.15</c:v>
                </c:pt>
                <c:pt idx="242">
                  <c:v>3.15</c:v>
                </c:pt>
                <c:pt idx="243">
                  <c:v>3.15</c:v>
                </c:pt>
                <c:pt idx="244">
                  <c:v>3.15</c:v>
                </c:pt>
                <c:pt idx="245">
                  <c:v>3.15</c:v>
                </c:pt>
                <c:pt idx="246">
                  <c:v>3.15</c:v>
                </c:pt>
                <c:pt idx="247">
                  <c:v>3.15</c:v>
                </c:pt>
                <c:pt idx="248">
                  <c:v>3.15</c:v>
                </c:pt>
                <c:pt idx="249">
                  <c:v>3.15</c:v>
                </c:pt>
                <c:pt idx="250">
                  <c:v>3.15</c:v>
                </c:pt>
                <c:pt idx="251">
                  <c:v>3.15</c:v>
                </c:pt>
                <c:pt idx="252">
                  <c:v>3.15</c:v>
                </c:pt>
                <c:pt idx="253">
                  <c:v>3.15</c:v>
                </c:pt>
                <c:pt idx="254">
                  <c:v>3.15</c:v>
                </c:pt>
                <c:pt idx="255">
                  <c:v>3.15</c:v>
                </c:pt>
                <c:pt idx="256">
                  <c:v>3.15</c:v>
                </c:pt>
                <c:pt idx="257">
                  <c:v>3.15</c:v>
                </c:pt>
                <c:pt idx="258">
                  <c:v>3.15</c:v>
                </c:pt>
                <c:pt idx="259">
                  <c:v>3.15</c:v>
                </c:pt>
                <c:pt idx="260">
                  <c:v>3.15</c:v>
                </c:pt>
                <c:pt idx="261">
                  <c:v>3.15</c:v>
                </c:pt>
                <c:pt idx="262">
                  <c:v>3.15</c:v>
                </c:pt>
                <c:pt idx="263">
                  <c:v>3.15</c:v>
                </c:pt>
                <c:pt idx="264">
                  <c:v>3.15</c:v>
                </c:pt>
                <c:pt idx="265">
                  <c:v>3.15</c:v>
                </c:pt>
                <c:pt idx="266">
                  <c:v>3.15</c:v>
                </c:pt>
                <c:pt idx="267">
                  <c:v>3.15</c:v>
                </c:pt>
                <c:pt idx="268">
                  <c:v>3.15</c:v>
                </c:pt>
                <c:pt idx="269">
                  <c:v>3.15</c:v>
                </c:pt>
                <c:pt idx="270">
                  <c:v>3.15</c:v>
                </c:pt>
                <c:pt idx="271">
                  <c:v>3.15</c:v>
                </c:pt>
                <c:pt idx="272">
                  <c:v>3.15</c:v>
                </c:pt>
                <c:pt idx="273">
                  <c:v>3.15</c:v>
                </c:pt>
                <c:pt idx="274">
                  <c:v>3.15</c:v>
                </c:pt>
                <c:pt idx="275">
                  <c:v>3.15</c:v>
                </c:pt>
                <c:pt idx="276">
                  <c:v>3.15</c:v>
                </c:pt>
                <c:pt idx="277">
                  <c:v>3.15</c:v>
                </c:pt>
                <c:pt idx="278">
                  <c:v>3.15</c:v>
                </c:pt>
                <c:pt idx="279">
                  <c:v>3.15</c:v>
                </c:pt>
                <c:pt idx="280">
                  <c:v>3.15</c:v>
                </c:pt>
                <c:pt idx="281">
                  <c:v>3.15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3.15</c:v>
                </c:pt>
                <c:pt idx="286">
                  <c:v>3.15</c:v>
                </c:pt>
                <c:pt idx="287">
                  <c:v>3.15</c:v>
                </c:pt>
                <c:pt idx="288">
                  <c:v>3.15</c:v>
                </c:pt>
                <c:pt idx="289">
                  <c:v>3.15</c:v>
                </c:pt>
                <c:pt idx="290">
                  <c:v>3.15</c:v>
                </c:pt>
                <c:pt idx="291">
                  <c:v>3.15</c:v>
                </c:pt>
                <c:pt idx="292">
                  <c:v>3.15</c:v>
                </c:pt>
                <c:pt idx="293">
                  <c:v>3.15</c:v>
                </c:pt>
                <c:pt idx="294">
                  <c:v>3.15</c:v>
                </c:pt>
                <c:pt idx="295">
                  <c:v>3.15</c:v>
                </c:pt>
                <c:pt idx="296">
                  <c:v>3.15</c:v>
                </c:pt>
                <c:pt idx="297">
                  <c:v>3.15</c:v>
                </c:pt>
                <c:pt idx="298">
                  <c:v>3.15</c:v>
                </c:pt>
                <c:pt idx="299">
                  <c:v>3.15</c:v>
                </c:pt>
                <c:pt idx="300">
                  <c:v>3.15</c:v>
                </c:pt>
                <c:pt idx="301">
                  <c:v>3.15</c:v>
                </c:pt>
                <c:pt idx="302">
                  <c:v>3.15</c:v>
                </c:pt>
                <c:pt idx="303">
                  <c:v>3.15</c:v>
                </c:pt>
                <c:pt idx="304">
                  <c:v>3.15</c:v>
                </c:pt>
                <c:pt idx="305">
                  <c:v>3.15</c:v>
                </c:pt>
                <c:pt idx="306">
                  <c:v>3.15</c:v>
                </c:pt>
                <c:pt idx="307">
                  <c:v>3.15</c:v>
                </c:pt>
                <c:pt idx="308">
                  <c:v>3.15</c:v>
                </c:pt>
                <c:pt idx="309">
                  <c:v>3.15</c:v>
                </c:pt>
                <c:pt idx="310">
                  <c:v>3.15</c:v>
                </c:pt>
                <c:pt idx="311">
                  <c:v>3.15</c:v>
                </c:pt>
                <c:pt idx="312">
                  <c:v>3.15</c:v>
                </c:pt>
                <c:pt idx="313">
                  <c:v>3.15</c:v>
                </c:pt>
                <c:pt idx="314">
                  <c:v>3.15</c:v>
                </c:pt>
                <c:pt idx="315">
                  <c:v>3.15</c:v>
                </c:pt>
                <c:pt idx="316">
                  <c:v>3.15</c:v>
                </c:pt>
                <c:pt idx="317">
                  <c:v>3.15</c:v>
                </c:pt>
                <c:pt idx="318">
                  <c:v>3.15</c:v>
                </c:pt>
                <c:pt idx="319">
                  <c:v>3.15</c:v>
                </c:pt>
                <c:pt idx="320">
                  <c:v>3.15</c:v>
                </c:pt>
                <c:pt idx="321">
                  <c:v>3.15</c:v>
                </c:pt>
                <c:pt idx="322">
                  <c:v>3.15</c:v>
                </c:pt>
                <c:pt idx="323">
                  <c:v>3.15</c:v>
                </c:pt>
                <c:pt idx="324">
                  <c:v>3.15</c:v>
                </c:pt>
                <c:pt idx="325">
                  <c:v>3.15</c:v>
                </c:pt>
                <c:pt idx="326">
                  <c:v>3.15</c:v>
                </c:pt>
                <c:pt idx="327">
                  <c:v>3.15</c:v>
                </c:pt>
                <c:pt idx="328">
                  <c:v>3.15</c:v>
                </c:pt>
                <c:pt idx="329">
                  <c:v>3.15</c:v>
                </c:pt>
                <c:pt idx="330">
                  <c:v>3.15</c:v>
                </c:pt>
                <c:pt idx="331">
                  <c:v>3.15</c:v>
                </c:pt>
                <c:pt idx="332">
                  <c:v>3.15</c:v>
                </c:pt>
                <c:pt idx="333">
                  <c:v>3.15</c:v>
                </c:pt>
                <c:pt idx="334">
                  <c:v>3.15</c:v>
                </c:pt>
                <c:pt idx="335">
                  <c:v>3.15</c:v>
                </c:pt>
                <c:pt idx="336">
                  <c:v>3.15</c:v>
                </c:pt>
                <c:pt idx="337">
                  <c:v>3.15</c:v>
                </c:pt>
                <c:pt idx="338">
                  <c:v>3.15</c:v>
                </c:pt>
                <c:pt idx="339">
                  <c:v>3.15</c:v>
                </c:pt>
                <c:pt idx="340">
                  <c:v>3.15</c:v>
                </c:pt>
                <c:pt idx="341">
                  <c:v>3.15</c:v>
                </c:pt>
                <c:pt idx="342">
                  <c:v>3.15</c:v>
                </c:pt>
                <c:pt idx="343">
                  <c:v>3.15</c:v>
                </c:pt>
                <c:pt idx="344">
                  <c:v>3.15</c:v>
                </c:pt>
                <c:pt idx="345">
                  <c:v>3.15</c:v>
                </c:pt>
                <c:pt idx="346">
                  <c:v>3.15</c:v>
                </c:pt>
                <c:pt idx="347">
                  <c:v>3.15</c:v>
                </c:pt>
                <c:pt idx="348">
                  <c:v>3.15</c:v>
                </c:pt>
                <c:pt idx="349">
                  <c:v>3.15</c:v>
                </c:pt>
                <c:pt idx="350">
                  <c:v>3.15</c:v>
                </c:pt>
                <c:pt idx="351">
                  <c:v>3.15</c:v>
                </c:pt>
                <c:pt idx="352">
                  <c:v>3.15</c:v>
                </c:pt>
                <c:pt idx="353">
                  <c:v>3.15</c:v>
                </c:pt>
                <c:pt idx="354">
                  <c:v>3.15</c:v>
                </c:pt>
                <c:pt idx="355">
                  <c:v>3.15</c:v>
                </c:pt>
                <c:pt idx="356">
                  <c:v>3.15</c:v>
                </c:pt>
                <c:pt idx="357">
                  <c:v>3.15</c:v>
                </c:pt>
                <c:pt idx="358">
                  <c:v>3.15</c:v>
                </c:pt>
                <c:pt idx="359">
                  <c:v>3.15</c:v>
                </c:pt>
                <c:pt idx="360">
                  <c:v>3.15</c:v>
                </c:pt>
                <c:pt idx="361">
                  <c:v>3.15</c:v>
                </c:pt>
                <c:pt idx="362">
                  <c:v>3.15</c:v>
                </c:pt>
                <c:pt idx="363">
                  <c:v>3.15</c:v>
                </c:pt>
                <c:pt idx="364">
                  <c:v>3.15</c:v>
                </c:pt>
                <c:pt idx="365">
                  <c:v>3.15</c:v>
                </c:pt>
                <c:pt idx="366">
                  <c:v>3.15</c:v>
                </c:pt>
                <c:pt idx="367">
                  <c:v>3.15</c:v>
                </c:pt>
                <c:pt idx="368">
                  <c:v>3.15</c:v>
                </c:pt>
                <c:pt idx="369">
                  <c:v>3.15</c:v>
                </c:pt>
                <c:pt idx="370">
                  <c:v>3.15</c:v>
                </c:pt>
                <c:pt idx="371">
                  <c:v>3.15</c:v>
                </c:pt>
                <c:pt idx="372">
                  <c:v>3.15</c:v>
                </c:pt>
                <c:pt idx="373">
                  <c:v>3.15</c:v>
                </c:pt>
                <c:pt idx="374">
                  <c:v>3.15</c:v>
                </c:pt>
                <c:pt idx="375">
                  <c:v>3.15</c:v>
                </c:pt>
                <c:pt idx="376">
                  <c:v>3.15</c:v>
                </c:pt>
                <c:pt idx="377">
                  <c:v>3.15</c:v>
                </c:pt>
                <c:pt idx="378">
                  <c:v>3.15</c:v>
                </c:pt>
                <c:pt idx="379">
                  <c:v>3.15</c:v>
                </c:pt>
                <c:pt idx="380">
                  <c:v>3.15</c:v>
                </c:pt>
                <c:pt idx="381">
                  <c:v>3.15</c:v>
                </c:pt>
                <c:pt idx="382">
                  <c:v>3.15</c:v>
                </c:pt>
                <c:pt idx="383">
                  <c:v>3.15</c:v>
                </c:pt>
                <c:pt idx="384">
                  <c:v>3.15</c:v>
                </c:pt>
                <c:pt idx="385">
                  <c:v>3.15</c:v>
                </c:pt>
                <c:pt idx="386">
                  <c:v>3.15</c:v>
                </c:pt>
                <c:pt idx="387">
                  <c:v>3.15</c:v>
                </c:pt>
                <c:pt idx="388">
                  <c:v>3.15</c:v>
                </c:pt>
                <c:pt idx="389">
                  <c:v>3.15</c:v>
                </c:pt>
                <c:pt idx="390">
                  <c:v>3.15</c:v>
                </c:pt>
                <c:pt idx="391">
                  <c:v>3.15</c:v>
                </c:pt>
                <c:pt idx="392">
                  <c:v>3.15</c:v>
                </c:pt>
                <c:pt idx="393">
                  <c:v>3.15</c:v>
                </c:pt>
                <c:pt idx="394">
                  <c:v>3.15</c:v>
                </c:pt>
                <c:pt idx="395">
                  <c:v>3.15</c:v>
                </c:pt>
                <c:pt idx="396">
                  <c:v>3.15</c:v>
                </c:pt>
                <c:pt idx="397">
                  <c:v>3.15</c:v>
                </c:pt>
                <c:pt idx="398">
                  <c:v>3.15</c:v>
                </c:pt>
                <c:pt idx="399">
                  <c:v>3.15</c:v>
                </c:pt>
                <c:pt idx="400">
                  <c:v>3.15</c:v>
                </c:pt>
                <c:pt idx="401">
                  <c:v>3.15</c:v>
                </c:pt>
                <c:pt idx="402">
                  <c:v>3.15</c:v>
                </c:pt>
                <c:pt idx="403">
                  <c:v>3.15</c:v>
                </c:pt>
                <c:pt idx="404">
                  <c:v>3.15</c:v>
                </c:pt>
                <c:pt idx="405">
                  <c:v>3.15</c:v>
                </c:pt>
                <c:pt idx="406">
                  <c:v>3.15</c:v>
                </c:pt>
                <c:pt idx="407">
                  <c:v>3.15</c:v>
                </c:pt>
                <c:pt idx="408">
                  <c:v>3.15</c:v>
                </c:pt>
                <c:pt idx="409">
                  <c:v>3.15</c:v>
                </c:pt>
                <c:pt idx="410">
                  <c:v>3.15</c:v>
                </c:pt>
                <c:pt idx="411">
                  <c:v>3.15</c:v>
                </c:pt>
                <c:pt idx="412">
                  <c:v>3.15</c:v>
                </c:pt>
                <c:pt idx="413">
                  <c:v>3.15</c:v>
                </c:pt>
                <c:pt idx="414">
                  <c:v>3.15</c:v>
                </c:pt>
                <c:pt idx="415">
                  <c:v>3.15</c:v>
                </c:pt>
                <c:pt idx="416">
                  <c:v>3.15</c:v>
                </c:pt>
                <c:pt idx="417">
                  <c:v>3.15</c:v>
                </c:pt>
                <c:pt idx="418">
                  <c:v>3.15</c:v>
                </c:pt>
                <c:pt idx="419">
                  <c:v>3.15</c:v>
                </c:pt>
                <c:pt idx="420">
                  <c:v>3.15</c:v>
                </c:pt>
                <c:pt idx="421">
                  <c:v>3.15</c:v>
                </c:pt>
                <c:pt idx="422">
                  <c:v>3.15</c:v>
                </c:pt>
                <c:pt idx="423">
                  <c:v>3.15</c:v>
                </c:pt>
                <c:pt idx="424">
                  <c:v>3.15</c:v>
                </c:pt>
                <c:pt idx="425">
                  <c:v>3.15</c:v>
                </c:pt>
                <c:pt idx="426">
                  <c:v>3.15</c:v>
                </c:pt>
                <c:pt idx="427">
                  <c:v>3.15</c:v>
                </c:pt>
                <c:pt idx="428">
                  <c:v>3.15</c:v>
                </c:pt>
                <c:pt idx="429">
                  <c:v>3.15</c:v>
                </c:pt>
                <c:pt idx="430">
                  <c:v>3.15</c:v>
                </c:pt>
                <c:pt idx="431">
                  <c:v>3.15</c:v>
                </c:pt>
                <c:pt idx="432">
                  <c:v>3.15</c:v>
                </c:pt>
                <c:pt idx="433">
                  <c:v>3.15</c:v>
                </c:pt>
                <c:pt idx="434">
                  <c:v>3.15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8-44B4-9FD2-A3C9D00D1604}"/>
            </c:ext>
          </c:extLst>
        </c:ser>
        <c:ser>
          <c:idx val="2"/>
          <c:order val="2"/>
          <c:tx>
            <c:strRef>
              <c:f>'Tabelle Pivot'!$P$3</c:f>
              <c:strCache>
                <c:ptCount val="1"/>
                <c:pt idx="0">
                  <c:v>Bilanciato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Pivot'!$P$4:$P$439</c:f>
              <c:numCache>
                <c:formatCode>General</c:formatCode>
                <c:ptCount val="435"/>
                <c:pt idx="0">
                  <c:v>2.0379689999999999</c:v>
                </c:pt>
                <c:pt idx="1">
                  <c:v>2.0944829999999999</c:v>
                </c:pt>
                <c:pt idx="2">
                  <c:v>2.0670199999999999</c:v>
                </c:pt>
                <c:pt idx="3">
                  <c:v>2.0549550000000001</c:v>
                </c:pt>
                <c:pt idx="4">
                  <c:v>2.0440019999999999</c:v>
                </c:pt>
                <c:pt idx="5">
                  <c:v>2.0506690000000001</c:v>
                </c:pt>
                <c:pt idx="6">
                  <c:v>2.0343179999999998</c:v>
                </c:pt>
                <c:pt idx="7">
                  <c:v>2.0182850000000001</c:v>
                </c:pt>
                <c:pt idx="8">
                  <c:v>1.9901869999999999</c:v>
                </c:pt>
                <c:pt idx="9">
                  <c:v>1.975741</c:v>
                </c:pt>
                <c:pt idx="10">
                  <c:v>1.963994</c:v>
                </c:pt>
                <c:pt idx="11">
                  <c:v>1.9593910000000001</c:v>
                </c:pt>
                <c:pt idx="12">
                  <c:v>1.973201</c:v>
                </c:pt>
                <c:pt idx="13">
                  <c:v>1.9651050000000001</c:v>
                </c:pt>
                <c:pt idx="14">
                  <c:v>1.9455800000000001</c:v>
                </c:pt>
                <c:pt idx="15">
                  <c:v>1.946215</c:v>
                </c:pt>
                <c:pt idx="16">
                  <c:v>1.954469</c:v>
                </c:pt>
                <c:pt idx="17">
                  <c:v>1.9508179999999999</c:v>
                </c:pt>
                <c:pt idx="18">
                  <c:v>1.9311339999999999</c:v>
                </c:pt>
                <c:pt idx="19">
                  <c:v>1.9301809999999999</c:v>
                </c:pt>
                <c:pt idx="20">
                  <c:v>1.952564</c:v>
                </c:pt>
                <c:pt idx="21">
                  <c:v>1.958121</c:v>
                </c:pt>
                <c:pt idx="22">
                  <c:v>1.944151</c:v>
                </c:pt>
                <c:pt idx="23">
                  <c:v>2.0465420000000001</c:v>
                </c:pt>
                <c:pt idx="24">
                  <c:v>2.0228890000000002</c:v>
                </c:pt>
                <c:pt idx="25">
                  <c:v>2.0411440000000001</c:v>
                </c:pt>
                <c:pt idx="26">
                  <c:v>2.0405090000000001</c:v>
                </c:pt>
                <c:pt idx="27">
                  <c:v>2.0474939999999999</c:v>
                </c:pt>
                <c:pt idx="28">
                  <c:v>2.0379689999999999</c:v>
                </c:pt>
                <c:pt idx="29">
                  <c:v>2.050351</c:v>
                </c:pt>
                <c:pt idx="30">
                  <c:v>2.0493990000000002</c:v>
                </c:pt>
                <c:pt idx="31">
                  <c:v>2.065591</c:v>
                </c:pt>
                <c:pt idx="32">
                  <c:v>2.0962290000000001</c:v>
                </c:pt>
                <c:pt idx="33">
                  <c:v>2.1094050000000002</c:v>
                </c:pt>
                <c:pt idx="34">
                  <c:v>2.1052770000000001</c:v>
                </c:pt>
                <c:pt idx="35">
                  <c:v>2.042573</c:v>
                </c:pt>
                <c:pt idx="36">
                  <c:v>2.038287</c:v>
                </c:pt>
                <c:pt idx="37">
                  <c:v>2.042414</c:v>
                </c:pt>
                <c:pt idx="38">
                  <c:v>2.0516209999999999</c:v>
                </c:pt>
                <c:pt idx="39">
                  <c:v>2.0397159999999999</c:v>
                </c:pt>
                <c:pt idx="40">
                  <c:v>2.046065</c:v>
                </c:pt>
                <c:pt idx="41">
                  <c:v>2.0905140000000002</c:v>
                </c:pt>
                <c:pt idx="42">
                  <c:v>2.0811480000000002</c:v>
                </c:pt>
                <c:pt idx="43">
                  <c:v>2.0968640000000001</c:v>
                </c:pt>
                <c:pt idx="44">
                  <c:v>2.0895609999999998</c:v>
                </c:pt>
                <c:pt idx="45">
                  <c:v>2.0724170000000002</c:v>
                </c:pt>
                <c:pt idx="46">
                  <c:v>2.0732110000000001</c:v>
                </c:pt>
                <c:pt idx="47">
                  <c:v>2.0622569999999998</c:v>
                </c:pt>
                <c:pt idx="48">
                  <c:v>2.052098</c:v>
                </c:pt>
                <c:pt idx="49">
                  <c:v>2.0386039999999999</c:v>
                </c:pt>
                <c:pt idx="50">
                  <c:v>1.9860599999999999</c:v>
                </c:pt>
                <c:pt idx="51">
                  <c:v>2.0157449999999999</c:v>
                </c:pt>
                <c:pt idx="52">
                  <c:v>2.0181260000000001</c:v>
                </c:pt>
                <c:pt idx="53">
                  <c:v>2.0165389999999999</c:v>
                </c:pt>
                <c:pt idx="54">
                  <c:v>2.014475</c:v>
                </c:pt>
                <c:pt idx="55">
                  <c:v>2.0038390000000001</c:v>
                </c:pt>
                <c:pt idx="56">
                  <c:v>1.9917750000000001</c:v>
                </c:pt>
                <c:pt idx="57">
                  <c:v>1.986218</c:v>
                </c:pt>
                <c:pt idx="58">
                  <c:v>1.987806</c:v>
                </c:pt>
                <c:pt idx="59">
                  <c:v>1.9884409999999999</c:v>
                </c:pt>
                <c:pt idx="60">
                  <c:v>1.985107</c:v>
                </c:pt>
                <c:pt idx="61">
                  <c:v>2.005744</c:v>
                </c:pt>
                <c:pt idx="62">
                  <c:v>1.911767</c:v>
                </c:pt>
                <c:pt idx="63">
                  <c:v>1.9028769999999999</c:v>
                </c:pt>
                <c:pt idx="64">
                  <c:v>1.8325530000000001</c:v>
                </c:pt>
                <c:pt idx="65">
                  <c:v>1.858905</c:v>
                </c:pt>
                <c:pt idx="66">
                  <c:v>1.85192</c:v>
                </c:pt>
                <c:pt idx="67">
                  <c:v>1.8576349999999999</c:v>
                </c:pt>
                <c:pt idx="68">
                  <c:v>1.8344579999999999</c:v>
                </c:pt>
                <c:pt idx="69">
                  <c:v>1.862873</c:v>
                </c:pt>
                <c:pt idx="70">
                  <c:v>1.8763669999999999</c:v>
                </c:pt>
                <c:pt idx="71">
                  <c:v>1.8990670000000001</c:v>
                </c:pt>
                <c:pt idx="72">
                  <c:v>1.889384</c:v>
                </c:pt>
                <c:pt idx="73">
                  <c:v>1.859381</c:v>
                </c:pt>
                <c:pt idx="74">
                  <c:v>1.850333</c:v>
                </c:pt>
                <c:pt idx="75">
                  <c:v>1.851126</c:v>
                </c:pt>
                <c:pt idx="76">
                  <c:v>1.925419</c:v>
                </c:pt>
                <c:pt idx="77">
                  <c:v>1.925419</c:v>
                </c:pt>
                <c:pt idx="78">
                  <c:v>1.9251020000000001</c:v>
                </c:pt>
                <c:pt idx="79">
                  <c:v>1.897797</c:v>
                </c:pt>
                <c:pt idx="80">
                  <c:v>1.8949400000000001</c:v>
                </c:pt>
                <c:pt idx="81">
                  <c:v>1.8830340000000001</c:v>
                </c:pt>
                <c:pt idx="82">
                  <c:v>1.8847799999999999</c:v>
                </c:pt>
                <c:pt idx="83">
                  <c:v>1.8830340000000001</c:v>
                </c:pt>
                <c:pt idx="84">
                  <c:v>1.8696999999999999</c:v>
                </c:pt>
                <c:pt idx="85">
                  <c:v>1.872716</c:v>
                </c:pt>
                <c:pt idx="86">
                  <c:v>1.8736679999999999</c:v>
                </c:pt>
                <c:pt idx="87">
                  <c:v>1.867953</c:v>
                </c:pt>
                <c:pt idx="88">
                  <c:v>1.873351</c:v>
                </c:pt>
                <c:pt idx="89">
                  <c:v>1.879065</c:v>
                </c:pt>
                <c:pt idx="90">
                  <c:v>1.866366</c:v>
                </c:pt>
                <c:pt idx="91">
                  <c:v>1.8677950000000001</c:v>
                </c:pt>
                <c:pt idx="92">
                  <c:v>1.870652</c:v>
                </c:pt>
                <c:pt idx="93">
                  <c:v>1.8535079999999999</c:v>
                </c:pt>
                <c:pt idx="94">
                  <c:v>1.8592219999999999</c:v>
                </c:pt>
                <c:pt idx="95">
                  <c:v>1.8522380000000001</c:v>
                </c:pt>
                <c:pt idx="96">
                  <c:v>1.833188</c:v>
                </c:pt>
                <c:pt idx="97">
                  <c:v>1.8419190000000001</c:v>
                </c:pt>
                <c:pt idx="98">
                  <c:v>1.8393790000000001</c:v>
                </c:pt>
                <c:pt idx="99">
                  <c:v>1.859064</c:v>
                </c:pt>
                <c:pt idx="100">
                  <c:v>1.885257</c:v>
                </c:pt>
                <c:pt idx="101">
                  <c:v>1.9225620000000001</c:v>
                </c:pt>
                <c:pt idx="102">
                  <c:v>1.9566920000000001</c:v>
                </c:pt>
                <c:pt idx="103">
                  <c:v>1.9516119999999999</c:v>
                </c:pt>
                <c:pt idx="104">
                  <c:v>1.9695499999999999</c:v>
                </c:pt>
                <c:pt idx="105">
                  <c:v>1.9658990000000001</c:v>
                </c:pt>
                <c:pt idx="106">
                  <c:v>1.945262</c:v>
                </c:pt>
                <c:pt idx="107">
                  <c:v>1.9516119999999999</c:v>
                </c:pt>
                <c:pt idx="108">
                  <c:v>2.0255869999999998</c:v>
                </c:pt>
                <c:pt idx="109">
                  <c:v>2.0319370000000001</c:v>
                </c:pt>
                <c:pt idx="110">
                  <c:v>2.046859</c:v>
                </c:pt>
                <c:pt idx="111">
                  <c:v>2.0244759999999999</c:v>
                </c:pt>
                <c:pt idx="112">
                  <c:v>1.9916160000000001</c:v>
                </c:pt>
                <c:pt idx="113">
                  <c:v>1.9860599999999999</c:v>
                </c:pt>
                <c:pt idx="114">
                  <c:v>2.0244759999999999</c:v>
                </c:pt>
                <c:pt idx="115">
                  <c:v>2.0551140000000001</c:v>
                </c:pt>
                <c:pt idx="116">
                  <c:v>2.0527329999999999</c:v>
                </c:pt>
                <c:pt idx="117">
                  <c:v>2.0106649999999999</c:v>
                </c:pt>
                <c:pt idx="118">
                  <c:v>2.0074900000000002</c:v>
                </c:pt>
                <c:pt idx="119">
                  <c:v>2.0532089999999998</c:v>
                </c:pt>
                <c:pt idx="120">
                  <c:v>2.1352799999999998</c:v>
                </c:pt>
                <c:pt idx="121">
                  <c:v>2.1100400000000001</c:v>
                </c:pt>
                <c:pt idx="122">
                  <c:v>2.0952760000000001</c:v>
                </c:pt>
                <c:pt idx="123">
                  <c:v>2.1117859999999999</c:v>
                </c:pt>
                <c:pt idx="124">
                  <c:v>2.1260729999999999</c:v>
                </c:pt>
                <c:pt idx="125">
                  <c:v>2.1413120000000001</c:v>
                </c:pt>
                <c:pt idx="126">
                  <c:v>2.176078</c:v>
                </c:pt>
                <c:pt idx="127">
                  <c:v>2.160679</c:v>
                </c:pt>
                <c:pt idx="128">
                  <c:v>2.2065570000000001</c:v>
                </c:pt>
                <c:pt idx="129">
                  <c:v>2.2178270000000002</c:v>
                </c:pt>
                <c:pt idx="130">
                  <c:v>2.2311619999999999</c:v>
                </c:pt>
                <c:pt idx="131">
                  <c:v>2.2222719999999998</c:v>
                </c:pt>
                <c:pt idx="132">
                  <c:v>2.2075089999999999</c:v>
                </c:pt>
                <c:pt idx="133">
                  <c:v>2.2092550000000002</c:v>
                </c:pt>
                <c:pt idx="134">
                  <c:v>2.2051280000000002</c:v>
                </c:pt>
                <c:pt idx="135">
                  <c:v>2.1808399999999999</c:v>
                </c:pt>
                <c:pt idx="136">
                  <c:v>2.1433759999999999</c:v>
                </c:pt>
                <c:pt idx="137">
                  <c:v>2.1527419999999999</c:v>
                </c:pt>
                <c:pt idx="138">
                  <c:v>2.1541709999999998</c:v>
                </c:pt>
                <c:pt idx="139">
                  <c:v>2.1171829999999998</c:v>
                </c:pt>
                <c:pt idx="140">
                  <c:v>2.1046420000000001</c:v>
                </c:pt>
                <c:pt idx="141">
                  <c:v>2.1054360000000001</c:v>
                </c:pt>
                <c:pt idx="142">
                  <c:v>2.1275019999999998</c:v>
                </c:pt>
                <c:pt idx="143">
                  <c:v>2.1395659999999999</c:v>
                </c:pt>
                <c:pt idx="144">
                  <c:v>2.1643300000000001</c:v>
                </c:pt>
                <c:pt idx="145">
                  <c:v>2.1276600000000001</c:v>
                </c:pt>
                <c:pt idx="146">
                  <c:v>2.0976569999999999</c:v>
                </c:pt>
                <c:pt idx="147">
                  <c:v>2.0832120000000001</c:v>
                </c:pt>
                <c:pt idx="148">
                  <c:v>2.0909900000000001</c:v>
                </c:pt>
                <c:pt idx="149">
                  <c:v>2.1243270000000001</c:v>
                </c:pt>
                <c:pt idx="150">
                  <c:v>2.2335430000000001</c:v>
                </c:pt>
                <c:pt idx="151">
                  <c:v>2.1852849999999999</c:v>
                </c:pt>
                <c:pt idx="152">
                  <c:v>2.1498849999999998</c:v>
                </c:pt>
                <c:pt idx="153">
                  <c:v>2.124962</c:v>
                </c:pt>
                <c:pt idx="154">
                  <c:v>2.1811569999999998</c:v>
                </c:pt>
                <c:pt idx="155">
                  <c:v>2.239258</c:v>
                </c:pt>
                <c:pt idx="156">
                  <c:v>2.243862</c:v>
                </c:pt>
                <c:pt idx="157">
                  <c:v>2.253228</c:v>
                </c:pt>
                <c:pt idx="158">
                  <c:v>2.2587839999999999</c:v>
                </c:pt>
                <c:pt idx="159">
                  <c:v>2.2952949999999999</c:v>
                </c:pt>
                <c:pt idx="160">
                  <c:v>2.289898</c:v>
                </c:pt>
                <c:pt idx="161">
                  <c:v>2.2959299999999998</c:v>
                </c:pt>
                <c:pt idx="162">
                  <c:v>2.3140269999999998</c:v>
                </c:pt>
                <c:pt idx="163">
                  <c:v>2.3060900000000002</c:v>
                </c:pt>
                <c:pt idx="164">
                  <c:v>2.274499</c:v>
                </c:pt>
                <c:pt idx="165">
                  <c:v>2.262276</c:v>
                </c:pt>
                <c:pt idx="166">
                  <c:v>2.2379880000000001</c:v>
                </c:pt>
                <c:pt idx="167">
                  <c:v>2.2497349999999998</c:v>
                </c:pt>
                <c:pt idx="168">
                  <c:v>2.234178</c:v>
                </c:pt>
                <c:pt idx="169">
                  <c:v>2.2152880000000001</c:v>
                </c:pt>
                <c:pt idx="170">
                  <c:v>2.1963970000000002</c:v>
                </c:pt>
                <c:pt idx="171">
                  <c:v>2.1768709999999998</c:v>
                </c:pt>
                <c:pt idx="172">
                  <c:v>2.165124</c:v>
                </c:pt>
                <c:pt idx="173">
                  <c:v>2.1581389999999998</c:v>
                </c:pt>
                <c:pt idx="174">
                  <c:v>2.1208339999999999</c:v>
                </c:pt>
                <c:pt idx="175">
                  <c:v>2.1035309999999998</c:v>
                </c:pt>
                <c:pt idx="176">
                  <c:v>2.111151</c:v>
                </c:pt>
                <c:pt idx="177">
                  <c:v>2.1313110000000002</c:v>
                </c:pt>
                <c:pt idx="178">
                  <c:v>2.1316290000000002</c:v>
                </c:pt>
                <c:pt idx="179">
                  <c:v>2.1209929999999999</c:v>
                </c:pt>
                <c:pt idx="180">
                  <c:v>2.120676</c:v>
                </c:pt>
                <c:pt idx="181">
                  <c:v>2.115278</c:v>
                </c:pt>
                <c:pt idx="182">
                  <c:v>2.1100400000000001</c:v>
                </c:pt>
                <c:pt idx="183">
                  <c:v>2.0987689999999999</c:v>
                </c:pt>
                <c:pt idx="184">
                  <c:v>2.09226</c:v>
                </c:pt>
                <c:pt idx="185">
                  <c:v>2.0814650000000001</c:v>
                </c:pt>
                <c:pt idx="186">
                  <c:v>2.1217869999999999</c:v>
                </c:pt>
                <c:pt idx="187">
                  <c:v>2.105912</c:v>
                </c:pt>
                <c:pt idx="188">
                  <c:v>2.0936889999999999</c:v>
                </c:pt>
                <c:pt idx="189">
                  <c:v>2.0997210000000002</c:v>
                </c:pt>
                <c:pt idx="190">
                  <c:v>2.1086109999999998</c:v>
                </c:pt>
                <c:pt idx="191">
                  <c:v>2.2054450000000001</c:v>
                </c:pt>
                <c:pt idx="192">
                  <c:v>2.2348129999999999</c:v>
                </c:pt>
                <c:pt idx="193">
                  <c:v>2.2867229999999998</c:v>
                </c:pt>
                <c:pt idx="194">
                  <c:v>2.2714829999999999</c:v>
                </c:pt>
                <c:pt idx="195">
                  <c:v>2.2651340000000002</c:v>
                </c:pt>
                <c:pt idx="196">
                  <c:v>2.2359239999999998</c:v>
                </c:pt>
                <c:pt idx="197">
                  <c:v>2.2490999999999999</c:v>
                </c:pt>
                <c:pt idx="198">
                  <c:v>2.253069</c:v>
                </c:pt>
                <c:pt idx="199">
                  <c:v>2.2295750000000001</c:v>
                </c:pt>
                <c:pt idx="200">
                  <c:v>2.2270349999999999</c:v>
                </c:pt>
                <c:pt idx="201">
                  <c:v>2.2225899999999998</c:v>
                </c:pt>
                <c:pt idx="202">
                  <c:v>2.1733790000000002</c:v>
                </c:pt>
                <c:pt idx="203">
                  <c:v>2.1871900000000002</c:v>
                </c:pt>
                <c:pt idx="204">
                  <c:v>2.1636950000000001</c:v>
                </c:pt>
                <c:pt idx="205">
                  <c:v>2.1559170000000001</c:v>
                </c:pt>
                <c:pt idx="206">
                  <c:v>2.1508370000000001</c:v>
                </c:pt>
                <c:pt idx="207">
                  <c:v>2.1433759999999999</c:v>
                </c:pt>
                <c:pt idx="208">
                  <c:v>2.1473450000000001</c:v>
                </c:pt>
                <c:pt idx="209">
                  <c:v>2.041779</c:v>
                </c:pt>
                <c:pt idx="210">
                  <c:v>2.0135230000000002</c:v>
                </c:pt>
                <c:pt idx="211">
                  <c:v>2.009395</c:v>
                </c:pt>
                <c:pt idx="212">
                  <c:v>2.0081250000000002</c:v>
                </c:pt>
                <c:pt idx="213">
                  <c:v>2.0020929999999999</c:v>
                </c:pt>
                <c:pt idx="214">
                  <c:v>1.993679</c:v>
                </c:pt>
                <c:pt idx="215">
                  <c:v>1.937484</c:v>
                </c:pt>
                <c:pt idx="216">
                  <c:v>1.9179580000000001</c:v>
                </c:pt>
                <c:pt idx="217">
                  <c:v>1.903195</c:v>
                </c:pt>
                <c:pt idx="218">
                  <c:v>1.8882730000000001</c:v>
                </c:pt>
                <c:pt idx="219">
                  <c:v>1.908433</c:v>
                </c:pt>
                <c:pt idx="220">
                  <c:v>2.15306</c:v>
                </c:pt>
                <c:pt idx="221">
                  <c:v>2.1746490000000001</c:v>
                </c:pt>
                <c:pt idx="222">
                  <c:v>2.176078</c:v>
                </c:pt>
                <c:pt idx="223">
                  <c:v>2.1943329999999999</c:v>
                </c:pt>
                <c:pt idx="224">
                  <c:v>2.176078</c:v>
                </c:pt>
                <c:pt idx="225">
                  <c:v>2.1813159999999998</c:v>
                </c:pt>
                <c:pt idx="226">
                  <c:v>2.1706799999999999</c:v>
                </c:pt>
                <c:pt idx="227">
                  <c:v>2.1906819999999998</c:v>
                </c:pt>
                <c:pt idx="228">
                  <c:v>2.1779820000000001</c:v>
                </c:pt>
                <c:pt idx="229">
                  <c:v>2.174331</c:v>
                </c:pt>
                <c:pt idx="230">
                  <c:v>2.166553</c:v>
                </c:pt>
                <c:pt idx="231">
                  <c:v>2.1575039999999999</c:v>
                </c:pt>
                <c:pt idx="232">
                  <c:v>2.1719499999999998</c:v>
                </c:pt>
                <c:pt idx="233">
                  <c:v>2.2543389999999999</c:v>
                </c:pt>
                <c:pt idx="234">
                  <c:v>2.4738829999999998</c:v>
                </c:pt>
                <c:pt idx="235">
                  <c:v>2.4518179999999998</c:v>
                </c:pt>
                <c:pt idx="236">
                  <c:v>2.4470550000000002</c:v>
                </c:pt>
                <c:pt idx="237">
                  <c:v>2.4451499999999999</c:v>
                </c:pt>
                <c:pt idx="238">
                  <c:v>2.4422929999999998</c:v>
                </c:pt>
                <c:pt idx="239">
                  <c:v>2.4335619999999998</c:v>
                </c:pt>
                <c:pt idx="240">
                  <c:v>2.4238789999999999</c:v>
                </c:pt>
                <c:pt idx="241">
                  <c:v>2.425942</c:v>
                </c:pt>
                <c:pt idx="242">
                  <c:v>2.4156240000000002</c:v>
                </c:pt>
                <c:pt idx="243">
                  <c:v>2.3802240000000001</c:v>
                </c:pt>
                <c:pt idx="244">
                  <c:v>2.344347</c:v>
                </c:pt>
                <c:pt idx="245">
                  <c:v>2.3645079999999998</c:v>
                </c:pt>
                <c:pt idx="246">
                  <c:v>2.3657780000000002</c:v>
                </c:pt>
                <c:pt idx="247">
                  <c:v>2.4118140000000001</c:v>
                </c:pt>
                <c:pt idx="248">
                  <c:v>2.4408639999999999</c:v>
                </c:pt>
                <c:pt idx="249">
                  <c:v>2.472137</c:v>
                </c:pt>
                <c:pt idx="250">
                  <c:v>2.4988060000000001</c:v>
                </c:pt>
                <c:pt idx="251">
                  <c:v>2.504362</c:v>
                </c:pt>
                <c:pt idx="252">
                  <c:v>2.494996</c:v>
                </c:pt>
                <c:pt idx="253">
                  <c:v>2.5111880000000002</c:v>
                </c:pt>
                <c:pt idx="254">
                  <c:v>2.5240469999999999</c:v>
                </c:pt>
                <c:pt idx="255">
                  <c:v>2.491187</c:v>
                </c:pt>
                <c:pt idx="256">
                  <c:v>2.481344</c:v>
                </c:pt>
                <c:pt idx="257">
                  <c:v>2.4557859999999998</c:v>
                </c:pt>
                <c:pt idx="258">
                  <c:v>2.4513419999999999</c:v>
                </c:pt>
                <c:pt idx="259">
                  <c:v>2.476264</c:v>
                </c:pt>
                <c:pt idx="260">
                  <c:v>2.4889640000000002</c:v>
                </c:pt>
                <c:pt idx="261">
                  <c:v>2.449754</c:v>
                </c:pt>
                <c:pt idx="262">
                  <c:v>2.4151479999999999</c:v>
                </c:pt>
                <c:pt idx="263">
                  <c:v>2.3781599999999998</c:v>
                </c:pt>
                <c:pt idx="264">
                  <c:v>2.3662540000000001</c:v>
                </c:pt>
                <c:pt idx="265">
                  <c:v>2.35419</c:v>
                </c:pt>
                <c:pt idx="266">
                  <c:v>2.3291080000000002</c:v>
                </c:pt>
                <c:pt idx="267">
                  <c:v>2.359111</c:v>
                </c:pt>
                <c:pt idx="268">
                  <c:v>2.335934</c:v>
                </c:pt>
                <c:pt idx="269">
                  <c:v>2.344824</c:v>
                </c:pt>
                <c:pt idx="270">
                  <c:v>2.33514</c:v>
                </c:pt>
                <c:pt idx="271">
                  <c:v>2.3875259999999998</c:v>
                </c:pt>
                <c:pt idx="272">
                  <c:v>2.3746679999999998</c:v>
                </c:pt>
                <c:pt idx="273">
                  <c:v>2.3791120000000001</c:v>
                </c:pt>
                <c:pt idx="274">
                  <c:v>2.3595869999999999</c:v>
                </c:pt>
                <c:pt idx="275">
                  <c:v>2.3205360000000002</c:v>
                </c:pt>
                <c:pt idx="276">
                  <c:v>2.353237</c:v>
                </c:pt>
                <c:pt idx="277">
                  <c:v>2.3406959999999999</c:v>
                </c:pt>
                <c:pt idx="278">
                  <c:v>2.3375210000000002</c:v>
                </c:pt>
                <c:pt idx="279">
                  <c:v>2.326092</c:v>
                </c:pt>
                <c:pt idx="280">
                  <c:v>2.2916439999999998</c:v>
                </c:pt>
                <c:pt idx="281">
                  <c:v>2.2987869999999999</c:v>
                </c:pt>
                <c:pt idx="282">
                  <c:v>2.3413309999999998</c:v>
                </c:pt>
                <c:pt idx="283">
                  <c:v>2.3546659999999999</c:v>
                </c:pt>
                <c:pt idx="284">
                  <c:v>2.3614920000000001</c:v>
                </c:pt>
                <c:pt idx="285">
                  <c:v>2.409592</c:v>
                </c:pt>
                <c:pt idx="286">
                  <c:v>2.40848</c:v>
                </c:pt>
                <c:pt idx="287">
                  <c:v>2.4054639999999998</c:v>
                </c:pt>
                <c:pt idx="288">
                  <c:v>2.4519760000000002</c:v>
                </c:pt>
                <c:pt idx="289">
                  <c:v>2.4775339999999999</c:v>
                </c:pt>
                <c:pt idx="290">
                  <c:v>2.4872179999999999</c:v>
                </c:pt>
                <c:pt idx="291">
                  <c:v>2.4807090000000001</c:v>
                </c:pt>
                <c:pt idx="292">
                  <c:v>2.486583</c:v>
                </c:pt>
                <c:pt idx="293">
                  <c:v>2.4830909999999999</c:v>
                </c:pt>
                <c:pt idx="294">
                  <c:v>2.4878529999999999</c:v>
                </c:pt>
                <c:pt idx="295">
                  <c:v>2.4607070000000002</c:v>
                </c:pt>
                <c:pt idx="296">
                  <c:v>2.4219740000000001</c:v>
                </c:pt>
                <c:pt idx="297">
                  <c:v>2.4662639999999998</c:v>
                </c:pt>
                <c:pt idx="298">
                  <c:v>2.4410229999999999</c:v>
                </c:pt>
                <c:pt idx="299">
                  <c:v>2.4919799999999999</c:v>
                </c:pt>
                <c:pt idx="300">
                  <c:v>2.3272029999999999</c:v>
                </c:pt>
                <c:pt idx="301">
                  <c:v>2.3032319999999999</c:v>
                </c:pt>
                <c:pt idx="302">
                  <c:v>2.2916439999999998</c:v>
                </c:pt>
                <c:pt idx="303">
                  <c:v>2.2694200000000002</c:v>
                </c:pt>
                <c:pt idx="304">
                  <c:v>2.3054549999999998</c:v>
                </c:pt>
                <c:pt idx="305">
                  <c:v>2.289898</c:v>
                </c:pt>
                <c:pt idx="306">
                  <c:v>2.3013270000000001</c:v>
                </c:pt>
                <c:pt idx="307">
                  <c:v>2.3097409999999998</c:v>
                </c:pt>
                <c:pt idx="308">
                  <c:v>2.3106930000000001</c:v>
                </c:pt>
                <c:pt idx="309">
                  <c:v>2.2924380000000002</c:v>
                </c:pt>
                <c:pt idx="310">
                  <c:v>2.2630699999999999</c:v>
                </c:pt>
                <c:pt idx="311">
                  <c:v>2.2921200000000002</c:v>
                </c:pt>
                <c:pt idx="312">
                  <c:v>2.24275</c:v>
                </c:pt>
                <c:pt idx="313">
                  <c:v>2.216399</c:v>
                </c:pt>
                <c:pt idx="314">
                  <c:v>2.2471950000000001</c:v>
                </c:pt>
                <c:pt idx="315">
                  <c:v>2.2648160000000002</c:v>
                </c:pt>
                <c:pt idx="316">
                  <c:v>2.2894220000000001</c:v>
                </c:pt>
                <c:pt idx="317">
                  <c:v>2.24783</c:v>
                </c:pt>
                <c:pt idx="318">
                  <c:v>2.216081</c:v>
                </c:pt>
                <c:pt idx="319">
                  <c:v>2.2008420000000002</c:v>
                </c:pt>
                <c:pt idx="320">
                  <c:v>2.1694100000000001</c:v>
                </c:pt>
                <c:pt idx="321">
                  <c:v>2.202429</c:v>
                </c:pt>
                <c:pt idx="322">
                  <c:v>2.2148110000000001</c:v>
                </c:pt>
                <c:pt idx="323">
                  <c:v>2.1173419999999998</c:v>
                </c:pt>
                <c:pt idx="324">
                  <c:v>2.152901</c:v>
                </c:pt>
                <c:pt idx="325">
                  <c:v>2.225765</c:v>
                </c:pt>
                <c:pt idx="326">
                  <c:v>2.2049690000000002</c:v>
                </c:pt>
                <c:pt idx="327">
                  <c:v>2.294184</c:v>
                </c:pt>
                <c:pt idx="328">
                  <c:v>2.2919610000000001</c:v>
                </c:pt>
                <c:pt idx="329">
                  <c:v>2.3433950000000001</c:v>
                </c:pt>
                <c:pt idx="330">
                  <c:v>2.325933</c:v>
                </c:pt>
                <c:pt idx="331">
                  <c:v>2.3065660000000001</c:v>
                </c:pt>
                <c:pt idx="332">
                  <c:v>2.2883100000000001</c:v>
                </c:pt>
                <c:pt idx="333">
                  <c:v>2.2965650000000002</c:v>
                </c:pt>
                <c:pt idx="334">
                  <c:v>2.2859289999999999</c:v>
                </c:pt>
                <c:pt idx="335">
                  <c:v>2.2687849999999998</c:v>
                </c:pt>
                <c:pt idx="336">
                  <c:v>2.2579899999999999</c:v>
                </c:pt>
                <c:pt idx="337">
                  <c:v>2.242909</c:v>
                </c:pt>
                <c:pt idx="338">
                  <c:v>2.239099</c:v>
                </c:pt>
                <c:pt idx="339">
                  <c:v>2.2362419999999998</c:v>
                </c:pt>
                <c:pt idx="340">
                  <c:v>2.261482</c:v>
                </c:pt>
                <c:pt idx="341">
                  <c:v>2.2845</c:v>
                </c:pt>
                <c:pt idx="342">
                  <c:v>2.2464019999999998</c:v>
                </c:pt>
                <c:pt idx="343">
                  <c:v>2.2321149999999998</c:v>
                </c:pt>
                <c:pt idx="344">
                  <c:v>2.248148</c:v>
                </c:pt>
                <c:pt idx="345">
                  <c:v>2.2697370000000001</c:v>
                </c:pt>
                <c:pt idx="346">
                  <c:v>2.331013</c:v>
                </c:pt>
                <c:pt idx="347">
                  <c:v>2.3316479999999999</c:v>
                </c:pt>
                <c:pt idx="348">
                  <c:v>2.3294250000000001</c:v>
                </c:pt>
                <c:pt idx="349">
                  <c:v>2.3105349999999998</c:v>
                </c:pt>
                <c:pt idx="350">
                  <c:v>2.3010100000000002</c:v>
                </c:pt>
                <c:pt idx="351">
                  <c:v>2.2865639999999998</c:v>
                </c:pt>
                <c:pt idx="352">
                  <c:v>2.2273520000000002</c:v>
                </c:pt>
                <c:pt idx="353">
                  <c:v>2.2041750000000002</c:v>
                </c:pt>
                <c:pt idx="354">
                  <c:v>2.2000479999999998</c:v>
                </c:pt>
                <c:pt idx="355">
                  <c:v>2.1821100000000002</c:v>
                </c:pt>
                <c:pt idx="356">
                  <c:v>2.1630600000000002</c:v>
                </c:pt>
                <c:pt idx="357">
                  <c:v>2.1576629999999999</c:v>
                </c:pt>
                <c:pt idx="358">
                  <c:v>2.1327400000000001</c:v>
                </c:pt>
                <c:pt idx="359">
                  <c:v>2.1548060000000002</c:v>
                </c:pt>
                <c:pt idx="360">
                  <c:v>2.156552</c:v>
                </c:pt>
                <c:pt idx="361">
                  <c:v>2.1000390000000002</c:v>
                </c:pt>
                <c:pt idx="362">
                  <c:v>2.101626</c:v>
                </c:pt>
                <c:pt idx="363">
                  <c:v>2.0774970000000001</c:v>
                </c:pt>
                <c:pt idx="364">
                  <c:v>2.0832120000000001</c:v>
                </c:pt>
                <c:pt idx="365">
                  <c:v>2.0874980000000001</c:v>
                </c:pt>
                <c:pt idx="366">
                  <c:v>2.1148020000000001</c:v>
                </c:pt>
                <c:pt idx="367">
                  <c:v>2.1176590000000002</c:v>
                </c:pt>
                <c:pt idx="368">
                  <c:v>2.1117859999999999</c:v>
                </c:pt>
                <c:pt idx="369">
                  <c:v>2.1494080000000002</c:v>
                </c:pt>
                <c:pt idx="370">
                  <c:v>2.14798</c:v>
                </c:pt>
                <c:pt idx="371">
                  <c:v>2.138455</c:v>
                </c:pt>
                <c:pt idx="372">
                  <c:v>2.1409950000000002</c:v>
                </c:pt>
                <c:pt idx="373">
                  <c:v>2.1457570000000001</c:v>
                </c:pt>
                <c:pt idx="374">
                  <c:v>2.134169</c:v>
                </c:pt>
                <c:pt idx="375">
                  <c:v>2.1275019999999998</c:v>
                </c:pt>
                <c:pt idx="376">
                  <c:v>2.1636950000000001</c:v>
                </c:pt>
                <c:pt idx="377">
                  <c:v>2.1355979999999999</c:v>
                </c:pt>
                <c:pt idx="378">
                  <c:v>2.055749</c:v>
                </c:pt>
                <c:pt idx="379">
                  <c:v>2.0620989999999999</c:v>
                </c:pt>
                <c:pt idx="380">
                  <c:v>2.0505100000000001</c:v>
                </c:pt>
                <c:pt idx="381">
                  <c:v>2.0506690000000001</c:v>
                </c:pt>
                <c:pt idx="382">
                  <c:v>2.05559</c:v>
                </c:pt>
                <c:pt idx="383">
                  <c:v>2.0486049999999998</c:v>
                </c:pt>
                <c:pt idx="384">
                  <c:v>2.0393979999999998</c:v>
                </c:pt>
                <c:pt idx="385">
                  <c:v>2.0398740000000002</c:v>
                </c:pt>
                <c:pt idx="386">
                  <c:v>2.0459070000000001</c:v>
                </c:pt>
                <c:pt idx="387">
                  <c:v>2.0473349999999999</c:v>
                </c:pt>
                <c:pt idx="388">
                  <c:v>2.0441600000000002</c:v>
                </c:pt>
                <c:pt idx="389">
                  <c:v>2.0459070000000001</c:v>
                </c:pt>
                <c:pt idx="390">
                  <c:v>2.0732110000000001</c:v>
                </c:pt>
                <c:pt idx="391">
                  <c:v>2.0813069999999998</c:v>
                </c:pt>
                <c:pt idx="392">
                  <c:v>2.0538439999999998</c:v>
                </c:pt>
                <c:pt idx="393">
                  <c:v>2.0449540000000002</c:v>
                </c:pt>
                <c:pt idx="394">
                  <c:v>2.0395569999999998</c:v>
                </c:pt>
                <c:pt idx="395">
                  <c:v>2.0347940000000002</c:v>
                </c:pt>
                <c:pt idx="396">
                  <c:v>2.019396</c:v>
                </c:pt>
                <c:pt idx="397">
                  <c:v>2.0447950000000001</c:v>
                </c:pt>
                <c:pt idx="398">
                  <c:v>2.0543200000000001</c:v>
                </c:pt>
                <c:pt idx="399">
                  <c:v>2.0609869999999999</c:v>
                </c:pt>
                <c:pt idx="400">
                  <c:v>2.0668609999999998</c:v>
                </c:pt>
                <c:pt idx="401">
                  <c:v>2.046224</c:v>
                </c:pt>
                <c:pt idx="402">
                  <c:v>2.1094050000000002</c:v>
                </c:pt>
                <c:pt idx="403">
                  <c:v>2.1221040000000002</c:v>
                </c:pt>
                <c:pt idx="404">
                  <c:v>2.1917930000000001</c:v>
                </c:pt>
                <c:pt idx="405">
                  <c:v>2.1681400000000002</c:v>
                </c:pt>
                <c:pt idx="406">
                  <c:v>2.1559170000000001</c:v>
                </c:pt>
                <c:pt idx="407">
                  <c:v>2.194016</c:v>
                </c:pt>
                <c:pt idx="408">
                  <c:v>2.1900469999999999</c:v>
                </c:pt>
                <c:pt idx="409">
                  <c:v>2.1856019999999998</c:v>
                </c:pt>
                <c:pt idx="410">
                  <c:v>2.1746490000000001</c:v>
                </c:pt>
                <c:pt idx="411">
                  <c:v>2.1694100000000001</c:v>
                </c:pt>
                <c:pt idx="412">
                  <c:v>2.1630600000000002</c:v>
                </c:pt>
                <c:pt idx="413">
                  <c:v>2.1641720000000002</c:v>
                </c:pt>
                <c:pt idx="414">
                  <c:v>2.1417890000000002</c:v>
                </c:pt>
                <c:pt idx="415">
                  <c:v>2.156711</c:v>
                </c:pt>
                <c:pt idx="416">
                  <c:v>2.1444869999999998</c:v>
                </c:pt>
                <c:pt idx="417">
                  <c:v>2.1497259999999998</c:v>
                </c:pt>
                <c:pt idx="418">
                  <c:v>2.152425</c:v>
                </c:pt>
                <c:pt idx="419">
                  <c:v>2.14798</c:v>
                </c:pt>
                <c:pt idx="420">
                  <c:v>2.1497259999999998</c:v>
                </c:pt>
                <c:pt idx="421">
                  <c:v>2.1403599999999998</c:v>
                </c:pt>
                <c:pt idx="422">
                  <c:v>2.1506780000000001</c:v>
                </c:pt>
                <c:pt idx="423">
                  <c:v>2.1403599999999998</c:v>
                </c:pt>
                <c:pt idx="424">
                  <c:v>2.1502020000000002</c:v>
                </c:pt>
                <c:pt idx="425">
                  <c:v>2.1873480000000001</c:v>
                </c:pt>
                <c:pt idx="426">
                  <c:v>2.18973</c:v>
                </c:pt>
                <c:pt idx="427">
                  <c:v>2.2232249999999998</c:v>
                </c:pt>
                <c:pt idx="428">
                  <c:v>2.2640220000000002</c:v>
                </c:pt>
                <c:pt idx="429">
                  <c:v>2.2519580000000001</c:v>
                </c:pt>
                <c:pt idx="430">
                  <c:v>2.2498939999999998</c:v>
                </c:pt>
                <c:pt idx="431">
                  <c:v>2.312122</c:v>
                </c:pt>
                <c:pt idx="432">
                  <c:v>2.2779919999999998</c:v>
                </c:pt>
                <c:pt idx="433">
                  <c:v>2.317361</c:v>
                </c:pt>
                <c:pt idx="434">
                  <c:v>2.3319649999999998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98-44B4-9FD2-A3C9D00D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Azionario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Pivot'!$R$3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Pivot'!$R$4:$R$439</c:f>
              <c:numCache>
                <c:formatCode>General</c:formatCode>
                <c:ptCount val="435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  <c:pt idx="32">
                  <c:v>3.5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3.5</c:v>
                </c:pt>
                <c:pt idx="40">
                  <c:v>3.5</c:v>
                </c:pt>
                <c:pt idx="41">
                  <c:v>3.5</c:v>
                </c:pt>
                <c:pt idx="42">
                  <c:v>3.5</c:v>
                </c:pt>
                <c:pt idx="43">
                  <c:v>3.5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3.5</c:v>
                </c:pt>
                <c:pt idx="51">
                  <c:v>3.5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3.5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3.5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3.5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3.5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3.5</c:v>
                </c:pt>
                <c:pt idx="112">
                  <c:v>3.5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3.5</c:v>
                </c:pt>
                <c:pt idx="124">
                  <c:v>3.5</c:v>
                </c:pt>
                <c:pt idx="125">
                  <c:v>3.5</c:v>
                </c:pt>
                <c:pt idx="126">
                  <c:v>3.5</c:v>
                </c:pt>
                <c:pt idx="127">
                  <c:v>3.5</c:v>
                </c:pt>
                <c:pt idx="128">
                  <c:v>3.5</c:v>
                </c:pt>
                <c:pt idx="129">
                  <c:v>3.5</c:v>
                </c:pt>
                <c:pt idx="130">
                  <c:v>3.5</c:v>
                </c:pt>
                <c:pt idx="131">
                  <c:v>3.5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  <c:pt idx="186">
                  <c:v>3.5</c:v>
                </c:pt>
                <c:pt idx="187">
                  <c:v>3.5</c:v>
                </c:pt>
                <c:pt idx="188">
                  <c:v>3.5</c:v>
                </c:pt>
                <c:pt idx="189">
                  <c:v>3.5</c:v>
                </c:pt>
                <c:pt idx="190">
                  <c:v>3.5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3.5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3.5</c:v>
                </c:pt>
                <c:pt idx="205">
                  <c:v>3.5</c:v>
                </c:pt>
                <c:pt idx="206">
                  <c:v>3.5</c:v>
                </c:pt>
                <c:pt idx="207">
                  <c:v>3.5</c:v>
                </c:pt>
                <c:pt idx="208">
                  <c:v>3.5</c:v>
                </c:pt>
                <c:pt idx="209">
                  <c:v>3.5</c:v>
                </c:pt>
                <c:pt idx="210">
                  <c:v>3.5</c:v>
                </c:pt>
                <c:pt idx="211">
                  <c:v>3.5</c:v>
                </c:pt>
                <c:pt idx="212">
                  <c:v>3.5</c:v>
                </c:pt>
                <c:pt idx="213">
                  <c:v>3.5</c:v>
                </c:pt>
                <c:pt idx="214">
                  <c:v>3.5</c:v>
                </c:pt>
                <c:pt idx="215">
                  <c:v>3.5</c:v>
                </c:pt>
                <c:pt idx="216">
                  <c:v>3.5</c:v>
                </c:pt>
                <c:pt idx="217">
                  <c:v>3.5</c:v>
                </c:pt>
                <c:pt idx="218">
                  <c:v>3.5</c:v>
                </c:pt>
                <c:pt idx="219">
                  <c:v>3.5</c:v>
                </c:pt>
                <c:pt idx="220">
                  <c:v>3.5</c:v>
                </c:pt>
                <c:pt idx="221">
                  <c:v>3.5</c:v>
                </c:pt>
                <c:pt idx="222">
                  <c:v>3.5</c:v>
                </c:pt>
                <c:pt idx="223">
                  <c:v>3.5</c:v>
                </c:pt>
                <c:pt idx="224">
                  <c:v>3.5</c:v>
                </c:pt>
                <c:pt idx="225">
                  <c:v>3.5</c:v>
                </c:pt>
                <c:pt idx="226">
                  <c:v>3.5</c:v>
                </c:pt>
                <c:pt idx="227">
                  <c:v>3.5</c:v>
                </c:pt>
                <c:pt idx="228">
                  <c:v>3.5</c:v>
                </c:pt>
                <c:pt idx="229">
                  <c:v>3.5</c:v>
                </c:pt>
                <c:pt idx="230">
                  <c:v>3.5</c:v>
                </c:pt>
                <c:pt idx="231">
                  <c:v>3.5</c:v>
                </c:pt>
                <c:pt idx="232">
                  <c:v>3.5</c:v>
                </c:pt>
                <c:pt idx="233">
                  <c:v>3.5</c:v>
                </c:pt>
                <c:pt idx="234">
                  <c:v>3.5</c:v>
                </c:pt>
                <c:pt idx="235">
                  <c:v>3.5</c:v>
                </c:pt>
                <c:pt idx="236">
                  <c:v>3.5</c:v>
                </c:pt>
                <c:pt idx="237">
                  <c:v>3.5</c:v>
                </c:pt>
                <c:pt idx="238">
                  <c:v>3.5</c:v>
                </c:pt>
                <c:pt idx="239">
                  <c:v>3.5</c:v>
                </c:pt>
                <c:pt idx="240">
                  <c:v>3.5</c:v>
                </c:pt>
                <c:pt idx="241">
                  <c:v>3.5</c:v>
                </c:pt>
                <c:pt idx="242">
                  <c:v>3.5</c:v>
                </c:pt>
                <c:pt idx="243">
                  <c:v>3.5</c:v>
                </c:pt>
                <c:pt idx="244">
                  <c:v>3.5</c:v>
                </c:pt>
                <c:pt idx="245">
                  <c:v>3.5</c:v>
                </c:pt>
                <c:pt idx="246">
                  <c:v>3.5</c:v>
                </c:pt>
                <c:pt idx="247">
                  <c:v>3.5</c:v>
                </c:pt>
                <c:pt idx="248">
                  <c:v>3.5</c:v>
                </c:pt>
                <c:pt idx="249">
                  <c:v>3.5</c:v>
                </c:pt>
                <c:pt idx="250">
                  <c:v>3.5</c:v>
                </c:pt>
                <c:pt idx="251">
                  <c:v>3.5</c:v>
                </c:pt>
                <c:pt idx="252">
                  <c:v>3.5</c:v>
                </c:pt>
                <c:pt idx="253">
                  <c:v>3.5</c:v>
                </c:pt>
                <c:pt idx="254">
                  <c:v>3.5</c:v>
                </c:pt>
                <c:pt idx="255">
                  <c:v>3.5</c:v>
                </c:pt>
                <c:pt idx="256">
                  <c:v>3.5</c:v>
                </c:pt>
                <c:pt idx="257">
                  <c:v>3.5</c:v>
                </c:pt>
                <c:pt idx="258">
                  <c:v>3.5</c:v>
                </c:pt>
                <c:pt idx="259">
                  <c:v>3.5</c:v>
                </c:pt>
                <c:pt idx="260">
                  <c:v>3.5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3.5</c:v>
                </c:pt>
                <c:pt idx="267">
                  <c:v>3.5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3.5</c:v>
                </c:pt>
                <c:pt idx="275">
                  <c:v>3.5</c:v>
                </c:pt>
                <c:pt idx="276">
                  <c:v>3.5</c:v>
                </c:pt>
                <c:pt idx="277">
                  <c:v>4.5</c:v>
                </c:pt>
                <c:pt idx="278">
                  <c:v>4.5</c:v>
                </c:pt>
                <c:pt idx="279">
                  <c:v>4.5</c:v>
                </c:pt>
                <c:pt idx="280">
                  <c:v>4.5</c:v>
                </c:pt>
                <c:pt idx="281">
                  <c:v>4.5</c:v>
                </c:pt>
                <c:pt idx="282">
                  <c:v>4.5</c:v>
                </c:pt>
                <c:pt idx="283">
                  <c:v>4.5</c:v>
                </c:pt>
                <c:pt idx="284">
                  <c:v>4.5</c:v>
                </c:pt>
                <c:pt idx="285">
                  <c:v>4.5</c:v>
                </c:pt>
                <c:pt idx="286">
                  <c:v>4.5</c:v>
                </c:pt>
                <c:pt idx="287">
                  <c:v>4.5</c:v>
                </c:pt>
                <c:pt idx="288">
                  <c:v>4.5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</c:v>
                </c:pt>
                <c:pt idx="293">
                  <c:v>4.5</c:v>
                </c:pt>
                <c:pt idx="294">
                  <c:v>4.5</c:v>
                </c:pt>
                <c:pt idx="295">
                  <c:v>4.5</c:v>
                </c:pt>
                <c:pt idx="296">
                  <c:v>4.5</c:v>
                </c:pt>
                <c:pt idx="297">
                  <c:v>4.5</c:v>
                </c:pt>
                <c:pt idx="298">
                  <c:v>4.5</c:v>
                </c:pt>
                <c:pt idx="299">
                  <c:v>4.5</c:v>
                </c:pt>
                <c:pt idx="300">
                  <c:v>4.5</c:v>
                </c:pt>
                <c:pt idx="301">
                  <c:v>4.5</c:v>
                </c:pt>
                <c:pt idx="302">
                  <c:v>4.5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4.5</c:v>
                </c:pt>
                <c:pt idx="313">
                  <c:v>4.5</c:v>
                </c:pt>
                <c:pt idx="314">
                  <c:v>4.5</c:v>
                </c:pt>
                <c:pt idx="315">
                  <c:v>4.5</c:v>
                </c:pt>
                <c:pt idx="316">
                  <c:v>4.5</c:v>
                </c:pt>
                <c:pt idx="317">
                  <c:v>4.5</c:v>
                </c:pt>
                <c:pt idx="318">
                  <c:v>4.5</c:v>
                </c:pt>
                <c:pt idx="319">
                  <c:v>4.5</c:v>
                </c:pt>
                <c:pt idx="320">
                  <c:v>4.5</c:v>
                </c:pt>
                <c:pt idx="321">
                  <c:v>4.5</c:v>
                </c:pt>
                <c:pt idx="322">
                  <c:v>4.5</c:v>
                </c:pt>
                <c:pt idx="323">
                  <c:v>4.5</c:v>
                </c:pt>
                <c:pt idx="324">
                  <c:v>4.5</c:v>
                </c:pt>
                <c:pt idx="325">
                  <c:v>4.5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4.5</c:v>
                </c:pt>
                <c:pt idx="330">
                  <c:v>4.5</c:v>
                </c:pt>
                <c:pt idx="331">
                  <c:v>4.5</c:v>
                </c:pt>
                <c:pt idx="332">
                  <c:v>4.5</c:v>
                </c:pt>
                <c:pt idx="333">
                  <c:v>4.5</c:v>
                </c:pt>
                <c:pt idx="334">
                  <c:v>4.5</c:v>
                </c:pt>
                <c:pt idx="335">
                  <c:v>4.5</c:v>
                </c:pt>
                <c:pt idx="336">
                  <c:v>4.5</c:v>
                </c:pt>
                <c:pt idx="337">
                  <c:v>4.5</c:v>
                </c:pt>
                <c:pt idx="338">
                  <c:v>4.5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</c:v>
                </c:pt>
                <c:pt idx="370">
                  <c:v>4.5</c:v>
                </c:pt>
                <c:pt idx="371">
                  <c:v>4.5</c:v>
                </c:pt>
                <c:pt idx="372">
                  <c:v>4.5</c:v>
                </c:pt>
                <c:pt idx="373">
                  <c:v>4.5</c:v>
                </c:pt>
                <c:pt idx="374">
                  <c:v>4.5</c:v>
                </c:pt>
                <c:pt idx="375">
                  <c:v>4.5</c:v>
                </c:pt>
                <c:pt idx="376">
                  <c:v>4.5</c:v>
                </c:pt>
                <c:pt idx="377">
                  <c:v>4.5</c:v>
                </c:pt>
                <c:pt idx="378">
                  <c:v>4.5</c:v>
                </c:pt>
                <c:pt idx="379">
                  <c:v>4.5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4.5</c:v>
                </c:pt>
                <c:pt idx="384">
                  <c:v>4.5</c:v>
                </c:pt>
                <c:pt idx="385">
                  <c:v>4.5</c:v>
                </c:pt>
                <c:pt idx="386">
                  <c:v>4.5</c:v>
                </c:pt>
                <c:pt idx="387">
                  <c:v>4.5</c:v>
                </c:pt>
                <c:pt idx="388">
                  <c:v>4.5</c:v>
                </c:pt>
                <c:pt idx="389">
                  <c:v>4.5</c:v>
                </c:pt>
                <c:pt idx="390">
                  <c:v>4.5</c:v>
                </c:pt>
                <c:pt idx="391">
                  <c:v>4.5</c:v>
                </c:pt>
                <c:pt idx="392">
                  <c:v>4.5</c:v>
                </c:pt>
                <c:pt idx="393">
                  <c:v>4.5</c:v>
                </c:pt>
                <c:pt idx="394">
                  <c:v>4.5</c:v>
                </c:pt>
                <c:pt idx="395">
                  <c:v>4.5</c:v>
                </c:pt>
                <c:pt idx="396">
                  <c:v>4.5</c:v>
                </c:pt>
                <c:pt idx="397">
                  <c:v>4.5</c:v>
                </c:pt>
                <c:pt idx="398">
                  <c:v>4.5</c:v>
                </c:pt>
                <c:pt idx="399">
                  <c:v>4.5</c:v>
                </c:pt>
                <c:pt idx="400">
                  <c:v>4.5</c:v>
                </c:pt>
                <c:pt idx="401">
                  <c:v>4.5</c:v>
                </c:pt>
                <c:pt idx="402">
                  <c:v>4.5</c:v>
                </c:pt>
                <c:pt idx="403">
                  <c:v>4.5</c:v>
                </c:pt>
                <c:pt idx="404">
                  <c:v>4.5</c:v>
                </c:pt>
                <c:pt idx="405">
                  <c:v>4.5</c:v>
                </c:pt>
                <c:pt idx="406">
                  <c:v>4.5</c:v>
                </c:pt>
                <c:pt idx="407">
                  <c:v>4.5</c:v>
                </c:pt>
                <c:pt idx="408">
                  <c:v>4.5</c:v>
                </c:pt>
                <c:pt idx="409">
                  <c:v>4.5</c:v>
                </c:pt>
                <c:pt idx="410">
                  <c:v>4.5</c:v>
                </c:pt>
                <c:pt idx="411">
                  <c:v>4.5</c:v>
                </c:pt>
                <c:pt idx="412">
                  <c:v>4.5</c:v>
                </c:pt>
                <c:pt idx="413">
                  <c:v>4.5</c:v>
                </c:pt>
                <c:pt idx="414">
                  <c:v>4.5</c:v>
                </c:pt>
                <c:pt idx="415">
                  <c:v>4.5</c:v>
                </c:pt>
                <c:pt idx="416">
                  <c:v>4.5</c:v>
                </c:pt>
                <c:pt idx="417">
                  <c:v>4.5</c:v>
                </c:pt>
                <c:pt idx="418">
                  <c:v>4.5</c:v>
                </c:pt>
                <c:pt idx="419">
                  <c:v>4.5</c:v>
                </c:pt>
                <c:pt idx="420">
                  <c:v>4.5</c:v>
                </c:pt>
                <c:pt idx="421">
                  <c:v>4.5</c:v>
                </c:pt>
                <c:pt idx="422">
                  <c:v>4.5</c:v>
                </c:pt>
                <c:pt idx="423">
                  <c:v>4.5</c:v>
                </c:pt>
                <c:pt idx="424">
                  <c:v>4.5</c:v>
                </c:pt>
                <c:pt idx="425">
                  <c:v>4.5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B-455C-90E0-7E6855238ACD}"/>
            </c:ext>
          </c:extLst>
        </c:ser>
        <c:ser>
          <c:idx val="1"/>
          <c:order val="1"/>
          <c:tx>
            <c:strRef>
              <c:f>'Tabelle Pivot'!$S$3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Pivot'!$S$4:$S$439</c:f>
              <c:numCache>
                <c:formatCode>General</c:formatCode>
                <c:ptCount val="435"/>
                <c:pt idx="0">
                  <c:v>4.6500000000000004</c:v>
                </c:pt>
                <c:pt idx="1">
                  <c:v>4.6500000000000004</c:v>
                </c:pt>
                <c:pt idx="2">
                  <c:v>4.6500000000000004</c:v>
                </c:pt>
                <c:pt idx="3">
                  <c:v>4.6500000000000004</c:v>
                </c:pt>
                <c:pt idx="4">
                  <c:v>4.6500000000000004</c:v>
                </c:pt>
                <c:pt idx="5">
                  <c:v>4.6500000000000004</c:v>
                </c:pt>
                <c:pt idx="6">
                  <c:v>4.6500000000000004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4.6500000000000004</c:v>
                </c:pt>
                <c:pt idx="10">
                  <c:v>4.6500000000000004</c:v>
                </c:pt>
                <c:pt idx="11">
                  <c:v>4.6500000000000004</c:v>
                </c:pt>
                <c:pt idx="12">
                  <c:v>4.6500000000000004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4.6500000000000004</c:v>
                </c:pt>
                <c:pt idx="16">
                  <c:v>3.65</c:v>
                </c:pt>
                <c:pt idx="17">
                  <c:v>3.65</c:v>
                </c:pt>
                <c:pt idx="18">
                  <c:v>3.65</c:v>
                </c:pt>
                <c:pt idx="19">
                  <c:v>3.65</c:v>
                </c:pt>
                <c:pt idx="20">
                  <c:v>3.65</c:v>
                </c:pt>
                <c:pt idx="21">
                  <c:v>3.65</c:v>
                </c:pt>
                <c:pt idx="22">
                  <c:v>3.65</c:v>
                </c:pt>
                <c:pt idx="23">
                  <c:v>3.65</c:v>
                </c:pt>
                <c:pt idx="24">
                  <c:v>3.65</c:v>
                </c:pt>
                <c:pt idx="25">
                  <c:v>3.65</c:v>
                </c:pt>
                <c:pt idx="26">
                  <c:v>3.65</c:v>
                </c:pt>
                <c:pt idx="27">
                  <c:v>3.65</c:v>
                </c:pt>
                <c:pt idx="28">
                  <c:v>3.65</c:v>
                </c:pt>
                <c:pt idx="29">
                  <c:v>3.65</c:v>
                </c:pt>
                <c:pt idx="30">
                  <c:v>3.65</c:v>
                </c:pt>
                <c:pt idx="31">
                  <c:v>3.65</c:v>
                </c:pt>
                <c:pt idx="32">
                  <c:v>3.65</c:v>
                </c:pt>
                <c:pt idx="33">
                  <c:v>3.65</c:v>
                </c:pt>
                <c:pt idx="34">
                  <c:v>3.65</c:v>
                </c:pt>
                <c:pt idx="35">
                  <c:v>3.65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3.65</c:v>
                </c:pt>
                <c:pt idx="40">
                  <c:v>3.65</c:v>
                </c:pt>
                <c:pt idx="41">
                  <c:v>3.65</c:v>
                </c:pt>
                <c:pt idx="42">
                  <c:v>3.65</c:v>
                </c:pt>
                <c:pt idx="43">
                  <c:v>3.65</c:v>
                </c:pt>
                <c:pt idx="44">
                  <c:v>3.65</c:v>
                </c:pt>
                <c:pt idx="45">
                  <c:v>3.65</c:v>
                </c:pt>
                <c:pt idx="46">
                  <c:v>3.65</c:v>
                </c:pt>
                <c:pt idx="47">
                  <c:v>3.65</c:v>
                </c:pt>
                <c:pt idx="48">
                  <c:v>3.65</c:v>
                </c:pt>
                <c:pt idx="49">
                  <c:v>3.65</c:v>
                </c:pt>
                <c:pt idx="50">
                  <c:v>3.65</c:v>
                </c:pt>
                <c:pt idx="51">
                  <c:v>3.65</c:v>
                </c:pt>
                <c:pt idx="52">
                  <c:v>3.65</c:v>
                </c:pt>
                <c:pt idx="53">
                  <c:v>3.65</c:v>
                </c:pt>
                <c:pt idx="54">
                  <c:v>3.65</c:v>
                </c:pt>
                <c:pt idx="55">
                  <c:v>3.65</c:v>
                </c:pt>
                <c:pt idx="56">
                  <c:v>3.65</c:v>
                </c:pt>
                <c:pt idx="57">
                  <c:v>3.65</c:v>
                </c:pt>
                <c:pt idx="58">
                  <c:v>3.65</c:v>
                </c:pt>
                <c:pt idx="59">
                  <c:v>3.65</c:v>
                </c:pt>
                <c:pt idx="60">
                  <c:v>3.65</c:v>
                </c:pt>
                <c:pt idx="61">
                  <c:v>3.65</c:v>
                </c:pt>
                <c:pt idx="62">
                  <c:v>3.65</c:v>
                </c:pt>
                <c:pt idx="63">
                  <c:v>3.65</c:v>
                </c:pt>
                <c:pt idx="64">
                  <c:v>3.65</c:v>
                </c:pt>
                <c:pt idx="65">
                  <c:v>3.65</c:v>
                </c:pt>
                <c:pt idx="66">
                  <c:v>3.65</c:v>
                </c:pt>
                <c:pt idx="67">
                  <c:v>3.65</c:v>
                </c:pt>
                <c:pt idx="68">
                  <c:v>3.65</c:v>
                </c:pt>
                <c:pt idx="69">
                  <c:v>3.65</c:v>
                </c:pt>
                <c:pt idx="70">
                  <c:v>3.65</c:v>
                </c:pt>
                <c:pt idx="71">
                  <c:v>3.65</c:v>
                </c:pt>
                <c:pt idx="72">
                  <c:v>3.65</c:v>
                </c:pt>
                <c:pt idx="73">
                  <c:v>3.65</c:v>
                </c:pt>
                <c:pt idx="74">
                  <c:v>3.65</c:v>
                </c:pt>
                <c:pt idx="75">
                  <c:v>3.65</c:v>
                </c:pt>
                <c:pt idx="76">
                  <c:v>3.65</c:v>
                </c:pt>
                <c:pt idx="77">
                  <c:v>3.65</c:v>
                </c:pt>
                <c:pt idx="78">
                  <c:v>3.65</c:v>
                </c:pt>
                <c:pt idx="79">
                  <c:v>3.65</c:v>
                </c:pt>
                <c:pt idx="80">
                  <c:v>3.65</c:v>
                </c:pt>
                <c:pt idx="81">
                  <c:v>3.65</c:v>
                </c:pt>
                <c:pt idx="82">
                  <c:v>3.65</c:v>
                </c:pt>
                <c:pt idx="83">
                  <c:v>3.65</c:v>
                </c:pt>
                <c:pt idx="84">
                  <c:v>3.65</c:v>
                </c:pt>
                <c:pt idx="85">
                  <c:v>3.65</c:v>
                </c:pt>
                <c:pt idx="86">
                  <c:v>3.65</c:v>
                </c:pt>
                <c:pt idx="87">
                  <c:v>3.65</c:v>
                </c:pt>
                <c:pt idx="88">
                  <c:v>3.65</c:v>
                </c:pt>
                <c:pt idx="89">
                  <c:v>3.65</c:v>
                </c:pt>
                <c:pt idx="90">
                  <c:v>3.65</c:v>
                </c:pt>
                <c:pt idx="91">
                  <c:v>3.65</c:v>
                </c:pt>
                <c:pt idx="92">
                  <c:v>3.65</c:v>
                </c:pt>
                <c:pt idx="93">
                  <c:v>3.65</c:v>
                </c:pt>
                <c:pt idx="94">
                  <c:v>3.65</c:v>
                </c:pt>
                <c:pt idx="95">
                  <c:v>3.65</c:v>
                </c:pt>
                <c:pt idx="96">
                  <c:v>3.65</c:v>
                </c:pt>
                <c:pt idx="97">
                  <c:v>3.65</c:v>
                </c:pt>
                <c:pt idx="98">
                  <c:v>3.65</c:v>
                </c:pt>
                <c:pt idx="99">
                  <c:v>3.65</c:v>
                </c:pt>
                <c:pt idx="100">
                  <c:v>3.65</c:v>
                </c:pt>
                <c:pt idx="101">
                  <c:v>3.65</c:v>
                </c:pt>
                <c:pt idx="102">
                  <c:v>3.65</c:v>
                </c:pt>
                <c:pt idx="103">
                  <c:v>3.65</c:v>
                </c:pt>
                <c:pt idx="104">
                  <c:v>3.65</c:v>
                </c:pt>
                <c:pt idx="105">
                  <c:v>3.65</c:v>
                </c:pt>
                <c:pt idx="106">
                  <c:v>3.65</c:v>
                </c:pt>
                <c:pt idx="107">
                  <c:v>3.65</c:v>
                </c:pt>
                <c:pt idx="108">
                  <c:v>3.65</c:v>
                </c:pt>
                <c:pt idx="109">
                  <c:v>3.65</c:v>
                </c:pt>
                <c:pt idx="110">
                  <c:v>3.65</c:v>
                </c:pt>
                <c:pt idx="111">
                  <c:v>3.65</c:v>
                </c:pt>
                <c:pt idx="112">
                  <c:v>3.65</c:v>
                </c:pt>
                <c:pt idx="113">
                  <c:v>3.65</c:v>
                </c:pt>
                <c:pt idx="114">
                  <c:v>3.65</c:v>
                </c:pt>
                <c:pt idx="115">
                  <c:v>3.65</c:v>
                </c:pt>
                <c:pt idx="116">
                  <c:v>3.65</c:v>
                </c:pt>
                <c:pt idx="117">
                  <c:v>3.65</c:v>
                </c:pt>
                <c:pt idx="118">
                  <c:v>3.65</c:v>
                </c:pt>
                <c:pt idx="119">
                  <c:v>3.65</c:v>
                </c:pt>
                <c:pt idx="120">
                  <c:v>3.65</c:v>
                </c:pt>
                <c:pt idx="121">
                  <c:v>3.65</c:v>
                </c:pt>
                <c:pt idx="122">
                  <c:v>3.65</c:v>
                </c:pt>
                <c:pt idx="123">
                  <c:v>3.65</c:v>
                </c:pt>
                <c:pt idx="124">
                  <c:v>3.65</c:v>
                </c:pt>
                <c:pt idx="125">
                  <c:v>3.65</c:v>
                </c:pt>
                <c:pt idx="126">
                  <c:v>3.65</c:v>
                </c:pt>
                <c:pt idx="127">
                  <c:v>3.65</c:v>
                </c:pt>
                <c:pt idx="128">
                  <c:v>3.65</c:v>
                </c:pt>
                <c:pt idx="129">
                  <c:v>3.65</c:v>
                </c:pt>
                <c:pt idx="130">
                  <c:v>3.65</c:v>
                </c:pt>
                <c:pt idx="131">
                  <c:v>3.65</c:v>
                </c:pt>
                <c:pt idx="132">
                  <c:v>3.65</c:v>
                </c:pt>
                <c:pt idx="133">
                  <c:v>3.65</c:v>
                </c:pt>
                <c:pt idx="134">
                  <c:v>3.65</c:v>
                </c:pt>
                <c:pt idx="135">
                  <c:v>3.65</c:v>
                </c:pt>
                <c:pt idx="136">
                  <c:v>3.65</c:v>
                </c:pt>
                <c:pt idx="137">
                  <c:v>3.65</c:v>
                </c:pt>
                <c:pt idx="138">
                  <c:v>3.65</c:v>
                </c:pt>
                <c:pt idx="139">
                  <c:v>3.65</c:v>
                </c:pt>
                <c:pt idx="140">
                  <c:v>3.65</c:v>
                </c:pt>
                <c:pt idx="141">
                  <c:v>3.65</c:v>
                </c:pt>
                <c:pt idx="142">
                  <c:v>3.65</c:v>
                </c:pt>
                <c:pt idx="143">
                  <c:v>3.65</c:v>
                </c:pt>
                <c:pt idx="144">
                  <c:v>3.65</c:v>
                </c:pt>
                <c:pt idx="145">
                  <c:v>3.65</c:v>
                </c:pt>
                <c:pt idx="146">
                  <c:v>3.65</c:v>
                </c:pt>
                <c:pt idx="147">
                  <c:v>3.65</c:v>
                </c:pt>
                <c:pt idx="148">
                  <c:v>3.65</c:v>
                </c:pt>
                <c:pt idx="149">
                  <c:v>3.65</c:v>
                </c:pt>
                <c:pt idx="150">
                  <c:v>3.65</c:v>
                </c:pt>
                <c:pt idx="151">
                  <c:v>3.65</c:v>
                </c:pt>
                <c:pt idx="152">
                  <c:v>3.65</c:v>
                </c:pt>
                <c:pt idx="153">
                  <c:v>3.65</c:v>
                </c:pt>
                <c:pt idx="154">
                  <c:v>3.65</c:v>
                </c:pt>
                <c:pt idx="155">
                  <c:v>3.65</c:v>
                </c:pt>
                <c:pt idx="156">
                  <c:v>3.65</c:v>
                </c:pt>
                <c:pt idx="157">
                  <c:v>3.65</c:v>
                </c:pt>
                <c:pt idx="158">
                  <c:v>3.65</c:v>
                </c:pt>
                <c:pt idx="159">
                  <c:v>3.65</c:v>
                </c:pt>
                <c:pt idx="160">
                  <c:v>3.65</c:v>
                </c:pt>
                <c:pt idx="161">
                  <c:v>3.65</c:v>
                </c:pt>
                <c:pt idx="162">
                  <c:v>3.65</c:v>
                </c:pt>
                <c:pt idx="163">
                  <c:v>3.65</c:v>
                </c:pt>
                <c:pt idx="164">
                  <c:v>3.65</c:v>
                </c:pt>
                <c:pt idx="165">
                  <c:v>3.65</c:v>
                </c:pt>
                <c:pt idx="166">
                  <c:v>3.65</c:v>
                </c:pt>
                <c:pt idx="167">
                  <c:v>3.65</c:v>
                </c:pt>
                <c:pt idx="168">
                  <c:v>3.65</c:v>
                </c:pt>
                <c:pt idx="169">
                  <c:v>3.65</c:v>
                </c:pt>
                <c:pt idx="170">
                  <c:v>3.65</c:v>
                </c:pt>
                <c:pt idx="171">
                  <c:v>3.65</c:v>
                </c:pt>
                <c:pt idx="172">
                  <c:v>3.65</c:v>
                </c:pt>
                <c:pt idx="173">
                  <c:v>3.65</c:v>
                </c:pt>
                <c:pt idx="174">
                  <c:v>3.65</c:v>
                </c:pt>
                <c:pt idx="175">
                  <c:v>3.65</c:v>
                </c:pt>
                <c:pt idx="176">
                  <c:v>3.65</c:v>
                </c:pt>
                <c:pt idx="177">
                  <c:v>3.65</c:v>
                </c:pt>
                <c:pt idx="178">
                  <c:v>3.65</c:v>
                </c:pt>
                <c:pt idx="179">
                  <c:v>3.65</c:v>
                </c:pt>
                <c:pt idx="180">
                  <c:v>3.65</c:v>
                </c:pt>
                <c:pt idx="181">
                  <c:v>3.65</c:v>
                </c:pt>
                <c:pt idx="182">
                  <c:v>3.65</c:v>
                </c:pt>
                <c:pt idx="183">
                  <c:v>3.65</c:v>
                </c:pt>
                <c:pt idx="184">
                  <c:v>3.65</c:v>
                </c:pt>
                <c:pt idx="185">
                  <c:v>3.65</c:v>
                </c:pt>
                <c:pt idx="186">
                  <c:v>3.65</c:v>
                </c:pt>
                <c:pt idx="187">
                  <c:v>3.65</c:v>
                </c:pt>
                <c:pt idx="188">
                  <c:v>3.65</c:v>
                </c:pt>
                <c:pt idx="189">
                  <c:v>3.65</c:v>
                </c:pt>
                <c:pt idx="190">
                  <c:v>3.65</c:v>
                </c:pt>
                <c:pt idx="191">
                  <c:v>3.65</c:v>
                </c:pt>
                <c:pt idx="192">
                  <c:v>3.65</c:v>
                </c:pt>
                <c:pt idx="193">
                  <c:v>3.65</c:v>
                </c:pt>
                <c:pt idx="194">
                  <c:v>3.65</c:v>
                </c:pt>
                <c:pt idx="195">
                  <c:v>3.65</c:v>
                </c:pt>
                <c:pt idx="196">
                  <c:v>3.65</c:v>
                </c:pt>
                <c:pt idx="197">
                  <c:v>3.65</c:v>
                </c:pt>
                <c:pt idx="198">
                  <c:v>3.65</c:v>
                </c:pt>
                <c:pt idx="199">
                  <c:v>3.65</c:v>
                </c:pt>
                <c:pt idx="200">
                  <c:v>3.65</c:v>
                </c:pt>
                <c:pt idx="201">
                  <c:v>3.65</c:v>
                </c:pt>
                <c:pt idx="202">
                  <c:v>3.65</c:v>
                </c:pt>
                <c:pt idx="203">
                  <c:v>3.65</c:v>
                </c:pt>
                <c:pt idx="204">
                  <c:v>3.65</c:v>
                </c:pt>
                <c:pt idx="205">
                  <c:v>3.65</c:v>
                </c:pt>
                <c:pt idx="206">
                  <c:v>3.65</c:v>
                </c:pt>
                <c:pt idx="207">
                  <c:v>3.65</c:v>
                </c:pt>
                <c:pt idx="208">
                  <c:v>3.65</c:v>
                </c:pt>
                <c:pt idx="209">
                  <c:v>3.65</c:v>
                </c:pt>
                <c:pt idx="210">
                  <c:v>3.65</c:v>
                </c:pt>
                <c:pt idx="211">
                  <c:v>3.65</c:v>
                </c:pt>
                <c:pt idx="212">
                  <c:v>3.65</c:v>
                </c:pt>
                <c:pt idx="213">
                  <c:v>3.65</c:v>
                </c:pt>
                <c:pt idx="214">
                  <c:v>3.65</c:v>
                </c:pt>
                <c:pt idx="215">
                  <c:v>3.65</c:v>
                </c:pt>
                <c:pt idx="216">
                  <c:v>3.65</c:v>
                </c:pt>
                <c:pt idx="217">
                  <c:v>3.65</c:v>
                </c:pt>
                <c:pt idx="218">
                  <c:v>3.65</c:v>
                </c:pt>
                <c:pt idx="219">
                  <c:v>3.65</c:v>
                </c:pt>
                <c:pt idx="220">
                  <c:v>3.65</c:v>
                </c:pt>
                <c:pt idx="221">
                  <c:v>3.65</c:v>
                </c:pt>
                <c:pt idx="222">
                  <c:v>3.65</c:v>
                </c:pt>
                <c:pt idx="223">
                  <c:v>3.65</c:v>
                </c:pt>
                <c:pt idx="224">
                  <c:v>3.65</c:v>
                </c:pt>
                <c:pt idx="225">
                  <c:v>3.65</c:v>
                </c:pt>
                <c:pt idx="226">
                  <c:v>3.65</c:v>
                </c:pt>
                <c:pt idx="227">
                  <c:v>3.65</c:v>
                </c:pt>
                <c:pt idx="228">
                  <c:v>3.65</c:v>
                </c:pt>
                <c:pt idx="229">
                  <c:v>3.65</c:v>
                </c:pt>
                <c:pt idx="230">
                  <c:v>3.65</c:v>
                </c:pt>
                <c:pt idx="231">
                  <c:v>3.65</c:v>
                </c:pt>
                <c:pt idx="232">
                  <c:v>3.65</c:v>
                </c:pt>
                <c:pt idx="233">
                  <c:v>3.65</c:v>
                </c:pt>
                <c:pt idx="234">
                  <c:v>3.65</c:v>
                </c:pt>
                <c:pt idx="235">
                  <c:v>3.65</c:v>
                </c:pt>
                <c:pt idx="236">
                  <c:v>3.65</c:v>
                </c:pt>
                <c:pt idx="237">
                  <c:v>3.65</c:v>
                </c:pt>
                <c:pt idx="238">
                  <c:v>3.65</c:v>
                </c:pt>
                <c:pt idx="239">
                  <c:v>3.65</c:v>
                </c:pt>
                <c:pt idx="240">
                  <c:v>3.65</c:v>
                </c:pt>
                <c:pt idx="241">
                  <c:v>3.65</c:v>
                </c:pt>
                <c:pt idx="242">
                  <c:v>3.65</c:v>
                </c:pt>
                <c:pt idx="243">
                  <c:v>3.65</c:v>
                </c:pt>
                <c:pt idx="244">
                  <c:v>3.65</c:v>
                </c:pt>
                <c:pt idx="245">
                  <c:v>3.65</c:v>
                </c:pt>
                <c:pt idx="246">
                  <c:v>3.65</c:v>
                </c:pt>
                <c:pt idx="247">
                  <c:v>3.65</c:v>
                </c:pt>
                <c:pt idx="248">
                  <c:v>3.65</c:v>
                </c:pt>
                <c:pt idx="249">
                  <c:v>3.65</c:v>
                </c:pt>
                <c:pt idx="250">
                  <c:v>3.65</c:v>
                </c:pt>
                <c:pt idx="251">
                  <c:v>3.65</c:v>
                </c:pt>
                <c:pt idx="252">
                  <c:v>3.65</c:v>
                </c:pt>
                <c:pt idx="253">
                  <c:v>3.65</c:v>
                </c:pt>
                <c:pt idx="254">
                  <c:v>3.65</c:v>
                </c:pt>
                <c:pt idx="255">
                  <c:v>3.65</c:v>
                </c:pt>
                <c:pt idx="256">
                  <c:v>3.65</c:v>
                </c:pt>
                <c:pt idx="257">
                  <c:v>3.65</c:v>
                </c:pt>
                <c:pt idx="258">
                  <c:v>3.65</c:v>
                </c:pt>
                <c:pt idx="259">
                  <c:v>3.65</c:v>
                </c:pt>
                <c:pt idx="260">
                  <c:v>3.65</c:v>
                </c:pt>
                <c:pt idx="261">
                  <c:v>3.65</c:v>
                </c:pt>
                <c:pt idx="262">
                  <c:v>3.65</c:v>
                </c:pt>
                <c:pt idx="263">
                  <c:v>3.65</c:v>
                </c:pt>
                <c:pt idx="264">
                  <c:v>3.65</c:v>
                </c:pt>
                <c:pt idx="265">
                  <c:v>3.65</c:v>
                </c:pt>
                <c:pt idx="266">
                  <c:v>3.65</c:v>
                </c:pt>
                <c:pt idx="267">
                  <c:v>3.65</c:v>
                </c:pt>
                <c:pt idx="268">
                  <c:v>3.65</c:v>
                </c:pt>
                <c:pt idx="269">
                  <c:v>3.65</c:v>
                </c:pt>
                <c:pt idx="270">
                  <c:v>3.65</c:v>
                </c:pt>
                <c:pt idx="271">
                  <c:v>3.65</c:v>
                </c:pt>
                <c:pt idx="272">
                  <c:v>3.65</c:v>
                </c:pt>
                <c:pt idx="273">
                  <c:v>3.65</c:v>
                </c:pt>
                <c:pt idx="274">
                  <c:v>3.65</c:v>
                </c:pt>
                <c:pt idx="275">
                  <c:v>3.65</c:v>
                </c:pt>
                <c:pt idx="276">
                  <c:v>3.65</c:v>
                </c:pt>
                <c:pt idx="277">
                  <c:v>4.6500000000000004</c:v>
                </c:pt>
                <c:pt idx="278">
                  <c:v>4.6500000000000004</c:v>
                </c:pt>
                <c:pt idx="279">
                  <c:v>4.6500000000000004</c:v>
                </c:pt>
                <c:pt idx="280">
                  <c:v>4.6500000000000004</c:v>
                </c:pt>
                <c:pt idx="281">
                  <c:v>4.6500000000000004</c:v>
                </c:pt>
                <c:pt idx="282">
                  <c:v>4.6500000000000004</c:v>
                </c:pt>
                <c:pt idx="283">
                  <c:v>4.6500000000000004</c:v>
                </c:pt>
                <c:pt idx="284">
                  <c:v>4.6500000000000004</c:v>
                </c:pt>
                <c:pt idx="285">
                  <c:v>4.6500000000000004</c:v>
                </c:pt>
                <c:pt idx="286">
                  <c:v>4.6500000000000004</c:v>
                </c:pt>
                <c:pt idx="287">
                  <c:v>4.6500000000000004</c:v>
                </c:pt>
                <c:pt idx="288">
                  <c:v>4.6500000000000004</c:v>
                </c:pt>
                <c:pt idx="289">
                  <c:v>4.6500000000000004</c:v>
                </c:pt>
                <c:pt idx="290">
                  <c:v>4.6500000000000004</c:v>
                </c:pt>
                <c:pt idx="291">
                  <c:v>4.6500000000000004</c:v>
                </c:pt>
                <c:pt idx="292">
                  <c:v>4.6500000000000004</c:v>
                </c:pt>
                <c:pt idx="293">
                  <c:v>4.6500000000000004</c:v>
                </c:pt>
                <c:pt idx="294">
                  <c:v>4.6500000000000004</c:v>
                </c:pt>
                <c:pt idx="295">
                  <c:v>4.6500000000000004</c:v>
                </c:pt>
                <c:pt idx="296">
                  <c:v>4.6500000000000004</c:v>
                </c:pt>
                <c:pt idx="297">
                  <c:v>4.6500000000000004</c:v>
                </c:pt>
                <c:pt idx="298">
                  <c:v>4.6500000000000004</c:v>
                </c:pt>
                <c:pt idx="299">
                  <c:v>4.6500000000000004</c:v>
                </c:pt>
                <c:pt idx="300">
                  <c:v>4.6500000000000004</c:v>
                </c:pt>
                <c:pt idx="301">
                  <c:v>4.6500000000000004</c:v>
                </c:pt>
                <c:pt idx="302">
                  <c:v>4.6500000000000004</c:v>
                </c:pt>
                <c:pt idx="303">
                  <c:v>4.6500000000000004</c:v>
                </c:pt>
                <c:pt idx="304">
                  <c:v>4.6500000000000004</c:v>
                </c:pt>
                <c:pt idx="305">
                  <c:v>4.6500000000000004</c:v>
                </c:pt>
                <c:pt idx="306">
                  <c:v>4.6500000000000004</c:v>
                </c:pt>
                <c:pt idx="307">
                  <c:v>4.6500000000000004</c:v>
                </c:pt>
                <c:pt idx="308">
                  <c:v>4.6500000000000004</c:v>
                </c:pt>
                <c:pt idx="309">
                  <c:v>4.6500000000000004</c:v>
                </c:pt>
                <c:pt idx="310">
                  <c:v>4.6500000000000004</c:v>
                </c:pt>
                <c:pt idx="311">
                  <c:v>4.6500000000000004</c:v>
                </c:pt>
                <c:pt idx="312">
                  <c:v>4.6500000000000004</c:v>
                </c:pt>
                <c:pt idx="313">
                  <c:v>4.6500000000000004</c:v>
                </c:pt>
                <c:pt idx="314">
                  <c:v>4.6500000000000004</c:v>
                </c:pt>
                <c:pt idx="315">
                  <c:v>4.6500000000000004</c:v>
                </c:pt>
                <c:pt idx="316">
                  <c:v>4.6500000000000004</c:v>
                </c:pt>
                <c:pt idx="317">
                  <c:v>4.6500000000000004</c:v>
                </c:pt>
                <c:pt idx="318">
                  <c:v>4.6500000000000004</c:v>
                </c:pt>
                <c:pt idx="319">
                  <c:v>4.6500000000000004</c:v>
                </c:pt>
                <c:pt idx="320">
                  <c:v>4.6500000000000004</c:v>
                </c:pt>
                <c:pt idx="321">
                  <c:v>4.6500000000000004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4.6500000000000004</c:v>
                </c:pt>
                <c:pt idx="325">
                  <c:v>4.6500000000000004</c:v>
                </c:pt>
                <c:pt idx="326">
                  <c:v>4.6500000000000004</c:v>
                </c:pt>
                <c:pt idx="327">
                  <c:v>4.6500000000000004</c:v>
                </c:pt>
                <c:pt idx="328">
                  <c:v>4.6500000000000004</c:v>
                </c:pt>
                <c:pt idx="329">
                  <c:v>4.6500000000000004</c:v>
                </c:pt>
                <c:pt idx="330">
                  <c:v>4.6500000000000004</c:v>
                </c:pt>
                <c:pt idx="331">
                  <c:v>4.6500000000000004</c:v>
                </c:pt>
                <c:pt idx="332">
                  <c:v>4.6500000000000004</c:v>
                </c:pt>
                <c:pt idx="333">
                  <c:v>4.6500000000000004</c:v>
                </c:pt>
                <c:pt idx="334">
                  <c:v>4.6500000000000004</c:v>
                </c:pt>
                <c:pt idx="335">
                  <c:v>4.6500000000000004</c:v>
                </c:pt>
                <c:pt idx="336">
                  <c:v>4.6500000000000004</c:v>
                </c:pt>
                <c:pt idx="337">
                  <c:v>4.6500000000000004</c:v>
                </c:pt>
                <c:pt idx="338">
                  <c:v>4.6500000000000004</c:v>
                </c:pt>
                <c:pt idx="339">
                  <c:v>4.6500000000000004</c:v>
                </c:pt>
                <c:pt idx="340">
                  <c:v>4.6500000000000004</c:v>
                </c:pt>
                <c:pt idx="341">
                  <c:v>4.6500000000000004</c:v>
                </c:pt>
                <c:pt idx="342">
                  <c:v>4.6500000000000004</c:v>
                </c:pt>
                <c:pt idx="343">
                  <c:v>4.6500000000000004</c:v>
                </c:pt>
                <c:pt idx="344">
                  <c:v>4.6500000000000004</c:v>
                </c:pt>
                <c:pt idx="345">
                  <c:v>4.6500000000000004</c:v>
                </c:pt>
                <c:pt idx="346">
                  <c:v>4.6500000000000004</c:v>
                </c:pt>
                <c:pt idx="347">
                  <c:v>4.6500000000000004</c:v>
                </c:pt>
                <c:pt idx="348">
                  <c:v>4.6500000000000004</c:v>
                </c:pt>
                <c:pt idx="349">
                  <c:v>4.6500000000000004</c:v>
                </c:pt>
                <c:pt idx="350">
                  <c:v>4.6500000000000004</c:v>
                </c:pt>
                <c:pt idx="351">
                  <c:v>4.6500000000000004</c:v>
                </c:pt>
                <c:pt idx="352">
                  <c:v>4.6500000000000004</c:v>
                </c:pt>
                <c:pt idx="353">
                  <c:v>4.6500000000000004</c:v>
                </c:pt>
                <c:pt idx="354">
                  <c:v>4.6500000000000004</c:v>
                </c:pt>
                <c:pt idx="355">
                  <c:v>4.6500000000000004</c:v>
                </c:pt>
                <c:pt idx="356">
                  <c:v>4.6500000000000004</c:v>
                </c:pt>
                <c:pt idx="357">
                  <c:v>4.6500000000000004</c:v>
                </c:pt>
                <c:pt idx="358">
                  <c:v>4.6500000000000004</c:v>
                </c:pt>
                <c:pt idx="359">
                  <c:v>4.6500000000000004</c:v>
                </c:pt>
                <c:pt idx="360">
                  <c:v>4.6500000000000004</c:v>
                </c:pt>
                <c:pt idx="361">
                  <c:v>4.6500000000000004</c:v>
                </c:pt>
                <c:pt idx="362">
                  <c:v>4.6500000000000004</c:v>
                </c:pt>
                <c:pt idx="363">
                  <c:v>4.6500000000000004</c:v>
                </c:pt>
                <c:pt idx="364">
                  <c:v>4.6500000000000004</c:v>
                </c:pt>
                <c:pt idx="365">
                  <c:v>4.6500000000000004</c:v>
                </c:pt>
                <c:pt idx="366">
                  <c:v>4.6500000000000004</c:v>
                </c:pt>
                <c:pt idx="367">
                  <c:v>4.6500000000000004</c:v>
                </c:pt>
                <c:pt idx="368">
                  <c:v>4.6500000000000004</c:v>
                </c:pt>
                <c:pt idx="369">
                  <c:v>4.6500000000000004</c:v>
                </c:pt>
                <c:pt idx="370">
                  <c:v>4.6500000000000004</c:v>
                </c:pt>
                <c:pt idx="371">
                  <c:v>4.6500000000000004</c:v>
                </c:pt>
                <c:pt idx="372">
                  <c:v>4.6500000000000004</c:v>
                </c:pt>
                <c:pt idx="373">
                  <c:v>4.6500000000000004</c:v>
                </c:pt>
                <c:pt idx="374">
                  <c:v>4.6500000000000004</c:v>
                </c:pt>
                <c:pt idx="375">
                  <c:v>4.6500000000000004</c:v>
                </c:pt>
                <c:pt idx="376">
                  <c:v>4.6500000000000004</c:v>
                </c:pt>
                <c:pt idx="377">
                  <c:v>4.6500000000000004</c:v>
                </c:pt>
                <c:pt idx="378">
                  <c:v>4.6500000000000004</c:v>
                </c:pt>
                <c:pt idx="379">
                  <c:v>4.6500000000000004</c:v>
                </c:pt>
                <c:pt idx="380">
                  <c:v>4.6500000000000004</c:v>
                </c:pt>
                <c:pt idx="381">
                  <c:v>4.6500000000000004</c:v>
                </c:pt>
                <c:pt idx="382">
                  <c:v>4.6500000000000004</c:v>
                </c:pt>
                <c:pt idx="383">
                  <c:v>4.6500000000000004</c:v>
                </c:pt>
                <c:pt idx="384">
                  <c:v>4.6500000000000004</c:v>
                </c:pt>
                <c:pt idx="385">
                  <c:v>4.6500000000000004</c:v>
                </c:pt>
                <c:pt idx="386">
                  <c:v>4.6500000000000004</c:v>
                </c:pt>
                <c:pt idx="387">
                  <c:v>4.6500000000000004</c:v>
                </c:pt>
                <c:pt idx="388">
                  <c:v>4.6500000000000004</c:v>
                </c:pt>
                <c:pt idx="389">
                  <c:v>4.6500000000000004</c:v>
                </c:pt>
                <c:pt idx="390">
                  <c:v>4.6500000000000004</c:v>
                </c:pt>
                <c:pt idx="391">
                  <c:v>4.6500000000000004</c:v>
                </c:pt>
                <c:pt idx="392">
                  <c:v>4.6500000000000004</c:v>
                </c:pt>
                <c:pt idx="393">
                  <c:v>4.6500000000000004</c:v>
                </c:pt>
                <c:pt idx="394">
                  <c:v>4.6500000000000004</c:v>
                </c:pt>
                <c:pt idx="395">
                  <c:v>4.6500000000000004</c:v>
                </c:pt>
                <c:pt idx="396">
                  <c:v>4.6500000000000004</c:v>
                </c:pt>
                <c:pt idx="397">
                  <c:v>4.6500000000000004</c:v>
                </c:pt>
                <c:pt idx="398">
                  <c:v>4.6500000000000004</c:v>
                </c:pt>
                <c:pt idx="399">
                  <c:v>4.6500000000000004</c:v>
                </c:pt>
                <c:pt idx="400">
                  <c:v>4.6500000000000004</c:v>
                </c:pt>
                <c:pt idx="401">
                  <c:v>4.6500000000000004</c:v>
                </c:pt>
                <c:pt idx="402">
                  <c:v>4.6500000000000004</c:v>
                </c:pt>
                <c:pt idx="403">
                  <c:v>4.6500000000000004</c:v>
                </c:pt>
                <c:pt idx="404">
                  <c:v>4.6500000000000004</c:v>
                </c:pt>
                <c:pt idx="405">
                  <c:v>4.6500000000000004</c:v>
                </c:pt>
                <c:pt idx="406">
                  <c:v>4.6500000000000004</c:v>
                </c:pt>
                <c:pt idx="407">
                  <c:v>4.6500000000000004</c:v>
                </c:pt>
                <c:pt idx="408">
                  <c:v>4.6500000000000004</c:v>
                </c:pt>
                <c:pt idx="409">
                  <c:v>4.6500000000000004</c:v>
                </c:pt>
                <c:pt idx="410">
                  <c:v>4.6500000000000004</c:v>
                </c:pt>
                <c:pt idx="411">
                  <c:v>4.6500000000000004</c:v>
                </c:pt>
                <c:pt idx="412">
                  <c:v>4.6500000000000004</c:v>
                </c:pt>
                <c:pt idx="413">
                  <c:v>4.6500000000000004</c:v>
                </c:pt>
                <c:pt idx="414">
                  <c:v>4.6500000000000004</c:v>
                </c:pt>
                <c:pt idx="415">
                  <c:v>4.6500000000000004</c:v>
                </c:pt>
                <c:pt idx="416">
                  <c:v>4.6500000000000004</c:v>
                </c:pt>
                <c:pt idx="417">
                  <c:v>4.6500000000000004</c:v>
                </c:pt>
                <c:pt idx="418">
                  <c:v>4.6500000000000004</c:v>
                </c:pt>
                <c:pt idx="419">
                  <c:v>4.6500000000000004</c:v>
                </c:pt>
                <c:pt idx="420">
                  <c:v>4.6500000000000004</c:v>
                </c:pt>
                <c:pt idx="421">
                  <c:v>4.6500000000000004</c:v>
                </c:pt>
                <c:pt idx="422">
                  <c:v>4.6500000000000004</c:v>
                </c:pt>
                <c:pt idx="423">
                  <c:v>4.6500000000000004</c:v>
                </c:pt>
                <c:pt idx="424">
                  <c:v>4.6500000000000004</c:v>
                </c:pt>
                <c:pt idx="425">
                  <c:v>4.6500000000000004</c:v>
                </c:pt>
                <c:pt idx="426">
                  <c:v>4.6500000000000004</c:v>
                </c:pt>
                <c:pt idx="427">
                  <c:v>4.6500000000000004</c:v>
                </c:pt>
                <c:pt idx="428">
                  <c:v>4.6500000000000004</c:v>
                </c:pt>
                <c:pt idx="429">
                  <c:v>4.6500000000000004</c:v>
                </c:pt>
                <c:pt idx="430">
                  <c:v>4.6500000000000004</c:v>
                </c:pt>
                <c:pt idx="431">
                  <c:v>4.6500000000000004</c:v>
                </c:pt>
                <c:pt idx="432">
                  <c:v>4.6500000000000004</c:v>
                </c:pt>
                <c:pt idx="433">
                  <c:v>4.6500000000000004</c:v>
                </c:pt>
                <c:pt idx="434">
                  <c:v>4.6500000000000004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8B-455C-90E0-7E6855238ACD}"/>
            </c:ext>
          </c:extLst>
        </c:ser>
        <c:ser>
          <c:idx val="2"/>
          <c:order val="2"/>
          <c:tx>
            <c:strRef>
              <c:f>'Tabelle Pivot'!$T$3</c:f>
              <c:strCache>
                <c:ptCount val="1"/>
                <c:pt idx="0">
                  <c:v>Azionario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Pivot'!$T$4:$T$439</c:f>
              <c:numCache>
                <c:formatCode>General</c:formatCode>
                <c:ptCount val="435"/>
                <c:pt idx="0">
                  <c:v>2.9639289999999998</c:v>
                </c:pt>
                <c:pt idx="1">
                  <c:v>3.0148869999999999</c:v>
                </c:pt>
                <c:pt idx="2">
                  <c:v>2.9783750000000002</c:v>
                </c:pt>
                <c:pt idx="3">
                  <c:v>2.962342</c:v>
                </c:pt>
                <c:pt idx="4">
                  <c:v>2.9428160000000001</c:v>
                </c:pt>
                <c:pt idx="5">
                  <c:v>2.9591669999999999</c:v>
                </c:pt>
                <c:pt idx="6">
                  <c:v>2.939006</c:v>
                </c:pt>
                <c:pt idx="7">
                  <c:v>2.9147180000000001</c:v>
                </c:pt>
                <c:pt idx="8">
                  <c:v>2.8726509999999998</c:v>
                </c:pt>
                <c:pt idx="9">
                  <c:v>2.8540779999999999</c:v>
                </c:pt>
                <c:pt idx="10">
                  <c:v>2.8366159999999998</c:v>
                </c:pt>
                <c:pt idx="11">
                  <c:v>2.8262969999999998</c:v>
                </c:pt>
                <c:pt idx="12">
                  <c:v>2.8239160000000001</c:v>
                </c:pt>
                <c:pt idx="13">
                  <c:v>2.8123279999999999</c:v>
                </c:pt>
                <c:pt idx="14">
                  <c:v>2.7553380000000001</c:v>
                </c:pt>
                <c:pt idx="15">
                  <c:v>2.7578779999999998</c:v>
                </c:pt>
                <c:pt idx="16">
                  <c:v>2.7681969999999998</c:v>
                </c:pt>
                <c:pt idx="17">
                  <c:v>2.756291</c:v>
                </c:pt>
                <c:pt idx="18">
                  <c:v>2.7323200000000001</c:v>
                </c:pt>
                <c:pt idx="19">
                  <c:v>2.7289870000000001</c:v>
                </c:pt>
                <c:pt idx="20">
                  <c:v>2.7267640000000002</c:v>
                </c:pt>
                <c:pt idx="21">
                  <c:v>2.7416860000000001</c:v>
                </c:pt>
                <c:pt idx="22">
                  <c:v>2.7045400000000002</c:v>
                </c:pt>
                <c:pt idx="23">
                  <c:v>2.8545539999999998</c:v>
                </c:pt>
                <c:pt idx="24">
                  <c:v>2.8247100000000001</c:v>
                </c:pt>
                <c:pt idx="25">
                  <c:v>2.8467750000000001</c:v>
                </c:pt>
                <c:pt idx="26">
                  <c:v>2.8548710000000002</c:v>
                </c:pt>
                <c:pt idx="27">
                  <c:v>2.871381</c:v>
                </c:pt>
                <c:pt idx="28">
                  <c:v>2.862174</c:v>
                </c:pt>
                <c:pt idx="29">
                  <c:v>2.8794770000000001</c:v>
                </c:pt>
                <c:pt idx="30">
                  <c:v>2.8740800000000002</c:v>
                </c:pt>
                <c:pt idx="31">
                  <c:v>2.9056700000000002</c:v>
                </c:pt>
                <c:pt idx="32">
                  <c:v>2.9331330000000002</c:v>
                </c:pt>
                <c:pt idx="33">
                  <c:v>2.9374189999999998</c:v>
                </c:pt>
                <c:pt idx="34">
                  <c:v>2.9345620000000001</c:v>
                </c:pt>
                <c:pt idx="35">
                  <c:v>2.8610630000000001</c:v>
                </c:pt>
                <c:pt idx="36">
                  <c:v>2.8455059999999999</c:v>
                </c:pt>
                <c:pt idx="37">
                  <c:v>2.8532839999999999</c:v>
                </c:pt>
                <c:pt idx="38">
                  <c:v>2.8701110000000001</c:v>
                </c:pt>
                <c:pt idx="39">
                  <c:v>2.8624909999999999</c:v>
                </c:pt>
                <c:pt idx="40">
                  <c:v>2.8690000000000002</c:v>
                </c:pt>
                <c:pt idx="41">
                  <c:v>2.8601100000000002</c:v>
                </c:pt>
                <c:pt idx="42">
                  <c:v>2.8651900000000001</c:v>
                </c:pt>
                <c:pt idx="43">
                  <c:v>2.8918590000000002</c:v>
                </c:pt>
                <c:pt idx="44">
                  <c:v>2.8783660000000002</c:v>
                </c:pt>
                <c:pt idx="45">
                  <c:v>2.857888</c:v>
                </c:pt>
                <c:pt idx="46">
                  <c:v>2.8588399999999998</c:v>
                </c:pt>
                <c:pt idx="47">
                  <c:v>2.8496329999999999</c:v>
                </c:pt>
                <c:pt idx="48">
                  <c:v>2.838203</c:v>
                </c:pt>
                <c:pt idx="49">
                  <c:v>2.8418540000000001</c:v>
                </c:pt>
                <c:pt idx="50">
                  <c:v>2.828837</c:v>
                </c:pt>
                <c:pt idx="51">
                  <c:v>2.8505850000000001</c:v>
                </c:pt>
                <c:pt idx="52">
                  <c:v>2.8607450000000001</c:v>
                </c:pt>
                <c:pt idx="53">
                  <c:v>2.8556650000000001</c:v>
                </c:pt>
                <c:pt idx="54">
                  <c:v>2.8551890000000002</c:v>
                </c:pt>
                <c:pt idx="55">
                  <c:v>2.839156</c:v>
                </c:pt>
                <c:pt idx="56">
                  <c:v>2.8228049999999998</c:v>
                </c:pt>
                <c:pt idx="57">
                  <c:v>2.811534</c:v>
                </c:pt>
                <c:pt idx="58">
                  <c:v>2.8058190000000001</c:v>
                </c:pt>
                <c:pt idx="59">
                  <c:v>2.8040729999999998</c:v>
                </c:pt>
                <c:pt idx="60">
                  <c:v>2.8005810000000002</c:v>
                </c:pt>
                <c:pt idx="61">
                  <c:v>2.8135979999999998</c:v>
                </c:pt>
                <c:pt idx="62">
                  <c:v>2.7134299999999998</c:v>
                </c:pt>
                <c:pt idx="63">
                  <c:v>2.7008890000000001</c:v>
                </c:pt>
                <c:pt idx="64">
                  <c:v>2.6078640000000002</c:v>
                </c:pt>
                <c:pt idx="65">
                  <c:v>2.6404070000000002</c:v>
                </c:pt>
                <c:pt idx="66">
                  <c:v>2.5956410000000001</c:v>
                </c:pt>
                <c:pt idx="67">
                  <c:v>2.5932599999999999</c:v>
                </c:pt>
                <c:pt idx="68">
                  <c:v>2.5672250000000001</c:v>
                </c:pt>
                <c:pt idx="69">
                  <c:v>2.6059589999999999</c:v>
                </c:pt>
                <c:pt idx="70">
                  <c:v>2.6269140000000002</c:v>
                </c:pt>
                <c:pt idx="71">
                  <c:v>2.6627900000000002</c:v>
                </c:pt>
                <c:pt idx="72">
                  <c:v>2.6504080000000001</c:v>
                </c:pt>
                <c:pt idx="73">
                  <c:v>2.6035780000000002</c:v>
                </c:pt>
                <c:pt idx="74">
                  <c:v>2.595323</c:v>
                </c:pt>
                <c:pt idx="75">
                  <c:v>2.6081819999999998</c:v>
                </c:pt>
                <c:pt idx="76">
                  <c:v>2.5881799999999999</c:v>
                </c:pt>
                <c:pt idx="77">
                  <c:v>2.583259</c:v>
                </c:pt>
                <c:pt idx="78">
                  <c:v>2.5892909999999998</c:v>
                </c:pt>
                <c:pt idx="79">
                  <c:v>2.5653199999999998</c:v>
                </c:pt>
                <c:pt idx="80">
                  <c:v>2.5613519999999999</c:v>
                </c:pt>
                <c:pt idx="81">
                  <c:v>2.5516679999999998</c:v>
                </c:pt>
                <c:pt idx="82">
                  <c:v>2.558494</c:v>
                </c:pt>
                <c:pt idx="83">
                  <c:v>2.545477</c:v>
                </c:pt>
                <c:pt idx="84">
                  <c:v>2.554208</c:v>
                </c:pt>
                <c:pt idx="85">
                  <c:v>2.5624630000000002</c:v>
                </c:pt>
                <c:pt idx="86">
                  <c:v>2.5534150000000002</c:v>
                </c:pt>
                <c:pt idx="87">
                  <c:v>2.540556</c:v>
                </c:pt>
                <c:pt idx="88">
                  <c:v>2.5638920000000001</c:v>
                </c:pt>
                <c:pt idx="89">
                  <c:v>2.5672250000000001</c:v>
                </c:pt>
                <c:pt idx="90">
                  <c:v>2.550557</c:v>
                </c:pt>
                <c:pt idx="91">
                  <c:v>2.5556369999999999</c:v>
                </c:pt>
                <c:pt idx="92">
                  <c:v>2.5667490000000002</c:v>
                </c:pt>
                <c:pt idx="93">
                  <c:v>2.5530970000000002</c:v>
                </c:pt>
                <c:pt idx="94">
                  <c:v>2.5753210000000002</c:v>
                </c:pt>
                <c:pt idx="95">
                  <c:v>2.5519859999999999</c:v>
                </c:pt>
                <c:pt idx="96">
                  <c:v>2.5288089999999999</c:v>
                </c:pt>
                <c:pt idx="97">
                  <c:v>2.5399210000000001</c:v>
                </c:pt>
                <c:pt idx="98">
                  <c:v>2.5396040000000002</c:v>
                </c:pt>
                <c:pt idx="99">
                  <c:v>2.5761150000000002</c:v>
                </c:pt>
                <c:pt idx="100">
                  <c:v>2.6154839999999999</c:v>
                </c:pt>
                <c:pt idx="101">
                  <c:v>2.6896179999999998</c:v>
                </c:pt>
                <c:pt idx="102">
                  <c:v>2.761371</c:v>
                </c:pt>
                <c:pt idx="103">
                  <c:v>2.7535919999999998</c:v>
                </c:pt>
                <c:pt idx="104">
                  <c:v>2.78931</c:v>
                </c:pt>
                <c:pt idx="105">
                  <c:v>2.778991</c:v>
                </c:pt>
                <c:pt idx="106">
                  <c:v>2.7505760000000001</c:v>
                </c:pt>
                <c:pt idx="107">
                  <c:v>2.733908</c:v>
                </c:pt>
                <c:pt idx="108">
                  <c:v>2.8505850000000001</c:v>
                </c:pt>
                <c:pt idx="109">
                  <c:v>2.8836040000000001</c:v>
                </c:pt>
                <c:pt idx="110">
                  <c:v>2.8966210000000001</c:v>
                </c:pt>
                <c:pt idx="111">
                  <c:v>2.862015</c:v>
                </c:pt>
                <c:pt idx="112">
                  <c:v>2.815979</c:v>
                </c:pt>
                <c:pt idx="113">
                  <c:v>2.797882</c:v>
                </c:pt>
                <c:pt idx="114">
                  <c:v>2.871381</c:v>
                </c:pt>
                <c:pt idx="115">
                  <c:v>2.911543</c:v>
                </c:pt>
                <c:pt idx="116">
                  <c:v>2.9110670000000001</c:v>
                </c:pt>
                <c:pt idx="117">
                  <c:v>2.9363079999999999</c:v>
                </c:pt>
                <c:pt idx="118">
                  <c:v>2.9088449999999999</c:v>
                </c:pt>
                <c:pt idx="119">
                  <c:v>2.9515470000000001</c:v>
                </c:pt>
                <c:pt idx="120">
                  <c:v>2.9505949999999999</c:v>
                </c:pt>
                <c:pt idx="121">
                  <c:v>2.885351</c:v>
                </c:pt>
                <c:pt idx="122">
                  <c:v>2.8658250000000001</c:v>
                </c:pt>
                <c:pt idx="123">
                  <c:v>2.9063050000000001</c:v>
                </c:pt>
                <c:pt idx="124">
                  <c:v>2.9334500000000001</c:v>
                </c:pt>
                <c:pt idx="125">
                  <c:v>2.9548809999999999</c:v>
                </c:pt>
                <c:pt idx="126">
                  <c:v>3.0096479999999999</c:v>
                </c:pt>
                <c:pt idx="127">
                  <c:v>2.99552</c:v>
                </c:pt>
                <c:pt idx="128">
                  <c:v>3.0572710000000001</c:v>
                </c:pt>
                <c:pt idx="129">
                  <c:v>3.072352</c:v>
                </c:pt>
                <c:pt idx="130">
                  <c:v>3.0794959999999998</c:v>
                </c:pt>
                <c:pt idx="131">
                  <c:v>3.0655260000000002</c:v>
                </c:pt>
                <c:pt idx="132">
                  <c:v>3.0428259999999998</c:v>
                </c:pt>
                <c:pt idx="133">
                  <c:v>3.0433020000000002</c:v>
                </c:pt>
                <c:pt idx="134">
                  <c:v>3.040286</c:v>
                </c:pt>
                <c:pt idx="135">
                  <c:v>3.0012340000000002</c:v>
                </c:pt>
                <c:pt idx="136">
                  <c:v>3.0005989999999998</c:v>
                </c:pt>
                <c:pt idx="137">
                  <c:v>3.0132989999999999</c:v>
                </c:pt>
                <c:pt idx="138">
                  <c:v>3.0226649999999999</c:v>
                </c:pt>
                <c:pt idx="139">
                  <c:v>2.9885350000000002</c:v>
                </c:pt>
                <c:pt idx="140">
                  <c:v>2.962342</c:v>
                </c:pt>
                <c:pt idx="141">
                  <c:v>2.9678979999999999</c:v>
                </c:pt>
                <c:pt idx="142">
                  <c:v>2.981868</c:v>
                </c:pt>
                <c:pt idx="143">
                  <c:v>3.0045679999999999</c:v>
                </c:pt>
                <c:pt idx="144">
                  <c:v>3.045207</c:v>
                </c:pt>
                <c:pt idx="145">
                  <c:v>2.9934560000000001</c:v>
                </c:pt>
                <c:pt idx="146">
                  <c:v>2.9510710000000002</c:v>
                </c:pt>
                <c:pt idx="147">
                  <c:v>2.9282119999999998</c:v>
                </c:pt>
                <c:pt idx="148">
                  <c:v>2.9402759999999999</c:v>
                </c:pt>
                <c:pt idx="149">
                  <c:v>3.0058379999999998</c:v>
                </c:pt>
                <c:pt idx="150">
                  <c:v>3.2063329999999999</c:v>
                </c:pt>
                <c:pt idx="151">
                  <c:v>3.1564869999999998</c:v>
                </c:pt>
                <c:pt idx="152">
                  <c:v>3.1123560000000001</c:v>
                </c:pt>
                <c:pt idx="153">
                  <c:v>3.1039430000000001</c:v>
                </c:pt>
                <c:pt idx="154">
                  <c:v>3.2015709999999999</c:v>
                </c:pt>
                <c:pt idx="155">
                  <c:v>3.2704659999999999</c:v>
                </c:pt>
                <c:pt idx="156">
                  <c:v>3.2669739999999998</c:v>
                </c:pt>
                <c:pt idx="157">
                  <c:v>3.2899919999999998</c:v>
                </c:pt>
                <c:pt idx="158">
                  <c:v>3.3076120000000002</c:v>
                </c:pt>
                <c:pt idx="159">
                  <c:v>3.3596810000000001</c:v>
                </c:pt>
                <c:pt idx="160">
                  <c:v>3.3503150000000002</c:v>
                </c:pt>
                <c:pt idx="161">
                  <c:v>3.3434889999999999</c:v>
                </c:pt>
                <c:pt idx="162">
                  <c:v>3.3661889999999999</c:v>
                </c:pt>
                <c:pt idx="163">
                  <c:v>3.3534899999999999</c:v>
                </c:pt>
                <c:pt idx="164">
                  <c:v>3.2730060000000001</c:v>
                </c:pt>
                <c:pt idx="165">
                  <c:v>3.2509399999999999</c:v>
                </c:pt>
                <c:pt idx="166">
                  <c:v>3.219033</c:v>
                </c:pt>
                <c:pt idx="167">
                  <c:v>3.2318910000000001</c:v>
                </c:pt>
                <c:pt idx="168">
                  <c:v>3.2112539999999998</c:v>
                </c:pt>
                <c:pt idx="169">
                  <c:v>3.173473</c:v>
                </c:pt>
                <c:pt idx="170">
                  <c:v>3.1493440000000001</c:v>
                </c:pt>
                <c:pt idx="171">
                  <c:v>3.1098159999999999</c:v>
                </c:pt>
                <c:pt idx="172">
                  <c:v>3.0950530000000001</c:v>
                </c:pt>
                <c:pt idx="173">
                  <c:v>3.0790199999999999</c:v>
                </c:pt>
                <c:pt idx="174">
                  <c:v>3.0390160000000002</c:v>
                </c:pt>
                <c:pt idx="175">
                  <c:v>3.0093299999999998</c:v>
                </c:pt>
                <c:pt idx="176">
                  <c:v>3.0142519999999999</c:v>
                </c:pt>
                <c:pt idx="177">
                  <c:v>3.0461589999999998</c:v>
                </c:pt>
                <c:pt idx="178">
                  <c:v>3.0434610000000002</c:v>
                </c:pt>
                <c:pt idx="179">
                  <c:v>3.0340950000000002</c:v>
                </c:pt>
                <c:pt idx="180">
                  <c:v>3.0377459999999998</c:v>
                </c:pt>
                <c:pt idx="181">
                  <c:v>3.0283799999999998</c:v>
                </c:pt>
                <c:pt idx="182">
                  <c:v>3.0158390000000002</c:v>
                </c:pt>
                <c:pt idx="183">
                  <c:v>3.0182199999999999</c:v>
                </c:pt>
                <c:pt idx="184">
                  <c:v>3.026475</c:v>
                </c:pt>
                <c:pt idx="185">
                  <c:v>3.0045679999999999</c:v>
                </c:pt>
                <c:pt idx="186">
                  <c:v>3.0213950000000001</c:v>
                </c:pt>
                <c:pt idx="187">
                  <c:v>3.1034660000000001</c:v>
                </c:pt>
                <c:pt idx="188">
                  <c:v>3.0837819999999998</c:v>
                </c:pt>
                <c:pt idx="189">
                  <c:v>3.0891790000000001</c:v>
                </c:pt>
                <c:pt idx="190">
                  <c:v>3.1025140000000002</c:v>
                </c:pt>
                <c:pt idx="191">
                  <c:v>3.2444320000000002</c:v>
                </c:pt>
                <c:pt idx="192">
                  <c:v>3.268561</c:v>
                </c:pt>
                <c:pt idx="193">
                  <c:v>3.3223760000000002</c:v>
                </c:pt>
                <c:pt idx="194">
                  <c:v>3.3698410000000001</c:v>
                </c:pt>
                <c:pt idx="195">
                  <c:v>3.351426</c:v>
                </c:pt>
                <c:pt idx="196">
                  <c:v>3.3149150000000001</c:v>
                </c:pt>
                <c:pt idx="197">
                  <c:v>3.3253919999999999</c:v>
                </c:pt>
                <c:pt idx="198">
                  <c:v>3.3309479999999998</c:v>
                </c:pt>
                <c:pt idx="199">
                  <c:v>3.2849119999999998</c:v>
                </c:pt>
                <c:pt idx="200">
                  <c:v>3.2668149999999998</c:v>
                </c:pt>
                <c:pt idx="201">
                  <c:v>3.2609409999999999</c:v>
                </c:pt>
                <c:pt idx="202">
                  <c:v>3.1825209999999999</c:v>
                </c:pt>
                <c:pt idx="203">
                  <c:v>3.186172</c:v>
                </c:pt>
                <c:pt idx="204">
                  <c:v>3.181886</c:v>
                </c:pt>
                <c:pt idx="205">
                  <c:v>3.1696629999999999</c:v>
                </c:pt>
                <c:pt idx="206">
                  <c:v>3.163948</c:v>
                </c:pt>
                <c:pt idx="207">
                  <c:v>3.1561699999999999</c:v>
                </c:pt>
                <c:pt idx="208">
                  <c:v>3.1536300000000002</c:v>
                </c:pt>
                <c:pt idx="209">
                  <c:v>3.0172680000000001</c:v>
                </c:pt>
                <c:pt idx="210">
                  <c:v>2.9832960000000002</c:v>
                </c:pt>
                <c:pt idx="211">
                  <c:v>2.9923449999999998</c:v>
                </c:pt>
                <c:pt idx="212">
                  <c:v>2.9966309999999998</c:v>
                </c:pt>
                <c:pt idx="213">
                  <c:v>2.9871059999999998</c:v>
                </c:pt>
                <c:pt idx="214">
                  <c:v>2.9705970000000002</c:v>
                </c:pt>
                <c:pt idx="215">
                  <c:v>2.8901129999999999</c:v>
                </c:pt>
                <c:pt idx="216">
                  <c:v>2.8875730000000002</c:v>
                </c:pt>
                <c:pt idx="217">
                  <c:v>2.8615390000000001</c:v>
                </c:pt>
                <c:pt idx="218">
                  <c:v>2.844236</c:v>
                </c:pt>
                <c:pt idx="219">
                  <c:v>2.862333</c:v>
                </c:pt>
                <c:pt idx="220">
                  <c:v>3.2357010000000002</c:v>
                </c:pt>
                <c:pt idx="221">
                  <c:v>3.2655449999999999</c:v>
                </c:pt>
                <c:pt idx="222">
                  <c:v>3.3646020000000001</c:v>
                </c:pt>
                <c:pt idx="223">
                  <c:v>3.3998430000000002</c:v>
                </c:pt>
                <c:pt idx="224">
                  <c:v>3.3822230000000002</c:v>
                </c:pt>
                <c:pt idx="225">
                  <c:v>3.3988909999999999</c:v>
                </c:pt>
                <c:pt idx="226">
                  <c:v>3.393494</c:v>
                </c:pt>
                <c:pt idx="227">
                  <c:v>3.4101620000000001</c:v>
                </c:pt>
                <c:pt idx="228">
                  <c:v>3.38381</c:v>
                </c:pt>
                <c:pt idx="229">
                  <c:v>3.3823810000000001</c:v>
                </c:pt>
                <c:pt idx="230">
                  <c:v>3.3676179999999998</c:v>
                </c:pt>
                <c:pt idx="231">
                  <c:v>3.3550770000000001</c:v>
                </c:pt>
                <c:pt idx="232">
                  <c:v>3.3625379999999998</c:v>
                </c:pt>
                <c:pt idx="233">
                  <c:v>3.3453940000000002</c:v>
                </c:pt>
                <c:pt idx="234">
                  <c:v>3.6385960000000002</c:v>
                </c:pt>
                <c:pt idx="235">
                  <c:v>3.620816</c:v>
                </c:pt>
                <c:pt idx="236">
                  <c:v>3.6160540000000001</c:v>
                </c:pt>
                <c:pt idx="237">
                  <c:v>3.6152600000000001</c:v>
                </c:pt>
                <c:pt idx="238">
                  <c:v>3.599227</c:v>
                </c:pt>
                <c:pt idx="239">
                  <c:v>3.5897019999999999</c:v>
                </c:pt>
                <c:pt idx="240">
                  <c:v>3.572082</c:v>
                </c:pt>
                <c:pt idx="241">
                  <c:v>3.5895440000000001</c:v>
                </c:pt>
                <c:pt idx="242">
                  <c:v>3.5739869999999998</c:v>
                </c:pt>
                <c:pt idx="243">
                  <c:v>3.5284270000000002</c:v>
                </c:pt>
                <c:pt idx="244">
                  <c:v>3.539698</c:v>
                </c:pt>
                <c:pt idx="245">
                  <c:v>3.56351</c:v>
                </c:pt>
                <c:pt idx="246">
                  <c:v>3.5596999999999999</c:v>
                </c:pt>
                <c:pt idx="247">
                  <c:v>3.6300240000000001</c:v>
                </c:pt>
                <c:pt idx="248">
                  <c:v>3.7357480000000001</c:v>
                </c:pt>
                <c:pt idx="249">
                  <c:v>3.7522570000000002</c:v>
                </c:pt>
                <c:pt idx="250">
                  <c:v>3.8009919999999999</c:v>
                </c:pt>
                <c:pt idx="251">
                  <c:v>3.8008329999999999</c:v>
                </c:pt>
                <c:pt idx="252">
                  <c:v>3.7813080000000001</c:v>
                </c:pt>
                <c:pt idx="253">
                  <c:v>3.7979759999999998</c:v>
                </c:pt>
                <c:pt idx="254">
                  <c:v>3.6649479999999999</c:v>
                </c:pt>
                <c:pt idx="255">
                  <c:v>3.5673189999999999</c:v>
                </c:pt>
                <c:pt idx="256">
                  <c:v>3.552556</c:v>
                </c:pt>
                <c:pt idx="257">
                  <c:v>3.5235059999999998</c:v>
                </c:pt>
                <c:pt idx="258">
                  <c:v>3.4981070000000001</c:v>
                </c:pt>
                <c:pt idx="259">
                  <c:v>3.5227119999999998</c:v>
                </c:pt>
                <c:pt idx="260">
                  <c:v>3.5373169999999998</c:v>
                </c:pt>
                <c:pt idx="261">
                  <c:v>3.5039799999999999</c:v>
                </c:pt>
                <c:pt idx="262">
                  <c:v>3.4749300000000001</c:v>
                </c:pt>
                <c:pt idx="263">
                  <c:v>3.420798</c:v>
                </c:pt>
                <c:pt idx="264">
                  <c:v>3.4103210000000002</c:v>
                </c:pt>
                <c:pt idx="265">
                  <c:v>3.3915890000000002</c:v>
                </c:pt>
                <c:pt idx="266">
                  <c:v>3.3623799999999999</c:v>
                </c:pt>
                <c:pt idx="267">
                  <c:v>3.4077809999999999</c:v>
                </c:pt>
                <c:pt idx="268">
                  <c:v>3.3822230000000002</c:v>
                </c:pt>
                <c:pt idx="269">
                  <c:v>3.3868260000000001</c:v>
                </c:pt>
                <c:pt idx="270">
                  <c:v>3.378889</c:v>
                </c:pt>
                <c:pt idx="271">
                  <c:v>3.4231790000000002</c:v>
                </c:pt>
                <c:pt idx="272">
                  <c:v>3.4269889999999998</c:v>
                </c:pt>
                <c:pt idx="273">
                  <c:v>3.4176229999999999</c:v>
                </c:pt>
                <c:pt idx="274">
                  <c:v>3.4117489999999999</c:v>
                </c:pt>
                <c:pt idx="275">
                  <c:v>3.4149240000000001</c:v>
                </c:pt>
                <c:pt idx="276">
                  <c:v>3.4360369999999998</c:v>
                </c:pt>
                <c:pt idx="277">
                  <c:v>3.4263539999999999</c:v>
                </c:pt>
                <c:pt idx="278">
                  <c:v>3.4246080000000001</c:v>
                </c:pt>
                <c:pt idx="279">
                  <c:v>3.415718</c:v>
                </c:pt>
                <c:pt idx="280">
                  <c:v>3.370317</c:v>
                </c:pt>
                <c:pt idx="281">
                  <c:v>3.375238</c:v>
                </c:pt>
                <c:pt idx="282">
                  <c:v>3.3936519999999999</c:v>
                </c:pt>
                <c:pt idx="283">
                  <c:v>3.393176</c:v>
                </c:pt>
                <c:pt idx="284">
                  <c:v>3.4088919999999998</c:v>
                </c:pt>
                <c:pt idx="285">
                  <c:v>3.438418</c:v>
                </c:pt>
                <c:pt idx="286">
                  <c:v>3.4323860000000002</c:v>
                </c:pt>
                <c:pt idx="287">
                  <c:v>3.43953</c:v>
                </c:pt>
                <c:pt idx="288">
                  <c:v>3.4903279999999999</c:v>
                </c:pt>
                <c:pt idx="289">
                  <c:v>3.5169969999999999</c:v>
                </c:pt>
                <c:pt idx="290">
                  <c:v>3.5149339999999998</c:v>
                </c:pt>
                <c:pt idx="291">
                  <c:v>3.5054090000000002</c:v>
                </c:pt>
                <c:pt idx="292">
                  <c:v>3.4938199999999999</c:v>
                </c:pt>
                <c:pt idx="293">
                  <c:v>3.5033449999999999</c:v>
                </c:pt>
                <c:pt idx="294">
                  <c:v>3.5327130000000002</c:v>
                </c:pt>
                <c:pt idx="295">
                  <c:v>3.493185</c:v>
                </c:pt>
                <c:pt idx="296">
                  <c:v>3.438895</c:v>
                </c:pt>
                <c:pt idx="297">
                  <c:v>3.4684210000000002</c:v>
                </c:pt>
                <c:pt idx="298">
                  <c:v>3.4501659999999998</c:v>
                </c:pt>
                <c:pt idx="299">
                  <c:v>3.5062030000000002</c:v>
                </c:pt>
                <c:pt idx="300">
                  <c:v>3.4366720000000002</c:v>
                </c:pt>
                <c:pt idx="301">
                  <c:v>3.4109560000000001</c:v>
                </c:pt>
                <c:pt idx="302">
                  <c:v>3.375238</c:v>
                </c:pt>
                <c:pt idx="303">
                  <c:v>3.3590460000000002</c:v>
                </c:pt>
                <c:pt idx="304">
                  <c:v>3.3987319999999999</c:v>
                </c:pt>
                <c:pt idx="305">
                  <c:v>3.3790480000000001</c:v>
                </c:pt>
                <c:pt idx="306">
                  <c:v>3.3963510000000001</c:v>
                </c:pt>
                <c:pt idx="307">
                  <c:v>3.4049230000000001</c:v>
                </c:pt>
                <c:pt idx="308">
                  <c:v>3.4082569999999999</c:v>
                </c:pt>
                <c:pt idx="309">
                  <c:v>3.3585699999999998</c:v>
                </c:pt>
                <c:pt idx="310">
                  <c:v>3.296977</c:v>
                </c:pt>
                <c:pt idx="311">
                  <c:v>3.3380920000000001</c:v>
                </c:pt>
                <c:pt idx="312">
                  <c:v>3.2891979999999998</c:v>
                </c:pt>
                <c:pt idx="313">
                  <c:v>3.2391930000000002</c:v>
                </c:pt>
                <c:pt idx="314">
                  <c:v>3.2709419999999998</c:v>
                </c:pt>
                <c:pt idx="315">
                  <c:v>3.287928</c:v>
                </c:pt>
                <c:pt idx="316">
                  <c:v>3.3044380000000002</c:v>
                </c:pt>
                <c:pt idx="317">
                  <c:v>3.2399870000000002</c:v>
                </c:pt>
                <c:pt idx="318">
                  <c:v>3.191252</c:v>
                </c:pt>
                <c:pt idx="319">
                  <c:v>3.1650589999999998</c:v>
                </c:pt>
                <c:pt idx="320">
                  <c:v>3.1385489999999998</c:v>
                </c:pt>
                <c:pt idx="321">
                  <c:v>3.1874419999999999</c:v>
                </c:pt>
                <c:pt idx="322">
                  <c:v>3.2022059999999999</c:v>
                </c:pt>
                <c:pt idx="323">
                  <c:v>3.1075940000000002</c:v>
                </c:pt>
                <c:pt idx="324">
                  <c:v>3.099815</c:v>
                </c:pt>
                <c:pt idx="325">
                  <c:v>3.1660119999999998</c:v>
                </c:pt>
                <c:pt idx="326">
                  <c:v>3.1355330000000001</c:v>
                </c:pt>
                <c:pt idx="327">
                  <c:v>3.2942779999999998</c:v>
                </c:pt>
                <c:pt idx="328">
                  <c:v>3.2495120000000002</c:v>
                </c:pt>
                <c:pt idx="329">
                  <c:v>3.3163429999999998</c:v>
                </c:pt>
                <c:pt idx="330">
                  <c:v>3.2936429999999999</c:v>
                </c:pt>
                <c:pt idx="331">
                  <c:v>3.2774510000000001</c:v>
                </c:pt>
                <c:pt idx="332">
                  <c:v>3.2491940000000001</c:v>
                </c:pt>
                <c:pt idx="333">
                  <c:v>3.3096760000000001</c:v>
                </c:pt>
                <c:pt idx="334">
                  <c:v>3.2982459999999998</c:v>
                </c:pt>
                <c:pt idx="335">
                  <c:v>3.3055490000000001</c:v>
                </c:pt>
                <c:pt idx="336">
                  <c:v>3.2961830000000001</c:v>
                </c:pt>
                <c:pt idx="337">
                  <c:v>3.301104</c:v>
                </c:pt>
                <c:pt idx="338">
                  <c:v>3.278403</c:v>
                </c:pt>
                <c:pt idx="339">
                  <c:v>3.2906270000000002</c:v>
                </c:pt>
                <c:pt idx="340">
                  <c:v>3.3561879999999999</c:v>
                </c:pt>
                <c:pt idx="341">
                  <c:v>3.3903189999999999</c:v>
                </c:pt>
                <c:pt idx="342">
                  <c:v>3.3222170000000002</c:v>
                </c:pt>
                <c:pt idx="343">
                  <c:v>3.273482</c:v>
                </c:pt>
                <c:pt idx="344">
                  <c:v>3.300786</c:v>
                </c:pt>
                <c:pt idx="345">
                  <c:v>3.3417430000000001</c:v>
                </c:pt>
                <c:pt idx="346">
                  <c:v>3.360633</c:v>
                </c:pt>
                <c:pt idx="347">
                  <c:v>3.333488</c:v>
                </c:pt>
                <c:pt idx="348">
                  <c:v>3.333647</c:v>
                </c:pt>
                <c:pt idx="349">
                  <c:v>3.2868170000000001</c:v>
                </c:pt>
                <c:pt idx="350">
                  <c:v>3.2531629999999998</c:v>
                </c:pt>
                <c:pt idx="351">
                  <c:v>3.2371300000000001</c:v>
                </c:pt>
                <c:pt idx="352">
                  <c:v>3.205381</c:v>
                </c:pt>
                <c:pt idx="353">
                  <c:v>3.1904590000000002</c:v>
                </c:pt>
                <c:pt idx="354">
                  <c:v>3.18649</c:v>
                </c:pt>
                <c:pt idx="355">
                  <c:v>3.1704569999999999</c:v>
                </c:pt>
                <c:pt idx="356">
                  <c:v>3.1431529999999999</c:v>
                </c:pt>
                <c:pt idx="357">
                  <c:v>3.1493440000000001</c:v>
                </c:pt>
                <c:pt idx="358">
                  <c:v>3.1225160000000001</c:v>
                </c:pt>
                <c:pt idx="359">
                  <c:v>3.1406130000000001</c:v>
                </c:pt>
                <c:pt idx="360">
                  <c:v>3.1507719999999999</c:v>
                </c:pt>
                <c:pt idx="361">
                  <c:v>3.0552079999999999</c:v>
                </c:pt>
                <c:pt idx="362">
                  <c:v>3.0461589999999998</c:v>
                </c:pt>
                <c:pt idx="363">
                  <c:v>3.00806</c:v>
                </c:pt>
                <c:pt idx="364">
                  <c:v>3.0110769999999998</c:v>
                </c:pt>
                <c:pt idx="365">
                  <c:v>3.0099649999999998</c:v>
                </c:pt>
                <c:pt idx="366">
                  <c:v>3.0377459999999998</c:v>
                </c:pt>
                <c:pt idx="367">
                  <c:v>3.0361579999999999</c:v>
                </c:pt>
                <c:pt idx="368">
                  <c:v>3.0345710000000001</c:v>
                </c:pt>
                <c:pt idx="369">
                  <c:v>3.0915599999999999</c:v>
                </c:pt>
                <c:pt idx="370">
                  <c:v>3.0833059999999999</c:v>
                </c:pt>
                <c:pt idx="371">
                  <c:v>3.06759</c:v>
                </c:pt>
                <c:pt idx="372">
                  <c:v>3.0755270000000001</c:v>
                </c:pt>
                <c:pt idx="373">
                  <c:v>3.0645739999999999</c:v>
                </c:pt>
                <c:pt idx="374">
                  <c:v>3.0515569999999999</c:v>
                </c:pt>
                <c:pt idx="375">
                  <c:v>3.0406029999999999</c:v>
                </c:pt>
                <c:pt idx="376">
                  <c:v>3.0660020000000001</c:v>
                </c:pt>
                <c:pt idx="377">
                  <c:v>3.05362</c:v>
                </c:pt>
                <c:pt idx="378">
                  <c:v>3.0298090000000002</c:v>
                </c:pt>
                <c:pt idx="379">
                  <c:v>3.030761</c:v>
                </c:pt>
                <c:pt idx="380">
                  <c:v>2.9869469999999998</c:v>
                </c:pt>
                <c:pt idx="381">
                  <c:v>2.9799630000000001</c:v>
                </c:pt>
                <c:pt idx="382">
                  <c:v>2.9885350000000002</c:v>
                </c:pt>
                <c:pt idx="383">
                  <c:v>2.9785339999999998</c:v>
                </c:pt>
                <c:pt idx="384">
                  <c:v>2.9625010000000001</c:v>
                </c:pt>
                <c:pt idx="385">
                  <c:v>2.9547219999999998</c:v>
                </c:pt>
                <c:pt idx="386">
                  <c:v>2.9691679999999998</c:v>
                </c:pt>
                <c:pt idx="387">
                  <c:v>2.962342</c:v>
                </c:pt>
                <c:pt idx="388">
                  <c:v>2.9548809999999999</c:v>
                </c:pt>
                <c:pt idx="389">
                  <c:v>2.9429750000000001</c:v>
                </c:pt>
                <c:pt idx="390">
                  <c:v>2.9763109999999999</c:v>
                </c:pt>
                <c:pt idx="391">
                  <c:v>2.9932970000000001</c:v>
                </c:pt>
                <c:pt idx="392">
                  <c:v>2.9596429999999998</c:v>
                </c:pt>
                <c:pt idx="393">
                  <c:v>2.9502769999999998</c:v>
                </c:pt>
                <c:pt idx="394">
                  <c:v>2.9404349999999999</c:v>
                </c:pt>
                <c:pt idx="395">
                  <c:v>2.9290050000000001</c:v>
                </c:pt>
                <c:pt idx="396">
                  <c:v>2.9017010000000001</c:v>
                </c:pt>
                <c:pt idx="397">
                  <c:v>2.9221789999999999</c:v>
                </c:pt>
                <c:pt idx="398">
                  <c:v>2.9156710000000001</c:v>
                </c:pt>
                <c:pt idx="399">
                  <c:v>2.9091619999999998</c:v>
                </c:pt>
                <c:pt idx="400">
                  <c:v>2.9329740000000002</c:v>
                </c:pt>
                <c:pt idx="401">
                  <c:v>2.9386890000000001</c:v>
                </c:pt>
                <c:pt idx="402">
                  <c:v>2.9742479999999998</c:v>
                </c:pt>
                <c:pt idx="403">
                  <c:v>3.003457</c:v>
                </c:pt>
                <c:pt idx="404">
                  <c:v>3.1383899999999998</c:v>
                </c:pt>
                <c:pt idx="405">
                  <c:v>3.09918</c:v>
                </c:pt>
                <c:pt idx="406">
                  <c:v>3.0826709999999999</c:v>
                </c:pt>
                <c:pt idx="407">
                  <c:v>3.14601</c:v>
                </c:pt>
                <c:pt idx="408">
                  <c:v>3.1404540000000001</c:v>
                </c:pt>
                <c:pt idx="409">
                  <c:v>3.1337869999999999</c:v>
                </c:pt>
                <c:pt idx="410">
                  <c:v>3.122833</c:v>
                </c:pt>
                <c:pt idx="411">
                  <c:v>3.1155309999999998</c:v>
                </c:pt>
                <c:pt idx="412">
                  <c:v>3.0934650000000001</c:v>
                </c:pt>
                <c:pt idx="413">
                  <c:v>3.091402</c:v>
                </c:pt>
                <c:pt idx="414">
                  <c:v>3.0426669999999998</c:v>
                </c:pt>
                <c:pt idx="415">
                  <c:v>3.0618750000000001</c:v>
                </c:pt>
                <c:pt idx="416">
                  <c:v>3.040127</c:v>
                </c:pt>
                <c:pt idx="417">
                  <c:v>3.0374279999999998</c:v>
                </c:pt>
                <c:pt idx="418">
                  <c:v>3.0404439999999999</c:v>
                </c:pt>
                <c:pt idx="419">
                  <c:v>3.035682</c:v>
                </c:pt>
                <c:pt idx="420">
                  <c:v>3.036476</c:v>
                </c:pt>
                <c:pt idx="421">
                  <c:v>3.0207600000000001</c:v>
                </c:pt>
                <c:pt idx="422">
                  <c:v>3.0420319999999998</c:v>
                </c:pt>
                <c:pt idx="423">
                  <c:v>3.0301260000000001</c:v>
                </c:pt>
                <c:pt idx="424">
                  <c:v>3.0393330000000001</c:v>
                </c:pt>
                <c:pt idx="425">
                  <c:v>3.1058469999999998</c:v>
                </c:pt>
                <c:pt idx="426">
                  <c:v>3.1217220000000001</c:v>
                </c:pt>
                <c:pt idx="427">
                  <c:v>3.1655359999999999</c:v>
                </c:pt>
                <c:pt idx="428">
                  <c:v>3.2252239999999999</c:v>
                </c:pt>
                <c:pt idx="429">
                  <c:v>3.209349</c:v>
                </c:pt>
                <c:pt idx="430">
                  <c:v>3.2055389999999999</c:v>
                </c:pt>
                <c:pt idx="431">
                  <c:v>3.2704659999999999</c:v>
                </c:pt>
                <c:pt idx="432">
                  <c:v>3.2268110000000001</c:v>
                </c:pt>
                <c:pt idx="433">
                  <c:v>3.2890389999999998</c:v>
                </c:pt>
                <c:pt idx="434">
                  <c:v>3.3217409999999998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8B-455C-90E0-7E685523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Transizione Climatica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5400">
            <a:solidFill>
              <a:sysClr val="windowText" lastClr="00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Pivot'!$V$3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Pivot'!$V$4:$V$439</c:f>
              <c:numCache>
                <c:formatCode>General</c:formatCode>
                <c:ptCount val="435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2.75</c:v>
                </c:pt>
                <c:pt idx="4">
                  <c:v>2.75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2.75</c:v>
                </c:pt>
                <c:pt idx="11">
                  <c:v>2.75</c:v>
                </c:pt>
                <c:pt idx="12">
                  <c:v>2.75</c:v>
                </c:pt>
                <c:pt idx="13">
                  <c:v>2.75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</c:v>
                </c:pt>
                <c:pt idx="100">
                  <c:v>2.75</c:v>
                </c:pt>
                <c:pt idx="101">
                  <c:v>2.75</c:v>
                </c:pt>
                <c:pt idx="102">
                  <c:v>2.75</c:v>
                </c:pt>
                <c:pt idx="103">
                  <c:v>2.75</c:v>
                </c:pt>
                <c:pt idx="104">
                  <c:v>2.75</c:v>
                </c:pt>
                <c:pt idx="105">
                  <c:v>2.75</c:v>
                </c:pt>
                <c:pt idx="106">
                  <c:v>2.75</c:v>
                </c:pt>
                <c:pt idx="107">
                  <c:v>2.75</c:v>
                </c:pt>
                <c:pt idx="108">
                  <c:v>2.75</c:v>
                </c:pt>
                <c:pt idx="109">
                  <c:v>2.75</c:v>
                </c:pt>
                <c:pt idx="110">
                  <c:v>2.75</c:v>
                </c:pt>
                <c:pt idx="111">
                  <c:v>2.75</c:v>
                </c:pt>
                <c:pt idx="112">
                  <c:v>2.75</c:v>
                </c:pt>
                <c:pt idx="113">
                  <c:v>2.75</c:v>
                </c:pt>
                <c:pt idx="114">
                  <c:v>2.75</c:v>
                </c:pt>
                <c:pt idx="115">
                  <c:v>2.75</c:v>
                </c:pt>
                <c:pt idx="116">
                  <c:v>2.75</c:v>
                </c:pt>
                <c:pt idx="117">
                  <c:v>2.75</c:v>
                </c:pt>
                <c:pt idx="118">
                  <c:v>2.75</c:v>
                </c:pt>
                <c:pt idx="119">
                  <c:v>2.75</c:v>
                </c:pt>
                <c:pt idx="120">
                  <c:v>2.75</c:v>
                </c:pt>
                <c:pt idx="121">
                  <c:v>2.75</c:v>
                </c:pt>
                <c:pt idx="122">
                  <c:v>2.75</c:v>
                </c:pt>
                <c:pt idx="123">
                  <c:v>2.75</c:v>
                </c:pt>
                <c:pt idx="124">
                  <c:v>2.75</c:v>
                </c:pt>
                <c:pt idx="125">
                  <c:v>2.75</c:v>
                </c:pt>
                <c:pt idx="126">
                  <c:v>2.75</c:v>
                </c:pt>
                <c:pt idx="127">
                  <c:v>2.75</c:v>
                </c:pt>
                <c:pt idx="128">
                  <c:v>2.75</c:v>
                </c:pt>
                <c:pt idx="129">
                  <c:v>2.75</c:v>
                </c:pt>
                <c:pt idx="130">
                  <c:v>2.75</c:v>
                </c:pt>
                <c:pt idx="131">
                  <c:v>2.75</c:v>
                </c:pt>
                <c:pt idx="132">
                  <c:v>2.75</c:v>
                </c:pt>
                <c:pt idx="133">
                  <c:v>2.75</c:v>
                </c:pt>
                <c:pt idx="134">
                  <c:v>2.75</c:v>
                </c:pt>
                <c:pt idx="135">
                  <c:v>2.75</c:v>
                </c:pt>
                <c:pt idx="136">
                  <c:v>2.75</c:v>
                </c:pt>
                <c:pt idx="137">
                  <c:v>2.75</c:v>
                </c:pt>
                <c:pt idx="138">
                  <c:v>2.75</c:v>
                </c:pt>
                <c:pt idx="139">
                  <c:v>2.75</c:v>
                </c:pt>
                <c:pt idx="140">
                  <c:v>2.75</c:v>
                </c:pt>
                <c:pt idx="141">
                  <c:v>2.75</c:v>
                </c:pt>
                <c:pt idx="142">
                  <c:v>2.75</c:v>
                </c:pt>
                <c:pt idx="143">
                  <c:v>2.75</c:v>
                </c:pt>
                <c:pt idx="144">
                  <c:v>2.75</c:v>
                </c:pt>
                <c:pt idx="145">
                  <c:v>2.75</c:v>
                </c:pt>
                <c:pt idx="146">
                  <c:v>2.75</c:v>
                </c:pt>
                <c:pt idx="147">
                  <c:v>2.75</c:v>
                </c:pt>
                <c:pt idx="148">
                  <c:v>2.75</c:v>
                </c:pt>
                <c:pt idx="149">
                  <c:v>2.75</c:v>
                </c:pt>
                <c:pt idx="150">
                  <c:v>2.75</c:v>
                </c:pt>
                <c:pt idx="151">
                  <c:v>2.75</c:v>
                </c:pt>
                <c:pt idx="152">
                  <c:v>2.75</c:v>
                </c:pt>
                <c:pt idx="153">
                  <c:v>2.75</c:v>
                </c:pt>
                <c:pt idx="154">
                  <c:v>2.75</c:v>
                </c:pt>
                <c:pt idx="155">
                  <c:v>2.75</c:v>
                </c:pt>
                <c:pt idx="156">
                  <c:v>2.75</c:v>
                </c:pt>
                <c:pt idx="157">
                  <c:v>2.75</c:v>
                </c:pt>
                <c:pt idx="158">
                  <c:v>2.75</c:v>
                </c:pt>
                <c:pt idx="159">
                  <c:v>2.75</c:v>
                </c:pt>
                <c:pt idx="160">
                  <c:v>2.75</c:v>
                </c:pt>
                <c:pt idx="161">
                  <c:v>2.75</c:v>
                </c:pt>
                <c:pt idx="162">
                  <c:v>2.75</c:v>
                </c:pt>
                <c:pt idx="163">
                  <c:v>2.75</c:v>
                </c:pt>
                <c:pt idx="164">
                  <c:v>2.75</c:v>
                </c:pt>
                <c:pt idx="165">
                  <c:v>2.75</c:v>
                </c:pt>
                <c:pt idx="166">
                  <c:v>2.75</c:v>
                </c:pt>
                <c:pt idx="167">
                  <c:v>2.75</c:v>
                </c:pt>
                <c:pt idx="168">
                  <c:v>2.75</c:v>
                </c:pt>
                <c:pt idx="169">
                  <c:v>2.75</c:v>
                </c:pt>
                <c:pt idx="170">
                  <c:v>2.75</c:v>
                </c:pt>
                <c:pt idx="171">
                  <c:v>2.75</c:v>
                </c:pt>
                <c:pt idx="172">
                  <c:v>2.75</c:v>
                </c:pt>
                <c:pt idx="173">
                  <c:v>2.75</c:v>
                </c:pt>
                <c:pt idx="174">
                  <c:v>2.75</c:v>
                </c:pt>
                <c:pt idx="175">
                  <c:v>2.75</c:v>
                </c:pt>
                <c:pt idx="176">
                  <c:v>2.75</c:v>
                </c:pt>
                <c:pt idx="177">
                  <c:v>2.75</c:v>
                </c:pt>
                <c:pt idx="178">
                  <c:v>2.75</c:v>
                </c:pt>
                <c:pt idx="179">
                  <c:v>2.75</c:v>
                </c:pt>
                <c:pt idx="180">
                  <c:v>2.75</c:v>
                </c:pt>
                <c:pt idx="181">
                  <c:v>2.75</c:v>
                </c:pt>
                <c:pt idx="182">
                  <c:v>2.75</c:v>
                </c:pt>
                <c:pt idx="183">
                  <c:v>2.75</c:v>
                </c:pt>
                <c:pt idx="184">
                  <c:v>2.75</c:v>
                </c:pt>
                <c:pt idx="185">
                  <c:v>2.75</c:v>
                </c:pt>
                <c:pt idx="186">
                  <c:v>2.75</c:v>
                </c:pt>
                <c:pt idx="187">
                  <c:v>2.75</c:v>
                </c:pt>
                <c:pt idx="188">
                  <c:v>2.75</c:v>
                </c:pt>
                <c:pt idx="189">
                  <c:v>2.75</c:v>
                </c:pt>
                <c:pt idx="190">
                  <c:v>2.75</c:v>
                </c:pt>
                <c:pt idx="191">
                  <c:v>2.75</c:v>
                </c:pt>
                <c:pt idx="192">
                  <c:v>2.75</c:v>
                </c:pt>
                <c:pt idx="193">
                  <c:v>2.75</c:v>
                </c:pt>
                <c:pt idx="194">
                  <c:v>2.75</c:v>
                </c:pt>
                <c:pt idx="195">
                  <c:v>2.75</c:v>
                </c:pt>
                <c:pt idx="196">
                  <c:v>2.75</c:v>
                </c:pt>
                <c:pt idx="197">
                  <c:v>2.75</c:v>
                </c:pt>
                <c:pt idx="198">
                  <c:v>2.75</c:v>
                </c:pt>
                <c:pt idx="199">
                  <c:v>2.75</c:v>
                </c:pt>
                <c:pt idx="200">
                  <c:v>2.75</c:v>
                </c:pt>
                <c:pt idx="201">
                  <c:v>2.75</c:v>
                </c:pt>
                <c:pt idx="202">
                  <c:v>2.75</c:v>
                </c:pt>
                <c:pt idx="203">
                  <c:v>2.75</c:v>
                </c:pt>
                <c:pt idx="204">
                  <c:v>2.75</c:v>
                </c:pt>
                <c:pt idx="205">
                  <c:v>2.75</c:v>
                </c:pt>
                <c:pt idx="206">
                  <c:v>2.75</c:v>
                </c:pt>
                <c:pt idx="207">
                  <c:v>2.75</c:v>
                </c:pt>
                <c:pt idx="208">
                  <c:v>2.75</c:v>
                </c:pt>
                <c:pt idx="209">
                  <c:v>2.75</c:v>
                </c:pt>
                <c:pt idx="210">
                  <c:v>2.75</c:v>
                </c:pt>
                <c:pt idx="211">
                  <c:v>2.75</c:v>
                </c:pt>
                <c:pt idx="212">
                  <c:v>2.75</c:v>
                </c:pt>
                <c:pt idx="213">
                  <c:v>2.75</c:v>
                </c:pt>
                <c:pt idx="214">
                  <c:v>2.75</c:v>
                </c:pt>
                <c:pt idx="215">
                  <c:v>2.75</c:v>
                </c:pt>
                <c:pt idx="216">
                  <c:v>2.75</c:v>
                </c:pt>
                <c:pt idx="217">
                  <c:v>2.75</c:v>
                </c:pt>
                <c:pt idx="218">
                  <c:v>2.75</c:v>
                </c:pt>
                <c:pt idx="219">
                  <c:v>2.75</c:v>
                </c:pt>
                <c:pt idx="220">
                  <c:v>2.75</c:v>
                </c:pt>
                <c:pt idx="221">
                  <c:v>2.75</c:v>
                </c:pt>
                <c:pt idx="222">
                  <c:v>2.75</c:v>
                </c:pt>
                <c:pt idx="223">
                  <c:v>2.75</c:v>
                </c:pt>
                <c:pt idx="224">
                  <c:v>2.75</c:v>
                </c:pt>
                <c:pt idx="225">
                  <c:v>2.75</c:v>
                </c:pt>
                <c:pt idx="226">
                  <c:v>2.75</c:v>
                </c:pt>
                <c:pt idx="227">
                  <c:v>2.75</c:v>
                </c:pt>
                <c:pt idx="228">
                  <c:v>2.75</c:v>
                </c:pt>
                <c:pt idx="229">
                  <c:v>2.75</c:v>
                </c:pt>
                <c:pt idx="230">
                  <c:v>2.75</c:v>
                </c:pt>
                <c:pt idx="231">
                  <c:v>2.75</c:v>
                </c:pt>
                <c:pt idx="232">
                  <c:v>2.75</c:v>
                </c:pt>
                <c:pt idx="233">
                  <c:v>2.75</c:v>
                </c:pt>
                <c:pt idx="234">
                  <c:v>2.75</c:v>
                </c:pt>
                <c:pt idx="235">
                  <c:v>2.75</c:v>
                </c:pt>
                <c:pt idx="236">
                  <c:v>2.75</c:v>
                </c:pt>
                <c:pt idx="237">
                  <c:v>2.75</c:v>
                </c:pt>
                <c:pt idx="238">
                  <c:v>2.75</c:v>
                </c:pt>
                <c:pt idx="239">
                  <c:v>2.75</c:v>
                </c:pt>
                <c:pt idx="240">
                  <c:v>2.75</c:v>
                </c:pt>
                <c:pt idx="241">
                  <c:v>2.75</c:v>
                </c:pt>
                <c:pt idx="242">
                  <c:v>2.75</c:v>
                </c:pt>
                <c:pt idx="243">
                  <c:v>2.75</c:v>
                </c:pt>
                <c:pt idx="244">
                  <c:v>2.75</c:v>
                </c:pt>
                <c:pt idx="245">
                  <c:v>2.75</c:v>
                </c:pt>
                <c:pt idx="246">
                  <c:v>2.75</c:v>
                </c:pt>
                <c:pt idx="247">
                  <c:v>2.75</c:v>
                </c:pt>
                <c:pt idx="248">
                  <c:v>2.75</c:v>
                </c:pt>
                <c:pt idx="249">
                  <c:v>2.75</c:v>
                </c:pt>
                <c:pt idx="250">
                  <c:v>2.75</c:v>
                </c:pt>
                <c:pt idx="251">
                  <c:v>2.75</c:v>
                </c:pt>
                <c:pt idx="252">
                  <c:v>2.75</c:v>
                </c:pt>
                <c:pt idx="253">
                  <c:v>2.75</c:v>
                </c:pt>
                <c:pt idx="254">
                  <c:v>2.75</c:v>
                </c:pt>
                <c:pt idx="255">
                  <c:v>2.75</c:v>
                </c:pt>
                <c:pt idx="256">
                  <c:v>2.75</c:v>
                </c:pt>
                <c:pt idx="257">
                  <c:v>2.75</c:v>
                </c:pt>
                <c:pt idx="258">
                  <c:v>2.75</c:v>
                </c:pt>
                <c:pt idx="259">
                  <c:v>2.75</c:v>
                </c:pt>
                <c:pt idx="260">
                  <c:v>2.75</c:v>
                </c:pt>
                <c:pt idx="261">
                  <c:v>2.75</c:v>
                </c:pt>
                <c:pt idx="262">
                  <c:v>2.75</c:v>
                </c:pt>
                <c:pt idx="263">
                  <c:v>2.75</c:v>
                </c:pt>
                <c:pt idx="264">
                  <c:v>2.75</c:v>
                </c:pt>
                <c:pt idx="265">
                  <c:v>2.75</c:v>
                </c:pt>
                <c:pt idx="266">
                  <c:v>2.75</c:v>
                </c:pt>
                <c:pt idx="267">
                  <c:v>2.75</c:v>
                </c:pt>
                <c:pt idx="268">
                  <c:v>2.75</c:v>
                </c:pt>
                <c:pt idx="269">
                  <c:v>2.75</c:v>
                </c:pt>
                <c:pt idx="270">
                  <c:v>2.75</c:v>
                </c:pt>
                <c:pt idx="271">
                  <c:v>2.75</c:v>
                </c:pt>
                <c:pt idx="272">
                  <c:v>2.75</c:v>
                </c:pt>
                <c:pt idx="273">
                  <c:v>2.75</c:v>
                </c:pt>
                <c:pt idx="274">
                  <c:v>2.75</c:v>
                </c:pt>
                <c:pt idx="275">
                  <c:v>2.75</c:v>
                </c:pt>
                <c:pt idx="276">
                  <c:v>2.75</c:v>
                </c:pt>
                <c:pt idx="277">
                  <c:v>2.75</c:v>
                </c:pt>
                <c:pt idx="278">
                  <c:v>2.75</c:v>
                </c:pt>
                <c:pt idx="279">
                  <c:v>2.75</c:v>
                </c:pt>
                <c:pt idx="280">
                  <c:v>2.75</c:v>
                </c:pt>
                <c:pt idx="281">
                  <c:v>2.75</c:v>
                </c:pt>
                <c:pt idx="282">
                  <c:v>2.75</c:v>
                </c:pt>
                <c:pt idx="283">
                  <c:v>2.75</c:v>
                </c:pt>
                <c:pt idx="284">
                  <c:v>2.75</c:v>
                </c:pt>
                <c:pt idx="285">
                  <c:v>2.75</c:v>
                </c:pt>
                <c:pt idx="286">
                  <c:v>2.75</c:v>
                </c:pt>
                <c:pt idx="287">
                  <c:v>2.75</c:v>
                </c:pt>
                <c:pt idx="288">
                  <c:v>2.75</c:v>
                </c:pt>
                <c:pt idx="289">
                  <c:v>2.75</c:v>
                </c:pt>
                <c:pt idx="290">
                  <c:v>2.75</c:v>
                </c:pt>
                <c:pt idx="291">
                  <c:v>2.75</c:v>
                </c:pt>
                <c:pt idx="292">
                  <c:v>2.75</c:v>
                </c:pt>
                <c:pt idx="293">
                  <c:v>2.75</c:v>
                </c:pt>
                <c:pt idx="294">
                  <c:v>2.75</c:v>
                </c:pt>
                <c:pt idx="295">
                  <c:v>2.75</c:v>
                </c:pt>
                <c:pt idx="296">
                  <c:v>2.75</c:v>
                </c:pt>
                <c:pt idx="297">
                  <c:v>2.75</c:v>
                </c:pt>
                <c:pt idx="298">
                  <c:v>2.75</c:v>
                </c:pt>
                <c:pt idx="299">
                  <c:v>2.75</c:v>
                </c:pt>
                <c:pt idx="300">
                  <c:v>2.75</c:v>
                </c:pt>
                <c:pt idx="301">
                  <c:v>2.75</c:v>
                </c:pt>
                <c:pt idx="302">
                  <c:v>2.75</c:v>
                </c:pt>
                <c:pt idx="303">
                  <c:v>2.75</c:v>
                </c:pt>
                <c:pt idx="304">
                  <c:v>2.75</c:v>
                </c:pt>
                <c:pt idx="305">
                  <c:v>2.75</c:v>
                </c:pt>
                <c:pt idx="306">
                  <c:v>2.75</c:v>
                </c:pt>
                <c:pt idx="307">
                  <c:v>2.75</c:v>
                </c:pt>
                <c:pt idx="308">
                  <c:v>2.75</c:v>
                </c:pt>
                <c:pt idx="309">
                  <c:v>2.75</c:v>
                </c:pt>
                <c:pt idx="310">
                  <c:v>2.75</c:v>
                </c:pt>
                <c:pt idx="311">
                  <c:v>2.75</c:v>
                </c:pt>
                <c:pt idx="312">
                  <c:v>2.75</c:v>
                </c:pt>
                <c:pt idx="313">
                  <c:v>2.75</c:v>
                </c:pt>
                <c:pt idx="314">
                  <c:v>2.75</c:v>
                </c:pt>
                <c:pt idx="315">
                  <c:v>2.75</c:v>
                </c:pt>
                <c:pt idx="316">
                  <c:v>2.75</c:v>
                </c:pt>
                <c:pt idx="317">
                  <c:v>2.75</c:v>
                </c:pt>
                <c:pt idx="318">
                  <c:v>2.75</c:v>
                </c:pt>
                <c:pt idx="319">
                  <c:v>2.75</c:v>
                </c:pt>
                <c:pt idx="320">
                  <c:v>2.75</c:v>
                </c:pt>
                <c:pt idx="321">
                  <c:v>2.75</c:v>
                </c:pt>
                <c:pt idx="322">
                  <c:v>2.75</c:v>
                </c:pt>
                <c:pt idx="323">
                  <c:v>2.75</c:v>
                </c:pt>
                <c:pt idx="324">
                  <c:v>2.75</c:v>
                </c:pt>
                <c:pt idx="325">
                  <c:v>2.75</c:v>
                </c:pt>
                <c:pt idx="326">
                  <c:v>2.75</c:v>
                </c:pt>
                <c:pt idx="327">
                  <c:v>2.75</c:v>
                </c:pt>
                <c:pt idx="328">
                  <c:v>2.75</c:v>
                </c:pt>
                <c:pt idx="329">
                  <c:v>2.75</c:v>
                </c:pt>
                <c:pt idx="330">
                  <c:v>2.75</c:v>
                </c:pt>
                <c:pt idx="331">
                  <c:v>2.75</c:v>
                </c:pt>
                <c:pt idx="332">
                  <c:v>2.75</c:v>
                </c:pt>
                <c:pt idx="333">
                  <c:v>2.75</c:v>
                </c:pt>
                <c:pt idx="334">
                  <c:v>2.75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3.5</c:v>
                </c:pt>
                <c:pt idx="339">
                  <c:v>3.5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3.5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3.5</c:v>
                </c:pt>
                <c:pt idx="357">
                  <c:v>3.5</c:v>
                </c:pt>
                <c:pt idx="358">
                  <c:v>3.5</c:v>
                </c:pt>
                <c:pt idx="359">
                  <c:v>3.5</c:v>
                </c:pt>
                <c:pt idx="360">
                  <c:v>3.5</c:v>
                </c:pt>
                <c:pt idx="361">
                  <c:v>3.5</c:v>
                </c:pt>
                <c:pt idx="362">
                  <c:v>3.5</c:v>
                </c:pt>
                <c:pt idx="363">
                  <c:v>3.5</c:v>
                </c:pt>
                <c:pt idx="364">
                  <c:v>3.5</c:v>
                </c:pt>
                <c:pt idx="365">
                  <c:v>3.5</c:v>
                </c:pt>
                <c:pt idx="366">
                  <c:v>3.5</c:v>
                </c:pt>
                <c:pt idx="367">
                  <c:v>3.5</c:v>
                </c:pt>
                <c:pt idx="368">
                  <c:v>3.5</c:v>
                </c:pt>
                <c:pt idx="369">
                  <c:v>3.5</c:v>
                </c:pt>
                <c:pt idx="370">
                  <c:v>3.5</c:v>
                </c:pt>
                <c:pt idx="371">
                  <c:v>3.5</c:v>
                </c:pt>
                <c:pt idx="372">
                  <c:v>3.5</c:v>
                </c:pt>
                <c:pt idx="373">
                  <c:v>3.5</c:v>
                </c:pt>
                <c:pt idx="374">
                  <c:v>3.5</c:v>
                </c:pt>
                <c:pt idx="375">
                  <c:v>3.5</c:v>
                </c:pt>
                <c:pt idx="376">
                  <c:v>3.5</c:v>
                </c:pt>
                <c:pt idx="377">
                  <c:v>3.5</c:v>
                </c:pt>
                <c:pt idx="378">
                  <c:v>3.5</c:v>
                </c:pt>
                <c:pt idx="379">
                  <c:v>3.5</c:v>
                </c:pt>
                <c:pt idx="380">
                  <c:v>3.5</c:v>
                </c:pt>
                <c:pt idx="381">
                  <c:v>3.5</c:v>
                </c:pt>
                <c:pt idx="382">
                  <c:v>3.5</c:v>
                </c:pt>
                <c:pt idx="383">
                  <c:v>3.5</c:v>
                </c:pt>
                <c:pt idx="384">
                  <c:v>3.5</c:v>
                </c:pt>
                <c:pt idx="385">
                  <c:v>3.5</c:v>
                </c:pt>
                <c:pt idx="386">
                  <c:v>3.5</c:v>
                </c:pt>
                <c:pt idx="387">
                  <c:v>3.5</c:v>
                </c:pt>
                <c:pt idx="388">
                  <c:v>3.5</c:v>
                </c:pt>
                <c:pt idx="389">
                  <c:v>3.5</c:v>
                </c:pt>
                <c:pt idx="390">
                  <c:v>3.5</c:v>
                </c:pt>
                <c:pt idx="391">
                  <c:v>3.5</c:v>
                </c:pt>
                <c:pt idx="392">
                  <c:v>3.5</c:v>
                </c:pt>
                <c:pt idx="393">
                  <c:v>3.5</c:v>
                </c:pt>
                <c:pt idx="394">
                  <c:v>3.5</c:v>
                </c:pt>
                <c:pt idx="395">
                  <c:v>3.5</c:v>
                </c:pt>
                <c:pt idx="396">
                  <c:v>3.5</c:v>
                </c:pt>
                <c:pt idx="397">
                  <c:v>3.5</c:v>
                </c:pt>
                <c:pt idx="398">
                  <c:v>3.5</c:v>
                </c:pt>
                <c:pt idx="399">
                  <c:v>3.5</c:v>
                </c:pt>
                <c:pt idx="400">
                  <c:v>3.5</c:v>
                </c:pt>
                <c:pt idx="401">
                  <c:v>3.5</c:v>
                </c:pt>
                <c:pt idx="402">
                  <c:v>3.5</c:v>
                </c:pt>
                <c:pt idx="403">
                  <c:v>3.5</c:v>
                </c:pt>
                <c:pt idx="404">
                  <c:v>3.5</c:v>
                </c:pt>
                <c:pt idx="405">
                  <c:v>3.5</c:v>
                </c:pt>
                <c:pt idx="406">
                  <c:v>3.5</c:v>
                </c:pt>
                <c:pt idx="407">
                  <c:v>3.5</c:v>
                </c:pt>
                <c:pt idx="408">
                  <c:v>3.5</c:v>
                </c:pt>
                <c:pt idx="409">
                  <c:v>3.5</c:v>
                </c:pt>
                <c:pt idx="410">
                  <c:v>3.5</c:v>
                </c:pt>
                <c:pt idx="411">
                  <c:v>3.5</c:v>
                </c:pt>
                <c:pt idx="412">
                  <c:v>3.5</c:v>
                </c:pt>
                <c:pt idx="413">
                  <c:v>3.5</c:v>
                </c:pt>
                <c:pt idx="414">
                  <c:v>3.5</c:v>
                </c:pt>
                <c:pt idx="415">
                  <c:v>3.5</c:v>
                </c:pt>
                <c:pt idx="416">
                  <c:v>3.5</c:v>
                </c:pt>
                <c:pt idx="417">
                  <c:v>3.5</c:v>
                </c:pt>
                <c:pt idx="418">
                  <c:v>3.5</c:v>
                </c:pt>
                <c:pt idx="419">
                  <c:v>3.5</c:v>
                </c:pt>
                <c:pt idx="420">
                  <c:v>3.5</c:v>
                </c:pt>
                <c:pt idx="421">
                  <c:v>3.5</c:v>
                </c:pt>
                <c:pt idx="422">
                  <c:v>3.5</c:v>
                </c:pt>
                <c:pt idx="423">
                  <c:v>3.5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3.5</c:v>
                </c:pt>
                <c:pt idx="428">
                  <c:v>3.5</c:v>
                </c:pt>
                <c:pt idx="429">
                  <c:v>3.5</c:v>
                </c:pt>
                <c:pt idx="430">
                  <c:v>3.5</c:v>
                </c:pt>
                <c:pt idx="431">
                  <c:v>3.5</c:v>
                </c:pt>
                <c:pt idx="432">
                  <c:v>3.5</c:v>
                </c:pt>
                <c:pt idx="433">
                  <c:v>3.5</c:v>
                </c:pt>
                <c:pt idx="434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DFC-475C-BFD9-79FD104CD4D3}"/>
            </c:ext>
          </c:extLst>
        </c:ser>
        <c:ser>
          <c:idx val="1"/>
          <c:order val="1"/>
          <c:tx>
            <c:strRef>
              <c:f>'Tabelle Pivot'!$W$3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Pivot'!$W$4:$W$439</c:f>
              <c:numCache>
                <c:formatCode>General</c:formatCode>
                <c:ptCount val="43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2.9</c:v>
                </c:pt>
                <c:pt idx="9">
                  <c:v>2.9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2.9</c:v>
                </c:pt>
                <c:pt idx="14">
                  <c:v>2.9</c:v>
                </c:pt>
                <c:pt idx="15">
                  <c:v>2.9</c:v>
                </c:pt>
                <c:pt idx="16">
                  <c:v>2.9</c:v>
                </c:pt>
                <c:pt idx="17">
                  <c:v>2.9</c:v>
                </c:pt>
                <c:pt idx="18">
                  <c:v>2.9</c:v>
                </c:pt>
                <c:pt idx="19">
                  <c:v>2.9</c:v>
                </c:pt>
                <c:pt idx="20">
                  <c:v>2.9</c:v>
                </c:pt>
                <c:pt idx="21">
                  <c:v>2.9</c:v>
                </c:pt>
                <c:pt idx="22">
                  <c:v>2.9</c:v>
                </c:pt>
                <c:pt idx="23">
                  <c:v>2.9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2.9</c:v>
                </c:pt>
                <c:pt idx="36">
                  <c:v>2.9</c:v>
                </c:pt>
                <c:pt idx="37">
                  <c:v>2.9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2.9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2.9</c:v>
                </c:pt>
                <c:pt idx="59">
                  <c:v>2.9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2.9</c:v>
                </c:pt>
                <c:pt idx="85">
                  <c:v>2.9</c:v>
                </c:pt>
                <c:pt idx="86">
                  <c:v>2.9</c:v>
                </c:pt>
                <c:pt idx="87">
                  <c:v>2.9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2.9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2.9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2.9</c:v>
                </c:pt>
                <c:pt idx="189">
                  <c:v>2.9</c:v>
                </c:pt>
                <c:pt idx="190">
                  <c:v>2.9</c:v>
                </c:pt>
                <c:pt idx="191">
                  <c:v>2.9</c:v>
                </c:pt>
                <c:pt idx="192">
                  <c:v>2.9</c:v>
                </c:pt>
                <c:pt idx="193">
                  <c:v>2.9</c:v>
                </c:pt>
                <c:pt idx="194">
                  <c:v>2.9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2.9</c:v>
                </c:pt>
                <c:pt idx="208">
                  <c:v>2.9</c:v>
                </c:pt>
                <c:pt idx="209">
                  <c:v>2.9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2.9</c:v>
                </c:pt>
                <c:pt idx="214">
                  <c:v>2.9</c:v>
                </c:pt>
                <c:pt idx="215">
                  <c:v>2.9</c:v>
                </c:pt>
                <c:pt idx="216">
                  <c:v>2.9</c:v>
                </c:pt>
                <c:pt idx="217">
                  <c:v>2.9</c:v>
                </c:pt>
                <c:pt idx="218">
                  <c:v>2.9</c:v>
                </c:pt>
                <c:pt idx="219">
                  <c:v>2.9</c:v>
                </c:pt>
                <c:pt idx="220">
                  <c:v>2.9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2.9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2.9</c:v>
                </c:pt>
                <c:pt idx="305">
                  <c:v>2.9</c:v>
                </c:pt>
                <c:pt idx="306">
                  <c:v>2.9</c:v>
                </c:pt>
                <c:pt idx="307">
                  <c:v>2.9</c:v>
                </c:pt>
                <c:pt idx="308">
                  <c:v>2.9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3.65</c:v>
                </c:pt>
                <c:pt idx="336">
                  <c:v>3.65</c:v>
                </c:pt>
                <c:pt idx="337">
                  <c:v>3.65</c:v>
                </c:pt>
                <c:pt idx="338">
                  <c:v>3.65</c:v>
                </c:pt>
                <c:pt idx="339">
                  <c:v>3.65</c:v>
                </c:pt>
                <c:pt idx="340">
                  <c:v>3.65</c:v>
                </c:pt>
                <c:pt idx="341">
                  <c:v>3.65</c:v>
                </c:pt>
                <c:pt idx="342">
                  <c:v>3.65</c:v>
                </c:pt>
                <c:pt idx="343">
                  <c:v>3.65</c:v>
                </c:pt>
                <c:pt idx="344">
                  <c:v>3.65</c:v>
                </c:pt>
                <c:pt idx="345">
                  <c:v>3.65</c:v>
                </c:pt>
                <c:pt idx="346">
                  <c:v>3.65</c:v>
                </c:pt>
                <c:pt idx="347">
                  <c:v>3.65</c:v>
                </c:pt>
                <c:pt idx="348">
                  <c:v>3.65</c:v>
                </c:pt>
                <c:pt idx="349">
                  <c:v>3.65</c:v>
                </c:pt>
                <c:pt idx="350">
                  <c:v>3.65</c:v>
                </c:pt>
                <c:pt idx="351">
                  <c:v>3.65</c:v>
                </c:pt>
                <c:pt idx="352">
                  <c:v>3.65</c:v>
                </c:pt>
                <c:pt idx="353">
                  <c:v>3.65</c:v>
                </c:pt>
                <c:pt idx="354">
                  <c:v>3.65</c:v>
                </c:pt>
                <c:pt idx="355">
                  <c:v>3.65</c:v>
                </c:pt>
                <c:pt idx="356">
                  <c:v>3.65</c:v>
                </c:pt>
                <c:pt idx="357">
                  <c:v>3.65</c:v>
                </c:pt>
                <c:pt idx="358">
                  <c:v>3.65</c:v>
                </c:pt>
                <c:pt idx="359">
                  <c:v>3.65</c:v>
                </c:pt>
                <c:pt idx="360">
                  <c:v>3.65</c:v>
                </c:pt>
                <c:pt idx="361">
                  <c:v>3.65</c:v>
                </c:pt>
                <c:pt idx="362">
                  <c:v>3.65</c:v>
                </c:pt>
                <c:pt idx="363">
                  <c:v>3.65</c:v>
                </c:pt>
                <c:pt idx="364">
                  <c:v>3.65</c:v>
                </c:pt>
                <c:pt idx="365">
                  <c:v>3.65</c:v>
                </c:pt>
                <c:pt idx="366">
                  <c:v>3.65</c:v>
                </c:pt>
                <c:pt idx="367">
                  <c:v>3.65</c:v>
                </c:pt>
                <c:pt idx="368">
                  <c:v>3.65</c:v>
                </c:pt>
                <c:pt idx="369">
                  <c:v>3.65</c:v>
                </c:pt>
                <c:pt idx="370">
                  <c:v>3.65</c:v>
                </c:pt>
                <c:pt idx="371">
                  <c:v>3.65</c:v>
                </c:pt>
                <c:pt idx="372">
                  <c:v>3.65</c:v>
                </c:pt>
                <c:pt idx="373">
                  <c:v>3.65</c:v>
                </c:pt>
                <c:pt idx="374">
                  <c:v>3.65</c:v>
                </c:pt>
                <c:pt idx="375">
                  <c:v>3.65</c:v>
                </c:pt>
                <c:pt idx="376">
                  <c:v>3.65</c:v>
                </c:pt>
                <c:pt idx="377">
                  <c:v>3.65</c:v>
                </c:pt>
                <c:pt idx="378">
                  <c:v>3.65</c:v>
                </c:pt>
                <c:pt idx="379">
                  <c:v>3.65</c:v>
                </c:pt>
                <c:pt idx="380">
                  <c:v>3.65</c:v>
                </c:pt>
                <c:pt idx="381">
                  <c:v>3.65</c:v>
                </c:pt>
                <c:pt idx="382">
                  <c:v>3.65</c:v>
                </c:pt>
                <c:pt idx="383">
                  <c:v>3.65</c:v>
                </c:pt>
                <c:pt idx="384">
                  <c:v>3.65</c:v>
                </c:pt>
                <c:pt idx="385">
                  <c:v>3.65</c:v>
                </c:pt>
                <c:pt idx="386">
                  <c:v>3.65</c:v>
                </c:pt>
                <c:pt idx="387">
                  <c:v>3.65</c:v>
                </c:pt>
                <c:pt idx="388">
                  <c:v>3.65</c:v>
                </c:pt>
                <c:pt idx="389">
                  <c:v>3.65</c:v>
                </c:pt>
                <c:pt idx="390">
                  <c:v>3.65</c:v>
                </c:pt>
                <c:pt idx="391">
                  <c:v>3.65</c:v>
                </c:pt>
                <c:pt idx="392">
                  <c:v>3.65</c:v>
                </c:pt>
                <c:pt idx="393">
                  <c:v>3.65</c:v>
                </c:pt>
                <c:pt idx="394">
                  <c:v>3.65</c:v>
                </c:pt>
                <c:pt idx="395">
                  <c:v>3.65</c:v>
                </c:pt>
                <c:pt idx="396">
                  <c:v>3.65</c:v>
                </c:pt>
                <c:pt idx="397">
                  <c:v>3.65</c:v>
                </c:pt>
                <c:pt idx="398">
                  <c:v>3.65</c:v>
                </c:pt>
                <c:pt idx="399">
                  <c:v>3.65</c:v>
                </c:pt>
                <c:pt idx="400">
                  <c:v>3.65</c:v>
                </c:pt>
                <c:pt idx="401">
                  <c:v>3.65</c:v>
                </c:pt>
                <c:pt idx="402">
                  <c:v>3.65</c:v>
                </c:pt>
                <c:pt idx="403">
                  <c:v>3.65</c:v>
                </c:pt>
                <c:pt idx="404">
                  <c:v>3.65</c:v>
                </c:pt>
                <c:pt idx="405">
                  <c:v>3.65</c:v>
                </c:pt>
                <c:pt idx="406">
                  <c:v>3.65</c:v>
                </c:pt>
                <c:pt idx="407">
                  <c:v>3.65</c:v>
                </c:pt>
                <c:pt idx="408">
                  <c:v>3.65</c:v>
                </c:pt>
                <c:pt idx="409">
                  <c:v>3.65</c:v>
                </c:pt>
                <c:pt idx="410">
                  <c:v>3.65</c:v>
                </c:pt>
                <c:pt idx="411">
                  <c:v>3.65</c:v>
                </c:pt>
                <c:pt idx="412">
                  <c:v>3.65</c:v>
                </c:pt>
                <c:pt idx="413">
                  <c:v>3.65</c:v>
                </c:pt>
                <c:pt idx="414">
                  <c:v>3.65</c:v>
                </c:pt>
                <c:pt idx="415">
                  <c:v>3.65</c:v>
                </c:pt>
                <c:pt idx="416">
                  <c:v>3.65</c:v>
                </c:pt>
                <c:pt idx="417">
                  <c:v>3.65</c:v>
                </c:pt>
                <c:pt idx="418">
                  <c:v>3.65</c:v>
                </c:pt>
                <c:pt idx="419">
                  <c:v>3.65</c:v>
                </c:pt>
                <c:pt idx="420">
                  <c:v>3.65</c:v>
                </c:pt>
                <c:pt idx="421">
                  <c:v>3.65</c:v>
                </c:pt>
                <c:pt idx="422">
                  <c:v>3.65</c:v>
                </c:pt>
                <c:pt idx="423">
                  <c:v>3.65</c:v>
                </c:pt>
                <c:pt idx="424">
                  <c:v>3.65</c:v>
                </c:pt>
                <c:pt idx="425">
                  <c:v>3.65</c:v>
                </c:pt>
                <c:pt idx="426">
                  <c:v>3.65</c:v>
                </c:pt>
                <c:pt idx="427">
                  <c:v>3.65</c:v>
                </c:pt>
                <c:pt idx="428">
                  <c:v>3.65</c:v>
                </c:pt>
                <c:pt idx="429">
                  <c:v>3.65</c:v>
                </c:pt>
                <c:pt idx="430">
                  <c:v>3.65</c:v>
                </c:pt>
                <c:pt idx="431">
                  <c:v>3.65</c:v>
                </c:pt>
                <c:pt idx="432">
                  <c:v>3.65</c:v>
                </c:pt>
                <c:pt idx="433">
                  <c:v>3.65</c:v>
                </c:pt>
                <c:pt idx="434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DFC-475C-BFD9-79FD104CD4D3}"/>
            </c:ext>
          </c:extLst>
        </c:ser>
        <c:ser>
          <c:idx val="2"/>
          <c:order val="2"/>
          <c:tx>
            <c:strRef>
              <c:f>'Tabelle Pivot'!$X$3</c:f>
              <c:strCache>
                <c:ptCount val="1"/>
                <c:pt idx="0">
                  <c:v>Transizione Climatica</c:v>
                </c:pt>
              </c:strCache>
            </c:strRef>
          </c:tx>
          <c:spPr>
            <a:ln w="25400">
              <a:solidFill>
                <a:sysClr val="windowText" lastClr="000000"/>
              </a:solidFill>
            </a:ln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Pivot'!$X$4:$X$439</c:f>
              <c:numCache>
                <c:formatCode>General</c:formatCode>
                <c:ptCount val="435"/>
                <c:pt idx="0">
                  <c:v>1.8141389999999999</c:v>
                </c:pt>
                <c:pt idx="1">
                  <c:v>1.8509679999999999</c:v>
                </c:pt>
                <c:pt idx="2">
                  <c:v>1.842554</c:v>
                </c:pt>
                <c:pt idx="3">
                  <c:v>1.840808</c:v>
                </c:pt>
                <c:pt idx="4">
                  <c:v>1.8506499999999999</c:v>
                </c:pt>
                <c:pt idx="5">
                  <c:v>1.86208</c:v>
                </c:pt>
                <c:pt idx="6">
                  <c:v>1.859381</c:v>
                </c:pt>
                <c:pt idx="7">
                  <c:v>1.854619</c:v>
                </c:pt>
                <c:pt idx="8">
                  <c:v>1.831601</c:v>
                </c:pt>
                <c:pt idx="9">
                  <c:v>1.813504</c:v>
                </c:pt>
                <c:pt idx="10">
                  <c:v>1.7965180000000001</c:v>
                </c:pt>
                <c:pt idx="11">
                  <c:v>1.787946</c:v>
                </c:pt>
                <c:pt idx="12">
                  <c:v>1.7908029999999999</c:v>
                </c:pt>
                <c:pt idx="13">
                  <c:v>1.7942959999999999</c:v>
                </c:pt>
                <c:pt idx="14">
                  <c:v>1.7893749999999999</c:v>
                </c:pt>
                <c:pt idx="15">
                  <c:v>1.799534</c:v>
                </c:pt>
                <c:pt idx="16">
                  <c:v>1.7933429999999999</c:v>
                </c:pt>
                <c:pt idx="17">
                  <c:v>1.7908029999999999</c:v>
                </c:pt>
                <c:pt idx="18">
                  <c:v>1.7693730000000001</c:v>
                </c:pt>
                <c:pt idx="19">
                  <c:v>1.7849299999999999</c:v>
                </c:pt>
                <c:pt idx="20">
                  <c:v>1.795248</c:v>
                </c:pt>
                <c:pt idx="21">
                  <c:v>1.8112809999999999</c:v>
                </c:pt>
                <c:pt idx="22">
                  <c:v>1.8173140000000001</c:v>
                </c:pt>
                <c:pt idx="23">
                  <c:v>1.941611</c:v>
                </c:pt>
                <c:pt idx="24">
                  <c:v>1.9549460000000001</c:v>
                </c:pt>
                <c:pt idx="25">
                  <c:v>1.9759</c:v>
                </c:pt>
                <c:pt idx="26">
                  <c:v>1.9730430000000001</c:v>
                </c:pt>
                <c:pt idx="27">
                  <c:v>1.964788</c:v>
                </c:pt>
                <c:pt idx="28">
                  <c:v>1.969233</c:v>
                </c:pt>
                <c:pt idx="29">
                  <c:v>1.966852</c:v>
                </c:pt>
                <c:pt idx="30">
                  <c:v>1.964947</c:v>
                </c:pt>
                <c:pt idx="31">
                  <c:v>1.9603429999999999</c:v>
                </c:pt>
                <c:pt idx="32">
                  <c:v>1.9746300000000001</c:v>
                </c:pt>
                <c:pt idx="33">
                  <c:v>1.969074</c:v>
                </c:pt>
                <c:pt idx="34">
                  <c:v>1.962248</c:v>
                </c:pt>
                <c:pt idx="35">
                  <c:v>1.871604</c:v>
                </c:pt>
                <c:pt idx="36">
                  <c:v>1.841602</c:v>
                </c:pt>
                <c:pt idx="37">
                  <c:v>1.921292</c:v>
                </c:pt>
                <c:pt idx="38">
                  <c:v>1.9028769999999999</c:v>
                </c:pt>
                <c:pt idx="39">
                  <c:v>1.8787480000000001</c:v>
                </c:pt>
                <c:pt idx="40">
                  <c:v>1.8765259999999999</c:v>
                </c:pt>
                <c:pt idx="41">
                  <c:v>1.934626</c:v>
                </c:pt>
                <c:pt idx="42">
                  <c:v>1.9176409999999999</c:v>
                </c:pt>
                <c:pt idx="43">
                  <c:v>1.927165</c:v>
                </c:pt>
                <c:pt idx="44">
                  <c:v>1.9198630000000001</c:v>
                </c:pt>
                <c:pt idx="45">
                  <c:v>1.9198630000000001</c:v>
                </c:pt>
                <c:pt idx="46">
                  <c:v>1.9219269999999999</c:v>
                </c:pt>
                <c:pt idx="47">
                  <c:v>1.9439919999999999</c:v>
                </c:pt>
                <c:pt idx="48">
                  <c:v>1.94177</c:v>
                </c:pt>
                <c:pt idx="49">
                  <c:v>1.9166879999999999</c:v>
                </c:pt>
                <c:pt idx="50">
                  <c:v>1.9406589999999999</c:v>
                </c:pt>
                <c:pt idx="51">
                  <c:v>1.96193</c:v>
                </c:pt>
                <c:pt idx="52">
                  <c:v>1.950342</c:v>
                </c:pt>
                <c:pt idx="53">
                  <c:v>1.9627239999999999</c:v>
                </c:pt>
                <c:pt idx="54">
                  <c:v>1.9587559999999999</c:v>
                </c:pt>
                <c:pt idx="55">
                  <c:v>1.9697089999999999</c:v>
                </c:pt>
                <c:pt idx="56">
                  <c:v>1.9833609999999999</c:v>
                </c:pt>
                <c:pt idx="57">
                  <c:v>1.9824090000000001</c:v>
                </c:pt>
                <c:pt idx="58">
                  <c:v>2.0025689999999998</c:v>
                </c:pt>
                <c:pt idx="59">
                  <c:v>2.015428</c:v>
                </c:pt>
                <c:pt idx="60">
                  <c:v>1.994156</c:v>
                </c:pt>
                <c:pt idx="61">
                  <c:v>2.0138400000000001</c:v>
                </c:pt>
                <c:pt idx="62">
                  <c:v>1.975741</c:v>
                </c:pt>
                <c:pt idx="63">
                  <c:v>1.975741</c:v>
                </c:pt>
                <c:pt idx="64">
                  <c:v>2.0309849999999998</c:v>
                </c:pt>
                <c:pt idx="65">
                  <c:v>2.0262220000000002</c:v>
                </c:pt>
                <c:pt idx="66">
                  <c:v>2.047018</c:v>
                </c:pt>
                <c:pt idx="67">
                  <c:v>2.059876</c:v>
                </c:pt>
                <c:pt idx="68">
                  <c:v>2.0073319999999999</c:v>
                </c:pt>
                <c:pt idx="69">
                  <c:v>2.0295559999999999</c:v>
                </c:pt>
                <c:pt idx="70">
                  <c:v>1.9993939999999999</c:v>
                </c:pt>
                <c:pt idx="71">
                  <c:v>2.0263810000000002</c:v>
                </c:pt>
                <c:pt idx="72">
                  <c:v>2.0030450000000002</c:v>
                </c:pt>
                <c:pt idx="73">
                  <c:v>1.98733</c:v>
                </c:pt>
                <c:pt idx="74">
                  <c:v>1.9954259999999999</c:v>
                </c:pt>
                <c:pt idx="75">
                  <c:v>1.9524060000000001</c:v>
                </c:pt>
                <c:pt idx="76">
                  <c:v>2.0024099999999998</c:v>
                </c:pt>
                <c:pt idx="77">
                  <c:v>1.9498660000000001</c:v>
                </c:pt>
                <c:pt idx="78">
                  <c:v>1.9655819999999999</c:v>
                </c:pt>
                <c:pt idx="79">
                  <c:v>1.9759</c:v>
                </c:pt>
                <c:pt idx="80">
                  <c:v>1.916371</c:v>
                </c:pt>
                <c:pt idx="81">
                  <c:v>1.9127190000000001</c:v>
                </c:pt>
                <c:pt idx="82">
                  <c:v>1.9643120000000001</c:v>
                </c:pt>
                <c:pt idx="83">
                  <c:v>1.950342</c:v>
                </c:pt>
                <c:pt idx="84">
                  <c:v>1.934944</c:v>
                </c:pt>
                <c:pt idx="85">
                  <c:v>1.911449</c:v>
                </c:pt>
                <c:pt idx="86">
                  <c:v>1.920498</c:v>
                </c:pt>
                <c:pt idx="87">
                  <c:v>1.923197</c:v>
                </c:pt>
                <c:pt idx="88">
                  <c:v>1.953676</c:v>
                </c:pt>
                <c:pt idx="89">
                  <c:v>1.9960610000000001</c:v>
                </c:pt>
                <c:pt idx="90">
                  <c:v>1.979392</c:v>
                </c:pt>
                <c:pt idx="91">
                  <c:v>1.9616130000000001</c:v>
                </c:pt>
                <c:pt idx="92">
                  <c:v>1.954628</c:v>
                </c:pt>
                <c:pt idx="93">
                  <c:v>1.9438329999999999</c:v>
                </c:pt>
                <c:pt idx="94">
                  <c:v>1.976059</c:v>
                </c:pt>
                <c:pt idx="95">
                  <c:v>1.9927269999999999</c:v>
                </c:pt>
                <c:pt idx="96">
                  <c:v>1.967487</c:v>
                </c:pt>
                <c:pt idx="97">
                  <c:v>1.9335150000000001</c:v>
                </c:pt>
                <c:pt idx="98">
                  <c:v>1.939865</c:v>
                </c:pt>
                <c:pt idx="99">
                  <c:v>1.953676</c:v>
                </c:pt>
                <c:pt idx="100">
                  <c:v>1.9859009999999999</c:v>
                </c:pt>
                <c:pt idx="101">
                  <c:v>2.1033719999999998</c:v>
                </c:pt>
                <c:pt idx="102">
                  <c:v>2.1525829999999999</c:v>
                </c:pt>
                <c:pt idx="103">
                  <c:v>2.142582</c:v>
                </c:pt>
                <c:pt idx="104">
                  <c:v>2.207033</c:v>
                </c:pt>
                <c:pt idx="105">
                  <c:v>2.221479</c:v>
                </c:pt>
                <c:pt idx="106">
                  <c:v>2.1875070000000001</c:v>
                </c:pt>
                <c:pt idx="107">
                  <c:v>2.1597270000000002</c:v>
                </c:pt>
                <c:pt idx="108">
                  <c:v>2.1927460000000001</c:v>
                </c:pt>
                <c:pt idx="109">
                  <c:v>2.207668</c:v>
                </c:pt>
                <c:pt idx="110">
                  <c:v>2.2211609999999999</c:v>
                </c:pt>
                <c:pt idx="111">
                  <c:v>2.1956030000000002</c:v>
                </c:pt>
                <c:pt idx="112">
                  <c:v>2.1748080000000001</c:v>
                </c:pt>
                <c:pt idx="113">
                  <c:v>2.184809</c:v>
                </c:pt>
                <c:pt idx="114">
                  <c:v>2.184015</c:v>
                </c:pt>
                <c:pt idx="115">
                  <c:v>2.1892529999999999</c:v>
                </c:pt>
                <c:pt idx="116">
                  <c:v>2.2270349999999999</c:v>
                </c:pt>
                <c:pt idx="117">
                  <c:v>2.2608470000000001</c:v>
                </c:pt>
                <c:pt idx="118">
                  <c:v>2.2492589999999999</c:v>
                </c:pt>
                <c:pt idx="119">
                  <c:v>2.265927</c:v>
                </c:pt>
                <c:pt idx="120">
                  <c:v>2.3299020000000001</c:v>
                </c:pt>
                <c:pt idx="121">
                  <c:v>2.307518</c:v>
                </c:pt>
                <c:pt idx="122">
                  <c:v>2.2967240000000002</c:v>
                </c:pt>
                <c:pt idx="123">
                  <c:v>2.238464</c:v>
                </c:pt>
                <c:pt idx="124">
                  <c:v>2.36673</c:v>
                </c:pt>
                <c:pt idx="125">
                  <c:v>2.3375210000000002</c:v>
                </c:pt>
                <c:pt idx="126">
                  <c:v>2.2864049999999998</c:v>
                </c:pt>
                <c:pt idx="127">
                  <c:v>2.2605300000000002</c:v>
                </c:pt>
                <c:pt idx="128">
                  <c:v>2.3243450000000001</c:v>
                </c:pt>
                <c:pt idx="129">
                  <c:v>2.30355</c:v>
                </c:pt>
                <c:pt idx="130">
                  <c:v>2.3325999999999998</c:v>
                </c:pt>
                <c:pt idx="131">
                  <c:v>2.3195830000000002</c:v>
                </c:pt>
                <c:pt idx="132">
                  <c:v>2.3057720000000002</c:v>
                </c:pt>
                <c:pt idx="133">
                  <c:v>2.3159320000000001</c:v>
                </c:pt>
                <c:pt idx="134">
                  <c:v>2.3537129999999999</c:v>
                </c:pt>
                <c:pt idx="135">
                  <c:v>2.361809</c:v>
                </c:pt>
                <c:pt idx="136">
                  <c:v>2.5076960000000001</c:v>
                </c:pt>
                <c:pt idx="137">
                  <c:v>2.5175380000000001</c:v>
                </c:pt>
                <c:pt idx="138">
                  <c:v>2.5110299999999999</c:v>
                </c:pt>
                <c:pt idx="139">
                  <c:v>2.504839</c:v>
                </c:pt>
                <c:pt idx="140">
                  <c:v>2.5435720000000002</c:v>
                </c:pt>
                <c:pt idx="141">
                  <c:v>2.5634160000000001</c:v>
                </c:pt>
                <c:pt idx="142">
                  <c:v>2.5437310000000002</c:v>
                </c:pt>
                <c:pt idx="143">
                  <c:v>2.5621459999999998</c:v>
                </c:pt>
                <c:pt idx="144">
                  <c:v>2.5640510000000001</c:v>
                </c:pt>
                <c:pt idx="145">
                  <c:v>2.545477</c:v>
                </c:pt>
                <c:pt idx="146">
                  <c:v>2.522459</c:v>
                </c:pt>
                <c:pt idx="147">
                  <c:v>2.5030920000000001</c:v>
                </c:pt>
                <c:pt idx="148">
                  <c:v>2.5123000000000002</c:v>
                </c:pt>
                <c:pt idx="149">
                  <c:v>2.435308</c:v>
                </c:pt>
                <c:pt idx="150">
                  <c:v>2.5019809999999998</c:v>
                </c:pt>
                <c:pt idx="151">
                  <c:v>2.4945200000000001</c:v>
                </c:pt>
                <c:pt idx="152">
                  <c:v>2.4870589999999999</c:v>
                </c:pt>
                <c:pt idx="153">
                  <c:v>2.4341970000000002</c:v>
                </c:pt>
                <c:pt idx="154">
                  <c:v>2.4622950000000001</c:v>
                </c:pt>
                <c:pt idx="155">
                  <c:v>2.4305460000000001</c:v>
                </c:pt>
                <c:pt idx="156">
                  <c:v>2.482297</c:v>
                </c:pt>
                <c:pt idx="157">
                  <c:v>2.468486</c:v>
                </c:pt>
                <c:pt idx="158">
                  <c:v>2.5111880000000002</c:v>
                </c:pt>
                <c:pt idx="159">
                  <c:v>2.5659550000000002</c:v>
                </c:pt>
                <c:pt idx="160">
                  <c:v>2.5613519999999999</c:v>
                </c:pt>
                <c:pt idx="161">
                  <c:v>2.5792899999999999</c:v>
                </c:pt>
                <c:pt idx="162">
                  <c:v>2.5764330000000002</c:v>
                </c:pt>
                <c:pt idx="163">
                  <c:v>2.5937359999999998</c:v>
                </c:pt>
                <c:pt idx="164">
                  <c:v>2.6083400000000001</c:v>
                </c:pt>
                <c:pt idx="165">
                  <c:v>2.601197</c:v>
                </c:pt>
                <c:pt idx="166">
                  <c:v>2.5648439999999999</c:v>
                </c:pt>
                <c:pt idx="167">
                  <c:v>2.5870690000000001</c:v>
                </c:pt>
                <c:pt idx="168">
                  <c:v>2.5615109999999999</c:v>
                </c:pt>
                <c:pt idx="169">
                  <c:v>2.5626220000000002</c:v>
                </c:pt>
                <c:pt idx="170">
                  <c:v>2.532778</c:v>
                </c:pt>
                <c:pt idx="171">
                  <c:v>2.477217</c:v>
                </c:pt>
                <c:pt idx="172">
                  <c:v>2.4662639999999998</c:v>
                </c:pt>
                <c:pt idx="173">
                  <c:v>2.4586440000000001</c:v>
                </c:pt>
                <c:pt idx="174">
                  <c:v>2.398479</c:v>
                </c:pt>
                <c:pt idx="175">
                  <c:v>2.3435540000000001</c:v>
                </c:pt>
                <c:pt idx="176">
                  <c:v>2.3089469999999999</c:v>
                </c:pt>
                <c:pt idx="177">
                  <c:v>2.3273619999999999</c:v>
                </c:pt>
                <c:pt idx="178">
                  <c:v>2.3500619999999999</c:v>
                </c:pt>
                <c:pt idx="179">
                  <c:v>2.3687939999999998</c:v>
                </c:pt>
                <c:pt idx="180">
                  <c:v>2.4837259999999999</c:v>
                </c:pt>
                <c:pt idx="181">
                  <c:v>2.482297</c:v>
                </c:pt>
                <c:pt idx="182">
                  <c:v>2.4524530000000002</c:v>
                </c:pt>
                <c:pt idx="183">
                  <c:v>2.4327679999999998</c:v>
                </c:pt>
                <c:pt idx="184">
                  <c:v>2.4146709999999998</c:v>
                </c:pt>
                <c:pt idx="185">
                  <c:v>2.3914949999999999</c:v>
                </c:pt>
                <c:pt idx="186">
                  <c:v>2.3892720000000001</c:v>
                </c:pt>
                <c:pt idx="187">
                  <c:v>2.4054639999999998</c:v>
                </c:pt>
                <c:pt idx="188">
                  <c:v>2.3946700000000001</c:v>
                </c:pt>
                <c:pt idx="189">
                  <c:v>2.4200689999999998</c:v>
                </c:pt>
                <c:pt idx="190">
                  <c:v>2.42753</c:v>
                </c:pt>
                <c:pt idx="191">
                  <c:v>2.4919799999999999</c:v>
                </c:pt>
                <c:pt idx="192">
                  <c:v>2.5038860000000001</c:v>
                </c:pt>
                <c:pt idx="193">
                  <c:v>2.5105529999999998</c:v>
                </c:pt>
                <c:pt idx="194">
                  <c:v>2.495949</c:v>
                </c:pt>
                <c:pt idx="195">
                  <c:v>2.491028</c:v>
                </c:pt>
                <c:pt idx="196">
                  <c:v>2.50468</c:v>
                </c:pt>
                <c:pt idx="197">
                  <c:v>2.508807</c:v>
                </c:pt>
                <c:pt idx="198">
                  <c:v>2.51484</c:v>
                </c:pt>
                <c:pt idx="199">
                  <c:v>2.5407150000000001</c:v>
                </c:pt>
                <c:pt idx="200">
                  <c:v>2.5354760000000001</c:v>
                </c:pt>
                <c:pt idx="201">
                  <c:v>2.5099179999999999</c:v>
                </c:pt>
                <c:pt idx="202">
                  <c:v>2.458485</c:v>
                </c:pt>
                <c:pt idx="203">
                  <c:v>2.45404</c:v>
                </c:pt>
                <c:pt idx="204">
                  <c:v>2.4227669999999999</c:v>
                </c:pt>
                <c:pt idx="205">
                  <c:v>2.4287999999999998</c:v>
                </c:pt>
                <c:pt idx="206">
                  <c:v>2.4314979999999999</c:v>
                </c:pt>
                <c:pt idx="207">
                  <c:v>2.4291170000000002</c:v>
                </c:pt>
                <c:pt idx="208">
                  <c:v>2.5062669999999998</c:v>
                </c:pt>
                <c:pt idx="209">
                  <c:v>2.5103949999999999</c:v>
                </c:pt>
                <c:pt idx="210">
                  <c:v>2.4716610000000001</c:v>
                </c:pt>
                <c:pt idx="211">
                  <c:v>2.4753120000000002</c:v>
                </c:pt>
                <c:pt idx="212">
                  <c:v>2.4921389999999999</c:v>
                </c:pt>
                <c:pt idx="213">
                  <c:v>2.4724550000000001</c:v>
                </c:pt>
                <c:pt idx="214">
                  <c:v>2.4667400000000002</c:v>
                </c:pt>
                <c:pt idx="215">
                  <c:v>2.439594</c:v>
                </c:pt>
                <c:pt idx="216">
                  <c:v>2.4278469999999999</c:v>
                </c:pt>
                <c:pt idx="217">
                  <c:v>2.4241959999999998</c:v>
                </c:pt>
                <c:pt idx="218">
                  <c:v>2.4135599999999999</c:v>
                </c:pt>
                <c:pt idx="219">
                  <c:v>2.4468969999999999</c:v>
                </c:pt>
                <c:pt idx="220">
                  <c:v>2.5015049999999999</c:v>
                </c:pt>
                <c:pt idx="221">
                  <c:v>2.509125</c:v>
                </c:pt>
                <c:pt idx="222">
                  <c:v>2.5202369999999998</c:v>
                </c:pt>
                <c:pt idx="223">
                  <c:v>2.4927739999999998</c:v>
                </c:pt>
                <c:pt idx="224">
                  <c:v>2.541032</c:v>
                </c:pt>
                <c:pt idx="225">
                  <c:v>2.5300790000000002</c:v>
                </c:pt>
                <c:pt idx="226">
                  <c:v>2.5299200000000002</c:v>
                </c:pt>
                <c:pt idx="227">
                  <c:v>2.5170620000000001</c:v>
                </c:pt>
                <c:pt idx="228">
                  <c:v>2.4791219999999998</c:v>
                </c:pt>
                <c:pt idx="229">
                  <c:v>2.5438900000000002</c:v>
                </c:pt>
                <c:pt idx="230">
                  <c:v>2.518014</c:v>
                </c:pt>
                <c:pt idx="231">
                  <c:v>2.513252</c:v>
                </c:pt>
                <c:pt idx="232">
                  <c:v>2.5283329999999999</c:v>
                </c:pt>
                <c:pt idx="233">
                  <c:v>2.5491280000000001</c:v>
                </c:pt>
                <c:pt idx="234">
                  <c:v>2.3387910000000001</c:v>
                </c:pt>
                <c:pt idx="235">
                  <c:v>2.3279969999999999</c:v>
                </c:pt>
                <c:pt idx="236">
                  <c:v>2.3100580000000002</c:v>
                </c:pt>
                <c:pt idx="237">
                  <c:v>2.3046609999999998</c:v>
                </c:pt>
                <c:pt idx="238">
                  <c:v>2.3106930000000001</c:v>
                </c:pt>
                <c:pt idx="239">
                  <c:v>2.3327589999999998</c:v>
                </c:pt>
                <c:pt idx="240">
                  <c:v>2.3203770000000001</c:v>
                </c:pt>
                <c:pt idx="241">
                  <c:v>2.3475220000000001</c:v>
                </c:pt>
                <c:pt idx="242">
                  <c:v>2.3419660000000002</c:v>
                </c:pt>
                <c:pt idx="243">
                  <c:v>2.3303780000000001</c:v>
                </c:pt>
                <c:pt idx="244">
                  <c:v>2.3152970000000002</c:v>
                </c:pt>
                <c:pt idx="245">
                  <c:v>2.3606980000000002</c:v>
                </c:pt>
                <c:pt idx="246">
                  <c:v>2.3464109999999998</c:v>
                </c:pt>
                <c:pt idx="247">
                  <c:v>2.3616510000000002</c:v>
                </c:pt>
                <c:pt idx="248">
                  <c:v>2.3743500000000002</c:v>
                </c:pt>
                <c:pt idx="249">
                  <c:v>2.36673</c:v>
                </c:pt>
                <c:pt idx="250">
                  <c:v>2.358476</c:v>
                </c:pt>
                <c:pt idx="251">
                  <c:v>2.3940350000000001</c:v>
                </c:pt>
                <c:pt idx="252">
                  <c:v>2.4022890000000001</c:v>
                </c:pt>
                <c:pt idx="253">
                  <c:v>2.4156240000000002</c:v>
                </c:pt>
                <c:pt idx="254">
                  <c:v>2.4186399999999999</c:v>
                </c:pt>
                <c:pt idx="255">
                  <c:v>2.3878430000000002</c:v>
                </c:pt>
                <c:pt idx="256">
                  <c:v>2.3816519999999999</c:v>
                </c:pt>
                <c:pt idx="257">
                  <c:v>2.3713340000000001</c:v>
                </c:pt>
                <c:pt idx="258">
                  <c:v>2.3529200000000001</c:v>
                </c:pt>
                <c:pt idx="259">
                  <c:v>2.3978440000000001</c:v>
                </c:pt>
                <c:pt idx="260">
                  <c:v>2.4199099999999998</c:v>
                </c:pt>
                <c:pt idx="261">
                  <c:v>2.4472139999999998</c:v>
                </c:pt>
                <c:pt idx="262">
                  <c:v>2.4187989999999999</c:v>
                </c:pt>
                <c:pt idx="263">
                  <c:v>2.3775249999999999</c:v>
                </c:pt>
                <c:pt idx="264">
                  <c:v>2.371969</c:v>
                </c:pt>
                <c:pt idx="265">
                  <c:v>2.3700640000000002</c:v>
                </c:pt>
                <c:pt idx="266">
                  <c:v>2.3381560000000001</c:v>
                </c:pt>
                <c:pt idx="267">
                  <c:v>2.372128</c:v>
                </c:pt>
                <c:pt idx="268">
                  <c:v>2.3510149999999999</c:v>
                </c:pt>
                <c:pt idx="269">
                  <c:v>2.3537129999999999</c:v>
                </c:pt>
                <c:pt idx="270">
                  <c:v>2.3464109999999998</c:v>
                </c:pt>
                <c:pt idx="271">
                  <c:v>2.3853040000000001</c:v>
                </c:pt>
                <c:pt idx="272">
                  <c:v>2.3868909999999999</c:v>
                </c:pt>
                <c:pt idx="273">
                  <c:v>2.3819699999999999</c:v>
                </c:pt>
                <c:pt idx="274">
                  <c:v>2.3506969999999998</c:v>
                </c:pt>
                <c:pt idx="275">
                  <c:v>2.3098999999999998</c:v>
                </c:pt>
                <c:pt idx="276">
                  <c:v>2.3983210000000001</c:v>
                </c:pt>
                <c:pt idx="277">
                  <c:v>2.3589519999999999</c:v>
                </c:pt>
                <c:pt idx="278">
                  <c:v>2.3408549999999999</c:v>
                </c:pt>
                <c:pt idx="279">
                  <c:v>2.299264</c:v>
                </c:pt>
                <c:pt idx="280">
                  <c:v>2.283865</c:v>
                </c:pt>
                <c:pt idx="281">
                  <c:v>2.302597</c:v>
                </c:pt>
                <c:pt idx="282">
                  <c:v>2.2913260000000002</c:v>
                </c:pt>
                <c:pt idx="283">
                  <c:v>2.2818019999999999</c:v>
                </c:pt>
                <c:pt idx="284">
                  <c:v>2.26688</c:v>
                </c:pt>
                <c:pt idx="285">
                  <c:v>2.2902149999999999</c:v>
                </c:pt>
                <c:pt idx="286">
                  <c:v>2.2764039999999999</c:v>
                </c:pt>
                <c:pt idx="287">
                  <c:v>2.2876750000000001</c:v>
                </c:pt>
                <c:pt idx="288">
                  <c:v>2.3067250000000001</c:v>
                </c:pt>
                <c:pt idx="289">
                  <c:v>2.317202</c:v>
                </c:pt>
                <c:pt idx="290">
                  <c:v>2.3054549999999998</c:v>
                </c:pt>
                <c:pt idx="291">
                  <c:v>2.2924380000000002</c:v>
                </c:pt>
                <c:pt idx="292">
                  <c:v>2.3006920000000002</c:v>
                </c:pt>
                <c:pt idx="293">
                  <c:v>2.3225989999999999</c:v>
                </c:pt>
                <c:pt idx="294">
                  <c:v>2.3145030000000002</c:v>
                </c:pt>
                <c:pt idx="295">
                  <c:v>2.3089469999999999</c:v>
                </c:pt>
                <c:pt idx="296">
                  <c:v>2.2748170000000001</c:v>
                </c:pt>
                <c:pt idx="297">
                  <c:v>2.2864049999999998</c:v>
                </c:pt>
                <c:pt idx="298">
                  <c:v>2.2484649999999999</c:v>
                </c:pt>
                <c:pt idx="299">
                  <c:v>2.2945009999999999</c:v>
                </c:pt>
                <c:pt idx="300">
                  <c:v>2.2722769999999999</c:v>
                </c:pt>
                <c:pt idx="301">
                  <c:v>2.2732299999999999</c:v>
                </c:pt>
                <c:pt idx="302">
                  <c:v>2.265927</c:v>
                </c:pt>
                <c:pt idx="303">
                  <c:v>2.2602120000000001</c:v>
                </c:pt>
                <c:pt idx="304">
                  <c:v>2.2792620000000001</c:v>
                </c:pt>
                <c:pt idx="305">
                  <c:v>2.2564030000000002</c:v>
                </c:pt>
                <c:pt idx="306">
                  <c:v>2.3002159999999998</c:v>
                </c:pt>
                <c:pt idx="307">
                  <c:v>2.3478400000000001</c:v>
                </c:pt>
                <c:pt idx="308">
                  <c:v>2.3472050000000002</c:v>
                </c:pt>
                <c:pt idx="309">
                  <c:v>2.3695879999999998</c:v>
                </c:pt>
                <c:pt idx="310">
                  <c:v>2.3243450000000001</c:v>
                </c:pt>
                <c:pt idx="311">
                  <c:v>2.3892720000000001</c:v>
                </c:pt>
                <c:pt idx="312">
                  <c:v>2.2976760000000001</c:v>
                </c:pt>
                <c:pt idx="313">
                  <c:v>2.2090969999999999</c:v>
                </c:pt>
                <c:pt idx="314">
                  <c:v>2.2265579999999998</c:v>
                </c:pt>
                <c:pt idx="315">
                  <c:v>2.2278280000000001</c:v>
                </c:pt>
                <c:pt idx="316">
                  <c:v>2.207668</c:v>
                </c:pt>
                <c:pt idx="317">
                  <c:v>2.1775060000000002</c:v>
                </c:pt>
                <c:pt idx="318">
                  <c:v>2.1675049999999998</c:v>
                </c:pt>
                <c:pt idx="319">
                  <c:v>2.1630600000000002</c:v>
                </c:pt>
                <c:pt idx="320">
                  <c:v>2.1224219999999998</c:v>
                </c:pt>
                <c:pt idx="321">
                  <c:v>2.1525829999999999</c:v>
                </c:pt>
                <c:pt idx="322">
                  <c:v>2.1502020000000002</c:v>
                </c:pt>
                <c:pt idx="323">
                  <c:v>2.2656100000000001</c:v>
                </c:pt>
                <c:pt idx="324">
                  <c:v>2.3097409999999998</c:v>
                </c:pt>
                <c:pt idx="325">
                  <c:v>2.4494370000000001</c:v>
                </c:pt>
                <c:pt idx="326">
                  <c:v>2.4280059999999999</c:v>
                </c:pt>
                <c:pt idx="327">
                  <c:v>2.606277</c:v>
                </c:pt>
                <c:pt idx="328">
                  <c:v>2.6173890000000002</c:v>
                </c:pt>
                <c:pt idx="329">
                  <c:v>2.7175569999999998</c:v>
                </c:pt>
                <c:pt idx="330">
                  <c:v>2.6691400000000001</c:v>
                </c:pt>
                <c:pt idx="331">
                  <c:v>2.655011</c:v>
                </c:pt>
                <c:pt idx="332">
                  <c:v>2.536905</c:v>
                </c:pt>
                <c:pt idx="333">
                  <c:v>2.4641999999999999</c:v>
                </c:pt>
                <c:pt idx="334">
                  <c:v>2.4108619999999998</c:v>
                </c:pt>
                <c:pt idx="335">
                  <c:v>2.4159410000000001</c:v>
                </c:pt>
                <c:pt idx="336">
                  <c:v>2.4151479999999999</c:v>
                </c:pt>
                <c:pt idx="337">
                  <c:v>2.4241959999999998</c:v>
                </c:pt>
                <c:pt idx="338">
                  <c:v>2.413243</c:v>
                </c:pt>
                <c:pt idx="339">
                  <c:v>2.36673</c:v>
                </c:pt>
                <c:pt idx="340">
                  <c:v>2.380382</c:v>
                </c:pt>
                <c:pt idx="341">
                  <c:v>2.4032420000000001</c:v>
                </c:pt>
                <c:pt idx="342">
                  <c:v>2.3746679999999998</c:v>
                </c:pt>
                <c:pt idx="343">
                  <c:v>2.36673</c:v>
                </c:pt>
                <c:pt idx="344">
                  <c:v>2.3700640000000002</c:v>
                </c:pt>
                <c:pt idx="345">
                  <c:v>2.3605390000000002</c:v>
                </c:pt>
                <c:pt idx="346">
                  <c:v>2.3645079999999998</c:v>
                </c:pt>
                <c:pt idx="347">
                  <c:v>2.4278469999999999</c:v>
                </c:pt>
                <c:pt idx="348">
                  <c:v>2.49579</c:v>
                </c:pt>
                <c:pt idx="349">
                  <c:v>2.4513419999999999</c:v>
                </c:pt>
                <c:pt idx="350">
                  <c:v>2.4357839999999999</c:v>
                </c:pt>
                <c:pt idx="351">
                  <c:v>2.4335619999999998</c:v>
                </c:pt>
                <c:pt idx="352">
                  <c:v>2.4065750000000001</c:v>
                </c:pt>
                <c:pt idx="353">
                  <c:v>2.376573</c:v>
                </c:pt>
                <c:pt idx="354">
                  <c:v>2.403559</c:v>
                </c:pt>
                <c:pt idx="355">
                  <c:v>2.3606980000000002</c:v>
                </c:pt>
                <c:pt idx="356">
                  <c:v>2.3464109999999998</c:v>
                </c:pt>
                <c:pt idx="357">
                  <c:v>2.3262499999999999</c:v>
                </c:pt>
                <c:pt idx="358">
                  <c:v>2.3292670000000002</c:v>
                </c:pt>
                <c:pt idx="359">
                  <c:v>2.3602219999999998</c:v>
                </c:pt>
                <c:pt idx="360">
                  <c:v>2.3043439999999999</c:v>
                </c:pt>
                <c:pt idx="361">
                  <c:v>2.2602120000000001</c:v>
                </c:pt>
                <c:pt idx="362">
                  <c:v>2.2633869999999998</c:v>
                </c:pt>
                <c:pt idx="363">
                  <c:v>2.2178270000000002</c:v>
                </c:pt>
                <c:pt idx="364">
                  <c:v>2.2286220000000001</c:v>
                </c:pt>
                <c:pt idx="365">
                  <c:v>2.2224309999999998</c:v>
                </c:pt>
                <c:pt idx="366">
                  <c:v>2.2584659999999999</c:v>
                </c:pt>
                <c:pt idx="367">
                  <c:v>2.2773569999999999</c:v>
                </c:pt>
                <c:pt idx="368">
                  <c:v>2.2586249999999999</c:v>
                </c:pt>
                <c:pt idx="369">
                  <c:v>2.2554500000000002</c:v>
                </c:pt>
                <c:pt idx="370">
                  <c:v>2.2446549999999998</c:v>
                </c:pt>
                <c:pt idx="371">
                  <c:v>2.2284630000000001</c:v>
                </c:pt>
                <c:pt idx="372">
                  <c:v>2.2400519999999999</c:v>
                </c:pt>
                <c:pt idx="373">
                  <c:v>2.2483070000000001</c:v>
                </c:pt>
                <c:pt idx="374">
                  <c:v>2.23021</c:v>
                </c:pt>
                <c:pt idx="375">
                  <c:v>2.2357659999999999</c:v>
                </c:pt>
                <c:pt idx="376">
                  <c:v>2.2141760000000001</c:v>
                </c:pt>
                <c:pt idx="377">
                  <c:v>2.2303679999999999</c:v>
                </c:pt>
                <c:pt idx="378">
                  <c:v>2.2294160000000001</c:v>
                </c:pt>
                <c:pt idx="379">
                  <c:v>2.2483070000000001</c:v>
                </c:pt>
                <c:pt idx="380">
                  <c:v>2.2181449999999998</c:v>
                </c:pt>
                <c:pt idx="381">
                  <c:v>2.2159230000000001</c:v>
                </c:pt>
                <c:pt idx="382">
                  <c:v>2.220685</c:v>
                </c:pt>
                <c:pt idx="383">
                  <c:v>2.2200500000000001</c:v>
                </c:pt>
                <c:pt idx="384">
                  <c:v>2.1852849999999999</c:v>
                </c:pt>
                <c:pt idx="385">
                  <c:v>2.197667</c:v>
                </c:pt>
                <c:pt idx="386">
                  <c:v>2.2181449999999998</c:v>
                </c:pt>
                <c:pt idx="387">
                  <c:v>2.240211</c:v>
                </c:pt>
                <c:pt idx="388">
                  <c:v>2.2400519999999999</c:v>
                </c:pt>
                <c:pt idx="389">
                  <c:v>2.2706900000000001</c:v>
                </c:pt>
                <c:pt idx="390">
                  <c:v>2.2722769999999999</c:v>
                </c:pt>
                <c:pt idx="391">
                  <c:v>2.2913260000000002</c:v>
                </c:pt>
                <c:pt idx="392">
                  <c:v>2.2724359999999999</c:v>
                </c:pt>
                <c:pt idx="393">
                  <c:v>2.261641</c:v>
                </c:pt>
                <c:pt idx="394">
                  <c:v>2.271801</c:v>
                </c:pt>
                <c:pt idx="395">
                  <c:v>2.2643399999999998</c:v>
                </c:pt>
                <c:pt idx="396">
                  <c:v>2.2378290000000001</c:v>
                </c:pt>
                <c:pt idx="397">
                  <c:v>2.239576</c:v>
                </c:pt>
                <c:pt idx="398">
                  <c:v>2.2460840000000002</c:v>
                </c:pt>
                <c:pt idx="399">
                  <c:v>2.239099</c:v>
                </c:pt>
                <c:pt idx="400">
                  <c:v>2.2490999999999999</c:v>
                </c:pt>
                <c:pt idx="401">
                  <c:v>2.2722769999999999</c:v>
                </c:pt>
                <c:pt idx="402">
                  <c:v>2.3138679999999998</c:v>
                </c:pt>
                <c:pt idx="403">
                  <c:v>2.3048199999999999</c:v>
                </c:pt>
                <c:pt idx="404">
                  <c:v>2.3014860000000001</c:v>
                </c:pt>
                <c:pt idx="405">
                  <c:v>2.3605390000000002</c:v>
                </c:pt>
                <c:pt idx="406">
                  <c:v>2.339585</c:v>
                </c:pt>
                <c:pt idx="407">
                  <c:v>2.3843510000000001</c:v>
                </c:pt>
                <c:pt idx="408">
                  <c:v>2.3383150000000001</c:v>
                </c:pt>
                <c:pt idx="409">
                  <c:v>2.3373629999999999</c:v>
                </c:pt>
                <c:pt idx="410">
                  <c:v>2.325615</c:v>
                </c:pt>
                <c:pt idx="411">
                  <c:v>2.3191069999999998</c:v>
                </c:pt>
                <c:pt idx="412">
                  <c:v>2.3672070000000001</c:v>
                </c:pt>
                <c:pt idx="413">
                  <c:v>2.3743500000000002</c:v>
                </c:pt>
                <c:pt idx="414">
                  <c:v>2.3522850000000002</c:v>
                </c:pt>
                <c:pt idx="415">
                  <c:v>2.3408549999999999</c:v>
                </c:pt>
                <c:pt idx="416">
                  <c:v>2.325774</c:v>
                </c:pt>
                <c:pt idx="417">
                  <c:v>2.3291080000000002</c:v>
                </c:pt>
                <c:pt idx="418">
                  <c:v>2.339267</c:v>
                </c:pt>
                <c:pt idx="419">
                  <c:v>2.3630789999999999</c:v>
                </c:pt>
                <c:pt idx="420">
                  <c:v>2.3699050000000002</c:v>
                </c:pt>
                <c:pt idx="421">
                  <c:v>2.3643489999999998</c:v>
                </c:pt>
                <c:pt idx="422">
                  <c:v>2.35419</c:v>
                </c:pt>
                <c:pt idx="423">
                  <c:v>2.3211710000000001</c:v>
                </c:pt>
                <c:pt idx="424">
                  <c:v>2.3470460000000002</c:v>
                </c:pt>
                <c:pt idx="425">
                  <c:v>2.3527610000000001</c:v>
                </c:pt>
                <c:pt idx="426">
                  <c:v>2.3751440000000001</c:v>
                </c:pt>
                <c:pt idx="427">
                  <c:v>2.39086</c:v>
                </c:pt>
                <c:pt idx="428">
                  <c:v>2.3964159999999999</c:v>
                </c:pt>
                <c:pt idx="429">
                  <c:v>2.3516499999999998</c:v>
                </c:pt>
                <c:pt idx="430">
                  <c:v>2.3516499999999998</c:v>
                </c:pt>
                <c:pt idx="431">
                  <c:v>2.6443759999999998</c:v>
                </c:pt>
                <c:pt idx="432">
                  <c:v>2.5837349999999999</c:v>
                </c:pt>
                <c:pt idx="433">
                  <c:v>2.6477089999999999</c:v>
                </c:pt>
                <c:pt idx="434">
                  <c:v>2.6664409999999998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8-4B9B-BC15-6C0454C8B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6152569753033093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pivot8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Obiettivo Sociale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>
            <a:solidFill>
              <a:srgbClr val="FF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824404761904744E-3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Pivot'!$Z$3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Pivot'!$Z$4:$Z$439</c:f>
              <c:numCache>
                <c:formatCode>General</c:formatCode>
                <c:ptCount val="435"/>
                <c:pt idx="0">
                  <c:v>7.49</c:v>
                </c:pt>
                <c:pt idx="1">
                  <c:v>7.49</c:v>
                </c:pt>
                <c:pt idx="2">
                  <c:v>7.49</c:v>
                </c:pt>
                <c:pt idx="3">
                  <c:v>7.49</c:v>
                </c:pt>
                <c:pt idx="4">
                  <c:v>7.49</c:v>
                </c:pt>
                <c:pt idx="5">
                  <c:v>7.49</c:v>
                </c:pt>
                <c:pt idx="6">
                  <c:v>7.49</c:v>
                </c:pt>
                <c:pt idx="7">
                  <c:v>7.49</c:v>
                </c:pt>
                <c:pt idx="8">
                  <c:v>7.49</c:v>
                </c:pt>
                <c:pt idx="9">
                  <c:v>7.49</c:v>
                </c:pt>
                <c:pt idx="10">
                  <c:v>7.49</c:v>
                </c:pt>
                <c:pt idx="11">
                  <c:v>7.49</c:v>
                </c:pt>
                <c:pt idx="12">
                  <c:v>7.49</c:v>
                </c:pt>
                <c:pt idx="13">
                  <c:v>7.49</c:v>
                </c:pt>
                <c:pt idx="14">
                  <c:v>7.49</c:v>
                </c:pt>
                <c:pt idx="15">
                  <c:v>7.49</c:v>
                </c:pt>
                <c:pt idx="16">
                  <c:v>7.49</c:v>
                </c:pt>
                <c:pt idx="17">
                  <c:v>7.49</c:v>
                </c:pt>
                <c:pt idx="18">
                  <c:v>7.49</c:v>
                </c:pt>
                <c:pt idx="19">
                  <c:v>7.49</c:v>
                </c:pt>
                <c:pt idx="20">
                  <c:v>7.49</c:v>
                </c:pt>
                <c:pt idx="21">
                  <c:v>7.49</c:v>
                </c:pt>
                <c:pt idx="22">
                  <c:v>7.49</c:v>
                </c:pt>
                <c:pt idx="23">
                  <c:v>7.49</c:v>
                </c:pt>
                <c:pt idx="24">
                  <c:v>7.49</c:v>
                </c:pt>
                <c:pt idx="25">
                  <c:v>7.49</c:v>
                </c:pt>
                <c:pt idx="26">
                  <c:v>7.49</c:v>
                </c:pt>
                <c:pt idx="27">
                  <c:v>7.49</c:v>
                </c:pt>
                <c:pt idx="28">
                  <c:v>7.49</c:v>
                </c:pt>
                <c:pt idx="29">
                  <c:v>7.49</c:v>
                </c:pt>
                <c:pt idx="30">
                  <c:v>7.49</c:v>
                </c:pt>
                <c:pt idx="31">
                  <c:v>7.49</c:v>
                </c:pt>
                <c:pt idx="32">
                  <c:v>7.49</c:v>
                </c:pt>
                <c:pt idx="33">
                  <c:v>7.49</c:v>
                </c:pt>
                <c:pt idx="34">
                  <c:v>7.49</c:v>
                </c:pt>
                <c:pt idx="35">
                  <c:v>7.49</c:v>
                </c:pt>
                <c:pt idx="36">
                  <c:v>7.49</c:v>
                </c:pt>
                <c:pt idx="37">
                  <c:v>7.49</c:v>
                </c:pt>
                <c:pt idx="38">
                  <c:v>7.49</c:v>
                </c:pt>
                <c:pt idx="39">
                  <c:v>7.49</c:v>
                </c:pt>
                <c:pt idx="40">
                  <c:v>7.49</c:v>
                </c:pt>
                <c:pt idx="41">
                  <c:v>7.49</c:v>
                </c:pt>
                <c:pt idx="42">
                  <c:v>7.49</c:v>
                </c:pt>
                <c:pt idx="43">
                  <c:v>7.49</c:v>
                </c:pt>
                <c:pt idx="44">
                  <c:v>7.49</c:v>
                </c:pt>
                <c:pt idx="45">
                  <c:v>7.49</c:v>
                </c:pt>
                <c:pt idx="46">
                  <c:v>7.49</c:v>
                </c:pt>
                <c:pt idx="47">
                  <c:v>7.49</c:v>
                </c:pt>
                <c:pt idx="48">
                  <c:v>7.49</c:v>
                </c:pt>
                <c:pt idx="49">
                  <c:v>7.49</c:v>
                </c:pt>
                <c:pt idx="50">
                  <c:v>7.49</c:v>
                </c:pt>
                <c:pt idx="51">
                  <c:v>7.49</c:v>
                </c:pt>
                <c:pt idx="52">
                  <c:v>7.49</c:v>
                </c:pt>
                <c:pt idx="53">
                  <c:v>7.49</c:v>
                </c:pt>
                <c:pt idx="54">
                  <c:v>7.49</c:v>
                </c:pt>
                <c:pt idx="55">
                  <c:v>7.49</c:v>
                </c:pt>
                <c:pt idx="56">
                  <c:v>7.49</c:v>
                </c:pt>
                <c:pt idx="57">
                  <c:v>7.49</c:v>
                </c:pt>
                <c:pt idx="58">
                  <c:v>7.49</c:v>
                </c:pt>
                <c:pt idx="59">
                  <c:v>7.49</c:v>
                </c:pt>
                <c:pt idx="60">
                  <c:v>7.49</c:v>
                </c:pt>
                <c:pt idx="61">
                  <c:v>7.49</c:v>
                </c:pt>
                <c:pt idx="62">
                  <c:v>7.49</c:v>
                </c:pt>
                <c:pt idx="63">
                  <c:v>7.49</c:v>
                </c:pt>
                <c:pt idx="64">
                  <c:v>7.49</c:v>
                </c:pt>
                <c:pt idx="65">
                  <c:v>7.49</c:v>
                </c:pt>
                <c:pt idx="66">
                  <c:v>7.49</c:v>
                </c:pt>
                <c:pt idx="67">
                  <c:v>7.49</c:v>
                </c:pt>
                <c:pt idx="68">
                  <c:v>7.49</c:v>
                </c:pt>
                <c:pt idx="69">
                  <c:v>7.49</c:v>
                </c:pt>
                <c:pt idx="70">
                  <c:v>7.49</c:v>
                </c:pt>
                <c:pt idx="71">
                  <c:v>7.49</c:v>
                </c:pt>
                <c:pt idx="72">
                  <c:v>7.49</c:v>
                </c:pt>
                <c:pt idx="73">
                  <c:v>7.49</c:v>
                </c:pt>
                <c:pt idx="74">
                  <c:v>7.49</c:v>
                </c:pt>
                <c:pt idx="75">
                  <c:v>7.49</c:v>
                </c:pt>
                <c:pt idx="76">
                  <c:v>7.49</c:v>
                </c:pt>
                <c:pt idx="77">
                  <c:v>7.49</c:v>
                </c:pt>
                <c:pt idx="78">
                  <c:v>7.49</c:v>
                </c:pt>
                <c:pt idx="79">
                  <c:v>7.49</c:v>
                </c:pt>
                <c:pt idx="80">
                  <c:v>7.49</c:v>
                </c:pt>
                <c:pt idx="81">
                  <c:v>7.49</c:v>
                </c:pt>
                <c:pt idx="82">
                  <c:v>7.49</c:v>
                </c:pt>
                <c:pt idx="83">
                  <c:v>7.49</c:v>
                </c:pt>
                <c:pt idx="84">
                  <c:v>7.49</c:v>
                </c:pt>
                <c:pt idx="85">
                  <c:v>7.49</c:v>
                </c:pt>
                <c:pt idx="86">
                  <c:v>7.49</c:v>
                </c:pt>
                <c:pt idx="87">
                  <c:v>7.49</c:v>
                </c:pt>
                <c:pt idx="88">
                  <c:v>7.49</c:v>
                </c:pt>
                <c:pt idx="89">
                  <c:v>7.49</c:v>
                </c:pt>
                <c:pt idx="90">
                  <c:v>7.49</c:v>
                </c:pt>
                <c:pt idx="91">
                  <c:v>7.49</c:v>
                </c:pt>
                <c:pt idx="92">
                  <c:v>7.49</c:v>
                </c:pt>
                <c:pt idx="93">
                  <c:v>7.49</c:v>
                </c:pt>
                <c:pt idx="94">
                  <c:v>7.49</c:v>
                </c:pt>
                <c:pt idx="95">
                  <c:v>7.49</c:v>
                </c:pt>
                <c:pt idx="96">
                  <c:v>7.49</c:v>
                </c:pt>
                <c:pt idx="97">
                  <c:v>7.49</c:v>
                </c:pt>
                <c:pt idx="98">
                  <c:v>7.49</c:v>
                </c:pt>
                <c:pt idx="99">
                  <c:v>7.49</c:v>
                </c:pt>
                <c:pt idx="100">
                  <c:v>7.49</c:v>
                </c:pt>
                <c:pt idx="101">
                  <c:v>7.49</c:v>
                </c:pt>
                <c:pt idx="102">
                  <c:v>7.49</c:v>
                </c:pt>
                <c:pt idx="103">
                  <c:v>7.49</c:v>
                </c:pt>
                <c:pt idx="104">
                  <c:v>7.49</c:v>
                </c:pt>
                <c:pt idx="105">
                  <c:v>7.49</c:v>
                </c:pt>
                <c:pt idx="106">
                  <c:v>7.49</c:v>
                </c:pt>
                <c:pt idx="107">
                  <c:v>7.49</c:v>
                </c:pt>
                <c:pt idx="108">
                  <c:v>7.49</c:v>
                </c:pt>
                <c:pt idx="109">
                  <c:v>7.49</c:v>
                </c:pt>
                <c:pt idx="110">
                  <c:v>7.49</c:v>
                </c:pt>
                <c:pt idx="111">
                  <c:v>7.49</c:v>
                </c:pt>
                <c:pt idx="112">
                  <c:v>7.49</c:v>
                </c:pt>
                <c:pt idx="113">
                  <c:v>7.49</c:v>
                </c:pt>
                <c:pt idx="114">
                  <c:v>7.49</c:v>
                </c:pt>
                <c:pt idx="115">
                  <c:v>7.49</c:v>
                </c:pt>
                <c:pt idx="116">
                  <c:v>7.49</c:v>
                </c:pt>
                <c:pt idx="117">
                  <c:v>7.49</c:v>
                </c:pt>
                <c:pt idx="118">
                  <c:v>7.49</c:v>
                </c:pt>
                <c:pt idx="119">
                  <c:v>7.49</c:v>
                </c:pt>
                <c:pt idx="120">
                  <c:v>7.49</c:v>
                </c:pt>
                <c:pt idx="121">
                  <c:v>7.49</c:v>
                </c:pt>
                <c:pt idx="122">
                  <c:v>7.49</c:v>
                </c:pt>
                <c:pt idx="123">
                  <c:v>7.49</c:v>
                </c:pt>
                <c:pt idx="124">
                  <c:v>7.49</c:v>
                </c:pt>
                <c:pt idx="125">
                  <c:v>7.49</c:v>
                </c:pt>
                <c:pt idx="126">
                  <c:v>7.49</c:v>
                </c:pt>
                <c:pt idx="127">
                  <c:v>7.49</c:v>
                </c:pt>
                <c:pt idx="128">
                  <c:v>7.49</c:v>
                </c:pt>
                <c:pt idx="129">
                  <c:v>7.49</c:v>
                </c:pt>
                <c:pt idx="130">
                  <c:v>7.49</c:v>
                </c:pt>
                <c:pt idx="131">
                  <c:v>7.49</c:v>
                </c:pt>
                <c:pt idx="132">
                  <c:v>7.49</c:v>
                </c:pt>
                <c:pt idx="133">
                  <c:v>7.49</c:v>
                </c:pt>
                <c:pt idx="134">
                  <c:v>7.49</c:v>
                </c:pt>
                <c:pt idx="135">
                  <c:v>7.49</c:v>
                </c:pt>
                <c:pt idx="136">
                  <c:v>7.49</c:v>
                </c:pt>
                <c:pt idx="137">
                  <c:v>7.49</c:v>
                </c:pt>
                <c:pt idx="138">
                  <c:v>7.49</c:v>
                </c:pt>
                <c:pt idx="139">
                  <c:v>7.49</c:v>
                </c:pt>
                <c:pt idx="140">
                  <c:v>7.49</c:v>
                </c:pt>
                <c:pt idx="141">
                  <c:v>7.49</c:v>
                </c:pt>
                <c:pt idx="142">
                  <c:v>7.49</c:v>
                </c:pt>
                <c:pt idx="143">
                  <c:v>7.49</c:v>
                </c:pt>
                <c:pt idx="144">
                  <c:v>7.49</c:v>
                </c:pt>
                <c:pt idx="145">
                  <c:v>7.49</c:v>
                </c:pt>
                <c:pt idx="146">
                  <c:v>7.49</c:v>
                </c:pt>
                <c:pt idx="147">
                  <c:v>7.49</c:v>
                </c:pt>
                <c:pt idx="148">
                  <c:v>7.49</c:v>
                </c:pt>
                <c:pt idx="149">
                  <c:v>7.49</c:v>
                </c:pt>
                <c:pt idx="150">
                  <c:v>7.49</c:v>
                </c:pt>
                <c:pt idx="151">
                  <c:v>7.49</c:v>
                </c:pt>
                <c:pt idx="152">
                  <c:v>7.49</c:v>
                </c:pt>
                <c:pt idx="153">
                  <c:v>7.49</c:v>
                </c:pt>
                <c:pt idx="154">
                  <c:v>7.49</c:v>
                </c:pt>
                <c:pt idx="155">
                  <c:v>7.49</c:v>
                </c:pt>
                <c:pt idx="156">
                  <c:v>7.49</c:v>
                </c:pt>
                <c:pt idx="157">
                  <c:v>7.49</c:v>
                </c:pt>
                <c:pt idx="158">
                  <c:v>7.49</c:v>
                </c:pt>
                <c:pt idx="159">
                  <c:v>7.49</c:v>
                </c:pt>
                <c:pt idx="160">
                  <c:v>7.49</c:v>
                </c:pt>
                <c:pt idx="161">
                  <c:v>7.49</c:v>
                </c:pt>
                <c:pt idx="162">
                  <c:v>7.49</c:v>
                </c:pt>
                <c:pt idx="163">
                  <c:v>7.49</c:v>
                </c:pt>
                <c:pt idx="164">
                  <c:v>7.49</c:v>
                </c:pt>
                <c:pt idx="165">
                  <c:v>7.49</c:v>
                </c:pt>
                <c:pt idx="166">
                  <c:v>7.49</c:v>
                </c:pt>
                <c:pt idx="167">
                  <c:v>7.49</c:v>
                </c:pt>
                <c:pt idx="168">
                  <c:v>7.49</c:v>
                </c:pt>
                <c:pt idx="169">
                  <c:v>7.49</c:v>
                </c:pt>
                <c:pt idx="170">
                  <c:v>7.49</c:v>
                </c:pt>
                <c:pt idx="171">
                  <c:v>7.49</c:v>
                </c:pt>
                <c:pt idx="172">
                  <c:v>7.49</c:v>
                </c:pt>
                <c:pt idx="173">
                  <c:v>7.49</c:v>
                </c:pt>
                <c:pt idx="174">
                  <c:v>7.49</c:v>
                </c:pt>
                <c:pt idx="175">
                  <c:v>9.99</c:v>
                </c:pt>
                <c:pt idx="176">
                  <c:v>9.99</c:v>
                </c:pt>
                <c:pt idx="177">
                  <c:v>9.99</c:v>
                </c:pt>
                <c:pt idx="178">
                  <c:v>9.99</c:v>
                </c:pt>
                <c:pt idx="179">
                  <c:v>9.99</c:v>
                </c:pt>
                <c:pt idx="180">
                  <c:v>9.99</c:v>
                </c:pt>
                <c:pt idx="181">
                  <c:v>9.99</c:v>
                </c:pt>
                <c:pt idx="182">
                  <c:v>9.99</c:v>
                </c:pt>
                <c:pt idx="183">
                  <c:v>9.99</c:v>
                </c:pt>
                <c:pt idx="184">
                  <c:v>9.99</c:v>
                </c:pt>
                <c:pt idx="185">
                  <c:v>9.99</c:v>
                </c:pt>
                <c:pt idx="186">
                  <c:v>9.99</c:v>
                </c:pt>
                <c:pt idx="187">
                  <c:v>9.99</c:v>
                </c:pt>
                <c:pt idx="188">
                  <c:v>9.99</c:v>
                </c:pt>
                <c:pt idx="189">
                  <c:v>9.99</c:v>
                </c:pt>
                <c:pt idx="190">
                  <c:v>9.99</c:v>
                </c:pt>
                <c:pt idx="191">
                  <c:v>9.99</c:v>
                </c:pt>
                <c:pt idx="192">
                  <c:v>9.99</c:v>
                </c:pt>
                <c:pt idx="193">
                  <c:v>9.99</c:v>
                </c:pt>
                <c:pt idx="194">
                  <c:v>9.99</c:v>
                </c:pt>
                <c:pt idx="195">
                  <c:v>9.99</c:v>
                </c:pt>
                <c:pt idx="196">
                  <c:v>9.99</c:v>
                </c:pt>
                <c:pt idx="197">
                  <c:v>9.99</c:v>
                </c:pt>
                <c:pt idx="198">
                  <c:v>9.99</c:v>
                </c:pt>
                <c:pt idx="199">
                  <c:v>9.99</c:v>
                </c:pt>
                <c:pt idx="200">
                  <c:v>9.99</c:v>
                </c:pt>
                <c:pt idx="201">
                  <c:v>9.99</c:v>
                </c:pt>
                <c:pt idx="202">
                  <c:v>9.99</c:v>
                </c:pt>
                <c:pt idx="203">
                  <c:v>9.99</c:v>
                </c:pt>
                <c:pt idx="204">
                  <c:v>9.99</c:v>
                </c:pt>
                <c:pt idx="205">
                  <c:v>9.99</c:v>
                </c:pt>
                <c:pt idx="206">
                  <c:v>9.99</c:v>
                </c:pt>
                <c:pt idx="207">
                  <c:v>9.99</c:v>
                </c:pt>
                <c:pt idx="208">
                  <c:v>9.99</c:v>
                </c:pt>
                <c:pt idx="209">
                  <c:v>9.99</c:v>
                </c:pt>
                <c:pt idx="210">
                  <c:v>9.99</c:v>
                </c:pt>
                <c:pt idx="211">
                  <c:v>9.99</c:v>
                </c:pt>
                <c:pt idx="212">
                  <c:v>9.99</c:v>
                </c:pt>
                <c:pt idx="213">
                  <c:v>9.99</c:v>
                </c:pt>
                <c:pt idx="214">
                  <c:v>9.99</c:v>
                </c:pt>
                <c:pt idx="215">
                  <c:v>9.99</c:v>
                </c:pt>
                <c:pt idx="216">
                  <c:v>9.99</c:v>
                </c:pt>
                <c:pt idx="217">
                  <c:v>9.99</c:v>
                </c:pt>
                <c:pt idx="218">
                  <c:v>9.99</c:v>
                </c:pt>
                <c:pt idx="219">
                  <c:v>9.99</c:v>
                </c:pt>
                <c:pt idx="220">
                  <c:v>9.99</c:v>
                </c:pt>
                <c:pt idx="221">
                  <c:v>9.99</c:v>
                </c:pt>
                <c:pt idx="222">
                  <c:v>9.99</c:v>
                </c:pt>
                <c:pt idx="223">
                  <c:v>9.99</c:v>
                </c:pt>
                <c:pt idx="224">
                  <c:v>9.99</c:v>
                </c:pt>
                <c:pt idx="225">
                  <c:v>9.99</c:v>
                </c:pt>
                <c:pt idx="226">
                  <c:v>9.99</c:v>
                </c:pt>
                <c:pt idx="227">
                  <c:v>9.99</c:v>
                </c:pt>
                <c:pt idx="228">
                  <c:v>9.99</c:v>
                </c:pt>
                <c:pt idx="229">
                  <c:v>9.99</c:v>
                </c:pt>
                <c:pt idx="230">
                  <c:v>9.99</c:v>
                </c:pt>
                <c:pt idx="231">
                  <c:v>9.99</c:v>
                </c:pt>
                <c:pt idx="232">
                  <c:v>9.99</c:v>
                </c:pt>
                <c:pt idx="233">
                  <c:v>9.99</c:v>
                </c:pt>
                <c:pt idx="234">
                  <c:v>9.99</c:v>
                </c:pt>
                <c:pt idx="235">
                  <c:v>9.99</c:v>
                </c:pt>
                <c:pt idx="236">
                  <c:v>9.99</c:v>
                </c:pt>
                <c:pt idx="237">
                  <c:v>9.99</c:v>
                </c:pt>
                <c:pt idx="238">
                  <c:v>9.99</c:v>
                </c:pt>
                <c:pt idx="239">
                  <c:v>9.99</c:v>
                </c:pt>
                <c:pt idx="240">
                  <c:v>9.99</c:v>
                </c:pt>
                <c:pt idx="241">
                  <c:v>9.99</c:v>
                </c:pt>
                <c:pt idx="242">
                  <c:v>9.99</c:v>
                </c:pt>
                <c:pt idx="243">
                  <c:v>9.99</c:v>
                </c:pt>
                <c:pt idx="244">
                  <c:v>9.99</c:v>
                </c:pt>
                <c:pt idx="245">
                  <c:v>9.99</c:v>
                </c:pt>
                <c:pt idx="246">
                  <c:v>9.99</c:v>
                </c:pt>
                <c:pt idx="247">
                  <c:v>9.99</c:v>
                </c:pt>
                <c:pt idx="248">
                  <c:v>9.99</c:v>
                </c:pt>
                <c:pt idx="249">
                  <c:v>9.99</c:v>
                </c:pt>
                <c:pt idx="250">
                  <c:v>9.99</c:v>
                </c:pt>
                <c:pt idx="251">
                  <c:v>9.99</c:v>
                </c:pt>
                <c:pt idx="252">
                  <c:v>9.99</c:v>
                </c:pt>
                <c:pt idx="253">
                  <c:v>9.99</c:v>
                </c:pt>
                <c:pt idx="254">
                  <c:v>9.99</c:v>
                </c:pt>
                <c:pt idx="255">
                  <c:v>9.99</c:v>
                </c:pt>
                <c:pt idx="256">
                  <c:v>9.99</c:v>
                </c:pt>
                <c:pt idx="257">
                  <c:v>9.99</c:v>
                </c:pt>
                <c:pt idx="258">
                  <c:v>9.99</c:v>
                </c:pt>
                <c:pt idx="259">
                  <c:v>9.99</c:v>
                </c:pt>
                <c:pt idx="260">
                  <c:v>9.99</c:v>
                </c:pt>
                <c:pt idx="261">
                  <c:v>9.99</c:v>
                </c:pt>
                <c:pt idx="262">
                  <c:v>9.99</c:v>
                </c:pt>
                <c:pt idx="263">
                  <c:v>9.99</c:v>
                </c:pt>
                <c:pt idx="264">
                  <c:v>9.99</c:v>
                </c:pt>
                <c:pt idx="265">
                  <c:v>9.99</c:v>
                </c:pt>
                <c:pt idx="266">
                  <c:v>9.99</c:v>
                </c:pt>
                <c:pt idx="267">
                  <c:v>9.99</c:v>
                </c:pt>
                <c:pt idx="268">
                  <c:v>9.99</c:v>
                </c:pt>
                <c:pt idx="269">
                  <c:v>9.99</c:v>
                </c:pt>
                <c:pt idx="270">
                  <c:v>9.99</c:v>
                </c:pt>
                <c:pt idx="271">
                  <c:v>9.99</c:v>
                </c:pt>
                <c:pt idx="272">
                  <c:v>9.99</c:v>
                </c:pt>
                <c:pt idx="273">
                  <c:v>9.99</c:v>
                </c:pt>
                <c:pt idx="274">
                  <c:v>9.99</c:v>
                </c:pt>
                <c:pt idx="275">
                  <c:v>9.99</c:v>
                </c:pt>
                <c:pt idx="276">
                  <c:v>9.99</c:v>
                </c:pt>
                <c:pt idx="277">
                  <c:v>9.99</c:v>
                </c:pt>
                <c:pt idx="278">
                  <c:v>9.99</c:v>
                </c:pt>
                <c:pt idx="279">
                  <c:v>9.99</c:v>
                </c:pt>
                <c:pt idx="280">
                  <c:v>9.99</c:v>
                </c:pt>
                <c:pt idx="281">
                  <c:v>9.99</c:v>
                </c:pt>
                <c:pt idx="282">
                  <c:v>9.99</c:v>
                </c:pt>
                <c:pt idx="283">
                  <c:v>9.99</c:v>
                </c:pt>
                <c:pt idx="284">
                  <c:v>9.99</c:v>
                </c:pt>
                <c:pt idx="285">
                  <c:v>9.99</c:v>
                </c:pt>
                <c:pt idx="286">
                  <c:v>9.99</c:v>
                </c:pt>
                <c:pt idx="287">
                  <c:v>9.99</c:v>
                </c:pt>
                <c:pt idx="288">
                  <c:v>9.99</c:v>
                </c:pt>
                <c:pt idx="289">
                  <c:v>9.99</c:v>
                </c:pt>
                <c:pt idx="290">
                  <c:v>9.99</c:v>
                </c:pt>
                <c:pt idx="291">
                  <c:v>9.99</c:v>
                </c:pt>
                <c:pt idx="292">
                  <c:v>9.99</c:v>
                </c:pt>
                <c:pt idx="293">
                  <c:v>9.99</c:v>
                </c:pt>
                <c:pt idx="294">
                  <c:v>9.99</c:v>
                </c:pt>
                <c:pt idx="295">
                  <c:v>9.99</c:v>
                </c:pt>
                <c:pt idx="296">
                  <c:v>9.99</c:v>
                </c:pt>
                <c:pt idx="297">
                  <c:v>9.99</c:v>
                </c:pt>
                <c:pt idx="298">
                  <c:v>9.99</c:v>
                </c:pt>
                <c:pt idx="299">
                  <c:v>9.99</c:v>
                </c:pt>
                <c:pt idx="300">
                  <c:v>9.99</c:v>
                </c:pt>
                <c:pt idx="301">
                  <c:v>9.99</c:v>
                </c:pt>
                <c:pt idx="302">
                  <c:v>9.99</c:v>
                </c:pt>
                <c:pt idx="303">
                  <c:v>9.99</c:v>
                </c:pt>
                <c:pt idx="304">
                  <c:v>9.99</c:v>
                </c:pt>
                <c:pt idx="305">
                  <c:v>9.99</c:v>
                </c:pt>
                <c:pt idx="306">
                  <c:v>9.99</c:v>
                </c:pt>
                <c:pt idx="307">
                  <c:v>9.99</c:v>
                </c:pt>
                <c:pt idx="308">
                  <c:v>9.99</c:v>
                </c:pt>
                <c:pt idx="309">
                  <c:v>9.99</c:v>
                </c:pt>
                <c:pt idx="310">
                  <c:v>9.99</c:v>
                </c:pt>
                <c:pt idx="311">
                  <c:v>9.99</c:v>
                </c:pt>
                <c:pt idx="312">
                  <c:v>9.99</c:v>
                </c:pt>
                <c:pt idx="313">
                  <c:v>9.99</c:v>
                </c:pt>
                <c:pt idx="314">
                  <c:v>9.99</c:v>
                </c:pt>
                <c:pt idx="315">
                  <c:v>9.99</c:v>
                </c:pt>
                <c:pt idx="316">
                  <c:v>9.99</c:v>
                </c:pt>
                <c:pt idx="317">
                  <c:v>9.99</c:v>
                </c:pt>
                <c:pt idx="318">
                  <c:v>9.99</c:v>
                </c:pt>
                <c:pt idx="319">
                  <c:v>9.99</c:v>
                </c:pt>
                <c:pt idx="320">
                  <c:v>9.99</c:v>
                </c:pt>
                <c:pt idx="321">
                  <c:v>9.99</c:v>
                </c:pt>
                <c:pt idx="322">
                  <c:v>9.99</c:v>
                </c:pt>
                <c:pt idx="323">
                  <c:v>9.99</c:v>
                </c:pt>
                <c:pt idx="324">
                  <c:v>9.99</c:v>
                </c:pt>
                <c:pt idx="325">
                  <c:v>9.99</c:v>
                </c:pt>
                <c:pt idx="326">
                  <c:v>9.99</c:v>
                </c:pt>
                <c:pt idx="327">
                  <c:v>9.99</c:v>
                </c:pt>
                <c:pt idx="328">
                  <c:v>9.99</c:v>
                </c:pt>
                <c:pt idx="329">
                  <c:v>9.99</c:v>
                </c:pt>
                <c:pt idx="330">
                  <c:v>9.99</c:v>
                </c:pt>
                <c:pt idx="331">
                  <c:v>9.99</c:v>
                </c:pt>
                <c:pt idx="332">
                  <c:v>9.99</c:v>
                </c:pt>
                <c:pt idx="333">
                  <c:v>9.99</c:v>
                </c:pt>
                <c:pt idx="334">
                  <c:v>9.99</c:v>
                </c:pt>
                <c:pt idx="335">
                  <c:v>9.99</c:v>
                </c:pt>
                <c:pt idx="336">
                  <c:v>9.99</c:v>
                </c:pt>
                <c:pt idx="337">
                  <c:v>9.99</c:v>
                </c:pt>
                <c:pt idx="338">
                  <c:v>9.99</c:v>
                </c:pt>
                <c:pt idx="339">
                  <c:v>9.99</c:v>
                </c:pt>
                <c:pt idx="340">
                  <c:v>9.99</c:v>
                </c:pt>
                <c:pt idx="341">
                  <c:v>9.99</c:v>
                </c:pt>
                <c:pt idx="342">
                  <c:v>9.99</c:v>
                </c:pt>
                <c:pt idx="343">
                  <c:v>9.99</c:v>
                </c:pt>
                <c:pt idx="344">
                  <c:v>9.99</c:v>
                </c:pt>
                <c:pt idx="345">
                  <c:v>9.99</c:v>
                </c:pt>
                <c:pt idx="346">
                  <c:v>9.99</c:v>
                </c:pt>
                <c:pt idx="347">
                  <c:v>9.99</c:v>
                </c:pt>
                <c:pt idx="348">
                  <c:v>9.99</c:v>
                </c:pt>
                <c:pt idx="349">
                  <c:v>9.99</c:v>
                </c:pt>
                <c:pt idx="350">
                  <c:v>9.99</c:v>
                </c:pt>
                <c:pt idx="351">
                  <c:v>9.99</c:v>
                </c:pt>
                <c:pt idx="352">
                  <c:v>9.99</c:v>
                </c:pt>
                <c:pt idx="353">
                  <c:v>9.99</c:v>
                </c:pt>
                <c:pt idx="354">
                  <c:v>9.99</c:v>
                </c:pt>
                <c:pt idx="355">
                  <c:v>9.99</c:v>
                </c:pt>
                <c:pt idx="356">
                  <c:v>9.99</c:v>
                </c:pt>
                <c:pt idx="357">
                  <c:v>9.99</c:v>
                </c:pt>
                <c:pt idx="358">
                  <c:v>9.99</c:v>
                </c:pt>
                <c:pt idx="359">
                  <c:v>9.99</c:v>
                </c:pt>
                <c:pt idx="360">
                  <c:v>9.99</c:v>
                </c:pt>
                <c:pt idx="361">
                  <c:v>9.99</c:v>
                </c:pt>
                <c:pt idx="362">
                  <c:v>9.99</c:v>
                </c:pt>
                <c:pt idx="363">
                  <c:v>9.99</c:v>
                </c:pt>
                <c:pt idx="364">
                  <c:v>9.99</c:v>
                </c:pt>
                <c:pt idx="365">
                  <c:v>9.99</c:v>
                </c:pt>
                <c:pt idx="366">
                  <c:v>9.99</c:v>
                </c:pt>
                <c:pt idx="367">
                  <c:v>9.99</c:v>
                </c:pt>
                <c:pt idx="368">
                  <c:v>9.99</c:v>
                </c:pt>
                <c:pt idx="369">
                  <c:v>9.99</c:v>
                </c:pt>
                <c:pt idx="370">
                  <c:v>9.99</c:v>
                </c:pt>
                <c:pt idx="371">
                  <c:v>9.99</c:v>
                </c:pt>
                <c:pt idx="372">
                  <c:v>9.99</c:v>
                </c:pt>
                <c:pt idx="373">
                  <c:v>9.99</c:v>
                </c:pt>
                <c:pt idx="374">
                  <c:v>9.99</c:v>
                </c:pt>
                <c:pt idx="375">
                  <c:v>9.99</c:v>
                </c:pt>
                <c:pt idx="376">
                  <c:v>9.99</c:v>
                </c:pt>
                <c:pt idx="377">
                  <c:v>9.99</c:v>
                </c:pt>
                <c:pt idx="378">
                  <c:v>9.99</c:v>
                </c:pt>
                <c:pt idx="379">
                  <c:v>9.99</c:v>
                </c:pt>
                <c:pt idx="380">
                  <c:v>9.99</c:v>
                </c:pt>
                <c:pt idx="381">
                  <c:v>9.99</c:v>
                </c:pt>
                <c:pt idx="382">
                  <c:v>9.99</c:v>
                </c:pt>
                <c:pt idx="383">
                  <c:v>9.99</c:v>
                </c:pt>
                <c:pt idx="384">
                  <c:v>9.99</c:v>
                </c:pt>
                <c:pt idx="385">
                  <c:v>9.99</c:v>
                </c:pt>
                <c:pt idx="386">
                  <c:v>9.99</c:v>
                </c:pt>
                <c:pt idx="387">
                  <c:v>9.99</c:v>
                </c:pt>
                <c:pt idx="388">
                  <c:v>9.99</c:v>
                </c:pt>
                <c:pt idx="389">
                  <c:v>9.99</c:v>
                </c:pt>
                <c:pt idx="390">
                  <c:v>9.99</c:v>
                </c:pt>
                <c:pt idx="391">
                  <c:v>9.99</c:v>
                </c:pt>
                <c:pt idx="392">
                  <c:v>9.99</c:v>
                </c:pt>
                <c:pt idx="393">
                  <c:v>9.99</c:v>
                </c:pt>
                <c:pt idx="394">
                  <c:v>9.99</c:v>
                </c:pt>
                <c:pt idx="395">
                  <c:v>9.99</c:v>
                </c:pt>
                <c:pt idx="396">
                  <c:v>9.99</c:v>
                </c:pt>
                <c:pt idx="397">
                  <c:v>9.99</c:v>
                </c:pt>
                <c:pt idx="398">
                  <c:v>9.99</c:v>
                </c:pt>
                <c:pt idx="399">
                  <c:v>9.99</c:v>
                </c:pt>
                <c:pt idx="400">
                  <c:v>9.99</c:v>
                </c:pt>
                <c:pt idx="401">
                  <c:v>9.99</c:v>
                </c:pt>
                <c:pt idx="402">
                  <c:v>9.99</c:v>
                </c:pt>
                <c:pt idx="403">
                  <c:v>9.99</c:v>
                </c:pt>
                <c:pt idx="404">
                  <c:v>9.99</c:v>
                </c:pt>
                <c:pt idx="405">
                  <c:v>9.99</c:v>
                </c:pt>
                <c:pt idx="406">
                  <c:v>9.99</c:v>
                </c:pt>
                <c:pt idx="407">
                  <c:v>9.99</c:v>
                </c:pt>
                <c:pt idx="408">
                  <c:v>9.99</c:v>
                </c:pt>
                <c:pt idx="409">
                  <c:v>9.99</c:v>
                </c:pt>
                <c:pt idx="410">
                  <c:v>9.99</c:v>
                </c:pt>
                <c:pt idx="411">
                  <c:v>9.99</c:v>
                </c:pt>
                <c:pt idx="412">
                  <c:v>9.99</c:v>
                </c:pt>
                <c:pt idx="413">
                  <c:v>9.99</c:v>
                </c:pt>
                <c:pt idx="414">
                  <c:v>9.99</c:v>
                </c:pt>
                <c:pt idx="415">
                  <c:v>9.99</c:v>
                </c:pt>
                <c:pt idx="416">
                  <c:v>9.99</c:v>
                </c:pt>
                <c:pt idx="417">
                  <c:v>9.99</c:v>
                </c:pt>
                <c:pt idx="418">
                  <c:v>9.99</c:v>
                </c:pt>
                <c:pt idx="419">
                  <c:v>9.99</c:v>
                </c:pt>
                <c:pt idx="420">
                  <c:v>9.99</c:v>
                </c:pt>
                <c:pt idx="421">
                  <c:v>9.99</c:v>
                </c:pt>
                <c:pt idx="422">
                  <c:v>9.99</c:v>
                </c:pt>
                <c:pt idx="423">
                  <c:v>9.99</c:v>
                </c:pt>
                <c:pt idx="424">
                  <c:v>9.99</c:v>
                </c:pt>
                <c:pt idx="425">
                  <c:v>9.99</c:v>
                </c:pt>
                <c:pt idx="426">
                  <c:v>9.99</c:v>
                </c:pt>
                <c:pt idx="427">
                  <c:v>9.99</c:v>
                </c:pt>
                <c:pt idx="428">
                  <c:v>9.99</c:v>
                </c:pt>
                <c:pt idx="429">
                  <c:v>9.99</c:v>
                </c:pt>
                <c:pt idx="430">
                  <c:v>9.99</c:v>
                </c:pt>
                <c:pt idx="431">
                  <c:v>9.99</c:v>
                </c:pt>
                <c:pt idx="432">
                  <c:v>9.99</c:v>
                </c:pt>
                <c:pt idx="433">
                  <c:v>9.99</c:v>
                </c:pt>
                <c:pt idx="434">
                  <c:v>9.99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1F-45D2-BEE5-FA4E0B9A7C00}"/>
            </c:ext>
          </c:extLst>
        </c:ser>
        <c:ser>
          <c:idx val="1"/>
          <c:order val="1"/>
          <c:tx>
            <c:strRef>
              <c:f>'Tabelle Pivot'!$AA$3</c:f>
              <c:strCache>
                <c:ptCount val="1"/>
                <c:pt idx="0">
                  <c:v>Obiettivo Sociale</c:v>
                </c:pt>
              </c:strCache>
            </c:strRef>
          </c:tx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Pivot'!$AA$4:$AA$439</c:f>
              <c:numCache>
                <c:formatCode>General</c:formatCode>
                <c:ptCount val="435"/>
                <c:pt idx="0">
                  <c:v>6.0357310402110356</c:v>
                </c:pt>
                <c:pt idx="1">
                  <c:v>6.0119643541636583</c:v>
                </c:pt>
                <c:pt idx="2">
                  <c:v>6.0124200032349355</c:v>
                </c:pt>
                <c:pt idx="3">
                  <c:v>5.9834841183883647</c:v>
                </c:pt>
                <c:pt idx="4">
                  <c:v>5.9795534815140243</c:v>
                </c:pt>
                <c:pt idx="5">
                  <c:v>5.8988179380230985</c:v>
                </c:pt>
                <c:pt idx="6">
                  <c:v>5.8304006116530749</c:v>
                </c:pt>
                <c:pt idx="7">
                  <c:v>5.7935550932780311</c:v>
                </c:pt>
                <c:pt idx="8">
                  <c:v>5.7776225880288496</c:v>
                </c:pt>
                <c:pt idx="9">
                  <c:v>5.7513380734199684</c:v>
                </c:pt>
                <c:pt idx="10">
                  <c:v>5.7679622276370752</c:v>
                </c:pt>
                <c:pt idx="11">
                  <c:v>5.7293044297161684</c:v>
                </c:pt>
                <c:pt idx="12">
                  <c:v>5.9096074137105399</c:v>
                </c:pt>
                <c:pt idx="13">
                  <c:v>5.9294479171696892</c:v>
                </c:pt>
                <c:pt idx="14">
                  <c:v>6.0664129226383654</c:v>
                </c:pt>
                <c:pt idx="15">
                  <c:v>6.0374497830877818</c:v>
                </c:pt>
                <c:pt idx="16">
                  <c:v>6.0074912734185082</c:v>
                </c:pt>
                <c:pt idx="17">
                  <c:v>6.0148773964993936</c:v>
                </c:pt>
                <c:pt idx="18">
                  <c:v>5.9937775485109466</c:v>
                </c:pt>
                <c:pt idx="19">
                  <c:v>5.9801709161744832</c:v>
                </c:pt>
                <c:pt idx="20">
                  <c:v>5.949747534948</c:v>
                </c:pt>
                <c:pt idx="21">
                  <c:v>6.3447127283348053</c:v>
                </c:pt>
                <c:pt idx="22">
                  <c:v>6.6788607001160702</c:v>
                </c:pt>
                <c:pt idx="23">
                  <c:v>6.4421934237441372</c:v>
                </c:pt>
                <c:pt idx="24">
                  <c:v>6.4247180254204137</c:v>
                </c:pt>
                <c:pt idx="25">
                  <c:v>6.4284845130961106</c:v>
                </c:pt>
                <c:pt idx="26">
                  <c:v>6.3873902590837552</c:v>
                </c:pt>
                <c:pt idx="27">
                  <c:v>6.3201944681726863</c:v>
                </c:pt>
                <c:pt idx="28">
                  <c:v>6.2917411862284398</c:v>
                </c:pt>
                <c:pt idx="29">
                  <c:v>6.2895713571095246</c:v>
                </c:pt>
                <c:pt idx="30">
                  <c:v>6.3020853060032485</c:v>
                </c:pt>
                <c:pt idx="31">
                  <c:v>6.3419128308431274</c:v>
                </c:pt>
                <c:pt idx="32">
                  <c:v>6.4048441780000926</c:v>
                </c:pt>
                <c:pt idx="33">
                  <c:v>6.3777221901828947</c:v>
                </c:pt>
                <c:pt idx="34">
                  <c:v>6.3405936144719188</c:v>
                </c:pt>
                <c:pt idx="35">
                  <c:v>6.2406896421939404</c:v>
                </c:pt>
                <c:pt idx="36">
                  <c:v>6.1840506381446509</c:v>
                </c:pt>
                <c:pt idx="37">
                  <c:v>6.2062131523274049</c:v>
                </c:pt>
                <c:pt idx="38">
                  <c:v>6.220786109373126</c:v>
                </c:pt>
                <c:pt idx="39">
                  <c:v>6.1844298630390382</c:v>
                </c:pt>
                <c:pt idx="40">
                  <c:v>6.340451748621339</c:v>
                </c:pt>
                <c:pt idx="41">
                  <c:v>6.5861658665334168</c:v>
                </c:pt>
                <c:pt idx="42">
                  <c:v>6.5689429463550955</c:v>
                </c:pt>
                <c:pt idx="43">
                  <c:v>6.5694487201945968</c:v>
                </c:pt>
                <c:pt idx="44">
                  <c:v>6.5621155140455212</c:v>
                </c:pt>
                <c:pt idx="45">
                  <c:v>6.5273923357384342</c:v>
                </c:pt>
                <c:pt idx="46">
                  <c:v>6.5426942616508832</c:v>
                </c:pt>
                <c:pt idx="47">
                  <c:v>6.4706801567198884</c:v>
                </c:pt>
                <c:pt idx="48">
                  <c:v>6.4113478612102934</c:v>
                </c:pt>
                <c:pt idx="49">
                  <c:v>6.3592782896823552</c:v>
                </c:pt>
                <c:pt idx="50">
                  <c:v>6.3666788186148979</c:v>
                </c:pt>
                <c:pt idx="51">
                  <c:v>6.2312183411928919</c:v>
                </c:pt>
                <c:pt idx="52">
                  <c:v>6.2071778179359773</c:v>
                </c:pt>
                <c:pt idx="53">
                  <c:v>6.1900882031800926</c:v>
                </c:pt>
                <c:pt idx="54">
                  <c:v>6.2634860987447079</c:v>
                </c:pt>
                <c:pt idx="55">
                  <c:v>6.2482515006106256</c:v>
                </c:pt>
                <c:pt idx="56">
                  <c:v>6.2211991174375623</c:v>
                </c:pt>
                <c:pt idx="57">
                  <c:v>6.1999769425771047</c:v>
                </c:pt>
                <c:pt idx="58">
                  <c:v>6.3758435380745215</c:v>
                </c:pt>
                <c:pt idx="59">
                  <c:v>6.3174621340602135</c:v>
                </c:pt>
                <c:pt idx="60">
                  <c:v>6.3124206402886758</c:v>
                </c:pt>
                <c:pt idx="61">
                  <c:v>6.2962786559061792</c:v>
                </c:pt>
                <c:pt idx="62">
                  <c:v>6.2947147267397074</c:v>
                </c:pt>
                <c:pt idx="63">
                  <c:v>6.2947147267397074</c:v>
                </c:pt>
                <c:pt idx="64">
                  <c:v>6.1943378074318547</c:v>
                </c:pt>
                <c:pt idx="65">
                  <c:v>6.2351291594603495</c:v>
                </c:pt>
                <c:pt idx="66">
                  <c:v>6.2246476602788938</c:v>
                </c:pt>
                <c:pt idx="67">
                  <c:v>6.4385185937787606</c:v>
                </c:pt>
                <c:pt idx="68">
                  <c:v>6.4224736227050148</c:v>
                </c:pt>
                <c:pt idx="69">
                  <c:v>6.3777387856583019</c:v>
                </c:pt>
                <c:pt idx="70">
                  <c:v>6.3480742818745233</c:v>
                </c:pt>
                <c:pt idx="71">
                  <c:v>6.3402952421185335</c:v>
                </c:pt>
                <c:pt idx="72">
                  <c:v>6.4006020298519735</c:v>
                </c:pt>
                <c:pt idx="73">
                  <c:v>6.3650185453998089</c:v>
                </c:pt>
                <c:pt idx="74">
                  <c:v>6.2731369902453684</c:v>
                </c:pt>
                <c:pt idx="75">
                  <c:v>6.2501877007173796</c:v>
                </c:pt>
                <c:pt idx="76">
                  <c:v>6.4300296346666057</c:v>
                </c:pt>
                <c:pt idx="77">
                  <c:v>6.5892985248041391</c:v>
                </c:pt>
                <c:pt idx="78">
                  <c:v>6.533130782460236</c:v>
                </c:pt>
                <c:pt idx="79">
                  <c:v>6.7580658537424423</c:v>
                </c:pt>
                <c:pt idx="80">
                  <c:v>6.7693923581324666</c:v>
                </c:pt>
                <c:pt idx="81">
                  <c:v>6.7693923581324666</c:v>
                </c:pt>
                <c:pt idx="82">
                  <c:v>6.7710457496950331</c:v>
                </c:pt>
                <c:pt idx="83">
                  <c:v>6.8580296705511721</c:v>
                </c:pt>
                <c:pt idx="84">
                  <c:v>6.810495819286996</c:v>
                </c:pt>
                <c:pt idx="85">
                  <c:v>6.810495819286996</c:v>
                </c:pt>
                <c:pt idx="86">
                  <c:v>6.789010513571859</c:v>
                </c:pt>
                <c:pt idx="87">
                  <c:v>6.7991451935230955</c:v>
                </c:pt>
                <c:pt idx="88">
                  <c:v>6.7927504221745112</c:v>
                </c:pt>
                <c:pt idx="89">
                  <c:v>6.7413748115375469</c:v>
                </c:pt>
                <c:pt idx="90">
                  <c:v>6.7206145529572776</c:v>
                </c:pt>
                <c:pt idx="91">
                  <c:v>6.6933994685476268</c:v>
                </c:pt>
                <c:pt idx="92">
                  <c:v>6.6841557123740722</c:v>
                </c:pt>
                <c:pt idx="93">
                  <c:v>6.6170543466691782</c:v>
                </c:pt>
                <c:pt idx="94">
                  <c:v>6.9717836309546053</c:v>
                </c:pt>
                <c:pt idx="95">
                  <c:v>6.9696174238611501</c:v>
                </c:pt>
                <c:pt idx="96">
                  <c:v>6.9509555246564414</c:v>
                </c:pt>
                <c:pt idx="97">
                  <c:v>6.881881554401307</c:v>
                </c:pt>
                <c:pt idx="98">
                  <c:v>6.8565969963888467</c:v>
                </c:pt>
                <c:pt idx="99">
                  <c:v>6.8328660036803184</c:v>
                </c:pt>
                <c:pt idx="100">
                  <c:v>6.7764080264352318</c:v>
                </c:pt>
                <c:pt idx="101">
                  <c:v>6.7515791998211192</c:v>
                </c:pt>
                <c:pt idx="102">
                  <c:v>6.8506282300092725</c:v>
                </c:pt>
                <c:pt idx="103">
                  <c:v>6.8193312983266816</c:v>
                </c:pt>
                <c:pt idx="104">
                  <c:v>6.7077902403307981</c:v>
                </c:pt>
                <c:pt idx="105">
                  <c:v>6.7527393878549518</c:v>
                </c:pt>
                <c:pt idx="106">
                  <c:v>6.7373004919101787</c:v>
                </c:pt>
                <c:pt idx="107">
                  <c:v>6.702355283125125</c:v>
                </c:pt>
                <c:pt idx="108">
                  <c:v>6.7132743148718665</c:v>
                </c:pt>
                <c:pt idx="109">
                  <c:v>6.791708940572696</c:v>
                </c:pt>
                <c:pt idx="110">
                  <c:v>6.7977750976317237</c:v>
                </c:pt>
                <c:pt idx="111">
                  <c:v>6.74095538236402</c:v>
                </c:pt>
                <c:pt idx="112">
                  <c:v>6.7028998750579927</c:v>
                </c:pt>
                <c:pt idx="113">
                  <c:v>6.6680630863130421</c:v>
                </c:pt>
                <c:pt idx="114">
                  <c:v>6.6487866603743475</c:v>
                </c:pt>
                <c:pt idx="115">
                  <c:v>6.6114794987547842</c:v>
                </c:pt>
                <c:pt idx="116">
                  <c:v>6.6057856713707706</c:v>
                </c:pt>
                <c:pt idx="117">
                  <c:v>6.4272456464875605</c:v>
                </c:pt>
                <c:pt idx="118">
                  <c:v>6.4098919533445953</c:v>
                </c:pt>
                <c:pt idx="119">
                  <c:v>6.4313746969077208</c:v>
                </c:pt>
                <c:pt idx="120">
                  <c:v>6.4402573239018279</c:v>
                </c:pt>
                <c:pt idx="121">
                  <c:v>6.3739567704682472</c:v>
                </c:pt>
                <c:pt idx="122">
                  <c:v>6.3167578737966732</c:v>
                </c:pt>
                <c:pt idx="123">
                  <c:v>6.2509061722066077</c:v>
                </c:pt>
                <c:pt idx="124">
                  <c:v>6.2442968235562146</c:v>
                </c:pt>
                <c:pt idx="125">
                  <c:v>6.199367075968417</c:v>
                </c:pt>
                <c:pt idx="126">
                  <c:v>6.1203094970191136</c:v>
                </c:pt>
                <c:pt idx="127">
                  <c:v>6.115514926467772</c:v>
                </c:pt>
                <c:pt idx="128">
                  <c:v>6.0651288531730421</c:v>
                </c:pt>
                <c:pt idx="129">
                  <c:v>6.052151531876639</c:v>
                </c:pt>
                <c:pt idx="130">
                  <c:v>6.0246174557906489</c:v>
                </c:pt>
                <c:pt idx="131">
                  <c:v>6.0140154344872476</c:v>
                </c:pt>
                <c:pt idx="132">
                  <c:v>5.9801700398220747</c:v>
                </c:pt>
                <c:pt idx="133">
                  <c:v>5.957366756222271</c:v>
                </c:pt>
                <c:pt idx="134">
                  <c:v>5.931608354379172</c:v>
                </c:pt>
                <c:pt idx="135">
                  <c:v>7.6069913169426151</c:v>
                </c:pt>
                <c:pt idx="136">
                  <c:v>7.6257425458183015</c:v>
                </c:pt>
                <c:pt idx="137">
                  <c:v>7.960712243344747</c:v>
                </c:pt>
                <c:pt idx="138">
                  <c:v>7.7452638800970606</c:v>
                </c:pt>
                <c:pt idx="139">
                  <c:v>7.8047770055385444</c:v>
                </c:pt>
                <c:pt idx="140">
                  <c:v>7.9002189572416102</c:v>
                </c:pt>
                <c:pt idx="141">
                  <c:v>7.9011486152981432</c:v>
                </c:pt>
                <c:pt idx="142">
                  <c:v>7.8455948988846282</c:v>
                </c:pt>
                <c:pt idx="143">
                  <c:v>7.9272340695504981</c:v>
                </c:pt>
                <c:pt idx="144">
                  <c:v>7.9129805876108055</c:v>
                </c:pt>
                <c:pt idx="145">
                  <c:v>7.7693925528861989</c:v>
                </c:pt>
                <c:pt idx="146">
                  <c:v>7.6338603323537493</c:v>
                </c:pt>
                <c:pt idx="147">
                  <c:v>7.7120369341446429</c:v>
                </c:pt>
                <c:pt idx="148">
                  <c:v>7.6652846386393447</c:v>
                </c:pt>
                <c:pt idx="149">
                  <c:v>7.6912823241105759</c:v>
                </c:pt>
                <c:pt idx="150">
                  <c:v>7.5548637393167031</c:v>
                </c:pt>
                <c:pt idx="151">
                  <c:v>7.5573549246942049</c:v>
                </c:pt>
                <c:pt idx="152">
                  <c:v>7.5672671981121598</c:v>
                </c:pt>
                <c:pt idx="153">
                  <c:v>7.7653740971011427</c:v>
                </c:pt>
                <c:pt idx="154">
                  <c:v>8.053783222655392</c:v>
                </c:pt>
                <c:pt idx="155">
                  <c:v>7.9427921429789734</c:v>
                </c:pt>
                <c:pt idx="156">
                  <c:v>8.2433568804668056</c:v>
                </c:pt>
                <c:pt idx="157">
                  <c:v>8.1190776287659467</c:v>
                </c:pt>
                <c:pt idx="158">
                  <c:v>8.0690069440459649</c:v>
                </c:pt>
                <c:pt idx="159">
                  <c:v>8.3782527845144621</c:v>
                </c:pt>
                <c:pt idx="160">
                  <c:v>8.3473488693364057</c:v>
                </c:pt>
                <c:pt idx="161">
                  <c:v>8.3473488693364057</c:v>
                </c:pt>
                <c:pt idx="162">
                  <c:v>8.428614653581203</c:v>
                </c:pt>
                <c:pt idx="163">
                  <c:v>8.4402237980497006</c:v>
                </c:pt>
                <c:pt idx="164">
                  <c:v>8.4355138205479161</c:v>
                </c:pt>
                <c:pt idx="165">
                  <c:v>8.3349283088163464</c:v>
                </c:pt>
                <c:pt idx="166">
                  <c:v>8.2028768821223697</c:v>
                </c:pt>
                <c:pt idx="167">
                  <c:v>8.2126407098167906</c:v>
                </c:pt>
                <c:pt idx="168">
                  <c:v>8.1239165341947146</c:v>
                </c:pt>
                <c:pt idx="169">
                  <c:v>8.1381943213218371</c:v>
                </c:pt>
                <c:pt idx="170">
                  <c:v>7.7874708578690157</c:v>
                </c:pt>
                <c:pt idx="171">
                  <c:v>8.0872545533716451</c:v>
                </c:pt>
                <c:pt idx="172">
                  <c:v>8.0511737429014563</c:v>
                </c:pt>
                <c:pt idx="173">
                  <c:v>7.8824401661900172</c:v>
                </c:pt>
                <c:pt idx="174">
                  <c:v>7.7238496566245347</c:v>
                </c:pt>
                <c:pt idx="175">
                  <c:v>7.8403702341596615</c:v>
                </c:pt>
                <c:pt idx="176">
                  <c:v>7.875516067774603</c:v>
                </c:pt>
                <c:pt idx="177">
                  <c:v>7.6493599219594826</c:v>
                </c:pt>
                <c:pt idx="178">
                  <c:v>7.5656010524404662</c:v>
                </c:pt>
                <c:pt idx="179">
                  <c:v>7.5606850319327989</c:v>
                </c:pt>
                <c:pt idx="180">
                  <c:v>7.6150929838996966</c:v>
                </c:pt>
                <c:pt idx="181">
                  <c:v>7.7869553859326883</c:v>
                </c:pt>
                <c:pt idx="182">
                  <c:v>7.7462438944674306</c:v>
                </c:pt>
                <c:pt idx="183">
                  <c:v>7.8567296906895754</c:v>
                </c:pt>
                <c:pt idx="184">
                  <c:v>7.7604907954485469</c:v>
                </c:pt>
                <c:pt idx="185">
                  <c:v>7.6180757161974535</c:v>
                </c:pt>
                <c:pt idx="186">
                  <c:v>7.736903412557635</c:v>
                </c:pt>
                <c:pt idx="187">
                  <c:v>7.5369544957843448</c:v>
                </c:pt>
                <c:pt idx="188">
                  <c:v>7.4799435832432337</c:v>
                </c:pt>
                <c:pt idx="189">
                  <c:v>7.4882306206946572</c:v>
                </c:pt>
                <c:pt idx="190">
                  <c:v>7.5116527187066389</c:v>
                </c:pt>
                <c:pt idx="191">
                  <c:v>7.7620847372948614</c:v>
                </c:pt>
                <c:pt idx="192">
                  <c:v>7.6336438946712759</c:v>
                </c:pt>
                <c:pt idx="193">
                  <c:v>7.6746509238449159</c:v>
                </c:pt>
                <c:pt idx="194">
                  <c:v>7.710956385664991</c:v>
                </c:pt>
                <c:pt idx="195">
                  <c:v>7.5149403048974701</c:v>
                </c:pt>
                <c:pt idx="196">
                  <c:v>7.5782370099457168</c:v>
                </c:pt>
                <c:pt idx="197">
                  <c:v>7.5738113429114016</c:v>
                </c:pt>
                <c:pt idx="198">
                  <c:v>7.5679862011697239</c:v>
                </c:pt>
                <c:pt idx="199">
                  <c:v>7.6907795738826747</c:v>
                </c:pt>
                <c:pt idx="200">
                  <c:v>7.5878144367412306</c:v>
                </c:pt>
                <c:pt idx="201">
                  <c:v>7.5492116488963852</c:v>
                </c:pt>
                <c:pt idx="202">
                  <c:v>7.6142028050476833</c:v>
                </c:pt>
                <c:pt idx="203">
                  <c:v>7.4612397808837612</c:v>
                </c:pt>
                <c:pt idx="204">
                  <c:v>7.3550501132065014</c:v>
                </c:pt>
                <c:pt idx="205">
                  <c:v>7.3879407693735448</c:v>
                </c:pt>
                <c:pt idx="206">
                  <c:v>7.3907406487136127</c:v>
                </c:pt>
                <c:pt idx="207">
                  <c:v>7.5157331104145619</c:v>
                </c:pt>
                <c:pt idx="208">
                  <c:v>7.4729489969470579</c:v>
                </c:pt>
                <c:pt idx="209">
                  <c:v>7.5603074252607287</c:v>
                </c:pt>
                <c:pt idx="210">
                  <c:v>7.3996720305470642</c:v>
                </c:pt>
                <c:pt idx="211">
                  <c:v>7.2667092049025355</c:v>
                </c:pt>
                <c:pt idx="212">
                  <c:v>7.3458986907870356</c:v>
                </c:pt>
                <c:pt idx="213">
                  <c:v>7.4330167413059387</c:v>
                </c:pt>
                <c:pt idx="214">
                  <c:v>7.37193651579486</c:v>
                </c:pt>
                <c:pt idx="215">
                  <c:v>7.2639666361435697</c:v>
                </c:pt>
                <c:pt idx="216">
                  <c:v>7.2360939419953265</c:v>
                </c:pt>
                <c:pt idx="217">
                  <c:v>7.2360939419953265</c:v>
                </c:pt>
                <c:pt idx="218">
                  <c:v>7.218014994811254</c:v>
                </c:pt>
                <c:pt idx="219">
                  <c:v>7.2498854550893199</c:v>
                </c:pt>
                <c:pt idx="220">
                  <c:v>7.5101422797740049</c:v>
                </c:pt>
                <c:pt idx="221">
                  <c:v>7.476463984947844</c:v>
                </c:pt>
                <c:pt idx="222">
                  <c:v>7.7199642726871973</c:v>
                </c:pt>
                <c:pt idx="223">
                  <c:v>7.9834134312447098</c:v>
                </c:pt>
                <c:pt idx="224">
                  <c:v>7.6633581542069136</c:v>
                </c:pt>
                <c:pt idx="225">
                  <c:v>7.7396537912346748</c:v>
                </c:pt>
                <c:pt idx="226">
                  <c:v>7.8514837782128266</c:v>
                </c:pt>
                <c:pt idx="227">
                  <c:v>7.6337609334881478</c:v>
                </c:pt>
                <c:pt idx="228">
                  <c:v>7.7858204896628074</c:v>
                </c:pt>
                <c:pt idx="229">
                  <c:v>7.7950422803451245</c:v>
                </c:pt>
                <c:pt idx="230">
                  <c:v>7.7285303638665628</c:v>
                </c:pt>
                <c:pt idx="231">
                  <c:v>7.8137241446036523</c:v>
                </c:pt>
                <c:pt idx="232">
                  <c:v>7.6378470460606467</c:v>
                </c:pt>
                <c:pt idx="233">
                  <c:v>7.5912345765369764</c:v>
                </c:pt>
                <c:pt idx="234">
                  <c:v>7.6901282788913825</c:v>
                </c:pt>
                <c:pt idx="235">
                  <c:v>7.6342893737293522</c:v>
                </c:pt>
                <c:pt idx="236">
                  <c:v>7.5321991318111996</c:v>
                </c:pt>
                <c:pt idx="237">
                  <c:v>7.4490190193628969</c:v>
                </c:pt>
                <c:pt idx="238">
                  <c:v>7.6131641427235168</c:v>
                </c:pt>
                <c:pt idx="239">
                  <c:v>7.5782963591583199</c:v>
                </c:pt>
                <c:pt idx="240">
                  <c:v>7.5539143549245962</c:v>
                </c:pt>
                <c:pt idx="241">
                  <c:v>7.6063715790763116</c:v>
                </c:pt>
                <c:pt idx="242">
                  <c:v>7.5181670929987172</c:v>
                </c:pt>
                <c:pt idx="243">
                  <c:v>7.3835635993218727</c:v>
                </c:pt>
                <c:pt idx="244">
                  <c:v>7.3883515152864492</c:v>
                </c:pt>
                <c:pt idx="245">
                  <c:v>7.3182795465715849</c:v>
                </c:pt>
                <c:pt idx="246">
                  <c:v>7.1882540267221975</c:v>
                </c:pt>
                <c:pt idx="247">
                  <c:v>7.2360166313193188</c:v>
                </c:pt>
                <c:pt idx="248">
                  <c:v>6.9379985585142707</c:v>
                </c:pt>
                <c:pt idx="249">
                  <c:v>7.2846818507254714</c:v>
                </c:pt>
                <c:pt idx="250">
                  <c:v>7.5344920550611008</c:v>
                </c:pt>
                <c:pt idx="251">
                  <c:v>7.4731754304780029</c:v>
                </c:pt>
                <c:pt idx="252">
                  <c:v>7.5018382792057121</c:v>
                </c:pt>
                <c:pt idx="253">
                  <c:v>7.5432810698021138</c:v>
                </c:pt>
                <c:pt idx="254">
                  <c:v>7.5432810698020987</c:v>
                </c:pt>
                <c:pt idx="255">
                  <c:v>7.1782330492582496</c:v>
                </c:pt>
                <c:pt idx="256">
                  <c:v>7.1903330415571052</c:v>
                </c:pt>
                <c:pt idx="257">
                  <c:v>7.2519446357708848</c:v>
                </c:pt>
                <c:pt idx="258">
                  <c:v>7.1181686635014296</c:v>
                </c:pt>
                <c:pt idx="259">
                  <c:v>7.2006429161174053</c:v>
                </c:pt>
                <c:pt idx="260">
                  <c:v>7.2006429161174053</c:v>
                </c:pt>
                <c:pt idx="261">
                  <c:v>7.3681825711398785</c:v>
                </c:pt>
                <c:pt idx="262">
                  <c:v>7.3209106340204446</c:v>
                </c:pt>
                <c:pt idx="263">
                  <c:v>7.2457948865664195</c:v>
                </c:pt>
                <c:pt idx="264">
                  <c:v>7.1877611125549157</c:v>
                </c:pt>
                <c:pt idx="265">
                  <c:v>7.0612032657579196</c:v>
                </c:pt>
                <c:pt idx="266">
                  <c:v>7.0789773603606241</c:v>
                </c:pt>
                <c:pt idx="267">
                  <c:v>7.0087273820366391</c:v>
                </c:pt>
                <c:pt idx="268">
                  <c:v>7.1914653681544571</c:v>
                </c:pt>
                <c:pt idx="269">
                  <c:v>6.9919029333107314</c:v>
                </c:pt>
                <c:pt idx="270">
                  <c:v>7.0686404108785528</c:v>
                </c:pt>
                <c:pt idx="271">
                  <c:v>7.3288775916097917</c:v>
                </c:pt>
                <c:pt idx="272">
                  <c:v>7.3933089731716191</c:v>
                </c:pt>
                <c:pt idx="273">
                  <c:v>7.417752516168779</c:v>
                </c:pt>
                <c:pt idx="274">
                  <c:v>7.2723740488331767</c:v>
                </c:pt>
                <c:pt idx="275">
                  <c:v>7.2467560775366815</c:v>
                </c:pt>
                <c:pt idx="276">
                  <c:v>7.5058966207984339</c:v>
                </c:pt>
                <c:pt idx="277">
                  <c:v>7.3811539329168125</c:v>
                </c:pt>
                <c:pt idx="278">
                  <c:v>7.4347140771324751</c:v>
                </c:pt>
                <c:pt idx="279">
                  <c:v>7.1456410983291683</c:v>
                </c:pt>
                <c:pt idx="280">
                  <c:v>7.1890411642455376</c:v>
                </c:pt>
                <c:pt idx="281">
                  <c:v>7.2170583208829884</c:v>
                </c:pt>
                <c:pt idx="282">
                  <c:v>7.2892992796109786</c:v>
                </c:pt>
                <c:pt idx="283">
                  <c:v>7.6135794176513283</c:v>
                </c:pt>
                <c:pt idx="284">
                  <c:v>7.2597351079071517</c:v>
                </c:pt>
                <c:pt idx="285">
                  <c:v>7.413965809895755</c:v>
                </c:pt>
                <c:pt idx="286">
                  <c:v>7.4600799810682856</c:v>
                </c:pt>
                <c:pt idx="287">
                  <c:v>7.685680888955674</c:v>
                </c:pt>
                <c:pt idx="288">
                  <c:v>7.5132957042119504</c:v>
                </c:pt>
                <c:pt idx="289">
                  <c:v>7.5181332368886711</c:v>
                </c:pt>
                <c:pt idx="290">
                  <c:v>7.5990340401177292</c:v>
                </c:pt>
                <c:pt idx="291">
                  <c:v>7.4544339902121344</c:v>
                </c:pt>
                <c:pt idx="292">
                  <c:v>7.4926533355738538</c:v>
                </c:pt>
                <c:pt idx="293">
                  <c:v>7.4465862220150996</c:v>
                </c:pt>
                <c:pt idx="294">
                  <c:v>7.4414247791712187</c:v>
                </c:pt>
                <c:pt idx="295">
                  <c:v>7.4089966059973067</c:v>
                </c:pt>
                <c:pt idx="296">
                  <c:v>7.4506998642294571</c:v>
                </c:pt>
                <c:pt idx="297">
                  <c:v>7.3562218455797845</c:v>
                </c:pt>
                <c:pt idx="298">
                  <c:v>7.3796952730608432</c:v>
                </c:pt>
                <c:pt idx="299">
                  <c:v>7.495661270799217</c:v>
                </c:pt>
                <c:pt idx="300">
                  <c:v>7.3773728453819283</c:v>
                </c:pt>
                <c:pt idx="301">
                  <c:v>7.3903948119928282</c:v>
                </c:pt>
                <c:pt idx="302">
                  <c:v>7.512018204814372</c:v>
                </c:pt>
                <c:pt idx="303">
                  <c:v>7.5801251017474547</c:v>
                </c:pt>
                <c:pt idx="304">
                  <c:v>7.5869073117988242</c:v>
                </c:pt>
                <c:pt idx="305">
                  <c:v>7.7174082099507153</c:v>
                </c:pt>
                <c:pt idx="306">
                  <c:v>7.6621744601918431</c:v>
                </c:pt>
                <c:pt idx="307">
                  <c:v>7.7531930049474189</c:v>
                </c:pt>
                <c:pt idx="308">
                  <c:v>7.6198486149070881</c:v>
                </c:pt>
                <c:pt idx="309">
                  <c:v>7.8219860364202418</c:v>
                </c:pt>
                <c:pt idx="310">
                  <c:v>7.9218481129408396</c:v>
                </c:pt>
                <c:pt idx="311">
                  <c:v>7.8400368301231866</c:v>
                </c:pt>
                <c:pt idx="312">
                  <c:v>7.7372537528634435</c:v>
                </c:pt>
                <c:pt idx="313">
                  <c:v>7.6894913445915547</c:v>
                </c:pt>
                <c:pt idx="314">
                  <c:v>7.4842955691604542</c:v>
                </c:pt>
                <c:pt idx="315">
                  <c:v>7.4942011768814671</c:v>
                </c:pt>
                <c:pt idx="316">
                  <c:v>7.3968360905732506</c:v>
                </c:pt>
                <c:pt idx="317">
                  <c:v>7.2494628474767318</c:v>
                </c:pt>
                <c:pt idx="318">
                  <c:v>7.3276771266031488</c:v>
                </c:pt>
                <c:pt idx="319">
                  <c:v>7.31768199546406</c:v>
                </c:pt>
                <c:pt idx="320">
                  <c:v>7.2497634355052742</c:v>
                </c:pt>
                <c:pt idx="321">
                  <c:v>7.1686841251688866</c:v>
                </c:pt>
                <c:pt idx="322">
                  <c:v>7.1553475372925348</c:v>
                </c:pt>
                <c:pt idx="323">
                  <c:v>7.4315006091545266</c:v>
                </c:pt>
                <c:pt idx="324">
                  <c:v>7.462037200877325</c:v>
                </c:pt>
                <c:pt idx="325">
                  <c:v>7.6106980085581277</c:v>
                </c:pt>
                <c:pt idx="326">
                  <c:v>7.8052518340757944</c:v>
                </c:pt>
                <c:pt idx="327">
                  <c:v>9.1259998211888806</c:v>
                </c:pt>
                <c:pt idx="328">
                  <c:v>9.1148689913800958</c:v>
                </c:pt>
                <c:pt idx="329">
                  <c:v>9.0753718350715467</c:v>
                </c:pt>
                <c:pt idx="330">
                  <c:v>8.9912283823524692</c:v>
                </c:pt>
                <c:pt idx="331">
                  <c:v>8.9704813615047705</c:v>
                </c:pt>
                <c:pt idx="332">
                  <c:v>8.7927394108789247</c:v>
                </c:pt>
                <c:pt idx="333">
                  <c:v>8.7155681340746796</c:v>
                </c:pt>
                <c:pt idx="334">
                  <c:v>8.6446932421470049</c:v>
                </c:pt>
                <c:pt idx="335">
                  <c:v>8.5555319181109066</c:v>
                </c:pt>
                <c:pt idx="336">
                  <c:v>8.9614647575654747</c:v>
                </c:pt>
                <c:pt idx="337">
                  <c:v>8.7739984821563866</c:v>
                </c:pt>
                <c:pt idx="338">
                  <c:v>8.6991213242216396</c:v>
                </c:pt>
                <c:pt idx="339">
                  <c:v>8.5767286201059356</c:v>
                </c:pt>
                <c:pt idx="340">
                  <c:v>8.6065391676688101</c:v>
                </c:pt>
                <c:pt idx="341">
                  <c:v>8.6557736631461726</c:v>
                </c:pt>
                <c:pt idx="342">
                  <c:v>8.4420330746134269</c:v>
                </c:pt>
                <c:pt idx="343">
                  <c:v>8.5229801546531654</c:v>
                </c:pt>
                <c:pt idx="344">
                  <c:v>8.6318044969298438</c:v>
                </c:pt>
                <c:pt idx="345">
                  <c:v>8.4183946649003776</c:v>
                </c:pt>
                <c:pt idx="346">
                  <c:v>8.7314213763732855</c:v>
                </c:pt>
                <c:pt idx="347">
                  <c:v>8.7804578421962187</c:v>
                </c:pt>
                <c:pt idx="348">
                  <c:v>8.9492559781120651</c:v>
                </c:pt>
                <c:pt idx="349">
                  <c:v>8.8076535691367912</c:v>
                </c:pt>
                <c:pt idx="350">
                  <c:v>8.7545187385335339</c:v>
                </c:pt>
                <c:pt idx="351">
                  <c:v>8.7938785631353298</c:v>
                </c:pt>
                <c:pt idx="352">
                  <c:v>8.6872629781733455</c:v>
                </c:pt>
                <c:pt idx="353">
                  <c:v>8.359763238845078</c:v>
                </c:pt>
                <c:pt idx="354">
                  <c:v>8.2956761499423468</c:v>
                </c:pt>
                <c:pt idx="355">
                  <c:v>8.306969077571221</c:v>
                </c:pt>
                <c:pt idx="356">
                  <c:v>8.1601882160589323</c:v>
                </c:pt>
                <c:pt idx="357">
                  <c:v>8.354831119801025</c:v>
                </c:pt>
                <c:pt idx="358">
                  <c:v>8.4566635955396077</c:v>
                </c:pt>
                <c:pt idx="359">
                  <c:v>8.1748017958183592</c:v>
                </c:pt>
                <c:pt idx="360">
                  <c:v>8.0027069671422399</c:v>
                </c:pt>
                <c:pt idx="361">
                  <c:v>8.1842886986744432</c:v>
                </c:pt>
                <c:pt idx="362">
                  <c:v>8.1513579777540457</c:v>
                </c:pt>
                <c:pt idx="363">
                  <c:v>8.0687072051325028</c:v>
                </c:pt>
                <c:pt idx="364">
                  <c:v>8.1534395151529395</c:v>
                </c:pt>
                <c:pt idx="365">
                  <c:v>7.9436137757704692</c:v>
                </c:pt>
                <c:pt idx="366">
                  <c:v>7.9769769970323887</c:v>
                </c:pt>
                <c:pt idx="367">
                  <c:v>7.9613297901649798</c:v>
                </c:pt>
                <c:pt idx="368">
                  <c:v>7.9616143136355806</c:v>
                </c:pt>
                <c:pt idx="369">
                  <c:v>8.1155867372121229</c:v>
                </c:pt>
                <c:pt idx="370">
                  <c:v>7.9145599553664017</c:v>
                </c:pt>
                <c:pt idx="371">
                  <c:v>8.0153069579735714</c:v>
                </c:pt>
                <c:pt idx="372">
                  <c:v>8.1342653535021956</c:v>
                </c:pt>
                <c:pt idx="373">
                  <c:v>7.9244261192097749</c:v>
                </c:pt>
                <c:pt idx="374">
                  <c:v>7.9960313258430151</c:v>
                </c:pt>
                <c:pt idx="375">
                  <c:v>7.9671575882395347</c:v>
                </c:pt>
                <c:pt idx="376">
                  <c:v>8.0267599272448038</c:v>
                </c:pt>
                <c:pt idx="377">
                  <c:v>7.9521870512407231</c:v>
                </c:pt>
                <c:pt idx="378">
                  <c:v>7.9651719317409082</c:v>
                </c:pt>
                <c:pt idx="379">
                  <c:v>7.9669725653856789</c:v>
                </c:pt>
                <c:pt idx="380">
                  <c:v>8.0391439036008485</c:v>
                </c:pt>
                <c:pt idx="381">
                  <c:v>7.9312203161382842</c:v>
                </c:pt>
                <c:pt idx="382">
                  <c:v>7.8027972502025218</c:v>
                </c:pt>
                <c:pt idx="383">
                  <c:v>7.907239641046572</c:v>
                </c:pt>
                <c:pt idx="384">
                  <c:v>7.7930059811085952</c:v>
                </c:pt>
                <c:pt idx="385">
                  <c:v>7.6552644262343099</c:v>
                </c:pt>
                <c:pt idx="386">
                  <c:v>7.650026392372852</c:v>
                </c:pt>
                <c:pt idx="387">
                  <c:v>7.7524010934831917</c:v>
                </c:pt>
                <c:pt idx="388">
                  <c:v>7.6994355028319914</c:v>
                </c:pt>
                <c:pt idx="389">
                  <c:v>7.5205207970425825</c:v>
                </c:pt>
                <c:pt idx="390">
                  <c:v>7.5300301202480657</c:v>
                </c:pt>
                <c:pt idx="391">
                  <c:v>7.670032588217973</c:v>
                </c:pt>
                <c:pt idx="392">
                  <c:v>7.3454005487441254</c:v>
                </c:pt>
                <c:pt idx="393">
                  <c:v>7.4215460120958037</c:v>
                </c:pt>
                <c:pt idx="394">
                  <c:v>7.5553812202297488</c:v>
                </c:pt>
                <c:pt idx="395">
                  <c:v>7.5626497642306116</c:v>
                </c:pt>
                <c:pt idx="396">
                  <c:v>7.3105504438779425</c:v>
                </c:pt>
                <c:pt idx="397">
                  <c:v>7.3271791812131566</c:v>
                </c:pt>
                <c:pt idx="398">
                  <c:v>7.5225208149060867</c:v>
                </c:pt>
                <c:pt idx="399">
                  <c:v>7.3462085501719718</c:v>
                </c:pt>
                <c:pt idx="400">
                  <c:v>7.269404100831971</c:v>
                </c:pt>
                <c:pt idx="401">
                  <c:v>7.2367155603282427</c:v>
                </c:pt>
                <c:pt idx="402">
                  <c:v>7.4586093829788149</c:v>
                </c:pt>
                <c:pt idx="403">
                  <c:v>7.1322825788014113</c:v>
                </c:pt>
                <c:pt idx="404">
                  <c:v>7.6103397678474698</c:v>
                </c:pt>
                <c:pt idx="405">
                  <c:v>7.6467293770326155</c:v>
                </c:pt>
                <c:pt idx="406">
                  <c:v>7.5638134523194065</c:v>
                </c:pt>
                <c:pt idx="407">
                  <c:v>7.4905788068398538</c:v>
                </c:pt>
                <c:pt idx="408">
                  <c:v>7.4923435031292591</c:v>
                </c:pt>
                <c:pt idx="409">
                  <c:v>7.5365657033702087</c:v>
                </c:pt>
                <c:pt idx="410">
                  <c:v>7.5108288124322478</c:v>
                </c:pt>
                <c:pt idx="411">
                  <c:v>7.4515082065053191</c:v>
                </c:pt>
                <c:pt idx="412">
                  <c:v>7.4019193235780394</c:v>
                </c:pt>
                <c:pt idx="413">
                  <c:v>7.4064625056013025</c:v>
                </c:pt>
                <c:pt idx="414">
                  <c:v>7.4118936175636163</c:v>
                </c:pt>
                <c:pt idx="415">
                  <c:v>7.3141084781585501</c:v>
                </c:pt>
                <c:pt idx="416">
                  <c:v>7.282321733237505</c:v>
                </c:pt>
                <c:pt idx="417">
                  <c:v>7.2773168343928258</c:v>
                </c:pt>
                <c:pt idx="418">
                  <c:v>7.2688031216623177</c:v>
                </c:pt>
                <c:pt idx="419">
                  <c:v>7.2797716851885079</c:v>
                </c:pt>
                <c:pt idx="420">
                  <c:v>7.3901983707021293</c:v>
                </c:pt>
                <c:pt idx="421">
                  <c:v>7.3684206820753939</c:v>
                </c:pt>
                <c:pt idx="422">
                  <c:v>7.3323973646894416</c:v>
                </c:pt>
                <c:pt idx="423">
                  <c:v>7.2378885951596006</c:v>
                </c:pt>
                <c:pt idx="424">
                  <c:v>7.1413841931145008</c:v>
                </c:pt>
                <c:pt idx="425">
                  <c:v>7.1172317915306991</c:v>
                </c:pt>
                <c:pt idx="426">
                  <c:v>6.9172891999094581</c:v>
                </c:pt>
                <c:pt idx="427">
                  <c:v>6.9701460887245936</c:v>
                </c:pt>
                <c:pt idx="428">
                  <c:v>6.9478095996626044</c:v>
                </c:pt>
                <c:pt idx="429">
                  <c:v>6.9654371260776351</c:v>
                </c:pt>
                <c:pt idx="430">
                  <c:v>6.8452583427801263</c:v>
                </c:pt>
                <c:pt idx="431">
                  <c:v>7.0387893986636625</c:v>
                </c:pt>
                <c:pt idx="432">
                  <c:v>7.0246551739795651</c:v>
                </c:pt>
                <c:pt idx="433">
                  <c:v>7.2413438800442886</c:v>
                </c:pt>
                <c:pt idx="434">
                  <c:v>7.2851964889604837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1F-45D2-BEE5-FA4E0B9A7C00}"/>
            </c:ext>
          </c:extLst>
        </c:ser>
        <c:ser>
          <c:idx val="2"/>
          <c:order val="2"/>
          <c:tx>
            <c:strRef>
              <c:f>'Tabelle Pivot'!$AB$3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Pivot'!$AB$4:$AB$439</c:f>
              <c:numCache>
                <c:formatCode>General</c:formatCode>
                <c:ptCount val="435"/>
                <c:pt idx="0">
                  <c:v>7.6400000000000006</c:v>
                </c:pt>
                <c:pt idx="1">
                  <c:v>7.6400000000000006</c:v>
                </c:pt>
                <c:pt idx="2">
                  <c:v>7.6400000000000006</c:v>
                </c:pt>
                <c:pt idx="3">
                  <c:v>7.6400000000000006</c:v>
                </c:pt>
                <c:pt idx="4">
                  <c:v>7.6400000000000006</c:v>
                </c:pt>
                <c:pt idx="5">
                  <c:v>7.6400000000000006</c:v>
                </c:pt>
                <c:pt idx="6">
                  <c:v>7.6400000000000006</c:v>
                </c:pt>
                <c:pt idx="7">
                  <c:v>7.6400000000000006</c:v>
                </c:pt>
                <c:pt idx="8">
                  <c:v>7.6400000000000006</c:v>
                </c:pt>
                <c:pt idx="9">
                  <c:v>7.6400000000000006</c:v>
                </c:pt>
                <c:pt idx="10">
                  <c:v>7.6400000000000006</c:v>
                </c:pt>
                <c:pt idx="11">
                  <c:v>7.6400000000000006</c:v>
                </c:pt>
                <c:pt idx="12">
                  <c:v>7.6400000000000006</c:v>
                </c:pt>
                <c:pt idx="13">
                  <c:v>7.6400000000000006</c:v>
                </c:pt>
                <c:pt idx="14">
                  <c:v>7.6400000000000006</c:v>
                </c:pt>
                <c:pt idx="15">
                  <c:v>7.6400000000000006</c:v>
                </c:pt>
                <c:pt idx="16">
                  <c:v>7.6400000000000006</c:v>
                </c:pt>
                <c:pt idx="17">
                  <c:v>7.6400000000000006</c:v>
                </c:pt>
                <c:pt idx="18">
                  <c:v>7.6400000000000006</c:v>
                </c:pt>
                <c:pt idx="19">
                  <c:v>7.6400000000000006</c:v>
                </c:pt>
                <c:pt idx="20">
                  <c:v>7.6400000000000006</c:v>
                </c:pt>
                <c:pt idx="21">
                  <c:v>7.6400000000000006</c:v>
                </c:pt>
                <c:pt idx="22">
                  <c:v>7.6400000000000006</c:v>
                </c:pt>
                <c:pt idx="23">
                  <c:v>7.6400000000000006</c:v>
                </c:pt>
                <c:pt idx="24">
                  <c:v>7.6400000000000006</c:v>
                </c:pt>
                <c:pt idx="25">
                  <c:v>7.6400000000000006</c:v>
                </c:pt>
                <c:pt idx="26">
                  <c:v>7.6400000000000006</c:v>
                </c:pt>
                <c:pt idx="27">
                  <c:v>7.6400000000000006</c:v>
                </c:pt>
                <c:pt idx="28">
                  <c:v>7.6400000000000006</c:v>
                </c:pt>
                <c:pt idx="29">
                  <c:v>7.6400000000000006</c:v>
                </c:pt>
                <c:pt idx="30">
                  <c:v>7.6400000000000006</c:v>
                </c:pt>
                <c:pt idx="31">
                  <c:v>7.6400000000000006</c:v>
                </c:pt>
                <c:pt idx="32">
                  <c:v>7.6400000000000006</c:v>
                </c:pt>
                <c:pt idx="33">
                  <c:v>7.6400000000000006</c:v>
                </c:pt>
                <c:pt idx="34">
                  <c:v>7.6400000000000006</c:v>
                </c:pt>
                <c:pt idx="35">
                  <c:v>7.6400000000000006</c:v>
                </c:pt>
                <c:pt idx="36">
                  <c:v>7.6400000000000006</c:v>
                </c:pt>
                <c:pt idx="37">
                  <c:v>7.6400000000000006</c:v>
                </c:pt>
                <c:pt idx="38">
                  <c:v>7.6400000000000006</c:v>
                </c:pt>
                <c:pt idx="39">
                  <c:v>7.6400000000000006</c:v>
                </c:pt>
                <c:pt idx="40">
                  <c:v>7.6400000000000006</c:v>
                </c:pt>
                <c:pt idx="41">
                  <c:v>7.6400000000000006</c:v>
                </c:pt>
                <c:pt idx="42">
                  <c:v>7.6400000000000006</c:v>
                </c:pt>
                <c:pt idx="43">
                  <c:v>7.6400000000000006</c:v>
                </c:pt>
                <c:pt idx="44">
                  <c:v>7.6400000000000006</c:v>
                </c:pt>
                <c:pt idx="45">
                  <c:v>7.6400000000000006</c:v>
                </c:pt>
                <c:pt idx="46">
                  <c:v>7.6400000000000006</c:v>
                </c:pt>
                <c:pt idx="47">
                  <c:v>7.6400000000000006</c:v>
                </c:pt>
                <c:pt idx="48">
                  <c:v>7.6400000000000006</c:v>
                </c:pt>
                <c:pt idx="49">
                  <c:v>7.6400000000000006</c:v>
                </c:pt>
                <c:pt idx="50">
                  <c:v>7.6400000000000006</c:v>
                </c:pt>
                <c:pt idx="51">
                  <c:v>7.6400000000000006</c:v>
                </c:pt>
                <c:pt idx="52">
                  <c:v>7.6400000000000006</c:v>
                </c:pt>
                <c:pt idx="53">
                  <c:v>7.6400000000000006</c:v>
                </c:pt>
                <c:pt idx="54">
                  <c:v>7.6400000000000006</c:v>
                </c:pt>
                <c:pt idx="55">
                  <c:v>7.6400000000000006</c:v>
                </c:pt>
                <c:pt idx="56">
                  <c:v>7.6400000000000006</c:v>
                </c:pt>
                <c:pt idx="57">
                  <c:v>7.6400000000000006</c:v>
                </c:pt>
                <c:pt idx="58">
                  <c:v>7.6400000000000006</c:v>
                </c:pt>
                <c:pt idx="59">
                  <c:v>7.6400000000000006</c:v>
                </c:pt>
                <c:pt idx="60">
                  <c:v>7.6400000000000006</c:v>
                </c:pt>
                <c:pt idx="61">
                  <c:v>7.6400000000000006</c:v>
                </c:pt>
                <c:pt idx="62">
                  <c:v>7.6400000000000006</c:v>
                </c:pt>
                <c:pt idx="63">
                  <c:v>7.6400000000000006</c:v>
                </c:pt>
                <c:pt idx="64">
                  <c:v>7.6400000000000006</c:v>
                </c:pt>
                <c:pt idx="65">
                  <c:v>7.6400000000000006</c:v>
                </c:pt>
                <c:pt idx="66">
                  <c:v>7.6400000000000006</c:v>
                </c:pt>
                <c:pt idx="67">
                  <c:v>7.6400000000000006</c:v>
                </c:pt>
                <c:pt idx="68">
                  <c:v>7.6400000000000006</c:v>
                </c:pt>
                <c:pt idx="69">
                  <c:v>7.6400000000000006</c:v>
                </c:pt>
                <c:pt idx="70">
                  <c:v>7.6400000000000006</c:v>
                </c:pt>
                <c:pt idx="71">
                  <c:v>7.6400000000000006</c:v>
                </c:pt>
                <c:pt idx="72">
                  <c:v>7.6400000000000006</c:v>
                </c:pt>
                <c:pt idx="73">
                  <c:v>7.6400000000000006</c:v>
                </c:pt>
                <c:pt idx="74">
                  <c:v>7.6400000000000006</c:v>
                </c:pt>
                <c:pt idx="75">
                  <c:v>7.6400000000000006</c:v>
                </c:pt>
                <c:pt idx="76">
                  <c:v>7.6400000000000006</c:v>
                </c:pt>
                <c:pt idx="77">
                  <c:v>7.6400000000000006</c:v>
                </c:pt>
                <c:pt idx="78">
                  <c:v>7.6400000000000006</c:v>
                </c:pt>
                <c:pt idx="79">
                  <c:v>7.6400000000000006</c:v>
                </c:pt>
                <c:pt idx="80">
                  <c:v>7.6400000000000006</c:v>
                </c:pt>
                <c:pt idx="81">
                  <c:v>7.6400000000000006</c:v>
                </c:pt>
                <c:pt idx="82">
                  <c:v>7.6400000000000006</c:v>
                </c:pt>
                <c:pt idx="83">
                  <c:v>7.6400000000000006</c:v>
                </c:pt>
                <c:pt idx="84">
                  <c:v>7.6400000000000006</c:v>
                </c:pt>
                <c:pt idx="85">
                  <c:v>7.6400000000000006</c:v>
                </c:pt>
                <c:pt idx="86">
                  <c:v>7.6400000000000006</c:v>
                </c:pt>
                <c:pt idx="87">
                  <c:v>7.6400000000000006</c:v>
                </c:pt>
                <c:pt idx="88">
                  <c:v>7.6400000000000006</c:v>
                </c:pt>
                <c:pt idx="89">
                  <c:v>7.6400000000000006</c:v>
                </c:pt>
                <c:pt idx="90">
                  <c:v>7.6400000000000006</c:v>
                </c:pt>
                <c:pt idx="91">
                  <c:v>7.6400000000000006</c:v>
                </c:pt>
                <c:pt idx="92">
                  <c:v>7.6400000000000006</c:v>
                </c:pt>
                <c:pt idx="93">
                  <c:v>7.6400000000000006</c:v>
                </c:pt>
                <c:pt idx="94">
                  <c:v>7.6400000000000006</c:v>
                </c:pt>
                <c:pt idx="95">
                  <c:v>7.6400000000000006</c:v>
                </c:pt>
                <c:pt idx="96">
                  <c:v>7.6400000000000006</c:v>
                </c:pt>
                <c:pt idx="97">
                  <c:v>7.6400000000000006</c:v>
                </c:pt>
                <c:pt idx="98">
                  <c:v>7.6400000000000006</c:v>
                </c:pt>
                <c:pt idx="99">
                  <c:v>7.6400000000000006</c:v>
                </c:pt>
                <c:pt idx="100">
                  <c:v>7.6400000000000006</c:v>
                </c:pt>
                <c:pt idx="101">
                  <c:v>7.6400000000000006</c:v>
                </c:pt>
                <c:pt idx="102">
                  <c:v>7.6400000000000006</c:v>
                </c:pt>
                <c:pt idx="103">
                  <c:v>7.6400000000000006</c:v>
                </c:pt>
                <c:pt idx="104">
                  <c:v>7.6400000000000006</c:v>
                </c:pt>
                <c:pt idx="105">
                  <c:v>7.6400000000000006</c:v>
                </c:pt>
                <c:pt idx="106">
                  <c:v>7.6400000000000006</c:v>
                </c:pt>
                <c:pt idx="107">
                  <c:v>7.6400000000000006</c:v>
                </c:pt>
                <c:pt idx="108">
                  <c:v>7.6400000000000006</c:v>
                </c:pt>
                <c:pt idx="109">
                  <c:v>7.6400000000000006</c:v>
                </c:pt>
                <c:pt idx="110">
                  <c:v>7.6400000000000006</c:v>
                </c:pt>
                <c:pt idx="111">
                  <c:v>7.6400000000000006</c:v>
                </c:pt>
                <c:pt idx="112">
                  <c:v>7.6400000000000006</c:v>
                </c:pt>
                <c:pt idx="113">
                  <c:v>7.6400000000000006</c:v>
                </c:pt>
                <c:pt idx="114">
                  <c:v>7.6400000000000006</c:v>
                </c:pt>
                <c:pt idx="115">
                  <c:v>7.6400000000000006</c:v>
                </c:pt>
                <c:pt idx="116">
                  <c:v>7.6400000000000006</c:v>
                </c:pt>
                <c:pt idx="117">
                  <c:v>7.6400000000000006</c:v>
                </c:pt>
                <c:pt idx="118">
                  <c:v>7.6400000000000006</c:v>
                </c:pt>
                <c:pt idx="119">
                  <c:v>7.6400000000000006</c:v>
                </c:pt>
                <c:pt idx="120">
                  <c:v>7.6400000000000006</c:v>
                </c:pt>
                <c:pt idx="121">
                  <c:v>7.6400000000000006</c:v>
                </c:pt>
                <c:pt idx="122">
                  <c:v>7.6400000000000006</c:v>
                </c:pt>
                <c:pt idx="123">
                  <c:v>7.6400000000000006</c:v>
                </c:pt>
                <c:pt idx="124">
                  <c:v>7.6400000000000006</c:v>
                </c:pt>
                <c:pt idx="125">
                  <c:v>7.6400000000000006</c:v>
                </c:pt>
                <c:pt idx="126">
                  <c:v>7.6400000000000006</c:v>
                </c:pt>
                <c:pt idx="127">
                  <c:v>7.6400000000000006</c:v>
                </c:pt>
                <c:pt idx="128">
                  <c:v>7.6400000000000006</c:v>
                </c:pt>
                <c:pt idx="129">
                  <c:v>7.6400000000000006</c:v>
                </c:pt>
                <c:pt idx="130">
                  <c:v>7.6400000000000006</c:v>
                </c:pt>
                <c:pt idx="131">
                  <c:v>7.6400000000000006</c:v>
                </c:pt>
                <c:pt idx="132">
                  <c:v>7.6400000000000006</c:v>
                </c:pt>
                <c:pt idx="133">
                  <c:v>7.6400000000000006</c:v>
                </c:pt>
                <c:pt idx="134">
                  <c:v>7.6400000000000006</c:v>
                </c:pt>
                <c:pt idx="135">
                  <c:v>7.6400000000000006</c:v>
                </c:pt>
                <c:pt idx="136">
                  <c:v>7.6400000000000006</c:v>
                </c:pt>
                <c:pt idx="137">
                  <c:v>7.6400000000000006</c:v>
                </c:pt>
                <c:pt idx="138">
                  <c:v>7.6400000000000006</c:v>
                </c:pt>
                <c:pt idx="139">
                  <c:v>7.6400000000000006</c:v>
                </c:pt>
                <c:pt idx="140">
                  <c:v>7.6400000000000006</c:v>
                </c:pt>
                <c:pt idx="141">
                  <c:v>7.6400000000000006</c:v>
                </c:pt>
                <c:pt idx="142">
                  <c:v>7.6400000000000006</c:v>
                </c:pt>
                <c:pt idx="143">
                  <c:v>7.6400000000000006</c:v>
                </c:pt>
                <c:pt idx="144">
                  <c:v>7.6400000000000006</c:v>
                </c:pt>
                <c:pt idx="145">
                  <c:v>7.6400000000000006</c:v>
                </c:pt>
                <c:pt idx="146">
                  <c:v>7.6400000000000006</c:v>
                </c:pt>
                <c:pt idx="147">
                  <c:v>7.6400000000000006</c:v>
                </c:pt>
                <c:pt idx="148">
                  <c:v>7.6400000000000006</c:v>
                </c:pt>
                <c:pt idx="149">
                  <c:v>7.6400000000000006</c:v>
                </c:pt>
                <c:pt idx="150">
                  <c:v>7.6400000000000006</c:v>
                </c:pt>
                <c:pt idx="151">
                  <c:v>7.6400000000000006</c:v>
                </c:pt>
                <c:pt idx="152">
                  <c:v>7.6400000000000006</c:v>
                </c:pt>
                <c:pt idx="153">
                  <c:v>7.6400000000000006</c:v>
                </c:pt>
                <c:pt idx="154">
                  <c:v>7.6400000000000006</c:v>
                </c:pt>
                <c:pt idx="155">
                  <c:v>7.6400000000000006</c:v>
                </c:pt>
                <c:pt idx="156">
                  <c:v>7.6400000000000006</c:v>
                </c:pt>
                <c:pt idx="157">
                  <c:v>7.6400000000000006</c:v>
                </c:pt>
                <c:pt idx="158">
                  <c:v>7.6400000000000006</c:v>
                </c:pt>
                <c:pt idx="159">
                  <c:v>7.6400000000000006</c:v>
                </c:pt>
                <c:pt idx="160">
                  <c:v>7.6400000000000006</c:v>
                </c:pt>
                <c:pt idx="161">
                  <c:v>7.6400000000000006</c:v>
                </c:pt>
                <c:pt idx="162">
                  <c:v>7.6400000000000006</c:v>
                </c:pt>
                <c:pt idx="163">
                  <c:v>7.6400000000000006</c:v>
                </c:pt>
                <c:pt idx="164">
                  <c:v>7.6400000000000006</c:v>
                </c:pt>
                <c:pt idx="165">
                  <c:v>7.6400000000000006</c:v>
                </c:pt>
                <c:pt idx="166">
                  <c:v>7.6400000000000006</c:v>
                </c:pt>
                <c:pt idx="167">
                  <c:v>7.6400000000000006</c:v>
                </c:pt>
                <c:pt idx="168">
                  <c:v>7.6400000000000006</c:v>
                </c:pt>
                <c:pt idx="169">
                  <c:v>7.6400000000000006</c:v>
                </c:pt>
                <c:pt idx="170">
                  <c:v>7.6400000000000006</c:v>
                </c:pt>
                <c:pt idx="171">
                  <c:v>7.6400000000000006</c:v>
                </c:pt>
                <c:pt idx="172">
                  <c:v>7.6400000000000006</c:v>
                </c:pt>
                <c:pt idx="173">
                  <c:v>7.6400000000000006</c:v>
                </c:pt>
                <c:pt idx="174">
                  <c:v>7.6400000000000006</c:v>
                </c:pt>
                <c:pt idx="175">
                  <c:v>10.14</c:v>
                </c:pt>
                <c:pt idx="176">
                  <c:v>10.14</c:v>
                </c:pt>
                <c:pt idx="177">
                  <c:v>10.14</c:v>
                </c:pt>
                <c:pt idx="178">
                  <c:v>10.14</c:v>
                </c:pt>
                <c:pt idx="179">
                  <c:v>10.14</c:v>
                </c:pt>
                <c:pt idx="180">
                  <c:v>10.14</c:v>
                </c:pt>
                <c:pt idx="181">
                  <c:v>10.14</c:v>
                </c:pt>
                <c:pt idx="182">
                  <c:v>10.14</c:v>
                </c:pt>
                <c:pt idx="183">
                  <c:v>10.14</c:v>
                </c:pt>
                <c:pt idx="184">
                  <c:v>10.14</c:v>
                </c:pt>
                <c:pt idx="185">
                  <c:v>10.14</c:v>
                </c:pt>
                <c:pt idx="186">
                  <c:v>10.14</c:v>
                </c:pt>
                <c:pt idx="187">
                  <c:v>10.14</c:v>
                </c:pt>
                <c:pt idx="188">
                  <c:v>10.14</c:v>
                </c:pt>
                <c:pt idx="189">
                  <c:v>10.14</c:v>
                </c:pt>
                <c:pt idx="190">
                  <c:v>10.14</c:v>
                </c:pt>
                <c:pt idx="191">
                  <c:v>10.14</c:v>
                </c:pt>
                <c:pt idx="192">
                  <c:v>10.14</c:v>
                </c:pt>
                <c:pt idx="193">
                  <c:v>10.14</c:v>
                </c:pt>
                <c:pt idx="194">
                  <c:v>10.14</c:v>
                </c:pt>
                <c:pt idx="195">
                  <c:v>10.14</c:v>
                </c:pt>
                <c:pt idx="196">
                  <c:v>10.14</c:v>
                </c:pt>
                <c:pt idx="197">
                  <c:v>10.14</c:v>
                </c:pt>
                <c:pt idx="198">
                  <c:v>10.14</c:v>
                </c:pt>
                <c:pt idx="199">
                  <c:v>10.14</c:v>
                </c:pt>
                <c:pt idx="200">
                  <c:v>10.14</c:v>
                </c:pt>
                <c:pt idx="201">
                  <c:v>10.14</c:v>
                </c:pt>
                <c:pt idx="202">
                  <c:v>10.14</c:v>
                </c:pt>
                <c:pt idx="203">
                  <c:v>10.14</c:v>
                </c:pt>
                <c:pt idx="204">
                  <c:v>10.14</c:v>
                </c:pt>
                <c:pt idx="205">
                  <c:v>10.14</c:v>
                </c:pt>
                <c:pt idx="206">
                  <c:v>10.14</c:v>
                </c:pt>
                <c:pt idx="207">
                  <c:v>10.14</c:v>
                </c:pt>
                <c:pt idx="208">
                  <c:v>10.14</c:v>
                </c:pt>
                <c:pt idx="209">
                  <c:v>10.14</c:v>
                </c:pt>
                <c:pt idx="210">
                  <c:v>10.14</c:v>
                </c:pt>
                <c:pt idx="211">
                  <c:v>10.14</c:v>
                </c:pt>
                <c:pt idx="212">
                  <c:v>10.14</c:v>
                </c:pt>
                <c:pt idx="213">
                  <c:v>10.14</c:v>
                </c:pt>
                <c:pt idx="214">
                  <c:v>10.14</c:v>
                </c:pt>
                <c:pt idx="215">
                  <c:v>10.14</c:v>
                </c:pt>
                <c:pt idx="216">
                  <c:v>10.14</c:v>
                </c:pt>
                <c:pt idx="217">
                  <c:v>10.14</c:v>
                </c:pt>
                <c:pt idx="218">
                  <c:v>10.14</c:v>
                </c:pt>
                <c:pt idx="219">
                  <c:v>10.14</c:v>
                </c:pt>
                <c:pt idx="220">
                  <c:v>10.14</c:v>
                </c:pt>
                <c:pt idx="221">
                  <c:v>10.14</c:v>
                </c:pt>
                <c:pt idx="222">
                  <c:v>10.14</c:v>
                </c:pt>
                <c:pt idx="223">
                  <c:v>10.14</c:v>
                </c:pt>
                <c:pt idx="224">
                  <c:v>10.14</c:v>
                </c:pt>
                <c:pt idx="225">
                  <c:v>10.14</c:v>
                </c:pt>
                <c:pt idx="226">
                  <c:v>10.14</c:v>
                </c:pt>
                <c:pt idx="227">
                  <c:v>10.14</c:v>
                </c:pt>
                <c:pt idx="228">
                  <c:v>10.14</c:v>
                </c:pt>
                <c:pt idx="229">
                  <c:v>10.14</c:v>
                </c:pt>
                <c:pt idx="230">
                  <c:v>10.14</c:v>
                </c:pt>
                <c:pt idx="231">
                  <c:v>10.14</c:v>
                </c:pt>
                <c:pt idx="232">
                  <c:v>10.14</c:v>
                </c:pt>
                <c:pt idx="233">
                  <c:v>10.14</c:v>
                </c:pt>
                <c:pt idx="234">
                  <c:v>10.14</c:v>
                </c:pt>
                <c:pt idx="235">
                  <c:v>10.14</c:v>
                </c:pt>
                <c:pt idx="236">
                  <c:v>10.14</c:v>
                </c:pt>
                <c:pt idx="237">
                  <c:v>10.14</c:v>
                </c:pt>
                <c:pt idx="238">
                  <c:v>10.14</c:v>
                </c:pt>
                <c:pt idx="239">
                  <c:v>10.14</c:v>
                </c:pt>
                <c:pt idx="240">
                  <c:v>10.14</c:v>
                </c:pt>
                <c:pt idx="241">
                  <c:v>10.14</c:v>
                </c:pt>
                <c:pt idx="242">
                  <c:v>10.14</c:v>
                </c:pt>
                <c:pt idx="243">
                  <c:v>10.14</c:v>
                </c:pt>
                <c:pt idx="244">
                  <c:v>10.14</c:v>
                </c:pt>
                <c:pt idx="245">
                  <c:v>10.14</c:v>
                </c:pt>
                <c:pt idx="246">
                  <c:v>10.14</c:v>
                </c:pt>
                <c:pt idx="247">
                  <c:v>10.14</c:v>
                </c:pt>
                <c:pt idx="248">
                  <c:v>10.14</c:v>
                </c:pt>
                <c:pt idx="249">
                  <c:v>10.14</c:v>
                </c:pt>
                <c:pt idx="250">
                  <c:v>10.14</c:v>
                </c:pt>
                <c:pt idx="251">
                  <c:v>10.14</c:v>
                </c:pt>
                <c:pt idx="252">
                  <c:v>10.14</c:v>
                </c:pt>
                <c:pt idx="253">
                  <c:v>10.14</c:v>
                </c:pt>
                <c:pt idx="254">
                  <c:v>10.14</c:v>
                </c:pt>
                <c:pt idx="255">
                  <c:v>10.14</c:v>
                </c:pt>
                <c:pt idx="256">
                  <c:v>10.14</c:v>
                </c:pt>
                <c:pt idx="257">
                  <c:v>10.14</c:v>
                </c:pt>
                <c:pt idx="258">
                  <c:v>10.14</c:v>
                </c:pt>
                <c:pt idx="259">
                  <c:v>10.14</c:v>
                </c:pt>
                <c:pt idx="260">
                  <c:v>10.14</c:v>
                </c:pt>
                <c:pt idx="261">
                  <c:v>10.14</c:v>
                </c:pt>
                <c:pt idx="262">
                  <c:v>10.14</c:v>
                </c:pt>
                <c:pt idx="263">
                  <c:v>10.14</c:v>
                </c:pt>
                <c:pt idx="264">
                  <c:v>10.14</c:v>
                </c:pt>
                <c:pt idx="265">
                  <c:v>10.14</c:v>
                </c:pt>
                <c:pt idx="266">
                  <c:v>10.14</c:v>
                </c:pt>
                <c:pt idx="267">
                  <c:v>10.14</c:v>
                </c:pt>
                <c:pt idx="268">
                  <c:v>10.14</c:v>
                </c:pt>
                <c:pt idx="269">
                  <c:v>10.14</c:v>
                </c:pt>
                <c:pt idx="270">
                  <c:v>10.14</c:v>
                </c:pt>
                <c:pt idx="271">
                  <c:v>10.14</c:v>
                </c:pt>
                <c:pt idx="272">
                  <c:v>10.14</c:v>
                </c:pt>
                <c:pt idx="273">
                  <c:v>10.14</c:v>
                </c:pt>
                <c:pt idx="274">
                  <c:v>10.14</c:v>
                </c:pt>
                <c:pt idx="275">
                  <c:v>10.14</c:v>
                </c:pt>
                <c:pt idx="276">
                  <c:v>10.14</c:v>
                </c:pt>
                <c:pt idx="277">
                  <c:v>10.14</c:v>
                </c:pt>
                <c:pt idx="278">
                  <c:v>10.14</c:v>
                </c:pt>
                <c:pt idx="279">
                  <c:v>10.14</c:v>
                </c:pt>
                <c:pt idx="280">
                  <c:v>10.14</c:v>
                </c:pt>
                <c:pt idx="281">
                  <c:v>10.14</c:v>
                </c:pt>
                <c:pt idx="282">
                  <c:v>10.14</c:v>
                </c:pt>
                <c:pt idx="283">
                  <c:v>10.14</c:v>
                </c:pt>
                <c:pt idx="284">
                  <c:v>10.14</c:v>
                </c:pt>
                <c:pt idx="285">
                  <c:v>10.14</c:v>
                </c:pt>
                <c:pt idx="286">
                  <c:v>10.14</c:v>
                </c:pt>
                <c:pt idx="287">
                  <c:v>10.14</c:v>
                </c:pt>
                <c:pt idx="288">
                  <c:v>10.14</c:v>
                </c:pt>
                <c:pt idx="289">
                  <c:v>10.14</c:v>
                </c:pt>
                <c:pt idx="290">
                  <c:v>10.14</c:v>
                </c:pt>
                <c:pt idx="291">
                  <c:v>10.14</c:v>
                </c:pt>
                <c:pt idx="292">
                  <c:v>10.14</c:v>
                </c:pt>
                <c:pt idx="293">
                  <c:v>10.14</c:v>
                </c:pt>
                <c:pt idx="294">
                  <c:v>10.14</c:v>
                </c:pt>
                <c:pt idx="295">
                  <c:v>10.14</c:v>
                </c:pt>
                <c:pt idx="296">
                  <c:v>10.14</c:v>
                </c:pt>
                <c:pt idx="297">
                  <c:v>10.14</c:v>
                </c:pt>
                <c:pt idx="298">
                  <c:v>10.14</c:v>
                </c:pt>
                <c:pt idx="299">
                  <c:v>10.14</c:v>
                </c:pt>
                <c:pt idx="300">
                  <c:v>10.14</c:v>
                </c:pt>
                <c:pt idx="301">
                  <c:v>10.14</c:v>
                </c:pt>
                <c:pt idx="302">
                  <c:v>10.14</c:v>
                </c:pt>
                <c:pt idx="303">
                  <c:v>10.14</c:v>
                </c:pt>
                <c:pt idx="304">
                  <c:v>10.14</c:v>
                </c:pt>
                <c:pt idx="305">
                  <c:v>10.14</c:v>
                </c:pt>
                <c:pt idx="306">
                  <c:v>10.14</c:v>
                </c:pt>
                <c:pt idx="307">
                  <c:v>10.14</c:v>
                </c:pt>
                <c:pt idx="308">
                  <c:v>10.14</c:v>
                </c:pt>
                <c:pt idx="309">
                  <c:v>10.14</c:v>
                </c:pt>
                <c:pt idx="310">
                  <c:v>10.14</c:v>
                </c:pt>
                <c:pt idx="311">
                  <c:v>10.14</c:v>
                </c:pt>
                <c:pt idx="312">
                  <c:v>10.14</c:v>
                </c:pt>
                <c:pt idx="313">
                  <c:v>10.14</c:v>
                </c:pt>
                <c:pt idx="314">
                  <c:v>10.14</c:v>
                </c:pt>
                <c:pt idx="315">
                  <c:v>10.14</c:v>
                </c:pt>
                <c:pt idx="316">
                  <c:v>10.14</c:v>
                </c:pt>
                <c:pt idx="317">
                  <c:v>10.14</c:v>
                </c:pt>
                <c:pt idx="318">
                  <c:v>10.14</c:v>
                </c:pt>
                <c:pt idx="319">
                  <c:v>10.14</c:v>
                </c:pt>
                <c:pt idx="320">
                  <c:v>10.14</c:v>
                </c:pt>
                <c:pt idx="321">
                  <c:v>10.14</c:v>
                </c:pt>
                <c:pt idx="322">
                  <c:v>10.14</c:v>
                </c:pt>
                <c:pt idx="323">
                  <c:v>10.14</c:v>
                </c:pt>
                <c:pt idx="324">
                  <c:v>10.14</c:v>
                </c:pt>
                <c:pt idx="325">
                  <c:v>10.14</c:v>
                </c:pt>
                <c:pt idx="326">
                  <c:v>10.14</c:v>
                </c:pt>
                <c:pt idx="327">
                  <c:v>10.14</c:v>
                </c:pt>
                <c:pt idx="328">
                  <c:v>10.14</c:v>
                </c:pt>
                <c:pt idx="329">
                  <c:v>10.14</c:v>
                </c:pt>
                <c:pt idx="330">
                  <c:v>10.14</c:v>
                </c:pt>
                <c:pt idx="331">
                  <c:v>10.14</c:v>
                </c:pt>
                <c:pt idx="332">
                  <c:v>10.14</c:v>
                </c:pt>
                <c:pt idx="333">
                  <c:v>10.14</c:v>
                </c:pt>
                <c:pt idx="334">
                  <c:v>10.14</c:v>
                </c:pt>
                <c:pt idx="335">
                  <c:v>10.14</c:v>
                </c:pt>
                <c:pt idx="336">
                  <c:v>10.14</c:v>
                </c:pt>
                <c:pt idx="337">
                  <c:v>10.14</c:v>
                </c:pt>
                <c:pt idx="338">
                  <c:v>10.14</c:v>
                </c:pt>
                <c:pt idx="339">
                  <c:v>10.14</c:v>
                </c:pt>
                <c:pt idx="340">
                  <c:v>10.14</c:v>
                </c:pt>
                <c:pt idx="341">
                  <c:v>10.14</c:v>
                </c:pt>
                <c:pt idx="342">
                  <c:v>10.14</c:v>
                </c:pt>
                <c:pt idx="343">
                  <c:v>10.14</c:v>
                </c:pt>
                <c:pt idx="344">
                  <c:v>10.14</c:v>
                </c:pt>
                <c:pt idx="345">
                  <c:v>10.14</c:v>
                </c:pt>
                <c:pt idx="346">
                  <c:v>10.14</c:v>
                </c:pt>
                <c:pt idx="347">
                  <c:v>10.14</c:v>
                </c:pt>
                <c:pt idx="348">
                  <c:v>10.14</c:v>
                </c:pt>
                <c:pt idx="349">
                  <c:v>10.14</c:v>
                </c:pt>
                <c:pt idx="350">
                  <c:v>10.14</c:v>
                </c:pt>
                <c:pt idx="351">
                  <c:v>10.14</c:v>
                </c:pt>
                <c:pt idx="352">
                  <c:v>10.14</c:v>
                </c:pt>
                <c:pt idx="353">
                  <c:v>10.14</c:v>
                </c:pt>
                <c:pt idx="354">
                  <c:v>10.14</c:v>
                </c:pt>
                <c:pt idx="355">
                  <c:v>10.14</c:v>
                </c:pt>
                <c:pt idx="356">
                  <c:v>10.14</c:v>
                </c:pt>
                <c:pt idx="357">
                  <c:v>10.14</c:v>
                </c:pt>
                <c:pt idx="358">
                  <c:v>10.14</c:v>
                </c:pt>
                <c:pt idx="359">
                  <c:v>10.14</c:v>
                </c:pt>
                <c:pt idx="360">
                  <c:v>10.14</c:v>
                </c:pt>
                <c:pt idx="361">
                  <c:v>10.14</c:v>
                </c:pt>
                <c:pt idx="362">
                  <c:v>10.14</c:v>
                </c:pt>
                <c:pt idx="363">
                  <c:v>10.14</c:v>
                </c:pt>
                <c:pt idx="364">
                  <c:v>10.14</c:v>
                </c:pt>
                <c:pt idx="365">
                  <c:v>10.14</c:v>
                </c:pt>
                <c:pt idx="366">
                  <c:v>10.14</c:v>
                </c:pt>
                <c:pt idx="367">
                  <c:v>10.14</c:v>
                </c:pt>
                <c:pt idx="368">
                  <c:v>10.14</c:v>
                </c:pt>
                <c:pt idx="369">
                  <c:v>10.14</c:v>
                </c:pt>
                <c:pt idx="370">
                  <c:v>10.14</c:v>
                </c:pt>
                <c:pt idx="371">
                  <c:v>10.14</c:v>
                </c:pt>
                <c:pt idx="372">
                  <c:v>10.14</c:v>
                </c:pt>
                <c:pt idx="373">
                  <c:v>10.14</c:v>
                </c:pt>
                <c:pt idx="374">
                  <c:v>10.14</c:v>
                </c:pt>
                <c:pt idx="375">
                  <c:v>10.14</c:v>
                </c:pt>
                <c:pt idx="376">
                  <c:v>10.14</c:v>
                </c:pt>
                <c:pt idx="377">
                  <c:v>10.14</c:v>
                </c:pt>
                <c:pt idx="378">
                  <c:v>10.14</c:v>
                </c:pt>
                <c:pt idx="379">
                  <c:v>10.14</c:v>
                </c:pt>
                <c:pt idx="380">
                  <c:v>10.14</c:v>
                </c:pt>
                <c:pt idx="381">
                  <c:v>10.14</c:v>
                </c:pt>
                <c:pt idx="382">
                  <c:v>10.14</c:v>
                </c:pt>
                <c:pt idx="383">
                  <c:v>10.14</c:v>
                </c:pt>
                <c:pt idx="384">
                  <c:v>10.14</c:v>
                </c:pt>
                <c:pt idx="385">
                  <c:v>10.14</c:v>
                </c:pt>
                <c:pt idx="386">
                  <c:v>10.14</c:v>
                </c:pt>
                <c:pt idx="387">
                  <c:v>10.14</c:v>
                </c:pt>
                <c:pt idx="388">
                  <c:v>10.14</c:v>
                </c:pt>
                <c:pt idx="389">
                  <c:v>10.14</c:v>
                </c:pt>
                <c:pt idx="390">
                  <c:v>10.14</c:v>
                </c:pt>
                <c:pt idx="391">
                  <c:v>10.14</c:v>
                </c:pt>
                <c:pt idx="392">
                  <c:v>10.14</c:v>
                </c:pt>
                <c:pt idx="393">
                  <c:v>10.14</c:v>
                </c:pt>
                <c:pt idx="394">
                  <c:v>10.14</c:v>
                </c:pt>
                <c:pt idx="395">
                  <c:v>10.14</c:v>
                </c:pt>
                <c:pt idx="396">
                  <c:v>10.14</c:v>
                </c:pt>
                <c:pt idx="397">
                  <c:v>10.14</c:v>
                </c:pt>
                <c:pt idx="398">
                  <c:v>10.14</c:v>
                </c:pt>
                <c:pt idx="399">
                  <c:v>10.14</c:v>
                </c:pt>
                <c:pt idx="400">
                  <c:v>10.14</c:v>
                </c:pt>
                <c:pt idx="401">
                  <c:v>10.14</c:v>
                </c:pt>
                <c:pt idx="402">
                  <c:v>10.14</c:v>
                </c:pt>
                <c:pt idx="403">
                  <c:v>10.14</c:v>
                </c:pt>
                <c:pt idx="404">
                  <c:v>10.14</c:v>
                </c:pt>
                <c:pt idx="405">
                  <c:v>10.14</c:v>
                </c:pt>
                <c:pt idx="406">
                  <c:v>10.14</c:v>
                </c:pt>
                <c:pt idx="407">
                  <c:v>10.14</c:v>
                </c:pt>
                <c:pt idx="408">
                  <c:v>10.14</c:v>
                </c:pt>
                <c:pt idx="409">
                  <c:v>10.14</c:v>
                </c:pt>
                <c:pt idx="410">
                  <c:v>10.14</c:v>
                </c:pt>
                <c:pt idx="411">
                  <c:v>10.14</c:v>
                </c:pt>
                <c:pt idx="412">
                  <c:v>10.14</c:v>
                </c:pt>
                <c:pt idx="413">
                  <c:v>10.14</c:v>
                </c:pt>
                <c:pt idx="414">
                  <c:v>10.14</c:v>
                </c:pt>
                <c:pt idx="415">
                  <c:v>10.14</c:v>
                </c:pt>
                <c:pt idx="416">
                  <c:v>10.14</c:v>
                </c:pt>
                <c:pt idx="417">
                  <c:v>10.14</c:v>
                </c:pt>
                <c:pt idx="418">
                  <c:v>10.14</c:v>
                </c:pt>
                <c:pt idx="419">
                  <c:v>10.14</c:v>
                </c:pt>
                <c:pt idx="420">
                  <c:v>10.14</c:v>
                </c:pt>
                <c:pt idx="421">
                  <c:v>10.14</c:v>
                </c:pt>
                <c:pt idx="422">
                  <c:v>10.14</c:v>
                </c:pt>
                <c:pt idx="423">
                  <c:v>10.14</c:v>
                </c:pt>
                <c:pt idx="424">
                  <c:v>10.14</c:v>
                </c:pt>
                <c:pt idx="425">
                  <c:v>10.14</c:v>
                </c:pt>
                <c:pt idx="426">
                  <c:v>10.14</c:v>
                </c:pt>
                <c:pt idx="427">
                  <c:v>10.14</c:v>
                </c:pt>
                <c:pt idx="428">
                  <c:v>10.14</c:v>
                </c:pt>
                <c:pt idx="429">
                  <c:v>10.14</c:v>
                </c:pt>
                <c:pt idx="430">
                  <c:v>10.14</c:v>
                </c:pt>
                <c:pt idx="431">
                  <c:v>10.14</c:v>
                </c:pt>
                <c:pt idx="432">
                  <c:v>10.14</c:v>
                </c:pt>
                <c:pt idx="433">
                  <c:v>10.14</c:v>
                </c:pt>
                <c:pt idx="434">
                  <c:v>10.14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6-4D2E-BB23-2FFFBA9F7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ax val="10.5"/>
          <c:min val="5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099414682539679"/>
          <c:y val="2.9255555555555555E-2"/>
          <c:w val="0.33979561442063122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326400</xdr:colOff>
      <xdr:row>15</xdr:row>
      <xdr:rowOff>22500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42EF460-80FB-4C49-9477-A608E87D7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16</xdr:col>
      <xdr:colOff>326400</xdr:colOff>
      <xdr:row>30</xdr:row>
      <xdr:rowOff>51075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4777BE1-31F3-41A1-9781-8844ACCF5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30</xdr:row>
      <xdr:rowOff>47625</xdr:rowOff>
    </xdr:from>
    <xdr:to>
      <xdr:col>16</xdr:col>
      <xdr:colOff>326400</xdr:colOff>
      <xdr:row>45</xdr:row>
      <xdr:rowOff>70125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BB8415-1081-4A41-ADE3-8673215A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16</xdr:col>
      <xdr:colOff>326400</xdr:colOff>
      <xdr:row>61</xdr:row>
      <xdr:rowOff>22500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97A59861-F7D5-45A8-B8D1-BF9E4B6BC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16</xdr:col>
      <xdr:colOff>326400</xdr:colOff>
      <xdr:row>76</xdr:row>
      <xdr:rowOff>22500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8AF7AF0A-E3B3-4E67-A38D-4FC5F1A07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16</xdr:col>
      <xdr:colOff>326400</xdr:colOff>
      <xdr:row>91</xdr:row>
      <xdr:rowOff>22500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E529DD9-0072-4C38-B588-9FFB694DB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16</xdr:col>
      <xdr:colOff>326400</xdr:colOff>
      <xdr:row>106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93772DA3-22A8-459A-ACC2-82390E06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De Marco" refreshedDate="45919.708757986111" createdVersion="8" refreshedVersion="8" minRefreshableVersion="3" recordCount="435" xr:uid="{C4705737-1968-447D-A23B-FD1D06A266E2}">
  <cacheSource type="worksheet">
    <worksheetSource name="TBL_DB"/>
  </cacheSource>
  <cacheFields count="35">
    <cacheField name="Data" numFmtId="165">
      <sharedItems containsSemiMixedTypes="0" containsNonDate="0" containsDate="1" containsString="0" minDate="2024-01-02T00:00:00" maxDate="2025-09-16T00:00:00" count="435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5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3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1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5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2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7T00:00:00"/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2T00:00:00"/>
        <d v="2025-04-23T00:00:00"/>
        <d v="2025-04-24T00:00:00"/>
        <d v="2025-04-28T00:00:00"/>
        <d v="2025-04-29T00:00:00"/>
        <d v="2025-04-30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5-05-30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6-26T00:00:00"/>
        <d v="2025-06-27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1T00:00:00"/>
        <d v="2025-08-22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2T00:00:00"/>
        <d v="2025-09-15T00:00:00"/>
      </sharedItems>
      <fieldGroup par="34"/>
    </cacheField>
    <cacheField name="Limite RB" numFmtId="0">
      <sharedItems containsSemiMixedTypes="0" containsString="0" containsNumber="1" minValue="1.75" maxValue="2.5"/>
    </cacheField>
    <cacheField name="Limite BT" numFmtId="0">
      <sharedItems containsSemiMixedTypes="0" containsString="0" containsNumber="1" minValue="0.5" maxValue="0.5"/>
    </cacheField>
    <cacheField name="Limite OM" numFmtId="0">
      <sharedItems containsSemiMixedTypes="0" containsString="0" containsNumber="1" minValue="1" maxValue="1.5"/>
    </cacheField>
    <cacheField name="Limite Bil" numFmtId="0">
      <sharedItems containsSemiMixedTypes="0" containsString="0" containsNumber="1" containsInteger="1" minValue="3" maxValue="3"/>
    </cacheField>
    <cacheField name="Limite AZ" numFmtId="0">
      <sharedItems containsSemiMixedTypes="0" containsString="0" containsNumber="1" minValue="3.5" maxValue="4.5"/>
    </cacheField>
    <cacheField name="Limite IC" numFmtId="0">
      <sharedItems containsSemiMixedTypes="0" containsString="0" containsNumber="1" minValue="2.75" maxValue="3.5"/>
    </cacheField>
    <cacheField name="Limite OS" numFmtId="0">
      <sharedItems containsSemiMixedTypes="0" containsString="0" containsNumber="1" minValue="7.49" maxValue="9.99"/>
    </cacheField>
    <cacheField name="Limite Cons" numFmtId="0">
      <sharedItems containsSemiMixedTypes="0" containsString="0" containsNumber="1" minValue="1" maxValue="1.5"/>
    </cacheField>
    <cacheField name="Limite Dyn" numFmtId="0">
      <sharedItems containsSemiMixedTypes="0" containsString="0" containsNumber="1" containsInteger="1" minValue="3" maxValue="3"/>
    </cacheField>
    <cacheField name="Limite Glob" numFmtId="0">
      <sharedItems containsSemiMixedTypes="0" containsString="0" containsNumber="1" minValue="3.5" maxValue="4.5"/>
    </cacheField>
    <cacheField name="Limite maggiorato RB" numFmtId="0">
      <sharedItems containsSemiMixedTypes="0" containsString="0" containsNumber="1" minValue="1.9" maxValue="2.65"/>
    </cacheField>
    <cacheField name="Limite maggiorato BT" numFmtId="0">
      <sharedItems containsSemiMixedTypes="0" containsString="0" containsNumber="1" minValue="0.6" maxValue="0.6"/>
    </cacheField>
    <cacheField name="Limite maggiorato OM" numFmtId="0">
      <sharedItems containsSemiMixedTypes="0" containsString="0" containsNumber="1" minValue="1.1499999999999999" maxValue="1.65"/>
    </cacheField>
    <cacheField name="Limite maggiorato Bil" numFmtId="0">
      <sharedItems containsSemiMixedTypes="0" containsString="0" containsNumber="1" minValue="3.15" maxValue="3.15"/>
    </cacheField>
    <cacheField name="Limite maggiorato AZ" numFmtId="0">
      <sharedItems containsSemiMixedTypes="0" containsString="0" containsNumber="1" minValue="3.65" maxValue="4.6500000000000004"/>
    </cacheField>
    <cacheField name="Limite maggiorato IC" numFmtId="0">
      <sharedItems containsSemiMixedTypes="0" containsString="0" containsNumber="1" minValue="2.9" maxValue="3.65"/>
    </cacheField>
    <cacheField name="Limite  OS" numFmtId="0">
      <sharedItems containsSemiMixedTypes="0" containsString="0" containsNumber="1" minValue="7.49" maxValue="9.99"/>
    </cacheField>
    <cacheField name="Limite maggiorato OS" numFmtId="0">
      <sharedItems containsSemiMixedTypes="0" containsString="0" containsNumber="1" minValue="7.6400000000000006" maxValue="10.14"/>
    </cacheField>
    <cacheField name="Limite maggiorato Cons" numFmtId="0">
      <sharedItems containsSemiMixedTypes="0" containsString="0" containsNumber="1" minValue="1.1499999999999999" maxValue="1.65"/>
    </cacheField>
    <cacheField name="Limite maggiorato Dyn" numFmtId="0">
      <sharedItems containsSemiMixedTypes="0" containsString="0" containsNumber="1" minValue="3.15" maxValue="3.15"/>
    </cacheField>
    <cacheField name="Limite maggiorato Glob" numFmtId="0">
      <sharedItems containsSemiMixedTypes="0" containsString="0" containsNumber="1" minValue="3.65" maxValue="4.6500000000000004"/>
    </cacheField>
    <cacheField name="Etica Rendita Bilanciata" numFmtId="0">
      <sharedItems containsSemiMixedTypes="0" containsString="0" containsNumber="1" minValue="1.21567" maxValue="2.0717819999999998"/>
    </cacheField>
    <cacheField name="Etica Obbligazionario Breve Termine" numFmtId="0">
      <sharedItems containsSemiMixedTypes="0" containsString="0" containsNumber="1" minValue="0.155888" maxValue="0.43035800000000002"/>
    </cacheField>
    <cacheField name="Etica Obbligazionario Misto" numFmtId="0">
      <sharedItems containsSemiMixedTypes="0" containsString="0" containsNumber="1" minValue="0.61958199999999997" maxValue="1.480615"/>
    </cacheField>
    <cacheField name="Etica Bilanciato" numFmtId="0">
      <sharedItems containsSemiMixedTypes="0" containsString="0" containsNumber="1" minValue="1.8325530000000001" maxValue="2.5240469999999999"/>
    </cacheField>
    <cacheField name="Etica Azionario" numFmtId="0">
      <sharedItems containsSemiMixedTypes="0" containsString="0" containsNumber="1" minValue="2.5288089999999999" maxValue="3.8009919999999999"/>
    </cacheField>
    <cacheField name="Etica Transizione Climatica" numFmtId="0">
      <sharedItems containsSemiMixedTypes="0" containsString="0" containsNumber="1" minValue="1.7693730000000001" maxValue="2.7175569999999998"/>
    </cacheField>
    <cacheField name="Etica Obiettivo Sociale" numFmtId="0">
      <sharedItems containsSemiMixedTypes="0" containsString="0" containsNumber="1" minValue="5.7293044297161684" maxValue="9.1259998211888806"/>
    </cacheField>
    <cacheField name="Etica Conservative Allocation" numFmtId="0">
      <sharedItems containsSemiMixedTypes="0" containsString="0" containsNumber="1" minValue="0.32448299999999902" maxValue="0.97152000000000005"/>
    </cacheField>
    <cacheField name="Etica Dynamic Allocation" numFmtId="0">
      <sharedItems containsSemiMixedTypes="0" containsString="0" containsNumber="1" minValue="1.1259599999999901" maxValue="2.8918590000000002"/>
    </cacheField>
    <cacheField name="Etica Global Equity" numFmtId="0">
      <sharedItems containsSemiMixedTypes="0" containsString="0" containsNumber="1" minValue="2.664075" maxValue="4.4247019999999999"/>
    </cacheField>
    <cacheField name="Mesi (Data)" numFmtId="0" databaseField="0">
      <fieldGroup base="0">
        <rangePr groupBy="months" startDate="2024-01-02T00:00:00" endDate="2025-09-16T00:00:00"/>
        <groupItems count="14">
          <s v="&lt;02/01/2024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16/09/2025"/>
        </groupItems>
      </fieldGroup>
    </cacheField>
    <cacheField name="Trimestri (Data)" numFmtId="0" databaseField="0">
      <fieldGroup base="0">
        <rangePr groupBy="quarters" startDate="2024-01-02T00:00:00" endDate="2025-09-16T00:00:00"/>
        <groupItems count="6">
          <s v="&lt;02/01/2024"/>
          <s v="Trim1"/>
          <s v="Trim2"/>
          <s v="Trim3"/>
          <s v="Trim4"/>
          <s v="&gt;16/09/2025"/>
        </groupItems>
      </fieldGroup>
    </cacheField>
    <cacheField name="Anni (Data)" numFmtId="0" databaseField="0">
      <fieldGroup base="0">
        <rangePr groupBy="years" startDate="2024-01-02T00:00:00" endDate="2025-09-16T00:00:00"/>
        <groupItems count="4">
          <s v="&lt;02/01/2024"/>
          <s v="2024"/>
          <s v="2025"/>
          <s v="&gt;16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">
  <r>
    <x v="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82210000000001"/>
    <n v="0.181446"/>
    <n v="0.63847299999999996"/>
    <n v="2.0379689999999999"/>
    <n v="2.9639289999999998"/>
    <n v="1.8141389999999999"/>
    <n v="6.0357310402110356"/>
    <n v="0.72244900000000001"/>
    <n v="2.0825770000000001"/>
    <n v="2.9572620000000001"/>
  </r>
  <r>
    <x v="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948929999999999"/>
    <n v="0.18112800000000001"/>
    <n v="0.68165100000000001"/>
    <n v="2.0944829999999999"/>
    <n v="3.0148869999999999"/>
    <n v="1.8509679999999999"/>
    <n v="6.0119643541636583"/>
    <n v="0.711337"/>
    <n v="2.0395569999999998"/>
    <n v="2.921862"/>
  </r>
  <r>
    <x v="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766370000000001"/>
    <n v="0.17922299999999999"/>
    <n v="0.67736499999999999"/>
    <n v="2.0670199999999999"/>
    <n v="2.9783750000000002"/>
    <n v="1.842554"/>
    <n v="6.0124200032349355"/>
    <n v="0.71451200000000004"/>
    <n v="2.047018"/>
    <n v="2.9420229999999998"/>
  </r>
  <r>
    <x v="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74299999999999"/>
    <n v="0.177318"/>
    <n v="0.67133299999999996"/>
    <n v="2.0549550000000001"/>
    <n v="2.962342"/>
    <n v="1.840808"/>
    <n v="5.9834841183883647"/>
    <n v="0.71228899999999995"/>
    <n v="2.0386039999999999"/>
    <n v="2.9378950000000001"/>
  </r>
  <r>
    <x v="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616"/>
    <n v="0.17700099999999999"/>
    <n v="0.67371400000000004"/>
    <n v="2.0440019999999999"/>
    <n v="2.9428160000000001"/>
    <n v="1.8506499999999999"/>
    <n v="5.9795534815140243"/>
    <n v="0.716893"/>
    <n v="2.0624159999999998"/>
    <n v="2.9839310000000001"/>
  </r>
  <r>
    <x v="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23499999999999"/>
    <n v="0.17588999999999999"/>
    <n v="0.66688800000000004"/>
    <n v="2.0506690000000001"/>
    <n v="2.9591669999999999"/>
    <n v="1.86208"/>
    <n v="5.8988179380230985"/>
    <n v="0.71848000000000001"/>
    <n v="2.069242"/>
    <n v="2.9842490000000002"/>
  </r>
  <r>
    <x v="6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53461"/>
    <n v="0.177477"/>
    <n v="0.65990300000000002"/>
    <n v="2.0343179999999998"/>
    <n v="2.939006"/>
    <n v="1.859381"/>
    <n v="5.8304006116530749"/>
    <n v="0.71784499999999996"/>
    <n v="2.0635270000000001"/>
    <n v="2.9763109999999999"/>
  </r>
  <r>
    <x v="7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448880000000001"/>
    <n v="0.177318"/>
    <n v="0.65704600000000002"/>
    <n v="2.0182850000000001"/>
    <n v="2.9147180000000001"/>
    <n v="1.854619"/>
    <n v="5.7935550932780311"/>
    <n v="0.71149499999999999"/>
    <n v="2.0543200000000001"/>
    <n v="2.972343"/>
  </r>
  <r>
    <x v="8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9966"/>
    <n v="0.17779400000000001"/>
    <n v="0.65434700000000001"/>
    <n v="1.9901869999999999"/>
    <n v="2.8726509999999998"/>
    <n v="1.831601"/>
    <n v="5.7776225880288496"/>
    <n v="0.71117799999999998"/>
    <n v="2.06575"/>
    <n v="2.9975830000000001"/>
  </r>
  <r>
    <x v="9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9807"/>
    <n v="0.17636599999999999"/>
    <n v="0.64688599999999996"/>
    <n v="1.975741"/>
    <n v="2.8540779999999999"/>
    <n v="1.813504"/>
    <n v="5.7513380734199684"/>
    <n v="0.71054300000000004"/>
    <n v="2.0641620000000001"/>
    <n v="2.9720249999999999"/>
  </r>
  <r>
    <x v="1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05990000000001"/>
    <n v="0.175096"/>
    <n v="0.64418799999999998"/>
    <n v="1.963994"/>
    <n v="2.8366159999999998"/>
    <n v="1.7965180000000001"/>
    <n v="5.7679622276370752"/>
    <n v="0.703399"/>
    <n v="2.0489229999999998"/>
    <n v="2.9520230000000001"/>
  </r>
  <r>
    <x v="1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6155"/>
    <n v="0.172873"/>
    <n v="0.64768000000000003"/>
    <n v="1.9593910000000001"/>
    <n v="2.8262969999999998"/>
    <n v="1.787946"/>
    <n v="5.7293044297161684"/>
    <n v="0.61021599999999998"/>
    <n v="2.0112999999999999"/>
    <n v="2.9525000000000001"/>
  </r>
  <r>
    <x v="1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4252"/>
    <n v="0.17255599999999999"/>
    <n v="0.69800200000000001"/>
    <n v="1.973201"/>
    <n v="2.8239160000000001"/>
    <n v="1.7908029999999999"/>
    <n v="5.9096074137105399"/>
    <n v="0.61021599999999998"/>
    <n v="2.0119349999999998"/>
    <n v="2.9453559999999999"/>
  </r>
  <r>
    <x v="1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39350000000001"/>
    <n v="0.17255599999999999"/>
    <n v="0.70165299999999997"/>
    <n v="1.9651050000000001"/>
    <n v="2.8123279999999999"/>
    <n v="1.7942959999999999"/>
    <n v="5.9294479171696892"/>
    <n v="0.61847099999999999"/>
    <n v="2.0308259999999998"/>
    <n v="2.9523410000000001"/>
  </r>
  <r>
    <x v="1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53630000000001"/>
    <n v="0.17255599999999999"/>
    <n v="0.70276400000000006"/>
    <n v="1.9455800000000001"/>
    <n v="2.7553380000000001"/>
    <n v="1.7893749999999999"/>
    <n v="6.0664129226383654"/>
    <n v="0.62926499999999996"/>
    <n v="2.0660669999999999"/>
    <n v="3.012505"/>
  </r>
  <r>
    <x v="1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36159999999999"/>
    <n v="0.17128599999999999"/>
    <n v="0.69847800000000004"/>
    <n v="1.946215"/>
    <n v="2.7578779999999998"/>
    <n v="1.799534"/>
    <n v="6.0374497830877818"/>
    <n v="0.63069399999999998"/>
    <n v="2.0617809999999999"/>
    <n v="3.0002819999999999"/>
  </r>
  <r>
    <x v="1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2505"/>
    <n v="0.170492"/>
    <n v="0.69863699999999995"/>
    <n v="1.954469"/>
    <n v="2.7681969999999998"/>
    <n v="1.7933429999999999"/>
    <n v="6.0074912734185082"/>
    <n v="0.75721400000000005"/>
    <n v="2.1681400000000002"/>
    <n v="3.00806"/>
  </r>
  <r>
    <x v="1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47736"/>
    <n v="0.16985700000000001"/>
    <n v="0.66069699999999998"/>
    <n v="1.9508179999999999"/>
    <n v="2.756291"/>
    <n v="1.7908029999999999"/>
    <n v="6.0148773964993936"/>
    <n v="0.67641300000000004"/>
    <n v="2.078449"/>
    <n v="3.02203"/>
  </r>
  <r>
    <x v="1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9163"/>
    <n v="0.167794"/>
    <n v="0.65037900000000004"/>
    <n v="1.9311339999999999"/>
    <n v="2.7323200000000001"/>
    <n v="1.7693730000000001"/>
    <n v="5.9937775485109466"/>
    <n v="0.75784899999999999"/>
    <n v="2.1646480000000001"/>
    <n v="3.0858460000000001"/>
  </r>
  <r>
    <x v="1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8369"/>
    <n v="0.16652400000000001"/>
    <n v="0.65085499999999996"/>
    <n v="1.9301809999999999"/>
    <n v="2.7289870000000001"/>
    <n v="1.7849299999999999"/>
    <n v="5.9801709161744832"/>
    <n v="0.74943599999999999"/>
    <n v="2.253228"/>
    <n v="3.1839499999999998"/>
  </r>
  <r>
    <x v="2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93210000000001"/>
    <n v="0.16509499999999999"/>
    <n v="0.66006200000000004"/>
    <n v="1.952564"/>
    <n v="2.7267640000000002"/>
    <n v="1.795248"/>
    <n v="5.949747534948"/>
    <n v="0.73372000000000004"/>
    <n v="2.1917930000000001"/>
    <n v="3.2209379999999999"/>
  </r>
  <r>
    <x v="2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567"/>
    <n v="0.16446"/>
    <n v="0.67403199999999996"/>
    <n v="1.958121"/>
    <n v="2.7416860000000001"/>
    <n v="1.8112809999999999"/>
    <n v="6.3447127283348053"/>
    <n v="0.72768699999999997"/>
    <n v="2.271325"/>
    <n v="3.2698309999999999"/>
  </r>
  <r>
    <x v="2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30909"/>
    <n v="0.16700000000000001"/>
    <n v="0.69450999999999996"/>
    <n v="1.944151"/>
    <n v="2.7045400000000002"/>
    <n v="1.8173140000000001"/>
    <n v="6.6788607001160702"/>
    <n v="0.72530600000000001"/>
    <n v="2.2638639999999999"/>
    <n v="3.2493530000000002"/>
  </r>
  <r>
    <x v="2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14727"/>
    <n v="0.17144499999999999"/>
    <n v="0.69800200000000001"/>
    <n v="2.0465420000000001"/>
    <n v="2.8545539999999998"/>
    <n v="1.941611"/>
    <n v="6.4421934237441372"/>
    <n v="0.72054399999999996"/>
    <n v="2.2389410000000001"/>
    <n v="3.2004600000000001"/>
  </r>
  <r>
    <x v="2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23450000000001"/>
    <n v="0.16954"/>
    <n v="0.69133500000000003"/>
    <n v="2.0228890000000002"/>
    <n v="2.8247100000000001"/>
    <n v="1.9549460000000001"/>
    <n v="6.4247180254204137"/>
    <n v="0.72482999999999997"/>
    <n v="2.2519580000000001"/>
    <n v="3.2087140000000001"/>
  </r>
  <r>
    <x v="2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901"/>
    <n v="0.16811100000000001"/>
    <n v="0.69308099999999995"/>
    <n v="2.0411440000000001"/>
    <n v="2.8467750000000001"/>
    <n v="1.9759"/>
    <n v="6.4284845130961106"/>
    <n v="0.72355999999999998"/>
    <n v="2.2567200000000001"/>
    <n v="3.215382"/>
  </r>
  <r>
    <x v="2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107"/>
    <n v="0.16700000000000001"/>
    <n v="0.68831900000000001"/>
    <n v="2.0405090000000001"/>
    <n v="2.8548710000000002"/>
    <n v="1.9730430000000001"/>
    <n v="6.3873902590837552"/>
    <n v="0.72101999999999999"/>
    <n v="2.2325910000000002"/>
    <n v="3.17252"/>
  </r>
  <r>
    <x v="2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47290000000001"/>
    <n v="0.16620599999999999"/>
    <n v="0.72244900000000001"/>
    <n v="2.0474939999999999"/>
    <n v="2.871381"/>
    <n v="1.964788"/>
    <n v="6.3201944681726863"/>
    <n v="0.71768699999999996"/>
    <n v="2.2316379999999998"/>
    <n v="3.1583920000000001"/>
  </r>
  <r>
    <x v="2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90139999999999"/>
    <n v="0.166047"/>
    <n v="0.68942999999999999"/>
    <n v="2.0379689999999999"/>
    <n v="2.862174"/>
    <n v="1.969233"/>
    <n v="6.2917411862284398"/>
    <n v="0.71705200000000002"/>
    <n v="2.2251300000000001"/>
    <n v="3.1437879999999998"/>
  </r>
  <r>
    <x v="2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64750000000001"/>
    <n v="0.16477700000000001"/>
    <n v="0.69593799999999995"/>
    <n v="2.050351"/>
    <n v="2.8794770000000001"/>
    <n v="1.966852"/>
    <n v="6.2895713571095246"/>
    <n v="0.71340000000000003"/>
    <n v="2.217193"/>
    <n v="3.127119"/>
  </r>
  <r>
    <x v="3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203"/>
    <n v="0.19763800000000001"/>
    <n v="0.73451299999999997"/>
    <n v="2.0493990000000002"/>
    <n v="2.8740800000000002"/>
    <n v="1.964947"/>
    <n v="6.3020853060032485"/>
    <n v="0.70832099999999998"/>
    <n v="2.184809"/>
    <n v="3.0748920000000002"/>
  </r>
  <r>
    <x v="3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33010000000001"/>
    <n v="0.19684399999999999"/>
    <n v="0.74070499999999995"/>
    <n v="2.065591"/>
    <n v="2.9056700000000002"/>
    <n v="1.9603429999999999"/>
    <n v="6.3419128308431274"/>
    <n v="0.69847800000000004"/>
    <n v="2.1633779999999998"/>
    <n v="3.0737809999999999"/>
  </r>
  <r>
    <x v="3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001319999999999"/>
    <n v="0.19636799999999999"/>
    <n v="0.80198000000000003"/>
    <n v="2.0962290000000001"/>
    <n v="2.9331330000000002"/>
    <n v="1.9746300000000001"/>
    <n v="6.4048441780000926"/>
    <n v="0.69355699999999998"/>
    <n v="2.1656"/>
    <n v="3.0520330000000002"/>
  </r>
  <r>
    <x v="3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72739999999999"/>
    <n v="0.19986000000000001"/>
    <n v="0.80086900000000005"/>
    <n v="2.1094050000000002"/>
    <n v="2.9374189999999998"/>
    <n v="1.969074"/>
    <n v="6.3777221901828947"/>
    <n v="0.69450999999999996"/>
    <n v="2.1603620000000001"/>
    <n v="3.0345710000000001"/>
  </r>
  <r>
    <x v="3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6004"/>
    <n v="0.20017799999999999"/>
    <n v="0.79959899999999995"/>
    <n v="2.1052770000000001"/>
    <n v="2.9345620000000001"/>
    <n v="1.962248"/>
    <n v="6.3405936144719188"/>
    <n v="0.69276400000000005"/>
    <n v="2.151313"/>
    <n v="3.0248870000000001"/>
  </r>
  <r>
    <x v="3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86990000000001"/>
    <n v="0.191605"/>
    <n v="0.78483599999999998"/>
    <n v="2.042573"/>
    <n v="2.8610630000000001"/>
    <n v="1.871604"/>
    <n v="6.2406896421939404"/>
    <n v="0.69165200000000004"/>
    <n v="2.1509960000000001"/>
    <n v="3.0110769999999998"/>
  </r>
  <r>
    <x v="3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3461"/>
    <n v="0.18604899999999999"/>
    <n v="0.77769200000000005"/>
    <n v="2.038287"/>
    <n v="2.8455059999999999"/>
    <n v="1.841602"/>
    <n v="6.1840506381446509"/>
    <n v="0.67688899999999996"/>
    <n v="2.0906729999999998"/>
    <n v="2.9547219999999998"/>
  </r>
  <r>
    <x v="3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93329999999999"/>
    <n v="0.185414"/>
    <n v="0.77658099999999997"/>
    <n v="2.042414"/>
    <n v="2.8532839999999999"/>
    <n v="1.921292"/>
    <n v="6.2062131523274049"/>
    <n v="0.66958700000000004"/>
    <n v="2.0428899999999999"/>
    <n v="2.884239"/>
  </r>
  <r>
    <x v="3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9049999999999"/>
    <n v="0.203511"/>
    <n v="0.79023299999999996"/>
    <n v="2.0516209999999999"/>
    <n v="2.8701110000000001"/>
    <n v="1.9028769999999999"/>
    <n v="6.220786109373126"/>
    <n v="0.66545900000000002"/>
    <n v="2.0387629999999999"/>
    <n v="2.8878900000000001"/>
  </r>
  <r>
    <x v="3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7904"/>
    <n v="0.20160600000000001"/>
    <n v="0.77721600000000002"/>
    <n v="2.0397159999999999"/>
    <n v="2.8624909999999999"/>
    <n v="1.8787480000000001"/>
    <n v="6.1844298630390382"/>
    <n v="0.66133200000000003"/>
    <n v="2.032254"/>
    <n v="2.8983680000000001"/>
  </r>
  <r>
    <x v="4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1397"/>
    <n v="0.201765"/>
    <n v="0.77737500000000004"/>
    <n v="2.046065"/>
    <n v="2.8690000000000002"/>
    <n v="1.8765259999999999"/>
    <n v="6.340451748621339"/>
    <n v="0.66149100000000005"/>
    <n v="2.0270160000000002"/>
    <n v="2.8880490000000001"/>
  </r>
  <r>
    <x v="4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288740000000001"/>
    <n v="0.201765"/>
    <n v="0.79197899999999999"/>
    <n v="2.0905140000000002"/>
    <n v="2.8601100000000002"/>
    <n v="1.934626"/>
    <n v="6.5861658665334168"/>
    <n v="0.66307799999999995"/>
    <n v="2.027968"/>
    <n v="2.885192"/>
  </r>
  <r>
    <x v="4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3633"/>
    <n v="0.173985"/>
    <n v="0.76435799999999998"/>
    <n v="2.0811480000000002"/>
    <n v="2.8651900000000001"/>
    <n v="1.9176409999999999"/>
    <n v="6.5689429463550955"/>
    <n v="0.64545699999999995"/>
    <n v="1.9841549999999999"/>
    <n v="2.8061370000000001"/>
  </r>
  <r>
    <x v="4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50619999999999"/>
    <n v="0.18684300000000001"/>
    <n v="0.75435700000000006"/>
    <n v="2.0968640000000001"/>
    <n v="2.8918590000000002"/>
    <n v="1.927165"/>
    <n v="6.5694487201945968"/>
    <n v="0.61402599999999996"/>
    <n v="1.9446270000000001"/>
    <n v="2.7710539999999999"/>
  </r>
  <r>
    <x v="4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49030000000001"/>
    <n v="0.18684300000000001"/>
    <n v="0.75927800000000001"/>
    <n v="2.0895609999999998"/>
    <n v="2.8783660000000002"/>
    <n v="1.9198630000000001"/>
    <n v="6.5621155140455212"/>
    <n v="0.60973999999999995"/>
    <n v="1.9303399999999999"/>
    <n v="2.7413690000000002"/>
  </r>
  <r>
    <x v="4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6014"/>
    <n v="0.18890699999999999"/>
    <n v="0.75880099999999995"/>
    <n v="2.0724170000000002"/>
    <n v="2.857888"/>
    <n v="1.9198630000000001"/>
    <n v="6.5273923357384342"/>
    <n v="0.60672400000000004"/>
    <n v="1.9354199999999999"/>
    <n v="2.7470840000000001"/>
  </r>
  <r>
    <x v="4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09349999999999"/>
    <n v="0.189224"/>
    <n v="0.76372300000000004"/>
    <n v="2.0732110000000001"/>
    <n v="2.8588399999999998"/>
    <n v="1.9219269999999999"/>
    <n v="6.5426942616508832"/>
    <n v="0.61116899999999996"/>
    <n v="1.9547870000000001"/>
    <n v="2.7685140000000001"/>
  </r>
  <r>
    <x v="4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55369999999999"/>
    <n v="0.189383"/>
    <n v="0.84499999999999997"/>
    <n v="2.0622569999999998"/>
    <n v="2.8496329999999999"/>
    <n v="1.9439919999999999"/>
    <n v="6.4706801567198884"/>
    <n v="0.63005900000000004"/>
    <n v="2.1605210000000001"/>
    <n v="3.1310880000000001"/>
  </r>
  <r>
    <x v="4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76"/>
    <n v="0.18906500000000001"/>
    <n v="0.87246299999999999"/>
    <n v="2.052098"/>
    <n v="2.838203"/>
    <n v="1.94177"/>
    <n v="6.4113478612102934"/>
    <n v="0.63196399999999997"/>
    <n v="2.175284"/>
    <n v="3.1441050000000001"/>
  </r>
  <r>
    <x v="4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09270000000001"/>
    <n v="0.18890699999999999"/>
    <n v="0.79039199999999998"/>
    <n v="2.0386039999999999"/>
    <n v="2.8418540000000001"/>
    <n v="1.9166879999999999"/>
    <n v="6.3592782896823552"/>
    <n v="0.626884"/>
    <n v="2.1909999999999998"/>
    <n v="3.2117300000000002"/>
  </r>
  <r>
    <x v="5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27"/>
    <n v="0.188113"/>
    <n v="0.74737200000000004"/>
    <n v="1.9860599999999999"/>
    <n v="2.828837"/>
    <n v="1.9406589999999999"/>
    <n v="6.3666788186148979"/>
    <n v="0.634822"/>
    <n v="2.2416390000000002"/>
    <n v="3.3646020000000001"/>
  </r>
  <r>
    <x v="5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77549999999999"/>
    <n v="0.188113"/>
    <n v="0.887544"/>
    <n v="2.0157449999999999"/>
    <n v="2.8505850000000001"/>
    <n v="1.96193"/>
    <n v="6.2312183411928919"/>
    <n v="0.63196399999999997"/>
    <n v="2.2657690000000001"/>
    <n v="3.420798"/>
  </r>
  <r>
    <x v="5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4859999999999"/>
    <n v="0.189383"/>
    <n v="0.89246499999999995"/>
    <n v="2.0181260000000001"/>
    <n v="2.8607450000000001"/>
    <n v="1.950342"/>
    <n v="6.2071778179359773"/>
    <n v="0.63497999999999999"/>
    <n v="2.262594"/>
    <n v="3.4180990000000002"/>
  </r>
  <r>
    <x v="5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7560000000001"/>
    <n v="0.18890699999999999"/>
    <n v="0.89468700000000001"/>
    <n v="2.0165389999999999"/>
    <n v="2.8556650000000001"/>
    <n v="1.9627239999999999"/>
    <n v="6.1900882031800926"/>
    <n v="0.63466299999999998"/>
    <n v="2.248148"/>
    <n v="3.4066689999999999"/>
  </r>
  <r>
    <x v="5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17249999999999"/>
    <n v="0.188748"/>
    <n v="0.90357699999999996"/>
    <n v="2.014475"/>
    <n v="2.8551890000000002"/>
    <n v="1.9587559999999999"/>
    <n v="6.2634860987447079"/>
    <n v="0.67291999999999996"/>
    <n v="2.2440199999999999"/>
    <n v="3.411273"/>
  </r>
  <r>
    <x v="5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169"/>
    <n v="0.18842999999999999"/>
    <n v="0.89960799999999996"/>
    <n v="2.0038390000000001"/>
    <n v="2.839156"/>
    <n v="1.9697089999999999"/>
    <n v="6.2482515006106256"/>
    <n v="0.74594300000000002"/>
    <n v="2.2424330000000001"/>
    <n v="3.3511090000000001"/>
  </r>
  <r>
    <x v="5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1724"/>
    <n v="0.18747800000000001"/>
    <n v="0.89627500000000004"/>
    <n v="1.9917750000000001"/>
    <n v="2.8228049999999998"/>
    <n v="1.9833609999999999"/>
    <n v="6.2211991174375623"/>
    <n v="0.74499099999999996"/>
    <n v="2.2376710000000002"/>
    <n v="3.3823810000000001"/>
  </r>
  <r>
    <x v="5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2799999999999"/>
    <n v="0.188113"/>
    <n v="0.90024300000000002"/>
    <n v="1.986218"/>
    <n v="2.811534"/>
    <n v="1.9824090000000001"/>
    <n v="6.1999769425771047"/>
    <n v="0.74626099999999995"/>
    <n v="2.2279870000000002"/>
    <n v="3.3698410000000001"/>
  </r>
  <r>
    <x v="5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5058"/>
    <n v="0.18731900000000001"/>
    <n v="0.90421200000000002"/>
    <n v="1.987806"/>
    <n v="2.8058190000000001"/>
    <n v="2.0025689999999998"/>
    <n v="6.3758435380745215"/>
    <n v="0.74753099999999995"/>
    <n v="2.2271930000000002"/>
    <n v="3.360633"/>
  </r>
  <r>
    <x v="5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996"/>
    <n v="0.18573200000000001"/>
    <n v="0.91024400000000005"/>
    <n v="1.9884409999999999"/>
    <n v="2.8040729999999998"/>
    <n v="2.015428"/>
    <n v="6.3174621340602135"/>
    <n v="0.75483299999999998"/>
    <n v="2.2262409999999999"/>
    <n v="3.3538070000000002"/>
  </r>
  <r>
    <x v="6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8709"/>
    <n v="0.18509700000000001"/>
    <n v="0.90849800000000003"/>
    <n v="1.985107"/>
    <n v="2.8005810000000002"/>
    <n v="1.994156"/>
    <n v="6.3124206402886758"/>
    <n v="0.74943599999999999"/>
    <n v="2.2051280000000002"/>
    <n v="3.3345989999999999"/>
  </r>
  <r>
    <x v="6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9822"/>
    <n v="0.18430299999999999"/>
    <n v="0.921991"/>
    <n v="2.005744"/>
    <n v="2.8135979999999998"/>
    <n v="2.0138400000000001"/>
    <n v="6.2962786559061792"/>
    <n v="0.751023"/>
    <n v="2.4218150000000001"/>
    <n v="3.6376430000000002"/>
  </r>
  <r>
    <x v="6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2358"/>
    <n v="0.16572999999999999"/>
    <n v="0.87214499999999995"/>
    <n v="1.911767"/>
    <n v="2.7134299999999998"/>
    <n v="1.975741"/>
    <n v="6.2947147267397074"/>
    <n v="0.747054"/>
    <n v="2.3981620000000001"/>
    <n v="3.6203400000000001"/>
  </r>
  <r>
    <x v="6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5214"/>
    <n v="0.15684000000000001"/>
    <n v="0.86754200000000004"/>
    <n v="1.9028769999999999"/>
    <n v="2.7008890000000001"/>
    <n v="1.975741"/>
    <n v="6.2947147267397074"/>
    <n v="0.66022099999999995"/>
    <n v="2.399114"/>
    <n v="3.6227209999999999"/>
  </r>
  <r>
    <x v="6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2671"/>
    <n v="0.15604599999999999"/>
    <n v="0.85055599999999998"/>
    <n v="1.8325530000000001"/>
    <n v="2.6078640000000002"/>
    <n v="2.0309849999999998"/>
    <n v="6.1943378074318547"/>
    <n v="0.64387000000000005"/>
    <n v="2.398479"/>
    <n v="3.6230389999999999"/>
  </r>
  <r>
    <x v="6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4895"/>
    <n v="0.155888"/>
    <n v="0.85865199999999997"/>
    <n v="1.858905"/>
    <n v="2.6404070000000002"/>
    <n v="2.0262220000000002"/>
    <n v="6.2351291594603495"/>
    <n v="0.64101300000000005"/>
    <n v="2.3965740000000002"/>
    <n v="3.6090689999999999"/>
  </r>
  <r>
    <x v="6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6642"/>
    <n v="0.15937999999999999"/>
    <n v="0.88548000000000004"/>
    <n v="1.85192"/>
    <n v="2.5956410000000001"/>
    <n v="2.047018"/>
    <n v="6.2246476602788938"/>
    <n v="0.61751800000000001"/>
    <n v="2.39086"/>
    <n v="3.6019260000000002"/>
  </r>
  <r>
    <x v="6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0240000000001"/>
    <n v="0.159856"/>
    <n v="0.8931"/>
    <n v="1.8576349999999999"/>
    <n v="2.5932599999999999"/>
    <n v="2.059876"/>
    <n v="6.4385185937787606"/>
    <n v="0.61434299999999997"/>
    <n v="2.3873669999999998"/>
    <n v="3.5887500000000001"/>
  </r>
  <r>
    <x v="6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934"/>
    <n v="0.15779299999999999"/>
    <n v="0.88706700000000005"/>
    <n v="1.8344579999999999"/>
    <n v="2.5672250000000001"/>
    <n v="2.0073319999999999"/>
    <n v="6.4224736227050148"/>
    <n v="0.61339100000000002"/>
    <n v="2.3983210000000001"/>
    <n v="3.6138319999999999"/>
  </r>
  <r>
    <x v="6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31510000000001"/>
    <n v="0.15906300000000001"/>
    <n v="0.89627500000000004"/>
    <n v="1.862873"/>
    <n v="2.6059589999999999"/>
    <n v="2.0295559999999999"/>
    <n v="6.3777387856583019"/>
    <n v="0.61228000000000005"/>
    <n v="2.3872080000000002"/>
    <n v="3.6012909999999998"/>
  </r>
  <r>
    <x v="7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1830000000001"/>
    <n v="0.15795100000000001"/>
    <n v="0.89532199999999995"/>
    <n v="1.8763669999999999"/>
    <n v="2.6269140000000002"/>
    <n v="1.9993939999999999"/>
    <n v="6.3480742818745233"/>
    <n v="0.60688200000000003"/>
    <n v="2.359111"/>
    <n v="3.5474760000000001"/>
  </r>
  <r>
    <x v="7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0615"/>
    <n v="0.15795100000000001"/>
    <n v="0.92072100000000001"/>
    <n v="1.8990670000000001"/>
    <n v="2.6627900000000002"/>
    <n v="2.0263810000000002"/>
    <n v="6.3402952421185335"/>
    <n v="0.59561200000000003"/>
    <n v="2.2911679999999999"/>
    <n v="3.4641350000000002"/>
  </r>
  <r>
    <x v="7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014"/>
    <n v="0.15969800000000001"/>
    <n v="0.93627800000000005"/>
    <n v="1.889384"/>
    <n v="2.6504080000000001"/>
    <n v="2.0030450000000002"/>
    <n v="6.4006020298519735"/>
    <n v="0.59577000000000002"/>
    <n v="2.3056139999999998"/>
    <n v="3.4814379999999998"/>
  </r>
  <r>
    <x v="7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837"/>
    <n v="0.16017400000000001"/>
    <n v="0.93103999999999998"/>
    <n v="1.859381"/>
    <n v="2.6035780000000002"/>
    <n v="1.98733"/>
    <n v="6.3650185453998089"/>
    <n v="0.59497699999999998"/>
    <n v="2.3106930000000001"/>
    <n v="3.4782630000000001"/>
  </r>
  <r>
    <x v="7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72810000000001"/>
    <n v="0.15953899999999999"/>
    <n v="0.93659599999999998"/>
    <n v="1.850333"/>
    <n v="2.595323"/>
    <n v="1.9954259999999999"/>
    <n v="6.2731369902453684"/>
    <n v="0.61815299999999995"/>
    <n v="2.3635549999999999"/>
    <n v="3.5428730000000002"/>
  </r>
  <r>
    <x v="7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42649999999999"/>
    <n v="0.159856"/>
    <n v="0.93294500000000002"/>
    <n v="1.851126"/>
    <n v="2.6081819999999998"/>
    <n v="1.9524060000000001"/>
    <n v="6.2501877007173796"/>
    <n v="0.62783699999999998"/>
    <n v="2.385621"/>
    <n v="3.5739869999999998"/>
  </r>
  <r>
    <x v="7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9365"/>
    <n v="0.15953899999999999"/>
    <n v="1.1150249999999999"/>
    <n v="1.925419"/>
    <n v="2.5881799999999999"/>
    <n v="2.0024099999999998"/>
    <n v="6.4300296346666057"/>
    <n v="0.62497899999999995"/>
    <n v="2.3924470000000002"/>
    <n v="3.5831940000000002"/>
  </r>
  <r>
    <x v="7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61900000000001"/>
    <n v="0.15842800000000001"/>
    <n v="1.118994"/>
    <n v="1.925419"/>
    <n v="2.583259"/>
    <n v="1.9498660000000001"/>
    <n v="6.5892985248041391"/>
    <n v="0.67212700000000003"/>
    <n v="2.4273709999999999"/>
    <n v="3.6506609999999999"/>
  </r>
  <r>
    <x v="7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904760000000001"/>
    <n v="0.15890399999999999"/>
    <n v="1.122169"/>
    <n v="1.9251020000000001"/>
    <n v="2.5892909999999998"/>
    <n v="1.9655819999999999"/>
    <n v="6.533130782460236"/>
    <n v="0.66784100000000002"/>
    <n v="2.4291170000000002"/>
    <n v="3.6371669999999998"/>
  </r>
  <r>
    <x v="7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66506"/>
    <n v="0.220973"/>
    <n v="1.1069290000000001"/>
    <n v="1.897797"/>
    <n v="2.5653199999999998"/>
    <n v="1.9759"/>
    <n v="6.7580658537424423"/>
    <n v="0.66815800000000003"/>
    <n v="2.436896"/>
    <n v="3.650026"/>
  </r>
  <r>
    <x v="8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649179999999999"/>
    <n v="0.221132"/>
    <n v="1.1066119999999999"/>
    <n v="1.8949400000000001"/>
    <n v="2.5613519999999999"/>
    <n v="1.916371"/>
    <n v="6.7693923581324666"/>
    <n v="0.66212599999999999"/>
    <n v="2.440229"/>
    <n v="3.653359"/>
  </r>
  <r>
    <x v="8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9044"/>
    <n v="0.219386"/>
    <n v="1.0943890000000001"/>
    <n v="1.8830340000000001"/>
    <n v="2.5516679999999998"/>
    <n v="1.9127190000000001"/>
    <n v="6.7693923581324666"/>
    <n v="0.66434800000000005"/>
    <n v="2.4457849999999999"/>
    <n v="3.6422469999999998"/>
  </r>
  <r>
    <x v="8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41239999999999"/>
    <n v="0.222243"/>
    <n v="1.1020080000000001"/>
    <n v="1.8847799999999999"/>
    <n v="2.558494"/>
    <n v="1.9643120000000001"/>
    <n v="6.7710457496950331"/>
    <n v="0.65228399999999997"/>
    <n v="2.408639"/>
    <n v="3.5306489999999999"/>
  </r>
  <r>
    <x v="8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7934"/>
    <n v="0.222084"/>
    <n v="1.111057"/>
    <n v="1.8830340000000001"/>
    <n v="2.545477"/>
    <n v="1.950342"/>
    <n v="6.8580296705511721"/>
    <n v="0.65164900000000003"/>
    <n v="2.4003839999999999"/>
    <n v="3.443657"/>
  </r>
  <r>
    <x v="8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0471"/>
    <n v="0.18842999999999999"/>
    <n v="1.082165"/>
    <n v="1.8696999999999999"/>
    <n v="2.554208"/>
    <n v="1.934944"/>
    <n v="6.810495819286996"/>
    <n v="0.63561500000000004"/>
    <n v="2.3741910000000002"/>
    <n v="3.448102"/>
  </r>
  <r>
    <x v="8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7772"/>
    <n v="0.18589"/>
    <n v="1.073752"/>
    <n v="1.872716"/>
    <n v="2.5624630000000002"/>
    <n v="1.911449"/>
    <n v="6.810495819286996"/>
    <n v="0.630853"/>
    <n v="2.3745090000000002"/>
    <n v="3.4152420000000001"/>
  </r>
  <r>
    <x v="8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9837"/>
    <n v="0.185414"/>
    <n v="1.082641"/>
    <n v="1.8736679999999999"/>
    <n v="2.5534150000000002"/>
    <n v="1.920498"/>
    <n v="6.789010513571859"/>
    <n v="0.63958400000000004"/>
    <n v="2.4030830000000001"/>
    <n v="3.4417520000000001"/>
  </r>
  <r>
    <x v="8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2377"/>
    <n v="0.185414"/>
    <n v="1.0869279999999999"/>
    <n v="1.867953"/>
    <n v="2.540556"/>
    <n v="1.923197"/>
    <n v="6.7991451935230955"/>
    <n v="0.64053599999999999"/>
    <n v="2.4159410000000001"/>
    <n v="3.4649290000000001"/>
  </r>
  <r>
    <x v="8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8725"/>
    <n v="0.18493799999999999"/>
    <n v="1.080578"/>
    <n v="1.873351"/>
    <n v="2.5638920000000001"/>
    <n v="1.953676"/>
    <n v="6.7927504221745112"/>
    <n v="0.63497999999999999"/>
    <n v="2.3791120000000001"/>
    <n v="3.4363549999999998"/>
  </r>
  <r>
    <x v="8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63449999999999"/>
    <n v="0.184779"/>
    <n v="1.086293"/>
    <n v="1.879065"/>
    <n v="2.5672250000000001"/>
    <n v="1.9960610000000001"/>
    <n v="6.7413748115375469"/>
    <n v="0.629583"/>
    <n v="2.3638729999999999"/>
    <n v="3.4090509999999998"/>
  </r>
  <r>
    <x v="9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74550000000001"/>
    <n v="0.18382699999999999"/>
    <n v="1.0789899999999999"/>
    <n v="1.866366"/>
    <n v="2.550557"/>
    <n v="1.979392"/>
    <n v="6.7206145529572776"/>
    <n v="0.62767799999999996"/>
    <n v="2.3519670000000001"/>
    <n v="3.3903189999999999"/>
  </r>
  <r>
    <x v="9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14230000000001"/>
    <n v="0.17985799999999999"/>
    <n v="1.071688"/>
    <n v="1.8677950000000001"/>
    <n v="2.5556369999999999"/>
    <n v="1.9616130000000001"/>
    <n v="6.6933994685476268"/>
    <n v="0.61656599999999995"/>
    <n v="2.3081529999999999"/>
    <n v="3.3341229999999999"/>
  </r>
  <r>
    <x v="9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90420000000001"/>
    <n v="0.18049299999999999"/>
    <n v="1.067561"/>
    <n v="1.870652"/>
    <n v="2.5667490000000002"/>
    <n v="1.954628"/>
    <n v="6.6841557123740722"/>
    <n v="0.61513700000000004"/>
    <n v="2.2997399999999999"/>
    <n v="3.3261859999999999"/>
  </r>
  <r>
    <x v="9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13167"/>
    <n v="0.18001700000000001"/>
    <n v="1.0610520000000001"/>
    <n v="1.8535079999999999"/>
    <n v="2.5530970000000002"/>
    <n v="1.9438329999999999"/>
    <n v="6.6170543466691782"/>
    <n v="0.60926400000000003"/>
    <n v="2.2778330000000002"/>
    <n v="3.295865"/>
  </r>
  <r>
    <x v="9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73183"/>
    <n v="0.17874699999999999"/>
    <n v="1.3201240000000001"/>
    <n v="1.8592219999999999"/>
    <n v="2.5753210000000002"/>
    <n v="1.976059"/>
    <n v="6.9717836309546053"/>
    <n v="0.61958199999999997"/>
    <n v="2.3013270000000001"/>
    <n v="3.3357100000000002"/>
  </r>
  <r>
    <x v="9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73129999999999"/>
    <n v="0.18176300000000001"/>
    <n v="1.3586990000000001"/>
    <n v="1.8522380000000001"/>
    <n v="2.5519859999999999"/>
    <n v="1.9927269999999999"/>
    <n v="6.9696174238611501"/>
    <n v="0.62624899999999994"/>
    <n v="2.284977"/>
    <n v="3.3168199999999999"/>
  </r>
  <r>
    <x v="9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3026"/>
    <n v="0.18112800000000001"/>
    <n v="1.3474280000000001"/>
    <n v="1.833188"/>
    <n v="2.5288089999999999"/>
    <n v="1.967487"/>
    <n v="6.9509555246564414"/>
    <n v="0.62656699999999999"/>
    <n v="2.2978350000000001"/>
    <n v="3.3266619999999998"/>
  </r>
  <r>
    <x v="9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19149999999999"/>
    <n v="0.18033399999999999"/>
    <n v="1.3453649999999999"/>
    <n v="1.8419190000000001"/>
    <n v="2.5399210000000001"/>
    <n v="1.9335150000000001"/>
    <n v="6.881881554401307"/>
    <n v="0.624027"/>
    <n v="2.2827540000000002"/>
    <n v="3.314438"/>
  </r>
  <r>
    <x v="9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62009999999999"/>
    <n v="0.17954100000000001"/>
    <n v="1.343777"/>
    <n v="1.8393790000000001"/>
    <n v="2.5396040000000002"/>
    <n v="1.939865"/>
    <n v="6.8565969963888467"/>
    <n v="0.63307500000000005"/>
    <n v="2.3373629999999999"/>
    <n v="3.3546010000000002"/>
  </r>
  <r>
    <x v="9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01689999999999"/>
    <n v="0.179064"/>
    <n v="1.3444119999999999"/>
    <n v="1.859064"/>
    <n v="2.5761150000000002"/>
    <n v="1.953676"/>
    <n v="6.8328660036803184"/>
    <n v="0.62736099999999995"/>
    <n v="2.3289490000000002"/>
    <n v="3.355553"/>
  </r>
  <r>
    <x v="10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4297"/>
    <n v="0.17779400000000001"/>
    <n v="1.3417129999999999"/>
    <n v="1.885257"/>
    <n v="2.6154839999999999"/>
    <n v="1.9859009999999999"/>
    <n v="6.7764080264352318"/>
    <n v="0.62609099999999995"/>
    <n v="2.3289490000000002"/>
    <n v="3.3412660000000001"/>
  </r>
  <r>
    <x v="10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73140000000001"/>
    <n v="0.17763599999999999"/>
    <n v="1.3380620000000001"/>
    <n v="1.9225620000000001"/>
    <n v="2.6896179999999998"/>
    <n v="2.1033719999999998"/>
    <n v="6.7515791998211192"/>
    <n v="0.62783699999999998"/>
    <n v="2.316249"/>
    <n v="3.3322180000000001"/>
  </r>
  <r>
    <x v="10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298"/>
    <n v="0.25081700000000001"/>
    <n v="1.3336170000000001"/>
    <n v="1.9566920000000001"/>
    <n v="2.761371"/>
    <n v="2.1525829999999999"/>
    <n v="6.8506282300092725"/>
    <n v="0.61926499999999995"/>
    <n v="2.266721"/>
    <n v="3.2834829999999999"/>
  </r>
  <r>
    <x v="10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38220000000001"/>
    <n v="0.27748600000000001"/>
    <n v="1.335364"/>
    <n v="1.9516119999999999"/>
    <n v="2.7535919999999998"/>
    <n v="2.142582"/>
    <n v="6.8193312983266816"/>
    <n v="0.62021700000000002"/>
    <n v="2.2979940000000001"/>
    <n v="3.2993579999999998"/>
  </r>
  <r>
    <x v="10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7700999999999998"/>
    <n v="1.3255209999999999"/>
    <n v="1.9695499999999999"/>
    <n v="2.78931"/>
    <n v="2.207033"/>
    <n v="6.7077902403307981"/>
    <n v="0.61593100000000001"/>
    <n v="2.2810079999999999"/>
    <n v="3.2901509999999998"/>
  </r>
  <r>
    <x v="10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7270000000001"/>
    <n v="0.27542299999999997"/>
    <n v="1.3237749999999999"/>
    <n v="1.9658990000000001"/>
    <n v="2.778991"/>
    <n v="2.221479"/>
    <n v="6.7527393878549518"/>
    <n v="0.61164499999999999"/>
    <n v="2.2640220000000002"/>
    <n v="3.2809439999999999"/>
  </r>
  <r>
    <x v="10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171"/>
    <n v="0.273835"/>
    <n v="1.3271090000000001"/>
    <n v="1.945262"/>
    <n v="2.7505760000000001"/>
    <n v="2.1875070000000001"/>
    <n v="6.7373004919101787"/>
    <n v="0.60735899999999998"/>
    <n v="2.247036"/>
    <n v="3.2717369999999999"/>
  </r>
  <r>
    <x v="10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2320500000000002"/>
    <n v="1.284089"/>
    <n v="1.9516119999999999"/>
    <n v="2.733908"/>
    <n v="2.1597270000000002"/>
    <n v="6.702355283125125"/>
    <n v="0.60307299999999997"/>
    <n v="2.2300499999999999"/>
    <n v="3.2625299999999999"/>
  </r>
  <r>
    <x v="10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9696"/>
    <n v="0.32828499999999999"/>
    <n v="1.297582"/>
    <n v="2.0255869999999998"/>
    <n v="2.8505850000000001"/>
    <n v="2.1927460000000001"/>
    <n v="6.7132743148718665"/>
    <n v="0.59878699999999996"/>
    <n v="2.2130640000000001"/>
    <n v="3.253323"/>
  </r>
  <r>
    <x v="10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8059999999999"/>
    <n v="0.32669700000000002"/>
    <n v="1.28901"/>
    <n v="2.0319370000000001"/>
    <n v="2.8836040000000001"/>
    <n v="2.207668"/>
    <n v="6.791708940572696"/>
    <n v="0.59450099999999995"/>
    <n v="2.196078"/>
    <n v="3.244116"/>
  </r>
  <r>
    <x v="11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35728"/>
    <n v="0.32384000000000002"/>
    <n v="1.2945660000000001"/>
    <n v="2.046859"/>
    <n v="2.8966210000000001"/>
    <n v="2.2211609999999999"/>
    <n v="6.7977750976317237"/>
    <n v="0.59021500000000005"/>
    <n v="2.1790919999999998"/>
    <n v="3.234909"/>
  </r>
  <r>
    <x v="11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076"/>
    <n v="0.32114100000000001"/>
    <n v="1.291391"/>
    <n v="2.0244759999999999"/>
    <n v="2.862015"/>
    <n v="2.1956030000000002"/>
    <n v="6.74095538236402"/>
    <n v="0.58592900000000003"/>
    <n v="2.1621060000000001"/>
    <n v="3.2257020000000001"/>
  </r>
  <r>
    <x v="11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33440000000001"/>
    <n v="0.32034800000000002"/>
    <n v="1.284089"/>
    <n v="1.9916160000000001"/>
    <n v="2.815979"/>
    <n v="2.1748080000000001"/>
    <n v="6.7028998750579927"/>
    <n v="0.58164300000000002"/>
    <n v="2.1451199999999999"/>
    <n v="3.2164950000000001"/>
  </r>
  <r>
    <x v="11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1717299999999998"/>
    <n v="1.2844059999999999"/>
    <n v="1.9860599999999999"/>
    <n v="2.797882"/>
    <n v="2.184809"/>
    <n v="6.6680630863130421"/>
    <n v="0.57735700000000001"/>
    <n v="2.1281340000000002"/>
    <n v="3.2072880000000001"/>
  </r>
  <r>
    <x v="11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2392"/>
    <n v="0.28034399999999998"/>
    <n v="1.2850410000000001"/>
    <n v="2.0244759999999999"/>
    <n v="2.871381"/>
    <n v="2.184015"/>
    <n v="6.6487866603743475"/>
    <n v="0.573071"/>
    <n v="2.111148"/>
    <n v="3.1980810000000002"/>
  </r>
  <r>
    <x v="11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20780000000001"/>
    <n v="0.27812100000000001"/>
    <n v="1.313933"/>
    <n v="2.0551140000000001"/>
    <n v="2.911543"/>
    <n v="2.1892529999999999"/>
    <n v="6.6114794987547842"/>
    <n v="0.56878499999999999"/>
    <n v="2.0941619999999999"/>
    <n v="3.1888740000000002"/>
  </r>
  <r>
    <x v="11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0967"/>
    <n v="0.28034399999999998"/>
    <n v="1.31552"/>
    <n v="2.0527329999999999"/>
    <n v="2.9110670000000001"/>
    <n v="2.2270349999999999"/>
    <n v="6.6057856713707706"/>
    <n v="0.56449899999999997"/>
    <n v="2.0771760000000001"/>
    <n v="3.1796669999999998"/>
  </r>
  <r>
    <x v="11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711"/>
    <n v="0.28510600000000003"/>
    <n v="1.30552"/>
    <n v="2.0106649999999999"/>
    <n v="2.9363079999999999"/>
    <n v="2.2608470000000001"/>
    <n v="6.4272456464875605"/>
    <n v="0.56021299999999996"/>
    <n v="2.06019"/>
    <n v="3.1704599999999998"/>
  </r>
  <r>
    <x v="11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6469999999999"/>
    <n v="0.28304200000000002"/>
    <n v="1.480615"/>
    <n v="2.0074900000000002"/>
    <n v="2.9088449999999999"/>
    <n v="2.2492589999999999"/>
    <n v="6.4098919533445953"/>
    <n v="0.55592699999999995"/>
    <n v="2.0432039999999998"/>
    <n v="3.1612529999999999"/>
  </r>
  <r>
    <x v="11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717819999999998"/>
    <n v="0.28145500000000001"/>
    <n v="1.3982270000000001"/>
    <n v="2.0532089999999998"/>
    <n v="2.9515470000000001"/>
    <n v="2.265927"/>
    <n v="6.4313746969077208"/>
    <n v="0.55164100000000005"/>
    <n v="2.0262180000000001"/>
    <n v="3.1520459999999999"/>
  </r>
  <r>
    <x v="12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676549999999998"/>
    <n v="0.27970899999999999"/>
    <n v="1.4552160000000001"/>
    <n v="2.1352799999999998"/>
    <n v="2.9505949999999999"/>
    <n v="2.3299020000000001"/>
    <n v="6.4402573239018279"/>
    <n v="0.54735500000000004"/>
    <n v="2.0092319999999999"/>
    <n v="3.1428389999999999"/>
  </r>
  <r>
    <x v="12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459070000000001"/>
    <n v="0.27732800000000002"/>
    <n v="1.4456910000000001"/>
    <n v="2.1100400000000001"/>
    <n v="2.885351"/>
    <n v="2.307518"/>
    <n v="6.3739567704682472"/>
    <n v="0.54306900000000002"/>
    <n v="1.992246"/>
    <n v="3.133632"/>
  </r>
  <r>
    <x v="12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300319999999998"/>
    <n v="0.27589900000000001"/>
    <n v="1.437119"/>
    <n v="2.0952760000000001"/>
    <n v="2.8658250000000001"/>
    <n v="2.2967240000000002"/>
    <n v="6.3167578737966732"/>
    <n v="0.53878300000000001"/>
    <n v="1.97526"/>
    <n v="3.124425"/>
  </r>
  <r>
    <x v="12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030450000000002"/>
    <n v="0.273835"/>
    <n v="1.434579"/>
    <n v="2.1117859999999999"/>
    <n v="2.9063050000000001"/>
    <n v="2.238464"/>
    <n v="6.2509061722066077"/>
    <n v="0.534497"/>
    <n v="1.9582740000000001"/>
    <n v="3.115218"/>
  </r>
  <r>
    <x v="12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7315"/>
    <n v="0.27240700000000001"/>
    <n v="1.413942"/>
    <n v="2.1260729999999999"/>
    <n v="2.9334500000000001"/>
    <n v="2.36673"/>
    <n v="6.2442968235562146"/>
    <n v="0.53021099999999999"/>
    <n v="1.9412879999999999"/>
    <n v="3.1060110000000001"/>
  </r>
  <r>
    <x v="12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90599999999999"/>
    <n v="0.27081899999999998"/>
    <n v="1.4179109999999999"/>
    <n v="2.1413120000000001"/>
    <n v="2.9548809999999999"/>
    <n v="2.3375210000000002"/>
    <n v="6.199367075968417"/>
    <n v="0.52592499999999998"/>
    <n v="1.924302"/>
    <n v="3.0968040000000001"/>
  </r>
  <r>
    <x v="12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0919999999999"/>
    <n v="0.26986700000000002"/>
    <n v="1.399497"/>
    <n v="2.176078"/>
    <n v="3.0096479999999999"/>
    <n v="2.2864049999999998"/>
    <n v="6.1203094970191136"/>
    <n v="0.52163899999999996"/>
    <n v="1.907316"/>
    <n v="3.0875970000000001"/>
  </r>
  <r>
    <x v="12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19149999999999"/>
    <n v="0.289551"/>
    <n v="1.3494919999999999"/>
    <n v="2.160679"/>
    <n v="2.99552"/>
    <n v="2.2605300000000002"/>
    <n v="6.115514926467772"/>
    <n v="0.51735299999999995"/>
    <n v="1.8903300000000001"/>
    <n v="3.0783900000000002"/>
  </r>
  <r>
    <x v="12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9510700000000001"/>
    <n v="1.345682"/>
    <n v="2.2065570000000001"/>
    <n v="3.0572710000000001"/>
    <n v="2.3243450000000001"/>
    <n v="6.0651288531730421"/>
    <n v="0.51306700000000005"/>
    <n v="1.8733439999999999"/>
    <n v="3.0691830000000002"/>
  </r>
  <r>
    <x v="12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82670000000001"/>
    <n v="0.29320200000000002"/>
    <n v="1.348063"/>
    <n v="2.2178270000000002"/>
    <n v="3.072352"/>
    <n v="2.30355"/>
    <n v="6.052151531876639"/>
    <n v="0.50878100000000004"/>
    <n v="1.856358"/>
    <n v="3.0599759999999998"/>
  </r>
  <r>
    <x v="13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8584"/>
    <n v="0.29161500000000001"/>
    <n v="1.3310770000000001"/>
    <n v="2.2311619999999999"/>
    <n v="3.0794959999999998"/>
    <n v="2.3325999999999998"/>
    <n v="6.0246174557906489"/>
    <n v="0.50449500000000003"/>
    <n v="1.839372"/>
    <n v="3.0507689999999998"/>
  </r>
  <r>
    <x v="13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96939999999999"/>
    <n v="0.29002699999999998"/>
    <n v="1.323299"/>
    <n v="2.2222719999999998"/>
    <n v="3.0655260000000002"/>
    <n v="2.3195830000000002"/>
    <n v="6.0140154344872476"/>
    <n v="0.50020900000000001"/>
    <n v="1.8223859999999901"/>
    <n v="3.0415619999999999"/>
  </r>
  <r>
    <x v="13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7469"/>
    <n v="0.28907500000000003"/>
    <n v="1.288375"/>
    <n v="2.2075089999999999"/>
    <n v="3.0428259999999998"/>
    <n v="2.3057720000000002"/>
    <n v="5.9801700398220747"/>
    <n v="0.495923"/>
    <n v="1.8053999999999999"/>
    <n v="3.0323549999999999"/>
  </r>
  <r>
    <x v="13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5088"/>
    <n v="0.28605900000000001"/>
    <n v="1.296154"/>
    <n v="2.2092550000000002"/>
    <n v="3.0433020000000002"/>
    <n v="2.3159320000000001"/>
    <n v="5.957366756222271"/>
    <n v="0.49163699999999999"/>
    <n v="1.7884139999999999"/>
    <n v="3.0231479999999999"/>
  </r>
  <r>
    <x v="13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22309999999999"/>
    <n v="0.28462999999999999"/>
    <n v="1.2920259999999999"/>
    <n v="2.2051280000000002"/>
    <n v="3.040286"/>
    <n v="2.3537129999999999"/>
    <n v="5.931608354379172"/>
    <n v="0.48735099999999998"/>
    <n v="1.771428"/>
    <n v="3.013941"/>
  </r>
  <r>
    <x v="13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4929"/>
    <n v="0.28240700000000002"/>
    <n v="1.2994870000000001"/>
    <n v="2.1808399999999999"/>
    <n v="3.0012340000000002"/>
    <n v="2.361809"/>
    <n v="7.6069913169426151"/>
    <n v="0.48306500000000002"/>
    <n v="1.7544420000000001"/>
    <n v="3.004734"/>
  </r>
  <r>
    <x v="13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668330000000001"/>
    <n v="0.28574100000000002"/>
    <n v="1.290915"/>
    <n v="2.1433759999999999"/>
    <n v="3.0005989999999998"/>
    <n v="2.5076960000000001"/>
    <n v="7.6257425458183015"/>
    <n v="0.47877900000000001"/>
    <n v="1.7374559999999899"/>
    <n v="2.9955270000000001"/>
  </r>
  <r>
    <x v="13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09600000000001"/>
    <n v="0.28383599999999998"/>
    <n v="1.2886930000000001"/>
    <n v="2.1527419999999999"/>
    <n v="3.0132989999999999"/>
    <n v="2.5175380000000001"/>
    <n v="7.960712243344747"/>
    <n v="0.474493"/>
    <n v="1.72046999999999"/>
    <n v="2.9863200000000001"/>
  </r>
  <r>
    <x v="13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11190000000001"/>
    <n v="0.281773"/>
    <n v="1.29155"/>
    <n v="2.1541709999999998"/>
    <n v="3.0226649999999999"/>
    <n v="2.5110299999999999"/>
    <n v="7.7452638800970606"/>
    <n v="0.47020699999999999"/>
    <n v="1.70348399999999"/>
    <n v="2.9771130000000001"/>
  </r>
  <r>
    <x v="13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2600000000001"/>
    <n v="0.28097899999999998"/>
    <n v="0.97787000000000002"/>
    <n v="2.1171829999999998"/>
    <n v="2.9885350000000002"/>
    <n v="2.504839"/>
    <n v="7.8047770055385444"/>
    <n v="0.46592099999999997"/>
    <n v="1.6864979999999901"/>
    <n v="2.9679060000000002"/>
  </r>
  <r>
    <x v="14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74449999999999"/>
    <n v="0.28066099999999999"/>
    <n v="0.93389699999999998"/>
    <n v="2.1046420000000001"/>
    <n v="2.962342"/>
    <n v="2.5435720000000002"/>
    <n v="7.9002189572416102"/>
    <n v="0.46163500000000002"/>
    <n v="1.6695119999999899"/>
    <n v="2.9586990000000002"/>
  </r>
  <r>
    <x v="14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14099999999999"/>
    <n v="0.278756"/>
    <n v="0.86087499999999995"/>
    <n v="2.1054360000000001"/>
    <n v="2.9678979999999999"/>
    <n v="2.5634160000000001"/>
    <n v="7.9011486152981432"/>
    <n v="0.45734900000000001"/>
    <n v="1.6525259999999899"/>
    <n v="2.9494919999999998"/>
  </r>
  <r>
    <x v="14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33179999999999"/>
    <n v="0.28526499999999999"/>
    <n v="0.89230600000000004"/>
    <n v="2.1275019999999998"/>
    <n v="2.981868"/>
    <n v="2.5437310000000002"/>
    <n v="7.8455948988846282"/>
    <n v="0.45306299999999999"/>
    <n v="1.63553999999999"/>
    <n v="2.9402849999999998"/>
  </r>
  <r>
    <x v="14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443"/>
    <n v="0.28383599999999998"/>
    <n v="0.88849599999999995"/>
    <n v="2.1395659999999999"/>
    <n v="3.0045679999999999"/>
    <n v="2.5621459999999998"/>
    <n v="7.9272340695504981"/>
    <n v="0.44877699999999998"/>
    <n v="1.6185539999999901"/>
    <n v="2.9310779999999999"/>
  </r>
  <r>
    <x v="14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3002"/>
    <n v="0.283995"/>
    <n v="0.89452900000000002"/>
    <n v="2.1643300000000001"/>
    <n v="3.045207"/>
    <n v="2.5640510000000001"/>
    <n v="7.9129805876108055"/>
    <n v="0.44449100000000002"/>
    <n v="1.6015679999999901"/>
    <n v="2.9218709999999999"/>
  </r>
  <r>
    <x v="14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3952"/>
    <n v="0.28462999999999999"/>
    <n v="0.88516300000000003"/>
    <n v="2.1276600000000001"/>
    <n v="2.9934560000000001"/>
    <n v="2.545477"/>
    <n v="7.7693925528861989"/>
    <n v="0.44020499999999901"/>
    <n v="1.5845819999999899"/>
    <n v="2.9126639999999999"/>
  </r>
  <r>
    <x v="14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90330000000001"/>
    <n v="0.285582"/>
    <n v="0.92246799999999995"/>
    <n v="2.0976569999999999"/>
    <n v="2.9510710000000002"/>
    <n v="2.522459"/>
    <n v="7.6338603323537493"/>
    <n v="0.435918999999999"/>
    <n v="1.56759599999999"/>
    <n v="2.903457"/>
  </r>
  <r>
    <x v="14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9999999999999"/>
    <n v="0.28320099999999998"/>
    <n v="0.91961000000000004"/>
    <n v="2.0832120000000001"/>
    <n v="2.9282119999999998"/>
    <n v="2.5030920000000001"/>
    <n v="7.7120369341446429"/>
    <n v="0.43163299999999899"/>
    <n v="1.5506099999999901"/>
    <n v="2.89425"/>
  </r>
  <r>
    <x v="14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2995"/>
    <n v="0.27955000000000002"/>
    <n v="0.79785300000000003"/>
    <n v="2.0909900000000001"/>
    <n v="2.9402759999999999"/>
    <n v="2.5123000000000002"/>
    <n v="7.6652846386393447"/>
    <n v="0.42734699999999898"/>
    <n v="1.5336239999999901"/>
    <n v="2.885043"/>
  </r>
  <r>
    <x v="14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916"/>
    <n v="0.27955000000000002"/>
    <n v="0.79086800000000002"/>
    <n v="2.1243270000000001"/>
    <n v="3.0058379999999998"/>
    <n v="2.435308"/>
    <n v="7.6912823241105759"/>
    <n v="0.42306099999999902"/>
    <n v="1.5166379999999899"/>
    <n v="2.8758360000000001"/>
  </r>
  <r>
    <x v="15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52280000000001"/>
    <n v="0.33368199999999998"/>
    <n v="0.78896299999999997"/>
    <n v="2.2335430000000001"/>
    <n v="3.2063329999999999"/>
    <n v="2.5019809999999998"/>
    <n v="7.5548637393167031"/>
    <n v="0.41877499999999901"/>
    <n v="1.49965199999999"/>
    <n v="2.8666290000000001"/>
  </r>
  <r>
    <x v="15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7601"/>
    <n v="0.33400000000000002"/>
    <n v="0.68085799999999996"/>
    <n v="2.1852849999999999"/>
    <n v="3.1564869999999998"/>
    <n v="2.4945200000000001"/>
    <n v="7.5573549246942049"/>
    <n v="0.414488999999999"/>
    <n v="1.48266599999999"/>
    <n v="2.8574220000000001"/>
  </r>
  <r>
    <x v="15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6963"/>
    <n v="0.34606399999999998"/>
    <n v="0.67974599999999996"/>
    <n v="2.1498849999999998"/>
    <n v="3.1123560000000001"/>
    <n v="2.4870589999999999"/>
    <n v="7.5672671981121598"/>
    <n v="0.41020299999999899"/>
    <n v="1.4656799999999901"/>
    <n v="2.8482150000000002"/>
  </r>
  <r>
    <x v="15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366429999999999"/>
    <n v="0.34908"/>
    <n v="0.682921"/>
    <n v="2.124962"/>
    <n v="3.1039430000000001"/>
    <n v="2.4341970000000002"/>
    <n v="7.7653740971011427"/>
    <n v="0.40591699999999897"/>
    <n v="1.4486939999999899"/>
    <n v="2.8390080000000002"/>
  </r>
  <r>
    <x v="15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777579999999999"/>
    <n v="0.34765200000000002"/>
    <n v="0.69816100000000003"/>
    <n v="2.1811569999999998"/>
    <n v="3.2015709999999999"/>
    <n v="2.4622950000000001"/>
    <n v="8.053783222655392"/>
    <n v="0.40163099999999902"/>
    <n v="1.43170799999999"/>
    <n v="2.8298009999999998"/>
  </r>
  <r>
    <x v="15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666"/>
    <n v="0.34860400000000002"/>
    <n v="0.70832099999999998"/>
    <n v="2.239258"/>
    <n v="3.2704659999999999"/>
    <n v="2.4305460000000001"/>
    <n v="7.9427921429789734"/>
    <n v="0.397344999999999"/>
    <n v="1.41472199999999"/>
    <n v="2.8205939999999998"/>
  </r>
  <r>
    <x v="15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2070000000001"/>
    <n v="0.346858"/>
    <n v="0.71070199999999994"/>
    <n v="2.243862"/>
    <n v="3.2669739999999998"/>
    <n v="2.482297"/>
    <n v="8.2433568804668056"/>
    <n v="0.39305899999999899"/>
    <n v="1.3977359999999901"/>
    <n v="2.8113869999999999"/>
  </r>
  <r>
    <x v="15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189"/>
    <n v="0.34511199999999997"/>
    <n v="0.712924"/>
    <n v="2.253228"/>
    <n v="3.2899919999999998"/>
    <n v="2.468486"/>
    <n v="8.1190776287659467"/>
    <n v="0.38877299999999898"/>
    <n v="1.3807499999999899"/>
    <n v="2.8021799999999999"/>
  </r>
  <r>
    <x v="15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82400000000001"/>
    <n v="0.34114299999999997"/>
    <n v="0.71578200000000003"/>
    <n v="2.2587839999999999"/>
    <n v="3.3076120000000002"/>
    <n v="2.5111880000000002"/>
    <n v="8.0690069440459649"/>
    <n v="0.38448699999999902"/>
    <n v="1.36376399999999"/>
    <n v="2.7929729999999999"/>
  </r>
  <r>
    <x v="15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60209999999999"/>
    <n v="0.340667"/>
    <n v="0.73197400000000001"/>
    <n v="2.2952949999999999"/>
    <n v="3.3596810000000001"/>
    <n v="2.5659550000000002"/>
    <n v="8.3782527845144621"/>
    <n v="0.38020099999999901"/>
    <n v="1.34677799999999"/>
    <n v="2.783766"/>
  </r>
  <r>
    <x v="16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3005"/>
    <n v="0.33828599999999998"/>
    <n v="0.73197400000000001"/>
    <n v="2.289898"/>
    <n v="3.3503150000000002"/>
    <n v="2.5613519999999999"/>
    <n v="8.3473488693364057"/>
    <n v="0.375914999999999"/>
    <n v="1.3297919999999901"/>
    <n v="2.774559"/>
  </r>
  <r>
    <x v="16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6657"/>
    <n v="0.342254"/>
    <n v="0.73229100000000003"/>
    <n v="2.2959299999999998"/>
    <n v="3.3434889999999999"/>
    <n v="2.5792899999999999"/>
    <n v="8.3473488693364057"/>
    <n v="0.37162899999999899"/>
    <n v="1.3128059999999899"/>
    <n v="2.765352"/>
  </r>
  <r>
    <x v="16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18969999999999"/>
    <n v="0.33987299999999998"/>
    <n v="0.73435499999999998"/>
    <n v="2.3140269999999998"/>
    <n v="3.3661889999999999"/>
    <n v="2.5764330000000002"/>
    <n v="8.428614653581203"/>
    <n v="0.36734299999999898"/>
    <n v="1.29581999999999"/>
    <n v="2.7561450000000001"/>
  </r>
  <r>
    <x v="16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42780000000001"/>
    <n v="0.33638099999999999"/>
    <n v="0.73530700000000004"/>
    <n v="2.3060900000000002"/>
    <n v="3.3534899999999999"/>
    <n v="2.5937359999999998"/>
    <n v="8.4402237980497006"/>
    <n v="0.36305699999999902"/>
    <n v="1.27883399999999"/>
    <n v="2.7469380000000001"/>
  </r>
  <r>
    <x v="16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8950000000001"/>
    <n v="0.33511099999999999"/>
    <n v="0.73086200000000001"/>
    <n v="2.274499"/>
    <n v="3.2730060000000001"/>
    <n v="2.6083400000000001"/>
    <n v="8.4355138205479161"/>
    <n v="0.35877099999999901"/>
    <n v="1.2618479999999901"/>
    <n v="2.7377310000000001"/>
  </r>
  <r>
    <x v="16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8244"/>
    <n v="0.33273000000000003"/>
    <n v="0.73260899999999995"/>
    <n v="2.262276"/>
    <n v="3.2509399999999999"/>
    <n v="2.601197"/>
    <n v="8.3349283088163464"/>
    <n v="0.354484999999999"/>
    <n v="1.2448619999999899"/>
    <n v="2.7285240000000002"/>
  </r>
  <r>
    <x v="16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58609999999999"/>
    <n v="0.33145999999999998"/>
    <n v="0.72324299999999997"/>
    <n v="2.2379880000000001"/>
    <n v="3.219033"/>
    <n v="2.5648439999999999"/>
    <n v="8.2028768821223697"/>
    <n v="0.35019899999999898"/>
    <n v="1.22787599999999"/>
    <n v="2.7193170000000002"/>
  </r>
  <r>
    <x v="16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698300000000001"/>
    <n v="0.329237"/>
    <n v="0.72975100000000004"/>
    <n v="2.2497349999999998"/>
    <n v="3.2318910000000001"/>
    <n v="2.5870690000000001"/>
    <n v="8.2126407098167906"/>
    <n v="0.34591299999999903"/>
    <n v="1.21088999999999"/>
    <n v="2.7101099999999998"/>
  </r>
  <r>
    <x v="16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4273"/>
    <n v="0.32622099999999998"/>
    <n v="0.72355999999999998"/>
    <n v="2.234178"/>
    <n v="3.2112539999999998"/>
    <n v="2.5615109999999999"/>
    <n v="8.1239165341947146"/>
    <n v="0.34162699999999901"/>
    <n v="1.1939039999999901"/>
    <n v="2.7009029999999998"/>
  </r>
  <r>
    <x v="16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85580000000001"/>
    <n v="0.32161800000000001"/>
    <n v="0.72228999999999999"/>
    <n v="2.2152880000000001"/>
    <n v="3.173473"/>
    <n v="2.5626220000000002"/>
    <n v="8.1381943213218371"/>
    <n v="0.337340999999999"/>
    <n v="1.1769179999999899"/>
    <n v="2.6916959999999999"/>
  </r>
  <r>
    <x v="17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3954"/>
    <n v="0.31971300000000002"/>
    <n v="0.71832099999999999"/>
    <n v="2.1963970000000002"/>
    <n v="3.1493440000000001"/>
    <n v="2.532778"/>
    <n v="7.7874708578690157"/>
    <n v="0.33305499999999899"/>
    <n v="1.15993199999999"/>
    <n v="2.6824889999999999"/>
  </r>
  <r>
    <x v="17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8238"/>
    <n v="0.31828400000000001"/>
    <n v="0.71641699999999997"/>
    <n v="2.1768709999999998"/>
    <n v="3.1098159999999999"/>
    <n v="2.477217"/>
    <n v="8.0872545533716451"/>
    <n v="0.32876899999999898"/>
    <n v="1.14294599999999"/>
    <n v="2.6732819999999999"/>
  </r>
  <r>
    <x v="17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031"/>
    <n v="0.36479600000000001"/>
    <n v="0.68609600000000004"/>
    <n v="2.165124"/>
    <n v="3.0950530000000001"/>
    <n v="2.4662639999999998"/>
    <n v="8.0511737429014563"/>
    <n v="0.32448299999999902"/>
    <n v="1.1259599999999901"/>
    <n v="2.664075"/>
  </r>
  <r>
    <x v="17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74430000000001"/>
    <n v="0.366701"/>
    <n v="0.68387399999999998"/>
    <n v="2.1581389999999998"/>
    <n v="3.0790199999999999"/>
    <n v="2.4586440000000001"/>
    <n v="7.8824401661900172"/>
    <n v="0.72244900000000001"/>
    <n v="2.0825770000000001"/>
    <n v="2.9572620000000001"/>
  </r>
  <r>
    <x v="17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2810000000001"/>
    <n v="0.36527199999999999"/>
    <n v="0.67260299999999995"/>
    <n v="2.1208339999999999"/>
    <n v="3.0390160000000002"/>
    <n v="2.398479"/>
    <n v="7.7238496566245347"/>
    <n v="0.72244900000000001"/>
    <n v="2.0825770000000001"/>
    <n v="2.9572620000000001"/>
  </r>
  <r>
    <x v="17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0771"/>
    <n v="0.36511399999999999"/>
    <n v="0.64402899999999996"/>
    <n v="2.1035309999999998"/>
    <n v="3.0093299999999998"/>
    <n v="2.3435540000000001"/>
    <n v="7.8403702341596615"/>
    <n v="0.72244900000000001"/>
    <n v="2.0825770000000001"/>
    <n v="2.9572620000000001"/>
  </r>
  <r>
    <x v="17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0137"/>
    <n v="0.42908800000000002"/>
    <n v="0.66974500000000003"/>
    <n v="2.111151"/>
    <n v="3.0142519999999999"/>
    <n v="2.3089469999999999"/>
    <n v="7.875516067774603"/>
    <n v="0.72244900000000001"/>
    <n v="2.0825770000000001"/>
    <n v="2.9572620000000001"/>
  </r>
  <r>
    <x v="17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3948"/>
    <n v="0.430199"/>
    <n v="0.67879400000000001"/>
    <n v="2.1313110000000002"/>
    <n v="3.0461589999999998"/>
    <n v="2.3273619999999999"/>
    <n v="7.6493599219594826"/>
    <n v="0.72244900000000001"/>
    <n v="2.0825770000000001"/>
    <n v="2.9572620000000001"/>
  </r>
  <r>
    <x v="17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99800000000001"/>
    <n v="0.42543700000000001"/>
    <n v="0.68212799999999996"/>
    <n v="2.1316290000000002"/>
    <n v="3.0434610000000002"/>
    <n v="2.3500619999999999"/>
    <n v="7.5656010524404662"/>
    <n v="0.72244900000000001"/>
    <n v="2.0825770000000001"/>
    <n v="2.9572620000000001"/>
  </r>
  <r>
    <x v="17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69639999999999"/>
    <n v="0.42289700000000002"/>
    <n v="0.68339799999999995"/>
    <n v="2.1209929999999999"/>
    <n v="3.0340950000000002"/>
    <n v="2.3687939999999998"/>
    <n v="7.5606850319327989"/>
    <n v="0.72244900000000001"/>
    <n v="2.0825770000000001"/>
    <n v="2.9572620000000001"/>
  </r>
  <r>
    <x v="18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4250000000001"/>
    <n v="0.42226200000000003"/>
    <n v="0.68276300000000001"/>
    <n v="2.120676"/>
    <n v="3.0377459999999998"/>
    <n v="2.4837259999999999"/>
    <n v="7.6150929838996966"/>
    <n v="0.72244900000000001"/>
    <n v="2.0825770000000001"/>
    <n v="2.9572620000000001"/>
  </r>
  <r>
    <x v="18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1255"/>
    <n v="0.43035800000000002"/>
    <n v="0.70419299999999996"/>
    <n v="2.115278"/>
    <n v="3.0283799999999998"/>
    <n v="2.482297"/>
    <n v="7.7869553859326883"/>
    <n v="0.72244900000000001"/>
    <n v="2.0825770000000001"/>
    <n v="2.9572620000000001"/>
  </r>
  <r>
    <x v="18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945850000000001"/>
    <n v="0.42781799999999998"/>
    <n v="0.70990799999999998"/>
    <n v="2.1100400000000001"/>
    <n v="3.0158390000000002"/>
    <n v="2.4524530000000002"/>
    <n v="7.7462438944674306"/>
    <n v="0.72244900000000001"/>
    <n v="2.0825770000000001"/>
    <n v="2.9572620000000001"/>
  </r>
  <r>
    <x v="18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108"/>
    <n v="0.423373"/>
    <n v="0.70705099999999999"/>
    <n v="2.0987689999999999"/>
    <n v="3.0182199999999999"/>
    <n v="2.4327679999999998"/>
    <n v="7.8567296906895754"/>
    <n v="0.72244900000000001"/>
    <n v="2.0825770000000001"/>
    <n v="2.9572620000000001"/>
  </r>
  <r>
    <x v="18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71210000000001"/>
    <n v="0.420516"/>
    <n v="0.66672900000000002"/>
    <n v="2.09226"/>
    <n v="3.026475"/>
    <n v="2.4146709999999998"/>
    <n v="7.7604907954485469"/>
    <n v="0.72244900000000001"/>
    <n v="2.0825770000000001"/>
    <n v="2.9572620000000001"/>
  </r>
  <r>
    <x v="18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60090000000001"/>
    <n v="0.423373"/>
    <n v="0.66149100000000005"/>
    <n v="2.0814650000000001"/>
    <n v="3.0045679999999999"/>
    <n v="2.3914949999999999"/>
    <n v="7.6180757161974535"/>
    <n v="0.72244900000000001"/>
    <n v="2.0825770000000001"/>
    <n v="2.9572620000000001"/>
  </r>
  <r>
    <x v="18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4449999999999"/>
    <n v="0.420516"/>
    <n v="0.74070499999999995"/>
    <n v="2.1217869999999999"/>
    <n v="3.0213950000000001"/>
    <n v="2.3892720000000001"/>
    <n v="7.736903412557635"/>
    <n v="0.72244900000000001"/>
    <n v="2.0825770000000001"/>
    <n v="2.9572620000000001"/>
  </r>
  <r>
    <x v="18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067"/>
    <n v="0.41892800000000002"/>
    <n v="0.72784599999999999"/>
    <n v="2.105912"/>
    <n v="3.1034660000000001"/>
    <n v="2.4054639999999998"/>
    <n v="7.5369544957843448"/>
    <n v="0.72244900000000001"/>
    <n v="2.0825770000000001"/>
    <n v="2.9572620000000001"/>
  </r>
  <r>
    <x v="18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5110000000001"/>
    <n v="0.42654799999999998"/>
    <n v="0.72879899999999997"/>
    <n v="2.0936889999999999"/>
    <n v="3.0837819999999998"/>
    <n v="2.3946700000000001"/>
    <n v="7.4799435832432337"/>
    <n v="0.72244900000000001"/>
    <n v="2.0825770000000001"/>
    <n v="2.9572620000000001"/>
  </r>
  <r>
    <x v="18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6869999999999"/>
    <n v="0.427342"/>
    <n v="0.73308499999999999"/>
    <n v="2.0997210000000002"/>
    <n v="3.0891790000000001"/>
    <n v="2.4200689999999998"/>
    <n v="7.4882306206946572"/>
    <n v="0.72244900000000001"/>
    <n v="2.0825770000000001"/>
    <n v="2.9572620000000001"/>
  </r>
  <r>
    <x v="19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57030000000001"/>
    <n v="0.280503"/>
    <n v="0.73419599999999996"/>
    <n v="2.1086109999999998"/>
    <n v="3.1025140000000002"/>
    <n v="2.42753"/>
    <n v="7.5116527187066389"/>
    <n v="0.72244900000000001"/>
    <n v="2.0825770000000001"/>
    <n v="2.9572620000000001"/>
  </r>
  <r>
    <x v="19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192"/>
    <n v="0.278756"/>
    <n v="0.745784"/>
    <n v="2.2054450000000001"/>
    <n v="3.2444320000000002"/>
    <n v="2.4919799999999999"/>
    <n v="7.7620847372948614"/>
    <n v="0.72244900000000001"/>
    <n v="2.0825770000000001"/>
    <n v="2.9572620000000001"/>
  </r>
  <r>
    <x v="19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93599999999999"/>
    <n v="0.27986800000000001"/>
    <n v="0.76229400000000003"/>
    <n v="2.2348129999999999"/>
    <n v="3.268561"/>
    <n v="2.5038860000000001"/>
    <n v="7.6336438946712759"/>
    <n v="0.72244900000000001"/>
    <n v="2.0825770000000001"/>
    <n v="2.9572620000000001"/>
  </r>
  <r>
    <x v="19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0631"/>
    <n v="0.31526799999999999"/>
    <n v="0.74768900000000005"/>
    <n v="2.2867229999999998"/>
    <n v="3.3223760000000002"/>
    <n v="2.5105529999999998"/>
    <n v="7.6746509238449159"/>
    <n v="0.72244900000000001"/>
    <n v="2.0825770000000001"/>
    <n v="2.9572620000000001"/>
  </r>
  <r>
    <x v="19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82490000000001"/>
    <n v="0.31907799999999997"/>
    <n v="0.74340300000000004"/>
    <n v="2.2714829999999999"/>
    <n v="3.3698410000000001"/>
    <n v="2.495949"/>
    <n v="7.710956385664991"/>
    <n v="0.72244900000000001"/>
    <n v="2.0825770000000001"/>
    <n v="2.9572620000000001"/>
  </r>
  <r>
    <x v="19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33279999999999"/>
    <n v="0.31669599999999998"/>
    <n v="0.74276799999999998"/>
    <n v="2.2651340000000002"/>
    <n v="3.351426"/>
    <n v="2.491028"/>
    <n v="7.5149403048974701"/>
    <n v="0.72244900000000001"/>
    <n v="2.0825770000000001"/>
    <n v="2.9572620000000001"/>
  </r>
  <r>
    <x v="19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7613"/>
    <n v="0.31193399999999999"/>
    <n v="0.73768800000000001"/>
    <n v="2.2359239999999998"/>
    <n v="3.3149150000000001"/>
    <n v="2.50468"/>
    <n v="7.5782370099457168"/>
    <n v="0.72244900000000001"/>
    <n v="2.0825770000000001"/>
    <n v="2.9572620000000001"/>
  </r>
  <r>
    <x v="19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79319999999999"/>
    <n v="0.323681"/>
    <n v="0.73959299999999994"/>
    <n v="2.2490999999999999"/>
    <n v="3.3253919999999999"/>
    <n v="2.508807"/>
    <n v="7.5738113429114016"/>
    <n v="0.72244900000000001"/>
    <n v="2.0825770000000001"/>
    <n v="2.9572620000000001"/>
  </r>
  <r>
    <x v="19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3930000000001"/>
    <n v="0.32177600000000001"/>
    <n v="0.73880000000000001"/>
    <n v="2.253069"/>
    <n v="3.3309479999999998"/>
    <n v="2.51484"/>
    <n v="7.5679862011697239"/>
    <n v="0.72244900000000001"/>
    <n v="2.0825770000000001"/>
    <n v="2.9572620000000001"/>
  </r>
  <r>
    <x v="19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36470000000001"/>
    <n v="0.319554"/>
    <n v="0.79277299999999995"/>
    <n v="2.2295750000000001"/>
    <n v="3.2849119999999998"/>
    <n v="2.5407150000000001"/>
    <n v="7.6907795738826747"/>
    <n v="0.72244900000000001"/>
    <n v="2.0825770000000001"/>
    <n v="2.9572620000000001"/>
  </r>
  <r>
    <x v="20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12659999999999"/>
    <n v="0.26986700000000002"/>
    <n v="0.78896299999999997"/>
    <n v="2.2270349999999999"/>
    <n v="3.2668149999999998"/>
    <n v="2.5354760000000001"/>
    <n v="7.5878144367412306"/>
    <n v="0.72244900000000001"/>
    <n v="2.0825770000000001"/>
    <n v="2.9572620000000001"/>
  </r>
  <r>
    <x v="20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22190000000001"/>
    <n v="0.27955000000000002"/>
    <n v="0.79023299999999996"/>
    <n v="2.2225899999999998"/>
    <n v="3.2609409999999999"/>
    <n v="2.5099179999999999"/>
    <n v="7.5492116488963852"/>
    <n v="0.72244900000000001"/>
    <n v="2.0825770000000001"/>
    <n v="2.9572620000000001"/>
  </r>
  <r>
    <x v="20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7859800000000001"/>
    <n v="0.781026"/>
    <n v="2.1733790000000002"/>
    <n v="3.1825209999999999"/>
    <n v="2.458485"/>
    <n v="7.6142028050476833"/>
    <n v="0.72244900000000001"/>
    <n v="2.0825770000000001"/>
    <n v="2.9572620000000001"/>
  </r>
  <r>
    <x v="20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2340000000001"/>
    <n v="0.27748600000000001"/>
    <n v="0.79039199999999998"/>
    <n v="2.1871900000000002"/>
    <n v="3.186172"/>
    <n v="2.45404"/>
    <n v="7.4612397808837612"/>
    <n v="0.72244900000000001"/>
    <n v="2.0825770000000001"/>
    <n v="2.9572620000000001"/>
  </r>
  <r>
    <x v="20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8320099999999998"/>
    <n v="0.78213699999999997"/>
    <n v="2.1636950000000001"/>
    <n v="3.181886"/>
    <n v="2.4227669999999999"/>
    <n v="7.3550501132065014"/>
    <n v="0.72244900000000001"/>
    <n v="2.0825770000000001"/>
    <n v="2.9572620000000001"/>
  </r>
  <r>
    <x v="20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1209999999999"/>
    <n v="0.282725"/>
    <n v="0.78293100000000004"/>
    <n v="2.1559170000000001"/>
    <n v="3.1696629999999999"/>
    <n v="2.4287999999999998"/>
    <n v="7.3879407693735448"/>
    <n v="0.72244900000000001"/>
    <n v="2.0825770000000001"/>
    <n v="2.9572620000000001"/>
  </r>
  <r>
    <x v="20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39619999999999"/>
    <n v="0.28288400000000002"/>
    <n v="0.78531200000000001"/>
    <n v="2.1508370000000001"/>
    <n v="3.163948"/>
    <n v="2.4314979999999999"/>
    <n v="7.3907406487136127"/>
    <n v="0.72244900000000001"/>
    <n v="2.0825770000000001"/>
    <n v="2.9572620000000001"/>
  </r>
  <r>
    <x v="20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14219999999999"/>
    <n v="0.28240700000000002"/>
    <n v="0.78674100000000002"/>
    <n v="2.1433759999999999"/>
    <n v="3.1561699999999999"/>
    <n v="2.4291170000000002"/>
    <n v="7.5157331104145619"/>
    <n v="0.72244900000000001"/>
    <n v="2.0825770000000001"/>
    <n v="2.9572620000000001"/>
  </r>
  <r>
    <x v="20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6026"/>
    <n v="0.28812199999999999"/>
    <n v="0.78467699999999996"/>
    <n v="2.1473450000000001"/>
    <n v="3.1536300000000002"/>
    <n v="2.5062669999999998"/>
    <n v="7.4729489969470579"/>
    <n v="0.72244900000000001"/>
    <n v="2.0825770000000001"/>
    <n v="2.9572620000000001"/>
  </r>
  <r>
    <x v="20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193"/>
    <n v="0.28701100000000002"/>
    <n v="0.76753199999999999"/>
    <n v="2.041779"/>
    <n v="3.0172680000000001"/>
    <n v="2.5103949999999999"/>
    <n v="7.5603074252607287"/>
    <n v="0.72244900000000001"/>
    <n v="2.0825770000000001"/>
    <n v="2.9572620000000001"/>
  </r>
  <r>
    <x v="21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935"/>
    <n v="0.28653499999999998"/>
    <n v="0.76642100000000002"/>
    <n v="2.0135230000000002"/>
    <n v="2.9832960000000002"/>
    <n v="2.4716610000000001"/>
    <n v="7.3996720305470642"/>
    <n v="0.72244900000000001"/>
    <n v="2.0825770000000001"/>
    <n v="2.9572620000000001"/>
  </r>
  <r>
    <x v="21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2859999999999"/>
    <n v="0.28828100000000001"/>
    <n v="0.76292899999999997"/>
    <n v="2.009395"/>
    <n v="2.9923449999999998"/>
    <n v="2.4753120000000002"/>
    <n v="7.2667092049025355"/>
    <n v="0.72244900000000001"/>
    <n v="2.0825770000000001"/>
    <n v="2.9572620000000001"/>
  </r>
  <r>
    <x v="21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4905"/>
    <n v="0.28748699999999999"/>
    <n v="0.761818"/>
    <n v="2.0081250000000002"/>
    <n v="2.9966309999999998"/>
    <n v="2.4921389999999999"/>
    <n v="7.3458986907870356"/>
    <n v="0.72244900000000001"/>
    <n v="2.0825770000000001"/>
    <n v="2.9572620000000001"/>
  </r>
  <r>
    <x v="21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524"/>
    <n v="0.286694"/>
    <n v="0.76213500000000001"/>
    <n v="2.0020929999999999"/>
    <n v="2.9871059999999998"/>
    <n v="2.4724550000000001"/>
    <n v="7.4330167413059387"/>
    <n v="0.72244900000000001"/>
    <n v="2.0825770000000001"/>
    <n v="2.9572620000000001"/>
  </r>
  <r>
    <x v="21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9999999999999"/>
    <n v="0.28716999999999998"/>
    <n v="0.76276999999999995"/>
    <n v="1.993679"/>
    <n v="2.9705970000000002"/>
    <n v="2.4667400000000002"/>
    <n v="7.37193651579486"/>
    <n v="0.72244900000000001"/>
    <n v="2.0825770000000001"/>
    <n v="2.9572620000000001"/>
  </r>
  <r>
    <x v="21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901"/>
    <n v="0.32034800000000002"/>
    <n v="0.76880199999999999"/>
    <n v="1.937484"/>
    <n v="2.8901129999999999"/>
    <n v="2.439594"/>
    <n v="7.2639666361435697"/>
    <n v="0.72244900000000001"/>
    <n v="2.0825770000000001"/>
    <n v="2.9572620000000001"/>
  </r>
  <r>
    <x v="21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2677"/>
    <n v="0.25192799999999999"/>
    <n v="0.747054"/>
    <n v="1.9179580000000001"/>
    <n v="2.8875730000000002"/>
    <n v="2.4278469999999999"/>
    <n v="7.2360939419953265"/>
    <n v="0.72244900000000001"/>
    <n v="2.0825770000000001"/>
    <n v="2.9572620000000001"/>
  </r>
  <r>
    <x v="21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4264"/>
    <n v="0.24970600000000001"/>
    <n v="0.73832299999999995"/>
    <n v="1.903195"/>
    <n v="2.8615390000000001"/>
    <n v="2.4241959999999998"/>
    <n v="7.2360939419953265"/>
    <n v="0.72244900000000001"/>
    <n v="2.0825770000000001"/>
    <n v="2.9572620000000001"/>
  </r>
  <r>
    <x v="21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5533"/>
    <n v="0.249389"/>
    <n v="0.73387800000000003"/>
    <n v="1.8882730000000001"/>
    <n v="2.844236"/>
    <n v="2.4135599999999999"/>
    <n v="7.218014994811254"/>
    <n v="0.72244900000000001"/>
    <n v="2.0825770000000001"/>
    <n v="2.9572620000000001"/>
  </r>
  <r>
    <x v="21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8391"/>
    <n v="0.24811900000000001"/>
    <n v="0.737371"/>
    <n v="1.908433"/>
    <n v="2.862333"/>
    <n v="2.4468969999999999"/>
    <n v="7.2498854550893199"/>
    <n v="0.72244900000000001"/>
    <n v="2.0825770000000001"/>
    <n v="2.9572620000000001"/>
  </r>
  <r>
    <x v="22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8082"/>
    <n v="0.24970600000000001"/>
    <n v="0.748166"/>
    <n v="2.15306"/>
    <n v="3.2357010000000002"/>
    <n v="2.5015049999999999"/>
    <n v="7.5101422797740049"/>
    <n v="0.72244900000000001"/>
    <n v="2.0825770000000001"/>
    <n v="2.9572620000000001"/>
  </r>
  <r>
    <x v="22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5279999999999"/>
    <n v="0.24954699999999999"/>
    <n v="0.75387999999999999"/>
    <n v="2.1746490000000001"/>
    <n v="3.2655449999999999"/>
    <n v="2.509125"/>
    <n v="7.476463984947844"/>
    <n v="0.72244900000000001"/>
    <n v="2.0825770000000001"/>
    <n v="2.9572620000000001"/>
  </r>
  <r>
    <x v="22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49060000000001"/>
    <n v="0.249389"/>
    <n v="0.74721300000000002"/>
    <n v="2.176078"/>
    <n v="3.3646020000000001"/>
    <n v="2.5202369999999998"/>
    <n v="7.7199642726871973"/>
    <n v="0.72244900000000001"/>
    <n v="2.0825770000000001"/>
    <n v="2.9572620000000001"/>
  </r>
  <r>
    <x v="22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9034"/>
    <n v="0.25208700000000001"/>
    <n v="0.74800699999999998"/>
    <n v="2.1943329999999999"/>
    <n v="3.3998430000000002"/>
    <n v="2.4927739999999998"/>
    <n v="7.9834134312447098"/>
    <n v="0.72244900000000001"/>
    <n v="2.0825770000000001"/>
    <n v="2.9572620000000001"/>
  </r>
  <r>
    <x v="22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63340000000001"/>
    <n v="0.252722"/>
    <n v="0.74102199999999996"/>
    <n v="2.176078"/>
    <n v="3.3822230000000002"/>
    <n v="2.541032"/>
    <n v="7.6633581542069136"/>
    <n v="0.72244900000000001"/>
    <n v="2.0825770000000001"/>
    <n v="2.9572620000000001"/>
  </r>
  <r>
    <x v="22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7019999999999"/>
    <n v="0.29685299999999998"/>
    <n v="0.77483500000000005"/>
    <n v="2.1813159999999998"/>
    <n v="3.3988909999999999"/>
    <n v="2.5300790000000002"/>
    <n v="7.7396537912346748"/>
    <n v="0.72244900000000001"/>
    <n v="2.0825770000000001"/>
    <n v="2.9572620000000001"/>
  </r>
  <r>
    <x v="22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5429999999999"/>
    <n v="0.31304500000000002"/>
    <n v="0.77927999999999997"/>
    <n v="2.1706799999999999"/>
    <n v="3.393494"/>
    <n v="2.5299200000000002"/>
    <n v="7.8514837782128266"/>
    <n v="0.72244900000000001"/>
    <n v="2.0825770000000001"/>
    <n v="2.9572620000000001"/>
  </r>
  <r>
    <x v="22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75545"/>
    <n v="0.31272800000000001"/>
    <n v="0.82769700000000002"/>
    <n v="2.1906819999999998"/>
    <n v="3.4101620000000001"/>
    <n v="2.5170620000000001"/>
    <n v="7.6337609334881478"/>
    <n v="0.72244900000000001"/>
    <n v="2.0825770000000001"/>
    <n v="2.9572620000000001"/>
  </r>
  <r>
    <x v="22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7607"/>
    <n v="0.31161699999999998"/>
    <n v="0.82499800000000001"/>
    <n v="2.1779820000000001"/>
    <n v="3.38381"/>
    <n v="2.4791219999999998"/>
    <n v="7.7858204896628074"/>
    <n v="0.72244900000000001"/>
    <n v="2.0825770000000001"/>
    <n v="2.9572620000000001"/>
  </r>
  <r>
    <x v="22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98289999999999"/>
    <n v="0.31193399999999999"/>
    <n v="0.82531600000000005"/>
    <n v="2.174331"/>
    <n v="3.3823810000000001"/>
    <n v="2.5438900000000002"/>
    <n v="7.7950422803451245"/>
    <n v="0.72244900000000001"/>
    <n v="2.0825770000000001"/>
    <n v="2.9572620000000001"/>
  </r>
  <r>
    <x v="23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39559999999999"/>
    <n v="0.31050499999999998"/>
    <n v="0.82309299999999996"/>
    <n v="2.166553"/>
    <n v="3.3676179999999998"/>
    <n v="2.518014"/>
    <n v="7.7285303638665628"/>
    <n v="0.72244900000000001"/>
    <n v="2.0825770000000001"/>
    <n v="2.9572620000000001"/>
  </r>
  <r>
    <x v="23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47489999999999"/>
    <n v="0.310664"/>
    <n v="0.82198199999999999"/>
    <n v="2.1575039999999999"/>
    <n v="3.3550770000000001"/>
    <n v="2.513252"/>
    <n v="7.8137241446036523"/>
    <n v="0.72244900000000001"/>
    <n v="2.0825770000000001"/>
    <n v="2.9572620000000001"/>
  </r>
  <r>
    <x v="23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88770000000001"/>
    <n v="0.31114000000000003"/>
    <n v="0.82563299999999995"/>
    <n v="2.1719499999999998"/>
    <n v="3.3625379999999998"/>
    <n v="2.5283329999999999"/>
    <n v="7.6378470460606467"/>
    <n v="0.72244900000000001"/>
    <n v="2.0825770000000001"/>
    <n v="2.9572620000000001"/>
  </r>
  <r>
    <x v="23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36369999999999"/>
    <n v="0.31161699999999998"/>
    <n v="0.81467999999999996"/>
    <n v="2.2543389999999999"/>
    <n v="3.3453940000000002"/>
    <n v="2.5491280000000001"/>
    <n v="7.5912345765369764"/>
    <n v="0.72244900000000001"/>
    <n v="2.0825770000000001"/>
    <n v="2.9572620000000001"/>
  </r>
  <r>
    <x v="23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3795"/>
    <n v="0.26827899999999999"/>
    <n v="0.77181900000000003"/>
    <n v="2.4738829999999998"/>
    <n v="3.6385960000000002"/>
    <n v="2.3387910000000001"/>
    <n v="7.6901282788913825"/>
    <n v="0.72244900000000001"/>
    <n v="2.0825770000000001"/>
    <n v="2.9572620000000001"/>
  </r>
  <r>
    <x v="23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1919"/>
    <n v="0.27066000000000001"/>
    <n v="0.73070400000000002"/>
    <n v="2.4518179999999998"/>
    <n v="3.620816"/>
    <n v="2.3279969999999999"/>
    <n v="7.6342893737293522"/>
    <n v="0.72244900000000001"/>
    <n v="2.0825770000000001"/>
    <n v="2.9572620000000001"/>
  </r>
  <r>
    <x v="23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586"/>
    <n v="0.27081899999999998"/>
    <n v="0.71467000000000003"/>
    <n v="2.4470550000000002"/>
    <n v="3.6160540000000001"/>
    <n v="2.3100580000000002"/>
    <n v="7.5321991318111996"/>
    <n v="0.72244900000000001"/>
    <n v="2.0825770000000001"/>
    <n v="2.9572620000000001"/>
  </r>
  <r>
    <x v="23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125"/>
    <n v="0.25208700000000001"/>
    <n v="0.69546200000000002"/>
    <n v="2.4451499999999999"/>
    <n v="3.6152600000000001"/>
    <n v="2.3046609999999998"/>
    <n v="7.4490190193628969"/>
    <n v="0.72244900000000001"/>
    <n v="2.0825770000000001"/>
    <n v="2.9572620000000001"/>
  </r>
  <r>
    <x v="23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04580000000001"/>
    <n v="0.25161099999999997"/>
    <n v="0.693716"/>
    <n v="2.4422929999999998"/>
    <n v="3.599227"/>
    <n v="2.3106930000000001"/>
    <n v="7.6131641427235168"/>
    <n v="0.72244900000000001"/>
    <n v="2.0825770000000001"/>
    <n v="2.9572620000000001"/>
  </r>
  <r>
    <x v="23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4419999999999"/>
    <n v="0.25097599999999998"/>
    <n v="0.69165200000000004"/>
    <n v="2.4335619999999998"/>
    <n v="3.5897019999999999"/>
    <n v="2.3327589999999998"/>
    <n v="7.5782963591583199"/>
    <n v="0.72244900000000001"/>
    <n v="2.0825770000000001"/>
    <n v="2.9572620000000001"/>
  </r>
  <r>
    <x v="24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379"/>
    <n v="0.25034099999999998"/>
    <n v="0.68323900000000004"/>
    <n v="2.4238789999999999"/>
    <n v="3.572082"/>
    <n v="2.3203770000000001"/>
    <n v="7.5539143549245962"/>
    <n v="0.72244900000000001"/>
    <n v="2.0825770000000001"/>
    <n v="2.9572620000000001"/>
  </r>
  <r>
    <x v="24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4267"/>
    <n v="0.25065799999999999"/>
    <n v="0.67736499999999999"/>
    <n v="2.425942"/>
    <n v="3.5895440000000001"/>
    <n v="2.3475220000000001"/>
    <n v="7.6063715790763116"/>
    <n v="0.72244900000000001"/>
    <n v="2.0825770000000001"/>
    <n v="2.9572620000000001"/>
  </r>
  <r>
    <x v="24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5369999999999"/>
    <n v="0.249389"/>
    <n v="0.67879400000000001"/>
    <n v="2.4156240000000002"/>
    <n v="3.5739869999999998"/>
    <n v="2.3419660000000002"/>
    <n v="7.5181670929987172"/>
    <n v="0.72244900000000001"/>
    <n v="2.0825770000000001"/>
    <n v="2.9572620000000001"/>
  </r>
  <r>
    <x v="24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25"/>
    <n v="0.248277"/>
    <n v="0.67434899999999998"/>
    <n v="2.3802240000000001"/>
    <n v="3.5284270000000002"/>
    <n v="2.3303780000000001"/>
    <n v="7.3835635993218727"/>
    <n v="0.72244900000000001"/>
    <n v="2.0825770000000001"/>
    <n v="2.9572620000000001"/>
  </r>
  <r>
    <x v="24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9319999999999"/>
    <n v="0.247166"/>
    <n v="0.67101500000000003"/>
    <n v="2.344347"/>
    <n v="3.539698"/>
    <n v="2.3152970000000002"/>
    <n v="7.3883515152864492"/>
    <n v="0.72244900000000001"/>
    <n v="2.0825770000000001"/>
    <n v="2.9572620000000001"/>
  </r>
  <r>
    <x v="24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36320000000001"/>
    <n v="0.24684900000000001"/>
    <n v="0.67371400000000004"/>
    <n v="2.3645079999999998"/>
    <n v="3.56351"/>
    <n v="2.3606980000000002"/>
    <n v="7.3182795465715849"/>
    <n v="0.72244900000000001"/>
    <n v="2.0825770000000001"/>
    <n v="2.9572620000000001"/>
  </r>
  <r>
    <x v="24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0920000000001"/>
    <n v="0.25192799999999999"/>
    <n v="0.66260200000000002"/>
    <n v="2.3657780000000002"/>
    <n v="3.5596999999999999"/>
    <n v="2.3464109999999998"/>
    <n v="7.1882540267221975"/>
    <n v="0.72244900000000001"/>
    <n v="2.0825770000000001"/>
    <n v="2.9572620000000001"/>
  </r>
  <r>
    <x v="24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74460000000001"/>
    <n v="0.25097599999999998"/>
    <n v="0.68165100000000001"/>
    <n v="2.4118140000000001"/>
    <n v="3.6300240000000001"/>
    <n v="2.3616510000000002"/>
    <n v="7.2360166313193188"/>
    <n v="0.72244900000000001"/>
    <n v="2.0825770000000001"/>
    <n v="2.9572620000000001"/>
  </r>
  <r>
    <x v="24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0465"/>
    <n v="0.24923000000000001"/>
    <n v="0.69133500000000003"/>
    <n v="2.4408639999999999"/>
    <n v="3.7357480000000001"/>
    <n v="2.3743500000000002"/>
    <n v="6.9379985585142707"/>
    <n v="0.72244900000000001"/>
    <n v="2.0825770000000001"/>
    <n v="2.9572620000000001"/>
  </r>
  <r>
    <x v="24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7291"/>
    <n v="0.24780099999999999"/>
    <n v="0.69593799999999995"/>
    <n v="2.472137"/>
    <n v="3.7522570000000002"/>
    <n v="2.36673"/>
    <n v="7.2846818507254714"/>
    <n v="0.72244900000000001"/>
    <n v="2.0825770000000001"/>
    <n v="2.9572620000000001"/>
  </r>
  <r>
    <x v="25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904670000000001"/>
    <n v="0.248754"/>
    <n v="0.69577999999999995"/>
    <n v="2.4988060000000001"/>
    <n v="3.8009919999999999"/>
    <n v="2.358476"/>
    <n v="7.5344920550611008"/>
    <n v="0.72244900000000001"/>
    <n v="2.0825770000000001"/>
    <n v="2.9572620000000001"/>
  </r>
  <r>
    <x v="25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1262"/>
    <n v="0.24923000000000001"/>
    <n v="0.70435199999999998"/>
    <n v="2.504362"/>
    <n v="3.8008329999999999"/>
    <n v="2.3940350000000001"/>
    <n v="7.4731754304780029"/>
    <n v="0.72244900000000001"/>
    <n v="2.0825770000000001"/>
    <n v="2.9572620000000001"/>
  </r>
  <r>
    <x v="25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6729999999999"/>
    <n v="0.248754"/>
    <n v="0.703399"/>
    <n v="2.494996"/>
    <n v="3.7813080000000001"/>
    <n v="2.4022890000000001"/>
    <n v="7.5018382792057121"/>
    <n v="0.72244900000000001"/>
    <n v="2.0825770000000001"/>
    <n v="2.9572620000000001"/>
  </r>
  <r>
    <x v="25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8721"/>
    <n v="0.248277"/>
    <n v="0.70149499999999998"/>
    <n v="2.5111880000000002"/>
    <n v="3.7979759999999998"/>
    <n v="2.4156240000000002"/>
    <n v="7.5432810698021138"/>
    <n v="0.72244900000000001"/>
    <n v="2.0825770000000001"/>
    <n v="2.9572620000000001"/>
  </r>
  <r>
    <x v="25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2373"/>
    <n v="0.24954699999999999"/>
    <n v="0.70482800000000001"/>
    <n v="2.5240469999999999"/>
    <n v="3.6649479999999999"/>
    <n v="2.4186399999999999"/>
    <n v="7.5432810698020987"/>
    <n v="0.72244900000000001"/>
    <n v="2.0825770000000001"/>
    <n v="2.9572620000000001"/>
  </r>
  <r>
    <x v="25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197"/>
    <n v="0.24923000000000001"/>
    <n v="0.69720800000000005"/>
    <n v="2.491187"/>
    <n v="3.5673189999999999"/>
    <n v="2.3878430000000002"/>
    <n v="7.1782330492582496"/>
    <n v="0.72244900000000001"/>
    <n v="2.0825770000000001"/>
    <n v="2.9572620000000001"/>
  </r>
  <r>
    <x v="25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2212"/>
    <n v="0.24811900000000001"/>
    <n v="0.69609699999999997"/>
    <n v="2.481344"/>
    <n v="3.552556"/>
    <n v="2.3816519999999999"/>
    <n v="7.1903330415571052"/>
    <n v="0.72244900000000001"/>
    <n v="2.0825770000000001"/>
    <n v="2.9572620000000001"/>
  </r>
  <r>
    <x v="25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5385"/>
    <n v="0.239705"/>
    <n v="0.67815899999999996"/>
    <n v="2.4557859999999998"/>
    <n v="3.5235059999999998"/>
    <n v="2.3713340000000001"/>
    <n v="7.2519446357708848"/>
    <n v="0.72244900000000001"/>
    <n v="2.0825770000000001"/>
    <n v="2.9572620000000001"/>
  </r>
  <r>
    <x v="25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4273"/>
    <n v="0.237959"/>
    <n v="0.66815800000000003"/>
    <n v="2.4513419999999999"/>
    <n v="3.4981070000000001"/>
    <n v="2.3529200000000001"/>
    <n v="7.1181686635014296"/>
    <n v="0.72244900000000001"/>
    <n v="2.0825770000000001"/>
    <n v="2.9572620000000001"/>
  </r>
  <r>
    <x v="25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82430000000001"/>
    <n v="0.23621300000000001"/>
    <n v="0.67371400000000004"/>
    <n v="2.476264"/>
    <n v="3.5227119999999998"/>
    <n v="2.3978440000000001"/>
    <n v="7.2006429161174053"/>
    <n v="0.72244900000000001"/>
    <n v="2.0825770000000001"/>
    <n v="2.9572620000000001"/>
  </r>
  <r>
    <x v="26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99890000000001"/>
    <n v="0.238594"/>
    <n v="0.67276199999999997"/>
    <n v="2.4889640000000002"/>
    <n v="3.5373169999999998"/>
    <n v="2.4199099999999998"/>
    <n v="7.2006429161174053"/>
    <n v="0.72244900000000001"/>
    <n v="2.0825770000000001"/>
    <n v="2.9572620000000001"/>
  </r>
  <r>
    <x v="26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90349999999999"/>
    <n v="0.23732400000000001"/>
    <n v="0.66657100000000002"/>
    <n v="2.449754"/>
    <n v="3.5039799999999999"/>
    <n v="2.4472139999999998"/>
    <n v="7.3681825711398785"/>
    <n v="0.72244900000000001"/>
    <n v="2.0825770000000001"/>
    <n v="2.9572620000000001"/>
  </r>
  <r>
    <x v="26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9669"/>
    <n v="0.23605400000000001"/>
    <n v="0.65799799999999997"/>
    <n v="2.4151479999999999"/>
    <n v="3.4749300000000001"/>
    <n v="2.4187989999999999"/>
    <n v="7.3209106340204446"/>
    <n v="0.72244900000000001"/>
    <n v="2.0825770000000001"/>
    <n v="2.9572620000000001"/>
  </r>
  <r>
    <x v="26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6807"/>
    <n v="0.23526"/>
    <n v="0.61990000000000001"/>
    <n v="2.3781599999999998"/>
    <n v="3.420798"/>
    <n v="2.3775249999999999"/>
    <n v="7.2457948865664195"/>
    <n v="0.72244900000000001"/>
    <n v="2.0825770000000001"/>
    <n v="2.9572620000000001"/>
  </r>
  <r>
    <x v="26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22"/>
    <n v="0.23446600000000001"/>
    <n v="0.62751900000000005"/>
    <n v="2.3662540000000001"/>
    <n v="3.4103210000000002"/>
    <n v="2.371969"/>
    <n v="7.1877611125549157"/>
    <n v="0.72244900000000001"/>
    <n v="2.0825770000000001"/>
    <n v="2.9572620000000001"/>
  </r>
  <r>
    <x v="26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394"/>
    <n v="0.23383200000000001"/>
    <n v="0.62640799999999996"/>
    <n v="2.35419"/>
    <n v="3.3915890000000002"/>
    <n v="2.3700640000000002"/>
    <n v="7.0612032657579196"/>
    <n v="0.72244900000000001"/>
    <n v="2.0825770000000001"/>
    <n v="2.9572620000000001"/>
  </r>
  <r>
    <x v="26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1249"/>
    <n v="0.23224400000000001"/>
    <n v="0.61958199999999997"/>
    <n v="2.3291080000000002"/>
    <n v="3.3623799999999999"/>
    <n v="2.3381560000000001"/>
    <n v="7.0789773603606241"/>
    <n v="0.72244900000000001"/>
    <n v="2.0825770000000001"/>
    <n v="2.9572620000000001"/>
  </r>
  <r>
    <x v="26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553"/>
    <n v="0.26113599999999998"/>
    <n v="0.62291600000000003"/>
    <n v="2.359111"/>
    <n v="3.4077809999999999"/>
    <n v="2.372128"/>
    <n v="7.0087273820366391"/>
    <n v="0.61958199999999997"/>
    <n v="2.3013270000000001"/>
    <n v="3.3357100000000002"/>
  </r>
  <r>
    <x v="26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76"/>
    <n v="0.26034200000000002"/>
    <n v="0.624027"/>
    <n v="2.335934"/>
    <n v="3.3822230000000002"/>
    <n v="2.3510149999999999"/>
    <n v="7.1914653681544571"/>
    <n v="0.62624899999999994"/>
    <n v="2.284977"/>
    <n v="3.3168199999999999"/>
  </r>
  <r>
    <x v="26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17279999999999"/>
    <n v="0.26002399999999998"/>
    <n v="0.62894799999999995"/>
    <n v="2.344824"/>
    <n v="3.3868260000000001"/>
    <n v="2.3537129999999999"/>
    <n v="6.9919029333107314"/>
    <n v="0.62656699999999999"/>
    <n v="2.2978350000000001"/>
    <n v="3.3266619999999998"/>
  </r>
  <r>
    <x v="27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6013"/>
    <n v="0.259548"/>
    <n v="0.62863100000000005"/>
    <n v="2.33514"/>
    <n v="3.378889"/>
    <n v="2.3464109999999998"/>
    <n v="7.0686404108785528"/>
    <n v="0.624027"/>
    <n v="2.2827540000000002"/>
    <n v="3.314438"/>
  </r>
  <r>
    <x v="27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745"/>
    <n v="0.25938899999999998"/>
    <n v="0.63910800000000001"/>
    <n v="2.3875259999999998"/>
    <n v="3.4231790000000002"/>
    <n v="2.3853040000000001"/>
    <n v="7.3288775916097917"/>
    <n v="0.63307500000000005"/>
    <n v="2.3373629999999999"/>
    <n v="3.3546010000000002"/>
  </r>
  <r>
    <x v="27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061"/>
    <n v="0.27955000000000002"/>
    <n v="0.63497999999999999"/>
    <n v="2.3746679999999998"/>
    <n v="3.4269889999999998"/>
    <n v="2.3868909999999999"/>
    <n v="7.3933089731716191"/>
    <n v="0.62736099999999995"/>
    <n v="2.3289490000000002"/>
    <n v="3.355553"/>
  </r>
  <r>
    <x v="27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2362"/>
    <n v="0.28462999999999999"/>
    <n v="0.63688500000000003"/>
    <n v="2.3791120000000001"/>
    <n v="3.4176229999999999"/>
    <n v="2.3819699999999999"/>
    <n v="7.417752516168779"/>
    <n v="0.62609099999999995"/>
    <n v="2.3289490000000002"/>
    <n v="3.3412660000000001"/>
  </r>
  <r>
    <x v="27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9981"/>
    <n v="0.28383599999999998"/>
    <n v="0.63783800000000002"/>
    <n v="2.3595869999999999"/>
    <n v="3.4117489999999999"/>
    <n v="2.3506969999999998"/>
    <n v="7.2723740488331767"/>
    <n v="0.62783699999999998"/>
    <n v="2.316249"/>
    <n v="3.3322180000000001"/>
  </r>
  <r>
    <x v="27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6140000000001"/>
    <n v="0.28383599999999998"/>
    <n v="0.64117100000000005"/>
    <n v="2.3205360000000002"/>
    <n v="3.4149240000000001"/>
    <n v="2.3098999999999998"/>
    <n v="7.2467560775366815"/>
    <n v="0.61926499999999995"/>
    <n v="2.266721"/>
    <n v="3.2834829999999999"/>
  </r>
  <r>
    <x v="27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79169999999999"/>
    <n v="0.314633"/>
    <n v="0.64228300000000005"/>
    <n v="2.353237"/>
    <n v="3.4360369999999998"/>
    <n v="2.3983210000000001"/>
    <n v="7.5058966207984339"/>
    <n v="0.62021700000000002"/>
    <n v="2.2979940000000001"/>
    <n v="3.2993579999999998"/>
  </r>
  <r>
    <x v="27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41070000000001"/>
    <n v="0.32606200000000002"/>
    <n v="0.64021899999999998"/>
    <n v="2.3406959999999999"/>
    <n v="3.4263539999999999"/>
    <n v="2.3589519999999999"/>
    <n v="7.3811539329168125"/>
    <n v="0.61593100000000001"/>
    <n v="2.2810079999999999"/>
    <n v="3.2901509999999998"/>
  </r>
  <r>
    <x v="27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3948"/>
    <n v="0.32717400000000002"/>
    <n v="0.68514399999999998"/>
    <n v="2.3375210000000002"/>
    <n v="3.4246080000000001"/>
    <n v="2.3408549999999999"/>
    <n v="7.4347140771324751"/>
    <n v="0.61751800000000001"/>
    <n v="2.2770389999999998"/>
    <n v="3.2801499999999999"/>
  </r>
  <r>
    <x v="27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8519999999999"/>
    <n v="0.29129699999999997"/>
    <n v="0.67196800000000001"/>
    <n v="2.326092"/>
    <n v="3.415718"/>
    <n v="2.299264"/>
    <n v="7.1456410983291683"/>
    <n v="0.59719900000000004"/>
    <n v="2.2598950000000002"/>
    <n v="3.2776100000000001"/>
  </r>
  <r>
    <x v="28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183870000000001"/>
    <n v="0.28907500000000003"/>
    <n v="0.62656699999999999"/>
    <n v="2.2916439999999998"/>
    <n v="3.370317"/>
    <n v="2.283865"/>
    <n v="7.1890411642455376"/>
    <n v="0.58735700000000002"/>
    <n v="2.220526"/>
    <n v="3.2309389999999998"/>
  </r>
  <r>
    <x v="28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28547"/>
    <n v="0.28780499999999998"/>
    <n v="0.630853"/>
    <n v="2.2987869999999999"/>
    <n v="3.375238"/>
    <n v="2.302597"/>
    <n v="7.2170583208829884"/>
    <n v="0.59084899999999996"/>
    <n v="2.2305269999999999"/>
    <n v="3.2482419999999999"/>
  </r>
  <r>
    <x v="28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69609999999999"/>
    <n v="0.28923399999999999"/>
    <n v="0.64148899999999998"/>
    <n v="2.3413309999999998"/>
    <n v="3.3936519999999999"/>
    <n v="2.2913260000000002"/>
    <n v="7.2892992796109786"/>
    <n v="0.59592900000000004"/>
    <n v="2.2595770000000002"/>
    <n v="3.2480829999999998"/>
  </r>
  <r>
    <x v="28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438"/>
    <n v="0.28986899999999999"/>
    <n v="0.643235"/>
    <n v="2.3546659999999999"/>
    <n v="3.393176"/>
    <n v="2.2818019999999999"/>
    <n v="7.6135794176513283"/>
    <n v="0.59545300000000001"/>
    <n v="2.2641810000000002"/>
    <n v="3.2423679999999999"/>
  </r>
  <r>
    <x v="28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38072"/>
    <n v="0.29288500000000001"/>
    <n v="0.64863199999999999"/>
    <n v="2.3614920000000001"/>
    <n v="3.4088919999999998"/>
    <n v="2.26688"/>
    <n v="7.2597351079071517"/>
    <n v="0.59465900000000005"/>
    <n v="2.275928"/>
    <n v="3.2663389999999999"/>
  </r>
  <r>
    <x v="28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53311"/>
    <n v="0.29288500000000001"/>
    <n v="0.663713"/>
    <n v="2.409592"/>
    <n v="3.438418"/>
    <n v="2.2902149999999999"/>
    <n v="7.413965809895755"/>
    <n v="0.60069099999999997"/>
    <n v="2.3010100000000002"/>
    <n v="3.2934839999999999"/>
  </r>
  <r>
    <x v="28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42630000000001"/>
    <n v="0.29399599999999998"/>
    <n v="0.66418900000000003"/>
    <n v="2.40848"/>
    <n v="3.4323860000000002"/>
    <n v="2.2764039999999999"/>
    <n v="7.4600799810682856"/>
    <n v="0.59640499999999996"/>
    <n v="2.285612"/>
    <n v="3.264275"/>
  </r>
  <r>
    <x v="28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9139999999999"/>
    <n v="0.29383700000000001"/>
    <n v="0.66672900000000002"/>
    <n v="2.4054639999999998"/>
    <n v="3.43953"/>
    <n v="2.2876750000000001"/>
    <n v="7.685680888955674"/>
    <n v="0.59608799999999995"/>
    <n v="2.2775159999999999"/>
    <n v="3.2545920000000002"/>
  </r>
  <r>
    <x v="28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88235"/>
    <n v="0.29732999999999998"/>
    <n v="0.69752599999999998"/>
    <n v="2.4519760000000002"/>
    <n v="3.4903279999999999"/>
    <n v="2.3067250000000001"/>
    <n v="7.5132957042119504"/>
    <n v="0.60148500000000005"/>
    <n v="2.298629"/>
    <n v="3.2782450000000001"/>
  </r>
  <r>
    <x v="28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4902"/>
    <n v="0.29796499999999998"/>
    <n v="0.70181199999999999"/>
    <n v="2.4775339999999999"/>
    <n v="3.5169969999999999"/>
    <n v="2.317202"/>
    <n v="7.5181332368886711"/>
    <n v="0.59577000000000002"/>
    <n v="2.3005339999999999"/>
    <n v="3.2758630000000002"/>
  </r>
  <r>
    <x v="29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0934"/>
    <n v="0.29828199999999999"/>
    <n v="0.70149499999999998"/>
    <n v="2.4872179999999999"/>
    <n v="3.5149339999999998"/>
    <n v="2.3054549999999998"/>
    <n v="7.5990340401177292"/>
    <n v="0.592754"/>
    <n v="2.2873579999999998"/>
    <n v="3.2561789999999999"/>
  </r>
  <r>
    <x v="29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75990000000001"/>
    <n v="0.29875800000000002"/>
    <n v="0.69625599999999999"/>
    <n v="2.4807090000000001"/>
    <n v="3.5054090000000002"/>
    <n v="2.2924380000000002"/>
    <n v="7.4544339902121344"/>
    <n v="0.59243699999999999"/>
    <n v="2.2825950000000002"/>
    <n v="3.2388759999999999"/>
  </r>
  <r>
    <x v="29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376"/>
    <n v="0.35939900000000002"/>
    <n v="0.67514300000000005"/>
    <n v="2.486583"/>
    <n v="3.4938199999999999"/>
    <n v="2.3006920000000002"/>
    <n v="7.4926533355738538"/>
    <n v="0.58942000000000005"/>
    <n v="2.2816429999999999"/>
    <n v="3.2285569999999999"/>
  </r>
  <r>
    <x v="29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8397"/>
    <n v="0.36590699999999998"/>
    <n v="0.74054600000000004"/>
    <n v="2.4830909999999999"/>
    <n v="3.5033449999999999"/>
    <n v="2.3225989999999999"/>
    <n v="7.4465862220150996"/>
    <n v="0.58561099999999999"/>
    <n v="2.27196"/>
    <n v="3.2260170000000001"/>
  </r>
  <r>
    <x v="29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79229999999999"/>
    <n v="0.36686000000000002"/>
    <n v="0.76038899999999998"/>
    <n v="2.4878529999999999"/>
    <n v="3.5327130000000002"/>
    <n v="2.3145030000000002"/>
    <n v="7.4414247791712187"/>
    <n v="0.58640400000000004"/>
    <n v="2.257673"/>
    <n v="3.2472889999999999"/>
  </r>
  <r>
    <x v="29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4589"/>
    <n v="0.36590699999999998"/>
    <n v="0.76102400000000003"/>
    <n v="2.4607070000000002"/>
    <n v="3.493185"/>
    <n v="2.3089469999999999"/>
    <n v="7.4089966059973067"/>
    <n v="0.58132399999999995"/>
    <n v="2.2408459999999999"/>
    <n v="3.237606"/>
  </r>
  <r>
    <x v="29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10939999999999"/>
    <n v="0.36559000000000003"/>
    <n v="0.75959500000000002"/>
    <n v="2.4219740000000001"/>
    <n v="3.438895"/>
    <n v="2.2748170000000001"/>
    <n v="7.4506998642294571"/>
    <n v="0.87595500000000004"/>
    <n v="2.1906819999999998"/>
    <n v="3.1688689999999999"/>
  </r>
  <r>
    <x v="29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5719999999999"/>
    <n v="0.36701899999999998"/>
    <n v="0.76959599999999995"/>
    <n v="2.4662639999999998"/>
    <n v="3.4684210000000002"/>
    <n v="2.2864049999999998"/>
    <n v="7.3562218455797845"/>
    <n v="0.57878499999999999"/>
    <n v="2.201953"/>
    <n v="3.1714090000000001"/>
  </r>
  <r>
    <x v="29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665"/>
    <n v="0.367336"/>
    <n v="0.76594499999999999"/>
    <n v="2.4410229999999999"/>
    <n v="3.4501659999999998"/>
    <n v="2.2484649999999999"/>
    <n v="7.3796952730608432"/>
    <n v="0.57370500000000002"/>
    <n v="2.1675049999999998"/>
    <n v="3.1475970000000002"/>
  </r>
  <r>
    <x v="29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41130000000001"/>
    <n v="0.33368199999999998"/>
    <n v="0.74054600000000004"/>
    <n v="2.4919799999999999"/>
    <n v="3.5062030000000002"/>
    <n v="2.2945009999999999"/>
    <n v="7.495661270799217"/>
    <n v="0.57116500000000003"/>
    <n v="2.2316379999999998"/>
    <n v="3.3023739999999999"/>
  </r>
  <r>
    <x v="30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73"/>
    <n v="0.33082499999999998"/>
    <n v="0.73657700000000004"/>
    <n v="2.3272029999999999"/>
    <n v="3.4366720000000002"/>
    <n v="2.2722769999999999"/>
    <n v="7.3773728453819283"/>
    <n v="0.55957599999999996"/>
    <n v="2.1779820000000001"/>
    <n v="3.2455430000000001"/>
  </r>
  <r>
    <x v="30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4586"/>
    <n v="0.330507"/>
    <n v="0.73070400000000002"/>
    <n v="2.3032319999999999"/>
    <n v="3.4109560000000001"/>
    <n v="2.2732299999999999"/>
    <n v="7.3903948119928282"/>
    <n v="0.55259199999999997"/>
    <n v="2.1490909999999999"/>
    <n v="3.205857"/>
  </r>
  <r>
    <x v="30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1415"/>
    <n v="0.37559100000000001"/>
    <n v="0.77896200000000004"/>
    <n v="2.2916439999999998"/>
    <n v="3.375238"/>
    <n v="2.265927"/>
    <n v="7.512018204814372"/>
    <n v="0.63974299999999995"/>
    <n v="2.1854429999999998"/>
    <n v="3.1977609999999999"/>
  </r>
  <r>
    <x v="30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491"/>
    <n v="0.38130599999999998"/>
    <n v="0.79499500000000001"/>
    <n v="2.2694200000000002"/>
    <n v="3.3590460000000002"/>
    <n v="2.2602120000000001"/>
    <n v="7.5801251017474547"/>
    <n v="0.64863199999999999"/>
    <n v="2.1586159999999999"/>
    <n v="3.191411"/>
  </r>
  <r>
    <x v="30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65544"/>
    <n v="0.38575100000000001"/>
    <n v="0.79785300000000003"/>
    <n v="2.3054549999999998"/>
    <n v="3.3987319999999999"/>
    <n v="2.2792620000000001"/>
    <n v="7.5869073117988242"/>
    <n v="0.65609300000000004"/>
    <n v="2.1946509999999999"/>
    <n v="3.2344309999999998"/>
  </r>
  <r>
    <x v="30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8244"/>
    <n v="0.38829000000000002"/>
    <n v="0.80356799999999995"/>
    <n v="2.289898"/>
    <n v="3.3790480000000001"/>
    <n v="2.2564030000000002"/>
    <n v="7.7174082099507153"/>
    <n v="0.66355399999999998"/>
    <n v="2.1970320000000001"/>
    <n v="3.2468129999999999"/>
  </r>
  <r>
    <x v="30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33249999999999"/>
    <n v="0.385909"/>
    <n v="0.81721999999999995"/>
    <n v="2.3013270000000001"/>
    <n v="3.3963510000000001"/>
    <n v="2.3002159999999998"/>
    <n v="7.6621744601918431"/>
    <n v="0.67101500000000003"/>
    <n v="2.2441789999999999"/>
    <n v="3.268402"/>
  </r>
  <r>
    <x v="30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6976"/>
    <n v="0.384322"/>
    <n v="0.82261700000000004"/>
    <n v="2.3097409999999998"/>
    <n v="3.4049230000000001"/>
    <n v="2.3478400000000001"/>
    <n v="7.7531930049474189"/>
    <n v="0.69498599999999999"/>
    <n v="2.2857699999999999"/>
    <n v="3.2766570000000002"/>
  </r>
  <r>
    <x v="30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60269999999999"/>
    <n v="0.38321100000000002"/>
    <n v="0.94373899999999999"/>
    <n v="2.3106930000000001"/>
    <n v="3.4082569999999999"/>
    <n v="2.3472050000000002"/>
    <n v="7.6198486149070881"/>
    <n v="0.69387500000000002"/>
    <n v="2.2819609999999999"/>
    <n v="3.269037"/>
  </r>
  <r>
    <x v="30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29677"/>
    <n v="0.38194099999999997"/>
    <n v="0.94500899999999999"/>
    <n v="2.2924380000000002"/>
    <n v="3.3585699999999998"/>
    <n v="2.3695879999999998"/>
    <n v="7.8219860364202418"/>
    <n v="0.70514600000000005"/>
    <n v="2.3018040000000002"/>
    <n v="3.2885629999999999"/>
  </r>
  <r>
    <x v="31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4757"/>
    <n v="0.38463900000000001"/>
    <n v="0.95770900000000003"/>
    <n v="2.2921200000000002"/>
    <n v="3.3380920000000001"/>
    <n v="2.3892720000000001"/>
    <n v="7.8400368301231866"/>
    <n v="0.70165299999999997"/>
    <n v="2.2686259999999998"/>
    <n v="3.2357010000000002"/>
  </r>
  <r>
    <x v="31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13961"/>
    <n v="0.383687"/>
    <n v="0.953264"/>
    <n v="2.2630699999999999"/>
    <n v="3.296977"/>
    <n v="2.3243450000000001"/>
    <n v="7.9218481129408396"/>
    <n v="0.69704999999999995"/>
    <n v="2.2410040000000002"/>
    <n v="3.1998250000000001"/>
  </r>
  <r>
    <x v="31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38543300000000003"/>
    <n v="0.94516800000000001"/>
    <n v="2.24275"/>
    <n v="3.2891979999999998"/>
    <n v="2.2976760000000001"/>
    <n v="7.7372537528634435"/>
    <n v="0.695303"/>
    <n v="2.258149"/>
    <n v="3.241733"/>
  </r>
  <r>
    <x v="31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36399999999999"/>
    <n v="0.38622699999999999"/>
    <n v="0.94564400000000004"/>
    <n v="2.216399"/>
    <n v="3.2391930000000002"/>
    <n v="2.2090969999999999"/>
    <n v="7.6894913445915547"/>
    <n v="0.67895300000000003"/>
    <n v="2.248148"/>
    <n v="3.2163339999999998"/>
  </r>
  <r>
    <x v="31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14189999999999"/>
    <n v="0.38749699999999998"/>
    <n v="0.94881899999999997"/>
    <n v="2.2471950000000001"/>
    <n v="3.2709419999999998"/>
    <n v="2.2265579999999998"/>
    <n v="7.4842955691604542"/>
    <n v="0.67911100000000002"/>
    <n v="2.2700550000000002"/>
    <n v="3.2674500000000002"/>
  </r>
  <r>
    <x v="31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49120000000001"/>
    <n v="0.393847"/>
    <n v="0.95802699999999996"/>
    <n v="2.2648160000000002"/>
    <n v="3.287928"/>
    <n v="2.2278280000000001"/>
    <n v="7.4942011768814671"/>
    <n v="0.67942899999999995"/>
    <n v="2.2552910000000002"/>
    <n v="3.2414160000000001"/>
  </r>
  <r>
    <x v="31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85640000000001"/>
    <n v="0.40114899999999998"/>
    <n v="0.96326500000000004"/>
    <n v="2.2894220000000001"/>
    <n v="3.3044380000000002"/>
    <n v="2.207668"/>
    <n v="7.3968360905732506"/>
    <n v="0.91040299999999996"/>
    <n v="2.2735470000000002"/>
    <n v="3.2712599999999998"/>
  </r>
  <r>
    <x v="31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06260000000001"/>
    <n v="0.40035500000000002"/>
    <n v="0.96247099999999997"/>
    <n v="2.24783"/>
    <n v="3.2399870000000002"/>
    <n v="2.1775060000000002"/>
    <n v="7.2494628474767318"/>
    <n v="0.902783"/>
    <n v="2.225606"/>
    <n v="3.2098249999999999"/>
  </r>
  <r>
    <x v="31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1736"/>
    <n v="0.39987899999999998"/>
    <n v="0.96310600000000002"/>
    <n v="2.216081"/>
    <n v="3.191252"/>
    <n v="2.1675049999999998"/>
    <n v="7.3276771266031488"/>
    <n v="0.90071999999999997"/>
    <n v="2.201635"/>
    <n v="3.1758540000000002"/>
  </r>
  <r>
    <x v="31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400038"/>
    <n v="0.96818599999999999"/>
    <n v="2.2008420000000002"/>
    <n v="3.1650589999999998"/>
    <n v="2.1630600000000002"/>
    <n v="7.31768199546406"/>
    <n v="0.89341700000000002"/>
    <n v="2.1587740000000002"/>
    <n v="3.117912"/>
  </r>
  <r>
    <x v="32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919"/>
    <n v="0.33527000000000001"/>
    <n v="0.88230500000000001"/>
    <n v="2.1694100000000001"/>
    <n v="3.1385489999999998"/>
    <n v="2.1224219999999998"/>
    <n v="7.2497634355052742"/>
    <n v="0.83960299999999999"/>
    <n v="2.1362329999999998"/>
    <n v="3.095529"/>
  </r>
  <r>
    <x v="32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36350000000001"/>
    <n v="0.32590400000000003"/>
    <n v="0.88690899999999995"/>
    <n v="2.202429"/>
    <n v="3.1874419999999999"/>
    <n v="2.1525829999999999"/>
    <n v="7.1686841251688866"/>
    <n v="0.84198399999999995"/>
    <n v="2.1648070000000001"/>
    <n v="3.1420409999999999"/>
  </r>
  <r>
    <x v="32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07789999999999"/>
    <n v="0.32447500000000001"/>
    <n v="0.88516300000000003"/>
    <n v="2.2148110000000001"/>
    <n v="3.2022059999999999"/>
    <n v="2.1502020000000002"/>
    <n v="7.1553475372925348"/>
    <n v="0.83690399999999998"/>
    <n v="2.176078"/>
    <n v="3.2133180000000001"/>
  </r>
  <r>
    <x v="32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51733"/>
    <n v="0.32590400000000003"/>
    <n v="0.72800500000000001"/>
    <n v="2.1173419999999998"/>
    <n v="3.1075940000000002"/>
    <n v="2.2656100000000001"/>
    <n v="7.4315006091545266"/>
    <n v="0.84261900000000001"/>
    <n v="2.1325810000000001"/>
    <n v="3.118547"/>
  </r>
  <r>
    <x v="32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9043"/>
    <n v="0.32606200000000002"/>
    <n v="0.75197499999999995"/>
    <n v="2.152901"/>
    <n v="3.099815"/>
    <n v="2.3097409999999998"/>
    <n v="7.462037200877325"/>
    <n v="0.85246100000000002"/>
    <n v="2.2192560000000001"/>
    <n v="3.1256910000000002"/>
  </r>
  <r>
    <x v="32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28575"/>
    <n v="0.33066600000000002"/>
    <n v="0.78737599999999996"/>
    <n v="2.225765"/>
    <n v="3.1660119999999998"/>
    <n v="2.4494370000000001"/>
    <n v="7.6106980085581277"/>
    <n v="0.88865499999999997"/>
    <n v="2.3008510000000002"/>
    <n v="3.1987130000000001"/>
  </r>
  <r>
    <x v="32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139709999999999"/>
    <n v="0.32780900000000002"/>
    <n v="0.78213699999999997"/>
    <n v="2.2049690000000002"/>
    <n v="3.1355330000000001"/>
    <n v="2.4280059999999999"/>
    <n v="7.8052518340757944"/>
    <n v="0.88611499999999999"/>
    <n v="2.280214"/>
    <n v="3.168393"/>
  </r>
  <r>
    <x v="32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02242"/>
    <n v="0.32384000000000002"/>
    <n v="0.84277800000000003"/>
    <n v="2.294184"/>
    <n v="3.2942779999999998"/>
    <n v="2.606277"/>
    <n v="9.1259998211888806"/>
    <n v="0.92135599999999995"/>
    <n v="2.3186309999999999"/>
    <n v="3.3542839999999998"/>
  </r>
  <r>
    <x v="32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749479999999999"/>
    <n v="0.322411"/>
    <n v="0.87992400000000004"/>
    <n v="2.2919610000000001"/>
    <n v="3.2495120000000002"/>
    <n v="2.6173890000000002"/>
    <n v="9.1148689913800958"/>
    <n v="0.95501000000000003"/>
    <n v="2.3011689999999998"/>
    <n v="3.3233280000000001"/>
  </r>
  <r>
    <x v="32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251020000000001"/>
    <n v="0.32050600000000001"/>
    <n v="0.89865600000000001"/>
    <n v="2.3433950000000001"/>
    <n v="3.3163429999999998"/>
    <n v="2.7175569999999998"/>
    <n v="9.0753718350715467"/>
    <n v="0.96612299999999995"/>
    <n v="2.3435540000000001"/>
    <n v="3.4160349999999999"/>
  </r>
  <r>
    <x v="33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496980000000001"/>
    <n v="0.33828599999999998"/>
    <n v="0.90310100000000004"/>
    <n v="2.325933"/>
    <n v="3.2936429999999999"/>
    <n v="2.6691400000000001"/>
    <n v="8.9912283823524692"/>
    <n v="0.97152000000000005"/>
    <n v="2.325615"/>
    <n v="3.384128"/>
  </r>
  <r>
    <x v="33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35569"/>
    <n v="0.33685700000000002"/>
    <n v="0.90103699999999998"/>
    <n v="2.3065660000000001"/>
    <n v="3.2774510000000001"/>
    <n v="2.655011"/>
    <n v="8.9704813615047705"/>
    <n v="0.96342399999999995"/>
    <n v="2.3132329999999999"/>
    <n v="3.370317"/>
  </r>
  <r>
    <x v="33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087409999999999"/>
    <n v="0.29526599999999997"/>
    <n v="0.82214100000000001"/>
    <n v="2.2883100000000001"/>
    <n v="3.2491940000000001"/>
    <n v="2.536905"/>
    <n v="8.7927394108789247"/>
    <n v="0.96310600000000002"/>
    <n v="2.2864049999999998"/>
    <n v="3.2549090000000001"/>
  </r>
  <r>
    <x v="33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755639999999999"/>
    <n v="0.29558299999999998"/>
    <n v="0.77531099999999997"/>
    <n v="2.2965650000000002"/>
    <n v="3.3096760000000001"/>
    <n v="2.4641999999999999"/>
    <n v="8.7155681340746796"/>
    <n v="0.964059"/>
    <n v="2.2714829999999999"/>
    <n v="3.2355420000000001"/>
  </r>
  <r>
    <x v="33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888980000000001"/>
    <n v="0.29336099999999998"/>
    <n v="0.77054900000000004"/>
    <n v="2.2859289999999999"/>
    <n v="3.2982459999999998"/>
    <n v="2.4108619999999998"/>
    <n v="8.6446932421470049"/>
    <n v="0.96262999999999999"/>
    <n v="2.266086"/>
    <n v="3.2285569999999999"/>
  </r>
  <r>
    <x v="33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619119999999999"/>
    <n v="0.29272599999999999"/>
    <n v="0.76562799999999998"/>
    <n v="2.2687849999999998"/>
    <n v="3.3055490000000001"/>
    <n v="2.4159410000000001"/>
    <n v="8.5555319181109066"/>
    <n v="0.84960400000000003"/>
    <n v="2.2646570000000001"/>
    <n v="3.2582429999999998"/>
  </r>
  <r>
    <x v="33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433380000000001"/>
    <n v="0.29558299999999998"/>
    <n v="0.76785000000000003"/>
    <n v="2.2579899999999999"/>
    <n v="3.2961830000000001"/>
    <n v="2.4151479999999999"/>
    <n v="8.9614647575654747"/>
    <n v="0.84563500000000003"/>
    <n v="2.2594189999999998"/>
    <n v="3.2361770000000001"/>
  </r>
  <r>
    <x v="33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24289"/>
    <n v="0.29526599999999997"/>
    <n v="0.75753199999999998"/>
    <n v="2.242909"/>
    <n v="3.301104"/>
    <n v="2.4241959999999998"/>
    <n v="8.7739984821563866"/>
    <n v="0.830237"/>
    <n v="2.2459250000000002"/>
    <n v="3.2337959999999999"/>
  </r>
  <r>
    <x v="33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7477"/>
    <n v="0.430199"/>
    <n v="0.83865000000000001"/>
    <n v="2.239099"/>
    <n v="3.278403"/>
    <n v="2.413243"/>
    <n v="8.6991213242216396"/>
    <n v="0.87452700000000005"/>
    <n v="2.229733"/>
    <n v="3.2131590000000001"/>
  </r>
  <r>
    <x v="33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82550000000001"/>
    <n v="0.40194299999999999"/>
    <n v="0.74959399999999998"/>
    <n v="2.2362419999999998"/>
    <n v="3.2906270000000002"/>
    <n v="2.36673"/>
    <n v="8.5767286201059356"/>
    <n v="0.910721"/>
    <n v="2.238782"/>
    <n v="3.2271290000000001"/>
  </r>
  <r>
    <x v="34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2064"/>
    <n v="0.39432299999999998"/>
    <n v="0.74657799999999996"/>
    <n v="2.2845"/>
    <n v="3.3903189999999999"/>
    <n v="2.4032420000000001"/>
    <n v="8.6557736631461726"/>
    <n v="0.79848799999999998"/>
    <n v="2.2895799999999999"/>
    <n v="3.3207879999999999"/>
  </r>
  <r>
    <x v="34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76666"/>
    <n v="0.39162400000000003"/>
    <n v="0.74086300000000005"/>
    <n v="2.261482"/>
    <n v="3.3561879999999999"/>
    <n v="2.380382"/>
    <n v="8.6065391676688101"/>
    <n v="0.79547199999999996"/>
    <n v="2.2738649999999998"/>
    <n v="3.2972939999999999"/>
  </r>
  <r>
    <x v="34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674580000000001"/>
    <n v="0.39083000000000001"/>
    <n v="0.73832299999999995"/>
    <n v="2.2464019999999998"/>
    <n v="3.3222170000000002"/>
    <n v="2.3746679999999998"/>
    <n v="8.4420330746134269"/>
    <n v="0.79023299999999996"/>
    <n v="2.2586249999999999"/>
    <n v="3.2755459999999998"/>
  </r>
  <r>
    <x v="34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3430000000001"/>
    <n v="0.39067200000000002"/>
    <n v="0.738958"/>
    <n v="2.2321149999999998"/>
    <n v="3.273482"/>
    <n v="2.36673"/>
    <n v="8.5229801546531654"/>
    <n v="0.78435900000000003"/>
    <n v="2.2356069999999999"/>
    <n v="3.233479"/>
  </r>
  <r>
    <x v="34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0420000000001"/>
    <n v="0.39003700000000002"/>
    <n v="0.74134"/>
    <n v="2.248148"/>
    <n v="3.300786"/>
    <n v="2.3700640000000002"/>
    <n v="8.6318044969298438"/>
    <n v="0.77848600000000001"/>
    <n v="2.24783"/>
    <n v="3.2579250000000002"/>
  </r>
  <r>
    <x v="34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2218"/>
    <n v="0.38892500000000002"/>
    <n v="0.74451400000000001"/>
    <n v="2.2697370000000001"/>
    <n v="3.3417430000000001"/>
    <n v="2.3605390000000002"/>
    <n v="8.4183946649003776"/>
    <n v="0.78086699999999998"/>
    <n v="2.2749760000000001"/>
    <n v="3.3050730000000001"/>
  </r>
  <r>
    <x v="34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88849999999999"/>
    <n v="0.385909"/>
    <n v="0.811029"/>
    <n v="2.331013"/>
    <n v="3.360633"/>
    <n v="2.3645079999999998"/>
    <n v="8.7314213763732855"/>
    <n v="0.77039000000000002"/>
    <n v="2.3275199999999998"/>
    <n v="3.3639670000000002"/>
  </r>
  <r>
    <x v="34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11100000000001"/>
    <n v="0.38384600000000002"/>
    <n v="0.84595299999999995"/>
    <n v="2.3316479999999999"/>
    <n v="3.333488"/>
    <n v="2.4278469999999999"/>
    <n v="8.7804578421962187"/>
    <n v="0.76324599999999998"/>
    <n v="2.3545069999999999"/>
    <n v="3.3655539999999999"/>
  </r>
  <r>
    <x v="34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2857"/>
    <n v="0.38098799999999999"/>
    <n v="0.84595299999999995"/>
    <n v="2.3294250000000001"/>
    <n v="3.333647"/>
    <n v="2.49579"/>
    <n v="8.9492559781120651"/>
    <n v="0.75419800000000004"/>
    <n v="2.32498"/>
    <n v="3.3369800000000001"/>
  </r>
  <r>
    <x v="34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61859999999999"/>
    <n v="0.38241700000000001"/>
    <n v="0.85007999999999995"/>
    <n v="2.3105349999999998"/>
    <n v="3.2868170000000001"/>
    <n v="2.4513419999999999"/>
    <n v="8.8076535691367912"/>
    <n v="0.75118200000000002"/>
    <n v="2.2973590000000002"/>
    <n v="3.2864990000000001"/>
  </r>
  <r>
    <x v="35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4439"/>
    <n v="0.38225799999999999"/>
    <n v="0.85373100000000002"/>
    <n v="2.3010100000000002"/>
    <n v="3.2531629999999998"/>
    <n v="2.4357839999999999"/>
    <n v="8.7545187385335339"/>
    <n v="0.74721300000000002"/>
    <n v="2.2808489999999999"/>
    <n v="3.2520519999999999"/>
  </r>
  <r>
    <x v="35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978"/>
    <n v="0.383052"/>
    <n v="0.85023899999999997"/>
    <n v="2.2865639999999998"/>
    <n v="3.2371300000000001"/>
    <n v="2.4335619999999998"/>
    <n v="8.7938785631353298"/>
    <n v="0.74308600000000002"/>
    <n v="2.2618"/>
    <n v="3.2382409999999999"/>
  </r>
  <r>
    <x v="35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1264"/>
    <n v="0.38289299999999998"/>
    <n v="0.82912600000000003"/>
    <n v="2.2273520000000002"/>
    <n v="3.205381"/>
    <n v="2.4065750000000001"/>
    <n v="8.6872629781733455"/>
    <n v="0.738958"/>
    <n v="2.2417980000000002"/>
    <n v="3.2088730000000001"/>
  </r>
  <r>
    <x v="35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5019999999999"/>
    <n v="0.38273400000000002"/>
    <n v="0.82499800000000001"/>
    <n v="2.2041750000000002"/>
    <n v="3.1904590000000002"/>
    <n v="2.376573"/>
    <n v="8.359763238845078"/>
    <n v="0.73657700000000004"/>
    <n v="2.2186210000000002"/>
    <n v="3.2015709999999999"/>
  </r>
  <r>
    <x v="35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809"/>
    <n v="0.38321100000000002"/>
    <n v="0.83071300000000003"/>
    <n v="2.2000479999999998"/>
    <n v="3.18649"/>
    <n v="2.403559"/>
    <n v="8.2956761499423468"/>
    <n v="0.73880000000000001"/>
    <n v="2.2259229999999999"/>
    <n v="3.210302"/>
  </r>
  <r>
    <x v="35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8360000000001"/>
    <n v="0.38416299999999998"/>
    <n v="0.82039499999999999"/>
    <n v="2.1821100000000002"/>
    <n v="3.1704569999999999"/>
    <n v="2.3606980000000002"/>
    <n v="8.306969077571221"/>
    <n v="0.74038700000000002"/>
    <n v="2.1824270000000001"/>
    <n v="3.1664880000000002"/>
  </r>
  <r>
    <x v="35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7135"/>
    <n v="0.38289299999999998"/>
    <n v="0.81610799999999994"/>
    <n v="2.1630600000000002"/>
    <n v="3.1431529999999999"/>
    <n v="2.3464109999999998"/>
    <n v="8.1601882160589323"/>
    <n v="0.73530700000000004"/>
    <n v="2.1570279999999999"/>
    <n v="3.1488670000000001"/>
  </r>
  <r>
    <x v="35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20510000000001"/>
    <n v="0.38051200000000002"/>
    <n v="0.75483299999999998"/>
    <n v="2.1576629999999999"/>
    <n v="3.1493440000000001"/>
    <n v="2.3262499999999999"/>
    <n v="8.354831119801025"/>
    <n v="0.73038599999999998"/>
    <n v="2.170204"/>
    <n v="3.1568049999999999"/>
  </r>
  <r>
    <x v="35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4273"/>
    <n v="0.37876599999999999"/>
    <n v="0.763405"/>
    <n v="2.1327400000000001"/>
    <n v="3.1225160000000001"/>
    <n v="2.3292670000000002"/>
    <n v="8.4566635955396077"/>
    <n v="0.72705200000000003"/>
    <n v="2.1622669999999999"/>
    <n v="3.1522009999999998"/>
  </r>
  <r>
    <x v="35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1102"/>
    <n v="0.380353"/>
    <n v="0.80404399999999998"/>
    <n v="2.1548060000000002"/>
    <n v="3.1406130000000001"/>
    <n v="2.3602219999999998"/>
    <n v="8.1748017958183592"/>
    <n v="0.73149699999999995"/>
    <n v="2.1829040000000002"/>
    <n v="3.1722030000000001"/>
  </r>
  <r>
    <x v="36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04670000000001"/>
    <n v="0.35066799999999998"/>
    <n v="0.79293199999999997"/>
    <n v="2.156552"/>
    <n v="3.1507719999999999"/>
    <n v="2.3043439999999999"/>
    <n v="8.0027069671422399"/>
    <n v="0.71911499999999995"/>
    <n v="2.1832210000000001"/>
    <n v="3.1844260000000002"/>
  </r>
  <r>
    <x v="36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5063"/>
    <n v="0.34558800000000001"/>
    <n v="0.72673500000000002"/>
    <n v="2.1000390000000002"/>
    <n v="3.0552079999999999"/>
    <n v="2.2602120000000001"/>
    <n v="8.1842886986744432"/>
    <n v="0.89563999999999999"/>
    <n v="2.10242"/>
    <n v="3.0679069999999999"/>
  </r>
  <r>
    <x v="36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76020000000001"/>
    <n v="0.34177800000000003"/>
    <n v="0.72673500000000002"/>
    <n v="2.101626"/>
    <n v="3.0461589999999998"/>
    <n v="2.2633869999999998"/>
    <n v="8.1513579777540457"/>
    <n v="0.70006599999999997"/>
    <n v="2.0819420000000002"/>
    <n v="3.0499689999999999"/>
  </r>
  <r>
    <x v="36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2029999999999"/>
    <n v="0.33971400000000002"/>
    <n v="0.716893"/>
    <n v="2.0774970000000001"/>
    <n v="3.00806"/>
    <n v="2.2178270000000002"/>
    <n v="8.0687072051325028"/>
    <n v="0.68815999999999999"/>
    <n v="2.0767030000000002"/>
    <n v="3.0115530000000001"/>
  </r>
  <r>
    <x v="36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125"/>
    <n v="0.339397"/>
    <n v="0.71752800000000005"/>
    <n v="2.0832120000000001"/>
    <n v="3.0110769999999998"/>
    <n v="2.2286220000000001"/>
    <n v="8.1534395151529395"/>
    <n v="0.684033"/>
    <n v="2.0844819999999999"/>
    <n v="3.0163150000000001"/>
  </r>
  <r>
    <x v="36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4424"/>
    <n v="0.33828599999999998"/>
    <n v="0.71800399999999998"/>
    <n v="2.0874980000000001"/>
    <n v="3.0099649999999998"/>
    <n v="2.2224309999999998"/>
    <n v="7.9436137757704692"/>
    <n v="0.684033"/>
    <n v="2.088768"/>
    <n v="3.0180609999999999"/>
  </r>
  <r>
    <x v="36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695"/>
    <n v="0.33812700000000001"/>
    <n v="0.72498899999999999"/>
    <n v="2.1148020000000001"/>
    <n v="3.0377459999999998"/>
    <n v="2.2584659999999999"/>
    <n v="7.9769769970323887"/>
    <n v="0.68546099999999999"/>
    <n v="2.106706"/>
    <n v="3.090449"/>
  </r>
  <r>
    <x v="36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88699999999999"/>
    <n v="0.33749200000000001"/>
    <n v="0.72292500000000004"/>
    <n v="2.1176590000000002"/>
    <n v="3.0361579999999999"/>
    <n v="2.2773569999999999"/>
    <n v="7.9613297901649798"/>
    <n v="0.68498499999999996"/>
    <n v="2.1030549999999999"/>
    <n v="3.0875919999999999"/>
  </r>
  <r>
    <x v="36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996"/>
    <n v="0.33654000000000001"/>
    <n v="0.71562300000000001"/>
    <n v="2.1117859999999999"/>
    <n v="3.0345710000000001"/>
    <n v="2.2586249999999999"/>
    <n v="7.9616143136355806"/>
    <n v="0.68260399999999999"/>
    <n v="2.0989270000000002"/>
    <n v="3.0874329999999999"/>
  </r>
  <r>
    <x v="36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0667"/>
    <n v="0.73181499999999999"/>
    <n v="2.1494080000000002"/>
    <n v="3.0915599999999999"/>
    <n v="2.2554500000000002"/>
    <n v="8.1155867372121229"/>
    <n v="0.69101699999999999"/>
    <n v="2.128295"/>
    <n v="3.141089"/>
  </r>
  <r>
    <x v="37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0934"/>
    <n v="0.34209600000000001"/>
    <n v="0.72863999999999995"/>
    <n v="2.14798"/>
    <n v="3.0833059999999999"/>
    <n v="2.2446549999999998"/>
    <n v="7.9145599553664017"/>
    <n v="0.68927099999999997"/>
    <n v="2.1260729999999999"/>
    <n v="3.1337869999999999"/>
  </r>
  <r>
    <x v="37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6790000000001"/>
    <n v="0.344001"/>
    <n v="0.72641699999999998"/>
    <n v="2.138455"/>
    <n v="3.06759"/>
    <n v="2.2284630000000001"/>
    <n v="8.0153069579735714"/>
    <n v="0.68276300000000001"/>
    <n v="2.1082930000000002"/>
    <n v="3.10934"/>
  </r>
  <r>
    <x v="37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06"/>
    <n v="0.34558800000000001"/>
    <n v="0.72879899999999997"/>
    <n v="2.1409950000000002"/>
    <n v="3.0755270000000001"/>
    <n v="2.2400519999999999"/>
    <n v="8.1342653535021956"/>
    <n v="0.682921"/>
    <n v="2.1097220000000001"/>
    <n v="3.1182300000000001"/>
  </r>
  <r>
    <x v="37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479399999999999"/>
    <n v="0.75689700000000004"/>
    <n v="2.1457570000000001"/>
    <n v="3.0645739999999999"/>
    <n v="2.2483070000000001"/>
    <n v="7.9244261192097749"/>
    <n v="0.67879400000000001"/>
    <n v="2.105912"/>
    <n v="3.1099749999999999"/>
  </r>
  <r>
    <x v="37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03"/>
    <n v="0.34273100000000001"/>
    <n v="0.75768999999999997"/>
    <n v="2.134169"/>
    <n v="3.0515569999999999"/>
    <n v="2.23021"/>
    <n v="7.9960313258430151"/>
    <n v="0.67958799999999997"/>
    <n v="2.0916250000000001"/>
    <n v="3.0925129999999998"/>
  </r>
  <r>
    <x v="37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4098400000000001"/>
    <n v="0.75594399999999995"/>
    <n v="2.1275019999999998"/>
    <n v="3.0406029999999999"/>
    <n v="2.2357659999999999"/>
    <n v="7.9671575882395347"/>
    <n v="0.67514300000000005"/>
    <n v="2.0814650000000001"/>
    <n v="3.077591"/>
  </r>
  <r>
    <x v="37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3952"/>
    <n v="0.34050799999999998"/>
    <n v="0.76229400000000003"/>
    <n v="2.1636950000000001"/>
    <n v="3.0660020000000001"/>
    <n v="2.2141760000000001"/>
    <n v="8.0267599272448038"/>
    <n v="0.670539"/>
    <n v="2.0781320000000001"/>
    <n v="3.0701299999999998"/>
  </r>
  <r>
    <x v="37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252"/>
    <n v="0.33892099999999997"/>
    <n v="0.747054"/>
    <n v="2.1355979999999999"/>
    <n v="3.05362"/>
    <n v="2.2303679999999999"/>
    <n v="7.9521870512407231"/>
    <n v="0.670539"/>
    <n v="2.0765440000000002"/>
    <n v="3.06759"/>
  </r>
  <r>
    <x v="37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9191"/>
    <n v="0.33749200000000001"/>
    <n v="0.75324500000000005"/>
    <n v="2.055749"/>
    <n v="3.0298090000000002"/>
    <n v="2.2294160000000001"/>
    <n v="7.9651719317409082"/>
    <n v="0.67466700000000002"/>
    <n v="2.010983"/>
    <n v="3.0420319999999998"/>
  </r>
  <r>
    <x v="37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302"/>
    <n v="0.33781"/>
    <n v="0.75054699999999996"/>
    <n v="2.0620989999999999"/>
    <n v="3.030761"/>
    <n v="2.2483070000000001"/>
    <n v="7.9669725653856789"/>
    <n v="0.66815800000000003"/>
    <n v="2.0012989999999999"/>
    <n v="3.0367929999999999"/>
  </r>
  <r>
    <x v="38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53799999999999"/>
    <n v="0.320824"/>
    <n v="0.73165599999999997"/>
    <n v="2.0505100000000001"/>
    <n v="2.9869469999999998"/>
    <n v="2.2181449999999998"/>
    <n v="8.0391439036008485"/>
    <n v="0.64974399999999999"/>
    <n v="1.9882820000000001"/>
    <n v="3.0204430000000002"/>
  </r>
  <r>
    <x v="38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9506"/>
    <n v="0.31780799999999998"/>
    <n v="0.726576"/>
    <n v="2.0506690000000001"/>
    <n v="2.9799630000000001"/>
    <n v="2.2159230000000001"/>
    <n v="7.9312203161382842"/>
    <n v="0.64752100000000001"/>
    <n v="1.9841549999999999"/>
    <n v="2.9574210000000001"/>
  </r>
  <r>
    <x v="38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22040000000001"/>
    <n v="0.31717299999999998"/>
    <n v="0.72308399999999995"/>
    <n v="2.05559"/>
    <n v="2.9885350000000002"/>
    <n v="2.220685"/>
    <n v="7.8027972502025218"/>
    <n v="0.64101300000000005"/>
    <n v="1.9892350000000001"/>
    <n v="2.9690089999999998"/>
  </r>
  <r>
    <x v="38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1796600000000003"/>
    <n v="0.72340099999999996"/>
    <n v="2.0486049999999998"/>
    <n v="2.9785339999999998"/>
    <n v="2.2200500000000001"/>
    <n v="7.907239641046572"/>
    <n v="0.64148899999999998"/>
    <n v="1.9892350000000001"/>
    <n v="2.9683739999999998"/>
  </r>
  <r>
    <x v="38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5536"/>
    <n v="0.31637900000000002"/>
    <n v="0.72038500000000005"/>
    <n v="2.0393979999999998"/>
    <n v="2.9625010000000001"/>
    <n v="2.1852849999999999"/>
    <n v="7.7930059811085952"/>
    <n v="0.63577399999999995"/>
    <n v="1.973201"/>
    <n v="2.9456739999999999"/>
  </r>
  <r>
    <x v="38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06140000000001"/>
    <n v="0.315585"/>
    <n v="0.71990900000000002"/>
    <n v="2.0398740000000002"/>
    <n v="2.9547219999999998"/>
    <n v="2.197667"/>
    <n v="7.6552644262343099"/>
    <n v="0.63228200000000001"/>
    <n v="1.96574"/>
    <n v="2.9378950000000001"/>
  </r>
  <r>
    <x v="38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20420000000001"/>
    <n v="0.31431500000000001"/>
    <n v="0.71467000000000003"/>
    <n v="2.0459070000000001"/>
    <n v="2.9691679999999998"/>
    <n v="2.2181449999999998"/>
    <n v="7.650026392372852"/>
    <n v="0.625614"/>
    <n v="1.973519"/>
    <n v="2.952976"/>
  </r>
  <r>
    <x v="38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109"/>
    <n v="0.31304500000000002"/>
    <n v="0.710225"/>
    <n v="2.0473349999999999"/>
    <n v="2.962342"/>
    <n v="2.240211"/>
    <n v="7.7524010934831917"/>
    <n v="0.62307400000000002"/>
    <n v="1.9617720000000001"/>
    <n v="2.9345620000000001"/>
  </r>
  <r>
    <x v="38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3311"/>
    <n v="0.31129899999999999"/>
    <n v="0.70689199999999996"/>
    <n v="2.0441600000000002"/>
    <n v="2.9548809999999999"/>
    <n v="2.2400519999999999"/>
    <n v="7.6994355028319914"/>
    <n v="0.61926499999999995"/>
    <n v="1.9593910000000001"/>
    <n v="2.9272589999999998"/>
  </r>
  <r>
    <x v="38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6013"/>
    <n v="0.30986999999999998"/>
    <n v="0.72006800000000004"/>
    <n v="2.0459070000000001"/>
    <n v="2.9429750000000001"/>
    <n v="2.2706900000000001"/>
    <n v="7.5205207970425825"/>
    <n v="0.62466200000000005"/>
    <n v="1.9724079999999999"/>
    <n v="2.9467850000000002"/>
  </r>
  <r>
    <x v="39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3474"/>
    <n v="0.30828299999999997"/>
    <n v="0.723719"/>
    <n v="2.0732110000000001"/>
    <n v="2.9763109999999999"/>
    <n v="2.2722769999999999"/>
    <n v="7.5300301202480657"/>
    <n v="0.63466299999999998"/>
    <n v="1.994632"/>
    <n v="2.9848840000000001"/>
  </r>
  <r>
    <x v="39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3633"/>
    <n v="0.30764799999999998"/>
    <n v="0.72625899999999999"/>
    <n v="2.0813069999999998"/>
    <n v="2.9932970000000001"/>
    <n v="2.2913260000000002"/>
    <n v="7.670032588217973"/>
    <n v="0.63434500000000005"/>
    <n v="2.0062199999999999"/>
    <n v="2.99552"/>
  </r>
  <r>
    <x v="39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0177399999999999"/>
    <n v="0.723719"/>
    <n v="2.0538439999999998"/>
    <n v="2.9596429999999998"/>
    <n v="2.2724359999999999"/>
    <n v="7.3454005487441254"/>
    <n v="0.636409"/>
    <n v="2.0028869999999999"/>
    <n v="2.9912339999999999"/>
  </r>
  <r>
    <x v="39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6647"/>
    <n v="0.295742"/>
    <n v="0.72054399999999996"/>
    <n v="2.0449540000000002"/>
    <n v="2.9502769999999998"/>
    <n v="2.261641"/>
    <n v="7.4215460120958037"/>
    <n v="0.63228200000000001"/>
    <n v="1.9995529999999999"/>
    <n v="2.9872649999999998"/>
  </r>
  <r>
    <x v="39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9663"/>
    <n v="0.29764699999999999"/>
    <n v="0.72340099999999996"/>
    <n v="2.0395569999999998"/>
    <n v="2.9404349999999999"/>
    <n v="2.271801"/>
    <n v="7.5553812202297488"/>
    <n v="0.63402800000000004"/>
    <n v="1.986853"/>
    <n v="2.9642469999999999"/>
  </r>
  <r>
    <x v="39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3949"/>
    <n v="0.30225099999999999"/>
    <n v="0.72927500000000001"/>
    <n v="2.0347940000000002"/>
    <n v="2.9290050000000001"/>
    <n v="2.2643399999999998"/>
    <n v="7.5626497642306116"/>
    <n v="0.641648"/>
    <n v="1.985425"/>
    <n v="2.9574210000000001"/>
  </r>
  <r>
    <x v="39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31540000000001"/>
    <n v="0.30129800000000001"/>
    <n v="0.72594099999999995"/>
    <n v="2.019396"/>
    <n v="2.9017010000000001"/>
    <n v="2.2378290000000001"/>
    <n v="7.3105504438779425"/>
    <n v="0.63894899999999999"/>
    <n v="1.961454"/>
    <n v="2.9205920000000001"/>
  </r>
  <r>
    <x v="39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75990000000001"/>
    <n v="0.30082199999999998"/>
    <n v="0.72705200000000003"/>
    <n v="2.0447950000000001"/>
    <n v="2.9221789999999999"/>
    <n v="2.239576"/>
    <n v="7.3271791812131566"/>
    <n v="0.63244"/>
    <n v="1.9533579999999999"/>
    <n v="2.9129719999999999"/>
  </r>
  <r>
    <x v="39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63269999999999"/>
    <n v="0.30796499999999999"/>
    <n v="0.73308499999999999"/>
    <n v="2.0543200000000001"/>
    <n v="2.9156710000000001"/>
    <n v="2.2460840000000002"/>
    <n v="7.5225208149060867"/>
    <n v="0.637679"/>
    <n v="1.9590730000000001"/>
    <n v="2.9093209999999998"/>
  </r>
  <r>
    <x v="39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71210000000001"/>
    <n v="0.307172"/>
    <n v="0.737371"/>
    <n v="2.0609869999999999"/>
    <n v="2.9091619999999998"/>
    <n v="2.239099"/>
    <n v="7.3462085501719718"/>
    <n v="0.63894899999999999"/>
    <n v="1.9633590000000001"/>
    <n v="2.915988"/>
  </r>
  <r>
    <x v="40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361"/>
    <n v="0.30907699999999999"/>
    <n v="0.74276799999999998"/>
    <n v="2.0668609999999998"/>
    <n v="2.9329740000000002"/>
    <n v="2.2490999999999999"/>
    <n v="7.269404100831971"/>
    <n v="0.64704499999999998"/>
    <n v="1.9866950000000001"/>
    <n v="2.9490069999999999"/>
  </r>
  <r>
    <x v="40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39470000000001"/>
    <n v="0.30796499999999999"/>
    <n v="0.70593899999999998"/>
    <n v="2.046224"/>
    <n v="2.9386890000000001"/>
    <n v="2.2722769999999999"/>
    <n v="7.2367155603282427"/>
    <n v="0.64514000000000005"/>
    <n v="1.987965"/>
    <n v="2.9661520000000001"/>
  </r>
  <r>
    <x v="40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06537"/>
    <n v="0.79832899999999996"/>
    <n v="2.1094050000000002"/>
    <n v="2.9742479999999998"/>
    <n v="2.3138679999999998"/>
    <n v="7.4586093829788149"/>
    <n v="0.64498100000000003"/>
    <n v="2.0074900000000002"/>
    <n v="2.998218"/>
  </r>
  <r>
    <x v="40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919"/>
    <n v="0.27050200000000002"/>
    <n v="0.77880300000000002"/>
    <n v="2.1221040000000002"/>
    <n v="3.003457"/>
    <n v="2.3048199999999999"/>
    <n v="7.1322825788014113"/>
    <n v="0.61736000000000002"/>
    <n v="2.0119349999999998"/>
    <n v="3.0161560000000001"/>
  </r>
  <r>
    <x v="40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83990000000001"/>
    <n v="0.26923200000000003"/>
    <n v="0.78308900000000004"/>
    <n v="2.1917930000000001"/>
    <n v="3.1383899999999998"/>
    <n v="2.3014860000000001"/>
    <n v="7.6103397678474698"/>
    <n v="0.62053499999999995"/>
    <n v="2.0703529999999999"/>
    <n v="3.1329929999999999"/>
  </r>
  <r>
    <x v="40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891399999999999"/>
    <n v="0.78070799999999996"/>
    <n v="2.1681400000000002"/>
    <n v="3.09918"/>
    <n v="2.3605390000000002"/>
    <n v="7.6467293770326155"/>
    <n v="0.617201"/>
    <n v="2.051145"/>
    <n v="3.1039430000000001"/>
  </r>
  <r>
    <x v="40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778"/>
    <n v="0.26780300000000001"/>
    <n v="0.77626300000000004"/>
    <n v="2.1559170000000001"/>
    <n v="3.0826709999999999"/>
    <n v="2.339585"/>
    <n v="7.5638134523194065"/>
    <n v="0.60989899999999997"/>
    <n v="2.0309849999999998"/>
    <n v="3.0755270000000001"/>
  </r>
  <r>
    <x v="40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25260000000001"/>
    <n v="0.26684999999999998"/>
    <n v="0.78118500000000002"/>
    <n v="2.194016"/>
    <n v="3.14601"/>
    <n v="2.3843510000000001"/>
    <n v="7.4905788068398538"/>
    <n v="0.61228000000000005"/>
    <n v="2.0774970000000001"/>
    <n v="3.1455340000000001"/>
  </r>
  <r>
    <x v="40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78"/>
    <n v="0.265739"/>
    <n v="0.78134300000000001"/>
    <n v="2.1900469999999999"/>
    <n v="3.1404540000000001"/>
    <n v="2.3383150000000001"/>
    <n v="7.4923435031292591"/>
    <n v="0.60862899999999998"/>
    <n v="2.0728930000000001"/>
    <n v="3.1393430000000002"/>
  </r>
  <r>
    <x v="40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82400000000001"/>
    <n v="0.26605699999999999"/>
    <n v="0.78054999999999997"/>
    <n v="2.1856019999999998"/>
    <n v="3.1337869999999999"/>
    <n v="2.3373629999999999"/>
    <n v="7.5365657033702087"/>
    <n v="0.60386600000000001"/>
    <n v="2.0679720000000001"/>
    <n v="3.1318820000000001"/>
  </r>
  <r>
    <x v="41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494600000000001"/>
    <n v="0.779756"/>
    <n v="2.1746490000000001"/>
    <n v="3.122833"/>
    <n v="2.325615"/>
    <n v="7.5108288124322478"/>
    <n v="0.60085"/>
    <n v="2.0567009999999999"/>
    <n v="3.1156899999999998"/>
  </r>
  <r>
    <x v="41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3517"/>
    <n v="0.77864500000000003"/>
    <n v="2.1694100000000001"/>
    <n v="3.1155309999999998"/>
    <n v="2.3191069999999998"/>
    <n v="7.4515082065053191"/>
    <n v="0.59783399999999998"/>
    <n v="2.0493990000000002"/>
    <n v="3.1077520000000001"/>
  </r>
  <r>
    <x v="41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303"/>
    <n v="0.26589800000000002"/>
    <n v="0.79324899999999998"/>
    <n v="2.1630600000000002"/>
    <n v="3.0934650000000001"/>
    <n v="2.3672070000000001"/>
    <n v="7.4019193235780394"/>
    <n v="0.60799400000000003"/>
    <n v="2.0328889999999999"/>
    <n v="3.0834640000000002"/>
  </r>
  <r>
    <x v="41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9669"/>
    <n v="0.26558100000000001"/>
    <n v="0.79245500000000002"/>
    <n v="2.1641720000000002"/>
    <n v="3.091402"/>
    <n v="2.3743500000000002"/>
    <n v="7.4064625056013025"/>
    <n v="0.60688200000000003"/>
    <n v="2.0301909999999999"/>
    <n v="3.0798130000000001"/>
  </r>
  <r>
    <x v="41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2365"/>
    <n v="0.26256400000000002"/>
    <n v="0.78816900000000001"/>
    <n v="2.1417890000000002"/>
    <n v="3.0426669999999998"/>
    <n v="2.3522850000000002"/>
    <n v="7.4118936175636163"/>
    <n v="0.59989800000000004"/>
    <n v="2.009236"/>
    <n v="3.0480640000000001"/>
  </r>
  <r>
    <x v="41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6839999999999"/>
    <n v="0.26145299999999999"/>
    <n v="0.78753399999999996"/>
    <n v="2.156711"/>
    <n v="3.0618750000000001"/>
    <n v="2.3408549999999999"/>
    <n v="7.3141084781585501"/>
    <n v="0.60243800000000003"/>
    <n v="2.019396"/>
    <n v="3.067431"/>
  </r>
  <r>
    <x v="41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097700000000001"/>
    <n v="0.78594699999999995"/>
    <n v="2.1444869999999998"/>
    <n v="3.040127"/>
    <n v="2.325774"/>
    <n v="7.282321733237505"/>
    <n v="0.59926299999999999"/>
    <n v="2.0070139999999999"/>
    <n v="3.0471119999999998"/>
  </r>
  <r>
    <x v="41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064"/>
    <n v="0.26097700000000001"/>
    <n v="0.78896299999999997"/>
    <n v="2.1497259999999998"/>
    <n v="3.0374279999999998"/>
    <n v="2.3291080000000002"/>
    <n v="7.2773168343928258"/>
    <n v="0.59862800000000005"/>
    <n v="2.005585"/>
    <n v="3.0439370000000001"/>
  </r>
  <r>
    <x v="41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192900000000002"/>
    <n v="0.79118500000000003"/>
    <n v="2.152425"/>
    <n v="3.0404439999999999"/>
    <n v="2.339267"/>
    <n v="7.2688031216623177"/>
    <n v="0.59958"/>
    <n v="2.005903"/>
    <n v="3.046001"/>
  </r>
  <r>
    <x v="41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256400000000002"/>
    <n v="0.79197899999999999"/>
    <n v="2.14798"/>
    <n v="3.035682"/>
    <n v="2.3630789999999999"/>
    <n v="7.2797716851885079"/>
    <n v="0.59624699999999997"/>
    <n v="2.6754899999999999"/>
    <n v="4.0686359999999997"/>
  </r>
  <r>
    <x v="42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429"/>
    <n v="0.26161200000000001"/>
    <n v="0.79404300000000005"/>
    <n v="2.1497259999999998"/>
    <n v="3.036476"/>
    <n v="2.3699050000000002"/>
    <n v="7.3901983707021293"/>
    <n v="0.59291300000000002"/>
    <n v="2.6702509999999999"/>
    <n v="4.0611750000000004"/>
  </r>
  <r>
    <x v="42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173"/>
    <n v="0.26081799999999999"/>
    <n v="0.79181999999999997"/>
    <n v="2.1403599999999998"/>
    <n v="3.0207600000000001"/>
    <n v="2.3643489999999998"/>
    <n v="7.3684206820753939"/>
    <n v="0.591167"/>
    <n v="2.6677110000000002"/>
    <n v="4.0648260000000001"/>
  </r>
  <r>
    <x v="42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0303"/>
    <n v="0.26081799999999999"/>
    <n v="0.794678"/>
    <n v="2.1506780000000001"/>
    <n v="3.0420319999999998"/>
    <n v="2.35419"/>
    <n v="7.3323973646894416"/>
    <n v="0.59434200000000004"/>
    <n v="2.6888239999999999"/>
    <n v="4.0892730000000004"/>
  </r>
  <r>
    <x v="42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8397"/>
    <n v="0.244944"/>
    <n v="0.777057"/>
    <n v="2.1403599999999998"/>
    <n v="3.0301260000000001"/>
    <n v="2.3211710000000001"/>
    <n v="7.2378885951596006"/>
    <n v="0.58164199999999999"/>
    <n v="2.6761249999999999"/>
    <n v="4.0678429999999999"/>
  </r>
  <r>
    <x v="42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905"/>
    <n v="0.24272099999999999"/>
    <n v="0.77658099999999997"/>
    <n v="2.1502020000000002"/>
    <n v="3.0393330000000001"/>
    <n v="2.3470460000000002"/>
    <n v="7.1413841931145008"/>
    <n v="0.58084800000000003"/>
    <n v="2.6886649999999999"/>
    <n v="4.0873679999999997"/>
  </r>
  <r>
    <x v="42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53840000000001"/>
    <n v="0.242562"/>
    <n v="0.78896299999999997"/>
    <n v="2.1873480000000001"/>
    <n v="3.1058469999999998"/>
    <n v="2.3527610000000001"/>
    <n v="7.1172317915306991"/>
    <n v="0.59100799999999998"/>
    <n v="2.7385109999999999"/>
    <n v="4.1915050000000003"/>
  </r>
  <r>
    <x v="42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47500000000001"/>
    <n v="0.28875699999999999"/>
    <n v="0.79086800000000002"/>
    <n v="2.18973"/>
    <n v="3.1217220000000001"/>
    <n v="2.3751440000000001"/>
    <n v="6.9172891999094581"/>
    <n v="0.59481799999999996"/>
    <n v="2.770737"/>
    <n v="4.2370650000000003"/>
  </r>
  <r>
    <x v="42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0209999999999"/>
    <n v="0.28812199999999999"/>
    <n v="0.88976599999999995"/>
    <n v="2.2232249999999998"/>
    <n v="3.1655359999999999"/>
    <n v="2.39086"/>
    <n v="6.9701460887245936"/>
    <n v="0.59831000000000001"/>
    <n v="2.8059780000000001"/>
    <n v="4.2921490000000002"/>
  </r>
  <r>
    <x v="42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65"/>
    <n v="0.29050300000000001"/>
    <n v="0.76404000000000005"/>
    <n v="2.2640220000000002"/>
    <n v="3.2252239999999999"/>
    <n v="2.3964159999999999"/>
    <n v="6.9478095996626044"/>
    <n v="0.60958100000000004"/>
    <n v="2.8439179999999999"/>
    <n v="4.3615209999999998"/>
  </r>
  <r>
    <x v="42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8150000000001"/>
    <n v="0.27859800000000001"/>
    <n v="0.76594499999999999"/>
    <n v="2.2519580000000001"/>
    <n v="3.209349"/>
    <n v="2.3516499999999998"/>
    <n v="6.9654371260776351"/>
    <n v="0.60688200000000003"/>
    <n v="2.8305829999999998"/>
    <n v="4.3413599999999999"/>
  </r>
  <r>
    <x v="43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1799999999999"/>
    <n v="0.30415599999999998"/>
    <n v="0.76816700000000004"/>
    <n v="2.2498939999999998"/>
    <n v="3.2055389999999999"/>
    <n v="2.3516499999999998"/>
    <n v="6.8452583427801263"/>
    <n v="0.60656500000000002"/>
    <n v="2.8170899999999999"/>
    <n v="4.340249"/>
  </r>
  <r>
    <x v="43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852280000000001"/>
    <n v="0.30288599999999999"/>
    <n v="0.77800999999999998"/>
    <n v="2.312122"/>
    <n v="3.2704659999999999"/>
    <n v="2.6443759999999998"/>
    <n v="7.0387893986636625"/>
    <n v="0.60545400000000005"/>
    <n v="2.8172489999999999"/>
    <n v="4.3278670000000004"/>
  </r>
  <r>
    <x v="43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90360000000001"/>
    <n v="0.30177399999999999"/>
    <n v="0.77245399999999997"/>
    <n v="2.2779919999999998"/>
    <n v="3.2268110000000001"/>
    <n v="2.5837349999999999"/>
    <n v="7.0246551739795651"/>
    <n v="0.60053299999999998"/>
    <n v="2.7923260000000001"/>
    <n v="4.2731000000000003"/>
  </r>
  <r>
    <x v="43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87229999999999"/>
    <n v="0.29971100000000001"/>
    <n v="0.78515299999999999"/>
    <n v="2.317361"/>
    <n v="3.2890389999999998"/>
    <n v="2.6477089999999999"/>
    <n v="7.2413438800442886"/>
    <n v="0.61212100000000003"/>
    <n v="2.8609040000000001"/>
    <n v="4.386444"/>
  </r>
  <r>
    <x v="43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18980000000001"/>
    <n v="0.30145699999999997"/>
    <n v="0.79547199999999996"/>
    <n v="2.3319649999999998"/>
    <n v="3.3217409999999998"/>
    <n v="2.6664409999999998"/>
    <n v="7.2851964889604837"/>
    <n v="0.61767700000000003"/>
    <n v="2.8918590000000002"/>
    <n v="4.424701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9B12D-8BC4-4DC0-8D21-8E8CF8E1CF00}" name="Tabella pivot6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Q3:T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5" baseField="0" baseItem="0"/>
    <dataField name="Limite maggiorato" fld="15" baseField="0" baseItem="0"/>
    <dataField name="Azionario" fld="26" baseField="0" baseItem="0"/>
  </dataFields>
  <chartFormats count="3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03F68-10E0-4603-94D3-869C97E394A3}" name="Tabella pivot7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1">
  <location ref="U3:X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6" baseField="0" baseItem="0"/>
    <dataField name="Limite maggiorato" fld="16" baseField="0" baseItem="0"/>
    <dataField name="Transizione Climatica" fld="27" baseField="0" baseItem="0"/>
  </dataFields>
  <chartFormats count="23"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45368-0930-406B-AE86-5A0ADD8BFF2E}" name="Tabella pivot4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I3:L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3" baseField="0" baseItem="0"/>
    <dataField name="Limite maggiorato" fld="13" baseField="0" baseItem="0"/>
    <dataField name="Obbligazionario Misto" fld="24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EDEC4-CC19-485E-8242-B7BA9C81C06A}" name="Tabella pivot3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6">
  <location ref="E3:H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2" baseField="0" baseItem="0"/>
    <dataField name="Limite maggiorato" fld="12" baseField="0" baseItem="0"/>
    <dataField name="Breve Termine" fld="23" baseField="0" baseItem="0"/>
  </dataFields>
  <chartFormats count="3">
    <chartFormat chart="3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CD3A5-6258-4F3D-A40A-E3E6A2FB5DCF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8">
  <location ref="A3:D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1" baseField="0" baseItem="0"/>
    <dataField name="Limite maggiorato" fld="11" baseField="0" baseItem="0"/>
    <dataField name="Rendita Bilanciata" fld="22" baseField="0" baseItem="0"/>
  </dataFields>
  <chartFormats count="3"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A6584-F40D-406D-8876-74C689E73CE4}" name="Tabella pivot8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3">
  <location ref="Y3:AB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7" baseField="0" baseItem="0"/>
    <dataField name="Obiettivo Sociale" fld="28" baseField="0" baseItem="0"/>
    <dataField name="Limite Maggiorato" fld="18" baseField="0" baseItem="0"/>
  </dataFields>
  <chartFormats count="25">
    <chartFormat chart="3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AA0B2-9055-42E7-BE13-0D6D86939883}" name="Tabella pivot5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M3:P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4" baseField="0" baseItem="0"/>
    <dataField name="Limite maggiorato" fld="14" baseField="0" baseItem="0"/>
    <dataField name="Bilanciato" fld="2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EC9BDB-D73D-42C3-A34B-91C053A527E0}" name="TBL_TEV" displayName="TBL_TEV" ref="A1:M499" totalsRowShown="0" headerRowDxfId="41">
  <autoFilter ref="A1:M499" xr:uid="{AAEC9BDB-D73D-42C3-A34B-91C053A527E0}"/>
  <tableColumns count="13">
    <tableColumn id="1" xr3:uid="{00AD54D2-C9D7-4C0D-A852-5A05572CBFDE}" name="Data"/>
    <tableColumn id="2" xr3:uid="{FF7D7ED4-E4FF-4E64-A8F7-2F446364CCAA}" name="Etica Rendita Bilanciata"/>
    <tableColumn id="3" xr3:uid="{3E721598-CFC3-4457-8BB4-A9230134D8DD}" name="Etica Obbligazionario Breve Termine"/>
    <tableColumn id="4" xr3:uid="{9147A9AE-DED8-44A0-88CD-D78BA3D18329}" name="Etica Obbligazionario Misto"/>
    <tableColumn id="5" xr3:uid="{63FDAB4B-236D-4D19-B430-68C1C76C7979}" name="Etica Bilanciato"/>
    <tableColumn id="6" xr3:uid="{E02E64C9-CEF2-484D-BF1A-BE6F96F7A716}" name="Etica Azionario"/>
    <tableColumn id="7" xr3:uid="{53E30364-370A-4DEF-8708-47A33D3F59F5}" name="Etica Transizione Climatica"/>
    <tableColumn id="8" xr3:uid="{89B03D39-E7E2-46C2-846E-A5870AEBB2EE}" name="Etica Obiettivo Sociale" dataDxfId="40">
      <calculatedColumnFormula>TBL_Dati_OS[[#This Row],[Valore Volatilità]]</calculatedColumnFormula>
    </tableColumn>
    <tableColumn id="9" xr3:uid="{29F0B734-2E68-428F-86CE-FF344B626AE2}" name="Etica Conservative Allocation"/>
    <tableColumn id="10" xr3:uid="{4D51A48C-32E9-47EE-ABDA-00323DB79319}" name="Etica Dynamic Allocation"/>
    <tableColumn id="11" xr3:uid="{6F945B6B-076C-49B4-A3DF-32AB92781A4E}" name="Etica Global Equity"/>
    <tableColumn id="12" xr3:uid="{A65D497C-2E90-45A4-82AC-955C376E63E6}" name="Data2" dataDxfId="39">
      <calculatedColumnFormula>DATE(LEFT(TBL_TEV[[#This Row],[Data]],4),MID(TBL_TEV[[#This Row],[Data]],5,2),RIGHT(TBL_TEV[[#This Row],[Data]],2))</calculatedColumnFormula>
    </tableColumn>
    <tableColumn id="13" xr3:uid="{69BBFA23-5049-4769-B859-85554D4A5AE6}" name="Filtro" dataDxfId="38">
      <calculatedColumnFormula array="1">IF(_xlfn.SINGLE(TBL_TEV[Data2])&gt;=INDIRECT("L"&amp;COUNTA(TBL_TEV[Data])+1)-365, "Ultimi 12 mesi", "Vecchi dati")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34B845-D875-4EE3-8020-23568AC09D3E}" name="TBL_Dati_OS" displayName="TBL_Dati_OS" ref="B1:D505" totalsRowShown="0">
  <autoFilter ref="B1:D505" xr:uid="{2234B845-D875-4EE3-8020-23568AC09D3E}"/>
  <tableColumns count="3">
    <tableColumn id="2" xr3:uid="{AC39284E-1699-4353-8271-DEF5109BF0A4}" name="Valore Volatilità" dataDxfId="37">
      <calculatedColumnFormula>TBL_Dati_OS[[#This Row],[VaR OS]]/2.33*SQRT(260)</calculatedColumnFormula>
    </tableColumn>
    <tableColumn id="3" xr3:uid="{CE383943-F4F6-482E-8F45-58F259876764}" name="Data Da File VaR" dataDxfId="36"/>
    <tableColumn id="4" xr3:uid="{067EA514-FA45-4129-8105-FEC6A3A552F9}" name="VaR OS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B06745-704C-41C4-BDA0-B6C188420FA6}" name="TBL_Limiti_CDA" displayName="TBL_Limiti_CDA" ref="A1:K22" totalsRowShown="0" headerRowDxfId="34">
  <autoFilter ref="A1:K22" xr:uid="{9AB06745-704C-41C4-BDA0-B6C188420FA6}"/>
  <tableColumns count="11">
    <tableColumn id="1" xr3:uid="{EA63FED4-629C-4A1F-898A-1F8427436DF0}" name="Data" dataDxfId="33"/>
    <tableColumn id="2" xr3:uid="{00A5E9CC-9F89-4567-93C9-0C0E2912E776}" name="Etica Rendita Bilanciata"/>
    <tableColumn id="3" xr3:uid="{4C919917-6E9C-4900-9631-7E2E078E3438}" name="Etica Obbligazionario Breve Termine"/>
    <tableColumn id="4" xr3:uid="{BB6AA5CE-D335-4F7D-968A-D23879820CFD}" name="Etica Obbligazionario Misto"/>
    <tableColumn id="5" xr3:uid="{E9132B6F-6145-4CEF-BB0E-7995EFF32B9C}" name="Etica Bilanciato"/>
    <tableColumn id="6" xr3:uid="{3D3B96BA-0AB6-4570-A388-6FD08D99D333}" name="Etica Azionario"/>
    <tableColumn id="7" xr3:uid="{FE4B9DE5-B766-4748-B0AA-0342768A3B10}" name="Etica Transizione Climatica"/>
    <tableColumn id="8" xr3:uid="{63145D8A-3619-4D14-98E7-6EB753A08C03}" name="Etica Obiettivo Sociale"/>
    <tableColumn id="9" xr3:uid="{BFE52E47-A859-4328-A911-4217F20484F2}" name="Etica Conservative Allocation">
      <calculatedColumnFormula>D2</calculatedColumnFormula>
    </tableColumn>
    <tableColumn id="10" xr3:uid="{38736CA5-796D-4F30-918B-AD82C450B569}" name="Etica Dynamic Allocation">
      <calculatedColumnFormula>E2</calculatedColumnFormula>
    </tableColumn>
    <tableColumn id="11" xr3:uid="{53B7EC06-A0C5-449F-82C8-E9B17485458D}" name="Etica Global Equity">
      <calculatedColumnFormula>F2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188776-6082-438E-B512-F6F25EC8B02A}" name="TBL_DB" displayName="TBL_DB" ref="A1:AF505" totalsRowShown="0" headerRowDxfId="32">
  <autoFilter ref="A1:AF505" xr:uid="{B1188776-6082-438E-B512-F6F25EC8B02A}"/>
  <tableColumns count="32">
    <tableColumn id="1" xr3:uid="{3BAD2D72-2DDF-49BD-8553-086A1483D400}" name="Data" dataDxfId="31">
      <calculatedColumnFormula>TBL_TEV[[#This Row],[Data2]]</calculatedColumnFormula>
    </tableColumn>
    <tableColumn id="2" xr3:uid="{438250C3-7F0B-4B8F-B0BE-900F9AA95BFA}" name="Limite RB" dataDxfId="30">
      <calculatedColumnFormula array="1">_xlfn.XLOOKUP(_xlfn.ANCHORARRAY(A2), TBL_Limiti_CDA[Data], TBL_Limiti_CDA[Etica Rendita Bilanciata], , -1)</calculatedColumnFormula>
    </tableColumn>
    <tableColumn id="3" xr3:uid="{F8F64E93-7386-4C15-967A-9D4EAFEFD643}" name="Limite BT" dataDxfId="29">
      <calculatedColumnFormula array="1">_xlfn.XLOOKUP(_xlfn.ANCHORARRAY(A2), TBL_Limiti_CDA[Data], TBL_Limiti_CDA[Etica Obbligazionario Breve Termine], , -1)</calculatedColumnFormula>
    </tableColumn>
    <tableColumn id="4" xr3:uid="{F1ABF7A2-E691-4240-B84F-90EFDCA8D0D8}" name="Limite OM" dataDxfId="28">
      <calculatedColumnFormula array="1">_xlfn.XLOOKUP(_xlfn.ANCHORARRAY(A2), TBL_Limiti_CDA[Data], TBL_Limiti_CDA[Etica Obbligazionario Misto], , -1)</calculatedColumnFormula>
    </tableColumn>
    <tableColumn id="5" xr3:uid="{1B064C28-6E29-4985-8255-F15018905B31}" name="Limite Bil" dataDxfId="27">
      <calculatedColumnFormula array="1">_xlfn.XLOOKUP(_xlfn.ANCHORARRAY(A2), TBL_Limiti_CDA[Data], TBL_Limiti_CDA[Etica Bilanciato], , -1)</calculatedColumnFormula>
    </tableColumn>
    <tableColumn id="6" xr3:uid="{BEA4C45A-452A-47E7-97A1-41D9FD8CB1AB}" name="Limite AZ" dataDxfId="26">
      <calculatedColumnFormula array="1">_xlfn.XLOOKUP(_xlfn.ANCHORARRAY(A2), TBL_Limiti_CDA[Data], TBL_Limiti_CDA[Etica Azionario], , -1)</calculatedColumnFormula>
    </tableColumn>
    <tableColumn id="7" xr3:uid="{C3E7AE36-DC36-4D17-BA54-695FCAD39ED1}" name="Limite IC" dataDxfId="25">
      <calculatedColumnFormula array="1">_xlfn.XLOOKUP(_xlfn.ANCHORARRAY(A2), TBL_Limiti_CDA[Data], TBL_Limiti_CDA[Etica Transizione Climatica], , -1)</calculatedColumnFormula>
    </tableColumn>
    <tableColumn id="8" xr3:uid="{5B107DA7-5047-4DDD-B408-2DC74787F27A}" name="Limite OS" dataDxfId="24">
      <calculatedColumnFormula array="1">_xlfn.XLOOKUP(_xlfn.ANCHORARRAY(A2), TBL_Limiti_CDA[Data], TBL_Limiti_CDA[Etica Obiettivo Sociale], , -1)</calculatedColumnFormula>
    </tableColumn>
    <tableColumn id="9" xr3:uid="{79254D82-9C52-4399-BF2F-FAFA355E9110}" name="Limite Cons" dataDxfId="23">
      <calculatedColumnFormula array="1">_xlfn.XLOOKUP(_xlfn.ANCHORARRAY(A2), TBL_Limiti_CDA[Data], TBL_Limiti_CDA[Etica Conservative Allocation], , -1)</calculatedColumnFormula>
    </tableColumn>
    <tableColumn id="10" xr3:uid="{DBD1A378-EC0A-4E1F-9AF5-D1FAEDE3327B}" name="Limite Dyn" dataDxfId="22">
      <calculatedColumnFormula array="1">_xlfn.XLOOKUP(_xlfn.ANCHORARRAY(A2), TBL_Limiti_CDA[Data], TBL_Limiti_CDA[Etica Dynamic Allocation], , -1)</calculatedColumnFormula>
    </tableColumn>
    <tableColumn id="11" xr3:uid="{AEE1ABE0-F60B-49D5-9667-6A3D8570CB5A}" name="Limite Glob" dataDxfId="21">
      <calculatedColumnFormula array="1">_xlfn.XLOOKUP(_xlfn.ANCHORARRAY(A2), TBL_Limiti_CDA[Data], TBL_Limiti_CDA[Etica Global Equity], , -1)</calculatedColumnFormula>
    </tableColumn>
    <tableColumn id="12" xr3:uid="{7A9848F2-964D-49C5-ABB0-B4A67636CCC2}" name="Limite maggiorato RB" dataDxfId="20">
      <calculatedColumnFormula array="1">_xlfn.ANCHORARRAY(B2)+0.15</calculatedColumnFormula>
    </tableColumn>
    <tableColumn id="13" xr3:uid="{FE04A546-DA09-45E3-A75C-E014D80F3280}" name="Limite maggiorato BT" dataDxfId="19">
      <calculatedColumnFormula array="1">_xlfn.ANCHORARRAY(C2)+0.1</calculatedColumnFormula>
    </tableColumn>
    <tableColumn id="14" xr3:uid="{19716D80-9686-4B11-ADC6-DB4D75D8E6B0}" name="Limite maggiorato OM" dataDxfId="18">
      <calculatedColumnFormula array="1">_xlfn.ANCHORARRAY(D2)+0.15</calculatedColumnFormula>
    </tableColumn>
    <tableColumn id="15" xr3:uid="{D6EA1A2A-77EC-467E-8836-A3DF51B58FE3}" name="Limite maggiorato Bil" dataDxfId="17">
      <calculatedColumnFormula array="1">_xlfn.ANCHORARRAY(E2)+0.15</calculatedColumnFormula>
    </tableColumn>
    <tableColumn id="16" xr3:uid="{0F722D68-32AD-42CF-843E-9A9277278FFD}" name="Limite maggiorato AZ" dataDxfId="16">
      <calculatedColumnFormula array="1">_xlfn.ANCHORARRAY(F2)+0.15</calculatedColumnFormula>
    </tableColumn>
    <tableColumn id="17" xr3:uid="{8E0C6254-AA59-4C5C-BFB2-8DD5502E0735}" name="Limite maggiorato IC" dataDxfId="15">
      <calculatedColumnFormula array="1">_xlfn.ANCHORARRAY(G2)+0.15</calculatedColumnFormula>
    </tableColumn>
    <tableColumn id="18" xr3:uid="{792811E3-5618-4031-9655-C1B289FB1937}" name="Limite  OS" dataDxfId="14">
      <calculatedColumnFormula array="1">_xlfn.ANCHORARRAY(H2)</calculatedColumnFormula>
    </tableColumn>
    <tableColumn id="19" xr3:uid="{828D5E01-D98A-447C-A2AE-0A12B95E60B3}" name="Limite maggiorato OS" dataDxfId="13">
      <calculatedColumnFormula array="1">_xlfn.ANCHORARRAY(R2)+0.15</calculatedColumnFormula>
    </tableColumn>
    <tableColumn id="32" xr3:uid="{38B9198F-831C-418E-8F62-DF4B3C6F7DC7}" name="Limite maggiorato Cons" dataDxfId="12">
      <calculatedColumnFormula array="1">_xlfn.ANCHORARRAY(I2)+0.15</calculatedColumnFormula>
    </tableColumn>
    <tableColumn id="20" xr3:uid="{F3A37D33-B5CE-4246-882C-D8A857224414}" name="Limite maggiorato Dyn" dataDxfId="11">
      <calculatedColumnFormula array="1">_xlfn.ANCHORARRAY(J2)+0.15</calculatedColumnFormula>
    </tableColumn>
    <tableColumn id="21" xr3:uid="{95998CA2-BCAD-4E96-978E-833180D9DAF9}" name="Limite maggiorato Glob" dataDxfId="10">
      <calculatedColumnFormula array="1">_xlfn.ANCHORARRAY(K2)+0.15</calculatedColumnFormula>
    </tableColumn>
    <tableColumn id="22" xr3:uid="{9B0AA3EB-BDF5-4665-9566-B9F5EB3BA46D}" name="Etica Rendita Bilanciata" dataDxfId="9">
      <calculatedColumnFormula>TBL_TEV[[#This Row],[Etica Rendita Bilanciata]]</calculatedColumnFormula>
    </tableColumn>
    <tableColumn id="23" xr3:uid="{6CB28835-3495-401C-9C4A-004EDC82D881}" name="Etica Obbligazionario Breve Termine" dataDxfId="8">
      <calculatedColumnFormula>TBL_TEV[[#This Row],[Etica Obbligazionario Breve Termine]]</calculatedColumnFormula>
    </tableColumn>
    <tableColumn id="24" xr3:uid="{19DAB3D1-0D99-49DD-A37F-733D53AE0EAC}" name="Etica Obbligazionario Misto" dataDxfId="7">
      <calculatedColumnFormula>TBL_TEV[[#This Row],[Etica Obbligazionario Misto]]</calculatedColumnFormula>
    </tableColumn>
    <tableColumn id="25" xr3:uid="{58F7A3D8-3F0E-4EB1-B76C-9CE7A08B95CD}" name="Etica Bilanciato" dataDxfId="6">
      <calculatedColumnFormula>TBL_TEV[[#This Row],[Etica Bilanciato]]</calculatedColumnFormula>
    </tableColumn>
    <tableColumn id="26" xr3:uid="{E207D7C8-A644-4157-8B37-87EE9D2A1713}" name="Etica Azionario" dataDxfId="5">
      <calculatedColumnFormula>TBL_TEV[[#This Row],[Etica Azionario]]</calculatedColumnFormula>
    </tableColumn>
    <tableColumn id="27" xr3:uid="{8B7DF69C-CC37-4C85-B578-79DCECF2A671}" name="Etica Transizione Climatica" dataDxfId="4">
      <calculatedColumnFormula>TBL_TEV[[#This Row],[Etica Transizione Climatica]]</calculatedColumnFormula>
    </tableColumn>
    <tableColumn id="28" xr3:uid="{468EB60E-26B4-4C2C-A5A9-35E16D055051}" name="Etica Obiettivo Sociale" dataDxfId="3">
      <calculatedColumnFormula>TBL_TEV[[#This Row],[Etica Obiettivo Sociale]]</calculatedColumnFormula>
    </tableColumn>
    <tableColumn id="29" xr3:uid="{64186B78-AF6E-4E1E-AD9D-667E5C9D2B62}" name="Etica Conservative Allocation" dataDxfId="2">
      <calculatedColumnFormula>TBL_TEV[[#This Row],[Etica Conservative Allocation]]</calculatedColumnFormula>
    </tableColumn>
    <tableColumn id="30" xr3:uid="{1FF09BF7-B9AA-4280-B6CC-D39BF5B8EC27}" name="Etica Dynamic Allocation" dataDxfId="1">
      <calculatedColumnFormula>TBL_TEV[[#This Row],[Etica Dynamic Allocation]]</calculatedColumnFormula>
    </tableColumn>
    <tableColumn id="31" xr3:uid="{0E766422-1746-445C-AD48-DC6292EEA7D9}" name="Etica Global Equity" dataDxfId="0">
      <calculatedColumnFormula>TBL_TEV[[#This Row],[Etica Global Equity]]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501"/>
  <sheetViews>
    <sheetView workbookViewId="0">
      <pane ySplit="1" topLeftCell="A423" activePane="bottomLeft" state="frozen"/>
      <selection pane="bottomLeft" activeCell="A2" sqref="A2:N499"/>
    </sheetView>
  </sheetViews>
  <sheetFormatPr defaultColWidth="8.86328125" defaultRowHeight="14.75"/>
  <cols>
    <col min="1" max="1" width="8.6796875" bestFit="1" customWidth="1"/>
    <col min="2" max="2" width="22.6328125" bestFit="1" customWidth="1"/>
    <col min="3" max="3" width="33.54296875" bestFit="1" customWidth="1"/>
    <col min="4" max="4" width="26.04296875" bestFit="1" customWidth="1"/>
    <col min="5" max="5" width="15.7265625" bestFit="1" customWidth="1"/>
    <col min="6" max="6" width="15.40625" bestFit="1" customWidth="1"/>
    <col min="7" max="7" width="25.2265625" bestFit="1" customWidth="1"/>
    <col min="8" max="8" width="21.6328125" bestFit="1" customWidth="1"/>
    <col min="9" max="9" width="27.36328125" bestFit="1" customWidth="1"/>
    <col min="10" max="10" width="23.7265625" bestFit="1" customWidth="1"/>
    <col min="11" max="11" width="18.58984375" bestFit="1" customWidth="1"/>
    <col min="12" max="12" width="10.2265625" style="12" bestFit="1" customWidth="1"/>
    <col min="13" max="13" width="12.31640625" bestFit="1" customWidth="1"/>
    <col min="14" max="14" width="3.6796875" bestFit="1" customWidth="1"/>
    <col min="15" max="15" width="10.7265625" bestFit="1" customWidth="1"/>
    <col min="16" max="16" width="10.2265625" style="12" bestFit="1" customWidth="1"/>
    <col min="17" max="17" width="10.2265625" bestFit="1" customWidth="1"/>
    <col min="21" max="21" width="3.6796875" bestFit="1" customWidth="1"/>
    <col min="34" max="34" width="9.1328125" customWidth="1"/>
  </cols>
  <sheetData>
    <row r="1" spans="1:2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2" t="s">
        <v>11</v>
      </c>
      <c r="M1" s="19" t="s">
        <v>12</v>
      </c>
      <c r="N1" cm="1">
        <f t="array" ref="N1">COUNTA(TBL_TEV[Data]+1)</f>
        <v>498</v>
      </c>
    </row>
    <row r="2" spans="1:21">
      <c r="A2">
        <v>20240102</v>
      </c>
      <c r="B2">
        <v>1.3382210000000001</v>
      </c>
      <c r="C2">
        <v>0.181446</v>
      </c>
      <c r="D2">
        <v>0.63847299999999996</v>
      </c>
      <c r="E2">
        <v>2.0379689999999999</v>
      </c>
      <c r="F2">
        <v>2.9639289999999998</v>
      </c>
      <c r="G2">
        <v>1.8141389999999999</v>
      </c>
      <c r="H2">
        <f>TBL_Dati_OS[[#This Row],[Valore Volatilità]]</f>
        <v>6.0357310402110356</v>
      </c>
      <c r="I2" s="5">
        <v>0.72244900000000001</v>
      </c>
      <c r="J2" s="5">
        <v>2.0825770000000001</v>
      </c>
      <c r="K2" s="5">
        <v>2.9572620000000001</v>
      </c>
      <c r="L2" s="6">
        <f>DATE(LEFT(TBL_TEV[[#This Row],[Data]],4),MID(TBL_TEV[[#This Row],[Data]],5,2),RIGHT(TBL_TEV[[#This Row],[Data]],2))</f>
        <v>45293</v>
      </c>
      <c r="M2" t="str" cm="1">
        <f t="array" aca="1" ref="M2" ca="1">IF(_xlfn.SINGLE(TBL_TEV[Data2])&gt;=INDIRECT("L"&amp;COUNTA(TBL_TEV[Data])+1)-365, "Ultimi 12 mesi", "Vecchi dati")</f>
        <v>Vecchi dati</v>
      </c>
      <c r="O2" s="12"/>
      <c r="P2" s="12" cm="1">
        <f t="array" aca="1" ref="P2" ca="1">INDIRECT("L"&amp;$N$1)</f>
        <v>46002</v>
      </c>
      <c r="Q2" s="12">
        <f ca="1">P2-365</f>
        <v>45637</v>
      </c>
    </row>
    <row r="3" spans="1:21">
      <c r="A3">
        <v>20240103</v>
      </c>
      <c r="B3">
        <v>1.3948929999999999</v>
      </c>
      <c r="C3">
        <v>0.18112800000000001</v>
      </c>
      <c r="D3">
        <v>0.68165100000000001</v>
      </c>
      <c r="E3">
        <v>2.0944829999999999</v>
      </c>
      <c r="F3">
        <v>3.0148869999999999</v>
      </c>
      <c r="G3">
        <v>1.8509679999999999</v>
      </c>
      <c r="H3">
        <f>TBL_Dati_OS[[#This Row],[Valore Volatilità]]</f>
        <v>6.0119643541636583</v>
      </c>
      <c r="I3" s="8">
        <v>0.711337</v>
      </c>
      <c r="J3" s="8">
        <v>2.0395569999999998</v>
      </c>
      <c r="K3" s="8">
        <v>2.921862</v>
      </c>
      <c r="L3" s="6">
        <f>DATE(LEFT(TBL_TEV[[#This Row],[Data]],4),MID(TBL_TEV[[#This Row],[Data]],5,2),RIGHT(TBL_TEV[[#This Row],[Data]],2))</f>
        <v>45294</v>
      </c>
      <c r="M3" t="str" cm="1">
        <f t="array" aca="1" ref="M3" ca="1">IF(_xlfn.SINGLE(TBL_TEV[Data2])&gt;=INDIRECT("L"&amp;COUNTA(TBL_TEV[Data])+1)-365, "Ultimi 12 mesi", "Vecchi dati")</f>
        <v>Vecchi dati</v>
      </c>
      <c r="O3" s="12"/>
      <c r="Q3" s="12"/>
    </row>
    <row r="4" spans="1:21">
      <c r="A4">
        <v>20240104</v>
      </c>
      <c r="B4">
        <v>1.3766370000000001</v>
      </c>
      <c r="C4">
        <v>0.17922299999999999</v>
      </c>
      <c r="D4">
        <v>0.67736499999999999</v>
      </c>
      <c r="E4">
        <v>2.0670199999999999</v>
      </c>
      <c r="F4">
        <v>2.9783750000000002</v>
      </c>
      <c r="G4">
        <v>1.842554</v>
      </c>
      <c r="H4">
        <f>TBL_Dati_OS[[#This Row],[Valore Volatilità]]</f>
        <v>6.0124200032349355</v>
      </c>
      <c r="I4" s="5">
        <v>0.71451200000000004</v>
      </c>
      <c r="J4" s="5">
        <v>2.047018</v>
      </c>
      <c r="K4" s="5">
        <v>2.9420229999999998</v>
      </c>
      <c r="L4" s="6">
        <f>DATE(LEFT(TBL_TEV[[#This Row],[Data]],4),MID(TBL_TEV[[#This Row],[Data]],5,2),RIGHT(TBL_TEV[[#This Row],[Data]],2))</f>
        <v>45295</v>
      </c>
      <c r="M4" t="str" cm="1">
        <f t="array" aca="1" ref="M4" ca="1">IF(_xlfn.SINGLE(TBL_TEV[Data2])&gt;=INDIRECT("L"&amp;COUNTA(TBL_TEV[Data])+1)-365, "Ultimi 12 mesi", "Vecchi dati")</f>
        <v>Vecchi dati</v>
      </c>
      <c r="Q4" s="12"/>
      <c r="U4">
        <f>COUNTA(TBL_TEV[Data])+1</f>
        <v>499</v>
      </c>
    </row>
    <row r="5" spans="1:21">
      <c r="A5">
        <v>20240105</v>
      </c>
      <c r="B5">
        <v>1.3674299999999999</v>
      </c>
      <c r="C5">
        <v>0.177318</v>
      </c>
      <c r="D5">
        <v>0.67133299999999996</v>
      </c>
      <c r="E5">
        <v>2.0549550000000001</v>
      </c>
      <c r="F5">
        <v>2.962342</v>
      </c>
      <c r="G5">
        <v>1.840808</v>
      </c>
      <c r="H5">
        <f>TBL_Dati_OS[[#This Row],[Valore Volatilità]]</f>
        <v>5.9834841183883647</v>
      </c>
      <c r="I5" s="8">
        <v>0.71228899999999995</v>
      </c>
      <c r="J5" s="8">
        <v>2.0386039999999999</v>
      </c>
      <c r="K5" s="8">
        <v>2.9378950000000001</v>
      </c>
      <c r="L5" s="6">
        <f>DATE(LEFT(TBL_TEV[[#This Row],[Data]],4),MID(TBL_TEV[[#This Row],[Data]],5,2),RIGHT(TBL_TEV[[#This Row],[Data]],2))</f>
        <v>45296</v>
      </c>
      <c r="M5" t="str" cm="1">
        <f t="array" aca="1" ref="M5" ca="1">IF(_xlfn.SINGLE(TBL_TEV[Data2])&gt;=INDIRECT("L"&amp;COUNTA(TBL_TEV[Data])+1)-365, "Ultimi 12 mesi", "Vecchi dati")</f>
        <v>Vecchi dati</v>
      </c>
      <c r="Q5" s="12"/>
    </row>
    <row r="6" spans="1:21">
      <c r="A6">
        <v>20240108</v>
      </c>
      <c r="B6">
        <v>1.36616</v>
      </c>
      <c r="C6">
        <v>0.17700099999999999</v>
      </c>
      <c r="D6">
        <v>0.67371400000000004</v>
      </c>
      <c r="E6">
        <v>2.0440019999999999</v>
      </c>
      <c r="F6">
        <v>2.9428160000000001</v>
      </c>
      <c r="G6">
        <v>1.8506499999999999</v>
      </c>
      <c r="H6">
        <f>TBL_Dati_OS[[#This Row],[Valore Volatilità]]</f>
        <v>5.9795534815140243</v>
      </c>
      <c r="I6" s="5">
        <v>0.716893</v>
      </c>
      <c r="J6" s="5">
        <v>2.0624159999999998</v>
      </c>
      <c r="K6" s="5">
        <v>2.9839310000000001</v>
      </c>
      <c r="L6" s="6">
        <f>DATE(LEFT(TBL_TEV[[#This Row],[Data]],4),MID(TBL_TEV[[#This Row],[Data]],5,2),RIGHT(TBL_TEV[[#This Row],[Data]],2))</f>
        <v>45299</v>
      </c>
      <c r="M6" t="str" cm="1">
        <f t="array" aca="1" ref="M6" ca="1">IF(_xlfn.SINGLE(TBL_TEV[Data2])&gt;=INDIRECT("L"&amp;COUNTA(TBL_TEV[Data])+1)-365, "Ultimi 12 mesi", "Vecchi dati")</f>
        <v>Vecchi dati</v>
      </c>
      <c r="Q6" s="12"/>
    </row>
    <row r="7" spans="1:21">
      <c r="A7">
        <v>20240109</v>
      </c>
      <c r="B7">
        <v>1.3623499999999999</v>
      </c>
      <c r="C7">
        <v>0.17588999999999999</v>
      </c>
      <c r="D7">
        <v>0.66688800000000004</v>
      </c>
      <c r="E7">
        <v>2.0506690000000001</v>
      </c>
      <c r="F7">
        <v>2.9591669999999999</v>
      </c>
      <c r="G7">
        <v>1.86208</v>
      </c>
      <c r="H7">
        <f>TBL_Dati_OS[[#This Row],[Valore Volatilità]]</f>
        <v>5.8988179380230985</v>
      </c>
      <c r="I7" s="8">
        <v>0.71848000000000001</v>
      </c>
      <c r="J7" s="8">
        <v>2.069242</v>
      </c>
      <c r="K7" s="8">
        <v>2.9842490000000002</v>
      </c>
      <c r="L7" s="6">
        <f>DATE(LEFT(TBL_TEV[[#This Row],[Data]],4),MID(TBL_TEV[[#This Row],[Data]],5,2),RIGHT(TBL_TEV[[#This Row],[Data]],2))</f>
        <v>45300</v>
      </c>
      <c r="M7" t="str" cm="1">
        <f t="array" aca="1" ref="M7" ca="1">IF(_xlfn.SINGLE(TBL_TEV[Data2])&gt;=INDIRECT("L"&amp;COUNTA(TBL_TEV[Data])+1)-365, "Ultimi 12 mesi", "Vecchi dati")</f>
        <v>Vecchi dati</v>
      </c>
      <c r="Q7" s="12"/>
    </row>
    <row r="8" spans="1:21">
      <c r="A8">
        <v>20240110</v>
      </c>
      <c r="B8">
        <v>1.353461</v>
      </c>
      <c r="C8">
        <v>0.177477</v>
      </c>
      <c r="D8">
        <v>0.65990300000000002</v>
      </c>
      <c r="E8">
        <v>2.0343179999999998</v>
      </c>
      <c r="F8">
        <v>2.939006</v>
      </c>
      <c r="G8">
        <v>1.859381</v>
      </c>
      <c r="H8">
        <f>TBL_Dati_OS[[#This Row],[Valore Volatilità]]</f>
        <v>5.8304006116530749</v>
      </c>
      <c r="I8" s="5">
        <v>0.71784499999999996</v>
      </c>
      <c r="J8" s="5">
        <v>2.0635270000000001</v>
      </c>
      <c r="K8" s="5">
        <v>2.9763109999999999</v>
      </c>
      <c r="L8" s="6">
        <f>DATE(LEFT(TBL_TEV[[#This Row],[Data]],4),MID(TBL_TEV[[#This Row],[Data]],5,2),RIGHT(TBL_TEV[[#This Row],[Data]],2))</f>
        <v>45301</v>
      </c>
      <c r="M8" t="str" cm="1">
        <f t="array" aca="1" ref="M8" ca="1">IF(_xlfn.SINGLE(TBL_TEV[Data2])&gt;=INDIRECT("L"&amp;COUNTA(TBL_TEV[Data])+1)-365, "Ultimi 12 mesi", "Vecchi dati")</f>
        <v>Vecchi dati</v>
      </c>
      <c r="Q8" s="12"/>
    </row>
    <row r="9" spans="1:21">
      <c r="A9">
        <v>20240111</v>
      </c>
      <c r="B9">
        <v>1.3448880000000001</v>
      </c>
      <c r="C9">
        <v>0.177318</v>
      </c>
      <c r="D9">
        <v>0.65704600000000002</v>
      </c>
      <c r="E9">
        <v>2.0182850000000001</v>
      </c>
      <c r="F9">
        <v>2.9147180000000001</v>
      </c>
      <c r="G9">
        <v>1.854619</v>
      </c>
      <c r="H9">
        <f>TBL_Dati_OS[[#This Row],[Valore Volatilità]]</f>
        <v>5.7935550932780311</v>
      </c>
      <c r="I9" s="8">
        <v>0.71149499999999999</v>
      </c>
      <c r="J9" s="8">
        <v>2.0543200000000001</v>
      </c>
      <c r="K9" s="8">
        <v>2.972343</v>
      </c>
      <c r="L9" s="6">
        <f>DATE(LEFT(TBL_TEV[[#This Row],[Data]],4),MID(TBL_TEV[[#This Row],[Data]],5,2),RIGHT(TBL_TEV[[#This Row],[Data]],2))</f>
        <v>45302</v>
      </c>
      <c r="M9" t="str" cm="1">
        <f t="array" aca="1" ref="M9" ca="1">IF(_xlfn.SINGLE(TBL_TEV[Data2])&gt;=INDIRECT("L"&amp;COUNTA(TBL_TEV[Data])+1)-365, "Ultimi 12 mesi", "Vecchi dati")</f>
        <v>Vecchi dati</v>
      </c>
      <c r="Q9" s="12"/>
    </row>
    <row r="10" spans="1:21">
      <c r="A10">
        <v>20240112</v>
      </c>
      <c r="B10">
        <v>1.329966</v>
      </c>
      <c r="C10">
        <v>0.17779400000000001</v>
      </c>
      <c r="D10">
        <v>0.65434700000000001</v>
      </c>
      <c r="E10">
        <v>1.9901869999999999</v>
      </c>
      <c r="F10">
        <v>2.8726509999999998</v>
      </c>
      <c r="G10">
        <v>1.831601</v>
      </c>
      <c r="H10">
        <f>TBL_Dati_OS[[#This Row],[Valore Volatilità]]</f>
        <v>5.7776225880288496</v>
      </c>
      <c r="I10" s="5">
        <v>0.71117799999999998</v>
      </c>
      <c r="J10" s="5">
        <v>2.06575</v>
      </c>
      <c r="K10" s="5">
        <v>2.9975830000000001</v>
      </c>
      <c r="L10" s="6">
        <f>DATE(LEFT(TBL_TEV[[#This Row],[Data]],4),MID(TBL_TEV[[#This Row],[Data]],5,2),RIGHT(TBL_TEV[[#This Row],[Data]],2))</f>
        <v>45303</v>
      </c>
      <c r="M10" t="str" cm="1">
        <f t="array" aca="1" ref="M10" ca="1">IF(_xlfn.SINGLE(TBL_TEV[Data2])&gt;=INDIRECT("L"&amp;COUNTA(TBL_TEV[Data])+1)-365, "Ultimi 12 mesi", "Vecchi dati")</f>
        <v>Vecchi dati</v>
      </c>
      <c r="Q10" s="12"/>
    </row>
    <row r="11" spans="1:21">
      <c r="A11">
        <v>20240115</v>
      </c>
      <c r="B11">
        <v>1.319807</v>
      </c>
      <c r="C11">
        <v>0.17636599999999999</v>
      </c>
      <c r="D11">
        <v>0.64688599999999996</v>
      </c>
      <c r="E11">
        <v>1.975741</v>
      </c>
      <c r="F11">
        <v>2.8540779999999999</v>
      </c>
      <c r="G11">
        <v>1.813504</v>
      </c>
      <c r="H11">
        <f>TBL_Dati_OS[[#This Row],[Valore Volatilità]]</f>
        <v>5.7513380734199684</v>
      </c>
      <c r="I11" s="8">
        <v>0.71054300000000004</v>
      </c>
      <c r="J11" s="8">
        <v>2.0641620000000001</v>
      </c>
      <c r="K11" s="8">
        <v>2.9720249999999999</v>
      </c>
      <c r="L11" s="6">
        <f>DATE(LEFT(TBL_TEV[[#This Row],[Data]],4),MID(TBL_TEV[[#This Row],[Data]],5,2),RIGHT(TBL_TEV[[#This Row],[Data]],2))</f>
        <v>45306</v>
      </c>
      <c r="M11" t="str" cm="1">
        <f t="array" aca="1" ref="M11" ca="1">IF(_xlfn.SINGLE(TBL_TEV[Data2])&gt;=INDIRECT("L"&amp;COUNTA(TBL_TEV[Data])+1)-365, "Ultimi 12 mesi", "Vecchi dati")</f>
        <v>Vecchi dati</v>
      </c>
      <c r="Q11" s="12"/>
    </row>
    <row r="12" spans="1:21">
      <c r="A12">
        <v>20240116</v>
      </c>
      <c r="B12">
        <v>1.3105990000000001</v>
      </c>
      <c r="C12">
        <v>0.175096</v>
      </c>
      <c r="D12">
        <v>0.64418799999999998</v>
      </c>
      <c r="E12">
        <v>1.963994</v>
      </c>
      <c r="F12">
        <v>2.8366159999999998</v>
      </c>
      <c r="G12">
        <v>1.7965180000000001</v>
      </c>
      <c r="H12">
        <f>TBL_Dati_OS[[#This Row],[Valore Volatilità]]</f>
        <v>5.7679622276370752</v>
      </c>
      <c r="I12" s="5">
        <v>0.703399</v>
      </c>
      <c r="J12" s="5">
        <v>2.0489229999999998</v>
      </c>
      <c r="K12" s="5">
        <v>2.9520230000000001</v>
      </c>
      <c r="L12" s="6">
        <f>DATE(LEFT(TBL_TEV[[#This Row],[Data]],4),MID(TBL_TEV[[#This Row],[Data]],5,2),RIGHT(TBL_TEV[[#This Row],[Data]],2))</f>
        <v>45307</v>
      </c>
      <c r="M12" t="str" cm="1">
        <f t="array" aca="1" ref="M12" ca="1">IF(_xlfn.SINGLE(TBL_TEV[Data2])&gt;=INDIRECT("L"&amp;COUNTA(TBL_TEV[Data])+1)-365, "Ultimi 12 mesi", "Vecchi dati")</f>
        <v>Vecchi dati</v>
      </c>
      <c r="Q12" s="12"/>
    </row>
    <row r="13" spans="1:21">
      <c r="A13">
        <v>20240117</v>
      </c>
      <c r="B13">
        <v>1.316155</v>
      </c>
      <c r="C13">
        <v>0.172873</v>
      </c>
      <c r="D13">
        <v>0.64768000000000003</v>
      </c>
      <c r="E13">
        <v>1.9593910000000001</v>
      </c>
      <c r="F13">
        <v>2.8262969999999998</v>
      </c>
      <c r="G13">
        <v>1.787946</v>
      </c>
      <c r="H13">
        <f>TBL_Dati_OS[[#This Row],[Valore Volatilità]]</f>
        <v>5.7293044297161684</v>
      </c>
      <c r="I13" s="8">
        <v>0.61021599999999998</v>
      </c>
      <c r="J13" s="8">
        <v>2.0112999999999999</v>
      </c>
      <c r="K13" s="8">
        <v>2.9525000000000001</v>
      </c>
      <c r="L13" s="6">
        <f>DATE(LEFT(TBL_TEV[[#This Row],[Data]],4),MID(TBL_TEV[[#This Row],[Data]],5,2),RIGHT(TBL_TEV[[#This Row],[Data]],2))</f>
        <v>45308</v>
      </c>
      <c r="M13" t="str" cm="1">
        <f t="array" aca="1" ref="M13" ca="1">IF(_xlfn.SINGLE(TBL_TEV[Data2])&gt;=INDIRECT("L"&amp;COUNTA(TBL_TEV[Data])+1)-365, "Ultimi 12 mesi", "Vecchi dati")</f>
        <v>Vecchi dati</v>
      </c>
      <c r="Q13" s="12"/>
    </row>
    <row r="14" spans="1:21">
      <c r="A14">
        <v>20240118</v>
      </c>
      <c r="B14">
        <v>1.334252</v>
      </c>
      <c r="C14">
        <v>0.17255599999999999</v>
      </c>
      <c r="D14">
        <v>0.69800200000000001</v>
      </c>
      <c r="E14">
        <v>1.973201</v>
      </c>
      <c r="F14">
        <v>2.8239160000000001</v>
      </c>
      <c r="G14">
        <v>1.7908029999999999</v>
      </c>
      <c r="H14">
        <f>TBL_Dati_OS[[#This Row],[Valore Volatilità]]</f>
        <v>5.9096074137105399</v>
      </c>
      <c r="I14" s="5">
        <v>0.61021599999999998</v>
      </c>
      <c r="J14" s="5">
        <v>2.0119349999999998</v>
      </c>
      <c r="K14" s="5">
        <v>2.9453559999999999</v>
      </c>
      <c r="L14" s="6">
        <f>DATE(LEFT(TBL_TEV[[#This Row],[Data]],4),MID(TBL_TEV[[#This Row],[Data]],5,2),RIGHT(TBL_TEV[[#This Row],[Data]],2))</f>
        <v>45309</v>
      </c>
      <c r="M14" t="str" cm="1">
        <f t="array" aca="1" ref="M14" ca="1">IF(_xlfn.SINGLE(TBL_TEV[Data2])&gt;=INDIRECT("L"&amp;COUNTA(TBL_TEV[Data])+1)-365, "Ultimi 12 mesi", "Vecchi dati")</f>
        <v>Vecchi dati</v>
      </c>
      <c r="Q14" s="12"/>
    </row>
    <row r="15" spans="1:21">
      <c r="A15">
        <v>20240119</v>
      </c>
      <c r="B15">
        <v>1.3339350000000001</v>
      </c>
      <c r="C15">
        <v>0.17255599999999999</v>
      </c>
      <c r="D15">
        <v>0.70165299999999997</v>
      </c>
      <c r="E15">
        <v>1.9651050000000001</v>
      </c>
      <c r="F15">
        <v>2.8123279999999999</v>
      </c>
      <c r="G15">
        <v>1.7942959999999999</v>
      </c>
      <c r="H15">
        <f>TBL_Dati_OS[[#This Row],[Valore Volatilità]]</f>
        <v>5.9294479171696892</v>
      </c>
      <c r="I15" s="8">
        <v>0.61847099999999999</v>
      </c>
      <c r="J15" s="8">
        <v>2.0308259999999998</v>
      </c>
      <c r="K15" s="8">
        <v>2.9523410000000001</v>
      </c>
      <c r="L15" s="6">
        <f>DATE(LEFT(TBL_TEV[[#This Row],[Data]],4),MID(TBL_TEV[[#This Row],[Data]],5,2),RIGHT(TBL_TEV[[#This Row],[Data]],2))</f>
        <v>45310</v>
      </c>
      <c r="M15" t="str" cm="1">
        <f t="array" aca="1" ref="M15" ca="1">IF(_xlfn.SINGLE(TBL_TEV[Data2])&gt;=INDIRECT("L"&amp;COUNTA(TBL_TEV[Data])+1)-365, "Ultimi 12 mesi", "Vecchi dati")</f>
        <v>Vecchi dati</v>
      </c>
      <c r="Q15" s="12"/>
    </row>
    <row r="16" spans="1:21">
      <c r="A16">
        <v>20240122</v>
      </c>
      <c r="B16">
        <v>1.3253630000000001</v>
      </c>
      <c r="C16">
        <v>0.17255599999999999</v>
      </c>
      <c r="D16">
        <v>0.70276400000000006</v>
      </c>
      <c r="E16">
        <v>1.9455800000000001</v>
      </c>
      <c r="F16">
        <v>2.7553380000000001</v>
      </c>
      <c r="G16">
        <v>1.7893749999999999</v>
      </c>
      <c r="H16">
        <f>TBL_Dati_OS[[#This Row],[Valore Volatilità]]</f>
        <v>6.0664129226383654</v>
      </c>
      <c r="I16" s="5">
        <v>0.62926499999999996</v>
      </c>
      <c r="J16" s="5">
        <v>2.0660669999999999</v>
      </c>
      <c r="K16" s="5">
        <v>3.012505</v>
      </c>
      <c r="L16" s="6">
        <f>DATE(LEFT(TBL_TEV[[#This Row],[Data]],4),MID(TBL_TEV[[#This Row],[Data]],5,2),RIGHT(TBL_TEV[[#This Row],[Data]],2))</f>
        <v>45313</v>
      </c>
      <c r="M16" t="str" cm="1">
        <f t="array" aca="1" ref="M16" ca="1">IF(_xlfn.SINGLE(TBL_TEV[Data2])&gt;=INDIRECT("L"&amp;COUNTA(TBL_TEV[Data])+1)-365, "Ultimi 12 mesi", "Vecchi dati")</f>
        <v>Vecchi dati</v>
      </c>
      <c r="Q16" s="12"/>
    </row>
    <row r="17" spans="1:17">
      <c r="A17">
        <v>20240123</v>
      </c>
      <c r="B17">
        <v>1.3236159999999999</v>
      </c>
      <c r="C17">
        <v>0.17128599999999999</v>
      </c>
      <c r="D17">
        <v>0.69847800000000004</v>
      </c>
      <c r="E17">
        <v>1.946215</v>
      </c>
      <c r="F17">
        <v>2.7578779999999998</v>
      </c>
      <c r="G17">
        <v>1.799534</v>
      </c>
      <c r="H17">
        <f>TBL_Dati_OS[[#This Row],[Valore Volatilità]]</f>
        <v>6.0374497830877818</v>
      </c>
      <c r="I17" s="8">
        <v>0.63069399999999998</v>
      </c>
      <c r="J17" s="8">
        <v>2.0617809999999999</v>
      </c>
      <c r="K17" s="8">
        <v>3.0002819999999999</v>
      </c>
      <c r="L17" s="6">
        <f>DATE(LEFT(TBL_TEV[[#This Row],[Data]],4),MID(TBL_TEV[[#This Row],[Data]],5,2),RIGHT(TBL_TEV[[#This Row],[Data]],2))</f>
        <v>45314</v>
      </c>
      <c r="M17" t="str" cm="1">
        <f t="array" aca="1" ref="M17" ca="1">IF(_xlfn.SINGLE(TBL_TEV[Data2])&gt;=INDIRECT("L"&amp;COUNTA(TBL_TEV[Data])+1)-365, "Ultimi 12 mesi", "Vecchi dati")</f>
        <v>Vecchi dati</v>
      </c>
      <c r="Q17" s="12"/>
    </row>
    <row r="18" spans="1:17">
      <c r="A18">
        <v>20240124</v>
      </c>
      <c r="B18">
        <v>1.322505</v>
      </c>
      <c r="C18">
        <v>0.170492</v>
      </c>
      <c r="D18">
        <v>0.69863699999999995</v>
      </c>
      <c r="E18">
        <v>1.954469</v>
      </c>
      <c r="F18">
        <v>2.7681969999999998</v>
      </c>
      <c r="G18">
        <v>1.7933429999999999</v>
      </c>
      <c r="H18">
        <f>TBL_Dati_OS[[#This Row],[Valore Volatilità]]</f>
        <v>6.0074912734185082</v>
      </c>
      <c r="I18" s="5">
        <v>0.75721400000000005</v>
      </c>
      <c r="J18" s="5">
        <v>2.1681400000000002</v>
      </c>
      <c r="K18" s="5">
        <v>3.00806</v>
      </c>
      <c r="L18" s="6">
        <f>DATE(LEFT(TBL_TEV[[#This Row],[Data]],4),MID(TBL_TEV[[#This Row],[Data]],5,2),RIGHT(TBL_TEV[[#This Row],[Data]],2))</f>
        <v>45315</v>
      </c>
      <c r="M18" t="str" cm="1">
        <f t="array" aca="1" ref="M18" ca="1">IF(_xlfn.SINGLE(TBL_TEV[Data2])&gt;=INDIRECT("L"&amp;COUNTA(TBL_TEV[Data])+1)-365, "Ultimi 12 mesi", "Vecchi dati")</f>
        <v>Vecchi dati</v>
      </c>
      <c r="Q18" s="12"/>
    </row>
    <row r="19" spans="1:17">
      <c r="A19">
        <v>20240125</v>
      </c>
      <c r="B19">
        <v>1.247736</v>
      </c>
      <c r="C19">
        <v>0.16985700000000001</v>
      </c>
      <c r="D19">
        <v>0.66069699999999998</v>
      </c>
      <c r="E19">
        <v>1.9508179999999999</v>
      </c>
      <c r="F19">
        <v>2.756291</v>
      </c>
      <c r="G19">
        <v>1.7908029999999999</v>
      </c>
      <c r="H19">
        <f>TBL_Dati_OS[[#This Row],[Valore Volatilità]]</f>
        <v>6.0148773964993936</v>
      </c>
      <c r="I19" s="8">
        <v>0.67641300000000004</v>
      </c>
      <c r="J19" s="8">
        <v>2.078449</v>
      </c>
      <c r="K19" s="8">
        <v>3.02203</v>
      </c>
      <c r="L19" s="6">
        <f>DATE(LEFT(TBL_TEV[[#This Row],[Data]],4),MID(TBL_TEV[[#This Row],[Data]],5,2),RIGHT(TBL_TEV[[#This Row],[Data]],2))</f>
        <v>45316</v>
      </c>
      <c r="M19" t="str" cm="1">
        <f t="array" aca="1" ref="M19" ca="1">IF(_xlfn.SINGLE(TBL_TEV[Data2])&gt;=INDIRECT("L"&amp;COUNTA(TBL_TEV[Data])+1)-365, "Ultimi 12 mesi", "Vecchi dati")</f>
        <v>Vecchi dati</v>
      </c>
      <c r="Q19" s="12"/>
    </row>
    <row r="20" spans="1:17">
      <c r="A20">
        <v>20240126</v>
      </c>
      <c r="B20">
        <v>1.229163</v>
      </c>
      <c r="C20">
        <v>0.167794</v>
      </c>
      <c r="D20">
        <v>0.65037900000000004</v>
      </c>
      <c r="E20">
        <v>1.9311339999999999</v>
      </c>
      <c r="F20">
        <v>2.7323200000000001</v>
      </c>
      <c r="G20">
        <v>1.7693730000000001</v>
      </c>
      <c r="H20">
        <f>TBL_Dati_OS[[#This Row],[Valore Volatilità]]</f>
        <v>5.9937775485109466</v>
      </c>
      <c r="I20" s="5">
        <v>0.75784899999999999</v>
      </c>
      <c r="J20" s="5">
        <v>2.1646480000000001</v>
      </c>
      <c r="K20" s="5">
        <v>3.0858460000000001</v>
      </c>
      <c r="L20" s="6">
        <f>DATE(LEFT(TBL_TEV[[#This Row],[Data]],4),MID(TBL_TEV[[#This Row],[Data]],5,2),RIGHT(TBL_TEV[[#This Row],[Data]],2))</f>
        <v>45317</v>
      </c>
      <c r="M20" t="str" cm="1">
        <f t="array" aca="1" ref="M20" ca="1">IF(_xlfn.SINGLE(TBL_TEV[Data2])&gt;=INDIRECT("L"&amp;COUNTA(TBL_TEV[Data])+1)-365, "Ultimi 12 mesi", "Vecchi dati")</f>
        <v>Vecchi dati</v>
      </c>
      <c r="Q20" s="12"/>
    </row>
    <row r="21" spans="1:17">
      <c r="A21">
        <v>20240129</v>
      </c>
      <c r="B21">
        <v>1.228369</v>
      </c>
      <c r="C21">
        <v>0.16652400000000001</v>
      </c>
      <c r="D21">
        <v>0.65085499999999996</v>
      </c>
      <c r="E21">
        <v>1.9301809999999999</v>
      </c>
      <c r="F21">
        <v>2.7289870000000001</v>
      </c>
      <c r="G21">
        <v>1.7849299999999999</v>
      </c>
      <c r="H21">
        <f>TBL_Dati_OS[[#This Row],[Valore Volatilità]]</f>
        <v>5.9801709161744832</v>
      </c>
      <c r="I21" s="8">
        <v>0.74943599999999999</v>
      </c>
      <c r="J21" s="8">
        <v>2.253228</v>
      </c>
      <c r="K21" s="8">
        <v>3.1839499999999998</v>
      </c>
      <c r="L21" s="6">
        <f>DATE(LEFT(TBL_TEV[[#This Row],[Data]],4),MID(TBL_TEV[[#This Row],[Data]],5,2),RIGHT(TBL_TEV[[#This Row],[Data]],2))</f>
        <v>45320</v>
      </c>
      <c r="M21" t="str" cm="1">
        <f t="array" aca="1" ref="M21" ca="1">IF(_xlfn.SINGLE(TBL_TEV[Data2])&gt;=INDIRECT("L"&amp;COUNTA(TBL_TEV[Data])+1)-365, "Ultimi 12 mesi", "Vecchi dati")</f>
        <v>Vecchi dati</v>
      </c>
      <c r="Q21" s="12"/>
    </row>
    <row r="22" spans="1:17">
      <c r="A22">
        <v>20240130</v>
      </c>
      <c r="B22">
        <v>1.2193210000000001</v>
      </c>
      <c r="C22">
        <v>0.16509499999999999</v>
      </c>
      <c r="D22">
        <v>0.66006200000000004</v>
      </c>
      <c r="E22">
        <v>1.952564</v>
      </c>
      <c r="F22">
        <v>2.7267640000000002</v>
      </c>
      <c r="G22">
        <v>1.795248</v>
      </c>
      <c r="H22">
        <f>TBL_Dati_OS[[#This Row],[Valore Volatilità]]</f>
        <v>5.949747534948</v>
      </c>
      <c r="I22" s="5">
        <v>0.73372000000000004</v>
      </c>
      <c r="J22" s="5">
        <v>2.1917930000000001</v>
      </c>
      <c r="K22" s="5">
        <v>3.2209379999999999</v>
      </c>
      <c r="L22" s="6">
        <f>DATE(LEFT(TBL_TEV[[#This Row],[Data]],4),MID(TBL_TEV[[#This Row],[Data]],5,2),RIGHT(TBL_TEV[[#This Row],[Data]],2))</f>
        <v>45321</v>
      </c>
      <c r="M22" t="str" cm="1">
        <f t="array" aca="1" ref="M22" ca="1">IF(_xlfn.SINGLE(TBL_TEV[Data2])&gt;=INDIRECT("L"&amp;COUNTA(TBL_TEV[Data])+1)-365, "Ultimi 12 mesi", "Vecchi dati")</f>
        <v>Vecchi dati</v>
      </c>
      <c r="Q22" s="12"/>
    </row>
    <row r="23" spans="1:17">
      <c r="A23">
        <v>20240131</v>
      </c>
      <c r="B23">
        <v>1.21567</v>
      </c>
      <c r="C23">
        <v>0.16446</v>
      </c>
      <c r="D23">
        <v>0.67403199999999996</v>
      </c>
      <c r="E23">
        <v>1.958121</v>
      </c>
      <c r="F23">
        <v>2.7416860000000001</v>
      </c>
      <c r="G23">
        <v>1.8112809999999999</v>
      </c>
      <c r="H23">
        <f>TBL_Dati_OS[[#This Row],[Valore Volatilità]]</f>
        <v>6.3447127283348053</v>
      </c>
      <c r="I23" s="8">
        <v>0.72768699999999997</v>
      </c>
      <c r="J23" s="8">
        <v>2.271325</v>
      </c>
      <c r="K23" s="8">
        <v>3.2698309999999999</v>
      </c>
      <c r="L23" s="6">
        <f>DATE(LEFT(TBL_TEV[[#This Row],[Data]],4),MID(TBL_TEV[[#This Row],[Data]],5,2),RIGHT(TBL_TEV[[#This Row],[Data]],2))</f>
        <v>45322</v>
      </c>
      <c r="M23" t="str" cm="1">
        <f t="array" aca="1" ref="M23" ca="1">IF(_xlfn.SINGLE(TBL_TEV[Data2])&gt;=INDIRECT("L"&amp;COUNTA(TBL_TEV[Data])+1)-365, "Ultimi 12 mesi", "Vecchi dati")</f>
        <v>Vecchi dati</v>
      </c>
      <c r="Q23" s="12"/>
    </row>
    <row r="24" spans="1:17">
      <c r="A24">
        <v>20240201</v>
      </c>
      <c r="B24">
        <v>1.230909</v>
      </c>
      <c r="C24">
        <v>0.16700000000000001</v>
      </c>
      <c r="D24">
        <v>0.69450999999999996</v>
      </c>
      <c r="E24">
        <v>1.944151</v>
      </c>
      <c r="F24">
        <v>2.7045400000000002</v>
      </c>
      <c r="G24">
        <v>1.8173140000000001</v>
      </c>
      <c r="H24">
        <f>TBL_Dati_OS[[#This Row],[Valore Volatilità]]</f>
        <v>6.6788607001160702</v>
      </c>
      <c r="I24" s="5">
        <v>0.72530600000000001</v>
      </c>
      <c r="J24" s="5">
        <v>2.2638639999999999</v>
      </c>
      <c r="K24" s="5">
        <v>3.2493530000000002</v>
      </c>
      <c r="L24" s="6">
        <f>DATE(LEFT(TBL_TEV[[#This Row],[Data]],4),MID(TBL_TEV[[#This Row],[Data]],5,2),RIGHT(TBL_TEV[[#This Row],[Data]],2))</f>
        <v>45323</v>
      </c>
      <c r="M24" t="str" cm="1">
        <f t="array" aca="1" ref="M24" ca="1">IF(_xlfn.SINGLE(TBL_TEV[Data2])&gt;=INDIRECT("L"&amp;COUNTA(TBL_TEV[Data])+1)-365, "Ultimi 12 mesi", "Vecchi dati")</f>
        <v>Vecchi dati</v>
      </c>
      <c r="Q24" s="12"/>
    </row>
    <row r="25" spans="1:17">
      <c r="A25">
        <v>20240202</v>
      </c>
      <c r="B25">
        <v>1.314727</v>
      </c>
      <c r="C25">
        <v>0.17144499999999999</v>
      </c>
      <c r="D25">
        <v>0.69800200000000001</v>
      </c>
      <c r="E25">
        <v>2.0465420000000001</v>
      </c>
      <c r="F25">
        <v>2.8545539999999998</v>
      </c>
      <c r="G25">
        <v>1.941611</v>
      </c>
      <c r="H25">
        <f>TBL_Dati_OS[[#This Row],[Valore Volatilità]]</f>
        <v>6.4421934237441372</v>
      </c>
      <c r="I25" s="8">
        <v>0.72054399999999996</v>
      </c>
      <c r="J25" s="8">
        <v>2.2389410000000001</v>
      </c>
      <c r="K25" s="8">
        <v>3.2004600000000001</v>
      </c>
      <c r="L25" s="6">
        <f>DATE(LEFT(TBL_TEV[[#This Row],[Data]],4),MID(TBL_TEV[[#This Row],[Data]],5,2),RIGHT(TBL_TEV[[#This Row],[Data]],2))</f>
        <v>45324</v>
      </c>
      <c r="M25" t="str" cm="1">
        <f t="array" aca="1" ref="M25" ca="1">IF(_xlfn.SINGLE(TBL_TEV[Data2])&gt;=INDIRECT("L"&amp;COUNTA(TBL_TEV[Data])+1)-365, "Ultimi 12 mesi", "Vecchi dati")</f>
        <v>Vecchi dati</v>
      </c>
      <c r="Q25" s="12"/>
    </row>
    <row r="26" spans="1:17">
      <c r="A26">
        <v>20240205</v>
      </c>
      <c r="B26">
        <v>1.3023450000000001</v>
      </c>
      <c r="C26">
        <v>0.16954</v>
      </c>
      <c r="D26">
        <v>0.69133500000000003</v>
      </c>
      <c r="E26">
        <v>2.0228890000000002</v>
      </c>
      <c r="F26">
        <v>2.8247100000000001</v>
      </c>
      <c r="G26">
        <v>1.9549460000000001</v>
      </c>
      <c r="H26">
        <f>TBL_Dati_OS[[#This Row],[Valore Volatilità]]</f>
        <v>6.4247180254204137</v>
      </c>
      <c r="I26" s="5">
        <v>0.72482999999999997</v>
      </c>
      <c r="J26" s="5">
        <v>2.2519580000000001</v>
      </c>
      <c r="K26" s="5">
        <v>3.2087140000000001</v>
      </c>
      <c r="L26" s="6">
        <f>DATE(LEFT(TBL_TEV[[#This Row],[Data]],4),MID(TBL_TEV[[#This Row],[Data]],5,2),RIGHT(TBL_TEV[[#This Row],[Data]],2))</f>
        <v>45327</v>
      </c>
      <c r="M26" t="str" cm="1">
        <f t="array" aca="1" ref="M26" ca="1">IF(_xlfn.SINGLE(TBL_TEV[Data2])&gt;=INDIRECT("L"&amp;COUNTA(TBL_TEV[Data])+1)-365, "Ultimi 12 mesi", "Vecchi dati")</f>
        <v>Vecchi dati</v>
      </c>
      <c r="Q26" s="12"/>
    </row>
    <row r="27" spans="1:17">
      <c r="A27">
        <v>20240206</v>
      </c>
      <c r="B27">
        <v>1.307901</v>
      </c>
      <c r="C27">
        <v>0.16811100000000001</v>
      </c>
      <c r="D27">
        <v>0.69308099999999995</v>
      </c>
      <c r="E27">
        <v>2.0411440000000001</v>
      </c>
      <c r="F27">
        <v>2.8467750000000001</v>
      </c>
      <c r="G27">
        <v>1.9759</v>
      </c>
      <c r="H27">
        <f>TBL_Dati_OS[[#This Row],[Valore Volatilità]]</f>
        <v>6.4284845130961106</v>
      </c>
      <c r="I27" s="8">
        <v>0.72355999999999998</v>
      </c>
      <c r="J27" s="8">
        <v>2.2567200000000001</v>
      </c>
      <c r="K27" s="8">
        <v>3.215382</v>
      </c>
      <c r="L27" s="6">
        <f>DATE(LEFT(TBL_TEV[[#This Row],[Data]],4),MID(TBL_TEV[[#This Row],[Data]],5,2),RIGHT(TBL_TEV[[#This Row],[Data]],2))</f>
        <v>45328</v>
      </c>
      <c r="M27" t="str" cm="1">
        <f t="array" aca="1" ref="M27" ca="1">IF(_xlfn.SINGLE(TBL_TEV[Data2])&gt;=INDIRECT("L"&amp;COUNTA(TBL_TEV[Data])+1)-365, "Ultimi 12 mesi", "Vecchi dati")</f>
        <v>Vecchi dati</v>
      </c>
      <c r="Q27" s="12"/>
    </row>
    <row r="28" spans="1:17">
      <c r="A28">
        <v>20240207</v>
      </c>
      <c r="B28">
        <v>1.307107</v>
      </c>
      <c r="C28">
        <v>0.16700000000000001</v>
      </c>
      <c r="D28">
        <v>0.68831900000000001</v>
      </c>
      <c r="E28">
        <v>2.0405090000000001</v>
      </c>
      <c r="F28">
        <v>2.8548710000000002</v>
      </c>
      <c r="G28">
        <v>1.9730430000000001</v>
      </c>
      <c r="H28">
        <f>TBL_Dati_OS[[#This Row],[Valore Volatilità]]</f>
        <v>6.3873902590837552</v>
      </c>
      <c r="I28" s="5">
        <v>0.72101999999999999</v>
      </c>
      <c r="J28" s="5">
        <v>2.2325910000000002</v>
      </c>
      <c r="K28" s="5">
        <v>3.17252</v>
      </c>
      <c r="L28" s="6">
        <f>DATE(LEFT(TBL_TEV[[#This Row],[Data]],4),MID(TBL_TEV[[#This Row],[Data]],5,2),RIGHT(TBL_TEV[[#This Row],[Data]],2))</f>
        <v>45329</v>
      </c>
      <c r="M28" t="str" cm="1">
        <f t="array" aca="1" ref="M28" ca="1">IF(_xlfn.SINGLE(TBL_TEV[Data2])&gt;=INDIRECT("L"&amp;COUNTA(TBL_TEV[Data])+1)-365, "Ultimi 12 mesi", "Vecchi dati")</f>
        <v>Vecchi dati</v>
      </c>
      <c r="Q28" s="12"/>
    </row>
    <row r="29" spans="1:17">
      <c r="A29">
        <v>20240208</v>
      </c>
      <c r="B29">
        <v>1.3347290000000001</v>
      </c>
      <c r="C29">
        <v>0.16620599999999999</v>
      </c>
      <c r="D29">
        <v>0.72244900000000001</v>
      </c>
      <c r="E29">
        <v>2.0474939999999999</v>
      </c>
      <c r="F29">
        <v>2.871381</v>
      </c>
      <c r="G29">
        <v>1.964788</v>
      </c>
      <c r="H29">
        <f>TBL_Dati_OS[[#This Row],[Valore Volatilità]]</f>
        <v>6.3201944681726863</v>
      </c>
      <c r="I29" s="8">
        <v>0.71768699999999996</v>
      </c>
      <c r="J29" s="8">
        <v>2.2316379999999998</v>
      </c>
      <c r="K29" s="8">
        <v>3.1583920000000001</v>
      </c>
      <c r="L29" s="6">
        <f>DATE(LEFT(TBL_TEV[[#This Row],[Data]],4),MID(TBL_TEV[[#This Row],[Data]],5,2),RIGHT(TBL_TEV[[#This Row],[Data]],2))</f>
        <v>45330</v>
      </c>
      <c r="M29" t="str" cm="1">
        <f t="array" aca="1" ref="M29" ca="1">IF(_xlfn.SINGLE(TBL_TEV[Data2])&gt;=INDIRECT("L"&amp;COUNTA(TBL_TEV[Data])+1)-365, "Ultimi 12 mesi", "Vecchi dati")</f>
        <v>Vecchi dati</v>
      </c>
      <c r="Q29" s="12"/>
    </row>
    <row r="30" spans="1:17">
      <c r="A30">
        <v>20240209</v>
      </c>
      <c r="B30">
        <v>1.3290139999999999</v>
      </c>
      <c r="C30">
        <v>0.166047</v>
      </c>
      <c r="D30">
        <v>0.68942999999999999</v>
      </c>
      <c r="E30">
        <v>2.0379689999999999</v>
      </c>
      <c r="F30">
        <v>2.862174</v>
      </c>
      <c r="G30">
        <v>1.969233</v>
      </c>
      <c r="H30">
        <f>TBL_Dati_OS[[#This Row],[Valore Volatilità]]</f>
        <v>6.2917411862284398</v>
      </c>
      <c r="I30" s="5">
        <v>0.71705200000000002</v>
      </c>
      <c r="J30" s="5">
        <v>2.2251300000000001</v>
      </c>
      <c r="K30" s="5">
        <v>3.1437879999999998</v>
      </c>
      <c r="L30" s="6">
        <f>DATE(LEFT(TBL_TEV[[#This Row],[Data]],4),MID(TBL_TEV[[#This Row],[Data]],5,2),RIGHT(TBL_TEV[[#This Row],[Data]],2))</f>
        <v>45331</v>
      </c>
      <c r="M30" t="str" cm="1">
        <f t="array" aca="1" ref="M30" ca="1">IF(_xlfn.SINGLE(TBL_TEV[Data2])&gt;=INDIRECT("L"&amp;COUNTA(TBL_TEV[Data])+1)-365, "Ultimi 12 mesi", "Vecchi dati")</f>
        <v>Vecchi dati</v>
      </c>
      <c r="Q30" s="12"/>
    </row>
    <row r="31" spans="1:17">
      <c r="A31">
        <v>20240212</v>
      </c>
      <c r="B31">
        <v>1.3364750000000001</v>
      </c>
      <c r="C31">
        <v>0.16477700000000001</v>
      </c>
      <c r="D31">
        <v>0.69593799999999995</v>
      </c>
      <c r="E31">
        <v>2.050351</v>
      </c>
      <c r="F31">
        <v>2.8794770000000001</v>
      </c>
      <c r="G31">
        <v>1.966852</v>
      </c>
      <c r="H31">
        <f>TBL_Dati_OS[[#This Row],[Valore Volatilità]]</f>
        <v>6.2895713571095246</v>
      </c>
      <c r="I31" s="8">
        <v>0.71340000000000003</v>
      </c>
      <c r="J31" s="8">
        <v>2.217193</v>
      </c>
      <c r="K31" s="8">
        <v>3.127119</v>
      </c>
      <c r="L31" s="6">
        <f>DATE(LEFT(TBL_TEV[[#This Row],[Data]],4),MID(TBL_TEV[[#This Row],[Data]],5,2),RIGHT(TBL_TEV[[#This Row],[Data]],2))</f>
        <v>45334</v>
      </c>
      <c r="M31" t="str" cm="1">
        <f t="array" aca="1" ref="M31" ca="1">IF(_xlfn.SINGLE(TBL_TEV[Data2])&gt;=INDIRECT("L"&amp;COUNTA(TBL_TEV[Data])+1)-365, "Ultimi 12 mesi", "Vecchi dati")</f>
        <v>Vecchi dati</v>
      </c>
      <c r="Q31" s="12"/>
    </row>
    <row r="32" spans="1:17">
      <c r="A32">
        <v>20240213</v>
      </c>
      <c r="B32">
        <v>1.33203</v>
      </c>
      <c r="C32">
        <v>0.19763800000000001</v>
      </c>
      <c r="D32">
        <v>0.73451299999999997</v>
      </c>
      <c r="E32">
        <v>2.0493990000000002</v>
      </c>
      <c r="F32">
        <v>2.8740800000000002</v>
      </c>
      <c r="G32">
        <v>1.964947</v>
      </c>
      <c r="H32">
        <f>TBL_Dati_OS[[#This Row],[Valore Volatilità]]</f>
        <v>6.3020853060032485</v>
      </c>
      <c r="I32" s="5">
        <v>0.70832099999999998</v>
      </c>
      <c r="J32" s="5">
        <v>2.184809</v>
      </c>
      <c r="K32" s="5">
        <v>3.0748920000000002</v>
      </c>
      <c r="L32" s="6">
        <f>DATE(LEFT(TBL_TEV[[#This Row],[Data]],4),MID(TBL_TEV[[#This Row],[Data]],5,2),RIGHT(TBL_TEV[[#This Row],[Data]],2))</f>
        <v>45335</v>
      </c>
      <c r="M32" t="str" cm="1">
        <f t="array" aca="1" ref="M32" ca="1">IF(_xlfn.SINGLE(TBL_TEV[Data2])&gt;=INDIRECT("L"&amp;COUNTA(TBL_TEV[Data])+1)-365, "Ultimi 12 mesi", "Vecchi dati")</f>
        <v>Vecchi dati</v>
      </c>
      <c r="Q32" s="12"/>
    </row>
    <row r="33" spans="1:17">
      <c r="A33">
        <v>20240214</v>
      </c>
      <c r="B33">
        <v>1.3433010000000001</v>
      </c>
      <c r="C33">
        <v>0.19684399999999999</v>
      </c>
      <c r="D33">
        <v>0.74070499999999995</v>
      </c>
      <c r="E33">
        <v>2.065591</v>
      </c>
      <c r="F33">
        <v>2.9056700000000002</v>
      </c>
      <c r="G33">
        <v>1.9603429999999999</v>
      </c>
      <c r="H33">
        <f>TBL_Dati_OS[[#This Row],[Valore Volatilità]]</f>
        <v>6.3419128308431274</v>
      </c>
      <c r="I33" s="8">
        <v>0.69847800000000004</v>
      </c>
      <c r="J33" s="8">
        <v>2.1633779999999998</v>
      </c>
      <c r="K33" s="8">
        <v>3.0737809999999999</v>
      </c>
      <c r="L33" s="6">
        <f>DATE(LEFT(TBL_TEV[[#This Row],[Data]],4),MID(TBL_TEV[[#This Row],[Data]],5,2),RIGHT(TBL_TEV[[#This Row],[Data]],2))</f>
        <v>45336</v>
      </c>
      <c r="M33" t="str" cm="1">
        <f t="array" aca="1" ref="M33" ca="1">IF(_xlfn.SINGLE(TBL_TEV[Data2])&gt;=INDIRECT("L"&amp;COUNTA(TBL_TEV[Data])+1)-365, "Ultimi 12 mesi", "Vecchi dati")</f>
        <v>Vecchi dati</v>
      </c>
      <c r="Q33" s="12"/>
    </row>
    <row r="34" spans="1:17">
      <c r="A34">
        <v>20240215</v>
      </c>
      <c r="B34">
        <v>1.4001319999999999</v>
      </c>
      <c r="C34">
        <v>0.19636799999999999</v>
      </c>
      <c r="D34">
        <v>0.80198000000000003</v>
      </c>
      <c r="E34">
        <v>2.0962290000000001</v>
      </c>
      <c r="F34">
        <v>2.9331330000000002</v>
      </c>
      <c r="G34">
        <v>1.9746300000000001</v>
      </c>
      <c r="H34">
        <f>TBL_Dati_OS[[#This Row],[Valore Volatilità]]</f>
        <v>6.4048441780000926</v>
      </c>
      <c r="I34" s="5">
        <v>0.69355699999999998</v>
      </c>
      <c r="J34" s="5">
        <v>2.1656</v>
      </c>
      <c r="K34" s="5">
        <v>3.0520330000000002</v>
      </c>
      <c r="L34" s="6">
        <f>DATE(LEFT(TBL_TEV[[#This Row],[Data]],4),MID(TBL_TEV[[#This Row],[Data]],5,2),RIGHT(TBL_TEV[[#This Row],[Data]],2))</f>
        <v>45337</v>
      </c>
      <c r="M34" t="str" cm="1">
        <f t="array" aca="1" ref="M34" ca="1">IF(_xlfn.SINGLE(TBL_TEV[Data2])&gt;=INDIRECT("L"&amp;COUNTA(TBL_TEV[Data])+1)-365, "Ultimi 12 mesi", "Vecchi dati")</f>
        <v>Vecchi dati</v>
      </c>
      <c r="Q34" s="12"/>
    </row>
    <row r="35" spans="1:17">
      <c r="A35">
        <v>20240216</v>
      </c>
      <c r="B35">
        <v>1.3972739999999999</v>
      </c>
      <c r="C35">
        <v>0.19986000000000001</v>
      </c>
      <c r="D35">
        <v>0.80086900000000005</v>
      </c>
      <c r="E35">
        <v>2.1094050000000002</v>
      </c>
      <c r="F35">
        <v>2.9374189999999998</v>
      </c>
      <c r="G35">
        <v>1.969074</v>
      </c>
      <c r="H35">
        <f>TBL_Dati_OS[[#This Row],[Valore Volatilità]]</f>
        <v>6.3777221901828947</v>
      </c>
      <c r="I35" s="8">
        <v>0.69450999999999996</v>
      </c>
      <c r="J35" s="8">
        <v>2.1603620000000001</v>
      </c>
      <c r="K35" s="8">
        <v>3.0345710000000001</v>
      </c>
      <c r="L35" s="6">
        <f>DATE(LEFT(TBL_TEV[[#This Row],[Data]],4),MID(TBL_TEV[[#This Row],[Data]],5,2),RIGHT(TBL_TEV[[#This Row],[Data]],2))</f>
        <v>45338</v>
      </c>
      <c r="M35" t="str" cm="1">
        <f t="array" aca="1" ref="M35" ca="1">IF(_xlfn.SINGLE(TBL_TEV[Data2])&gt;=INDIRECT("L"&amp;COUNTA(TBL_TEV[Data])+1)-365, "Ultimi 12 mesi", "Vecchi dati")</f>
        <v>Vecchi dati</v>
      </c>
      <c r="Q35" s="12"/>
    </row>
    <row r="36" spans="1:17">
      <c r="A36">
        <v>20240219</v>
      </c>
      <c r="B36">
        <v>1.396004</v>
      </c>
      <c r="C36">
        <v>0.20017799999999999</v>
      </c>
      <c r="D36">
        <v>0.79959899999999995</v>
      </c>
      <c r="E36">
        <v>2.1052770000000001</v>
      </c>
      <c r="F36">
        <v>2.9345620000000001</v>
      </c>
      <c r="G36">
        <v>1.962248</v>
      </c>
      <c r="H36">
        <f>TBL_Dati_OS[[#This Row],[Valore Volatilità]]</f>
        <v>6.3405936144719188</v>
      </c>
      <c r="I36" s="5">
        <v>0.69276400000000005</v>
      </c>
      <c r="J36" s="5">
        <v>2.151313</v>
      </c>
      <c r="K36" s="5">
        <v>3.0248870000000001</v>
      </c>
      <c r="L36" s="6">
        <f>DATE(LEFT(TBL_TEV[[#This Row],[Data]],4),MID(TBL_TEV[[#This Row],[Data]],5,2),RIGHT(TBL_TEV[[#This Row],[Data]],2))</f>
        <v>45341</v>
      </c>
      <c r="M36" t="str" cm="1">
        <f t="array" aca="1" ref="M36" ca="1">IF(_xlfn.SINGLE(TBL_TEV[Data2])&gt;=INDIRECT("L"&amp;COUNTA(TBL_TEV[Data])+1)-365, "Ultimi 12 mesi", "Vecchi dati")</f>
        <v>Vecchi dati</v>
      </c>
      <c r="Q36" s="12"/>
    </row>
    <row r="37" spans="1:17">
      <c r="A37">
        <v>20240220</v>
      </c>
      <c r="B37">
        <v>1.3586990000000001</v>
      </c>
      <c r="C37">
        <v>0.191605</v>
      </c>
      <c r="D37">
        <v>0.78483599999999998</v>
      </c>
      <c r="E37">
        <v>2.042573</v>
      </c>
      <c r="F37">
        <v>2.8610630000000001</v>
      </c>
      <c r="G37">
        <v>1.871604</v>
      </c>
      <c r="H37">
        <f>TBL_Dati_OS[[#This Row],[Valore Volatilità]]</f>
        <v>6.2406896421939404</v>
      </c>
      <c r="I37" s="8">
        <v>0.69165200000000004</v>
      </c>
      <c r="J37" s="8">
        <v>2.1509960000000001</v>
      </c>
      <c r="K37" s="8">
        <v>3.0110769999999998</v>
      </c>
      <c r="L37" s="6">
        <f>DATE(LEFT(TBL_TEV[[#This Row],[Data]],4),MID(TBL_TEV[[#This Row],[Data]],5,2),RIGHT(TBL_TEV[[#This Row],[Data]],2))</f>
        <v>45342</v>
      </c>
      <c r="M37" t="str" cm="1">
        <f t="array" aca="1" ref="M37" ca="1">IF(_xlfn.SINGLE(TBL_TEV[Data2])&gt;=INDIRECT("L"&amp;COUNTA(TBL_TEV[Data])+1)-365, "Ultimi 12 mesi", "Vecchi dati")</f>
        <v>Vecchi dati</v>
      </c>
      <c r="Q37" s="12"/>
    </row>
    <row r="38" spans="1:17">
      <c r="A38">
        <v>20240221</v>
      </c>
      <c r="B38">
        <v>1.353461</v>
      </c>
      <c r="C38">
        <v>0.18604899999999999</v>
      </c>
      <c r="D38">
        <v>0.77769200000000005</v>
      </c>
      <c r="E38">
        <v>2.038287</v>
      </c>
      <c r="F38">
        <v>2.8455059999999999</v>
      </c>
      <c r="G38">
        <v>1.841602</v>
      </c>
      <c r="H38">
        <f>TBL_Dati_OS[[#This Row],[Valore Volatilità]]</f>
        <v>6.1840506381446509</v>
      </c>
      <c r="I38" s="5">
        <v>0.67688899999999996</v>
      </c>
      <c r="J38" s="5">
        <v>2.0906729999999998</v>
      </c>
      <c r="K38" s="5">
        <v>2.9547219999999998</v>
      </c>
      <c r="L38" s="6">
        <f>DATE(LEFT(TBL_TEV[[#This Row],[Data]],4),MID(TBL_TEV[[#This Row],[Data]],5,2),RIGHT(TBL_TEV[[#This Row],[Data]],2))</f>
        <v>45343</v>
      </c>
      <c r="M38" t="str" cm="1">
        <f t="array" aca="1" ref="M38" ca="1">IF(_xlfn.SINGLE(TBL_TEV[Data2])&gt;=INDIRECT("L"&amp;COUNTA(TBL_TEV[Data])+1)-365, "Ultimi 12 mesi", "Vecchi dati")</f>
        <v>Vecchi dati</v>
      </c>
      <c r="Q38" s="12"/>
    </row>
    <row r="39" spans="1:17">
      <c r="A39">
        <v>20240222</v>
      </c>
      <c r="B39">
        <v>1.3493329999999999</v>
      </c>
      <c r="C39">
        <v>0.185414</v>
      </c>
      <c r="D39">
        <v>0.77658099999999997</v>
      </c>
      <c r="E39">
        <v>2.042414</v>
      </c>
      <c r="F39">
        <v>2.8532839999999999</v>
      </c>
      <c r="G39">
        <v>1.921292</v>
      </c>
      <c r="H39">
        <f>TBL_Dati_OS[[#This Row],[Valore Volatilità]]</f>
        <v>6.2062131523274049</v>
      </c>
      <c r="I39" s="8">
        <v>0.66958700000000004</v>
      </c>
      <c r="J39" s="8">
        <v>2.0428899999999999</v>
      </c>
      <c r="K39" s="8">
        <v>2.884239</v>
      </c>
      <c r="L39" s="6">
        <f>DATE(LEFT(TBL_TEV[[#This Row],[Data]],4),MID(TBL_TEV[[#This Row],[Data]],5,2),RIGHT(TBL_TEV[[#This Row],[Data]],2))</f>
        <v>45344</v>
      </c>
      <c r="M39" t="str" cm="1">
        <f t="array" aca="1" ref="M39" ca="1">IF(_xlfn.SINGLE(TBL_TEV[Data2])&gt;=INDIRECT("L"&amp;COUNTA(TBL_TEV[Data])+1)-365, "Ultimi 12 mesi", "Vecchi dati")</f>
        <v>Vecchi dati</v>
      </c>
      <c r="Q39" s="12"/>
    </row>
    <row r="40" spans="1:17">
      <c r="A40">
        <v>20240223</v>
      </c>
      <c r="B40">
        <v>1.3579049999999999</v>
      </c>
      <c r="C40">
        <v>0.203511</v>
      </c>
      <c r="D40">
        <v>0.79023299999999996</v>
      </c>
      <c r="E40">
        <v>2.0516209999999999</v>
      </c>
      <c r="F40">
        <v>2.8701110000000001</v>
      </c>
      <c r="G40">
        <v>1.9028769999999999</v>
      </c>
      <c r="H40">
        <f>TBL_Dati_OS[[#This Row],[Valore Volatilità]]</f>
        <v>6.220786109373126</v>
      </c>
      <c r="I40" s="5">
        <v>0.66545900000000002</v>
      </c>
      <c r="J40" s="5">
        <v>2.0387629999999999</v>
      </c>
      <c r="K40" s="5">
        <v>2.8878900000000001</v>
      </c>
      <c r="L40" s="6">
        <f>DATE(LEFT(TBL_TEV[[#This Row],[Data]],4),MID(TBL_TEV[[#This Row],[Data]],5,2),RIGHT(TBL_TEV[[#This Row],[Data]],2))</f>
        <v>45345</v>
      </c>
      <c r="M40" t="str" cm="1">
        <f t="array" aca="1" ref="M40" ca="1">IF(_xlfn.SINGLE(TBL_TEV[Data2])&gt;=INDIRECT("L"&amp;COUNTA(TBL_TEV[Data])+1)-365, "Ultimi 12 mesi", "Vecchi dati")</f>
        <v>Vecchi dati</v>
      </c>
      <c r="Q40" s="12"/>
    </row>
    <row r="41" spans="1:17">
      <c r="A41">
        <v>20240226</v>
      </c>
      <c r="B41">
        <v>1.347904</v>
      </c>
      <c r="C41">
        <v>0.20160600000000001</v>
      </c>
      <c r="D41">
        <v>0.77721600000000002</v>
      </c>
      <c r="E41">
        <v>2.0397159999999999</v>
      </c>
      <c r="F41">
        <v>2.8624909999999999</v>
      </c>
      <c r="G41">
        <v>1.8787480000000001</v>
      </c>
      <c r="H41">
        <f>TBL_Dati_OS[[#This Row],[Valore Volatilità]]</f>
        <v>6.1844298630390382</v>
      </c>
      <c r="I41" s="8">
        <v>0.66133200000000003</v>
      </c>
      <c r="J41" s="8">
        <v>2.032254</v>
      </c>
      <c r="K41" s="8">
        <v>2.8983680000000001</v>
      </c>
      <c r="L41" s="6">
        <f>DATE(LEFT(TBL_TEV[[#This Row],[Data]],4),MID(TBL_TEV[[#This Row],[Data]],5,2),RIGHT(TBL_TEV[[#This Row],[Data]],2))</f>
        <v>45348</v>
      </c>
      <c r="M41" t="str" cm="1">
        <f t="array" aca="1" ref="M41" ca="1">IF(_xlfn.SINGLE(TBL_TEV[Data2])&gt;=INDIRECT("L"&amp;COUNTA(TBL_TEV[Data])+1)-365, "Ultimi 12 mesi", "Vecchi dati")</f>
        <v>Vecchi dati</v>
      </c>
      <c r="Q41" s="12"/>
    </row>
    <row r="42" spans="1:17">
      <c r="A42">
        <v>20240227</v>
      </c>
      <c r="B42">
        <v>1.351397</v>
      </c>
      <c r="C42">
        <v>0.201765</v>
      </c>
      <c r="D42">
        <v>0.77737500000000004</v>
      </c>
      <c r="E42">
        <v>2.046065</v>
      </c>
      <c r="F42">
        <v>2.8690000000000002</v>
      </c>
      <c r="G42">
        <v>1.8765259999999999</v>
      </c>
      <c r="H42">
        <f>TBL_Dati_OS[[#This Row],[Valore Volatilità]]</f>
        <v>6.340451748621339</v>
      </c>
      <c r="I42" s="5">
        <v>0.66149100000000005</v>
      </c>
      <c r="J42" s="5">
        <v>2.0270160000000002</v>
      </c>
      <c r="K42" s="5">
        <v>2.8880490000000001</v>
      </c>
      <c r="L42" s="6">
        <f>DATE(LEFT(TBL_TEV[[#This Row],[Data]],4),MID(TBL_TEV[[#This Row],[Data]],5,2),RIGHT(TBL_TEV[[#This Row],[Data]],2))</f>
        <v>45349</v>
      </c>
      <c r="M42" t="str" cm="1">
        <f t="array" aca="1" ref="M42" ca="1">IF(_xlfn.SINGLE(TBL_TEV[Data2])&gt;=INDIRECT("L"&amp;COUNTA(TBL_TEV[Data])+1)-365, "Ultimi 12 mesi", "Vecchi dati")</f>
        <v>Vecchi dati</v>
      </c>
      <c r="Q42" s="12"/>
    </row>
    <row r="43" spans="1:17">
      <c r="A43">
        <v>20240228</v>
      </c>
      <c r="B43">
        <v>1.5288740000000001</v>
      </c>
      <c r="C43">
        <v>0.201765</v>
      </c>
      <c r="D43">
        <v>0.79197899999999999</v>
      </c>
      <c r="E43">
        <v>2.0905140000000002</v>
      </c>
      <c r="F43">
        <v>2.8601100000000002</v>
      </c>
      <c r="G43">
        <v>1.934626</v>
      </c>
      <c r="H43">
        <f>TBL_Dati_OS[[#This Row],[Valore Volatilità]]</f>
        <v>6.5861658665334168</v>
      </c>
      <c r="I43" s="8">
        <v>0.66307799999999995</v>
      </c>
      <c r="J43" s="8">
        <v>2.027968</v>
      </c>
      <c r="K43" s="8">
        <v>2.885192</v>
      </c>
      <c r="L43" s="6">
        <f>DATE(LEFT(TBL_TEV[[#This Row],[Data]],4),MID(TBL_TEV[[#This Row],[Data]],5,2),RIGHT(TBL_TEV[[#This Row],[Data]],2))</f>
        <v>45350</v>
      </c>
      <c r="M43" t="str" cm="1">
        <f t="array" aca="1" ref="M43" ca="1">IF(_xlfn.SINGLE(TBL_TEV[Data2])&gt;=INDIRECT("L"&amp;COUNTA(TBL_TEV[Data])+1)-365, "Ultimi 12 mesi", "Vecchi dati")</f>
        <v>Vecchi dati</v>
      </c>
      <c r="Q43" s="12"/>
    </row>
    <row r="44" spans="1:17">
      <c r="A44">
        <v>20240229</v>
      </c>
      <c r="B44">
        <v>1.503633</v>
      </c>
      <c r="C44">
        <v>0.173985</v>
      </c>
      <c r="D44">
        <v>0.76435799999999998</v>
      </c>
      <c r="E44">
        <v>2.0811480000000002</v>
      </c>
      <c r="F44">
        <v>2.8651900000000001</v>
      </c>
      <c r="G44">
        <v>1.9176409999999999</v>
      </c>
      <c r="H44">
        <f>TBL_Dati_OS[[#This Row],[Valore Volatilità]]</f>
        <v>6.5689429463550955</v>
      </c>
      <c r="I44" s="5">
        <v>0.64545699999999995</v>
      </c>
      <c r="J44" s="5">
        <v>1.9841549999999999</v>
      </c>
      <c r="K44" s="5">
        <v>2.8061370000000001</v>
      </c>
      <c r="L44" s="6">
        <f>DATE(LEFT(TBL_TEV[[#This Row],[Data]],4),MID(TBL_TEV[[#This Row],[Data]],5,2),RIGHT(TBL_TEV[[#This Row],[Data]],2))</f>
        <v>45351</v>
      </c>
      <c r="M44" t="str" cm="1">
        <f t="array" aca="1" ref="M44" ca="1">IF(_xlfn.SINGLE(TBL_TEV[Data2])&gt;=INDIRECT("L"&amp;COUNTA(TBL_TEV[Data])+1)-365, "Ultimi 12 mesi", "Vecchi dati")</f>
        <v>Vecchi dati</v>
      </c>
      <c r="Q44" s="12"/>
    </row>
    <row r="45" spans="1:17">
      <c r="A45">
        <v>20240301</v>
      </c>
      <c r="B45">
        <v>1.5050619999999999</v>
      </c>
      <c r="C45">
        <v>0.18684300000000001</v>
      </c>
      <c r="D45">
        <v>0.75435700000000006</v>
      </c>
      <c r="E45">
        <v>2.0968640000000001</v>
      </c>
      <c r="F45">
        <v>2.8918590000000002</v>
      </c>
      <c r="G45">
        <v>1.927165</v>
      </c>
      <c r="H45">
        <f>TBL_Dati_OS[[#This Row],[Valore Volatilità]]</f>
        <v>6.5694487201945968</v>
      </c>
      <c r="I45" s="8">
        <v>0.61402599999999996</v>
      </c>
      <c r="J45" s="8">
        <v>1.9446270000000001</v>
      </c>
      <c r="K45" s="8">
        <v>2.7710539999999999</v>
      </c>
      <c r="L45" s="6">
        <f>DATE(LEFT(TBL_TEV[[#This Row],[Data]],4),MID(TBL_TEV[[#This Row],[Data]],5,2),RIGHT(TBL_TEV[[#This Row],[Data]],2))</f>
        <v>45352</v>
      </c>
      <c r="M45" t="str" cm="1">
        <f t="array" aca="1" ref="M45" ca="1">IF(_xlfn.SINGLE(TBL_TEV[Data2])&gt;=INDIRECT("L"&amp;COUNTA(TBL_TEV[Data])+1)-365, "Ultimi 12 mesi", "Vecchi dati")</f>
        <v>Vecchi dati</v>
      </c>
      <c r="Q45" s="12"/>
    </row>
    <row r="46" spans="1:17">
      <c r="A46">
        <v>20240304</v>
      </c>
      <c r="B46">
        <v>1.5049030000000001</v>
      </c>
      <c r="C46">
        <v>0.18684300000000001</v>
      </c>
      <c r="D46">
        <v>0.75927800000000001</v>
      </c>
      <c r="E46">
        <v>2.0895609999999998</v>
      </c>
      <c r="F46">
        <v>2.8783660000000002</v>
      </c>
      <c r="G46">
        <v>1.9198630000000001</v>
      </c>
      <c r="H46">
        <f>TBL_Dati_OS[[#This Row],[Valore Volatilità]]</f>
        <v>6.5621155140455212</v>
      </c>
      <c r="I46" s="5">
        <v>0.60973999999999995</v>
      </c>
      <c r="J46" s="5">
        <v>1.9303399999999999</v>
      </c>
      <c r="K46" s="5">
        <v>2.7413690000000002</v>
      </c>
      <c r="L46" s="6">
        <f>DATE(LEFT(TBL_TEV[[#This Row],[Data]],4),MID(TBL_TEV[[#This Row],[Data]],5,2),RIGHT(TBL_TEV[[#This Row],[Data]],2))</f>
        <v>45355</v>
      </c>
      <c r="M46" t="str" cm="1">
        <f t="array" aca="1" ref="M46" ca="1">IF(_xlfn.SINGLE(TBL_TEV[Data2])&gt;=INDIRECT("L"&amp;COUNTA(TBL_TEV[Data])+1)-365, "Ultimi 12 mesi", "Vecchi dati")</f>
        <v>Vecchi dati</v>
      </c>
      <c r="Q46" s="12"/>
    </row>
    <row r="47" spans="1:17">
      <c r="A47">
        <v>20240305</v>
      </c>
      <c r="B47">
        <v>1.496014</v>
      </c>
      <c r="C47">
        <v>0.18890699999999999</v>
      </c>
      <c r="D47">
        <v>0.75880099999999995</v>
      </c>
      <c r="E47">
        <v>2.0724170000000002</v>
      </c>
      <c r="F47">
        <v>2.857888</v>
      </c>
      <c r="G47">
        <v>1.9198630000000001</v>
      </c>
      <c r="H47">
        <f>TBL_Dati_OS[[#This Row],[Valore Volatilità]]</f>
        <v>6.5273923357384342</v>
      </c>
      <c r="I47" s="8">
        <v>0.60672400000000004</v>
      </c>
      <c r="J47" s="8">
        <v>1.9354199999999999</v>
      </c>
      <c r="K47" s="8">
        <v>2.7470840000000001</v>
      </c>
      <c r="L47" s="6">
        <f>DATE(LEFT(TBL_TEV[[#This Row],[Data]],4),MID(TBL_TEV[[#This Row],[Data]],5,2),RIGHT(TBL_TEV[[#This Row],[Data]],2))</f>
        <v>45356</v>
      </c>
      <c r="M47" t="str" cm="1">
        <f t="array" aca="1" ref="M47" ca="1">IF(_xlfn.SINGLE(TBL_TEV[Data2])&gt;=INDIRECT("L"&amp;COUNTA(TBL_TEV[Data])+1)-365, "Ultimi 12 mesi", "Vecchi dati")</f>
        <v>Vecchi dati</v>
      </c>
      <c r="Q47" s="12"/>
    </row>
    <row r="48" spans="1:17">
      <c r="A48">
        <v>20240306</v>
      </c>
      <c r="B48">
        <v>1.5009349999999999</v>
      </c>
      <c r="C48">
        <v>0.189224</v>
      </c>
      <c r="D48">
        <v>0.76372300000000004</v>
      </c>
      <c r="E48">
        <v>2.0732110000000001</v>
      </c>
      <c r="F48">
        <v>2.8588399999999998</v>
      </c>
      <c r="G48">
        <v>1.9219269999999999</v>
      </c>
      <c r="H48">
        <f>TBL_Dati_OS[[#This Row],[Valore Volatilità]]</f>
        <v>6.5426942616508832</v>
      </c>
      <c r="I48" s="5">
        <v>0.61116899999999996</v>
      </c>
      <c r="J48" s="5">
        <v>1.9547870000000001</v>
      </c>
      <c r="K48" s="5">
        <v>2.7685140000000001</v>
      </c>
      <c r="L48" s="6">
        <f>DATE(LEFT(TBL_TEV[[#This Row],[Data]],4),MID(TBL_TEV[[#This Row],[Data]],5,2),RIGHT(TBL_TEV[[#This Row],[Data]],2))</f>
        <v>45357</v>
      </c>
      <c r="M48" t="str" cm="1">
        <f t="array" aca="1" ref="M48" ca="1">IF(_xlfn.SINGLE(TBL_TEV[Data2])&gt;=INDIRECT("L"&amp;COUNTA(TBL_TEV[Data])+1)-365, "Ultimi 12 mesi", "Vecchi dati")</f>
        <v>Vecchi dati</v>
      </c>
      <c r="Q48" s="12"/>
    </row>
    <row r="49" spans="1:17">
      <c r="A49">
        <v>20240307</v>
      </c>
      <c r="B49">
        <v>1.4955369999999999</v>
      </c>
      <c r="C49">
        <v>0.189383</v>
      </c>
      <c r="D49">
        <v>0.84499999999999997</v>
      </c>
      <c r="E49">
        <v>2.0622569999999998</v>
      </c>
      <c r="F49">
        <v>2.8496329999999999</v>
      </c>
      <c r="G49">
        <v>1.9439919999999999</v>
      </c>
      <c r="H49">
        <f>TBL_Dati_OS[[#This Row],[Valore Volatilità]]</f>
        <v>6.4706801567198884</v>
      </c>
      <c r="I49" s="8">
        <v>0.63005900000000004</v>
      </c>
      <c r="J49" s="8">
        <v>2.1605210000000001</v>
      </c>
      <c r="K49" s="8">
        <v>3.1310880000000001</v>
      </c>
      <c r="L49" s="6">
        <f>DATE(LEFT(TBL_TEV[[#This Row],[Data]],4),MID(TBL_TEV[[#This Row],[Data]],5,2),RIGHT(TBL_TEV[[#This Row],[Data]],2))</f>
        <v>45358</v>
      </c>
      <c r="M49" t="str" cm="1">
        <f t="array" aca="1" ref="M49" ca="1">IF(_xlfn.SINGLE(TBL_TEV[Data2])&gt;=INDIRECT("L"&amp;COUNTA(TBL_TEV[Data])+1)-365, "Ultimi 12 mesi", "Vecchi dati")</f>
        <v>Vecchi dati</v>
      </c>
      <c r="Q49" s="12"/>
    </row>
    <row r="50" spans="1:17">
      <c r="A50">
        <v>20240308</v>
      </c>
      <c r="B50">
        <v>1.4876</v>
      </c>
      <c r="C50">
        <v>0.18906500000000001</v>
      </c>
      <c r="D50">
        <v>0.87246299999999999</v>
      </c>
      <c r="E50">
        <v>2.052098</v>
      </c>
      <c r="F50">
        <v>2.838203</v>
      </c>
      <c r="G50">
        <v>1.94177</v>
      </c>
      <c r="H50">
        <f>TBL_Dati_OS[[#This Row],[Valore Volatilità]]</f>
        <v>6.4113478612102934</v>
      </c>
      <c r="I50" s="5">
        <v>0.63196399999999997</v>
      </c>
      <c r="J50" s="5">
        <v>2.175284</v>
      </c>
      <c r="K50" s="5">
        <v>3.1441050000000001</v>
      </c>
      <c r="L50" s="6">
        <f>DATE(LEFT(TBL_TEV[[#This Row],[Data]],4),MID(TBL_TEV[[#This Row],[Data]],5,2),RIGHT(TBL_TEV[[#This Row],[Data]],2))</f>
        <v>45359</v>
      </c>
      <c r="M50" t="str" cm="1">
        <f t="array" aca="1" ref="M50" ca="1">IF(_xlfn.SINGLE(TBL_TEV[Data2])&gt;=INDIRECT("L"&amp;COUNTA(TBL_TEV[Data])+1)-365, "Ultimi 12 mesi", "Vecchi dati")</f>
        <v>Vecchi dati</v>
      </c>
      <c r="Q50" s="12"/>
    </row>
    <row r="51" spans="1:17">
      <c r="A51">
        <v>20240311</v>
      </c>
      <c r="B51">
        <v>1.4209270000000001</v>
      </c>
      <c r="C51">
        <v>0.18890699999999999</v>
      </c>
      <c r="D51">
        <v>0.79039199999999998</v>
      </c>
      <c r="E51">
        <v>2.0386039999999999</v>
      </c>
      <c r="F51">
        <v>2.8418540000000001</v>
      </c>
      <c r="G51">
        <v>1.9166879999999999</v>
      </c>
      <c r="H51">
        <f>TBL_Dati_OS[[#This Row],[Valore Volatilità]]</f>
        <v>6.3592782896823552</v>
      </c>
      <c r="I51" s="8">
        <v>0.626884</v>
      </c>
      <c r="J51" s="8">
        <v>2.1909999999999998</v>
      </c>
      <c r="K51" s="8">
        <v>3.2117300000000002</v>
      </c>
      <c r="L51" s="6">
        <f>DATE(LEFT(TBL_TEV[[#This Row],[Data]],4),MID(TBL_TEV[[#This Row],[Data]],5,2),RIGHT(TBL_TEV[[#This Row],[Data]],2))</f>
        <v>45362</v>
      </c>
      <c r="M51" t="str" cm="1">
        <f t="array" aca="1" ref="M51" ca="1">IF(_xlfn.SINGLE(TBL_TEV[Data2])&gt;=INDIRECT("L"&amp;COUNTA(TBL_TEV[Data])+1)-365, "Ultimi 12 mesi", "Vecchi dati")</f>
        <v>Vecchi dati</v>
      </c>
      <c r="Q51" s="12"/>
    </row>
    <row r="52" spans="1:17">
      <c r="A52">
        <v>20240312</v>
      </c>
      <c r="B52">
        <v>1.35727</v>
      </c>
      <c r="C52">
        <v>0.188113</v>
      </c>
      <c r="D52">
        <v>0.74737200000000004</v>
      </c>
      <c r="E52">
        <v>1.9860599999999999</v>
      </c>
      <c r="F52">
        <v>2.828837</v>
      </c>
      <c r="G52">
        <v>1.9406589999999999</v>
      </c>
      <c r="H52">
        <f>TBL_Dati_OS[[#This Row],[Valore Volatilità]]</f>
        <v>6.3666788186148979</v>
      </c>
      <c r="I52" s="5">
        <v>0.634822</v>
      </c>
      <c r="J52" s="5">
        <v>2.2416390000000002</v>
      </c>
      <c r="K52" s="5">
        <v>3.3646020000000001</v>
      </c>
      <c r="L52" s="6">
        <f>DATE(LEFT(TBL_TEV[[#This Row],[Data]],4),MID(TBL_TEV[[#This Row],[Data]],5,2),RIGHT(TBL_TEV[[#This Row],[Data]],2))</f>
        <v>45363</v>
      </c>
      <c r="M52" t="str" cm="1">
        <f t="array" aca="1" ref="M52" ca="1">IF(_xlfn.SINGLE(TBL_TEV[Data2])&gt;=INDIRECT("L"&amp;COUNTA(TBL_TEV[Data])+1)-365, "Ultimi 12 mesi", "Vecchi dati")</f>
        <v>Vecchi dati</v>
      </c>
      <c r="Q52" s="12"/>
    </row>
    <row r="53" spans="1:17">
      <c r="A53">
        <v>20240313</v>
      </c>
      <c r="B53">
        <v>1.4477549999999999</v>
      </c>
      <c r="C53">
        <v>0.188113</v>
      </c>
      <c r="D53">
        <v>0.887544</v>
      </c>
      <c r="E53">
        <v>2.0157449999999999</v>
      </c>
      <c r="F53">
        <v>2.8505850000000001</v>
      </c>
      <c r="G53">
        <v>1.96193</v>
      </c>
      <c r="H53">
        <f>TBL_Dati_OS[[#This Row],[Valore Volatilità]]</f>
        <v>6.2312183411928919</v>
      </c>
      <c r="I53" s="8">
        <v>0.63196399999999997</v>
      </c>
      <c r="J53" s="8">
        <v>2.2657690000000001</v>
      </c>
      <c r="K53" s="8">
        <v>3.420798</v>
      </c>
      <c r="L53" s="6">
        <f>DATE(LEFT(TBL_TEV[[#This Row],[Data]],4),MID(TBL_TEV[[#This Row],[Data]],5,2),RIGHT(TBL_TEV[[#This Row],[Data]],2))</f>
        <v>45364</v>
      </c>
      <c r="M53" t="str" cm="1">
        <f t="array" aca="1" ref="M53" ca="1">IF(_xlfn.SINGLE(TBL_TEV[Data2])&gt;=INDIRECT("L"&amp;COUNTA(TBL_TEV[Data])+1)-365, "Ultimi 12 mesi", "Vecchi dati")</f>
        <v>Vecchi dati</v>
      </c>
      <c r="Q53" s="12"/>
    </row>
    <row r="54" spans="1:17">
      <c r="A54">
        <v>20240314</v>
      </c>
      <c r="B54">
        <v>1.4564859999999999</v>
      </c>
      <c r="C54">
        <v>0.189383</v>
      </c>
      <c r="D54">
        <v>0.89246499999999995</v>
      </c>
      <c r="E54">
        <v>2.0181260000000001</v>
      </c>
      <c r="F54">
        <v>2.8607450000000001</v>
      </c>
      <c r="G54">
        <v>1.950342</v>
      </c>
      <c r="H54">
        <f>TBL_Dati_OS[[#This Row],[Valore Volatilità]]</f>
        <v>6.2071778179359773</v>
      </c>
      <c r="I54" s="5">
        <v>0.63497999999999999</v>
      </c>
      <c r="J54" s="5">
        <v>2.262594</v>
      </c>
      <c r="K54" s="5">
        <v>3.4180990000000002</v>
      </c>
      <c r="L54" s="6">
        <f>DATE(LEFT(TBL_TEV[[#This Row],[Data]],4),MID(TBL_TEV[[#This Row],[Data]],5,2),RIGHT(TBL_TEV[[#This Row],[Data]],2))</f>
        <v>45365</v>
      </c>
      <c r="M54" t="str" cm="1">
        <f t="array" aca="1" ref="M54" ca="1">IF(_xlfn.SINGLE(TBL_TEV[Data2])&gt;=INDIRECT("L"&amp;COUNTA(TBL_TEV[Data])+1)-365, "Ultimi 12 mesi", "Vecchi dati")</f>
        <v>Vecchi dati</v>
      </c>
      <c r="Q54" s="12"/>
    </row>
    <row r="55" spans="1:17">
      <c r="A55">
        <v>20240315</v>
      </c>
      <c r="B55">
        <v>1.4577560000000001</v>
      </c>
      <c r="C55">
        <v>0.18890699999999999</v>
      </c>
      <c r="D55">
        <v>0.89468700000000001</v>
      </c>
      <c r="E55">
        <v>2.0165389999999999</v>
      </c>
      <c r="F55">
        <v>2.8556650000000001</v>
      </c>
      <c r="G55">
        <v>1.9627239999999999</v>
      </c>
      <c r="H55">
        <f>TBL_Dati_OS[[#This Row],[Valore Volatilità]]</f>
        <v>6.1900882031800926</v>
      </c>
      <c r="I55" s="8">
        <v>0.63466299999999998</v>
      </c>
      <c r="J55" s="8">
        <v>2.248148</v>
      </c>
      <c r="K55" s="8">
        <v>3.4066689999999999</v>
      </c>
      <c r="L55" s="6">
        <f>DATE(LEFT(TBL_TEV[[#This Row],[Data]],4),MID(TBL_TEV[[#This Row],[Data]],5,2),RIGHT(TBL_TEV[[#This Row],[Data]],2))</f>
        <v>45366</v>
      </c>
      <c r="M55" t="str" cm="1">
        <f t="array" aca="1" ref="M55" ca="1">IF(_xlfn.SINGLE(TBL_TEV[Data2])&gt;=INDIRECT("L"&amp;COUNTA(TBL_TEV[Data])+1)-365, "Ultimi 12 mesi", "Vecchi dati")</f>
        <v>Vecchi dati</v>
      </c>
      <c r="Q55" s="12"/>
    </row>
    <row r="56" spans="1:17">
      <c r="A56">
        <v>20240318</v>
      </c>
      <c r="B56">
        <v>1.4617249999999999</v>
      </c>
      <c r="C56">
        <v>0.188748</v>
      </c>
      <c r="D56">
        <v>0.90357699999999996</v>
      </c>
      <c r="E56">
        <v>2.014475</v>
      </c>
      <c r="F56">
        <v>2.8551890000000002</v>
      </c>
      <c r="G56">
        <v>1.9587559999999999</v>
      </c>
      <c r="H56">
        <f>TBL_Dati_OS[[#This Row],[Valore Volatilità]]</f>
        <v>6.2634860987447079</v>
      </c>
      <c r="I56" s="5">
        <v>0.67291999999999996</v>
      </c>
      <c r="J56" s="5">
        <v>2.2440199999999999</v>
      </c>
      <c r="K56" s="5">
        <v>3.411273</v>
      </c>
      <c r="L56" s="6">
        <f>DATE(LEFT(TBL_TEV[[#This Row],[Data]],4),MID(TBL_TEV[[#This Row],[Data]],5,2),RIGHT(TBL_TEV[[#This Row],[Data]],2))</f>
        <v>45369</v>
      </c>
      <c r="M56" t="str" cm="1">
        <f t="array" aca="1" ref="M56" ca="1">IF(_xlfn.SINGLE(TBL_TEV[Data2])&gt;=INDIRECT("L"&amp;COUNTA(TBL_TEV[Data])+1)-365, "Ultimi 12 mesi", "Vecchi dati")</f>
        <v>Vecchi dati</v>
      </c>
      <c r="Q56" s="12"/>
    </row>
    <row r="57" spans="1:17">
      <c r="A57">
        <v>20240319</v>
      </c>
      <c r="B57">
        <v>1.456169</v>
      </c>
      <c r="C57">
        <v>0.18842999999999999</v>
      </c>
      <c r="D57">
        <v>0.89960799999999996</v>
      </c>
      <c r="E57">
        <v>2.0038390000000001</v>
      </c>
      <c r="F57">
        <v>2.839156</v>
      </c>
      <c r="G57">
        <v>1.9697089999999999</v>
      </c>
      <c r="H57">
        <f>TBL_Dati_OS[[#This Row],[Valore Volatilità]]</f>
        <v>6.2482515006106256</v>
      </c>
      <c r="I57" s="8">
        <v>0.74594300000000002</v>
      </c>
      <c r="J57" s="8">
        <v>2.2424330000000001</v>
      </c>
      <c r="K57" s="8">
        <v>3.3511090000000001</v>
      </c>
      <c r="L57" s="6">
        <f>DATE(LEFT(TBL_TEV[[#This Row],[Data]],4),MID(TBL_TEV[[#This Row],[Data]],5,2),RIGHT(TBL_TEV[[#This Row],[Data]],2))</f>
        <v>45370</v>
      </c>
      <c r="M57" t="str" cm="1">
        <f t="array" aca="1" ref="M57" ca="1">IF(_xlfn.SINGLE(TBL_TEV[Data2])&gt;=INDIRECT("L"&amp;COUNTA(TBL_TEV[Data])+1)-365, "Ultimi 12 mesi", "Vecchi dati")</f>
        <v>Vecchi dati</v>
      </c>
      <c r="Q57" s="12"/>
    </row>
    <row r="58" spans="1:17">
      <c r="A58">
        <v>20240320</v>
      </c>
      <c r="B58">
        <v>1.451724</v>
      </c>
      <c r="C58">
        <v>0.18747800000000001</v>
      </c>
      <c r="D58">
        <v>0.89627500000000004</v>
      </c>
      <c r="E58">
        <v>1.9917750000000001</v>
      </c>
      <c r="F58">
        <v>2.8228049999999998</v>
      </c>
      <c r="G58">
        <v>1.9833609999999999</v>
      </c>
      <c r="H58">
        <f>TBL_Dati_OS[[#This Row],[Valore Volatilità]]</f>
        <v>6.2211991174375623</v>
      </c>
      <c r="I58" s="5">
        <v>0.74499099999999996</v>
      </c>
      <c r="J58" s="5">
        <v>2.2376710000000002</v>
      </c>
      <c r="K58" s="5">
        <v>3.3823810000000001</v>
      </c>
      <c r="L58" s="6">
        <f>DATE(LEFT(TBL_TEV[[#This Row],[Data]],4),MID(TBL_TEV[[#This Row],[Data]],5,2),RIGHT(TBL_TEV[[#This Row],[Data]],2))</f>
        <v>45371</v>
      </c>
      <c r="M58" t="str" cm="1">
        <f t="array" aca="1" ref="M58" ca="1">IF(_xlfn.SINGLE(TBL_TEV[Data2])&gt;=INDIRECT("L"&amp;COUNTA(TBL_TEV[Data])+1)-365, "Ultimi 12 mesi", "Vecchi dati")</f>
        <v>Vecchi dati</v>
      </c>
      <c r="Q58" s="12"/>
    </row>
    <row r="59" spans="1:17">
      <c r="A59">
        <v>20240321</v>
      </c>
      <c r="B59">
        <v>1.4572799999999999</v>
      </c>
      <c r="C59">
        <v>0.188113</v>
      </c>
      <c r="D59">
        <v>0.90024300000000002</v>
      </c>
      <c r="E59">
        <v>1.986218</v>
      </c>
      <c r="F59">
        <v>2.811534</v>
      </c>
      <c r="G59">
        <v>1.9824090000000001</v>
      </c>
      <c r="H59">
        <f>TBL_Dati_OS[[#This Row],[Valore Volatilità]]</f>
        <v>6.1999769425771047</v>
      </c>
      <c r="I59" s="8">
        <v>0.74626099999999995</v>
      </c>
      <c r="J59" s="8">
        <v>2.2279870000000002</v>
      </c>
      <c r="K59" s="8">
        <v>3.3698410000000001</v>
      </c>
      <c r="L59" s="6">
        <f>DATE(LEFT(TBL_TEV[[#This Row],[Data]],4),MID(TBL_TEV[[#This Row],[Data]],5,2),RIGHT(TBL_TEV[[#This Row],[Data]],2))</f>
        <v>45372</v>
      </c>
      <c r="M59" t="str" cm="1">
        <f t="array" aca="1" ref="M59" ca="1">IF(_xlfn.SINGLE(TBL_TEV[Data2])&gt;=INDIRECT("L"&amp;COUNTA(TBL_TEV[Data])+1)-365, "Ultimi 12 mesi", "Vecchi dati")</f>
        <v>Vecchi dati</v>
      </c>
      <c r="Q59" s="12"/>
    </row>
    <row r="60" spans="1:17">
      <c r="A60">
        <v>20240322</v>
      </c>
      <c r="B60">
        <v>1.465058</v>
      </c>
      <c r="C60">
        <v>0.18731900000000001</v>
      </c>
      <c r="D60">
        <v>0.90421200000000002</v>
      </c>
      <c r="E60">
        <v>1.987806</v>
      </c>
      <c r="F60">
        <v>2.8058190000000001</v>
      </c>
      <c r="G60">
        <v>2.0025689999999998</v>
      </c>
      <c r="H60">
        <f>TBL_Dati_OS[[#This Row],[Valore Volatilità]]</f>
        <v>6.3758435380745215</v>
      </c>
      <c r="I60" s="5">
        <v>0.74753099999999995</v>
      </c>
      <c r="J60" s="5">
        <v>2.2271930000000002</v>
      </c>
      <c r="K60" s="5">
        <v>3.360633</v>
      </c>
      <c r="L60" s="6">
        <f>DATE(LEFT(TBL_TEV[[#This Row],[Data]],4),MID(TBL_TEV[[#This Row],[Data]],5,2),RIGHT(TBL_TEV[[#This Row],[Data]],2))</f>
        <v>45373</v>
      </c>
      <c r="M60" t="str" cm="1">
        <f t="array" aca="1" ref="M60" ca="1">IF(_xlfn.SINGLE(TBL_TEV[Data2])&gt;=INDIRECT("L"&amp;COUNTA(TBL_TEV[Data])+1)-365, "Ultimi 12 mesi", "Vecchi dati")</f>
        <v>Vecchi dati</v>
      </c>
      <c r="Q60" s="12"/>
    </row>
    <row r="61" spans="1:17">
      <c r="A61">
        <v>20240325</v>
      </c>
      <c r="B61">
        <v>1.472996</v>
      </c>
      <c r="C61">
        <v>0.18573200000000001</v>
      </c>
      <c r="D61">
        <v>0.91024400000000005</v>
      </c>
      <c r="E61">
        <v>1.9884409999999999</v>
      </c>
      <c r="F61">
        <v>2.8040729999999998</v>
      </c>
      <c r="G61">
        <v>2.015428</v>
      </c>
      <c r="H61">
        <f>TBL_Dati_OS[[#This Row],[Valore Volatilità]]</f>
        <v>6.3174621340602135</v>
      </c>
      <c r="I61" s="8">
        <v>0.75483299999999998</v>
      </c>
      <c r="J61" s="8">
        <v>2.2262409999999999</v>
      </c>
      <c r="K61" s="8">
        <v>3.3538070000000002</v>
      </c>
      <c r="L61" s="6">
        <f>DATE(LEFT(TBL_TEV[[#This Row],[Data]],4),MID(TBL_TEV[[#This Row],[Data]],5,2),RIGHT(TBL_TEV[[#This Row],[Data]],2))</f>
        <v>45376</v>
      </c>
      <c r="M61" t="str" cm="1">
        <f t="array" aca="1" ref="M61" ca="1">IF(_xlfn.SINGLE(TBL_TEV[Data2])&gt;=INDIRECT("L"&amp;COUNTA(TBL_TEV[Data])+1)-365, "Ultimi 12 mesi", "Vecchi dati")</f>
        <v>Vecchi dati</v>
      </c>
      <c r="Q61" s="12"/>
    </row>
    <row r="62" spans="1:17">
      <c r="A62">
        <v>20240326</v>
      </c>
      <c r="B62">
        <v>1.468709</v>
      </c>
      <c r="C62">
        <v>0.18509700000000001</v>
      </c>
      <c r="D62">
        <v>0.90849800000000003</v>
      </c>
      <c r="E62">
        <v>1.985107</v>
      </c>
      <c r="F62">
        <v>2.8005810000000002</v>
      </c>
      <c r="G62">
        <v>1.994156</v>
      </c>
      <c r="H62">
        <f>TBL_Dati_OS[[#This Row],[Valore Volatilità]]</f>
        <v>6.3124206402886758</v>
      </c>
      <c r="I62" s="5">
        <v>0.74943599999999999</v>
      </c>
      <c r="J62" s="5">
        <v>2.2051280000000002</v>
      </c>
      <c r="K62" s="5">
        <v>3.3345989999999999</v>
      </c>
      <c r="L62" s="6">
        <f>DATE(LEFT(TBL_TEV[[#This Row],[Data]],4),MID(TBL_TEV[[#This Row],[Data]],5,2),RIGHT(TBL_TEV[[#This Row],[Data]],2))</f>
        <v>45377</v>
      </c>
      <c r="M62" t="str" cm="1">
        <f t="array" aca="1" ref="M62" ca="1">IF(_xlfn.SINGLE(TBL_TEV[Data2])&gt;=INDIRECT("L"&amp;COUNTA(TBL_TEV[Data])+1)-365, "Ultimi 12 mesi", "Vecchi dati")</f>
        <v>Vecchi dati</v>
      </c>
      <c r="Q62" s="12"/>
    </row>
    <row r="63" spans="1:17">
      <c r="A63">
        <v>20240327</v>
      </c>
      <c r="B63">
        <v>1.479822</v>
      </c>
      <c r="C63">
        <v>0.18430299999999999</v>
      </c>
      <c r="D63">
        <v>0.921991</v>
      </c>
      <c r="E63">
        <v>2.005744</v>
      </c>
      <c r="F63">
        <v>2.8135979999999998</v>
      </c>
      <c r="G63">
        <v>2.0138400000000001</v>
      </c>
      <c r="H63">
        <f>TBL_Dati_OS[[#This Row],[Valore Volatilità]]</f>
        <v>6.2962786559061792</v>
      </c>
      <c r="I63" s="8">
        <v>0.751023</v>
      </c>
      <c r="J63" s="8">
        <v>2.4218150000000001</v>
      </c>
      <c r="K63" s="8">
        <v>3.6376430000000002</v>
      </c>
      <c r="L63" s="6">
        <f>DATE(LEFT(TBL_TEV[[#This Row],[Data]],4),MID(TBL_TEV[[#This Row],[Data]],5,2),RIGHT(TBL_TEV[[#This Row],[Data]],2))</f>
        <v>45378</v>
      </c>
      <c r="M63" t="str" cm="1">
        <f t="array" aca="1" ref="M63" ca="1">IF(_xlfn.SINGLE(TBL_TEV[Data2])&gt;=INDIRECT("L"&amp;COUNTA(TBL_TEV[Data])+1)-365, "Ultimi 12 mesi", "Vecchi dati")</f>
        <v>Vecchi dati</v>
      </c>
      <c r="Q63" s="12"/>
    </row>
    <row r="64" spans="1:17">
      <c r="A64">
        <v>20240328</v>
      </c>
      <c r="B64">
        <v>1.442358</v>
      </c>
      <c r="C64">
        <v>0.16572999999999999</v>
      </c>
      <c r="D64">
        <v>0.87214499999999995</v>
      </c>
      <c r="E64">
        <v>1.911767</v>
      </c>
      <c r="F64">
        <v>2.7134299999999998</v>
      </c>
      <c r="G64">
        <v>1.975741</v>
      </c>
      <c r="H64">
        <f>TBL_Dati_OS[[#This Row],[Valore Volatilità]]</f>
        <v>6.2947147267397074</v>
      </c>
      <c r="I64" s="5">
        <v>0.747054</v>
      </c>
      <c r="J64" s="5">
        <v>2.3981620000000001</v>
      </c>
      <c r="K64" s="5">
        <v>3.6203400000000001</v>
      </c>
      <c r="L64" s="6">
        <f>DATE(LEFT(TBL_TEV[[#This Row],[Data]],4),MID(TBL_TEV[[#This Row],[Data]],5,2),RIGHT(TBL_TEV[[#This Row],[Data]],2))</f>
        <v>45379</v>
      </c>
      <c r="M64" t="str" cm="1">
        <f t="array" aca="1" ref="M64" ca="1">IF(_xlfn.SINGLE(TBL_TEV[Data2])&gt;=INDIRECT("L"&amp;COUNTA(TBL_TEV[Data])+1)-365, "Ultimi 12 mesi", "Vecchi dati")</f>
        <v>Vecchi dati</v>
      </c>
      <c r="Q64" s="12"/>
    </row>
    <row r="65" spans="1:17">
      <c r="A65">
        <v>20240329</v>
      </c>
      <c r="B65">
        <v>1.435214</v>
      </c>
      <c r="C65">
        <v>0.15684000000000001</v>
      </c>
      <c r="D65">
        <v>0.86754200000000004</v>
      </c>
      <c r="E65">
        <v>1.9028769999999999</v>
      </c>
      <c r="F65">
        <v>2.7008890000000001</v>
      </c>
      <c r="G65">
        <v>1.975741</v>
      </c>
      <c r="H65">
        <f>TBL_Dati_OS[[#This Row],[Valore Volatilità]]</f>
        <v>6.2947147267397074</v>
      </c>
      <c r="I65" s="8">
        <v>0.66022099999999995</v>
      </c>
      <c r="J65" s="8">
        <v>2.399114</v>
      </c>
      <c r="K65" s="8">
        <v>3.6227209999999999</v>
      </c>
      <c r="L65" s="6">
        <f>DATE(LEFT(TBL_TEV[[#This Row],[Data]],4),MID(TBL_TEV[[#This Row],[Data]],5,2),RIGHT(TBL_TEV[[#This Row],[Data]],2))</f>
        <v>45380</v>
      </c>
      <c r="M65" t="str" cm="1">
        <f t="array" aca="1" ref="M65" ca="1">IF(_xlfn.SINGLE(TBL_TEV[Data2])&gt;=INDIRECT("L"&amp;COUNTA(TBL_TEV[Data])+1)-365, "Ultimi 12 mesi", "Vecchi dati")</f>
        <v>Vecchi dati</v>
      </c>
      <c r="Q65" s="12"/>
    </row>
    <row r="66" spans="1:17">
      <c r="A66">
        <v>20240402</v>
      </c>
      <c r="B66">
        <v>1.392671</v>
      </c>
      <c r="C66">
        <v>0.15604599999999999</v>
      </c>
      <c r="D66">
        <v>0.85055599999999998</v>
      </c>
      <c r="E66">
        <v>1.8325530000000001</v>
      </c>
      <c r="F66">
        <v>2.6078640000000002</v>
      </c>
      <c r="G66">
        <v>2.0309849999999998</v>
      </c>
      <c r="H66">
        <f>TBL_Dati_OS[[#This Row],[Valore Volatilità]]</f>
        <v>6.1943378074318547</v>
      </c>
      <c r="I66" s="5">
        <v>0.64387000000000005</v>
      </c>
      <c r="J66" s="5">
        <v>2.398479</v>
      </c>
      <c r="K66" s="5">
        <v>3.6230389999999999</v>
      </c>
      <c r="L66" s="6">
        <f>DATE(LEFT(TBL_TEV[[#This Row],[Data]],4),MID(TBL_TEV[[#This Row],[Data]],5,2),RIGHT(TBL_TEV[[#This Row],[Data]],2))</f>
        <v>45384</v>
      </c>
      <c r="M66" t="str" cm="1">
        <f t="array" aca="1" ref="M66" ca="1">IF(_xlfn.SINGLE(TBL_TEV[Data2])&gt;=INDIRECT("L"&amp;COUNTA(TBL_TEV[Data])+1)-365, "Ultimi 12 mesi", "Vecchi dati")</f>
        <v>Vecchi dati</v>
      </c>
      <c r="Q66" s="12"/>
    </row>
    <row r="67" spans="1:17">
      <c r="A67">
        <v>20240403</v>
      </c>
      <c r="B67">
        <v>1.414895</v>
      </c>
      <c r="C67">
        <v>0.155888</v>
      </c>
      <c r="D67">
        <v>0.85865199999999997</v>
      </c>
      <c r="E67">
        <v>1.858905</v>
      </c>
      <c r="F67">
        <v>2.6404070000000002</v>
      </c>
      <c r="G67">
        <v>2.0262220000000002</v>
      </c>
      <c r="H67">
        <f>TBL_Dati_OS[[#This Row],[Valore Volatilità]]</f>
        <v>6.2351291594603495</v>
      </c>
      <c r="I67" s="8">
        <v>0.64101300000000005</v>
      </c>
      <c r="J67" s="8">
        <v>2.3965740000000002</v>
      </c>
      <c r="K67" s="8">
        <v>3.6090689999999999</v>
      </c>
      <c r="L67" s="6">
        <f>DATE(LEFT(TBL_TEV[[#This Row],[Data]],4),MID(TBL_TEV[[#This Row],[Data]],5,2),RIGHT(TBL_TEV[[#This Row],[Data]],2))</f>
        <v>45385</v>
      </c>
      <c r="M67" t="str" cm="1">
        <f t="array" aca="1" ref="M67" ca="1">IF(_xlfn.SINGLE(TBL_TEV[Data2])&gt;=INDIRECT("L"&amp;COUNTA(TBL_TEV[Data])+1)-365, "Ultimi 12 mesi", "Vecchi dati")</f>
        <v>Vecchi dati</v>
      </c>
      <c r="Q67" s="12"/>
    </row>
    <row r="68" spans="1:17">
      <c r="A68">
        <v>20240404</v>
      </c>
      <c r="B68">
        <v>1.426642</v>
      </c>
      <c r="C68">
        <v>0.15937999999999999</v>
      </c>
      <c r="D68">
        <v>0.88548000000000004</v>
      </c>
      <c r="E68">
        <v>1.85192</v>
      </c>
      <c r="F68">
        <v>2.5956410000000001</v>
      </c>
      <c r="G68">
        <v>2.047018</v>
      </c>
      <c r="H68">
        <f>TBL_Dati_OS[[#This Row],[Valore Volatilità]]</f>
        <v>6.2246476602788938</v>
      </c>
      <c r="I68" s="5">
        <v>0.61751800000000001</v>
      </c>
      <c r="J68" s="5">
        <v>2.39086</v>
      </c>
      <c r="K68" s="5">
        <v>3.6019260000000002</v>
      </c>
      <c r="L68" s="6">
        <f>DATE(LEFT(TBL_TEV[[#This Row],[Data]],4),MID(TBL_TEV[[#This Row],[Data]],5,2),RIGHT(TBL_TEV[[#This Row],[Data]],2))</f>
        <v>45386</v>
      </c>
      <c r="M68" t="str" cm="1">
        <f t="array" aca="1" ref="M68" ca="1">IF(_xlfn.SINGLE(TBL_TEV[Data2])&gt;=INDIRECT("L"&amp;COUNTA(TBL_TEV[Data])+1)-365, "Ultimi 12 mesi", "Vecchi dati")</f>
        <v>Vecchi dati</v>
      </c>
      <c r="Q68" s="12"/>
    </row>
    <row r="69" spans="1:17">
      <c r="A69">
        <v>20240405</v>
      </c>
      <c r="B69">
        <v>1.4390240000000001</v>
      </c>
      <c r="C69">
        <v>0.159856</v>
      </c>
      <c r="D69">
        <v>0.8931</v>
      </c>
      <c r="E69">
        <v>1.8576349999999999</v>
      </c>
      <c r="F69">
        <v>2.5932599999999999</v>
      </c>
      <c r="G69">
        <v>2.059876</v>
      </c>
      <c r="H69">
        <f>TBL_Dati_OS[[#This Row],[Valore Volatilità]]</f>
        <v>6.4385185937787606</v>
      </c>
      <c r="I69" s="8">
        <v>0.61434299999999997</v>
      </c>
      <c r="J69" s="8">
        <v>2.3873669999999998</v>
      </c>
      <c r="K69" s="8">
        <v>3.5887500000000001</v>
      </c>
      <c r="L69" s="6">
        <f>DATE(LEFT(TBL_TEV[[#This Row],[Data]],4),MID(TBL_TEV[[#This Row],[Data]],5,2),RIGHT(TBL_TEV[[#This Row],[Data]],2))</f>
        <v>45387</v>
      </c>
      <c r="M69" t="str" cm="1">
        <f t="array" aca="1" ref="M69" ca="1">IF(_xlfn.SINGLE(TBL_TEV[Data2])&gt;=INDIRECT("L"&amp;COUNTA(TBL_TEV[Data])+1)-365, "Ultimi 12 mesi", "Vecchi dati")</f>
        <v>Vecchi dati</v>
      </c>
      <c r="Q69" s="12"/>
    </row>
    <row r="70" spans="1:17">
      <c r="A70">
        <v>20240408</v>
      </c>
      <c r="B70">
        <v>1.41934</v>
      </c>
      <c r="C70">
        <v>0.15779299999999999</v>
      </c>
      <c r="D70">
        <v>0.88706700000000005</v>
      </c>
      <c r="E70">
        <v>1.8344579999999999</v>
      </c>
      <c r="F70">
        <v>2.5672250000000001</v>
      </c>
      <c r="G70">
        <v>2.0073319999999999</v>
      </c>
      <c r="H70">
        <f>TBL_Dati_OS[[#This Row],[Valore Volatilità]]</f>
        <v>6.4224736227050148</v>
      </c>
      <c r="I70" s="5">
        <v>0.61339100000000002</v>
      </c>
      <c r="J70" s="5">
        <v>2.3983210000000001</v>
      </c>
      <c r="K70" s="5">
        <v>3.6138319999999999</v>
      </c>
      <c r="L70" s="6">
        <f>DATE(LEFT(TBL_TEV[[#This Row],[Data]],4),MID(TBL_TEV[[#This Row],[Data]],5,2),RIGHT(TBL_TEV[[#This Row],[Data]],2))</f>
        <v>45390</v>
      </c>
      <c r="M70" t="str" cm="1">
        <f t="array" aca="1" ref="M70" ca="1">IF(_xlfn.SINGLE(TBL_TEV[Data2])&gt;=INDIRECT("L"&amp;COUNTA(TBL_TEV[Data])+1)-365, "Ultimi 12 mesi", "Vecchi dati")</f>
        <v>Vecchi dati</v>
      </c>
      <c r="Q70" s="12"/>
    </row>
    <row r="71" spans="1:17">
      <c r="A71">
        <v>20240409</v>
      </c>
      <c r="B71">
        <v>1.4331510000000001</v>
      </c>
      <c r="C71">
        <v>0.15906300000000001</v>
      </c>
      <c r="D71">
        <v>0.89627500000000004</v>
      </c>
      <c r="E71">
        <v>1.862873</v>
      </c>
      <c r="F71">
        <v>2.6059589999999999</v>
      </c>
      <c r="G71">
        <v>2.0295559999999999</v>
      </c>
      <c r="H71">
        <f>TBL_Dati_OS[[#This Row],[Valore Volatilità]]</f>
        <v>6.3777387856583019</v>
      </c>
      <c r="I71" s="8">
        <v>0.61228000000000005</v>
      </c>
      <c r="J71" s="8">
        <v>2.3872080000000002</v>
      </c>
      <c r="K71" s="8">
        <v>3.6012909999999998</v>
      </c>
      <c r="L71" s="6">
        <f>DATE(LEFT(TBL_TEV[[#This Row],[Data]],4),MID(TBL_TEV[[#This Row],[Data]],5,2),RIGHT(TBL_TEV[[#This Row],[Data]],2))</f>
        <v>45391</v>
      </c>
      <c r="M71" t="str" cm="1">
        <f t="array" aca="1" ref="M71" ca="1">IF(_xlfn.SINGLE(TBL_TEV[Data2])&gt;=INDIRECT("L"&amp;COUNTA(TBL_TEV[Data])+1)-365, "Ultimi 12 mesi", "Vecchi dati")</f>
        <v>Vecchi dati</v>
      </c>
      <c r="Q71" s="12"/>
    </row>
    <row r="72" spans="1:17">
      <c r="A72">
        <v>20240410</v>
      </c>
      <c r="B72">
        <v>1.4391830000000001</v>
      </c>
      <c r="C72">
        <v>0.15795100000000001</v>
      </c>
      <c r="D72">
        <v>0.89532199999999995</v>
      </c>
      <c r="E72">
        <v>1.8763669999999999</v>
      </c>
      <c r="F72">
        <v>2.6269140000000002</v>
      </c>
      <c r="G72">
        <v>1.9993939999999999</v>
      </c>
      <c r="H72">
        <f>TBL_Dati_OS[[#This Row],[Valore Volatilità]]</f>
        <v>6.3480742818745233</v>
      </c>
      <c r="I72" s="5">
        <v>0.60688200000000003</v>
      </c>
      <c r="J72" s="5">
        <v>2.359111</v>
      </c>
      <c r="K72" s="5">
        <v>3.5474760000000001</v>
      </c>
      <c r="L72" s="6">
        <f>DATE(LEFT(TBL_TEV[[#This Row],[Data]],4),MID(TBL_TEV[[#This Row],[Data]],5,2),RIGHT(TBL_TEV[[#This Row],[Data]],2))</f>
        <v>45392</v>
      </c>
      <c r="M72" t="str" cm="1">
        <f t="array" aca="1" ref="M72" ca="1">IF(_xlfn.SINGLE(TBL_TEV[Data2])&gt;=INDIRECT("L"&amp;COUNTA(TBL_TEV[Data])+1)-365, "Ultimi 12 mesi", "Vecchi dati")</f>
        <v>Vecchi dati</v>
      </c>
      <c r="Q72" s="12"/>
    </row>
    <row r="73" spans="1:17">
      <c r="A73">
        <v>20240411</v>
      </c>
      <c r="B73">
        <v>1.480615</v>
      </c>
      <c r="C73">
        <v>0.15795100000000001</v>
      </c>
      <c r="D73">
        <v>0.92072100000000001</v>
      </c>
      <c r="E73">
        <v>1.8990670000000001</v>
      </c>
      <c r="F73">
        <v>2.6627900000000002</v>
      </c>
      <c r="G73">
        <v>2.0263810000000002</v>
      </c>
      <c r="H73">
        <f>TBL_Dati_OS[[#This Row],[Valore Volatilità]]</f>
        <v>6.3402952421185335</v>
      </c>
      <c r="I73" s="8">
        <v>0.59561200000000003</v>
      </c>
      <c r="J73" s="8">
        <v>2.2911679999999999</v>
      </c>
      <c r="K73" s="8">
        <v>3.4641350000000002</v>
      </c>
      <c r="L73" s="6">
        <f>DATE(LEFT(TBL_TEV[[#This Row],[Data]],4),MID(TBL_TEV[[#This Row],[Data]],5,2),RIGHT(TBL_TEV[[#This Row],[Data]],2))</f>
        <v>45393</v>
      </c>
      <c r="M73" t="str" cm="1">
        <f t="array" aca="1" ref="M73" ca="1">IF(_xlfn.SINGLE(TBL_TEV[Data2])&gt;=INDIRECT("L"&amp;COUNTA(TBL_TEV[Data])+1)-365, "Ultimi 12 mesi", "Vecchi dati")</f>
        <v>Vecchi dati</v>
      </c>
      <c r="Q73" s="12"/>
    </row>
    <row r="74" spans="1:17">
      <c r="A74">
        <v>20240412</v>
      </c>
      <c r="B74">
        <v>1.49014</v>
      </c>
      <c r="C74">
        <v>0.15969800000000001</v>
      </c>
      <c r="D74">
        <v>0.93627800000000005</v>
      </c>
      <c r="E74">
        <v>1.889384</v>
      </c>
      <c r="F74">
        <v>2.6504080000000001</v>
      </c>
      <c r="G74">
        <v>2.0030450000000002</v>
      </c>
      <c r="H74">
        <f>TBL_Dati_OS[[#This Row],[Valore Volatilità]]</f>
        <v>6.4006020298519735</v>
      </c>
      <c r="I74" s="8">
        <v>0.59577000000000002</v>
      </c>
      <c r="J74" s="8">
        <v>2.3056139999999998</v>
      </c>
      <c r="K74" s="8">
        <v>3.4814379999999998</v>
      </c>
      <c r="L74" s="6">
        <f>DATE(LEFT(TBL_TEV[[#This Row],[Data]],4),MID(TBL_TEV[[#This Row],[Data]],5,2),RIGHT(TBL_TEV[[#This Row],[Data]],2))</f>
        <v>45394</v>
      </c>
      <c r="M74" t="str" cm="1">
        <f t="array" aca="1" ref="M74" ca="1">IF(_xlfn.SINGLE(TBL_TEV[Data2])&gt;=INDIRECT("L"&amp;COUNTA(TBL_TEV[Data])+1)-365, "Ultimi 12 mesi", "Vecchi dati")</f>
        <v>Vecchi dati</v>
      </c>
      <c r="Q74" s="12"/>
    </row>
    <row r="75" spans="1:17">
      <c r="A75">
        <v>20240415</v>
      </c>
      <c r="B75">
        <v>1.472837</v>
      </c>
      <c r="C75">
        <v>0.16017400000000001</v>
      </c>
      <c r="D75">
        <v>0.93103999999999998</v>
      </c>
      <c r="E75">
        <v>1.859381</v>
      </c>
      <c r="F75">
        <v>2.6035780000000002</v>
      </c>
      <c r="G75">
        <v>1.98733</v>
      </c>
      <c r="H75">
        <f>TBL_Dati_OS[[#This Row],[Valore Volatilità]]</f>
        <v>6.3650185453998089</v>
      </c>
      <c r="I75" s="5">
        <v>0.59497699999999998</v>
      </c>
      <c r="J75" s="5">
        <v>2.3106930000000001</v>
      </c>
      <c r="K75" s="5">
        <v>3.4782630000000001</v>
      </c>
      <c r="L75" s="6">
        <f>DATE(LEFT(TBL_TEV[[#This Row],[Data]],4),MID(TBL_TEV[[#This Row],[Data]],5,2),RIGHT(TBL_TEV[[#This Row],[Data]],2))</f>
        <v>45397</v>
      </c>
      <c r="M75" t="str" cm="1">
        <f t="array" aca="1" ref="M75" ca="1">IF(_xlfn.SINGLE(TBL_TEV[Data2])&gt;=INDIRECT("L"&amp;COUNTA(TBL_TEV[Data])+1)-365, "Ultimi 12 mesi", "Vecchi dati")</f>
        <v>Vecchi dati</v>
      </c>
      <c r="Q75" s="12"/>
    </row>
    <row r="76" spans="1:17">
      <c r="A76">
        <v>20240416</v>
      </c>
      <c r="B76">
        <v>1.4672810000000001</v>
      </c>
      <c r="C76">
        <v>0.15953899999999999</v>
      </c>
      <c r="D76">
        <v>0.93659599999999998</v>
      </c>
      <c r="E76">
        <v>1.850333</v>
      </c>
      <c r="F76">
        <v>2.595323</v>
      </c>
      <c r="G76">
        <v>1.9954259999999999</v>
      </c>
      <c r="H76">
        <f>TBL_Dati_OS[[#This Row],[Valore Volatilità]]</f>
        <v>6.2731369902453684</v>
      </c>
      <c r="I76" s="8">
        <v>0.61815299999999995</v>
      </c>
      <c r="J76" s="8">
        <v>2.3635549999999999</v>
      </c>
      <c r="K76" s="8">
        <v>3.5428730000000002</v>
      </c>
      <c r="L76" s="6">
        <f>DATE(LEFT(TBL_TEV[[#This Row],[Data]],4),MID(TBL_TEV[[#This Row],[Data]],5,2),RIGHT(TBL_TEV[[#This Row],[Data]],2))</f>
        <v>45398</v>
      </c>
      <c r="M76" t="str" cm="1">
        <f t="array" aca="1" ref="M76" ca="1">IF(_xlfn.SINGLE(TBL_TEV[Data2])&gt;=INDIRECT("L"&amp;COUNTA(TBL_TEV[Data])+1)-365, "Ultimi 12 mesi", "Vecchi dati")</f>
        <v>Vecchi dati</v>
      </c>
      <c r="Q76" s="12"/>
    </row>
    <row r="77" spans="1:17">
      <c r="A77">
        <v>20240417</v>
      </c>
      <c r="B77">
        <v>1.4642649999999999</v>
      </c>
      <c r="C77">
        <v>0.159856</v>
      </c>
      <c r="D77">
        <v>0.93294500000000002</v>
      </c>
      <c r="E77">
        <v>1.851126</v>
      </c>
      <c r="F77">
        <v>2.6081819999999998</v>
      </c>
      <c r="G77">
        <v>1.9524060000000001</v>
      </c>
      <c r="H77">
        <f>TBL_Dati_OS[[#This Row],[Valore Volatilità]]</f>
        <v>6.2501877007173796</v>
      </c>
      <c r="I77" s="5">
        <v>0.62783699999999998</v>
      </c>
      <c r="J77" s="5">
        <v>2.385621</v>
      </c>
      <c r="K77" s="5">
        <v>3.5739869999999998</v>
      </c>
      <c r="L77" s="6">
        <f>DATE(LEFT(TBL_TEV[[#This Row],[Data]],4),MID(TBL_TEV[[#This Row],[Data]],5,2),RIGHT(TBL_TEV[[#This Row],[Data]],2))</f>
        <v>45399</v>
      </c>
      <c r="M77" t="str" cm="1">
        <f t="array" aca="1" ref="M77" ca="1">IF(_xlfn.SINGLE(TBL_TEV[Data2])&gt;=INDIRECT("L"&amp;COUNTA(TBL_TEV[Data])+1)-365, "Ultimi 12 mesi", "Vecchi dati")</f>
        <v>Vecchi dati</v>
      </c>
      <c r="Q77" s="12"/>
    </row>
    <row r="78" spans="1:17">
      <c r="A78">
        <v>20240418</v>
      </c>
      <c r="B78">
        <v>1.689365</v>
      </c>
      <c r="C78">
        <v>0.15953899999999999</v>
      </c>
      <c r="D78">
        <v>1.1150249999999999</v>
      </c>
      <c r="E78">
        <v>1.925419</v>
      </c>
      <c r="F78">
        <v>2.5881799999999999</v>
      </c>
      <c r="G78">
        <v>2.0024099999999998</v>
      </c>
      <c r="H78">
        <f>TBL_Dati_OS[[#This Row],[Valore Volatilità]]</f>
        <v>6.4300296346666057</v>
      </c>
      <c r="I78" s="8">
        <v>0.62497899999999995</v>
      </c>
      <c r="J78" s="8">
        <v>2.3924470000000002</v>
      </c>
      <c r="K78" s="8">
        <v>3.5831940000000002</v>
      </c>
      <c r="L78" s="6">
        <f>DATE(LEFT(TBL_TEV[[#This Row],[Data]],4),MID(TBL_TEV[[#This Row],[Data]],5,2),RIGHT(TBL_TEV[[#This Row],[Data]],2))</f>
        <v>45400</v>
      </c>
      <c r="M78" t="str" cm="1">
        <f t="array" aca="1" ref="M78" ca="1">IF(_xlfn.SINGLE(TBL_TEV[Data2])&gt;=INDIRECT("L"&amp;COUNTA(TBL_TEV[Data])+1)-365, "Ultimi 12 mesi", "Vecchi dati")</f>
        <v>Vecchi dati</v>
      </c>
      <c r="Q78" s="12"/>
    </row>
    <row r="79" spans="1:17">
      <c r="A79">
        <v>20240419</v>
      </c>
      <c r="B79">
        <v>1.6861900000000001</v>
      </c>
      <c r="C79">
        <v>0.15842800000000001</v>
      </c>
      <c r="D79">
        <v>1.118994</v>
      </c>
      <c r="E79">
        <v>1.925419</v>
      </c>
      <c r="F79">
        <v>2.583259</v>
      </c>
      <c r="G79">
        <v>1.9498660000000001</v>
      </c>
      <c r="H79">
        <f>TBL_Dati_OS[[#This Row],[Valore Volatilità]]</f>
        <v>6.5892985248041391</v>
      </c>
      <c r="I79" s="5">
        <v>0.67212700000000003</v>
      </c>
      <c r="J79" s="5">
        <v>2.4273709999999999</v>
      </c>
      <c r="K79" s="5">
        <v>3.6506609999999999</v>
      </c>
      <c r="L79" s="6">
        <f>DATE(LEFT(TBL_TEV[[#This Row],[Data]],4),MID(TBL_TEV[[#This Row],[Data]],5,2),RIGHT(TBL_TEV[[#This Row],[Data]],2))</f>
        <v>45401</v>
      </c>
      <c r="M79" t="str" cm="1">
        <f t="array" aca="1" ref="M79" ca="1">IF(_xlfn.SINGLE(TBL_TEV[Data2])&gt;=INDIRECT("L"&amp;COUNTA(TBL_TEV[Data])+1)-365, "Ultimi 12 mesi", "Vecchi dati")</f>
        <v>Vecchi dati</v>
      </c>
      <c r="Q79" s="12"/>
    </row>
    <row r="80" spans="1:17">
      <c r="A80">
        <v>20240422</v>
      </c>
      <c r="B80">
        <v>1.6904760000000001</v>
      </c>
      <c r="C80">
        <v>0.15890399999999999</v>
      </c>
      <c r="D80">
        <v>1.122169</v>
      </c>
      <c r="E80">
        <v>1.9251020000000001</v>
      </c>
      <c r="F80">
        <v>2.5892909999999998</v>
      </c>
      <c r="G80">
        <v>1.9655819999999999</v>
      </c>
      <c r="H80">
        <f>TBL_Dati_OS[[#This Row],[Valore Volatilità]]</f>
        <v>6.533130782460236</v>
      </c>
      <c r="I80" s="8">
        <v>0.66784100000000002</v>
      </c>
      <c r="J80" s="8">
        <v>2.4291170000000002</v>
      </c>
      <c r="K80" s="8">
        <v>3.6371669999999998</v>
      </c>
      <c r="L80" s="6">
        <f>DATE(LEFT(TBL_TEV[[#This Row],[Data]],4),MID(TBL_TEV[[#This Row],[Data]],5,2),RIGHT(TBL_TEV[[#This Row],[Data]],2))</f>
        <v>45404</v>
      </c>
      <c r="M80" t="str" cm="1">
        <f t="array" aca="1" ref="M80" ca="1">IF(_xlfn.SINGLE(TBL_TEV[Data2])&gt;=INDIRECT("L"&amp;COUNTA(TBL_TEV[Data])+1)-365, "Ultimi 12 mesi", "Vecchi dati")</f>
        <v>Vecchi dati</v>
      </c>
      <c r="Q80" s="12"/>
    </row>
    <row r="81" spans="1:17">
      <c r="A81">
        <v>20240423</v>
      </c>
      <c r="B81">
        <v>1.666506</v>
      </c>
      <c r="C81">
        <v>0.220973</v>
      </c>
      <c r="D81">
        <v>1.1069290000000001</v>
      </c>
      <c r="E81">
        <v>1.897797</v>
      </c>
      <c r="F81">
        <v>2.5653199999999998</v>
      </c>
      <c r="G81">
        <v>1.9759</v>
      </c>
      <c r="H81">
        <f>TBL_Dati_OS[[#This Row],[Valore Volatilità]]</f>
        <v>6.7580658537424423</v>
      </c>
      <c r="I81" s="5">
        <v>0.66815800000000003</v>
      </c>
      <c r="J81" s="5">
        <v>2.436896</v>
      </c>
      <c r="K81" s="5">
        <v>3.650026</v>
      </c>
      <c r="L81" s="6">
        <f>DATE(LEFT(TBL_TEV[[#This Row],[Data]],4),MID(TBL_TEV[[#This Row],[Data]],5,2),RIGHT(TBL_TEV[[#This Row],[Data]],2))</f>
        <v>45405</v>
      </c>
      <c r="M81" t="str" cm="1">
        <f t="array" aca="1" ref="M81" ca="1">IF(_xlfn.SINGLE(TBL_TEV[Data2])&gt;=INDIRECT("L"&amp;COUNTA(TBL_TEV[Data])+1)-365, "Ultimi 12 mesi", "Vecchi dati")</f>
        <v>Vecchi dati</v>
      </c>
      <c r="Q81" s="12"/>
    </row>
    <row r="82" spans="1:17">
      <c r="A82">
        <v>20240424</v>
      </c>
      <c r="B82">
        <v>1.6649179999999999</v>
      </c>
      <c r="C82">
        <v>0.221132</v>
      </c>
      <c r="D82">
        <v>1.1066119999999999</v>
      </c>
      <c r="E82">
        <v>1.8949400000000001</v>
      </c>
      <c r="F82">
        <v>2.5613519999999999</v>
      </c>
      <c r="G82">
        <v>1.916371</v>
      </c>
      <c r="H82">
        <f>TBL_Dati_OS[[#This Row],[Valore Volatilità]]</f>
        <v>6.7693923581324666</v>
      </c>
      <c r="I82" s="8">
        <v>0.66212599999999999</v>
      </c>
      <c r="J82" s="8">
        <v>2.440229</v>
      </c>
      <c r="K82" s="8">
        <v>3.653359</v>
      </c>
      <c r="L82" s="6">
        <f>DATE(LEFT(TBL_TEV[[#This Row],[Data]],4),MID(TBL_TEV[[#This Row],[Data]],5,2),RIGHT(TBL_TEV[[#This Row],[Data]],2))</f>
        <v>45406</v>
      </c>
      <c r="M82" t="str" cm="1">
        <f t="array" aca="1" ref="M82" ca="1">IF(_xlfn.SINGLE(TBL_TEV[Data2])&gt;=INDIRECT("L"&amp;COUNTA(TBL_TEV[Data])+1)-365, "Ultimi 12 mesi", "Vecchi dati")</f>
        <v>Vecchi dati</v>
      </c>
      <c r="Q82" s="12"/>
    </row>
    <row r="83" spans="1:17">
      <c r="A83">
        <v>20240425</v>
      </c>
      <c r="B83">
        <v>1.649044</v>
      </c>
      <c r="C83">
        <v>0.219386</v>
      </c>
      <c r="D83">
        <v>1.0943890000000001</v>
      </c>
      <c r="E83">
        <v>1.8830340000000001</v>
      </c>
      <c r="F83">
        <v>2.5516679999999998</v>
      </c>
      <c r="G83">
        <v>1.9127190000000001</v>
      </c>
      <c r="H83">
        <f>TBL_Dati_OS[[#This Row],[Valore Volatilità]]</f>
        <v>6.7693923581324666</v>
      </c>
      <c r="I83" s="5">
        <v>0.66434800000000005</v>
      </c>
      <c r="J83" s="5">
        <v>2.4457849999999999</v>
      </c>
      <c r="K83" s="5">
        <v>3.6422469999999998</v>
      </c>
      <c r="L83" s="6">
        <f>DATE(LEFT(TBL_TEV[[#This Row],[Data]],4),MID(TBL_TEV[[#This Row],[Data]],5,2),RIGHT(TBL_TEV[[#This Row],[Data]],2))</f>
        <v>45407</v>
      </c>
      <c r="M83" t="str" cm="1">
        <f t="array" aca="1" ref="M83" ca="1">IF(_xlfn.SINGLE(TBL_TEV[Data2])&gt;=INDIRECT("L"&amp;COUNTA(TBL_TEV[Data])+1)-365, "Ultimi 12 mesi", "Vecchi dati")</f>
        <v>Vecchi dati</v>
      </c>
      <c r="Q83" s="12"/>
    </row>
    <row r="84" spans="1:17">
      <c r="A84">
        <v>20240426</v>
      </c>
      <c r="B84">
        <v>1.6541239999999999</v>
      </c>
      <c r="C84">
        <v>0.222243</v>
      </c>
      <c r="D84">
        <v>1.1020080000000001</v>
      </c>
      <c r="E84">
        <v>1.8847799999999999</v>
      </c>
      <c r="F84">
        <v>2.558494</v>
      </c>
      <c r="G84">
        <v>1.9643120000000001</v>
      </c>
      <c r="H84">
        <f>TBL_Dati_OS[[#This Row],[Valore Volatilità]]</f>
        <v>6.7710457496950331</v>
      </c>
      <c r="I84" s="8">
        <v>0.65228399999999997</v>
      </c>
      <c r="J84" s="8">
        <v>2.408639</v>
      </c>
      <c r="K84" s="8">
        <v>3.5306489999999999</v>
      </c>
      <c r="L84" s="6">
        <f>DATE(LEFT(TBL_TEV[[#This Row],[Data]],4),MID(TBL_TEV[[#This Row],[Data]],5,2),RIGHT(TBL_TEV[[#This Row],[Data]],2))</f>
        <v>45408</v>
      </c>
      <c r="M84" t="str" cm="1">
        <f t="array" aca="1" ref="M84" ca="1">IF(_xlfn.SINGLE(TBL_TEV[Data2])&gt;=INDIRECT("L"&amp;COUNTA(TBL_TEV[Data])+1)-365, "Ultimi 12 mesi", "Vecchi dati")</f>
        <v>Vecchi dati</v>
      </c>
      <c r="Q84" s="12"/>
    </row>
    <row r="85" spans="1:17">
      <c r="A85">
        <v>20240429</v>
      </c>
      <c r="B85">
        <v>1.657934</v>
      </c>
      <c r="C85">
        <v>0.222084</v>
      </c>
      <c r="D85">
        <v>1.111057</v>
      </c>
      <c r="E85">
        <v>1.8830340000000001</v>
      </c>
      <c r="F85">
        <v>2.545477</v>
      </c>
      <c r="G85">
        <v>1.950342</v>
      </c>
      <c r="H85">
        <f>TBL_Dati_OS[[#This Row],[Valore Volatilità]]</f>
        <v>6.8580296705511721</v>
      </c>
      <c r="I85" s="5">
        <v>0.65164900000000003</v>
      </c>
      <c r="J85" s="5">
        <v>2.4003839999999999</v>
      </c>
      <c r="K85" s="5">
        <v>3.443657</v>
      </c>
      <c r="L85" s="6">
        <f>DATE(LEFT(TBL_TEV[[#This Row],[Data]],4),MID(TBL_TEV[[#This Row],[Data]],5,2),RIGHT(TBL_TEV[[#This Row],[Data]],2))</f>
        <v>45411</v>
      </c>
      <c r="M85" t="str" cm="1">
        <f t="array" aca="1" ref="M85" ca="1">IF(_xlfn.SINGLE(TBL_TEV[Data2])&gt;=INDIRECT("L"&amp;COUNTA(TBL_TEV[Data])+1)-365, "Ultimi 12 mesi", "Vecchi dati")</f>
        <v>Vecchi dati</v>
      </c>
      <c r="Q85" s="12"/>
    </row>
    <row r="86" spans="1:17">
      <c r="A86">
        <v>20240430</v>
      </c>
      <c r="B86">
        <v>1.630471</v>
      </c>
      <c r="C86">
        <v>0.18842999999999999</v>
      </c>
      <c r="D86">
        <v>1.082165</v>
      </c>
      <c r="E86">
        <v>1.8696999999999999</v>
      </c>
      <c r="F86">
        <v>2.554208</v>
      </c>
      <c r="G86">
        <v>1.934944</v>
      </c>
      <c r="H86">
        <f>TBL_Dati_OS[[#This Row],[Valore Volatilità]]</f>
        <v>6.810495819286996</v>
      </c>
      <c r="I86" s="8">
        <v>0.63561500000000004</v>
      </c>
      <c r="J86" s="8">
        <v>2.3741910000000002</v>
      </c>
      <c r="K86" s="8">
        <v>3.448102</v>
      </c>
      <c r="L86" s="6">
        <f>DATE(LEFT(TBL_TEV[[#This Row],[Data]],4),MID(TBL_TEV[[#This Row],[Data]],5,2),RIGHT(TBL_TEV[[#This Row],[Data]],2))</f>
        <v>45412</v>
      </c>
      <c r="M86" t="str" cm="1">
        <f t="array" aca="1" ref="M86" ca="1">IF(_xlfn.SINGLE(TBL_TEV[Data2])&gt;=INDIRECT("L"&amp;COUNTA(TBL_TEV[Data])+1)-365, "Ultimi 12 mesi", "Vecchi dati")</f>
        <v>Vecchi dati</v>
      </c>
      <c r="Q86" s="12"/>
    </row>
    <row r="87" spans="1:17">
      <c r="A87">
        <v>20240501</v>
      </c>
      <c r="B87">
        <v>1.627772</v>
      </c>
      <c r="C87">
        <v>0.18589</v>
      </c>
      <c r="D87">
        <v>1.073752</v>
      </c>
      <c r="E87">
        <v>1.872716</v>
      </c>
      <c r="F87">
        <v>2.5624630000000002</v>
      </c>
      <c r="G87">
        <v>1.911449</v>
      </c>
      <c r="H87">
        <f>TBL_Dati_OS[[#This Row],[Valore Volatilità]]</f>
        <v>6.810495819286996</v>
      </c>
      <c r="I87" s="5">
        <v>0.630853</v>
      </c>
      <c r="J87" s="5">
        <v>2.3745090000000002</v>
      </c>
      <c r="K87" s="5">
        <v>3.4152420000000001</v>
      </c>
      <c r="L87" s="6">
        <f>DATE(LEFT(TBL_TEV[[#This Row],[Data]],4),MID(TBL_TEV[[#This Row],[Data]],5,2),RIGHT(TBL_TEV[[#This Row],[Data]],2))</f>
        <v>45413</v>
      </c>
      <c r="M87" t="str" cm="1">
        <f t="array" aca="1" ref="M87" ca="1">IF(_xlfn.SINGLE(TBL_TEV[Data2])&gt;=INDIRECT("L"&amp;COUNTA(TBL_TEV[Data])+1)-365, "Ultimi 12 mesi", "Vecchi dati")</f>
        <v>Vecchi dati</v>
      </c>
      <c r="Q87" s="12"/>
    </row>
    <row r="88" spans="1:17">
      <c r="A88">
        <v>20240502</v>
      </c>
      <c r="B88">
        <v>1.639837</v>
      </c>
      <c r="C88">
        <v>0.185414</v>
      </c>
      <c r="D88">
        <v>1.082641</v>
      </c>
      <c r="E88">
        <v>1.8736679999999999</v>
      </c>
      <c r="F88">
        <v>2.5534150000000002</v>
      </c>
      <c r="G88">
        <v>1.920498</v>
      </c>
      <c r="H88">
        <f>TBL_Dati_OS[[#This Row],[Valore Volatilità]]</f>
        <v>6.789010513571859</v>
      </c>
      <c r="I88" s="8">
        <v>0.63958400000000004</v>
      </c>
      <c r="J88" s="8">
        <v>2.4030830000000001</v>
      </c>
      <c r="K88" s="8">
        <v>3.4417520000000001</v>
      </c>
      <c r="L88" s="6">
        <f>DATE(LEFT(TBL_TEV[[#This Row],[Data]],4),MID(TBL_TEV[[#This Row],[Data]],5,2),RIGHT(TBL_TEV[[#This Row],[Data]],2))</f>
        <v>45414</v>
      </c>
      <c r="M88" t="str" cm="1">
        <f t="array" aca="1" ref="M88" ca="1">IF(_xlfn.SINGLE(TBL_TEV[Data2])&gt;=INDIRECT("L"&amp;COUNTA(TBL_TEV[Data])+1)-365, "Ultimi 12 mesi", "Vecchi dati")</f>
        <v>Vecchi dati</v>
      </c>
      <c r="Q88" s="12"/>
    </row>
    <row r="89" spans="1:17">
      <c r="A89">
        <v>20240503</v>
      </c>
      <c r="B89">
        <v>1.642377</v>
      </c>
      <c r="C89">
        <v>0.185414</v>
      </c>
      <c r="D89">
        <v>1.0869279999999999</v>
      </c>
      <c r="E89">
        <v>1.867953</v>
      </c>
      <c r="F89">
        <v>2.540556</v>
      </c>
      <c r="G89">
        <v>1.923197</v>
      </c>
      <c r="H89">
        <f>TBL_Dati_OS[[#This Row],[Valore Volatilità]]</f>
        <v>6.7991451935230955</v>
      </c>
      <c r="I89" s="5">
        <v>0.64053599999999999</v>
      </c>
      <c r="J89" s="5">
        <v>2.4159410000000001</v>
      </c>
      <c r="K89" s="5">
        <v>3.4649290000000001</v>
      </c>
      <c r="L89" s="6">
        <f>DATE(LEFT(TBL_TEV[[#This Row],[Data]],4),MID(TBL_TEV[[#This Row],[Data]],5,2),RIGHT(TBL_TEV[[#This Row],[Data]],2))</f>
        <v>45415</v>
      </c>
      <c r="M89" t="str" cm="1">
        <f t="array" aca="1" ref="M89" ca="1">IF(_xlfn.SINGLE(TBL_TEV[Data2])&gt;=INDIRECT("L"&amp;COUNTA(TBL_TEV[Data])+1)-365, "Ultimi 12 mesi", "Vecchi dati")</f>
        <v>Vecchi dati</v>
      </c>
      <c r="Q89" s="12"/>
    </row>
    <row r="90" spans="1:17">
      <c r="A90">
        <v>20240506</v>
      </c>
      <c r="B90">
        <v>1.638725</v>
      </c>
      <c r="C90">
        <v>0.18493799999999999</v>
      </c>
      <c r="D90">
        <v>1.080578</v>
      </c>
      <c r="E90">
        <v>1.873351</v>
      </c>
      <c r="F90">
        <v>2.5638920000000001</v>
      </c>
      <c r="G90">
        <v>1.953676</v>
      </c>
      <c r="H90">
        <f>TBL_Dati_OS[[#This Row],[Valore Volatilità]]</f>
        <v>6.7927504221745112</v>
      </c>
      <c r="I90" s="8">
        <v>0.63497999999999999</v>
      </c>
      <c r="J90" s="8">
        <v>2.3791120000000001</v>
      </c>
      <c r="K90" s="8">
        <v>3.4363549999999998</v>
      </c>
      <c r="L90" s="6">
        <f>DATE(LEFT(TBL_TEV[[#This Row],[Data]],4),MID(TBL_TEV[[#This Row],[Data]],5,2),RIGHT(TBL_TEV[[#This Row],[Data]],2))</f>
        <v>45418</v>
      </c>
      <c r="M90" t="str" cm="1">
        <f t="array" aca="1" ref="M90" ca="1">IF(_xlfn.SINGLE(TBL_TEV[Data2])&gt;=INDIRECT("L"&amp;COUNTA(TBL_TEV[Data])+1)-365, "Ultimi 12 mesi", "Vecchi dati")</f>
        <v>Vecchi dati</v>
      </c>
      <c r="Q90" s="12"/>
    </row>
    <row r="91" spans="1:17">
      <c r="A91">
        <v>20240507</v>
      </c>
      <c r="B91">
        <v>1.6463449999999999</v>
      </c>
      <c r="C91">
        <v>0.184779</v>
      </c>
      <c r="D91">
        <v>1.086293</v>
      </c>
      <c r="E91">
        <v>1.879065</v>
      </c>
      <c r="F91">
        <v>2.5672250000000001</v>
      </c>
      <c r="G91">
        <v>1.9960610000000001</v>
      </c>
      <c r="H91">
        <f>TBL_Dati_OS[[#This Row],[Valore Volatilità]]</f>
        <v>6.7413748115375469</v>
      </c>
      <c r="I91" s="5">
        <v>0.629583</v>
      </c>
      <c r="J91" s="5">
        <v>2.3638729999999999</v>
      </c>
      <c r="K91" s="5">
        <v>3.4090509999999998</v>
      </c>
      <c r="L91" s="6">
        <f>DATE(LEFT(TBL_TEV[[#This Row],[Data]],4),MID(TBL_TEV[[#This Row],[Data]],5,2),RIGHT(TBL_TEV[[#This Row],[Data]],2))</f>
        <v>45419</v>
      </c>
      <c r="M91" t="str" cm="1">
        <f t="array" aca="1" ref="M91" ca="1">IF(_xlfn.SINGLE(TBL_TEV[Data2])&gt;=INDIRECT("L"&amp;COUNTA(TBL_TEV[Data])+1)-365, "Ultimi 12 mesi", "Vecchi dati")</f>
        <v>Vecchi dati</v>
      </c>
      <c r="Q91" s="12"/>
    </row>
    <row r="92" spans="1:17">
      <c r="A92">
        <v>20240508</v>
      </c>
      <c r="B92">
        <v>1.6374550000000001</v>
      </c>
      <c r="C92">
        <v>0.18382699999999999</v>
      </c>
      <c r="D92">
        <v>1.0789899999999999</v>
      </c>
      <c r="E92">
        <v>1.866366</v>
      </c>
      <c r="F92">
        <v>2.550557</v>
      </c>
      <c r="G92">
        <v>1.979392</v>
      </c>
      <c r="H92">
        <f>TBL_Dati_OS[[#This Row],[Valore Volatilità]]</f>
        <v>6.7206145529572776</v>
      </c>
      <c r="I92" s="8">
        <v>0.62767799999999996</v>
      </c>
      <c r="J92" s="8">
        <v>2.3519670000000001</v>
      </c>
      <c r="K92" s="8">
        <v>3.3903189999999999</v>
      </c>
      <c r="L92" s="6">
        <f>DATE(LEFT(TBL_TEV[[#This Row],[Data]],4),MID(TBL_TEV[[#This Row],[Data]],5,2),RIGHT(TBL_TEV[[#This Row],[Data]],2))</f>
        <v>45420</v>
      </c>
      <c r="M92" t="str" cm="1">
        <f t="array" aca="1" ref="M92" ca="1">IF(_xlfn.SINGLE(TBL_TEV[Data2])&gt;=INDIRECT("L"&amp;COUNTA(TBL_TEV[Data])+1)-365, "Ultimi 12 mesi", "Vecchi dati")</f>
        <v>Vecchi dati</v>
      </c>
      <c r="Q92" s="12"/>
    </row>
    <row r="93" spans="1:17">
      <c r="A93">
        <v>20240509</v>
      </c>
      <c r="B93">
        <v>1.6314230000000001</v>
      </c>
      <c r="C93">
        <v>0.17985799999999999</v>
      </c>
      <c r="D93">
        <v>1.071688</v>
      </c>
      <c r="E93">
        <v>1.8677950000000001</v>
      </c>
      <c r="F93">
        <v>2.5556369999999999</v>
      </c>
      <c r="G93">
        <v>1.9616130000000001</v>
      </c>
      <c r="H93">
        <f>TBL_Dati_OS[[#This Row],[Valore Volatilità]]</f>
        <v>6.6933994685476268</v>
      </c>
      <c r="I93" s="5">
        <v>0.61656599999999995</v>
      </c>
      <c r="J93" s="5">
        <v>2.3081529999999999</v>
      </c>
      <c r="K93" s="5">
        <v>3.3341229999999999</v>
      </c>
      <c r="L93" s="6">
        <f>DATE(LEFT(TBL_TEV[[#This Row],[Data]],4),MID(TBL_TEV[[#This Row],[Data]],5,2),RIGHT(TBL_TEV[[#This Row],[Data]],2))</f>
        <v>45421</v>
      </c>
      <c r="M93" t="str" cm="1">
        <f t="array" aca="1" ref="M93" ca="1">IF(_xlfn.SINGLE(TBL_TEV[Data2])&gt;=INDIRECT("L"&amp;COUNTA(TBL_TEV[Data])+1)-365, "Ultimi 12 mesi", "Vecchi dati")</f>
        <v>Vecchi dati</v>
      </c>
      <c r="Q93" s="12"/>
    </row>
    <row r="94" spans="1:17">
      <c r="A94">
        <v>20240510</v>
      </c>
      <c r="B94">
        <v>1.6290420000000001</v>
      </c>
      <c r="C94">
        <v>0.18049299999999999</v>
      </c>
      <c r="D94">
        <v>1.067561</v>
      </c>
      <c r="E94">
        <v>1.870652</v>
      </c>
      <c r="F94">
        <v>2.5667490000000002</v>
      </c>
      <c r="G94">
        <v>1.954628</v>
      </c>
      <c r="H94">
        <f>TBL_Dati_OS[[#This Row],[Valore Volatilità]]</f>
        <v>6.6841557123740722</v>
      </c>
      <c r="I94" s="8">
        <v>0.61513700000000004</v>
      </c>
      <c r="J94" s="8">
        <v>2.2997399999999999</v>
      </c>
      <c r="K94" s="8">
        <v>3.3261859999999999</v>
      </c>
      <c r="L94" s="6">
        <f>DATE(LEFT(TBL_TEV[[#This Row],[Data]],4),MID(TBL_TEV[[#This Row],[Data]],5,2),RIGHT(TBL_TEV[[#This Row],[Data]],2))</f>
        <v>45422</v>
      </c>
      <c r="M94" t="str" cm="1">
        <f t="array" aca="1" ref="M94" ca="1">IF(_xlfn.SINGLE(TBL_TEV[Data2])&gt;=INDIRECT("L"&amp;COUNTA(TBL_TEV[Data])+1)-365, "Ultimi 12 mesi", "Vecchi dati")</f>
        <v>Vecchi dati</v>
      </c>
      <c r="Q94" s="12"/>
    </row>
    <row r="95" spans="1:17">
      <c r="A95">
        <v>20240513</v>
      </c>
      <c r="B95">
        <v>1.613167</v>
      </c>
      <c r="C95">
        <v>0.18001700000000001</v>
      </c>
      <c r="D95">
        <v>1.0610520000000001</v>
      </c>
      <c r="E95">
        <v>1.8535079999999999</v>
      </c>
      <c r="F95">
        <v>2.5530970000000002</v>
      </c>
      <c r="G95">
        <v>1.9438329999999999</v>
      </c>
      <c r="H95">
        <f>TBL_Dati_OS[[#This Row],[Valore Volatilità]]</f>
        <v>6.6170543466691782</v>
      </c>
      <c r="I95" s="5">
        <v>0.60926400000000003</v>
      </c>
      <c r="J95" s="5">
        <v>2.2778330000000002</v>
      </c>
      <c r="K95" s="5">
        <v>3.295865</v>
      </c>
      <c r="L95" s="6">
        <f>DATE(LEFT(TBL_TEV[[#This Row],[Data]],4),MID(TBL_TEV[[#This Row],[Data]],5,2),RIGHT(TBL_TEV[[#This Row],[Data]],2))</f>
        <v>45425</v>
      </c>
      <c r="M95" t="str" cm="1">
        <f t="array" aca="1" ref="M95" ca="1">IF(_xlfn.SINGLE(TBL_TEV[Data2])&gt;=INDIRECT("L"&amp;COUNTA(TBL_TEV[Data])+1)-365, "Ultimi 12 mesi", "Vecchi dati")</f>
        <v>Vecchi dati</v>
      </c>
      <c r="Q95" s="12"/>
    </row>
    <row r="96" spans="1:17">
      <c r="A96">
        <v>20240514</v>
      </c>
      <c r="B96">
        <v>1.773183</v>
      </c>
      <c r="C96">
        <v>0.17874699999999999</v>
      </c>
      <c r="D96">
        <v>1.3201240000000001</v>
      </c>
      <c r="E96">
        <v>1.8592219999999999</v>
      </c>
      <c r="F96">
        <v>2.5753210000000002</v>
      </c>
      <c r="G96">
        <v>1.976059</v>
      </c>
      <c r="H96">
        <f>TBL_Dati_OS[[#This Row],[Valore Volatilità]]</f>
        <v>6.9717836309546053</v>
      </c>
      <c r="I96" s="8">
        <v>0.61958199999999997</v>
      </c>
      <c r="J96" s="8">
        <v>2.3013270000000001</v>
      </c>
      <c r="K96" s="8">
        <v>3.3357100000000002</v>
      </c>
      <c r="L96" s="6">
        <f>DATE(LEFT(TBL_TEV[[#This Row],[Data]],4),MID(TBL_TEV[[#This Row],[Data]],5,2),RIGHT(TBL_TEV[[#This Row],[Data]],2))</f>
        <v>45426</v>
      </c>
      <c r="M96" t="str" cm="1">
        <f t="array" aca="1" ref="M96" ca="1">IF(_xlfn.SINGLE(TBL_TEV[Data2])&gt;=INDIRECT("L"&amp;COUNTA(TBL_TEV[Data])+1)-365, "Ultimi 12 mesi", "Vecchi dati")</f>
        <v>Vecchi dati</v>
      </c>
      <c r="Q96" s="12"/>
    </row>
    <row r="97" spans="1:17">
      <c r="A97">
        <v>20240515</v>
      </c>
      <c r="B97">
        <v>1.8073129999999999</v>
      </c>
      <c r="C97">
        <v>0.18176300000000001</v>
      </c>
      <c r="D97">
        <v>1.3586990000000001</v>
      </c>
      <c r="E97">
        <v>1.8522380000000001</v>
      </c>
      <c r="F97">
        <v>2.5519859999999999</v>
      </c>
      <c r="G97">
        <v>1.9927269999999999</v>
      </c>
      <c r="H97">
        <f>TBL_Dati_OS[[#This Row],[Valore Volatilità]]</f>
        <v>6.9696174238611501</v>
      </c>
      <c r="I97" s="5">
        <v>0.62624899999999994</v>
      </c>
      <c r="J97" s="5">
        <v>2.284977</v>
      </c>
      <c r="K97" s="5">
        <v>3.3168199999999999</v>
      </c>
      <c r="L97" s="6">
        <f>DATE(LEFT(TBL_TEV[[#This Row],[Data]],4),MID(TBL_TEV[[#This Row],[Data]],5,2),RIGHT(TBL_TEV[[#This Row],[Data]],2))</f>
        <v>45427</v>
      </c>
      <c r="M97" t="str" cm="1">
        <f t="array" aca="1" ref="M97" ca="1">IF(_xlfn.SINGLE(TBL_TEV[Data2])&gt;=INDIRECT("L"&amp;COUNTA(TBL_TEV[Data])+1)-365, "Ultimi 12 mesi", "Vecchi dati")</f>
        <v>Vecchi dati</v>
      </c>
      <c r="Q97" s="12"/>
    </row>
    <row r="98" spans="1:17">
      <c r="A98">
        <v>20240516</v>
      </c>
      <c r="B98">
        <v>1.793026</v>
      </c>
      <c r="C98">
        <v>0.18112800000000001</v>
      </c>
      <c r="D98">
        <v>1.3474280000000001</v>
      </c>
      <c r="E98">
        <v>1.833188</v>
      </c>
      <c r="F98">
        <v>2.5288089999999999</v>
      </c>
      <c r="G98">
        <v>1.967487</v>
      </c>
      <c r="H98">
        <f>TBL_Dati_OS[[#This Row],[Valore Volatilità]]</f>
        <v>6.9509555246564414</v>
      </c>
      <c r="I98" s="8">
        <v>0.62656699999999999</v>
      </c>
      <c r="J98" s="8">
        <v>2.2978350000000001</v>
      </c>
      <c r="K98" s="8">
        <v>3.3266619999999998</v>
      </c>
      <c r="L98" s="6">
        <f>DATE(LEFT(TBL_TEV[[#This Row],[Data]],4),MID(TBL_TEV[[#This Row],[Data]],5,2),RIGHT(TBL_TEV[[#This Row],[Data]],2))</f>
        <v>45428</v>
      </c>
      <c r="M98" t="str" cm="1">
        <f t="array" aca="1" ref="M98" ca="1">IF(_xlfn.SINGLE(TBL_TEV[Data2])&gt;=INDIRECT("L"&amp;COUNTA(TBL_TEV[Data])+1)-365, "Ultimi 12 mesi", "Vecchi dati")</f>
        <v>Vecchi dati</v>
      </c>
      <c r="Q98" s="12"/>
    </row>
    <row r="99" spans="1:17">
      <c r="A99">
        <v>20240517</v>
      </c>
      <c r="B99">
        <v>1.8019149999999999</v>
      </c>
      <c r="C99">
        <v>0.18033399999999999</v>
      </c>
      <c r="D99">
        <v>1.3453649999999999</v>
      </c>
      <c r="E99">
        <v>1.8419190000000001</v>
      </c>
      <c r="F99">
        <v>2.5399210000000001</v>
      </c>
      <c r="G99">
        <v>1.9335150000000001</v>
      </c>
      <c r="H99">
        <f>TBL_Dati_OS[[#This Row],[Valore Volatilità]]</f>
        <v>6.881881554401307</v>
      </c>
      <c r="I99" s="5">
        <v>0.624027</v>
      </c>
      <c r="J99" s="5">
        <v>2.2827540000000002</v>
      </c>
      <c r="K99" s="5">
        <v>3.314438</v>
      </c>
      <c r="L99" s="6">
        <f>DATE(LEFT(TBL_TEV[[#This Row],[Data]],4),MID(TBL_TEV[[#This Row],[Data]],5,2),RIGHT(TBL_TEV[[#This Row],[Data]],2))</f>
        <v>45429</v>
      </c>
      <c r="M99" t="str" cm="1">
        <f t="array" aca="1" ref="M99" ca="1">IF(_xlfn.SINGLE(TBL_TEV[Data2])&gt;=INDIRECT("L"&amp;COUNTA(TBL_TEV[Data])+1)-365, "Ultimi 12 mesi", "Vecchi dati")</f>
        <v>Vecchi dati</v>
      </c>
      <c r="Q99" s="12"/>
    </row>
    <row r="100" spans="1:17">
      <c r="A100">
        <v>20240520</v>
      </c>
      <c r="B100">
        <v>1.7962009999999999</v>
      </c>
      <c r="C100">
        <v>0.17954100000000001</v>
      </c>
      <c r="D100">
        <v>1.343777</v>
      </c>
      <c r="E100">
        <v>1.8393790000000001</v>
      </c>
      <c r="F100">
        <v>2.5396040000000002</v>
      </c>
      <c r="G100">
        <v>1.939865</v>
      </c>
      <c r="H100">
        <f>TBL_Dati_OS[[#This Row],[Valore Volatilità]]</f>
        <v>6.8565969963888467</v>
      </c>
      <c r="I100" s="5">
        <v>0.63307500000000005</v>
      </c>
      <c r="J100" s="5">
        <v>2.3373629999999999</v>
      </c>
      <c r="K100" s="5">
        <v>3.3546010000000002</v>
      </c>
      <c r="L100" s="6">
        <f>DATE(LEFT(TBL_TEV[[#This Row],[Data]],4),MID(TBL_TEV[[#This Row],[Data]],5,2),RIGHT(TBL_TEV[[#This Row],[Data]],2))</f>
        <v>45432</v>
      </c>
      <c r="M100" t="str" cm="1">
        <f t="array" aca="1" ref="M100" ca="1">IF(_xlfn.SINGLE(TBL_TEV[Data2])&gt;=INDIRECT("L"&amp;COUNTA(TBL_TEV[Data])+1)-365, "Ultimi 12 mesi", "Vecchi dati")</f>
        <v>Vecchi dati</v>
      </c>
      <c r="Q100" s="12"/>
    </row>
    <row r="101" spans="1:17">
      <c r="A101">
        <v>20240521</v>
      </c>
      <c r="B101">
        <v>1.8001689999999999</v>
      </c>
      <c r="C101">
        <v>0.179064</v>
      </c>
      <c r="D101">
        <v>1.3444119999999999</v>
      </c>
      <c r="E101">
        <v>1.859064</v>
      </c>
      <c r="F101">
        <v>2.5761150000000002</v>
      </c>
      <c r="G101">
        <v>1.953676</v>
      </c>
      <c r="H101">
        <f>TBL_Dati_OS[[#This Row],[Valore Volatilità]]</f>
        <v>6.8328660036803184</v>
      </c>
      <c r="I101" s="8">
        <v>0.62736099999999995</v>
      </c>
      <c r="J101" s="8">
        <v>2.3289490000000002</v>
      </c>
      <c r="K101" s="8">
        <v>3.355553</v>
      </c>
      <c r="L101" s="6">
        <f>DATE(LEFT(TBL_TEV[[#This Row],[Data]],4),MID(TBL_TEV[[#This Row],[Data]],5,2),RIGHT(TBL_TEV[[#This Row],[Data]],2))</f>
        <v>45433</v>
      </c>
      <c r="M101" t="str" cm="1">
        <f t="array" aca="1" ref="M101" ca="1">IF(_xlfn.SINGLE(TBL_TEV[Data2])&gt;=INDIRECT("L"&amp;COUNTA(TBL_TEV[Data])+1)-365, "Ultimi 12 mesi", "Vecchi dati")</f>
        <v>Vecchi dati</v>
      </c>
      <c r="Q101" s="12"/>
    </row>
    <row r="102" spans="1:17">
      <c r="A102">
        <v>20240522</v>
      </c>
      <c r="B102">
        <v>1.804297</v>
      </c>
      <c r="C102">
        <v>0.17779400000000001</v>
      </c>
      <c r="D102">
        <v>1.3417129999999999</v>
      </c>
      <c r="E102">
        <v>1.885257</v>
      </c>
      <c r="F102">
        <v>2.6154839999999999</v>
      </c>
      <c r="G102">
        <v>1.9859009999999999</v>
      </c>
      <c r="H102">
        <f>TBL_Dati_OS[[#This Row],[Valore Volatilità]]</f>
        <v>6.7764080264352318</v>
      </c>
      <c r="I102" s="5">
        <v>0.62609099999999995</v>
      </c>
      <c r="J102" s="5">
        <v>2.3289490000000002</v>
      </c>
      <c r="K102" s="5">
        <v>3.3412660000000001</v>
      </c>
      <c r="L102" s="6">
        <f>DATE(LEFT(TBL_TEV[[#This Row],[Data]],4),MID(TBL_TEV[[#This Row],[Data]],5,2),RIGHT(TBL_TEV[[#This Row],[Data]],2))</f>
        <v>45434</v>
      </c>
      <c r="M102" t="str" cm="1">
        <f t="array" aca="1" ref="M102" ca="1">IF(_xlfn.SINGLE(TBL_TEV[Data2])&gt;=INDIRECT("L"&amp;COUNTA(TBL_TEV[Data])+1)-365, "Ultimi 12 mesi", "Vecchi dati")</f>
        <v>Vecchi dati</v>
      </c>
      <c r="Q102" s="12"/>
    </row>
    <row r="103" spans="1:17">
      <c r="A103">
        <v>20240523</v>
      </c>
      <c r="B103">
        <v>1.8173140000000001</v>
      </c>
      <c r="C103">
        <v>0.17763599999999999</v>
      </c>
      <c r="D103">
        <v>1.3380620000000001</v>
      </c>
      <c r="E103">
        <v>1.9225620000000001</v>
      </c>
      <c r="F103">
        <v>2.6896179999999998</v>
      </c>
      <c r="G103">
        <v>2.1033719999999998</v>
      </c>
      <c r="H103">
        <f>TBL_Dati_OS[[#This Row],[Valore Volatilità]]</f>
        <v>6.7515791998211192</v>
      </c>
      <c r="I103" s="8">
        <v>0.62783699999999998</v>
      </c>
      <c r="J103" s="8">
        <v>2.316249</v>
      </c>
      <c r="K103" s="8">
        <v>3.3322180000000001</v>
      </c>
      <c r="L103" s="6">
        <f>DATE(LEFT(TBL_TEV[[#This Row],[Data]],4),MID(TBL_TEV[[#This Row],[Data]],5,2),RIGHT(TBL_TEV[[#This Row],[Data]],2))</f>
        <v>45435</v>
      </c>
      <c r="M103" t="str" cm="1">
        <f t="array" aca="1" ref="M103" ca="1">IF(_xlfn.SINGLE(TBL_TEV[Data2])&gt;=INDIRECT("L"&amp;COUNTA(TBL_TEV[Data])+1)-365, "Ultimi 12 mesi", "Vecchi dati")</f>
        <v>Vecchi dati</v>
      </c>
      <c r="Q103" s="12"/>
    </row>
    <row r="104" spans="1:17">
      <c r="A104">
        <v>20240524</v>
      </c>
      <c r="B104">
        <v>1.824298</v>
      </c>
      <c r="C104">
        <v>0.25081700000000001</v>
      </c>
      <c r="D104">
        <v>1.3336170000000001</v>
      </c>
      <c r="E104">
        <v>1.9566920000000001</v>
      </c>
      <c r="F104">
        <v>2.761371</v>
      </c>
      <c r="G104">
        <v>2.1525829999999999</v>
      </c>
      <c r="H104">
        <f>TBL_Dati_OS[[#This Row],[Valore Volatilità]]</f>
        <v>6.8506282300092725</v>
      </c>
      <c r="I104" s="8">
        <v>0.61926499999999995</v>
      </c>
      <c r="J104" s="8">
        <v>2.266721</v>
      </c>
      <c r="K104" s="8">
        <v>3.2834829999999999</v>
      </c>
      <c r="L104" s="6">
        <f>DATE(LEFT(TBL_TEV[[#This Row],[Data]],4),MID(TBL_TEV[[#This Row],[Data]],5,2),RIGHT(TBL_TEV[[#This Row],[Data]],2))</f>
        <v>45436</v>
      </c>
      <c r="M104" t="str" cm="1">
        <f t="array" aca="1" ref="M104" ca="1">IF(_xlfn.SINGLE(TBL_TEV[Data2])&gt;=INDIRECT("L"&amp;COUNTA(TBL_TEV[Data])+1)-365, "Ultimi 12 mesi", "Vecchi dati")</f>
        <v>Vecchi dati</v>
      </c>
      <c r="Q104" s="12"/>
    </row>
    <row r="105" spans="1:17">
      <c r="A105">
        <v>20240527</v>
      </c>
      <c r="B105">
        <v>1.8238220000000001</v>
      </c>
      <c r="C105">
        <v>0.27748600000000001</v>
      </c>
      <c r="D105">
        <v>1.335364</v>
      </c>
      <c r="E105">
        <v>1.9516119999999999</v>
      </c>
      <c r="F105">
        <v>2.7535919999999998</v>
      </c>
      <c r="G105">
        <v>2.142582</v>
      </c>
      <c r="H105">
        <f>TBL_Dati_OS[[#This Row],[Valore Volatilità]]</f>
        <v>6.8193312983266816</v>
      </c>
      <c r="I105" s="5">
        <v>0.62021700000000002</v>
      </c>
      <c r="J105" s="5">
        <v>2.2979940000000001</v>
      </c>
      <c r="K105" s="5">
        <v>3.2993579999999998</v>
      </c>
      <c r="L105" s="6">
        <f>DATE(LEFT(TBL_TEV[[#This Row],[Data]],4),MID(TBL_TEV[[#This Row],[Data]],5,2),RIGHT(TBL_TEV[[#This Row],[Data]],2))</f>
        <v>45439</v>
      </c>
      <c r="M105" t="str" cm="1">
        <f t="array" aca="1" ref="M105" ca="1">IF(_xlfn.SINGLE(TBL_TEV[Data2])&gt;=INDIRECT("L"&amp;COUNTA(TBL_TEV[Data])+1)-365, "Ultimi 12 mesi", "Vecchi dati")</f>
        <v>Vecchi dati</v>
      </c>
      <c r="Q105" s="12"/>
    </row>
    <row r="106" spans="1:17">
      <c r="A106">
        <v>20240528</v>
      </c>
      <c r="B106">
        <v>1.824775</v>
      </c>
      <c r="C106">
        <v>0.27700999999999998</v>
      </c>
      <c r="D106">
        <v>1.3255209999999999</v>
      </c>
      <c r="E106">
        <v>1.9695499999999999</v>
      </c>
      <c r="F106">
        <v>2.78931</v>
      </c>
      <c r="G106">
        <v>2.207033</v>
      </c>
      <c r="H106">
        <f>TBL_Dati_OS[[#This Row],[Valore Volatilità]]</f>
        <v>6.7077902403307981</v>
      </c>
      <c r="I106" s="5">
        <v>0.61593100000000001</v>
      </c>
      <c r="J106" s="5">
        <v>2.2810079999999999</v>
      </c>
      <c r="K106" s="5">
        <v>3.2901509999999998</v>
      </c>
      <c r="L106" s="6">
        <f>DATE(LEFT(TBL_TEV[[#This Row],[Data]],4),MID(TBL_TEV[[#This Row],[Data]],5,2),RIGHT(TBL_TEV[[#This Row],[Data]],2))</f>
        <v>45440</v>
      </c>
      <c r="M106" t="str" cm="1">
        <f t="array" aca="1" ref="M106" ca="1">IF(_xlfn.SINGLE(TBL_TEV[Data2])&gt;=INDIRECT("L"&amp;COUNTA(TBL_TEV[Data])+1)-365, "Ultimi 12 mesi", "Vecchi dati")</f>
        <v>Vecchi dati</v>
      </c>
      <c r="Q106" s="12"/>
    </row>
    <row r="107" spans="1:17">
      <c r="A107">
        <v>20240529</v>
      </c>
      <c r="B107">
        <v>1.8257270000000001</v>
      </c>
      <c r="C107">
        <v>0.27542299999999997</v>
      </c>
      <c r="D107">
        <v>1.3237749999999999</v>
      </c>
      <c r="E107">
        <v>1.9658990000000001</v>
      </c>
      <c r="F107">
        <v>2.778991</v>
      </c>
      <c r="G107">
        <v>2.221479</v>
      </c>
      <c r="H107">
        <f>TBL_Dati_OS[[#This Row],[Valore Volatilità]]</f>
        <v>6.7527393878549518</v>
      </c>
      <c r="I107" s="5">
        <v>0.61164499999999999</v>
      </c>
      <c r="J107" s="5">
        <v>2.2640220000000002</v>
      </c>
      <c r="K107" s="5">
        <v>3.2809439999999999</v>
      </c>
      <c r="L107" s="6">
        <f>DATE(LEFT(TBL_TEV[[#This Row],[Data]],4),MID(TBL_TEV[[#This Row],[Data]],5,2),RIGHT(TBL_TEV[[#This Row],[Data]],2))</f>
        <v>45441</v>
      </c>
      <c r="M107" t="str" cm="1">
        <f t="array" aca="1" ref="M107" ca="1">IF(_xlfn.SINGLE(TBL_TEV[Data2])&gt;=INDIRECT("L"&amp;COUNTA(TBL_TEV[Data])+1)-365, "Ultimi 12 mesi", "Vecchi dati")</f>
        <v>Vecchi dati</v>
      </c>
      <c r="Q107" s="12"/>
    </row>
    <row r="108" spans="1:17">
      <c r="A108">
        <v>20240530</v>
      </c>
      <c r="B108">
        <v>1.820171</v>
      </c>
      <c r="C108">
        <v>0.273835</v>
      </c>
      <c r="D108">
        <v>1.3271090000000001</v>
      </c>
      <c r="E108">
        <v>1.945262</v>
      </c>
      <c r="F108">
        <v>2.7505760000000001</v>
      </c>
      <c r="G108">
        <v>2.1875070000000001</v>
      </c>
      <c r="H108">
        <f>TBL_Dati_OS[[#This Row],[Valore Volatilità]]</f>
        <v>6.7373004919101787</v>
      </c>
      <c r="I108">
        <v>0.60735899999999998</v>
      </c>
      <c r="J108">
        <v>2.247036</v>
      </c>
      <c r="K108">
        <v>3.2717369999999999</v>
      </c>
      <c r="L108" s="6">
        <f>DATE(LEFT(TBL_TEV[[#This Row],[Data]],4),MID(TBL_TEV[[#This Row],[Data]],5,2),RIGHT(TBL_TEV[[#This Row],[Data]],2))</f>
        <v>45442</v>
      </c>
      <c r="M108" t="str" cm="1">
        <f t="array" aca="1" ref="M108" ca="1">IF(_xlfn.SINGLE(TBL_TEV[Data2])&gt;=INDIRECT("L"&amp;COUNTA(TBL_TEV[Data])+1)-365, "Ultimi 12 mesi", "Vecchi dati")</f>
        <v>Vecchi dati</v>
      </c>
      <c r="Q108" s="12"/>
    </row>
    <row r="109" spans="1:17">
      <c r="A109">
        <v>20240531</v>
      </c>
      <c r="B109">
        <v>1.7915970000000001</v>
      </c>
      <c r="C109">
        <v>0.32320500000000002</v>
      </c>
      <c r="D109">
        <v>1.284089</v>
      </c>
      <c r="E109">
        <v>1.9516119999999999</v>
      </c>
      <c r="F109">
        <v>2.733908</v>
      </c>
      <c r="G109">
        <v>2.1597270000000002</v>
      </c>
      <c r="H109">
        <f>TBL_Dati_OS[[#This Row],[Valore Volatilità]]</f>
        <v>6.702355283125125</v>
      </c>
      <c r="I109">
        <v>0.60307299999999997</v>
      </c>
      <c r="J109">
        <v>2.2300499999999999</v>
      </c>
      <c r="K109">
        <v>3.2625299999999999</v>
      </c>
      <c r="L109" s="6">
        <f>DATE(LEFT(TBL_TEV[[#This Row],[Data]],4),MID(TBL_TEV[[#This Row],[Data]],5,2),RIGHT(TBL_TEV[[#This Row],[Data]],2))</f>
        <v>45443</v>
      </c>
      <c r="M109" t="str" cm="1">
        <f t="array" aca="1" ref="M109" ca="1">IF(_xlfn.SINGLE(TBL_TEV[Data2])&gt;=INDIRECT("L"&amp;COUNTA(TBL_TEV[Data])+1)-365, "Ultimi 12 mesi", "Vecchi dati")</f>
        <v>Vecchi dati</v>
      </c>
      <c r="Q109" s="12"/>
    </row>
    <row r="110" spans="1:17">
      <c r="A110">
        <v>20240603</v>
      </c>
      <c r="B110">
        <v>1.829696</v>
      </c>
      <c r="C110">
        <v>0.32828499999999999</v>
      </c>
      <c r="D110">
        <v>1.297582</v>
      </c>
      <c r="E110">
        <v>2.0255869999999998</v>
      </c>
      <c r="F110">
        <v>2.8505850000000001</v>
      </c>
      <c r="G110">
        <v>2.1927460000000001</v>
      </c>
      <c r="H110">
        <f>TBL_Dati_OS[[#This Row],[Valore Volatilità]]</f>
        <v>6.7132743148718665</v>
      </c>
      <c r="I110">
        <v>0.59878699999999996</v>
      </c>
      <c r="J110">
        <v>2.2130640000000001</v>
      </c>
      <c r="K110">
        <v>3.253323</v>
      </c>
      <c r="L110" s="6">
        <f>DATE(LEFT(TBL_TEV[[#This Row],[Data]],4),MID(TBL_TEV[[#This Row],[Data]],5,2),RIGHT(TBL_TEV[[#This Row],[Data]],2))</f>
        <v>45446</v>
      </c>
      <c r="M110" t="str" cm="1">
        <f t="array" aca="1" ref="M110" ca="1">IF(_xlfn.SINGLE(TBL_TEV[Data2])&gt;=INDIRECT("L"&amp;COUNTA(TBL_TEV[Data])+1)-365, "Ultimi 12 mesi", "Vecchi dati")</f>
        <v>Vecchi dati</v>
      </c>
      <c r="Q110" s="12"/>
    </row>
    <row r="111" spans="1:17">
      <c r="A111">
        <v>20240604</v>
      </c>
      <c r="B111">
        <v>1.8208059999999999</v>
      </c>
      <c r="C111">
        <v>0.32669700000000002</v>
      </c>
      <c r="D111">
        <v>1.28901</v>
      </c>
      <c r="E111">
        <v>2.0319370000000001</v>
      </c>
      <c r="F111">
        <v>2.8836040000000001</v>
      </c>
      <c r="G111">
        <v>2.207668</v>
      </c>
      <c r="H111">
        <f>TBL_Dati_OS[[#This Row],[Valore Volatilità]]</f>
        <v>6.791708940572696</v>
      </c>
      <c r="I111">
        <v>0.59450099999999995</v>
      </c>
      <c r="J111">
        <v>2.196078</v>
      </c>
      <c r="K111">
        <v>3.244116</v>
      </c>
      <c r="L111" s="6">
        <f>DATE(LEFT(TBL_TEV[[#This Row],[Data]],4),MID(TBL_TEV[[#This Row],[Data]],5,2),RIGHT(TBL_TEV[[#This Row],[Data]],2))</f>
        <v>45447</v>
      </c>
      <c r="M111" t="str" cm="1">
        <f t="array" aca="1" ref="M111" ca="1">IF(_xlfn.SINGLE(TBL_TEV[Data2])&gt;=INDIRECT("L"&amp;COUNTA(TBL_TEV[Data])+1)-365, "Ultimi 12 mesi", "Vecchi dati")</f>
        <v>Vecchi dati</v>
      </c>
      <c r="Q111" s="12"/>
    </row>
    <row r="112" spans="1:17">
      <c r="A112">
        <v>20240605</v>
      </c>
      <c r="B112">
        <v>1.835728</v>
      </c>
      <c r="C112">
        <v>0.32384000000000002</v>
      </c>
      <c r="D112">
        <v>1.2945660000000001</v>
      </c>
      <c r="E112">
        <v>2.046859</v>
      </c>
      <c r="F112">
        <v>2.8966210000000001</v>
      </c>
      <c r="G112">
        <v>2.2211609999999999</v>
      </c>
      <c r="H112">
        <f>TBL_Dati_OS[[#This Row],[Valore Volatilità]]</f>
        <v>6.7977750976317237</v>
      </c>
      <c r="I112">
        <v>0.59021500000000005</v>
      </c>
      <c r="J112">
        <v>2.1790919999999998</v>
      </c>
      <c r="K112">
        <v>3.234909</v>
      </c>
      <c r="L112" s="6">
        <f>DATE(LEFT(TBL_TEV[[#This Row],[Data]],4),MID(TBL_TEV[[#This Row],[Data]],5,2),RIGHT(TBL_TEV[[#This Row],[Data]],2))</f>
        <v>45448</v>
      </c>
      <c r="M112" t="str" cm="1">
        <f t="array" aca="1" ref="M112" ca="1">IF(_xlfn.SINGLE(TBL_TEV[Data2])&gt;=INDIRECT("L"&amp;COUNTA(TBL_TEV[Data])+1)-365, "Ultimi 12 mesi", "Vecchi dati")</f>
        <v>Vecchi dati</v>
      </c>
      <c r="Q112" s="12"/>
    </row>
    <row r="113" spans="1:17">
      <c r="A113">
        <v>20240606</v>
      </c>
      <c r="B113">
        <v>1.822076</v>
      </c>
      <c r="C113">
        <v>0.32114100000000001</v>
      </c>
      <c r="D113">
        <v>1.291391</v>
      </c>
      <c r="E113">
        <v>2.0244759999999999</v>
      </c>
      <c r="F113">
        <v>2.862015</v>
      </c>
      <c r="G113">
        <v>2.1956030000000002</v>
      </c>
      <c r="H113">
        <f>TBL_Dati_OS[[#This Row],[Valore Volatilità]]</f>
        <v>6.74095538236402</v>
      </c>
      <c r="I113">
        <v>0.58592900000000003</v>
      </c>
      <c r="J113">
        <v>2.1621060000000001</v>
      </c>
      <c r="K113">
        <v>3.2257020000000001</v>
      </c>
      <c r="L113" s="6">
        <f>DATE(LEFT(TBL_TEV[[#This Row],[Data]],4),MID(TBL_TEV[[#This Row],[Data]],5,2),RIGHT(TBL_TEV[[#This Row],[Data]],2))</f>
        <v>45449</v>
      </c>
      <c r="M113" t="str" cm="1">
        <f t="array" aca="1" ref="M113" ca="1">IF(_xlfn.SINGLE(TBL_TEV[Data2])&gt;=INDIRECT("L"&amp;COUNTA(TBL_TEV[Data])+1)-365, "Ultimi 12 mesi", "Vecchi dati")</f>
        <v>Vecchi dati</v>
      </c>
      <c r="Q113" s="12"/>
    </row>
    <row r="114" spans="1:17">
      <c r="A114">
        <v>20240607</v>
      </c>
      <c r="B114">
        <v>1.8033440000000001</v>
      </c>
      <c r="C114">
        <v>0.32034800000000002</v>
      </c>
      <c r="D114">
        <v>1.284089</v>
      </c>
      <c r="E114">
        <v>1.9916160000000001</v>
      </c>
      <c r="F114">
        <v>2.815979</v>
      </c>
      <c r="G114">
        <v>2.1748080000000001</v>
      </c>
      <c r="H114">
        <f>TBL_Dati_OS[[#This Row],[Valore Volatilità]]</f>
        <v>6.7028998750579927</v>
      </c>
      <c r="I114">
        <v>0.58164300000000002</v>
      </c>
      <c r="J114">
        <v>2.1451199999999999</v>
      </c>
      <c r="K114">
        <v>3.2164950000000001</v>
      </c>
      <c r="L114" s="6">
        <f>DATE(LEFT(TBL_TEV[[#This Row],[Data]],4),MID(TBL_TEV[[#This Row],[Data]],5,2),RIGHT(TBL_TEV[[#This Row],[Data]],2))</f>
        <v>45450</v>
      </c>
      <c r="M114" t="str" cm="1">
        <f t="array" aca="1" ref="M114" ca="1">IF(_xlfn.SINGLE(TBL_TEV[Data2])&gt;=INDIRECT("L"&amp;COUNTA(TBL_TEV[Data])+1)-365, "Ultimi 12 mesi", "Vecchi dati")</f>
        <v>Vecchi dati</v>
      </c>
      <c r="Q114" s="12"/>
    </row>
    <row r="115" spans="1:17">
      <c r="A115">
        <v>20240610</v>
      </c>
      <c r="B115">
        <v>1.7915970000000001</v>
      </c>
      <c r="C115">
        <v>0.31717299999999998</v>
      </c>
      <c r="D115">
        <v>1.2844059999999999</v>
      </c>
      <c r="E115">
        <v>1.9860599999999999</v>
      </c>
      <c r="F115">
        <v>2.797882</v>
      </c>
      <c r="G115">
        <v>2.184809</v>
      </c>
      <c r="H115">
        <f>TBL_Dati_OS[[#This Row],[Valore Volatilità]]</f>
        <v>6.6680630863130421</v>
      </c>
      <c r="I115">
        <v>0.57735700000000001</v>
      </c>
      <c r="J115">
        <v>2.1281340000000002</v>
      </c>
      <c r="K115">
        <v>3.2072880000000001</v>
      </c>
      <c r="L115" s="6">
        <f>DATE(LEFT(TBL_TEV[[#This Row],[Data]],4),MID(TBL_TEV[[#This Row],[Data]],5,2),RIGHT(TBL_TEV[[#This Row],[Data]],2))</f>
        <v>45453</v>
      </c>
      <c r="M115" t="str" cm="1">
        <f t="array" aca="1" ref="M115" ca="1">IF(_xlfn.SINGLE(TBL_TEV[Data2])&gt;=INDIRECT("L"&amp;COUNTA(TBL_TEV[Data])+1)-365, "Ultimi 12 mesi", "Vecchi dati")</f>
        <v>Vecchi dati</v>
      </c>
      <c r="Q115" s="12"/>
    </row>
    <row r="116" spans="1:17">
      <c r="A116">
        <v>20240611</v>
      </c>
      <c r="B116">
        <v>1.802392</v>
      </c>
      <c r="C116">
        <v>0.28034399999999998</v>
      </c>
      <c r="D116">
        <v>1.2850410000000001</v>
      </c>
      <c r="E116">
        <v>2.0244759999999999</v>
      </c>
      <c r="F116">
        <v>2.871381</v>
      </c>
      <c r="G116">
        <v>2.184015</v>
      </c>
      <c r="H116">
        <f>TBL_Dati_OS[[#This Row],[Valore Volatilità]]</f>
        <v>6.6487866603743475</v>
      </c>
      <c r="I116">
        <v>0.573071</v>
      </c>
      <c r="J116">
        <v>2.111148</v>
      </c>
      <c r="K116">
        <v>3.1980810000000002</v>
      </c>
      <c r="L116" s="6">
        <f>DATE(LEFT(TBL_TEV[[#This Row],[Data]],4),MID(TBL_TEV[[#This Row],[Data]],5,2),RIGHT(TBL_TEV[[#This Row],[Data]],2))</f>
        <v>45454</v>
      </c>
      <c r="M116" t="str" cm="1">
        <f t="array" aca="1" ref="M116" ca="1">IF(_xlfn.SINGLE(TBL_TEV[Data2])&gt;=INDIRECT("L"&amp;COUNTA(TBL_TEV[Data])+1)-365, "Ultimi 12 mesi", "Vecchi dati")</f>
        <v>Vecchi dati</v>
      </c>
      <c r="Q116" s="12"/>
    </row>
    <row r="117" spans="1:17">
      <c r="A117">
        <v>20240612</v>
      </c>
      <c r="B117">
        <v>1.8420780000000001</v>
      </c>
      <c r="C117">
        <v>0.27812100000000001</v>
      </c>
      <c r="D117">
        <v>1.313933</v>
      </c>
      <c r="E117">
        <v>2.0551140000000001</v>
      </c>
      <c r="F117">
        <v>2.911543</v>
      </c>
      <c r="G117">
        <v>2.1892529999999999</v>
      </c>
      <c r="H117">
        <f>TBL_Dati_OS[[#This Row],[Valore Volatilità]]</f>
        <v>6.6114794987547842</v>
      </c>
      <c r="I117">
        <v>0.56878499999999999</v>
      </c>
      <c r="J117">
        <v>2.0941619999999999</v>
      </c>
      <c r="K117">
        <v>3.1888740000000002</v>
      </c>
      <c r="L117" s="6">
        <f>DATE(LEFT(TBL_TEV[[#This Row],[Data]],4),MID(TBL_TEV[[#This Row],[Data]],5,2),RIGHT(TBL_TEV[[#This Row],[Data]],2))</f>
        <v>45455</v>
      </c>
      <c r="M117" t="str" cm="1">
        <f t="array" aca="1" ref="M117" ca="1">IF(_xlfn.SINGLE(TBL_TEV[Data2])&gt;=INDIRECT("L"&amp;COUNTA(TBL_TEV[Data])+1)-365, "Ultimi 12 mesi", "Vecchi dati")</f>
        <v>Vecchi dati</v>
      </c>
      <c r="Q117" s="12"/>
    </row>
    <row r="118" spans="1:17">
      <c r="A118">
        <v>20240613</v>
      </c>
      <c r="B118">
        <v>1.840967</v>
      </c>
      <c r="C118">
        <v>0.28034399999999998</v>
      </c>
      <c r="D118">
        <v>1.31552</v>
      </c>
      <c r="E118">
        <v>2.0527329999999999</v>
      </c>
      <c r="F118">
        <v>2.9110670000000001</v>
      </c>
      <c r="G118">
        <v>2.2270349999999999</v>
      </c>
      <c r="H118">
        <f>TBL_Dati_OS[[#This Row],[Valore Volatilità]]</f>
        <v>6.6057856713707706</v>
      </c>
      <c r="I118">
        <v>0.56449899999999997</v>
      </c>
      <c r="J118">
        <v>2.0771760000000001</v>
      </c>
      <c r="K118">
        <v>3.1796669999999998</v>
      </c>
      <c r="L118" s="6">
        <f>DATE(LEFT(TBL_TEV[[#This Row],[Data]],4),MID(TBL_TEV[[#This Row],[Data]],5,2),RIGHT(TBL_TEV[[#This Row],[Data]],2))</f>
        <v>45456</v>
      </c>
      <c r="M118" t="str" cm="1">
        <f t="array" aca="1" ref="M118" ca="1">IF(_xlfn.SINGLE(TBL_TEV[Data2])&gt;=INDIRECT("L"&amp;COUNTA(TBL_TEV[Data])+1)-365, "Ultimi 12 mesi", "Vecchi dati")</f>
        <v>Vecchi dati</v>
      </c>
      <c r="Q118" s="12"/>
    </row>
    <row r="119" spans="1:17">
      <c r="A119">
        <v>20240614</v>
      </c>
      <c r="B119">
        <v>1.822711</v>
      </c>
      <c r="C119">
        <v>0.28510600000000003</v>
      </c>
      <c r="D119">
        <v>1.30552</v>
      </c>
      <c r="E119">
        <v>2.0106649999999999</v>
      </c>
      <c r="F119">
        <v>2.9363079999999999</v>
      </c>
      <c r="G119">
        <v>2.2608470000000001</v>
      </c>
      <c r="H119">
        <f>TBL_Dati_OS[[#This Row],[Valore Volatilità]]</f>
        <v>6.4272456464875605</v>
      </c>
      <c r="I119">
        <v>0.56021299999999996</v>
      </c>
      <c r="J119">
        <v>2.06019</v>
      </c>
      <c r="K119">
        <v>3.1704599999999998</v>
      </c>
      <c r="L119" s="6">
        <f>DATE(LEFT(TBL_TEV[[#This Row],[Data]],4),MID(TBL_TEV[[#This Row],[Data]],5,2),RIGHT(TBL_TEV[[#This Row],[Data]],2))</f>
        <v>45457</v>
      </c>
      <c r="M119" t="str" cm="1">
        <f t="array" aca="1" ref="M119" ca="1">IF(_xlfn.SINGLE(TBL_TEV[Data2])&gt;=INDIRECT("L"&amp;COUNTA(TBL_TEV[Data])+1)-365, "Ultimi 12 mesi", "Vecchi dati")</f>
        <v>Vecchi dati</v>
      </c>
      <c r="Q119" s="12"/>
    </row>
    <row r="120" spans="1:17">
      <c r="A120">
        <v>20240617</v>
      </c>
      <c r="B120">
        <v>1.8206469999999999</v>
      </c>
      <c r="C120">
        <v>0.28304200000000002</v>
      </c>
      <c r="D120">
        <v>1.480615</v>
      </c>
      <c r="E120">
        <v>2.0074900000000002</v>
      </c>
      <c r="F120">
        <v>2.9088449999999999</v>
      </c>
      <c r="G120">
        <v>2.2492589999999999</v>
      </c>
      <c r="H120">
        <f>TBL_Dati_OS[[#This Row],[Valore Volatilità]]</f>
        <v>6.4098919533445953</v>
      </c>
      <c r="I120">
        <v>0.55592699999999995</v>
      </c>
      <c r="J120">
        <v>2.0432039999999998</v>
      </c>
      <c r="K120">
        <v>3.1612529999999999</v>
      </c>
      <c r="L120" s="6">
        <f>DATE(LEFT(TBL_TEV[[#This Row],[Data]],4),MID(TBL_TEV[[#This Row],[Data]],5,2),RIGHT(TBL_TEV[[#This Row],[Data]],2))</f>
        <v>45460</v>
      </c>
      <c r="M120" t="str" cm="1">
        <f t="array" aca="1" ref="M120" ca="1">IF(_xlfn.SINGLE(TBL_TEV[Data2])&gt;=INDIRECT("L"&amp;COUNTA(TBL_TEV[Data])+1)-365, "Ultimi 12 mesi", "Vecchi dati")</f>
        <v>Vecchi dati</v>
      </c>
      <c r="Q120" s="12"/>
    </row>
    <row r="121" spans="1:17">
      <c r="A121">
        <v>20240618</v>
      </c>
      <c r="B121">
        <v>2.0717819999999998</v>
      </c>
      <c r="C121">
        <v>0.28145500000000001</v>
      </c>
      <c r="D121">
        <v>1.3982270000000001</v>
      </c>
      <c r="E121">
        <v>2.0532089999999998</v>
      </c>
      <c r="F121">
        <v>2.9515470000000001</v>
      </c>
      <c r="G121">
        <v>2.265927</v>
      </c>
      <c r="H121">
        <f>TBL_Dati_OS[[#This Row],[Valore Volatilità]]</f>
        <v>6.4313746969077208</v>
      </c>
      <c r="I121">
        <v>0.55164100000000005</v>
      </c>
      <c r="J121">
        <v>2.0262180000000001</v>
      </c>
      <c r="K121">
        <v>3.1520459999999999</v>
      </c>
      <c r="L121" s="6">
        <f>DATE(LEFT(TBL_TEV[[#This Row],[Data]],4),MID(TBL_TEV[[#This Row],[Data]],5,2),RIGHT(TBL_TEV[[#This Row],[Data]],2))</f>
        <v>45461</v>
      </c>
      <c r="M121" t="str" cm="1">
        <f t="array" aca="1" ref="M121" ca="1">IF(_xlfn.SINGLE(TBL_TEV[Data2])&gt;=INDIRECT("L"&amp;COUNTA(TBL_TEV[Data])+1)-365, "Ultimi 12 mesi", "Vecchi dati")</f>
        <v>Vecchi dati</v>
      </c>
      <c r="Q121" s="12"/>
    </row>
    <row r="122" spans="1:17">
      <c r="A122">
        <v>20240619</v>
      </c>
      <c r="B122">
        <v>2.0676549999999998</v>
      </c>
      <c r="C122">
        <v>0.27970899999999999</v>
      </c>
      <c r="D122">
        <v>1.4552160000000001</v>
      </c>
      <c r="E122">
        <v>2.1352799999999998</v>
      </c>
      <c r="F122">
        <v>2.9505949999999999</v>
      </c>
      <c r="G122">
        <v>2.3299020000000001</v>
      </c>
      <c r="H122">
        <f>TBL_Dati_OS[[#This Row],[Valore Volatilità]]</f>
        <v>6.4402573239018279</v>
      </c>
      <c r="I122">
        <v>0.54735500000000004</v>
      </c>
      <c r="J122">
        <v>2.0092319999999999</v>
      </c>
      <c r="K122">
        <v>3.1428389999999999</v>
      </c>
      <c r="L122" s="6">
        <f>DATE(LEFT(TBL_TEV[[#This Row],[Data]],4),MID(TBL_TEV[[#This Row],[Data]],5,2),RIGHT(TBL_TEV[[#This Row],[Data]],2))</f>
        <v>45462</v>
      </c>
      <c r="M122" t="str" cm="1">
        <f t="array" aca="1" ref="M122" ca="1">IF(_xlfn.SINGLE(TBL_TEV[Data2])&gt;=INDIRECT("L"&amp;COUNTA(TBL_TEV[Data])+1)-365, "Ultimi 12 mesi", "Vecchi dati")</f>
        <v>Vecchi dati</v>
      </c>
      <c r="Q122" s="12"/>
    </row>
    <row r="123" spans="1:17">
      <c r="A123">
        <v>20240620</v>
      </c>
      <c r="B123">
        <v>2.0459070000000001</v>
      </c>
      <c r="C123">
        <v>0.27732800000000002</v>
      </c>
      <c r="D123">
        <v>1.4456910000000001</v>
      </c>
      <c r="E123">
        <v>2.1100400000000001</v>
      </c>
      <c r="F123">
        <v>2.885351</v>
      </c>
      <c r="G123">
        <v>2.307518</v>
      </c>
      <c r="H123">
        <f>TBL_Dati_OS[[#This Row],[Valore Volatilità]]</f>
        <v>6.3739567704682472</v>
      </c>
      <c r="I123">
        <v>0.54306900000000002</v>
      </c>
      <c r="J123">
        <v>1.992246</v>
      </c>
      <c r="K123">
        <v>3.133632</v>
      </c>
      <c r="L123" s="6">
        <f>DATE(LEFT(TBL_TEV[[#This Row],[Data]],4),MID(TBL_TEV[[#This Row],[Data]],5,2),RIGHT(TBL_TEV[[#This Row],[Data]],2))</f>
        <v>45463</v>
      </c>
      <c r="M123" t="str" cm="1">
        <f t="array" aca="1" ref="M123" ca="1">IF(_xlfn.SINGLE(TBL_TEV[Data2])&gt;=INDIRECT("L"&amp;COUNTA(TBL_TEV[Data])+1)-365, "Ultimi 12 mesi", "Vecchi dati")</f>
        <v>Vecchi dati</v>
      </c>
      <c r="Q123" s="12"/>
    </row>
    <row r="124" spans="1:17">
      <c r="A124">
        <v>20240621</v>
      </c>
      <c r="B124">
        <v>2.0300319999999998</v>
      </c>
      <c r="C124">
        <v>0.27589900000000001</v>
      </c>
      <c r="D124">
        <v>1.437119</v>
      </c>
      <c r="E124">
        <v>2.0952760000000001</v>
      </c>
      <c r="F124">
        <v>2.8658250000000001</v>
      </c>
      <c r="G124">
        <v>2.2967240000000002</v>
      </c>
      <c r="H124">
        <f>TBL_Dati_OS[[#This Row],[Valore Volatilità]]</f>
        <v>6.3167578737966732</v>
      </c>
      <c r="I124">
        <v>0.53878300000000001</v>
      </c>
      <c r="J124">
        <v>1.97526</v>
      </c>
      <c r="K124">
        <v>3.124425</v>
      </c>
      <c r="L124" s="6">
        <f>DATE(LEFT(TBL_TEV[[#This Row],[Data]],4),MID(TBL_TEV[[#This Row],[Data]],5,2),RIGHT(TBL_TEV[[#This Row],[Data]],2))</f>
        <v>45464</v>
      </c>
      <c r="M124" t="str" cm="1">
        <f t="array" aca="1" ref="M124" ca="1">IF(_xlfn.SINGLE(TBL_TEV[Data2])&gt;=INDIRECT("L"&amp;COUNTA(TBL_TEV[Data])+1)-365, "Ultimi 12 mesi", "Vecchi dati")</f>
        <v>Vecchi dati</v>
      </c>
      <c r="Q124" s="12"/>
    </row>
    <row r="125" spans="1:17">
      <c r="A125">
        <v>20240624</v>
      </c>
      <c r="B125">
        <v>2.0030450000000002</v>
      </c>
      <c r="C125">
        <v>0.273835</v>
      </c>
      <c r="D125">
        <v>1.434579</v>
      </c>
      <c r="E125">
        <v>2.1117859999999999</v>
      </c>
      <c r="F125">
        <v>2.9063050000000001</v>
      </c>
      <c r="G125">
        <v>2.238464</v>
      </c>
      <c r="H125">
        <f>TBL_Dati_OS[[#This Row],[Valore Volatilità]]</f>
        <v>6.2509061722066077</v>
      </c>
      <c r="I125">
        <v>0.534497</v>
      </c>
      <c r="J125">
        <v>1.9582740000000001</v>
      </c>
      <c r="K125">
        <v>3.115218</v>
      </c>
      <c r="L125" s="6">
        <f>DATE(LEFT(TBL_TEV[[#This Row],[Data]],4),MID(TBL_TEV[[#This Row],[Data]],5,2),RIGHT(TBL_TEV[[#This Row],[Data]],2))</f>
        <v>45467</v>
      </c>
      <c r="M125" t="str" cm="1">
        <f t="array" aca="1" ref="M125" ca="1">IF(_xlfn.SINGLE(TBL_TEV[Data2])&gt;=INDIRECT("L"&amp;COUNTA(TBL_TEV[Data])+1)-365, "Ultimi 12 mesi", "Vecchi dati")</f>
        <v>Vecchi dati</v>
      </c>
      <c r="Q125" s="12"/>
    </row>
    <row r="126" spans="1:17">
      <c r="A126">
        <v>20240625</v>
      </c>
      <c r="B126">
        <v>1.827315</v>
      </c>
      <c r="C126">
        <v>0.27240700000000001</v>
      </c>
      <c r="D126">
        <v>1.413942</v>
      </c>
      <c r="E126">
        <v>2.1260729999999999</v>
      </c>
      <c r="F126">
        <v>2.9334500000000001</v>
      </c>
      <c r="G126">
        <v>2.36673</v>
      </c>
      <c r="H126">
        <f>TBL_Dati_OS[[#This Row],[Valore Volatilità]]</f>
        <v>6.2442968235562146</v>
      </c>
      <c r="I126">
        <v>0.53021099999999999</v>
      </c>
      <c r="J126">
        <v>1.9412879999999999</v>
      </c>
      <c r="K126">
        <v>3.1060110000000001</v>
      </c>
      <c r="L126" s="6">
        <f>DATE(LEFT(TBL_TEV[[#This Row],[Data]],4),MID(TBL_TEV[[#This Row],[Data]],5,2),RIGHT(TBL_TEV[[#This Row],[Data]],2))</f>
        <v>45468</v>
      </c>
      <c r="M126" t="str" cm="1">
        <f t="array" aca="1" ref="M126" ca="1">IF(_xlfn.SINGLE(TBL_TEV[Data2])&gt;=INDIRECT("L"&amp;COUNTA(TBL_TEV[Data])+1)-365, "Ultimi 12 mesi", "Vecchi dati")</f>
        <v>Vecchi dati</v>
      </c>
      <c r="Q126" s="12"/>
    </row>
    <row r="127" spans="1:17">
      <c r="A127">
        <v>20240626</v>
      </c>
      <c r="B127">
        <v>1.8190599999999999</v>
      </c>
      <c r="C127">
        <v>0.27081899999999998</v>
      </c>
      <c r="D127">
        <v>1.4179109999999999</v>
      </c>
      <c r="E127">
        <v>2.1413120000000001</v>
      </c>
      <c r="F127">
        <v>2.9548809999999999</v>
      </c>
      <c r="G127">
        <v>2.3375210000000002</v>
      </c>
      <c r="H127">
        <f>TBL_Dati_OS[[#This Row],[Valore Volatilità]]</f>
        <v>6.199367075968417</v>
      </c>
      <c r="I127">
        <v>0.52592499999999998</v>
      </c>
      <c r="J127">
        <v>1.924302</v>
      </c>
      <c r="K127">
        <v>3.0968040000000001</v>
      </c>
      <c r="L127" s="6">
        <f>DATE(LEFT(TBL_TEV[[#This Row],[Data]],4),MID(TBL_TEV[[#This Row],[Data]],5,2),RIGHT(TBL_TEV[[#This Row],[Data]],2))</f>
        <v>45469</v>
      </c>
      <c r="M127" t="str" cm="1">
        <f t="array" aca="1" ref="M127" ca="1">IF(_xlfn.SINGLE(TBL_TEV[Data2])&gt;=INDIRECT("L"&amp;COUNTA(TBL_TEV[Data])+1)-365, "Ultimi 12 mesi", "Vecchi dati")</f>
        <v>Vecchi dati</v>
      </c>
      <c r="Q127" s="12"/>
    </row>
    <row r="128" spans="1:17">
      <c r="A128">
        <v>20240627</v>
      </c>
      <c r="B128">
        <v>1.8250919999999999</v>
      </c>
      <c r="C128">
        <v>0.26986700000000002</v>
      </c>
      <c r="D128">
        <v>1.399497</v>
      </c>
      <c r="E128">
        <v>2.176078</v>
      </c>
      <c r="F128">
        <v>3.0096479999999999</v>
      </c>
      <c r="G128">
        <v>2.2864049999999998</v>
      </c>
      <c r="H128">
        <f>TBL_Dati_OS[[#This Row],[Valore Volatilità]]</f>
        <v>6.1203094970191136</v>
      </c>
      <c r="I128">
        <v>0.52163899999999996</v>
      </c>
      <c r="J128">
        <v>1.907316</v>
      </c>
      <c r="K128">
        <v>3.0875970000000001</v>
      </c>
      <c r="L128" s="6">
        <f>DATE(LEFT(TBL_TEV[[#This Row],[Data]],4),MID(TBL_TEV[[#This Row],[Data]],5,2),RIGHT(TBL_TEV[[#This Row],[Data]],2))</f>
        <v>45470</v>
      </c>
      <c r="M128" t="str" cm="1">
        <f t="array" aca="1" ref="M128" ca="1">IF(_xlfn.SINGLE(TBL_TEV[Data2])&gt;=INDIRECT("L"&amp;COUNTA(TBL_TEV[Data])+1)-365, "Ultimi 12 mesi", "Vecchi dati")</f>
        <v>Vecchi dati</v>
      </c>
      <c r="Q128" s="12"/>
    </row>
    <row r="129" spans="1:17">
      <c r="A129">
        <v>20240628</v>
      </c>
      <c r="B129">
        <v>1.8019149999999999</v>
      </c>
      <c r="C129">
        <v>0.289551</v>
      </c>
      <c r="D129">
        <v>1.3494919999999999</v>
      </c>
      <c r="E129">
        <v>2.160679</v>
      </c>
      <c r="F129">
        <v>2.99552</v>
      </c>
      <c r="G129">
        <v>2.2605300000000002</v>
      </c>
      <c r="H129">
        <f>TBL_Dati_OS[[#This Row],[Valore Volatilità]]</f>
        <v>6.115514926467772</v>
      </c>
      <c r="I129">
        <v>0.51735299999999995</v>
      </c>
      <c r="J129">
        <v>1.8903300000000001</v>
      </c>
      <c r="K129">
        <v>3.0783900000000002</v>
      </c>
      <c r="L129" s="6">
        <f>DATE(LEFT(TBL_TEV[[#This Row],[Data]],4),MID(TBL_TEV[[#This Row],[Data]],5,2),RIGHT(TBL_TEV[[#This Row],[Data]],2))</f>
        <v>45471</v>
      </c>
      <c r="M129" t="str" cm="1">
        <f t="array" aca="1" ref="M129" ca="1">IF(_xlfn.SINGLE(TBL_TEV[Data2])&gt;=INDIRECT("L"&amp;COUNTA(TBL_TEV[Data])+1)-365, "Ultimi 12 mesi", "Vecchi dati")</f>
        <v>Vecchi dati</v>
      </c>
      <c r="Q129" s="12"/>
    </row>
    <row r="130" spans="1:17">
      <c r="A130">
        <v>20240701</v>
      </c>
      <c r="B130">
        <v>1.824775</v>
      </c>
      <c r="C130">
        <v>0.29510700000000001</v>
      </c>
      <c r="D130">
        <v>1.345682</v>
      </c>
      <c r="E130">
        <v>2.2065570000000001</v>
      </c>
      <c r="F130">
        <v>3.0572710000000001</v>
      </c>
      <c r="G130">
        <v>2.3243450000000001</v>
      </c>
      <c r="H130">
        <f>TBL_Dati_OS[[#This Row],[Valore Volatilità]]</f>
        <v>6.0651288531730421</v>
      </c>
      <c r="I130">
        <v>0.51306700000000005</v>
      </c>
      <c r="J130">
        <v>1.8733439999999999</v>
      </c>
      <c r="K130">
        <v>3.0691830000000002</v>
      </c>
      <c r="L130" s="6">
        <f>DATE(LEFT(TBL_TEV[[#This Row],[Data]],4),MID(TBL_TEV[[#This Row],[Data]],5,2),RIGHT(TBL_TEV[[#This Row],[Data]],2))</f>
        <v>45474</v>
      </c>
      <c r="M130" t="str" cm="1">
        <f t="array" aca="1" ref="M130" ca="1">IF(_xlfn.SINGLE(TBL_TEV[Data2])&gt;=INDIRECT("L"&amp;COUNTA(TBL_TEV[Data])+1)-365, "Ultimi 12 mesi", "Vecchi dati")</f>
        <v>Vecchi dati</v>
      </c>
      <c r="Q130" s="12"/>
    </row>
    <row r="131" spans="1:17">
      <c r="A131">
        <v>20240702</v>
      </c>
      <c r="B131">
        <v>1.8282670000000001</v>
      </c>
      <c r="C131">
        <v>0.29320200000000002</v>
      </c>
      <c r="D131">
        <v>1.348063</v>
      </c>
      <c r="E131">
        <v>2.2178270000000002</v>
      </c>
      <c r="F131">
        <v>3.072352</v>
      </c>
      <c r="G131">
        <v>2.30355</v>
      </c>
      <c r="H131">
        <f>TBL_Dati_OS[[#This Row],[Valore Volatilità]]</f>
        <v>6.052151531876639</v>
      </c>
      <c r="I131">
        <v>0.50878100000000004</v>
      </c>
      <c r="J131">
        <v>1.856358</v>
      </c>
      <c r="K131">
        <v>3.0599759999999998</v>
      </c>
      <c r="L131" s="6">
        <f>DATE(LEFT(TBL_TEV[[#This Row],[Data]],4),MID(TBL_TEV[[#This Row],[Data]],5,2),RIGHT(TBL_TEV[[#This Row],[Data]],2))</f>
        <v>45475</v>
      </c>
      <c r="M131" t="str" cm="1">
        <f t="array" aca="1" ref="M131" ca="1">IF(_xlfn.SINGLE(TBL_TEV[Data2])&gt;=INDIRECT("L"&amp;COUNTA(TBL_TEV[Data])+1)-365, "Ultimi 12 mesi", "Vecchi dati")</f>
        <v>Vecchi dati</v>
      </c>
      <c r="Q131" s="12"/>
    </row>
    <row r="132" spans="1:17">
      <c r="A132">
        <v>20240703</v>
      </c>
      <c r="B132">
        <v>1.818584</v>
      </c>
      <c r="C132">
        <v>0.29161500000000001</v>
      </c>
      <c r="D132">
        <v>1.3310770000000001</v>
      </c>
      <c r="E132">
        <v>2.2311619999999999</v>
      </c>
      <c r="F132">
        <v>3.0794959999999998</v>
      </c>
      <c r="G132">
        <v>2.3325999999999998</v>
      </c>
      <c r="H132">
        <f>TBL_Dati_OS[[#This Row],[Valore Volatilità]]</f>
        <v>6.0246174557906489</v>
      </c>
      <c r="I132">
        <v>0.50449500000000003</v>
      </c>
      <c r="J132">
        <v>1.839372</v>
      </c>
      <c r="K132">
        <v>3.0507689999999998</v>
      </c>
      <c r="L132" s="6">
        <f>DATE(LEFT(TBL_TEV[[#This Row],[Data]],4),MID(TBL_TEV[[#This Row],[Data]],5,2),RIGHT(TBL_TEV[[#This Row],[Data]],2))</f>
        <v>45476</v>
      </c>
      <c r="M132" t="str" cm="1">
        <f t="array" aca="1" ref="M132" ca="1">IF(_xlfn.SINGLE(TBL_TEV[Data2])&gt;=INDIRECT("L"&amp;COUNTA(TBL_TEV[Data])+1)-365, "Ultimi 12 mesi", "Vecchi dati")</f>
        <v>Vecchi dati</v>
      </c>
      <c r="Q132" s="12"/>
    </row>
    <row r="133" spans="1:17">
      <c r="A133">
        <v>20240704</v>
      </c>
      <c r="B133">
        <v>1.8096939999999999</v>
      </c>
      <c r="C133">
        <v>0.29002699999999998</v>
      </c>
      <c r="D133">
        <v>1.323299</v>
      </c>
      <c r="E133">
        <v>2.2222719999999998</v>
      </c>
      <c r="F133">
        <v>3.0655260000000002</v>
      </c>
      <c r="G133">
        <v>2.3195830000000002</v>
      </c>
      <c r="H133">
        <f>TBL_Dati_OS[[#This Row],[Valore Volatilità]]</f>
        <v>6.0140154344872476</v>
      </c>
      <c r="I133">
        <v>0.50020900000000001</v>
      </c>
      <c r="J133">
        <v>1.8223859999999901</v>
      </c>
      <c r="K133">
        <v>3.0415619999999999</v>
      </c>
      <c r="L133" s="6">
        <f>DATE(LEFT(TBL_TEV[[#This Row],[Data]],4),MID(TBL_TEV[[#This Row],[Data]],5,2),RIGHT(TBL_TEV[[#This Row],[Data]],2))</f>
        <v>45477</v>
      </c>
      <c r="M133" t="str" cm="1">
        <f t="array" aca="1" ref="M133" ca="1">IF(_xlfn.SINGLE(TBL_TEV[Data2])&gt;=INDIRECT("L"&amp;COUNTA(TBL_TEV[Data])+1)-365, "Ultimi 12 mesi", "Vecchi dati")</f>
        <v>Vecchi dati</v>
      </c>
      <c r="Q133" s="12"/>
    </row>
    <row r="134" spans="1:17">
      <c r="A134">
        <v>20240705</v>
      </c>
      <c r="B134">
        <v>1.777469</v>
      </c>
      <c r="C134">
        <v>0.28907500000000003</v>
      </c>
      <c r="D134">
        <v>1.288375</v>
      </c>
      <c r="E134">
        <v>2.2075089999999999</v>
      </c>
      <c r="F134">
        <v>3.0428259999999998</v>
      </c>
      <c r="G134">
        <v>2.3057720000000002</v>
      </c>
      <c r="H134">
        <f>TBL_Dati_OS[[#This Row],[Valore Volatilità]]</f>
        <v>5.9801700398220747</v>
      </c>
      <c r="I134">
        <v>0.495923</v>
      </c>
      <c r="J134">
        <v>1.8053999999999999</v>
      </c>
      <c r="K134">
        <v>3.0323549999999999</v>
      </c>
      <c r="L134" s="6">
        <f>DATE(LEFT(TBL_TEV[[#This Row],[Data]],4),MID(TBL_TEV[[#This Row],[Data]],5,2),RIGHT(TBL_TEV[[#This Row],[Data]],2))</f>
        <v>45478</v>
      </c>
      <c r="M134" t="str" cm="1">
        <f t="array" aca="1" ref="M134" ca="1">IF(_xlfn.SINGLE(TBL_TEV[Data2])&gt;=INDIRECT("L"&amp;COUNTA(TBL_TEV[Data])+1)-365, "Ultimi 12 mesi", "Vecchi dati")</f>
        <v>Vecchi dati</v>
      </c>
      <c r="Q134" s="12"/>
    </row>
    <row r="135" spans="1:17">
      <c r="A135">
        <v>20240708</v>
      </c>
      <c r="B135">
        <v>1.785088</v>
      </c>
      <c r="C135">
        <v>0.28605900000000001</v>
      </c>
      <c r="D135">
        <v>1.296154</v>
      </c>
      <c r="E135">
        <v>2.2092550000000002</v>
      </c>
      <c r="F135">
        <v>3.0433020000000002</v>
      </c>
      <c r="G135">
        <v>2.3159320000000001</v>
      </c>
      <c r="H135">
        <f>TBL_Dati_OS[[#This Row],[Valore Volatilità]]</f>
        <v>5.957366756222271</v>
      </c>
      <c r="I135">
        <v>0.49163699999999999</v>
      </c>
      <c r="J135">
        <v>1.7884139999999999</v>
      </c>
      <c r="K135">
        <v>3.0231479999999999</v>
      </c>
      <c r="L135" s="6">
        <f>DATE(LEFT(TBL_TEV[[#This Row],[Data]],4),MID(TBL_TEV[[#This Row],[Data]],5,2),RIGHT(TBL_TEV[[#This Row],[Data]],2))</f>
        <v>45481</v>
      </c>
      <c r="M135" t="str" cm="1">
        <f t="array" aca="1" ref="M135" ca="1">IF(_xlfn.SINGLE(TBL_TEV[Data2])&gt;=INDIRECT("L"&amp;COUNTA(TBL_TEV[Data])+1)-365, "Ultimi 12 mesi", "Vecchi dati")</f>
        <v>Vecchi dati</v>
      </c>
      <c r="Q135" s="12"/>
    </row>
    <row r="136" spans="1:17">
      <c r="A136">
        <v>20240709</v>
      </c>
      <c r="B136">
        <v>1.7822309999999999</v>
      </c>
      <c r="C136">
        <v>0.28462999999999999</v>
      </c>
      <c r="D136">
        <v>1.2920259999999999</v>
      </c>
      <c r="E136">
        <v>2.2051280000000002</v>
      </c>
      <c r="F136">
        <v>3.040286</v>
      </c>
      <c r="G136">
        <v>2.3537129999999999</v>
      </c>
      <c r="H136">
        <f>TBL_Dati_OS[[#This Row],[Valore Volatilità]]</f>
        <v>5.931608354379172</v>
      </c>
      <c r="I136">
        <v>0.48735099999999998</v>
      </c>
      <c r="J136">
        <v>1.771428</v>
      </c>
      <c r="K136">
        <v>3.013941</v>
      </c>
      <c r="L136" s="6">
        <f>DATE(LEFT(TBL_TEV[[#This Row],[Data]],4),MID(TBL_TEV[[#This Row],[Data]],5,2),RIGHT(TBL_TEV[[#This Row],[Data]],2))</f>
        <v>45482</v>
      </c>
      <c r="M136" t="str" cm="1">
        <f t="array" aca="1" ref="M136" ca="1">IF(_xlfn.SINGLE(TBL_TEV[Data2])&gt;=INDIRECT("L"&amp;COUNTA(TBL_TEV[Data])+1)-365, "Ultimi 12 mesi", "Vecchi dati")</f>
        <v>Vecchi dati</v>
      </c>
      <c r="Q136" s="12"/>
    </row>
    <row r="137" spans="1:17">
      <c r="A137">
        <v>20240710</v>
      </c>
      <c r="B137">
        <v>1.774929</v>
      </c>
      <c r="C137">
        <v>0.28240700000000002</v>
      </c>
      <c r="D137">
        <v>1.2994870000000001</v>
      </c>
      <c r="E137">
        <v>2.1808399999999999</v>
      </c>
      <c r="F137">
        <v>3.0012340000000002</v>
      </c>
      <c r="G137">
        <v>2.361809</v>
      </c>
      <c r="H137">
        <f>TBL_Dati_OS[[#This Row],[Valore Volatilità]]</f>
        <v>7.6069913169426151</v>
      </c>
      <c r="I137">
        <v>0.48306500000000002</v>
      </c>
      <c r="J137">
        <v>1.7544420000000001</v>
      </c>
      <c r="K137">
        <v>3.004734</v>
      </c>
      <c r="L137" s="6">
        <f>DATE(LEFT(TBL_TEV[[#This Row],[Data]],4),MID(TBL_TEV[[#This Row],[Data]],5,2),RIGHT(TBL_TEV[[#This Row],[Data]],2))</f>
        <v>45483</v>
      </c>
      <c r="M137" t="str" cm="1">
        <f t="array" aca="1" ref="M137" ca="1">IF(_xlfn.SINGLE(TBL_TEV[Data2])&gt;=INDIRECT("L"&amp;COUNTA(TBL_TEV[Data])+1)-365, "Ultimi 12 mesi", "Vecchi dati")</f>
        <v>Vecchi dati</v>
      </c>
      <c r="Q137" s="12"/>
    </row>
    <row r="138" spans="1:17">
      <c r="A138">
        <v>20240711</v>
      </c>
      <c r="B138">
        <v>1.7668330000000001</v>
      </c>
      <c r="C138">
        <v>0.28574100000000002</v>
      </c>
      <c r="D138">
        <v>1.290915</v>
      </c>
      <c r="E138">
        <v>2.1433759999999999</v>
      </c>
      <c r="F138">
        <v>3.0005989999999998</v>
      </c>
      <c r="G138">
        <v>2.5076960000000001</v>
      </c>
      <c r="H138">
        <f>TBL_Dati_OS[[#This Row],[Valore Volatilità]]</f>
        <v>7.6257425458183015</v>
      </c>
      <c r="I138">
        <v>0.47877900000000001</v>
      </c>
      <c r="J138">
        <v>1.7374559999999899</v>
      </c>
      <c r="K138">
        <v>2.9955270000000001</v>
      </c>
      <c r="L138" s="6">
        <f>DATE(LEFT(TBL_TEV[[#This Row],[Data]],4),MID(TBL_TEV[[#This Row],[Data]],5,2),RIGHT(TBL_TEV[[#This Row],[Data]],2))</f>
        <v>45484</v>
      </c>
      <c r="M138" t="str" cm="1">
        <f t="array" aca="1" ref="M138" ca="1">IF(_xlfn.SINGLE(TBL_TEV[Data2])&gt;=INDIRECT("L"&amp;COUNTA(TBL_TEV[Data])+1)-365, "Ultimi 12 mesi", "Vecchi dati")</f>
        <v>Vecchi dati</v>
      </c>
      <c r="Q138" s="12"/>
    </row>
    <row r="139" spans="1:17">
      <c r="A139">
        <v>20240712</v>
      </c>
      <c r="B139">
        <v>1.7709600000000001</v>
      </c>
      <c r="C139">
        <v>0.28383599999999998</v>
      </c>
      <c r="D139">
        <v>1.2886930000000001</v>
      </c>
      <c r="E139">
        <v>2.1527419999999999</v>
      </c>
      <c r="F139">
        <v>3.0132989999999999</v>
      </c>
      <c r="G139">
        <v>2.5175380000000001</v>
      </c>
      <c r="H139">
        <f>TBL_Dati_OS[[#This Row],[Valore Volatilità]]</f>
        <v>7.960712243344747</v>
      </c>
      <c r="I139">
        <v>0.474493</v>
      </c>
      <c r="J139">
        <v>1.72046999999999</v>
      </c>
      <c r="K139">
        <v>2.9863200000000001</v>
      </c>
      <c r="L139" s="6">
        <f>DATE(LEFT(TBL_TEV[[#This Row],[Data]],4),MID(TBL_TEV[[#This Row],[Data]],5,2),RIGHT(TBL_TEV[[#This Row],[Data]],2))</f>
        <v>45485</v>
      </c>
      <c r="M139" t="str" cm="1">
        <f t="array" aca="1" ref="M139" ca="1">IF(_xlfn.SINGLE(TBL_TEV[Data2])&gt;=INDIRECT("L"&amp;COUNTA(TBL_TEV[Data])+1)-365, "Ultimi 12 mesi", "Vecchi dati")</f>
        <v>Vecchi dati</v>
      </c>
      <c r="Q139" s="12"/>
    </row>
    <row r="140" spans="1:17">
      <c r="A140">
        <v>20240715</v>
      </c>
      <c r="B140">
        <v>1.7711190000000001</v>
      </c>
      <c r="C140">
        <v>0.281773</v>
      </c>
      <c r="D140">
        <v>1.29155</v>
      </c>
      <c r="E140">
        <v>2.1541709999999998</v>
      </c>
      <c r="F140">
        <v>3.0226649999999999</v>
      </c>
      <c r="G140">
        <v>2.5110299999999999</v>
      </c>
      <c r="H140">
        <f>TBL_Dati_OS[[#This Row],[Valore Volatilità]]</f>
        <v>7.7452638800970606</v>
      </c>
      <c r="I140">
        <v>0.47020699999999999</v>
      </c>
      <c r="J140">
        <v>1.70348399999999</v>
      </c>
      <c r="K140">
        <v>2.9771130000000001</v>
      </c>
      <c r="L140" s="6">
        <f>DATE(LEFT(TBL_TEV[[#This Row],[Data]],4),MID(TBL_TEV[[#This Row],[Data]],5,2),RIGHT(TBL_TEV[[#This Row],[Data]],2))</f>
        <v>45488</v>
      </c>
      <c r="M140" t="str" cm="1">
        <f t="array" aca="1" ref="M140" ca="1">IF(_xlfn.SINGLE(TBL_TEV[Data2])&gt;=INDIRECT("L"&amp;COUNTA(TBL_TEV[Data])+1)-365, "Ultimi 12 mesi", "Vecchi dati")</f>
        <v>Vecchi dati</v>
      </c>
      <c r="Q140" s="12"/>
    </row>
    <row r="141" spans="1:17">
      <c r="A141">
        <v>20240716</v>
      </c>
      <c r="B141">
        <v>1.5812600000000001</v>
      </c>
      <c r="C141">
        <v>0.28097899999999998</v>
      </c>
      <c r="D141">
        <v>0.97787000000000002</v>
      </c>
      <c r="E141">
        <v>2.1171829999999998</v>
      </c>
      <c r="F141">
        <v>2.9885350000000002</v>
      </c>
      <c r="G141">
        <v>2.504839</v>
      </c>
      <c r="H141">
        <f>TBL_Dati_OS[[#This Row],[Valore Volatilità]]</f>
        <v>7.8047770055385444</v>
      </c>
      <c r="I141">
        <v>0.46592099999999997</v>
      </c>
      <c r="J141">
        <v>1.6864979999999901</v>
      </c>
      <c r="K141">
        <v>2.9679060000000002</v>
      </c>
      <c r="L141" s="6">
        <f>DATE(LEFT(TBL_TEV[[#This Row],[Data]],4),MID(TBL_TEV[[#This Row],[Data]],5,2),RIGHT(TBL_TEV[[#This Row],[Data]],2))</f>
        <v>45489</v>
      </c>
      <c r="M141" t="str" cm="1">
        <f t="array" aca="1" ref="M141" ca="1">IF(_xlfn.SINGLE(TBL_TEV[Data2])&gt;=INDIRECT("L"&amp;COUNTA(TBL_TEV[Data])+1)-365, "Ultimi 12 mesi", "Vecchi dati")</f>
        <v>Vecchi dati</v>
      </c>
      <c r="Q141" s="12"/>
    </row>
    <row r="142" spans="1:17">
      <c r="A142">
        <v>20240717</v>
      </c>
      <c r="B142">
        <v>1.5274449999999999</v>
      </c>
      <c r="C142">
        <v>0.28066099999999999</v>
      </c>
      <c r="D142">
        <v>0.93389699999999998</v>
      </c>
      <c r="E142">
        <v>2.1046420000000001</v>
      </c>
      <c r="F142">
        <v>2.962342</v>
      </c>
      <c r="G142">
        <v>2.5435720000000002</v>
      </c>
      <c r="H142">
        <f>TBL_Dati_OS[[#This Row],[Valore Volatilità]]</f>
        <v>7.9002189572416102</v>
      </c>
      <c r="I142">
        <v>0.46163500000000002</v>
      </c>
      <c r="J142">
        <v>1.6695119999999899</v>
      </c>
      <c r="K142">
        <v>2.9586990000000002</v>
      </c>
      <c r="L142" s="6">
        <f>DATE(LEFT(TBL_TEV[[#This Row],[Data]],4),MID(TBL_TEV[[#This Row],[Data]],5,2),RIGHT(TBL_TEV[[#This Row],[Data]],2))</f>
        <v>45490</v>
      </c>
      <c r="M142" t="str" cm="1">
        <f t="array" aca="1" ref="M142" ca="1">IF(_xlfn.SINGLE(TBL_TEV[Data2])&gt;=INDIRECT("L"&amp;COUNTA(TBL_TEV[Data])+1)-365, "Ultimi 12 mesi", "Vecchi dati")</f>
        <v>Vecchi dati</v>
      </c>
      <c r="Q142" s="12"/>
    </row>
    <row r="143" spans="1:17">
      <c r="A143">
        <v>20240718</v>
      </c>
      <c r="B143">
        <v>1.4914099999999999</v>
      </c>
      <c r="C143">
        <v>0.278756</v>
      </c>
      <c r="D143">
        <v>0.86087499999999995</v>
      </c>
      <c r="E143">
        <v>2.1054360000000001</v>
      </c>
      <c r="F143">
        <v>2.9678979999999999</v>
      </c>
      <c r="G143">
        <v>2.5634160000000001</v>
      </c>
      <c r="H143">
        <f>TBL_Dati_OS[[#This Row],[Valore Volatilità]]</f>
        <v>7.9011486152981432</v>
      </c>
      <c r="I143">
        <v>0.45734900000000001</v>
      </c>
      <c r="J143">
        <v>1.6525259999999899</v>
      </c>
      <c r="K143">
        <v>2.9494919999999998</v>
      </c>
      <c r="L143" s="6">
        <f>DATE(LEFT(TBL_TEV[[#This Row],[Data]],4),MID(TBL_TEV[[#This Row],[Data]],5,2),RIGHT(TBL_TEV[[#This Row],[Data]],2))</f>
        <v>45491</v>
      </c>
      <c r="M143" t="str" cm="1">
        <f t="array" aca="1" ref="M143" ca="1">IF(_xlfn.SINGLE(TBL_TEV[Data2])&gt;=INDIRECT("L"&amp;COUNTA(TBL_TEV[Data])+1)-365, "Ultimi 12 mesi", "Vecchi dati")</f>
        <v>Vecchi dati</v>
      </c>
      <c r="Q143" s="12"/>
    </row>
    <row r="144" spans="1:17">
      <c r="A144">
        <v>20240719</v>
      </c>
      <c r="B144">
        <v>1.5233179999999999</v>
      </c>
      <c r="C144">
        <v>0.28526499999999999</v>
      </c>
      <c r="D144">
        <v>0.89230600000000004</v>
      </c>
      <c r="E144">
        <v>2.1275019999999998</v>
      </c>
      <c r="F144">
        <v>2.981868</v>
      </c>
      <c r="G144">
        <v>2.5437310000000002</v>
      </c>
      <c r="H144">
        <f>TBL_Dati_OS[[#This Row],[Valore Volatilità]]</f>
        <v>7.8455948988846282</v>
      </c>
      <c r="I144">
        <v>0.45306299999999999</v>
      </c>
      <c r="J144">
        <v>1.63553999999999</v>
      </c>
      <c r="K144">
        <v>2.9402849999999998</v>
      </c>
      <c r="L144" s="6">
        <f>DATE(LEFT(TBL_TEV[[#This Row],[Data]],4),MID(TBL_TEV[[#This Row],[Data]],5,2),RIGHT(TBL_TEV[[#This Row],[Data]],2))</f>
        <v>45492</v>
      </c>
      <c r="M144" t="str" cm="1">
        <f t="array" aca="1" ref="M144" ca="1">IF(_xlfn.SINGLE(TBL_TEV[Data2])&gt;=INDIRECT("L"&amp;COUNTA(TBL_TEV[Data])+1)-365, "Ultimi 12 mesi", "Vecchi dati")</f>
        <v>Vecchi dati</v>
      </c>
      <c r="Q144" s="12"/>
    </row>
    <row r="145" spans="1:17">
      <c r="A145">
        <v>20240722</v>
      </c>
      <c r="B145">
        <v>1.53443</v>
      </c>
      <c r="C145">
        <v>0.28383599999999998</v>
      </c>
      <c r="D145">
        <v>0.88849599999999995</v>
      </c>
      <c r="E145">
        <v>2.1395659999999999</v>
      </c>
      <c r="F145">
        <v>3.0045679999999999</v>
      </c>
      <c r="G145">
        <v>2.5621459999999998</v>
      </c>
      <c r="H145">
        <f>TBL_Dati_OS[[#This Row],[Valore Volatilità]]</f>
        <v>7.9272340695504981</v>
      </c>
      <c r="I145">
        <v>0.44877699999999998</v>
      </c>
      <c r="J145">
        <v>1.6185539999999901</v>
      </c>
      <c r="K145">
        <v>2.9310779999999999</v>
      </c>
      <c r="L145" s="6">
        <f>DATE(LEFT(TBL_TEV[[#This Row],[Data]],4),MID(TBL_TEV[[#This Row],[Data]],5,2),RIGHT(TBL_TEV[[#This Row],[Data]],2))</f>
        <v>45495</v>
      </c>
      <c r="M145" t="str" cm="1">
        <f t="array" aca="1" ref="M145" ca="1">IF(_xlfn.SINGLE(TBL_TEV[Data2])&gt;=INDIRECT("L"&amp;COUNTA(TBL_TEV[Data])+1)-365, "Ultimi 12 mesi", "Vecchi dati")</f>
        <v>Vecchi dati</v>
      </c>
      <c r="Q145" s="12"/>
    </row>
    <row r="146" spans="1:17">
      <c r="A146">
        <v>20240723</v>
      </c>
      <c r="B146">
        <v>1.543002</v>
      </c>
      <c r="C146">
        <v>0.283995</v>
      </c>
      <c r="D146">
        <v>0.89452900000000002</v>
      </c>
      <c r="E146">
        <v>2.1643300000000001</v>
      </c>
      <c r="F146">
        <v>3.045207</v>
      </c>
      <c r="G146">
        <v>2.5640510000000001</v>
      </c>
      <c r="H146">
        <f>TBL_Dati_OS[[#This Row],[Valore Volatilità]]</f>
        <v>7.9129805876108055</v>
      </c>
      <c r="I146">
        <v>0.44449100000000002</v>
      </c>
      <c r="J146">
        <v>1.6015679999999901</v>
      </c>
      <c r="K146">
        <v>2.9218709999999999</v>
      </c>
      <c r="L146" s="6">
        <f>DATE(LEFT(TBL_TEV[[#This Row],[Data]],4),MID(TBL_TEV[[#This Row],[Data]],5,2),RIGHT(TBL_TEV[[#This Row],[Data]],2))</f>
        <v>45496</v>
      </c>
      <c r="M146" t="str" cm="1">
        <f t="array" aca="1" ref="M146" ca="1">IF(_xlfn.SINGLE(TBL_TEV[Data2])&gt;=INDIRECT("L"&amp;COUNTA(TBL_TEV[Data])+1)-365, "Ultimi 12 mesi", "Vecchi dati")</f>
        <v>Vecchi dati</v>
      </c>
      <c r="Q146" s="12"/>
    </row>
    <row r="147" spans="1:17">
      <c r="A147">
        <v>20240724</v>
      </c>
      <c r="B147">
        <v>1.513952</v>
      </c>
      <c r="C147">
        <v>0.28462999999999999</v>
      </c>
      <c r="D147">
        <v>0.88516300000000003</v>
      </c>
      <c r="E147">
        <v>2.1276600000000001</v>
      </c>
      <c r="F147">
        <v>2.9934560000000001</v>
      </c>
      <c r="G147">
        <v>2.545477</v>
      </c>
      <c r="H147">
        <f>TBL_Dati_OS[[#This Row],[Valore Volatilità]]</f>
        <v>7.7693925528861989</v>
      </c>
      <c r="I147">
        <v>0.44020499999999901</v>
      </c>
      <c r="J147">
        <v>1.5845819999999899</v>
      </c>
      <c r="K147">
        <v>2.9126639999999999</v>
      </c>
      <c r="L147" s="6">
        <f>DATE(LEFT(TBL_TEV[[#This Row],[Data]],4),MID(TBL_TEV[[#This Row],[Data]],5,2),RIGHT(TBL_TEV[[#This Row],[Data]],2))</f>
        <v>45497</v>
      </c>
      <c r="M147" t="str" cm="1">
        <f t="array" aca="1" ref="M147" ca="1">IF(_xlfn.SINGLE(TBL_TEV[Data2])&gt;=INDIRECT("L"&amp;COUNTA(TBL_TEV[Data])+1)-365, "Ultimi 12 mesi", "Vecchi dati")</f>
        <v>Vecchi dati</v>
      </c>
      <c r="Q147" s="12"/>
    </row>
    <row r="148" spans="1:17">
      <c r="A148">
        <v>20240725</v>
      </c>
      <c r="B148">
        <v>1.5290330000000001</v>
      </c>
      <c r="C148">
        <v>0.285582</v>
      </c>
      <c r="D148">
        <v>0.92246799999999995</v>
      </c>
      <c r="E148">
        <v>2.0976569999999999</v>
      </c>
      <c r="F148">
        <v>2.9510710000000002</v>
      </c>
      <c r="G148">
        <v>2.522459</v>
      </c>
      <c r="H148">
        <f>TBL_Dati_OS[[#This Row],[Valore Volatilità]]</f>
        <v>7.6338603323537493</v>
      </c>
      <c r="I148">
        <v>0.435918999999999</v>
      </c>
      <c r="J148">
        <v>1.56759599999999</v>
      </c>
      <c r="K148">
        <v>2.903457</v>
      </c>
      <c r="L148" s="6">
        <f>DATE(LEFT(TBL_TEV[[#This Row],[Data]],4),MID(TBL_TEV[[#This Row],[Data]],5,2),RIGHT(TBL_TEV[[#This Row],[Data]],2))</f>
        <v>45498</v>
      </c>
      <c r="M148" t="str" cm="1">
        <f t="array" aca="1" ref="M148" ca="1">IF(_xlfn.SINGLE(TBL_TEV[Data2])&gt;=INDIRECT("L"&amp;COUNTA(TBL_TEV[Data])+1)-365, "Ultimi 12 mesi", "Vecchi dati")</f>
        <v>Vecchi dati</v>
      </c>
      <c r="Q148" s="12"/>
    </row>
    <row r="149" spans="1:17">
      <c r="A149">
        <v>20240726</v>
      </c>
      <c r="B149">
        <v>1.5229999999999999</v>
      </c>
      <c r="C149">
        <v>0.28320099999999998</v>
      </c>
      <c r="D149">
        <v>0.91961000000000004</v>
      </c>
      <c r="E149">
        <v>2.0832120000000001</v>
      </c>
      <c r="F149">
        <v>2.9282119999999998</v>
      </c>
      <c r="G149">
        <v>2.5030920000000001</v>
      </c>
      <c r="H149">
        <f>TBL_Dati_OS[[#This Row],[Valore Volatilità]]</f>
        <v>7.7120369341446429</v>
      </c>
      <c r="I149">
        <v>0.43163299999999899</v>
      </c>
      <c r="J149">
        <v>1.5506099999999901</v>
      </c>
      <c r="K149">
        <v>2.89425</v>
      </c>
      <c r="L149" s="6">
        <f>DATE(LEFT(TBL_TEV[[#This Row],[Data]],4),MID(TBL_TEV[[#This Row],[Data]],5,2),RIGHT(TBL_TEV[[#This Row],[Data]],2))</f>
        <v>45499</v>
      </c>
      <c r="M149" t="str" cm="1">
        <f t="array" aca="1" ref="M149" ca="1">IF(_xlfn.SINGLE(TBL_TEV[Data2])&gt;=INDIRECT("L"&amp;COUNTA(TBL_TEV[Data])+1)-365, "Ultimi 12 mesi", "Vecchi dati")</f>
        <v>Vecchi dati</v>
      </c>
      <c r="Q149" s="12"/>
    </row>
    <row r="150" spans="1:17">
      <c r="A150">
        <v>20240729</v>
      </c>
      <c r="B150">
        <v>1.462995</v>
      </c>
      <c r="C150">
        <v>0.27955000000000002</v>
      </c>
      <c r="D150">
        <v>0.79785300000000003</v>
      </c>
      <c r="E150">
        <v>2.0909900000000001</v>
      </c>
      <c r="F150">
        <v>2.9402759999999999</v>
      </c>
      <c r="G150">
        <v>2.5123000000000002</v>
      </c>
      <c r="H150">
        <f>TBL_Dati_OS[[#This Row],[Valore Volatilità]]</f>
        <v>7.6652846386393447</v>
      </c>
      <c r="I150">
        <v>0.42734699999999898</v>
      </c>
      <c r="J150">
        <v>1.5336239999999901</v>
      </c>
      <c r="K150">
        <v>2.885043</v>
      </c>
      <c r="L150" s="6">
        <f>DATE(LEFT(TBL_TEV[[#This Row],[Data]],4),MID(TBL_TEV[[#This Row],[Data]],5,2),RIGHT(TBL_TEV[[#This Row],[Data]],2))</f>
        <v>45502</v>
      </c>
      <c r="M150" t="str" cm="1">
        <f t="array" aca="1" ref="M150" ca="1">IF(_xlfn.SINGLE(TBL_TEV[Data2])&gt;=INDIRECT("L"&amp;COUNTA(TBL_TEV[Data])+1)-365, "Ultimi 12 mesi", "Vecchi dati")</f>
        <v>Vecchi dati</v>
      </c>
      <c r="Q150" s="12"/>
    </row>
    <row r="151" spans="1:17">
      <c r="A151">
        <v>20240730</v>
      </c>
      <c r="B151">
        <v>1.467916</v>
      </c>
      <c r="C151">
        <v>0.27955000000000002</v>
      </c>
      <c r="D151">
        <v>0.79086800000000002</v>
      </c>
      <c r="E151">
        <v>2.1243270000000001</v>
      </c>
      <c r="F151">
        <v>3.0058379999999998</v>
      </c>
      <c r="G151">
        <v>2.435308</v>
      </c>
      <c r="H151">
        <f>TBL_Dati_OS[[#This Row],[Valore Volatilità]]</f>
        <v>7.6912823241105759</v>
      </c>
      <c r="I151">
        <v>0.42306099999999902</v>
      </c>
      <c r="J151">
        <v>1.5166379999999899</v>
      </c>
      <c r="K151">
        <v>2.8758360000000001</v>
      </c>
      <c r="L151" s="6">
        <f>DATE(LEFT(TBL_TEV[[#This Row],[Data]],4),MID(TBL_TEV[[#This Row],[Data]],5,2),RIGHT(TBL_TEV[[#This Row],[Data]],2))</f>
        <v>45503</v>
      </c>
      <c r="M151" t="str" cm="1">
        <f t="array" aca="1" ref="M151" ca="1">IF(_xlfn.SINGLE(TBL_TEV[Data2])&gt;=INDIRECT("L"&amp;COUNTA(TBL_TEV[Data])+1)-365, "Ultimi 12 mesi", "Vecchi dati")</f>
        <v>Vecchi dati</v>
      </c>
      <c r="Q151" s="12"/>
    </row>
    <row r="152" spans="1:17">
      <c r="A152">
        <v>20240731</v>
      </c>
      <c r="B152">
        <v>1.5852280000000001</v>
      </c>
      <c r="C152">
        <v>0.33368199999999998</v>
      </c>
      <c r="D152">
        <v>0.78896299999999997</v>
      </c>
      <c r="E152">
        <v>2.2335430000000001</v>
      </c>
      <c r="F152">
        <v>3.2063329999999999</v>
      </c>
      <c r="G152">
        <v>2.5019809999999998</v>
      </c>
      <c r="H152">
        <f>TBL_Dati_OS[[#This Row],[Valore Volatilità]]</f>
        <v>7.5548637393167031</v>
      </c>
      <c r="I152">
        <v>0.41877499999999901</v>
      </c>
      <c r="J152">
        <v>1.49965199999999</v>
      </c>
      <c r="K152">
        <v>2.8666290000000001</v>
      </c>
      <c r="L152" s="6">
        <f>DATE(LEFT(TBL_TEV[[#This Row],[Data]],4),MID(TBL_TEV[[#This Row],[Data]],5,2),RIGHT(TBL_TEV[[#This Row],[Data]],2))</f>
        <v>45504</v>
      </c>
      <c r="M152" t="str" cm="1">
        <f t="array" aca="1" ref="M152" ca="1">IF(_xlfn.SINGLE(TBL_TEV[Data2])&gt;=INDIRECT("L"&amp;COUNTA(TBL_TEV[Data])+1)-365, "Ultimi 12 mesi", "Vecchi dati")</f>
        <v>Vecchi dati</v>
      </c>
      <c r="Q152" s="12"/>
    </row>
    <row r="153" spans="1:17">
      <c r="A153">
        <v>20240801</v>
      </c>
      <c r="B153">
        <v>1.497601</v>
      </c>
      <c r="C153">
        <v>0.33400000000000002</v>
      </c>
      <c r="D153">
        <v>0.68085799999999996</v>
      </c>
      <c r="E153">
        <v>2.1852849999999999</v>
      </c>
      <c r="F153">
        <v>3.1564869999999998</v>
      </c>
      <c r="G153">
        <v>2.4945200000000001</v>
      </c>
      <c r="H153">
        <f>TBL_Dati_OS[[#This Row],[Valore Volatilità]]</f>
        <v>7.5573549246942049</v>
      </c>
      <c r="I153">
        <v>0.414488999999999</v>
      </c>
      <c r="J153">
        <v>1.48266599999999</v>
      </c>
      <c r="K153">
        <v>2.8574220000000001</v>
      </c>
      <c r="L153" s="6">
        <f>DATE(LEFT(TBL_TEV[[#This Row],[Data]],4),MID(TBL_TEV[[#This Row],[Data]],5,2),RIGHT(TBL_TEV[[#This Row],[Data]],2))</f>
        <v>45505</v>
      </c>
      <c r="M153" t="str" cm="1">
        <f t="array" aca="1" ref="M153" ca="1">IF(_xlfn.SINGLE(TBL_TEV[Data2])&gt;=INDIRECT("L"&amp;COUNTA(TBL_TEV[Data])+1)-365, "Ultimi 12 mesi", "Vecchi dati")</f>
        <v>Vecchi dati</v>
      </c>
      <c r="Q153" s="12"/>
    </row>
    <row r="154" spans="1:17">
      <c r="A154">
        <v>20240802</v>
      </c>
      <c r="B154">
        <v>1.466963</v>
      </c>
      <c r="C154">
        <v>0.34606399999999998</v>
      </c>
      <c r="D154">
        <v>0.67974599999999996</v>
      </c>
      <c r="E154">
        <v>2.1498849999999998</v>
      </c>
      <c r="F154">
        <v>3.1123560000000001</v>
      </c>
      <c r="G154">
        <v>2.4870589999999999</v>
      </c>
      <c r="H154">
        <f>TBL_Dati_OS[[#This Row],[Valore Volatilità]]</f>
        <v>7.5672671981121598</v>
      </c>
      <c r="I154">
        <v>0.41020299999999899</v>
      </c>
      <c r="J154">
        <v>1.4656799999999901</v>
      </c>
      <c r="K154">
        <v>2.8482150000000002</v>
      </c>
      <c r="L154" s="6">
        <f>DATE(LEFT(TBL_TEV[[#This Row],[Data]],4),MID(TBL_TEV[[#This Row],[Data]],5,2),RIGHT(TBL_TEV[[#This Row],[Data]],2))</f>
        <v>45506</v>
      </c>
      <c r="M154" t="str" cm="1">
        <f t="array" aca="1" ref="M154" ca="1">IF(_xlfn.SINGLE(TBL_TEV[Data2])&gt;=INDIRECT("L"&amp;COUNTA(TBL_TEV[Data])+1)-365, "Ultimi 12 mesi", "Vecchi dati")</f>
        <v>Vecchi dati</v>
      </c>
      <c r="Q154" s="12"/>
    </row>
    <row r="155" spans="1:17">
      <c r="A155">
        <v>20240805</v>
      </c>
      <c r="B155">
        <v>1.4366429999999999</v>
      </c>
      <c r="C155">
        <v>0.34908</v>
      </c>
      <c r="D155">
        <v>0.682921</v>
      </c>
      <c r="E155">
        <v>2.124962</v>
      </c>
      <c r="F155">
        <v>3.1039430000000001</v>
      </c>
      <c r="G155">
        <v>2.4341970000000002</v>
      </c>
      <c r="H155">
        <f>TBL_Dati_OS[[#This Row],[Valore Volatilità]]</f>
        <v>7.7653740971011427</v>
      </c>
      <c r="I155">
        <v>0.40591699999999897</v>
      </c>
      <c r="J155">
        <v>1.4486939999999899</v>
      </c>
      <c r="K155">
        <v>2.8390080000000002</v>
      </c>
      <c r="L155" s="6">
        <f>DATE(LEFT(TBL_TEV[[#This Row],[Data]],4),MID(TBL_TEV[[#This Row],[Data]],5,2),RIGHT(TBL_TEV[[#This Row],[Data]],2))</f>
        <v>45509</v>
      </c>
      <c r="M155" t="str" cm="1">
        <f t="array" aca="1" ref="M155" ca="1">IF(_xlfn.SINGLE(TBL_TEV[Data2])&gt;=INDIRECT("L"&amp;COUNTA(TBL_TEV[Data])+1)-365, "Ultimi 12 mesi", "Vecchi dati")</f>
        <v>Vecchi dati</v>
      </c>
      <c r="Q155" s="12"/>
    </row>
    <row r="156" spans="1:17">
      <c r="A156">
        <v>20240806</v>
      </c>
      <c r="B156">
        <v>1.4777579999999999</v>
      </c>
      <c r="C156">
        <v>0.34765200000000002</v>
      </c>
      <c r="D156">
        <v>0.69816100000000003</v>
      </c>
      <c r="E156">
        <v>2.1811569999999998</v>
      </c>
      <c r="F156">
        <v>3.2015709999999999</v>
      </c>
      <c r="G156">
        <v>2.4622950000000001</v>
      </c>
      <c r="H156">
        <f>TBL_Dati_OS[[#This Row],[Valore Volatilità]]</f>
        <v>8.053783222655392</v>
      </c>
      <c r="I156">
        <v>0.40163099999999902</v>
      </c>
      <c r="J156">
        <v>1.43170799999999</v>
      </c>
      <c r="K156">
        <v>2.8298009999999998</v>
      </c>
      <c r="L156" s="6">
        <f>DATE(LEFT(TBL_TEV[[#This Row],[Data]],4),MID(TBL_TEV[[#This Row],[Data]],5,2),RIGHT(TBL_TEV[[#This Row],[Data]],2))</f>
        <v>45510</v>
      </c>
      <c r="M156" t="str" cm="1">
        <f t="array" aca="1" ref="M156" ca="1">IF(_xlfn.SINGLE(TBL_TEV[Data2])&gt;=INDIRECT("L"&amp;COUNTA(TBL_TEV[Data])+1)-365, "Ultimi 12 mesi", "Vecchi dati")</f>
        <v>Vecchi dati</v>
      </c>
      <c r="Q156" s="12"/>
    </row>
    <row r="157" spans="1:17">
      <c r="A157">
        <v>20240807</v>
      </c>
      <c r="B157">
        <v>1.509666</v>
      </c>
      <c r="C157">
        <v>0.34860400000000002</v>
      </c>
      <c r="D157">
        <v>0.70832099999999998</v>
      </c>
      <c r="E157">
        <v>2.239258</v>
      </c>
      <c r="F157">
        <v>3.2704659999999999</v>
      </c>
      <c r="G157">
        <v>2.4305460000000001</v>
      </c>
      <c r="H157">
        <f>TBL_Dati_OS[[#This Row],[Valore Volatilità]]</f>
        <v>7.9427921429789734</v>
      </c>
      <c r="I157">
        <v>0.397344999999999</v>
      </c>
      <c r="J157">
        <v>1.41472199999999</v>
      </c>
      <c r="K157">
        <v>2.8205939999999998</v>
      </c>
      <c r="L157" s="6">
        <f>DATE(LEFT(TBL_TEV[[#This Row],[Data]],4),MID(TBL_TEV[[#This Row],[Data]],5,2),RIGHT(TBL_TEV[[#This Row],[Data]],2))</f>
        <v>45511</v>
      </c>
      <c r="M157" t="str" cm="1">
        <f t="array" aca="1" ref="M157" ca="1">IF(_xlfn.SINGLE(TBL_TEV[Data2])&gt;=INDIRECT("L"&amp;COUNTA(TBL_TEV[Data])+1)-365, "Ultimi 12 mesi", "Vecchi dati")</f>
        <v>Vecchi dati</v>
      </c>
      <c r="Q157" s="12"/>
    </row>
    <row r="158" spans="1:17">
      <c r="A158">
        <v>20240808</v>
      </c>
      <c r="B158">
        <v>1.5222070000000001</v>
      </c>
      <c r="C158">
        <v>0.346858</v>
      </c>
      <c r="D158">
        <v>0.71070199999999994</v>
      </c>
      <c r="E158">
        <v>2.243862</v>
      </c>
      <c r="F158">
        <v>3.2669739999999998</v>
      </c>
      <c r="G158">
        <v>2.482297</v>
      </c>
      <c r="H158">
        <f>TBL_Dati_OS[[#This Row],[Valore Volatilità]]</f>
        <v>8.2433568804668056</v>
      </c>
      <c r="I158">
        <v>0.39305899999999899</v>
      </c>
      <c r="J158">
        <v>1.3977359999999901</v>
      </c>
      <c r="K158">
        <v>2.8113869999999999</v>
      </c>
      <c r="L158" s="6">
        <f>DATE(LEFT(TBL_TEV[[#This Row],[Data]],4),MID(TBL_TEV[[#This Row],[Data]],5,2),RIGHT(TBL_TEV[[#This Row],[Data]],2))</f>
        <v>45512</v>
      </c>
      <c r="M158" t="str" cm="1">
        <f t="array" aca="1" ref="M158" ca="1">IF(_xlfn.SINGLE(TBL_TEV[Data2])&gt;=INDIRECT("L"&amp;COUNTA(TBL_TEV[Data])+1)-365, "Ultimi 12 mesi", "Vecchi dati")</f>
        <v>Vecchi dati</v>
      </c>
      <c r="Q158" s="12"/>
    </row>
    <row r="159" spans="1:17">
      <c r="A159">
        <v>20240809</v>
      </c>
      <c r="B159">
        <v>1.53189</v>
      </c>
      <c r="C159">
        <v>0.34511199999999997</v>
      </c>
      <c r="D159">
        <v>0.712924</v>
      </c>
      <c r="E159">
        <v>2.253228</v>
      </c>
      <c r="F159">
        <v>3.2899919999999998</v>
      </c>
      <c r="G159">
        <v>2.468486</v>
      </c>
      <c r="H159">
        <f>TBL_Dati_OS[[#This Row],[Valore Volatilità]]</f>
        <v>8.1190776287659467</v>
      </c>
      <c r="I159">
        <v>0.38877299999999898</v>
      </c>
      <c r="J159">
        <v>1.3807499999999899</v>
      </c>
      <c r="K159">
        <v>2.8021799999999999</v>
      </c>
      <c r="L159" s="6">
        <f>DATE(LEFT(TBL_TEV[[#This Row],[Data]],4),MID(TBL_TEV[[#This Row],[Data]],5,2),RIGHT(TBL_TEV[[#This Row],[Data]],2))</f>
        <v>45513</v>
      </c>
      <c r="M159" t="str" cm="1">
        <f t="array" aca="1" ref="M159" ca="1">IF(_xlfn.SINGLE(TBL_TEV[Data2])&gt;=INDIRECT("L"&amp;COUNTA(TBL_TEV[Data])+1)-365, "Ultimi 12 mesi", "Vecchi dati")</f>
        <v>Vecchi dati</v>
      </c>
      <c r="Q159" s="12"/>
    </row>
    <row r="160" spans="1:17">
      <c r="A160">
        <v>20240812</v>
      </c>
      <c r="B160">
        <v>1.5382400000000001</v>
      </c>
      <c r="C160">
        <v>0.34114299999999997</v>
      </c>
      <c r="D160">
        <v>0.71578200000000003</v>
      </c>
      <c r="E160">
        <v>2.2587839999999999</v>
      </c>
      <c r="F160">
        <v>3.3076120000000002</v>
      </c>
      <c r="G160">
        <v>2.5111880000000002</v>
      </c>
      <c r="H160">
        <f>TBL_Dati_OS[[#This Row],[Valore Volatilità]]</f>
        <v>8.0690069440459649</v>
      </c>
      <c r="I160">
        <v>0.38448699999999902</v>
      </c>
      <c r="J160">
        <v>1.36376399999999</v>
      </c>
      <c r="K160">
        <v>2.7929729999999999</v>
      </c>
      <c r="L160" s="6">
        <f>DATE(LEFT(TBL_TEV[[#This Row],[Data]],4),MID(TBL_TEV[[#This Row],[Data]],5,2),RIGHT(TBL_TEV[[#This Row],[Data]],2))</f>
        <v>45516</v>
      </c>
      <c r="M160" t="str" cm="1">
        <f t="array" aca="1" ref="M160" ca="1">IF(_xlfn.SINGLE(TBL_TEV[Data2])&gt;=INDIRECT("L"&amp;COUNTA(TBL_TEV[Data])+1)-365, "Ultimi 12 mesi", "Vecchi dati")</f>
        <v>Vecchi dati</v>
      </c>
      <c r="Q160" s="12"/>
    </row>
    <row r="161" spans="1:17">
      <c r="A161">
        <v>20240813</v>
      </c>
      <c r="B161">
        <v>1.5760209999999999</v>
      </c>
      <c r="C161">
        <v>0.340667</v>
      </c>
      <c r="D161">
        <v>0.73197400000000001</v>
      </c>
      <c r="E161">
        <v>2.2952949999999999</v>
      </c>
      <c r="F161">
        <v>3.3596810000000001</v>
      </c>
      <c r="G161">
        <v>2.5659550000000002</v>
      </c>
      <c r="H161">
        <f>TBL_Dati_OS[[#This Row],[Valore Volatilità]]</f>
        <v>8.3782527845144621</v>
      </c>
      <c r="I161">
        <v>0.38020099999999901</v>
      </c>
      <c r="J161">
        <v>1.34677799999999</v>
      </c>
      <c r="K161">
        <v>2.783766</v>
      </c>
      <c r="L161" s="6">
        <f>DATE(LEFT(TBL_TEV[[#This Row],[Data]],4),MID(TBL_TEV[[#This Row],[Data]],5,2),RIGHT(TBL_TEV[[#This Row],[Data]],2))</f>
        <v>45517</v>
      </c>
      <c r="M161" t="str" cm="1">
        <f t="array" aca="1" ref="M161" ca="1">IF(_xlfn.SINGLE(TBL_TEV[Data2])&gt;=INDIRECT("L"&amp;COUNTA(TBL_TEV[Data])+1)-365, "Ultimi 12 mesi", "Vecchi dati")</f>
        <v>Vecchi dati</v>
      </c>
      <c r="Q161" s="12"/>
    </row>
    <row r="162" spans="1:17">
      <c r="A162">
        <v>20240814</v>
      </c>
      <c r="B162">
        <v>1.573005</v>
      </c>
      <c r="C162">
        <v>0.33828599999999998</v>
      </c>
      <c r="D162">
        <v>0.73197400000000001</v>
      </c>
      <c r="E162">
        <v>2.289898</v>
      </c>
      <c r="F162">
        <v>3.3503150000000002</v>
      </c>
      <c r="G162">
        <v>2.5613519999999999</v>
      </c>
      <c r="H162">
        <f>TBL_Dati_OS[[#This Row],[Valore Volatilità]]</f>
        <v>8.3473488693364057</v>
      </c>
      <c r="I162">
        <v>0.375914999999999</v>
      </c>
      <c r="J162">
        <v>1.3297919999999901</v>
      </c>
      <c r="K162">
        <v>2.774559</v>
      </c>
      <c r="L162" s="6">
        <f>DATE(LEFT(TBL_TEV[[#This Row],[Data]],4),MID(TBL_TEV[[#This Row],[Data]],5,2),RIGHT(TBL_TEV[[#This Row],[Data]],2))</f>
        <v>45518</v>
      </c>
      <c r="M162" t="str" cm="1">
        <f t="array" aca="1" ref="M162" ca="1">IF(_xlfn.SINGLE(TBL_TEV[Data2])&gt;=INDIRECT("L"&amp;COUNTA(TBL_TEV[Data])+1)-365, "Ultimi 12 mesi", "Vecchi dati")</f>
        <v>Vecchi dati</v>
      </c>
      <c r="Q162" s="12"/>
    </row>
    <row r="163" spans="1:17">
      <c r="A163">
        <v>20240815</v>
      </c>
      <c r="B163">
        <v>1.586657</v>
      </c>
      <c r="C163">
        <v>0.342254</v>
      </c>
      <c r="D163">
        <v>0.73229100000000003</v>
      </c>
      <c r="E163">
        <v>2.2959299999999998</v>
      </c>
      <c r="F163">
        <v>3.3434889999999999</v>
      </c>
      <c r="G163">
        <v>2.5792899999999999</v>
      </c>
      <c r="H163">
        <f>TBL_Dati_OS[[#This Row],[Valore Volatilità]]</f>
        <v>8.3473488693364057</v>
      </c>
      <c r="I163">
        <v>0.37162899999999899</v>
      </c>
      <c r="J163">
        <v>1.3128059999999899</v>
      </c>
      <c r="K163">
        <v>2.765352</v>
      </c>
      <c r="L163" s="6">
        <f>DATE(LEFT(TBL_TEV[[#This Row],[Data]],4),MID(TBL_TEV[[#This Row],[Data]],5,2),RIGHT(TBL_TEV[[#This Row],[Data]],2))</f>
        <v>45519</v>
      </c>
      <c r="M163" t="str" cm="1">
        <f t="array" aca="1" ref="M163" ca="1">IF(_xlfn.SINGLE(TBL_TEV[Data2])&gt;=INDIRECT("L"&amp;COUNTA(TBL_TEV[Data])+1)-365, "Ultimi 12 mesi", "Vecchi dati")</f>
        <v>Vecchi dati</v>
      </c>
      <c r="Q163" s="12"/>
    </row>
    <row r="164" spans="1:17">
      <c r="A164">
        <v>20240816</v>
      </c>
      <c r="B164">
        <v>1.6018969999999999</v>
      </c>
      <c r="C164">
        <v>0.33987299999999998</v>
      </c>
      <c r="D164">
        <v>0.73435499999999998</v>
      </c>
      <c r="E164">
        <v>2.3140269999999998</v>
      </c>
      <c r="F164">
        <v>3.3661889999999999</v>
      </c>
      <c r="G164">
        <v>2.5764330000000002</v>
      </c>
      <c r="H164">
        <f>TBL_Dati_OS[[#This Row],[Valore Volatilità]]</f>
        <v>8.428614653581203</v>
      </c>
      <c r="I164">
        <v>0.36734299999999898</v>
      </c>
      <c r="J164">
        <v>1.29581999999999</v>
      </c>
      <c r="K164">
        <v>2.7561450000000001</v>
      </c>
      <c r="L164" s="6">
        <f>DATE(LEFT(TBL_TEV[[#This Row],[Data]],4),MID(TBL_TEV[[#This Row],[Data]],5,2),RIGHT(TBL_TEV[[#This Row],[Data]],2))</f>
        <v>45520</v>
      </c>
      <c r="M164" t="str" cm="1">
        <f t="array" aca="1" ref="M164" ca="1">IF(_xlfn.SINGLE(TBL_TEV[Data2])&gt;=INDIRECT("L"&amp;COUNTA(TBL_TEV[Data])+1)-365, "Ultimi 12 mesi", "Vecchi dati")</f>
        <v>Vecchi dati</v>
      </c>
      <c r="Q164" s="12"/>
    </row>
    <row r="165" spans="1:17">
      <c r="A165">
        <v>20240819</v>
      </c>
      <c r="B165">
        <v>1.6042780000000001</v>
      </c>
      <c r="C165">
        <v>0.33638099999999999</v>
      </c>
      <c r="D165">
        <v>0.73530700000000004</v>
      </c>
      <c r="E165">
        <v>2.3060900000000002</v>
      </c>
      <c r="F165">
        <v>3.3534899999999999</v>
      </c>
      <c r="G165">
        <v>2.5937359999999998</v>
      </c>
      <c r="H165">
        <f>TBL_Dati_OS[[#This Row],[Valore Volatilità]]</f>
        <v>8.4402237980497006</v>
      </c>
      <c r="I165">
        <v>0.36305699999999902</v>
      </c>
      <c r="J165">
        <v>1.27883399999999</v>
      </c>
      <c r="K165">
        <v>2.7469380000000001</v>
      </c>
      <c r="L165" s="6">
        <f>DATE(LEFT(TBL_TEV[[#This Row],[Data]],4),MID(TBL_TEV[[#This Row],[Data]],5,2),RIGHT(TBL_TEV[[#This Row],[Data]],2))</f>
        <v>45523</v>
      </c>
      <c r="M165" t="str" cm="1">
        <f t="array" aca="1" ref="M165" ca="1">IF(_xlfn.SINGLE(TBL_TEV[Data2])&gt;=INDIRECT("L"&amp;COUNTA(TBL_TEV[Data])+1)-365, "Ultimi 12 mesi", "Vecchi dati")</f>
        <v>Vecchi dati</v>
      </c>
      <c r="Q165" s="12"/>
    </row>
    <row r="166" spans="1:17">
      <c r="A166">
        <v>20240820</v>
      </c>
      <c r="B166">
        <v>1.5818950000000001</v>
      </c>
      <c r="C166">
        <v>0.33511099999999999</v>
      </c>
      <c r="D166">
        <v>0.73086200000000001</v>
      </c>
      <c r="E166">
        <v>2.274499</v>
      </c>
      <c r="F166">
        <v>3.2730060000000001</v>
      </c>
      <c r="G166">
        <v>2.6083400000000001</v>
      </c>
      <c r="H166">
        <f>TBL_Dati_OS[[#This Row],[Valore Volatilità]]</f>
        <v>8.4355138205479161</v>
      </c>
      <c r="I166">
        <v>0.35877099999999901</v>
      </c>
      <c r="J166">
        <v>1.2618479999999901</v>
      </c>
      <c r="K166">
        <v>2.7377310000000001</v>
      </c>
      <c r="L166" s="6">
        <f>DATE(LEFT(TBL_TEV[[#This Row],[Data]],4),MID(TBL_TEV[[#This Row],[Data]],5,2),RIGHT(TBL_TEV[[#This Row],[Data]],2))</f>
        <v>45524</v>
      </c>
      <c r="M166" t="str" cm="1">
        <f t="array" aca="1" ref="M166" ca="1">IF(_xlfn.SINGLE(TBL_TEV[Data2])&gt;=INDIRECT("L"&amp;COUNTA(TBL_TEV[Data])+1)-365, "Ultimi 12 mesi", "Vecchi dati")</f>
        <v>Vecchi dati</v>
      </c>
      <c r="Q166" s="12"/>
    </row>
    <row r="167" spans="1:17">
      <c r="A167">
        <v>20240821</v>
      </c>
      <c r="B167">
        <v>1.578244</v>
      </c>
      <c r="C167">
        <v>0.33273000000000003</v>
      </c>
      <c r="D167">
        <v>0.73260899999999995</v>
      </c>
      <c r="E167">
        <v>2.262276</v>
      </c>
      <c r="F167">
        <v>3.2509399999999999</v>
      </c>
      <c r="G167">
        <v>2.601197</v>
      </c>
      <c r="H167">
        <f>TBL_Dati_OS[[#This Row],[Valore Volatilità]]</f>
        <v>8.3349283088163464</v>
      </c>
      <c r="I167">
        <v>0.354484999999999</v>
      </c>
      <c r="J167">
        <v>1.2448619999999899</v>
      </c>
      <c r="K167">
        <v>2.7285240000000002</v>
      </c>
      <c r="L167" s="6">
        <f>DATE(LEFT(TBL_TEV[[#This Row],[Data]],4),MID(TBL_TEV[[#This Row],[Data]],5,2),RIGHT(TBL_TEV[[#This Row],[Data]],2))</f>
        <v>45525</v>
      </c>
      <c r="M167" t="str" cm="1">
        <f t="array" aca="1" ref="M167" ca="1">IF(_xlfn.SINGLE(TBL_TEV[Data2])&gt;=INDIRECT("L"&amp;COUNTA(TBL_TEV[Data])+1)-365, "Ultimi 12 mesi", "Vecchi dati")</f>
        <v>Vecchi dati</v>
      </c>
      <c r="Q167" s="12"/>
    </row>
    <row r="168" spans="1:17">
      <c r="A168">
        <v>20240822</v>
      </c>
      <c r="B168">
        <v>1.5558609999999999</v>
      </c>
      <c r="C168">
        <v>0.33145999999999998</v>
      </c>
      <c r="D168">
        <v>0.72324299999999997</v>
      </c>
      <c r="E168">
        <v>2.2379880000000001</v>
      </c>
      <c r="F168">
        <v>3.219033</v>
      </c>
      <c r="G168">
        <v>2.5648439999999999</v>
      </c>
      <c r="H168">
        <f>TBL_Dati_OS[[#This Row],[Valore Volatilità]]</f>
        <v>8.2028768821223697</v>
      </c>
      <c r="I168">
        <v>0.35019899999999898</v>
      </c>
      <c r="J168">
        <v>1.22787599999999</v>
      </c>
      <c r="K168">
        <v>2.7193170000000002</v>
      </c>
      <c r="L168" s="6">
        <f>DATE(LEFT(TBL_TEV[[#This Row],[Data]],4),MID(TBL_TEV[[#This Row],[Data]],5,2),RIGHT(TBL_TEV[[#This Row],[Data]],2))</f>
        <v>45526</v>
      </c>
      <c r="M168" t="str" cm="1">
        <f t="array" aca="1" ref="M168" ca="1">IF(_xlfn.SINGLE(TBL_TEV[Data2])&gt;=INDIRECT("L"&amp;COUNTA(TBL_TEV[Data])+1)-365, "Ultimi 12 mesi", "Vecchi dati")</f>
        <v>Vecchi dati</v>
      </c>
      <c r="Q168" s="12"/>
    </row>
    <row r="169" spans="1:17">
      <c r="A169">
        <v>20240823</v>
      </c>
      <c r="B169">
        <v>1.5698300000000001</v>
      </c>
      <c r="C169">
        <v>0.329237</v>
      </c>
      <c r="D169">
        <v>0.72975100000000004</v>
      </c>
      <c r="E169">
        <v>2.2497349999999998</v>
      </c>
      <c r="F169">
        <v>3.2318910000000001</v>
      </c>
      <c r="G169">
        <v>2.5870690000000001</v>
      </c>
      <c r="H169">
        <f>TBL_Dati_OS[[#This Row],[Valore Volatilità]]</f>
        <v>8.2126407098167906</v>
      </c>
      <c r="I169">
        <v>0.34591299999999903</v>
      </c>
      <c r="J169">
        <v>1.21088999999999</v>
      </c>
      <c r="K169">
        <v>2.7101099999999998</v>
      </c>
      <c r="L169" s="6">
        <f>DATE(LEFT(TBL_TEV[[#This Row],[Data]],4),MID(TBL_TEV[[#This Row],[Data]],5,2),RIGHT(TBL_TEV[[#This Row],[Data]],2))</f>
        <v>45527</v>
      </c>
      <c r="M169" t="str" cm="1">
        <f t="array" aca="1" ref="M169" ca="1">IF(_xlfn.SINGLE(TBL_TEV[Data2])&gt;=INDIRECT("L"&amp;COUNTA(TBL_TEV[Data])+1)-365, "Ultimi 12 mesi", "Vecchi dati")</f>
        <v>Vecchi dati</v>
      </c>
      <c r="Q169" s="12"/>
    </row>
    <row r="170" spans="1:17">
      <c r="A170">
        <v>20240826</v>
      </c>
      <c r="B170">
        <v>1.554273</v>
      </c>
      <c r="C170">
        <v>0.32622099999999998</v>
      </c>
      <c r="D170">
        <v>0.72355999999999998</v>
      </c>
      <c r="E170">
        <v>2.234178</v>
      </c>
      <c r="F170">
        <v>3.2112539999999998</v>
      </c>
      <c r="G170">
        <v>2.5615109999999999</v>
      </c>
      <c r="H170">
        <f>TBL_Dati_OS[[#This Row],[Valore Volatilità]]</f>
        <v>8.1239165341947146</v>
      </c>
      <c r="I170">
        <v>0.34162699999999901</v>
      </c>
      <c r="J170">
        <v>1.1939039999999901</v>
      </c>
      <c r="K170">
        <v>2.7009029999999998</v>
      </c>
      <c r="L170" s="6">
        <f>DATE(LEFT(TBL_TEV[[#This Row],[Data]],4),MID(TBL_TEV[[#This Row],[Data]],5,2),RIGHT(TBL_TEV[[#This Row],[Data]],2))</f>
        <v>45530</v>
      </c>
      <c r="M170" t="str" cm="1">
        <f t="array" aca="1" ref="M170" ca="1">IF(_xlfn.SINGLE(TBL_TEV[Data2])&gt;=INDIRECT("L"&amp;COUNTA(TBL_TEV[Data])+1)-365, "Ultimi 12 mesi", "Vecchi dati")</f>
        <v>Vecchi dati</v>
      </c>
      <c r="Q170" s="12"/>
    </row>
    <row r="171" spans="1:17">
      <c r="A171">
        <v>20240827</v>
      </c>
      <c r="B171" s="4">
        <v>1.5485580000000001</v>
      </c>
      <c r="C171" s="5">
        <v>0.32161800000000001</v>
      </c>
      <c r="D171" s="5">
        <v>0.72228999999999999</v>
      </c>
      <c r="E171" s="5">
        <v>2.2152880000000001</v>
      </c>
      <c r="F171" s="5">
        <v>3.173473</v>
      </c>
      <c r="G171" s="5">
        <v>2.5626220000000002</v>
      </c>
      <c r="H171" s="5">
        <f>TBL_Dati_OS[[#This Row],[Valore Volatilità]]</f>
        <v>8.1381943213218371</v>
      </c>
      <c r="I171">
        <v>0.337340999999999</v>
      </c>
      <c r="J171">
        <v>1.1769179999999899</v>
      </c>
      <c r="K171">
        <v>2.6916959999999999</v>
      </c>
      <c r="L171" s="6">
        <f>DATE(LEFT(TBL_TEV[[#This Row],[Data]],4),MID(TBL_TEV[[#This Row],[Data]],5,2),RIGHT(TBL_TEV[[#This Row],[Data]],2))</f>
        <v>45531</v>
      </c>
      <c r="M171" t="str" cm="1">
        <f t="array" aca="1" ref="M171" ca="1">IF(_xlfn.SINGLE(TBL_TEV[Data2])&gt;=INDIRECT("L"&amp;COUNTA(TBL_TEV[Data])+1)-365, "Ultimi 12 mesi", "Vecchi dati")</f>
        <v>Vecchi dati</v>
      </c>
      <c r="Q171" s="12"/>
    </row>
    <row r="172" spans="1:17">
      <c r="A172">
        <v>20240828</v>
      </c>
      <c r="B172" s="4">
        <v>1.533954</v>
      </c>
      <c r="C172" s="5">
        <v>0.31971300000000002</v>
      </c>
      <c r="D172" s="5">
        <v>0.71832099999999999</v>
      </c>
      <c r="E172" s="5">
        <v>2.1963970000000002</v>
      </c>
      <c r="F172" s="5">
        <v>3.1493440000000001</v>
      </c>
      <c r="G172" s="5">
        <v>2.532778</v>
      </c>
      <c r="H172" s="5">
        <f>TBL_Dati_OS[[#This Row],[Valore Volatilità]]</f>
        <v>7.7874708578690157</v>
      </c>
      <c r="I172">
        <v>0.33305499999999899</v>
      </c>
      <c r="J172">
        <v>1.15993199999999</v>
      </c>
      <c r="K172">
        <v>2.6824889999999999</v>
      </c>
      <c r="L172" s="6">
        <f>DATE(LEFT(TBL_TEV[[#This Row],[Data]],4),MID(TBL_TEV[[#This Row],[Data]],5,2),RIGHT(TBL_TEV[[#This Row],[Data]],2))</f>
        <v>45532</v>
      </c>
      <c r="M172" t="str" cm="1">
        <f t="array" aca="1" ref="M172" ca="1">IF(_xlfn.SINGLE(TBL_TEV[Data2])&gt;=INDIRECT("L"&amp;COUNTA(TBL_TEV[Data])+1)-365, "Ultimi 12 mesi", "Vecchi dati")</f>
        <v>Vecchi dati</v>
      </c>
      <c r="Q172" s="12"/>
    </row>
    <row r="173" spans="1:17">
      <c r="A173">
        <v>20240829</v>
      </c>
      <c r="B173" s="4">
        <v>1.518238</v>
      </c>
      <c r="C173" s="5">
        <v>0.31828400000000001</v>
      </c>
      <c r="D173" s="5">
        <v>0.71641699999999997</v>
      </c>
      <c r="E173" s="5">
        <v>2.1768709999999998</v>
      </c>
      <c r="F173" s="5">
        <v>3.1098159999999999</v>
      </c>
      <c r="G173" s="5">
        <v>2.477217</v>
      </c>
      <c r="H173" s="5">
        <f>TBL_Dati_OS[[#This Row],[Valore Volatilità]]</f>
        <v>8.0872545533716451</v>
      </c>
      <c r="I173">
        <v>0.32876899999999898</v>
      </c>
      <c r="J173">
        <v>1.14294599999999</v>
      </c>
      <c r="K173">
        <v>2.6732819999999999</v>
      </c>
      <c r="L173" s="6">
        <f>DATE(LEFT(TBL_TEV[[#This Row],[Data]],4),MID(TBL_TEV[[#This Row],[Data]],5,2),RIGHT(TBL_TEV[[#This Row],[Data]],2))</f>
        <v>45533</v>
      </c>
      <c r="M173" t="str" cm="1">
        <f t="array" aca="1" ref="M173" ca="1">IF(_xlfn.SINGLE(TBL_TEV[Data2])&gt;=INDIRECT("L"&amp;COUNTA(TBL_TEV[Data])+1)-365, "Ultimi 12 mesi", "Vecchi dati")</f>
        <v>Vecchi dati</v>
      </c>
      <c r="Q173" s="12"/>
    </row>
    <row r="174" spans="1:17">
      <c r="A174">
        <v>20240830</v>
      </c>
      <c r="B174" s="4">
        <v>1.509031</v>
      </c>
      <c r="C174" s="5">
        <v>0.36479600000000001</v>
      </c>
      <c r="D174" s="5">
        <v>0.68609600000000004</v>
      </c>
      <c r="E174" s="5">
        <v>2.165124</v>
      </c>
      <c r="F174" s="5">
        <v>3.0950530000000001</v>
      </c>
      <c r="G174" s="5">
        <v>2.4662639999999998</v>
      </c>
      <c r="H174" s="5">
        <f>TBL_Dati_OS[[#This Row],[Valore Volatilità]]</f>
        <v>8.0511737429014563</v>
      </c>
      <c r="I174">
        <v>0.32448299999999902</v>
      </c>
      <c r="J174">
        <v>1.1259599999999901</v>
      </c>
      <c r="K174">
        <v>2.664075</v>
      </c>
      <c r="L174" s="6">
        <f>DATE(LEFT(TBL_TEV[[#This Row],[Data]],4),MID(TBL_TEV[[#This Row],[Data]],5,2),RIGHT(TBL_TEV[[#This Row],[Data]],2))</f>
        <v>45534</v>
      </c>
      <c r="M174" t="str" cm="1">
        <f t="array" aca="1" ref="M174" ca="1">IF(_xlfn.SINGLE(TBL_TEV[Data2])&gt;=INDIRECT("L"&amp;COUNTA(TBL_TEV[Data])+1)-365, "Ultimi 12 mesi", "Vecchi dati")</f>
        <v>Vecchi dati</v>
      </c>
      <c r="Q174" s="12"/>
    </row>
    <row r="175" spans="1:17">
      <c r="A175">
        <v>20240902</v>
      </c>
      <c r="B175" s="4">
        <v>1.5074430000000001</v>
      </c>
      <c r="C175" s="5">
        <v>0.366701</v>
      </c>
      <c r="D175" s="5">
        <v>0.68387399999999998</v>
      </c>
      <c r="E175" s="5">
        <v>2.1581389999999998</v>
      </c>
      <c r="F175" s="5">
        <v>3.0790199999999999</v>
      </c>
      <c r="G175" s="5">
        <v>2.4586440000000001</v>
      </c>
      <c r="H175" s="5">
        <f>TBL_Dati_OS[[#This Row],[Valore Volatilità]]</f>
        <v>7.8824401661900172</v>
      </c>
      <c r="I175">
        <v>0.72244900000000001</v>
      </c>
      <c r="J175">
        <v>2.0825770000000001</v>
      </c>
      <c r="K175">
        <v>2.9572620000000001</v>
      </c>
      <c r="L175" s="6">
        <f>DATE(LEFT(TBL_TEV[[#This Row],[Data]],4),MID(TBL_TEV[[#This Row],[Data]],5,2),RIGHT(TBL_TEV[[#This Row],[Data]],2))</f>
        <v>45537</v>
      </c>
      <c r="M175" t="str" cm="1">
        <f t="array" aca="1" ref="M175" ca="1">IF(_xlfn.SINGLE(TBL_TEV[Data2])&gt;=INDIRECT("L"&amp;COUNTA(TBL_TEV[Data])+1)-365, "Ultimi 12 mesi", "Vecchi dati")</f>
        <v>Vecchi dati</v>
      </c>
      <c r="Q175" s="12"/>
    </row>
    <row r="176" spans="1:17">
      <c r="A176">
        <v>20240903</v>
      </c>
      <c r="B176" s="7">
        <v>1.4672810000000001</v>
      </c>
      <c r="C176" s="8">
        <v>0.36527199999999999</v>
      </c>
      <c r="D176" s="8">
        <v>0.67260299999999995</v>
      </c>
      <c r="E176" s="8">
        <v>2.1208339999999999</v>
      </c>
      <c r="F176" s="8">
        <v>3.0390160000000002</v>
      </c>
      <c r="G176" s="8">
        <v>2.398479</v>
      </c>
      <c r="H176" s="8">
        <f>TBL_Dati_OS[[#This Row],[Valore Volatilità]]</f>
        <v>7.7238496566245347</v>
      </c>
      <c r="I176">
        <v>0.72244900000000001</v>
      </c>
      <c r="J176">
        <v>2.0825770000000001</v>
      </c>
      <c r="K176">
        <v>2.9572620000000001</v>
      </c>
      <c r="L176" s="6">
        <f>DATE(LEFT(TBL_TEV[[#This Row],[Data]],4),MID(TBL_TEV[[#This Row],[Data]],5,2),RIGHT(TBL_TEV[[#This Row],[Data]],2))</f>
        <v>45538</v>
      </c>
      <c r="M176" t="str" cm="1">
        <f t="array" aca="1" ref="M176" ca="1">IF(_xlfn.SINGLE(TBL_TEV[Data2])&gt;=INDIRECT("L"&amp;COUNTA(TBL_TEV[Data])+1)-365, "Ultimi 12 mesi", "Vecchi dati")</f>
        <v>Vecchi dati</v>
      </c>
      <c r="Q176" s="12"/>
    </row>
    <row r="177" spans="1:17">
      <c r="A177">
        <v>20240904</v>
      </c>
      <c r="B177" s="4">
        <v>1.450771</v>
      </c>
      <c r="C177" s="5">
        <v>0.36511399999999999</v>
      </c>
      <c r="D177" s="5">
        <v>0.64402899999999996</v>
      </c>
      <c r="E177" s="5">
        <v>2.1035309999999998</v>
      </c>
      <c r="F177" s="5">
        <v>3.0093299999999998</v>
      </c>
      <c r="G177" s="5">
        <v>2.3435540000000001</v>
      </c>
      <c r="H177" s="5">
        <f>TBL_Dati_OS[[#This Row],[Valore Volatilità]]</f>
        <v>7.8403702341596615</v>
      </c>
      <c r="I177">
        <v>0.72244900000000001</v>
      </c>
      <c r="J177">
        <v>2.0825770000000001</v>
      </c>
      <c r="K177">
        <v>2.9572620000000001</v>
      </c>
      <c r="L177" s="6">
        <f>DATE(LEFT(TBL_TEV[[#This Row],[Data]],4),MID(TBL_TEV[[#This Row],[Data]],5,2),RIGHT(TBL_TEV[[#This Row],[Data]],2))</f>
        <v>45539</v>
      </c>
      <c r="M177" t="str" cm="1">
        <f t="array" aca="1" ref="M177" ca="1">IF(_xlfn.SINGLE(TBL_TEV[Data2])&gt;=INDIRECT("L"&amp;COUNTA(TBL_TEV[Data])+1)-365, "Ultimi 12 mesi", "Vecchi dati")</f>
        <v>Vecchi dati</v>
      </c>
      <c r="Q177" s="12"/>
    </row>
    <row r="178" spans="1:17">
      <c r="A178">
        <v>20240905</v>
      </c>
      <c r="B178" s="7">
        <v>1.460137</v>
      </c>
      <c r="C178" s="8">
        <v>0.42908800000000002</v>
      </c>
      <c r="D178" s="8">
        <v>0.66974500000000003</v>
      </c>
      <c r="E178" s="8">
        <v>2.111151</v>
      </c>
      <c r="F178" s="8">
        <v>3.0142519999999999</v>
      </c>
      <c r="G178" s="8">
        <v>2.3089469999999999</v>
      </c>
      <c r="H178" s="8">
        <f>TBL_Dati_OS[[#This Row],[Valore Volatilità]]</f>
        <v>7.875516067774603</v>
      </c>
      <c r="I178">
        <v>0.72244900000000001</v>
      </c>
      <c r="J178">
        <v>2.0825770000000001</v>
      </c>
      <c r="K178">
        <v>2.9572620000000001</v>
      </c>
      <c r="L178" s="6">
        <f>DATE(LEFT(TBL_TEV[[#This Row],[Data]],4),MID(TBL_TEV[[#This Row],[Data]],5,2),RIGHT(TBL_TEV[[#This Row],[Data]],2))</f>
        <v>45540</v>
      </c>
      <c r="M178" t="str" cm="1">
        <f t="array" aca="1" ref="M178" ca="1">IF(_xlfn.SINGLE(TBL_TEV[Data2])&gt;=INDIRECT("L"&amp;COUNTA(TBL_TEV[Data])+1)-365, "Ultimi 12 mesi", "Vecchi dati")</f>
        <v>Vecchi dati</v>
      </c>
      <c r="Q178" s="12"/>
    </row>
    <row r="179" spans="1:17">
      <c r="A179">
        <v>20240906</v>
      </c>
      <c r="B179" s="4">
        <v>1.473948</v>
      </c>
      <c r="C179" s="5">
        <v>0.430199</v>
      </c>
      <c r="D179" s="5">
        <v>0.67879400000000001</v>
      </c>
      <c r="E179" s="5">
        <v>2.1313110000000002</v>
      </c>
      <c r="F179" s="5">
        <v>3.0461589999999998</v>
      </c>
      <c r="G179" s="5">
        <v>2.3273619999999999</v>
      </c>
      <c r="H179" s="5">
        <f>TBL_Dati_OS[[#This Row],[Valore Volatilità]]</f>
        <v>7.6493599219594826</v>
      </c>
      <c r="I179">
        <v>0.72244900000000001</v>
      </c>
      <c r="J179">
        <v>2.0825770000000001</v>
      </c>
      <c r="K179">
        <v>2.9572620000000001</v>
      </c>
      <c r="L179" s="6">
        <f>DATE(LEFT(TBL_TEV[[#This Row],[Data]],4),MID(TBL_TEV[[#This Row],[Data]],5,2),RIGHT(TBL_TEV[[#This Row],[Data]],2))</f>
        <v>45541</v>
      </c>
      <c r="M179" t="str" cm="1">
        <f t="array" aca="1" ref="M179" ca="1">IF(_xlfn.SINGLE(TBL_TEV[Data2])&gt;=INDIRECT("L"&amp;COUNTA(TBL_TEV[Data])+1)-365, "Ultimi 12 mesi", "Vecchi dati")</f>
        <v>Vecchi dati</v>
      </c>
      <c r="Q179" s="12"/>
    </row>
    <row r="180" spans="1:17">
      <c r="A180">
        <v>20240909</v>
      </c>
      <c r="B180" s="7">
        <v>1.4799800000000001</v>
      </c>
      <c r="C180" s="8">
        <v>0.42543700000000001</v>
      </c>
      <c r="D180" s="8">
        <v>0.68212799999999996</v>
      </c>
      <c r="E180" s="8">
        <v>2.1316290000000002</v>
      </c>
      <c r="F180" s="8">
        <v>3.0434610000000002</v>
      </c>
      <c r="G180" s="8">
        <v>2.3500619999999999</v>
      </c>
      <c r="H180" s="8">
        <f>TBL_Dati_OS[[#This Row],[Valore Volatilità]]</f>
        <v>7.5656010524404662</v>
      </c>
      <c r="I180">
        <v>0.72244900000000001</v>
      </c>
      <c r="J180">
        <v>2.0825770000000001</v>
      </c>
      <c r="K180">
        <v>2.9572620000000001</v>
      </c>
      <c r="L180" s="6">
        <f>DATE(LEFT(TBL_TEV[[#This Row],[Data]],4),MID(TBL_TEV[[#This Row],[Data]],5,2),RIGHT(TBL_TEV[[#This Row],[Data]],2))</f>
        <v>45544</v>
      </c>
      <c r="M180" t="str" cm="1">
        <f t="array" aca="1" ref="M180" ca="1">IF(_xlfn.SINGLE(TBL_TEV[Data2])&gt;=INDIRECT("L"&amp;COUNTA(TBL_TEV[Data])+1)-365, "Ultimi 12 mesi", "Vecchi dati")</f>
        <v>Vecchi dati</v>
      </c>
      <c r="Q180" s="12"/>
    </row>
    <row r="181" spans="1:17">
      <c r="A181">
        <v>20240910</v>
      </c>
      <c r="B181" s="4">
        <v>1.4769639999999999</v>
      </c>
      <c r="C181" s="5">
        <v>0.42289700000000002</v>
      </c>
      <c r="D181" s="5">
        <v>0.68339799999999995</v>
      </c>
      <c r="E181" s="5">
        <v>2.1209929999999999</v>
      </c>
      <c r="F181" s="5">
        <v>3.0340950000000002</v>
      </c>
      <c r="G181" s="5">
        <v>2.3687939999999998</v>
      </c>
      <c r="H181" s="5">
        <f>TBL_Dati_OS[[#This Row],[Valore Volatilità]]</f>
        <v>7.5606850319327989</v>
      </c>
      <c r="I181">
        <v>0.72244900000000001</v>
      </c>
      <c r="J181">
        <v>2.0825770000000001</v>
      </c>
      <c r="K181">
        <v>2.9572620000000001</v>
      </c>
      <c r="L181" s="6">
        <f>DATE(LEFT(TBL_TEV[[#This Row],[Data]],4),MID(TBL_TEV[[#This Row],[Data]],5,2),RIGHT(TBL_TEV[[#This Row],[Data]],2))</f>
        <v>45545</v>
      </c>
      <c r="M181" t="str" cm="1">
        <f t="array" aca="1" ref="M181" ca="1">IF(_xlfn.SINGLE(TBL_TEV[Data2])&gt;=INDIRECT("L"&amp;COUNTA(TBL_TEV[Data])+1)-365, "Ultimi 12 mesi", "Vecchi dati")</f>
        <v>Vecchi dati</v>
      </c>
      <c r="Q181" s="12"/>
    </row>
    <row r="182" spans="1:17">
      <c r="A182">
        <v>20240911</v>
      </c>
      <c r="B182" s="7">
        <v>1.4844250000000001</v>
      </c>
      <c r="C182" s="8">
        <v>0.42226200000000003</v>
      </c>
      <c r="D182" s="8">
        <v>0.68276300000000001</v>
      </c>
      <c r="E182" s="8">
        <v>2.120676</v>
      </c>
      <c r="F182" s="8">
        <v>3.0377459999999998</v>
      </c>
      <c r="G182" s="8">
        <v>2.4837259999999999</v>
      </c>
      <c r="H182" s="8">
        <f>TBL_Dati_OS[[#This Row],[Valore Volatilità]]</f>
        <v>7.6150929838996966</v>
      </c>
      <c r="I182">
        <v>0.72244900000000001</v>
      </c>
      <c r="J182">
        <v>2.0825770000000001</v>
      </c>
      <c r="K182">
        <v>2.9572620000000001</v>
      </c>
      <c r="L182" s="6">
        <f>DATE(LEFT(TBL_TEV[[#This Row],[Data]],4),MID(TBL_TEV[[#This Row],[Data]],5,2),RIGHT(TBL_TEV[[#This Row],[Data]],2))</f>
        <v>45546</v>
      </c>
      <c r="M182" t="str" cm="1">
        <f t="array" aca="1" ref="M182" ca="1">IF(_xlfn.SINGLE(TBL_TEV[Data2])&gt;=INDIRECT("L"&amp;COUNTA(TBL_TEV[Data])+1)-365, "Ultimi 12 mesi", "Vecchi dati")</f>
        <v>Vecchi dati</v>
      </c>
      <c r="Q182" s="12"/>
    </row>
    <row r="183" spans="1:17">
      <c r="A183">
        <v>20240912</v>
      </c>
      <c r="B183" s="4">
        <v>1.531255</v>
      </c>
      <c r="C183" s="5">
        <v>0.43035800000000002</v>
      </c>
      <c r="D183" s="5">
        <v>0.70419299999999996</v>
      </c>
      <c r="E183" s="5">
        <v>2.115278</v>
      </c>
      <c r="F183" s="5">
        <v>3.0283799999999998</v>
      </c>
      <c r="G183" s="5">
        <v>2.482297</v>
      </c>
      <c r="H183" s="5">
        <f>TBL_Dati_OS[[#This Row],[Valore Volatilità]]</f>
        <v>7.7869553859326883</v>
      </c>
      <c r="I183">
        <v>0.72244900000000001</v>
      </c>
      <c r="J183">
        <v>2.0825770000000001</v>
      </c>
      <c r="K183">
        <v>2.9572620000000001</v>
      </c>
      <c r="L183" s="6">
        <f>DATE(LEFT(TBL_TEV[[#This Row],[Data]],4),MID(TBL_TEV[[#This Row],[Data]],5,2),RIGHT(TBL_TEV[[#This Row],[Data]],2))</f>
        <v>45547</v>
      </c>
      <c r="M183" t="str" cm="1">
        <f t="array" aca="1" ref="M183" ca="1">IF(_xlfn.SINGLE(TBL_TEV[Data2])&gt;=INDIRECT("L"&amp;COUNTA(TBL_TEV[Data])+1)-365, "Ultimi 12 mesi", "Vecchi dati")</f>
        <v>Vecchi dati</v>
      </c>
      <c r="Q183" s="12"/>
    </row>
    <row r="184" spans="1:17">
      <c r="A184">
        <v>20240913</v>
      </c>
      <c r="B184" s="7">
        <v>1.4945850000000001</v>
      </c>
      <c r="C184" s="8">
        <v>0.42781799999999998</v>
      </c>
      <c r="D184" s="8">
        <v>0.70990799999999998</v>
      </c>
      <c r="E184" s="8">
        <v>2.1100400000000001</v>
      </c>
      <c r="F184" s="8">
        <v>3.0158390000000002</v>
      </c>
      <c r="G184" s="8">
        <v>2.4524530000000002</v>
      </c>
      <c r="H184" s="8">
        <f>TBL_Dati_OS[[#This Row],[Valore Volatilità]]</f>
        <v>7.7462438944674306</v>
      </c>
      <c r="I184">
        <v>0.72244900000000001</v>
      </c>
      <c r="J184">
        <v>2.0825770000000001</v>
      </c>
      <c r="K184">
        <v>2.9572620000000001</v>
      </c>
      <c r="L184" s="6">
        <f>DATE(LEFT(TBL_TEV[[#This Row],[Data]],4),MID(TBL_TEV[[#This Row],[Data]],5,2),RIGHT(TBL_TEV[[#This Row],[Data]],2))</f>
        <v>45548</v>
      </c>
      <c r="M184" t="str" cm="1">
        <f t="array" aca="1" ref="M184" ca="1">IF(_xlfn.SINGLE(TBL_TEV[Data2])&gt;=INDIRECT("L"&amp;COUNTA(TBL_TEV[Data])+1)-365, "Ultimi 12 mesi", "Vecchi dati")</f>
        <v>Vecchi dati</v>
      </c>
      <c r="Q184" s="12"/>
    </row>
    <row r="185" spans="1:17">
      <c r="A185">
        <v>20240916</v>
      </c>
      <c r="B185" s="4">
        <v>1.484108</v>
      </c>
      <c r="C185" s="5">
        <v>0.423373</v>
      </c>
      <c r="D185" s="5">
        <v>0.70705099999999999</v>
      </c>
      <c r="E185" s="5">
        <v>2.0987689999999999</v>
      </c>
      <c r="F185" s="5">
        <v>3.0182199999999999</v>
      </c>
      <c r="G185" s="5">
        <v>2.4327679999999998</v>
      </c>
      <c r="H185" s="5">
        <f>TBL_Dati_OS[[#This Row],[Valore Volatilità]]</f>
        <v>7.8567296906895754</v>
      </c>
      <c r="I185">
        <v>0.72244900000000001</v>
      </c>
      <c r="J185">
        <v>2.0825770000000001</v>
      </c>
      <c r="K185">
        <v>2.9572620000000001</v>
      </c>
      <c r="L185" s="6">
        <f>DATE(LEFT(TBL_TEV[[#This Row],[Data]],4),MID(TBL_TEV[[#This Row],[Data]],5,2),RIGHT(TBL_TEV[[#This Row],[Data]],2))</f>
        <v>45551</v>
      </c>
      <c r="M185" t="str" cm="1">
        <f t="array" aca="1" ref="M185" ca="1">IF(_xlfn.SINGLE(TBL_TEV[Data2])&gt;=INDIRECT("L"&amp;COUNTA(TBL_TEV[Data])+1)-365, "Ultimi 12 mesi", "Vecchi dati")</f>
        <v>Vecchi dati</v>
      </c>
      <c r="Q185" s="12"/>
    </row>
    <row r="186" spans="1:17">
      <c r="A186">
        <v>20240917</v>
      </c>
      <c r="B186" s="7">
        <v>1.4571210000000001</v>
      </c>
      <c r="C186" s="8">
        <v>0.420516</v>
      </c>
      <c r="D186" s="8">
        <v>0.66672900000000002</v>
      </c>
      <c r="E186" s="8">
        <v>2.09226</v>
      </c>
      <c r="F186" s="8">
        <v>3.026475</v>
      </c>
      <c r="G186" s="8">
        <v>2.4146709999999998</v>
      </c>
      <c r="H186" s="8">
        <f>TBL_Dati_OS[[#This Row],[Valore Volatilità]]</f>
        <v>7.7604907954485469</v>
      </c>
      <c r="I186">
        <v>0.72244900000000001</v>
      </c>
      <c r="J186">
        <v>2.0825770000000001</v>
      </c>
      <c r="K186">
        <v>2.9572620000000001</v>
      </c>
      <c r="L186" s="6">
        <f>DATE(LEFT(TBL_TEV[[#This Row],[Data]],4),MID(TBL_TEV[[#This Row],[Data]],5,2),RIGHT(TBL_TEV[[#This Row],[Data]],2))</f>
        <v>45552</v>
      </c>
      <c r="M186" t="str" cm="1">
        <f t="array" aca="1" ref="M186" ca="1">IF(_xlfn.SINGLE(TBL_TEV[Data2])&gt;=INDIRECT("L"&amp;COUNTA(TBL_TEV[Data])+1)-365, "Ultimi 12 mesi", "Vecchi dati")</f>
        <v>Vecchi dati</v>
      </c>
      <c r="Q186" s="12"/>
    </row>
    <row r="187" spans="1:17">
      <c r="A187">
        <v>20240918</v>
      </c>
      <c r="B187" s="4">
        <v>1.4460090000000001</v>
      </c>
      <c r="C187" s="5">
        <v>0.423373</v>
      </c>
      <c r="D187" s="5">
        <v>0.66149100000000005</v>
      </c>
      <c r="E187" s="5">
        <v>2.0814650000000001</v>
      </c>
      <c r="F187" s="5">
        <v>3.0045679999999999</v>
      </c>
      <c r="G187" s="5">
        <v>2.3914949999999999</v>
      </c>
      <c r="H187" s="5">
        <f>TBL_Dati_OS[[#This Row],[Valore Volatilità]]</f>
        <v>7.6180757161974535</v>
      </c>
      <c r="I187">
        <v>0.72244900000000001</v>
      </c>
      <c r="J187">
        <v>2.0825770000000001</v>
      </c>
      <c r="K187">
        <v>2.9572620000000001</v>
      </c>
      <c r="L187" s="6">
        <f>DATE(LEFT(TBL_TEV[[#This Row],[Data]],4),MID(TBL_TEV[[#This Row],[Data]],5,2),RIGHT(TBL_TEV[[#This Row],[Data]],2))</f>
        <v>45553</v>
      </c>
      <c r="M187" t="str" cm="1">
        <f t="array" aca="1" ref="M187" ca="1">IF(_xlfn.SINGLE(TBL_TEV[Data2])&gt;=INDIRECT("L"&amp;COUNTA(TBL_TEV[Data])+1)-365, "Ultimi 12 mesi", "Vecchi dati")</f>
        <v>Vecchi dati</v>
      </c>
      <c r="Q187" s="12"/>
    </row>
    <row r="188" spans="1:17">
      <c r="A188">
        <v>20240919</v>
      </c>
      <c r="B188" s="7">
        <v>1.5274449999999999</v>
      </c>
      <c r="C188" s="8">
        <v>0.420516</v>
      </c>
      <c r="D188" s="8">
        <v>0.74070499999999995</v>
      </c>
      <c r="E188" s="8">
        <v>2.1217869999999999</v>
      </c>
      <c r="F188" s="8">
        <v>3.0213950000000001</v>
      </c>
      <c r="G188" s="8">
        <v>2.3892720000000001</v>
      </c>
      <c r="H188" s="8">
        <f>TBL_Dati_OS[[#This Row],[Valore Volatilità]]</f>
        <v>7.736903412557635</v>
      </c>
      <c r="I188">
        <v>0.72244900000000001</v>
      </c>
      <c r="J188">
        <v>2.0825770000000001</v>
      </c>
      <c r="K188">
        <v>2.9572620000000001</v>
      </c>
      <c r="L188" s="6">
        <f>DATE(LEFT(TBL_TEV[[#This Row],[Data]],4),MID(TBL_TEV[[#This Row],[Data]],5,2),RIGHT(TBL_TEV[[#This Row],[Data]],2))</f>
        <v>45554</v>
      </c>
      <c r="M188" t="str" cm="1">
        <f t="array" aca="1" ref="M188" ca="1">IF(_xlfn.SINGLE(TBL_TEV[Data2])&gt;=INDIRECT("L"&amp;COUNTA(TBL_TEV[Data])+1)-365, "Ultimi 12 mesi", "Vecchi dati")</f>
        <v>Vecchi dati</v>
      </c>
      <c r="Q188" s="12"/>
    </row>
    <row r="189" spans="1:17">
      <c r="A189">
        <v>20240920</v>
      </c>
      <c r="B189" s="4">
        <v>1.555067</v>
      </c>
      <c r="C189" s="5">
        <v>0.41892800000000002</v>
      </c>
      <c r="D189" s="5">
        <v>0.72784599999999999</v>
      </c>
      <c r="E189" s="5">
        <v>2.105912</v>
      </c>
      <c r="F189" s="5">
        <v>3.1034660000000001</v>
      </c>
      <c r="G189" s="5">
        <v>2.4054639999999998</v>
      </c>
      <c r="H189" s="5">
        <f>TBL_Dati_OS[[#This Row],[Valore Volatilità]]</f>
        <v>7.5369544957843448</v>
      </c>
      <c r="I189">
        <v>0.72244900000000001</v>
      </c>
      <c r="J189">
        <v>2.0825770000000001</v>
      </c>
      <c r="K189">
        <v>2.9572620000000001</v>
      </c>
      <c r="L189" s="6">
        <f>DATE(LEFT(TBL_TEV[[#This Row],[Data]],4),MID(TBL_TEV[[#This Row],[Data]],5,2),RIGHT(TBL_TEV[[#This Row],[Data]],2))</f>
        <v>45555</v>
      </c>
      <c r="M189" t="str" cm="1">
        <f t="array" aca="1" ref="M189" ca="1">IF(_xlfn.SINGLE(TBL_TEV[Data2])&gt;=INDIRECT("L"&amp;COUNTA(TBL_TEV[Data])+1)-365, "Ultimi 12 mesi", "Vecchi dati")</f>
        <v>Vecchi dati</v>
      </c>
      <c r="Q189" s="12"/>
    </row>
    <row r="190" spans="1:17">
      <c r="A190">
        <v>20240923</v>
      </c>
      <c r="B190" s="7">
        <v>1.5495110000000001</v>
      </c>
      <c r="C190" s="8">
        <v>0.42654799999999998</v>
      </c>
      <c r="D190" s="8">
        <v>0.72879899999999997</v>
      </c>
      <c r="E190" s="8">
        <v>2.0936889999999999</v>
      </c>
      <c r="F190" s="8">
        <v>3.0837819999999998</v>
      </c>
      <c r="G190" s="8">
        <v>2.3946700000000001</v>
      </c>
      <c r="H190" s="8">
        <f>TBL_Dati_OS[[#This Row],[Valore Volatilità]]</f>
        <v>7.4799435832432337</v>
      </c>
      <c r="I190">
        <v>0.72244900000000001</v>
      </c>
      <c r="J190">
        <v>2.0825770000000001</v>
      </c>
      <c r="K190">
        <v>2.9572620000000001</v>
      </c>
      <c r="L190" s="6">
        <f>DATE(LEFT(TBL_TEV[[#This Row],[Data]],4),MID(TBL_TEV[[#This Row],[Data]],5,2),RIGHT(TBL_TEV[[#This Row],[Data]],2))</f>
        <v>45558</v>
      </c>
      <c r="M190" t="str" cm="1">
        <f t="array" aca="1" ref="M190" ca="1">IF(_xlfn.SINGLE(TBL_TEV[Data2])&gt;=INDIRECT("L"&amp;COUNTA(TBL_TEV[Data])+1)-365, "Ultimi 12 mesi", "Vecchi dati")</f>
        <v>Vecchi dati</v>
      </c>
      <c r="Q190" s="12"/>
    </row>
    <row r="191" spans="1:17">
      <c r="A191">
        <v>20240924</v>
      </c>
      <c r="B191" s="4">
        <v>1.5626869999999999</v>
      </c>
      <c r="C191" s="5">
        <v>0.427342</v>
      </c>
      <c r="D191" s="5">
        <v>0.73308499999999999</v>
      </c>
      <c r="E191" s="5">
        <v>2.0997210000000002</v>
      </c>
      <c r="F191" s="5">
        <v>3.0891790000000001</v>
      </c>
      <c r="G191" s="5">
        <v>2.4200689999999998</v>
      </c>
      <c r="H191" s="5">
        <f>TBL_Dati_OS[[#This Row],[Valore Volatilità]]</f>
        <v>7.4882306206946572</v>
      </c>
      <c r="I191">
        <v>0.72244900000000001</v>
      </c>
      <c r="J191">
        <v>2.0825770000000001</v>
      </c>
      <c r="K191">
        <v>2.9572620000000001</v>
      </c>
      <c r="L191" s="6">
        <f>DATE(LEFT(TBL_TEV[[#This Row],[Data]],4),MID(TBL_TEV[[#This Row],[Data]],5,2),RIGHT(TBL_TEV[[#This Row],[Data]],2))</f>
        <v>45559</v>
      </c>
      <c r="M191" t="str" cm="1">
        <f t="array" aca="1" ref="M191" ca="1">IF(_xlfn.SINGLE(TBL_TEV[Data2])&gt;=INDIRECT("L"&amp;COUNTA(TBL_TEV[Data])+1)-365, "Ultimi 12 mesi", "Vecchi dati")</f>
        <v>Vecchi dati</v>
      </c>
      <c r="Q191" s="12"/>
    </row>
    <row r="192" spans="1:17">
      <c r="A192">
        <v>20240925</v>
      </c>
      <c r="B192" s="7">
        <v>1.5657030000000001</v>
      </c>
      <c r="C192" s="8">
        <v>0.280503</v>
      </c>
      <c r="D192" s="8">
        <v>0.73419599999999996</v>
      </c>
      <c r="E192" s="8">
        <v>2.1086109999999998</v>
      </c>
      <c r="F192" s="8">
        <v>3.1025140000000002</v>
      </c>
      <c r="G192" s="8">
        <v>2.42753</v>
      </c>
      <c r="H192" s="8">
        <f>TBL_Dati_OS[[#This Row],[Valore Volatilità]]</f>
        <v>7.5116527187066389</v>
      </c>
      <c r="I192">
        <v>0.72244900000000001</v>
      </c>
      <c r="J192">
        <v>2.0825770000000001</v>
      </c>
      <c r="K192">
        <v>2.9572620000000001</v>
      </c>
      <c r="L192" s="6">
        <f>DATE(LEFT(TBL_TEV[[#This Row],[Data]],4),MID(TBL_TEV[[#This Row],[Data]],5,2),RIGHT(TBL_TEV[[#This Row],[Data]],2))</f>
        <v>45560</v>
      </c>
      <c r="M192" t="str" cm="1">
        <f t="array" aca="1" ref="M192" ca="1">IF(_xlfn.SINGLE(TBL_TEV[Data2])&gt;=INDIRECT("L"&amp;COUNTA(TBL_TEV[Data])+1)-365, "Ultimi 12 mesi", "Vecchi dati")</f>
        <v>Vecchi dati</v>
      </c>
      <c r="Q192" s="12"/>
    </row>
    <row r="193" spans="1:17">
      <c r="A193">
        <v>20240926</v>
      </c>
      <c r="B193" s="4">
        <v>1.6192</v>
      </c>
      <c r="C193" s="5">
        <v>0.278756</v>
      </c>
      <c r="D193" s="5">
        <v>0.745784</v>
      </c>
      <c r="E193" s="5">
        <v>2.2054450000000001</v>
      </c>
      <c r="F193" s="5">
        <v>3.2444320000000002</v>
      </c>
      <c r="G193" s="5">
        <v>2.4919799999999999</v>
      </c>
      <c r="H193" s="5">
        <f>TBL_Dati_OS[[#This Row],[Valore Volatilità]]</f>
        <v>7.7620847372948614</v>
      </c>
      <c r="I193">
        <v>0.72244900000000001</v>
      </c>
      <c r="J193">
        <v>2.0825770000000001</v>
      </c>
      <c r="K193">
        <v>2.9572620000000001</v>
      </c>
      <c r="L193" s="6">
        <f>DATE(LEFT(TBL_TEV[[#This Row],[Data]],4),MID(TBL_TEV[[#This Row],[Data]],5,2),RIGHT(TBL_TEV[[#This Row],[Data]],2))</f>
        <v>45561</v>
      </c>
      <c r="M193" t="str" cm="1">
        <f t="array" aca="1" ref="M193" ca="1">IF(_xlfn.SINGLE(TBL_TEV[Data2])&gt;=INDIRECT("L"&amp;COUNTA(TBL_TEV[Data])+1)-365, "Ultimi 12 mesi", "Vecchi dati")</f>
        <v>Vecchi dati</v>
      </c>
      <c r="Q193" s="12"/>
    </row>
    <row r="194" spans="1:17">
      <c r="A194">
        <v>20240927</v>
      </c>
      <c r="B194" s="7">
        <v>1.6393599999999999</v>
      </c>
      <c r="C194" s="8">
        <v>0.27986800000000001</v>
      </c>
      <c r="D194" s="8">
        <v>0.76229400000000003</v>
      </c>
      <c r="E194" s="8">
        <v>2.2348129999999999</v>
      </c>
      <c r="F194" s="8">
        <v>3.268561</v>
      </c>
      <c r="G194" s="8">
        <v>2.5038860000000001</v>
      </c>
      <c r="H194" s="8">
        <f>TBL_Dati_OS[[#This Row],[Valore Volatilità]]</f>
        <v>7.6336438946712759</v>
      </c>
      <c r="I194">
        <v>0.72244900000000001</v>
      </c>
      <c r="J194">
        <v>2.0825770000000001</v>
      </c>
      <c r="K194">
        <v>2.9572620000000001</v>
      </c>
      <c r="L194" s="6">
        <f>DATE(LEFT(TBL_TEV[[#This Row],[Data]],4),MID(TBL_TEV[[#This Row],[Data]],5,2),RIGHT(TBL_TEV[[#This Row],[Data]],2))</f>
        <v>45562</v>
      </c>
      <c r="M194" t="str" cm="1">
        <f t="array" aca="1" ref="M194" ca="1">IF(_xlfn.SINGLE(TBL_TEV[Data2])&gt;=INDIRECT("L"&amp;COUNTA(TBL_TEV[Data])+1)-365, "Ultimi 12 mesi", "Vecchi dati")</f>
        <v>Vecchi dati</v>
      </c>
      <c r="Q194" s="12"/>
    </row>
    <row r="195" spans="1:17">
      <c r="A195">
        <v>20240930</v>
      </c>
      <c r="B195" s="4">
        <v>1.650631</v>
      </c>
      <c r="C195" s="5">
        <v>0.31526799999999999</v>
      </c>
      <c r="D195" s="5">
        <v>0.74768900000000005</v>
      </c>
      <c r="E195" s="5">
        <v>2.2867229999999998</v>
      </c>
      <c r="F195" s="5">
        <v>3.3223760000000002</v>
      </c>
      <c r="G195" s="5">
        <v>2.5105529999999998</v>
      </c>
      <c r="H195" s="5">
        <f>TBL_Dati_OS[[#This Row],[Valore Volatilità]]</f>
        <v>7.6746509238449159</v>
      </c>
      <c r="I195">
        <v>0.72244900000000001</v>
      </c>
      <c r="J195">
        <v>2.0825770000000001</v>
      </c>
      <c r="K195">
        <v>2.9572620000000001</v>
      </c>
      <c r="L195" s="6">
        <f>DATE(LEFT(TBL_TEV[[#This Row],[Data]],4),MID(TBL_TEV[[#This Row],[Data]],5,2),RIGHT(TBL_TEV[[#This Row],[Data]],2))</f>
        <v>45565</v>
      </c>
      <c r="M195" t="str" cm="1">
        <f t="array" aca="1" ref="M195" ca="1">IF(_xlfn.SINGLE(TBL_TEV[Data2])&gt;=INDIRECT("L"&amp;COUNTA(TBL_TEV[Data])+1)-365, "Ultimi 12 mesi", "Vecchi dati")</f>
        <v>Vecchi dati</v>
      </c>
      <c r="Q195" s="12"/>
    </row>
    <row r="196" spans="1:17">
      <c r="A196">
        <v>20241001</v>
      </c>
      <c r="B196" s="7">
        <v>1.6382490000000001</v>
      </c>
      <c r="C196" s="8">
        <v>0.31907799999999997</v>
      </c>
      <c r="D196" s="8">
        <v>0.74340300000000004</v>
      </c>
      <c r="E196" s="8">
        <v>2.2714829999999999</v>
      </c>
      <c r="F196" s="8">
        <v>3.3698410000000001</v>
      </c>
      <c r="G196" s="8">
        <v>2.495949</v>
      </c>
      <c r="H196" s="8">
        <f>TBL_Dati_OS[[#This Row],[Valore Volatilità]]</f>
        <v>7.710956385664991</v>
      </c>
      <c r="I196">
        <v>0.72244900000000001</v>
      </c>
      <c r="J196">
        <v>2.0825770000000001</v>
      </c>
      <c r="K196">
        <v>2.9572620000000001</v>
      </c>
      <c r="L196" s="6">
        <f>DATE(LEFT(TBL_TEV[[#This Row],[Data]],4),MID(TBL_TEV[[#This Row],[Data]],5,2),RIGHT(TBL_TEV[[#This Row],[Data]],2))</f>
        <v>45566</v>
      </c>
      <c r="M196" t="str" cm="1">
        <f t="array" aca="1" ref="M196" ca="1">IF(_xlfn.SINGLE(TBL_TEV[Data2])&gt;=INDIRECT("L"&amp;COUNTA(TBL_TEV[Data])+1)-365, "Ultimi 12 mesi", "Vecchi dati")</f>
        <v>Vecchi dati</v>
      </c>
      <c r="Q196" s="12"/>
    </row>
    <row r="197" spans="1:17">
      <c r="A197">
        <v>20241002</v>
      </c>
      <c r="B197" s="4">
        <v>1.6333279999999999</v>
      </c>
      <c r="C197" s="5">
        <v>0.31669599999999998</v>
      </c>
      <c r="D197" s="5">
        <v>0.74276799999999998</v>
      </c>
      <c r="E197" s="5">
        <v>2.2651340000000002</v>
      </c>
      <c r="F197" s="5">
        <v>3.351426</v>
      </c>
      <c r="G197" s="5">
        <v>2.491028</v>
      </c>
      <c r="H197" s="5">
        <f>TBL_Dati_OS[[#This Row],[Valore Volatilità]]</f>
        <v>7.5149403048974701</v>
      </c>
      <c r="I197">
        <v>0.72244900000000001</v>
      </c>
      <c r="J197">
        <v>2.0825770000000001</v>
      </c>
      <c r="K197">
        <v>2.9572620000000001</v>
      </c>
      <c r="L197" s="6">
        <f>DATE(LEFT(TBL_TEV[[#This Row],[Data]],4),MID(TBL_TEV[[#This Row],[Data]],5,2),RIGHT(TBL_TEV[[#This Row],[Data]],2))</f>
        <v>45567</v>
      </c>
      <c r="M197" t="str" cm="1">
        <f t="array" aca="1" ref="M197" ca="1">IF(_xlfn.SINGLE(TBL_TEV[Data2])&gt;=INDIRECT("L"&amp;COUNTA(TBL_TEV[Data])+1)-365, "Ultimi 12 mesi", "Vecchi dati")</f>
        <v>Vecchi dati</v>
      </c>
      <c r="Q197" s="12"/>
    </row>
    <row r="198" spans="1:17">
      <c r="A198">
        <v>20241003</v>
      </c>
      <c r="B198" s="7">
        <v>1.627613</v>
      </c>
      <c r="C198" s="8">
        <v>0.31193399999999999</v>
      </c>
      <c r="D198" s="8">
        <v>0.73768800000000001</v>
      </c>
      <c r="E198" s="8">
        <v>2.2359239999999998</v>
      </c>
      <c r="F198" s="8">
        <v>3.3149150000000001</v>
      </c>
      <c r="G198" s="8">
        <v>2.50468</v>
      </c>
      <c r="H198" s="8">
        <f>TBL_Dati_OS[[#This Row],[Valore Volatilità]]</f>
        <v>7.5782370099457168</v>
      </c>
      <c r="I198">
        <v>0.72244900000000001</v>
      </c>
      <c r="J198">
        <v>2.0825770000000001</v>
      </c>
      <c r="K198">
        <v>2.9572620000000001</v>
      </c>
      <c r="L198" s="6">
        <f>DATE(LEFT(TBL_TEV[[#This Row],[Data]],4),MID(TBL_TEV[[#This Row],[Data]],5,2),RIGHT(TBL_TEV[[#This Row],[Data]],2))</f>
        <v>45568</v>
      </c>
      <c r="M198" t="str" cm="1">
        <f t="array" aca="1" ref="M198" ca="1">IF(_xlfn.SINGLE(TBL_TEV[Data2])&gt;=INDIRECT("L"&amp;COUNTA(TBL_TEV[Data])+1)-365, "Ultimi 12 mesi", "Vecchi dati")</f>
        <v>Vecchi dati</v>
      </c>
      <c r="Q198" s="12"/>
    </row>
    <row r="199" spans="1:17">
      <c r="A199">
        <v>20241004</v>
      </c>
      <c r="B199" s="4">
        <v>1.6379319999999999</v>
      </c>
      <c r="C199" s="5">
        <v>0.323681</v>
      </c>
      <c r="D199" s="5">
        <v>0.73959299999999994</v>
      </c>
      <c r="E199" s="5">
        <v>2.2490999999999999</v>
      </c>
      <c r="F199" s="5">
        <v>3.3253919999999999</v>
      </c>
      <c r="G199" s="5">
        <v>2.508807</v>
      </c>
      <c r="H199" s="5">
        <f>TBL_Dati_OS[[#This Row],[Valore Volatilità]]</f>
        <v>7.5738113429114016</v>
      </c>
      <c r="I199">
        <v>0.72244900000000001</v>
      </c>
      <c r="J199">
        <v>2.0825770000000001</v>
      </c>
      <c r="K199">
        <v>2.9572620000000001</v>
      </c>
      <c r="L199" s="6">
        <f>DATE(LEFT(TBL_TEV[[#This Row],[Data]],4),MID(TBL_TEV[[#This Row],[Data]],5,2),RIGHT(TBL_TEV[[#This Row],[Data]],2))</f>
        <v>45569</v>
      </c>
      <c r="M199" t="str" cm="1">
        <f t="array" aca="1" ref="M199" ca="1">IF(_xlfn.SINGLE(TBL_TEV[Data2])&gt;=INDIRECT("L"&amp;COUNTA(TBL_TEV[Data])+1)-365, "Ultimi 12 mesi", "Vecchi dati")</f>
        <v>Vecchi dati</v>
      </c>
      <c r="Q199" s="12"/>
    </row>
    <row r="200" spans="1:17">
      <c r="A200">
        <v>20241007</v>
      </c>
      <c r="B200" s="7">
        <v>1.6453930000000001</v>
      </c>
      <c r="C200" s="8">
        <v>0.32177600000000001</v>
      </c>
      <c r="D200" s="8">
        <v>0.73880000000000001</v>
      </c>
      <c r="E200" s="8">
        <v>2.253069</v>
      </c>
      <c r="F200" s="8">
        <v>3.3309479999999998</v>
      </c>
      <c r="G200" s="8">
        <v>2.51484</v>
      </c>
      <c r="H200" s="8">
        <f>TBL_Dati_OS[[#This Row],[Valore Volatilità]]</f>
        <v>7.5679862011697239</v>
      </c>
      <c r="I200">
        <v>0.72244900000000001</v>
      </c>
      <c r="J200">
        <v>2.0825770000000001</v>
      </c>
      <c r="K200">
        <v>2.9572620000000001</v>
      </c>
      <c r="L200" s="6">
        <f>DATE(LEFT(TBL_TEV[[#This Row],[Data]],4),MID(TBL_TEV[[#This Row],[Data]],5,2),RIGHT(TBL_TEV[[#This Row],[Data]],2))</f>
        <v>45572</v>
      </c>
      <c r="M200" t="str" cm="1">
        <f t="array" aca="1" ref="M200" ca="1">IF(_xlfn.SINGLE(TBL_TEV[Data2])&gt;=INDIRECT("L"&amp;COUNTA(TBL_TEV[Data])+1)-365, "Ultimi 12 mesi", "Vecchi dati")</f>
        <v>Vecchi dati</v>
      </c>
      <c r="Q200" s="12"/>
    </row>
    <row r="201" spans="1:17">
      <c r="A201">
        <v>20241008</v>
      </c>
      <c r="B201" s="4">
        <v>1.6536470000000001</v>
      </c>
      <c r="C201" s="5">
        <v>0.319554</v>
      </c>
      <c r="D201" s="5">
        <v>0.79277299999999995</v>
      </c>
      <c r="E201" s="5">
        <v>2.2295750000000001</v>
      </c>
      <c r="F201" s="5">
        <v>3.2849119999999998</v>
      </c>
      <c r="G201" s="5">
        <v>2.5407150000000001</v>
      </c>
      <c r="H201" s="5">
        <f>TBL_Dati_OS[[#This Row],[Valore Volatilità]]</f>
        <v>7.6907795738826747</v>
      </c>
      <c r="I201">
        <v>0.72244900000000001</v>
      </c>
      <c r="J201">
        <v>2.0825770000000001</v>
      </c>
      <c r="K201">
        <v>2.9572620000000001</v>
      </c>
      <c r="L201" s="6">
        <f>DATE(LEFT(TBL_TEV[[#This Row],[Data]],4),MID(TBL_TEV[[#This Row],[Data]],5,2),RIGHT(TBL_TEV[[#This Row],[Data]],2))</f>
        <v>45573</v>
      </c>
      <c r="M201" t="str" cm="1">
        <f t="array" aca="1" ref="M201" ca="1">IF(_xlfn.SINGLE(TBL_TEV[Data2])&gt;=INDIRECT("L"&amp;COUNTA(TBL_TEV[Data])+1)-365, "Ultimi 12 mesi", "Vecchi dati")</f>
        <v>Vecchi dati</v>
      </c>
      <c r="Q201" s="12"/>
    </row>
    <row r="202" spans="1:17">
      <c r="A202">
        <v>20241009</v>
      </c>
      <c r="B202" s="7">
        <v>1.6512659999999999</v>
      </c>
      <c r="C202" s="8">
        <v>0.26986700000000002</v>
      </c>
      <c r="D202" s="8">
        <v>0.78896299999999997</v>
      </c>
      <c r="E202" s="8">
        <v>2.2270349999999999</v>
      </c>
      <c r="F202" s="8">
        <v>3.2668149999999998</v>
      </c>
      <c r="G202" s="8">
        <v>2.5354760000000001</v>
      </c>
      <c r="H202" s="8">
        <f>TBL_Dati_OS[[#This Row],[Valore Volatilità]]</f>
        <v>7.5878144367412306</v>
      </c>
      <c r="I202">
        <v>0.72244900000000001</v>
      </c>
      <c r="J202">
        <v>2.0825770000000001</v>
      </c>
      <c r="K202">
        <v>2.9572620000000001</v>
      </c>
      <c r="L202" s="6">
        <f>DATE(LEFT(TBL_TEV[[#This Row],[Data]],4),MID(TBL_TEV[[#This Row],[Data]],5,2),RIGHT(TBL_TEV[[#This Row],[Data]],2))</f>
        <v>45574</v>
      </c>
      <c r="M202" t="str" cm="1">
        <f t="array" aca="1" ref="M202" ca="1">IF(_xlfn.SINGLE(TBL_TEV[Data2])&gt;=INDIRECT("L"&amp;COUNTA(TBL_TEV[Data])+1)-365, "Ultimi 12 mesi", "Vecchi dati")</f>
        <v>Vecchi dati</v>
      </c>
      <c r="Q202" s="12"/>
    </row>
    <row r="203" spans="1:17">
      <c r="A203">
        <v>20241010</v>
      </c>
      <c r="B203" s="4">
        <v>1.6522190000000001</v>
      </c>
      <c r="C203" s="5">
        <v>0.27955000000000002</v>
      </c>
      <c r="D203" s="5">
        <v>0.79023299999999996</v>
      </c>
      <c r="E203" s="5">
        <v>2.2225899999999998</v>
      </c>
      <c r="F203" s="5">
        <v>3.2609409999999999</v>
      </c>
      <c r="G203" s="5">
        <v>2.5099179999999999</v>
      </c>
      <c r="H203" s="5">
        <f>TBL_Dati_OS[[#This Row],[Valore Volatilità]]</f>
        <v>7.5492116488963852</v>
      </c>
      <c r="I203">
        <v>0.72244900000000001</v>
      </c>
      <c r="J203">
        <v>2.0825770000000001</v>
      </c>
      <c r="K203">
        <v>2.9572620000000001</v>
      </c>
      <c r="L203" s="6">
        <f>DATE(LEFT(TBL_TEV[[#This Row],[Data]],4),MID(TBL_TEV[[#This Row],[Data]],5,2),RIGHT(TBL_TEV[[#This Row],[Data]],2))</f>
        <v>45575</v>
      </c>
      <c r="M203" t="str" cm="1">
        <f t="array" aca="1" ref="M203" ca="1">IF(_xlfn.SINGLE(TBL_TEV[Data2])&gt;=INDIRECT("L"&amp;COUNTA(TBL_TEV[Data])+1)-365, "Ultimi 12 mesi", "Vecchi dati")</f>
        <v>Vecchi dati</v>
      </c>
      <c r="Q203" s="12"/>
    </row>
    <row r="204" spans="1:17">
      <c r="A204">
        <v>20241011</v>
      </c>
      <c r="B204" s="7">
        <v>1.6245970000000001</v>
      </c>
      <c r="C204" s="8">
        <v>0.27859800000000001</v>
      </c>
      <c r="D204" s="8">
        <v>0.781026</v>
      </c>
      <c r="E204" s="8">
        <v>2.1733790000000002</v>
      </c>
      <c r="F204" s="8">
        <v>3.1825209999999999</v>
      </c>
      <c r="G204" s="8">
        <v>2.458485</v>
      </c>
      <c r="H204" s="8">
        <f>TBL_Dati_OS[[#This Row],[Valore Volatilità]]</f>
        <v>7.6142028050476833</v>
      </c>
      <c r="I204">
        <v>0.72244900000000001</v>
      </c>
      <c r="J204">
        <v>2.0825770000000001</v>
      </c>
      <c r="K204">
        <v>2.9572620000000001</v>
      </c>
      <c r="L204" s="6">
        <f>DATE(LEFT(TBL_TEV[[#This Row],[Data]],4),MID(TBL_TEV[[#This Row],[Data]],5,2),RIGHT(TBL_TEV[[#This Row],[Data]],2))</f>
        <v>45576</v>
      </c>
      <c r="M204" t="str" cm="1">
        <f t="array" aca="1" ref="M204" ca="1">IF(_xlfn.SINGLE(TBL_TEV[Data2])&gt;=INDIRECT("L"&amp;COUNTA(TBL_TEV[Data])+1)-365, "Ultimi 12 mesi", "Vecchi dati")</f>
        <v>Vecchi dati</v>
      </c>
      <c r="Q204" s="12"/>
    </row>
    <row r="205" spans="1:17">
      <c r="A205">
        <v>20241014</v>
      </c>
      <c r="B205" s="4">
        <v>1.6452340000000001</v>
      </c>
      <c r="C205" s="5">
        <v>0.27748600000000001</v>
      </c>
      <c r="D205" s="5">
        <v>0.79039199999999998</v>
      </c>
      <c r="E205" s="5">
        <v>2.1871900000000002</v>
      </c>
      <c r="F205" s="5">
        <v>3.186172</v>
      </c>
      <c r="G205" s="5">
        <v>2.45404</v>
      </c>
      <c r="H205" s="5">
        <f>TBL_Dati_OS[[#This Row],[Valore Volatilità]]</f>
        <v>7.4612397808837612</v>
      </c>
      <c r="I205">
        <v>0.72244900000000001</v>
      </c>
      <c r="J205">
        <v>2.0825770000000001</v>
      </c>
      <c r="K205">
        <v>2.9572620000000001</v>
      </c>
      <c r="L205" s="6">
        <f>DATE(LEFT(TBL_TEV[[#This Row],[Data]],4),MID(TBL_TEV[[#This Row],[Data]],5,2),RIGHT(TBL_TEV[[#This Row],[Data]],2))</f>
        <v>45579</v>
      </c>
      <c r="M205" t="str" cm="1">
        <f t="array" aca="1" ref="M205" ca="1">IF(_xlfn.SINGLE(TBL_TEV[Data2])&gt;=INDIRECT("L"&amp;COUNTA(TBL_TEV[Data])+1)-365, "Ultimi 12 mesi", "Vecchi dati")</f>
        <v>Vecchi dati</v>
      </c>
      <c r="Q205" s="12"/>
    </row>
    <row r="206" spans="1:17">
      <c r="A206">
        <v>20241015</v>
      </c>
      <c r="B206" s="7">
        <v>1.6245970000000001</v>
      </c>
      <c r="C206" s="8">
        <v>0.28320099999999998</v>
      </c>
      <c r="D206" s="8">
        <v>0.78213699999999997</v>
      </c>
      <c r="E206" s="8">
        <v>2.1636950000000001</v>
      </c>
      <c r="F206" s="8">
        <v>3.181886</v>
      </c>
      <c r="G206" s="8">
        <v>2.4227669999999999</v>
      </c>
      <c r="H206" s="8">
        <f>TBL_Dati_OS[[#This Row],[Valore Volatilità]]</f>
        <v>7.3550501132065014</v>
      </c>
      <c r="I206">
        <v>0.72244900000000001</v>
      </c>
      <c r="J206">
        <v>2.0825770000000001</v>
      </c>
      <c r="K206">
        <v>2.9572620000000001</v>
      </c>
      <c r="L206" s="6">
        <f>DATE(LEFT(TBL_TEV[[#This Row],[Data]],4),MID(TBL_TEV[[#This Row],[Data]],5,2),RIGHT(TBL_TEV[[#This Row],[Data]],2))</f>
        <v>45580</v>
      </c>
      <c r="M206" t="str" cm="1">
        <f t="array" aca="1" ref="M206" ca="1">IF(_xlfn.SINGLE(TBL_TEV[Data2])&gt;=INDIRECT("L"&amp;COUNTA(TBL_TEV[Data])+1)-365, "Ultimi 12 mesi", "Vecchi dati")</f>
        <v>Vecchi dati</v>
      </c>
      <c r="Q206" s="12"/>
    </row>
    <row r="207" spans="1:17">
      <c r="A207">
        <v>20241016</v>
      </c>
      <c r="B207" s="4">
        <v>1.6241209999999999</v>
      </c>
      <c r="C207" s="5">
        <v>0.282725</v>
      </c>
      <c r="D207" s="5">
        <v>0.78293100000000004</v>
      </c>
      <c r="E207" s="5">
        <v>2.1559170000000001</v>
      </c>
      <c r="F207" s="5">
        <v>3.1696629999999999</v>
      </c>
      <c r="G207" s="5">
        <v>2.4287999999999998</v>
      </c>
      <c r="H207" s="5">
        <f>TBL_Dati_OS[[#This Row],[Valore Volatilità]]</f>
        <v>7.3879407693735448</v>
      </c>
      <c r="I207">
        <v>0.72244900000000001</v>
      </c>
      <c r="J207">
        <v>2.0825770000000001</v>
      </c>
      <c r="K207">
        <v>2.9572620000000001</v>
      </c>
      <c r="L207" s="6">
        <f>DATE(LEFT(TBL_TEV[[#This Row],[Data]],4),MID(TBL_TEV[[#This Row],[Data]],5,2),RIGHT(TBL_TEV[[#This Row],[Data]],2))</f>
        <v>45581</v>
      </c>
      <c r="M207" t="str" cm="1">
        <f t="array" aca="1" ref="M207" ca="1">IF(_xlfn.SINGLE(TBL_TEV[Data2])&gt;=INDIRECT("L"&amp;COUNTA(TBL_TEV[Data])+1)-365, "Ultimi 12 mesi", "Vecchi dati")</f>
        <v>Vecchi dati</v>
      </c>
      <c r="Q207" s="12"/>
    </row>
    <row r="208" spans="1:17">
      <c r="A208">
        <v>20241017</v>
      </c>
      <c r="B208" s="7">
        <v>1.6239619999999999</v>
      </c>
      <c r="C208" s="8">
        <v>0.28288400000000002</v>
      </c>
      <c r="D208" s="8">
        <v>0.78531200000000001</v>
      </c>
      <c r="E208" s="8">
        <v>2.1508370000000001</v>
      </c>
      <c r="F208" s="8">
        <v>3.163948</v>
      </c>
      <c r="G208" s="8">
        <v>2.4314979999999999</v>
      </c>
      <c r="H208" s="8">
        <f>TBL_Dati_OS[[#This Row],[Valore Volatilità]]</f>
        <v>7.3907406487136127</v>
      </c>
      <c r="I208">
        <v>0.72244900000000001</v>
      </c>
      <c r="J208">
        <v>2.0825770000000001</v>
      </c>
      <c r="K208">
        <v>2.9572620000000001</v>
      </c>
      <c r="L208" s="6">
        <f>DATE(LEFT(TBL_TEV[[#This Row],[Data]],4),MID(TBL_TEV[[#This Row],[Data]],5,2),RIGHT(TBL_TEV[[#This Row],[Data]],2))</f>
        <v>45582</v>
      </c>
      <c r="M208" t="str" cm="1">
        <f t="array" aca="1" ref="M208" ca="1">IF(_xlfn.SINGLE(TBL_TEV[Data2])&gt;=INDIRECT("L"&amp;COUNTA(TBL_TEV[Data])+1)-365, "Ultimi 12 mesi", "Vecchi dati")</f>
        <v>Vecchi dati</v>
      </c>
      <c r="Q208" s="12"/>
    </row>
    <row r="209" spans="1:17">
      <c r="A209">
        <v>20241018</v>
      </c>
      <c r="B209" s="4">
        <v>1.6214219999999999</v>
      </c>
      <c r="C209" s="5">
        <v>0.28240700000000002</v>
      </c>
      <c r="D209" s="5">
        <v>0.78674100000000002</v>
      </c>
      <c r="E209" s="5">
        <v>2.1433759999999999</v>
      </c>
      <c r="F209" s="5">
        <v>3.1561699999999999</v>
      </c>
      <c r="G209" s="5">
        <v>2.4291170000000002</v>
      </c>
      <c r="H209" s="5">
        <f>TBL_Dati_OS[[#This Row],[Valore Volatilità]]</f>
        <v>7.5157331104145619</v>
      </c>
      <c r="I209">
        <v>0.72244900000000001</v>
      </c>
      <c r="J209">
        <v>2.0825770000000001</v>
      </c>
      <c r="K209">
        <v>2.9572620000000001</v>
      </c>
      <c r="L209" s="6">
        <f>DATE(LEFT(TBL_TEV[[#This Row],[Data]],4),MID(TBL_TEV[[#This Row],[Data]],5,2),RIGHT(TBL_TEV[[#This Row],[Data]],2))</f>
        <v>45583</v>
      </c>
      <c r="M209" t="str" cm="1">
        <f t="array" aca="1" ref="M209" ca="1">IF(_xlfn.SINGLE(TBL_TEV[Data2])&gt;=INDIRECT("L"&amp;COUNTA(TBL_TEV[Data])+1)-365, "Ultimi 12 mesi", "Vecchi dati")</f>
        <v>Vecchi dati</v>
      </c>
      <c r="Q209" s="12"/>
    </row>
    <row r="210" spans="1:17">
      <c r="A210">
        <v>20241021</v>
      </c>
      <c r="B210" s="7">
        <v>1.626026</v>
      </c>
      <c r="C210" s="8">
        <v>0.28812199999999999</v>
      </c>
      <c r="D210" s="8">
        <v>0.78467699999999996</v>
      </c>
      <c r="E210" s="8">
        <v>2.1473450000000001</v>
      </c>
      <c r="F210" s="8">
        <v>3.1536300000000002</v>
      </c>
      <c r="G210" s="8">
        <v>2.5062669999999998</v>
      </c>
      <c r="H210" s="8">
        <f>TBL_Dati_OS[[#This Row],[Valore Volatilità]]</f>
        <v>7.4729489969470579</v>
      </c>
      <c r="I210">
        <v>0.72244900000000001</v>
      </c>
      <c r="J210">
        <v>2.0825770000000001</v>
      </c>
      <c r="K210">
        <v>2.9572620000000001</v>
      </c>
      <c r="L210" s="6">
        <f>DATE(LEFT(TBL_TEV[[#This Row],[Data]],4),MID(TBL_TEV[[#This Row],[Data]],5,2),RIGHT(TBL_TEV[[#This Row],[Data]],2))</f>
        <v>45586</v>
      </c>
      <c r="M210" t="str" cm="1">
        <f t="array" aca="1" ref="M210" ca="1">IF(_xlfn.SINGLE(TBL_TEV[Data2])&gt;=INDIRECT("L"&amp;COUNTA(TBL_TEV[Data])+1)-365, "Ultimi 12 mesi", "Vecchi dati")</f>
        <v>Vecchi dati</v>
      </c>
      <c r="Q210" s="12"/>
    </row>
    <row r="211" spans="1:17">
      <c r="A211">
        <v>20241022</v>
      </c>
      <c r="B211" s="4">
        <v>1.549193</v>
      </c>
      <c r="C211" s="5">
        <v>0.28701100000000002</v>
      </c>
      <c r="D211" s="5">
        <v>0.76753199999999999</v>
      </c>
      <c r="E211" s="5">
        <v>2.041779</v>
      </c>
      <c r="F211" s="5">
        <v>3.0172680000000001</v>
      </c>
      <c r="G211" s="5">
        <v>2.5103949999999999</v>
      </c>
      <c r="H211" s="5">
        <f>TBL_Dati_OS[[#This Row],[Valore Volatilità]]</f>
        <v>7.5603074252607287</v>
      </c>
      <c r="I211">
        <v>0.72244900000000001</v>
      </c>
      <c r="J211">
        <v>2.0825770000000001</v>
      </c>
      <c r="K211">
        <v>2.9572620000000001</v>
      </c>
      <c r="L211" s="6">
        <f>DATE(LEFT(TBL_TEV[[#This Row],[Data]],4),MID(TBL_TEV[[#This Row],[Data]],5,2),RIGHT(TBL_TEV[[#This Row],[Data]],2))</f>
        <v>45587</v>
      </c>
      <c r="M211" t="str" cm="1">
        <f t="array" aca="1" ref="M211" ca="1">IF(_xlfn.SINGLE(TBL_TEV[Data2])&gt;=INDIRECT("L"&amp;COUNTA(TBL_TEV[Data])+1)-365, "Ultimi 12 mesi", "Vecchi dati")</f>
        <v>Vecchi dati</v>
      </c>
      <c r="Q211" s="12"/>
    </row>
    <row r="212" spans="1:17">
      <c r="A212">
        <v>20241023</v>
      </c>
      <c r="B212" s="7">
        <v>1.52935</v>
      </c>
      <c r="C212" s="8">
        <v>0.28653499999999998</v>
      </c>
      <c r="D212" s="8">
        <v>0.76642100000000002</v>
      </c>
      <c r="E212" s="8">
        <v>2.0135230000000002</v>
      </c>
      <c r="F212" s="8">
        <v>2.9832960000000002</v>
      </c>
      <c r="G212" s="8">
        <v>2.4716610000000001</v>
      </c>
      <c r="H212" s="8">
        <f>TBL_Dati_OS[[#This Row],[Valore Volatilità]]</f>
        <v>7.3996720305470642</v>
      </c>
      <c r="I212">
        <v>0.72244900000000001</v>
      </c>
      <c r="J212">
        <v>2.0825770000000001</v>
      </c>
      <c r="K212">
        <v>2.9572620000000001</v>
      </c>
      <c r="L212" s="6">
        <f>DATE(LEFT(TBL_TEV[[#This Row],[Data]],4),MID(TBL_TEV[[#This Row],[Data]],5,2),RIGHT(TBL_TEV[[#This Row],[Data]],2))</f>
        <v>45588</v>
      </c>
      <c r="M212" t="str" cm="1">
        <f t="array" aca="1" ref="M212" ca="1">IF(_xlfn.SINGLE(TBL_TEV[Data2])&gt;=INDIRECT("L"&amp;COUNTA(TBL_TEV[Data])+1)-365, "Ultimi 12 mesi", "Vecchi dati")</f>
        <v>Vecchi dati</v>
      </c>
      <c r="Q212" s="12"/>
    </row>
    <row r="213" spans="1:17">
      <c r="A213">
        <v>20241024</v>
      </c>
      <c r="B213" s="4">
        <v>1.5272859999999999</v>
      </c>
      <c r="C213" s="5">
        <v>0.28828100000000001</v>
      </c>
      <c r="D213" s="5">
        <v>0.76292899999999997</v>
      </c>
      <c r="E213" s="5">
        <v>2.009395</v>
      </c>
      <c r="F213" s="5">
        <v>2.9923449999999998</v>
      </c>
      <c r="G213" s="5">
        <v>2.4753120000000002</v>
      </c>
      <c r="H213" s="5">
        <f>TBL_Dati_OS[[#This Row],[Valore Volatilità]]</f>
        <v>7.2667092049025355</v>
      </c>
      <c r="I213">
        <v>0.72244900000000001</v>
      </c>
      <c r="J213">
        <v>2.0825770000000001</v>
      </c>
      <c r="K213">
        <v>2.9572620000000001</v>
      </c>
      <c r="L213" s="6">
        <f>DATE(LEFT(TBL_TEV[[#This Row],[Data]],4),MID(TBL_TEV[[#This Row],[Data]],5,2),RIGHT(TBL_TEV[[#This Row],[Data]],2))</f>
        <v>45589</v>
      </c>
      <c r="M213" t="str" cm="1">
        <f t="array" aca="1" ref="M213" ca="1">IF(_xlfn.SINGLE(TBL_TEV[Data2])&gt;=INDIRECT("L"&amp;COUNTA(TBL_TEV[Data])+1)-365, "Ultimi 12 mesi", "Vecchi dati")</f>
        <v>Vecchi dati</v>
      </c>
      <c r="Q213" s="12"/>
    </row>
    <row r="214" spans="1:17">
      <c r="A214">
        <v>20241025</v>
      </c>
      <c r="B214" s="7">
        <v>1.524905</v>
      </c>
      <c r="C214" s="8">
        <v>0.28748699999999999</v>
      </c>
      <c r="D214" s="8">
        <v>0.761818</v>
      </c>
      <c r="E214" s="8">
        <v>2.0081250000000002</v>
      </c>
      <c r="F214" s="8">
        <v>2.9966309999999998</v>
      </c>
      <c r="G214" s="8">
        <v>2.4921389999999999</v>
      </c>
      <c r="H214" s="8">
        <f>TBL_Dati_OS[[#This Row],[Valore Volatilità]]</f>
        <v>7.3458986907870356</v>
      </c>
      <c r="I214">
        <v>0.72244900000000001</v>
      </c>
      <c r="J214">
        <v>2.0825770000000001</v>
      </c>
      <c r="K214">
        <v>2.9572620000000001</v>
      </c>
      <c r="L214" s="6">
        <f>DATE(LEFT(TBL_TEV[[#This Row],[Data]],4),MID(TBL_TEV[[#This Row],[Data]],5,2),RIGHT(TBL_TEV[[#This Row],[Data]],2))</f>
        <v>45590</v>
      </c>
      <c r="M214" t="str" cm="1">
        <f t="array" aca="1" ref="M214" ca="1">IF(_xlfn.SINGLE(TBL_TEV[Data2])&gt;=INDIRECT("L"&amp;COUNTA(TBL_TEV[Data])+1)-365, "Ultimi 12 mesi", "Vecchi dati")</f>
        <v>Vecchi dati</v>
      </c>
      <c r="Q214" s="12"/>
    </row>
    <row r="215" spans="1:17">
      <c r="A215">
        <v>20241028</v>
      </c>
      <c r="B215" s="4">
        <v>1.522524</v>
      </c>
      <c r="C215" s="5">
        <v>0.286694</v>
      </c>
      <c r="D215" s="5">
        <v>0.76213500000000001</v>
      </c>
      <c r="E215" s="5">
        <v>2.0020929999999999</v>
      </c>
      <c r="F215" s="5">
        <v>2.9871059999999998</v>
      </c>
      <c r="G215" s="5">
        <v>2.4724550000000001</v>
      </c>
      <c r="H215" s="5">
        <f>TBL_Dati_OS[[#This Row],[Valore Volatilità]]</f>
        <v>7.4330167413059387</v>
      </c>
      <c r="I215">
        <v>0.72244900000000001</v>
      </c>
      <c r="J215">
        <v>2.0825770000000001</v>
      </c>
      <c r="K215">
        <v>2.9572620000000001</v>
      </c>
      <c r="L215" s="6">
        <f>DATE(LEFT(TBL_TEV[[#This Row],[Data]],4),MID(TBL_TEV[[#This Row],[Data]],5,2),RIGHT(TBL_TEV[[#This Row],[Data]],2))</f>
        <v>45593</v>
      </c>
      <c r="M215" t="str" cm="1">
        <f t="array" aca="1" ref="M215" ca="1">IF(_xlfn.SINGLE(TBL_TEV[Data2])&gt;=INDIRECT("L"&amp;COUNTA(TBL_TEV[Data])+1)-365, "Ultimi 12 mesi", "Vecchi dati")</f>
        <v>Vecchi dati</v>
      </c>
      <c r="Q215" s="12"/>
    </row>
    <row r="216" spans="1:17">
      <c r="A216">
        <v>20241029</v>
      </c>
      <c r="B216" s="7">
        <v>1.5229999999999999</v>
      </c>
      <c r="C216" s="8">
        <v>0.28716999999999998</v>
      </c>
      <c r="D216" s="8">
        <v>0.76276999999999995</v>
      </c>
      <c r="E216" s="8">
        <v>1.993679</v>
      </c>
      <c r="F216" s="8">
        <v>2.9705970000000002</v>
      </c>
      <c r="G216" s="8">
        <v>2.4667400000000002</v>
      </c>
      <c r="H216" s="8">
        <f>TBL_Dati_OS[[#This Row],[Valore Volatilità]]</f>
        <v>7.37193651579486</v>
      </c>
      <c r="I216">
        <v>0.72244900000000001</v>
      </c>
      <c r="J216">
        <v>2.0825770000000001</v>
      </c>
      <c r="K216">
        <v>2.9572620000000001</v>
      </c>
      <c r="L216" s="6">
        <f>DATE(LEFT(TBL_TEV[[#This Row],[Data]],4),MID(TBL_TEV[[#This Row],[Data]],5,2),RIGHT(TBL_TEV[[#This Row],[Data]],2))</f>
        <v>45594</v>
      </c>
      <c r="M216" t="str" cm="1">
        <f t="array" aca="1" ref="M216" ca="1">IF(_xlfn.SINGLE(TBL_TEV[Data2])&gt;=INDIRECT("L"&amp;COUNTA(TBL_TEV[Data])+1)-365, "Ultimi 12 mesi", "Vecchi dati")</f>
        <v>Vecchi dati</v>
      </c>
      <c r="Q216" s="12"/>
    </row>
    <row r="217" spans="1:17">
      <c r="A217">
        <v>20241030</v>
      </c>
      <c r="B217" s="4">
        <v>1.484901</v>
      </c>
      <c r="C217" s="5">
        <v>0.32034800000000002</v>
      </c>
      <c r="D217" s="5">
        <v>0.76880199999999999</v>
      </c>
      <c r="E217" s="5">
        <v>1.937484</v>
      </c>
      <c r="F217" s="5">
        <v>2.8901129999999999</v>
      </c>
      <c r="G217" s="5">
        <v>2.439594</v>
      </c>
      <c r="H217" s="5">
        <f>TBL_Dati_OS[[#This Row],[Valore Volatilità]]</f>
        <v>7.2639666361435697</v>
      </c>
      <c r="I217">
        <v>0.72244900000000001</v>
      </c>
      <c r="J217">
        <v>2.0825770000000001</v>
      </c>
      <c r="K217">
        <v>2.9572620000000001</v>
      </c>
      <c r="L217" s="6">
        <f>DATE(LEFT(TBL_TEV[[#This Row],[Data]],4),MID(TBL_TEV[[#This Row],[Data]],5,2),RIGHT(TBL_TEV[[#This Row],[Data]],2))</f>
        <v>45595</v>
      </c>
      <c r="M217" t="str" cm="1">
        <f t="array" aca="1" ref="M217" ca="1">IF(_xlfn.SINGLE(TBL_TEV[Data2])&gt;=INDIRECT("L"&amp;COUNTA(TBL_TEV[Data])+1)-365, "Ultimi 12 mesi", "Vecchi dati")</f>
        <v>Vecchi dati</v>
      </c>
      <c r="Q217" s="12"/>
    </row>
    <row r="218" spans="1:17">
      <c r="A218">
        <v>20241031</v>
      </c>
      <c r="B218" s="7">
        <v>1.462677</v>
      </c>
      <c r="C218" s="8">
        <v>0.25192799999999999</v>
      </c>
      <c r="D218" s="8">
        <v>0.747054</v>
      </c>
      <c r="E218" s="8">
        <v>1.9179580000000001</v>
      </c>
      <c r="F218" s="8">
        <v>2.8875730000000002</v>
      </c>
      <c r="G218" s="8">
        <v>2.4278469999999999</v>
      </c>
      <c r="H218" s="8">
        <f>TBL_Dati_OS[[#This Row],[Valore Volatilità]]</f>
        <v>7.2360939419953265</v>
      </c>
      <c r="I218">
        <v>0.72244900000000001</v>
      </c>
      <c r="J218">
        <v>2.0825770000000001</v>
      </c>
      <c r="K218">
        <v>2.9572620000000001</v>
      </c>
      <c r="L218" s="6">
        <f>DATE(LEFT(TBL_TEV[[#This Row],[Data]],4),MID(TBL_TEV[[#This Row],[Data]],5,2),RIGHT(TBL_TEV[[#This Row],[Data]],2))</f>
        <v>45596</v>
      </c>
      <c r="M218" t="str" cm="1">
        <f t="array" aca="1" ref="M218" ca="1">IF(_xlfn.SINGLE(TBL_TEV[Data2])&gt;=INDIRECT("L"&amp;COUNTA(TBL_TEV[Data])+1)-365, "Ultimi 12 mesi", "Vecchi dati")</f>
        <v>Vecchi dati</v>
      </c>
      <c r="Q218" s="12"/>
    </row>
    <row r="219" spans="1:17">
      <c r="A219">
        <v>20241101</v>
      </c>
      <c r="B219" s="4">
        <v>1.454264</v>
      </c>
      <c r="C219" s="5">
        <v>0.24970600000000001</v>
      </c>
      <c r="D219" s="5">
        <v>0.73832299999999995</v>
      </c>
      <c r="E219" s="5">
        <v>1.903195</v>
      </c>
      <c r="F219" s="5">
        <v>2.8615390000000001</v>
      </c>
      <c r="G219" s="5">
        <v>2.4241959999999998</v>
      </c>
      <c r="H219" s="5">
        <f>TBL_Dati_OS[[#This Row],[Valore Volatilità]]</f>
        <v>7.2360939419953265</v>
      </c>
      <c r="I219">
        <v>0.72244900000000001</v>
      </c>
      <c r="J219">
        <v>2.0825770000000001</v>
      </c>
      <c r="K219">
        <v>2.9572620000000001</v>
      </c>
      <c r="L219" s="6">
        <f>DATE(LEFT(TBL_TEV[[#This Row],[Data]],4),MID(TBL_TEV[[#This Row],[Data]],5,2),RIGHT(TBL_TEV[[#This Row],[Data]],2))</f>
        <v>45597</v>
      </c>
      <c r="M219" t="str" cm="1">
        <f t="array" aca="1" ref="M219" ca="1">IF(_xlfn.SINGLE(TBL_TEV[Data2])&gt;=INDIRECT("L"&amp;COUNTA(TBL_TEV[Data])+1)-365, "Ultimi 12 mesi", "Vecchi dati")</f>
        <v>Vecchi dati</v>
      </c>
      <c r="Q219" s="12"/>
    </row>
    <row r="220" spans="1:17">
      <c r="A220">
        <v>20241104</v>
      </c>
      <c r="B220" s="7">
        <v>1.445533</v>
      </c>
      <c r="C220" s="8">
        <v>0.249389</v>
      </c>
      <c r="D220" s="8">
        <v>0.73387800000000003</v>
      </c>
      <c r="E220" s="8">
        <v>1.8882730000000001</v>
      </c>
      <c r="F220" s="8">
        <v>2.844236</v>
      </c>
      <c r="G220" s="8">
        <v>2.4135599999999999</v>
      </c>
      <c r="H220" s="8">
        <f>TBL_Dati_OS[[#This Row],[Valore Volatilità]]</f>
        <v>7.218014994811254</v>
      </c>
      <c r="I220">
        <v>0.72244900000000001</v>
      </c>
      <c r="J220">
        <v>2.0825770000000001</v>
      </c>
      <c r="K220">
        <v>2.9572620000000001</v>
      </c>
      <c r="L220" s="6">
        <f>DATE(LEFT(TBL_TEV[[#This Row],[Data]],4),MID(TBL_TEV[[#This Row],[Data]],5,2),RIGHT(TBL_TEV[[#This Row],[Data]],2))</f>
        <v>45600</v>
      </c>
      <c r="M220" t="str" cm="1">
        <f t="array" aca="1" ref="M220" ca="1">IF(_xlfn.SINGLE(TBL_TEV[Data2])&gt;=INDIRECT("L"&amp;COUNTA(TBL_TEV[Data])+1)-365, "Ultimi 12 mesi", "Vecchi dati")</f>
        <v>Vecchi dati</v>
      </c>
      <c r="Q220" s="12"/>
    </row>
    <row r="221" spans="1:17">
      <c r="A221">
        <v>20241105</v>
      </c>
      <c r="B221" s="4">
        <v>1.458391</v>
      </c>
      <c r="C221" s="5">
        <v>0.24811900000000001</v>
      </c>
      <c r="D221" s="5">
        <v>0.737371</v>
      </c>
      <c r="E221" s="5">
        <v>1.908433</v>
      </c>
      <c r="F221" s="5">
        <v>2.862333</v>
      </c>
      <c r="G221" s="5">
        <v>2.4468969999999999</v>
      </c>
      <c r="H221" s="5">
        <f>TBL_Dati_OS[[#This Row],[Valore Volatilità]]</f>
        <v>7.2498854550893199</v>
      </c>
      <c r="I221">
        <v>0.72244900000000001</v>
      </c>
      <c r="J221">
        <v>2.0825770000000001</v>
      </c>
      <c r="K221">
        <v>2.9572620000000001</v>
      </c>
      <c r="L221" s="6">
        <f>DATE(LEFT(TBL_TEV[[#This Row],[Data]],4),MID(TBL_TEV[[#This Row],[Data]],5,2),RIGHT(TBL_TEV[[#This Row],[Data]],2))</f>
        <v>45601</v>
      </c>
      <c r="M221" t="str" cm="1">
        <f t="array" aca="1" ref="M221" ca="1">IF(_xlfn.SINGLE(TBL_TEV[Data2])&gt;=INDIRECT("L"&amp;COUNTA(TBL_TEV[Data])+1)-365, "Ultimi 12 mesi", "Vecchi dati")</f>
        <v>Vecchi dati</v>
      </c>
      <c r="Q221" s="12"/>
    </row>
    <row r="222" spans="1:17">
      <c r="A222">
        <v>20241106</v>
      </c>
      <c r="B222" s="7">
        <v>1.548082</v>
      </c>
      <c r="C222" s="8">
        <v>0.24970600000000001</v>
      </c>
      <c r="D222" s="8">
        <v>0.748166</v>
      </c>
      <c r="E222" s="8">
        <v>2.15306</v>
      </c>
      <c r="F222" s="8">
        <v>3.2357010000000002</v>
      </c>
      <c r="G222" s="8">
        <v>2.5015049999999999</v>
      </c>
      <c r="H222" s="8">
        <f>TBL_Dati_OS[[#This Row],[Valore Volatilità]]</f>
        <v>7.5101422797740049</v>
      </c>
      <c r="I222">
        <v>0.72244900000000001</v>
      </c>
      <c r="J222">
        <v>2.0825770000000001</v>
      </c>
      <c r="K222">
        <v>2.9572620000000001</v>
      </c>
      <c r="L222" s="6">
        <f>DATE(LEFT(TBL_TEV[[#This Row],[Data]],4),MID(TBL_TEV[[#This Row],[Data]],5,2),RIGHT(TBL_TEV[[#This Row],[Data]],2))</f>
        <v>45602</v>
      </c>
      <c r="M222" t="str" cm="1">
        <f t="array" aca="1" ref="M222" ca="1">IF(_xlfn.SINGLE(TBL_TEV[Data2])&gt;=INDIRECT("L"&amp;COUNTA(TBL_TEV[Data])+1)-365, "Ultimi 12 mesi", "Vecchi dati")</f>
        <v>Vecchi dati</v>
      </c>
      <c r="Q222" s="12"/>
    </row>
    <row r="223" spans="1:17">
      <c r="A223">
        <v>20241107</v>
      </c>
      <c r="B223" s="4">
        <v>1.5625279999999999</v>
      </c>
      <c r="C223" s="5">
        <v>0.24954699999999999</v>
      </c>
      <c r="D223" s="5">
        <v>0.75387999999999999</v>
      </c>
      <c r="E223" s="5">
        <v>2.1746490000000001</v>
      </c>
      <c r="F223" s="5">
        <v>3.2655449999999999</v>
      </c>
      <c r="G223" s="5">
        <v>2.509125</v>
      </c>
      <c r="H223" s="5">
        <f>TBL_Dati_OS[[#This Row],[Valore Volatilità]]</f>
        <v>7.476463984947844</v>
      </c>
      <c r="I223">
        <v>0.72244900000000001</v>
      </c>
      <c r="J223">
        <v>2.0825770000000001</v>
      </c>
      <c r="K223">
        <v>2.9572620000000001</v>
      </c>
      <c r="L223" s="6">
        <f>DATE(LEFT(TBL_TEV[[#This Row],[Data]],4),MID(TBL_TEV[[#This Row],[Data]],5,2),RIGHT(TBL_TEV[[#This Row],[Data]],2))</f>
        <v>45603</v>
      </c>
      <c r="M223" t="str" cm="1">
        <f t="array" aca="1" ref="M223" ca="1">IF(_xlfn.SINGLE(TBL_TEV[Data2])&gt;=INDIRECT("L"&amp;COUNTA(TBL_TEV[Data])+1)-365, "Ultimi 12 mesi", "Vecchi dati")</f>
        <v>Vecchi dati</v>
      </c>
      <c r="Q223" s="12"/>
    </row>
    <row r="224" spans="1:17">
      <c r="A224">
        <v>20241108</v>
      </c>
      <c r="B224" s="7">
        <v>1.5349060000000001</v>
      </c>
      <c r="C224" s="8">
        <v>0.249389</v>
      </c>
      <c r="D224" s="8">
        <v>0.74721300000000002</v>
      </c>
      <c r="E224" s="8">
        <v>2.176078</v>
      </c>
      <c r="F224" s="8">
        <v>3.3646020000000001</v>
      </c>
      <c r="G224" s="8">
        <v>2.5202369999999998</v>
      </c>
      <c r="H224" s="8">
        <f>TBL_Dati_OS[[#This Row],[Valore Volatilità]]</f>
        <v>7.7199642726871973</v>
      </c>
      <c r="I224">
        <v>0.72244900000000001</v>
      </c>
      <c r="J224">
        <v>2.0825770000000001</v>
      </c>
      <c r="K224">
        <v>2.9572620000000001</v>
      </c>
      <c r="L224" s="6">
        <f>DATE(LEFT(TBL_TEV[[#This Row],[Data]],4),MID(TBL_TEV[[#This Row],[Data]],5,2),RIGHT(TBL_TEV[[#This Row],[Data]],2))</f>
        <v>45604</v>
      </c>
      <c r="M224" t="str" cm="1">
        <f t="array" aca="1" ref="M224" ca="1">IF(_xlfn.SINGLE(TBL_TEV[Data2])&gt;=INDIRECT("L"&amp;COUNTA(TBL_TEV[Data])+1)-365, "Ultimi 12 mesi", "Vecchi dati")</f>
        <v>Vecchi dati</v>
      </c>
      <c r="Q224" s="12"/>
    </row>
    <row r="225" spans="1:17">
      <c r="A225">
        <v>20241111</v>
      </c>
      <c r="B225" s="4">
        <v>1.539034</v>
      </c>
      <c r="C225" s="5">
        <v>0.25208700000000001</v>
      </c>
      <c r="D225" s="5">
        <v>0.74800699999999998</v>
      </c>
      <c r="E225" s="5">
        <v>2.1943329999999999</v>
      </c>
      <c r="F225" s="5">
        <v>3.3998430000000002</v>
      </c>
      <c r="G225" s="5">
        <v>2.4927739999999998</v>
      </c>
      <c r="H225" s="5">
        <f>TBL_Dati_OS[[#This Row],[Valore Volatilità]]</f>
        <v>7.9834134312447098</v>
      </c>
      <c r="I225">
        <v>0.72244900000000001</v>
      </c>
      <c r="J225">
        <v>2.0825770000000001</v>
      </c>
      <c r="K225">
        <v>2.9572620000000001</v>
      </c>
      <c r="L225" s="6">
        <f>DATE(LEFT(TBL_TEV[[#This Row],[Data]],4),MID(TBL_TEV[[#This Row],[Data]],5,2),RIGHT(TBL_TEV[[#This Row],[Data]],2))</f>
        <v>45607</v>
      </c>
      <c r="M225" t="str" cm="1">
        <f t="array" aca="1" ref="M225" ca="1">IF(_xlfn.SINGLE(TBL_TEV[Data2])&gt;=INDIRECT("L"&amp;COUNTA(TBL_TEV[Data])+1)-365, "Ultimi 12 mesi", "Vecchi dati")</f>
        <v>Vecchi dati</v>
      </c>
      <c r="Q225" s="12"/>
    </row>
    <row r="226" spans="1:17">
      <c r="A226">
        <v>20241112</v>
      </c>
      <c r="B226" s="7">
        <v>1.5263340000000001</v>
      </c>
      <c r="C226" s="8">
        <v>0.252722</v>
      </c>
      <c r="D226" s="8">
        <v>0.74102199999999996</v>
      </c>
      <c r="E226" s="8">
        <v>2.176078</v>
      </c>
      <c r="F226" s="8">
        <v>3.3822230000000002</v>
      </c>
      <c r="G226" s="8">
        <v>2.541032</v>
      </c>
      <c r="H226" s="8">
        <f>TBL_Dati_OS[[#This Row],[Valore Volatilità]]</f>
        <v>7.6633581542069136</v>
      </c>
      <c r="I226">
        <v>0.72244900000000001</v>
      </c>
      <c r="J226">
        <v>2.0825770000000001</v>
      </c>
      <c r="K226">
        <v>2.9572620000000001</v>
      </c>
      <c r="L226" s="6">
        <f>DATE(LEFT(TBL_TEV[[#This Row],[Data]],4),MID(TBL_TEV[[#This Row],[Data]],5,2),RIGHT(TBL_TEV[[#This Row],[Data]],2))</f>
        <v>45608</v>
      </c>
      <c r="M226" t="str" cm="1">
        <f t="array" aca="1" ref="M226" ca="1">IF(_xlfn.SINGLE(TBL_TEV[Data2])&gt;=INDIRECT("L"&amp;COUNTA(TBL_TEV[Data])+1)-365, "Ultimi 12 mesi", "Vecchi dati")</f>
        <v>Vecchi dati</v>
      </c>
      <c r="Q226" s="12"/>
    </row>
    <row r="227" spans="1:17">
      <c r="A227">
        <v>20241113</v>
      </c>
      <c r="B227" s="4">
        <v>1.5557019999999999</v>
      </c>
      <c r="C227" s="5">
        <v>0.29685299999999998</v>
      </c>
      <c r="D227" s="5">
        <v>0.77483500000000005</v>
      </c>
      <c r="E227" s="5">
        <v>2.1813159999999998</v>
      </c>
      <c r="F227" s="5">
        <v>3.3988909999999999</v>
      </c>
      <c r="G227" s="5">
        <v>2.5300790000000002</v>
      </c>
      <c r="H227" s="5">
        <f>TBL_Dati_OS[[#This Row],[Valore Volatilità]]</f>
        <v>7.7396537912346748</v>
      </c>
      <c r="I227">
        <v>0.72244900000000001</v>
      </c>
      <c r="J227">
        <v>2.0825770000000001</v>
      </c>
      <c r="K227">
        <v>2.9572620000000001</v>
      </c>
      <c r="L227" s="6">
        <f>DATE(LEFT(TBL_TEV[[#This Row],[Data]],4),MID(TBL_TEV[[#This Row],[Data]],5,2),RIGHT(TBL_TEV[[#This Row],[Data]],2))</f>
        <v>45609</v>
      </c>
      <c r="M227" t="str" cm="1">
        <f t="array" aca="1" ref="M227" ca="1">IF(_xlfn.SINGLE(TBL_TEV[Data2])&gt;=INDIRECT("L"&amp;COUNTA(TBL_TEV[Data])+1)-365, "Ultimi 12 mesi", "Vecchi dati")</f>
        <v>Vecchi dati</v>
      </c>
      <c r="Q227" s="12"/>
    </row>
    <row r="228" spans="1:17">
      <c r="A228">
        <v>20241114</v>
      </c>
      <c r="B228" s="7">
        <v>1.5555429999999999</v>
      </c>
      <c r="C228" s="8">
        <v>0.31304500000000002</v>
      </c>
      <c r="D228" s="8">
        <v>0.77927999999999997</v>
      </c>
      <c r="E228" s="8">
        <v>2.1706799999999999</v>
      </c>
      <c r="F228" s="8">
        <v>3.393494</v>
      </c>
      <c r="G228" s="8">
        <v>2.5299200000000002</v>
      </c>
      <c r="H228" s="8">
        <f>TBL_Dati_OS[[#This Row],[Valore Volatilità]]</f>
        <v>7.8514837782128266</v>
      </c>
      <c r="I228">
        <v>0.72244900000000001</v>
      </c>
      <c r="J228">
        <v>2.0825770000000001</v>
      </c>
      <c r="K228">
        <v>2.9572620000000001</v>
      </c>
      <c r="L228" s="6">
        <f>DATE(LEFT(TBL_TEV[[#This Row],[Data]],4),MID(TBL_TEV[[#This Row],[Data]],5,2),RIGHT(TBL_TEV[[#This Row],[Data]],2))</f>
        <v>45610</v>
      </c>
      <c r="M228" t="str" cm="1">
        <f t="array" aca="1" ref="M228" ca="1">IF(_xlfn.SINGLE(TBL_TEV[Data2])&gt;=INDIRECT("L"&amp;COUNTA(TBL_TEV[Data])+1)-365, "Ultimi 12 mesi", "Vecchi dati")</f>
        <v>Vecchi dati</v>
      </c>
      <c r="Q228" s="12"/>
    </row>
    <row r="229" spans="1:17">
      <c r="A229">
        <v>20241115</v>
      </c>
      <c r="B229" s="4">
        <v>1.575545</v>
      </c>
      <c r="C229" s="5">
        <v>0.31272800000000001</v>
      </c>
      <c r="D229" s="5">
        <v>0.82769700000000002</v>
      </c>
      <c r="E229" s="5">
        <v>2.1906819999999998</v>
      </c>
      <c r="F229" s="5">
        <v>3.4101620000000001</v>
      </c>
      <c r="G229" s="5">
        <v>2.5170620000000001</v>
      </c>
      <c r="H229" s="5">
        <f>TBL_Dati_OS[[#This Row],[Valore Volatilità]]</f>
        <v>7.6337609334881478</v>
      </c>
      <c r="I229">
        <v>0.72244900000000001</v>
      </c>
      <c r="J229">
        <v>2.0825770000000001</v>
      </c>
      <c r="K229">
        <v>2.9572620000000001</v>
      </c>
      <c r="L229" s="6">
        <f>DATE(LEFT(TBL_TEV[[#This Row],[Data]],4),MID(TBL_TEV[[#This Row],[Data]],5,2),RIGHT(TBL_TEV[[#This Row],[Data]],2))</f>
        <v>45611</v>
      </c>
      <c r="M229" t="str" cm="1">
        <f t="array" aca="1" ref="M229" ca="1">IF(_xlfn.SINGLE(TBL_TEV[Data2])&gt;=INDIRECT("L"&amp;COUNTA(TBL_TEV[Data])+1)-365, "Ultimi 12 mesi", "Vecchi dati")</f>
        <v>Vecchi dati</v>
      </c>
      <c r="Q229" s="12"/>
    </row>
    <row r="230" spans="1:17">
      <c r="A230">
        <v>20241118</v>
      </c>
      <c r="B230" s="7">
        <v>1.557607</v>
      </c>
      <c r="C230" s="8">
        <v>0.31161699999999998</v>
      </c>
      <c r="D230" s="8">
        <v>0.82499800000000001</v>
      </c>
      <c r="E230" s="8">
        <v>2.1779820000000001</v>
      </c>
      <c r="F230" s="8">
        <v>3.38381</v>
      </c>
      <c r="G230" s="8">
        <v>2.4791219999999998</v>
      </c>
      <c r="H230" s="8">
        <f>TBL_Dati_OS[[#This Row],[Valore Volatilità]]</f>
        <v>7.7858204896628074</v>
      </c>
      <c r="I230">
        <v>0.72244900000000001</v>
      </c>
      <c r="J230">
        <v>2.0825770000000001</v>
      </c>
      <c r="K230">
        <v>2.9572620000000001</v>
      </c>
      <c r="L230" s="6">
        <f>DATE(LEFT(TBL_TEV[[#This Row],[Data]],4),MID(TBL_TEV[[#This Row],[Data]],5,2),RIGHT(TBL_TEV[[#This Row],[Data]],2))</f>
        <v>45614</v>
      </c>
      <c r="M230" t="str" cm="1">
        <f t="array" aca="1" ref="M230" ca="1">IF(_xlfn.SINGLE(TBL_TEV[Data2])&gt;=INDIRECT("L"&amp;COUNTA(TBL_TEV[Data])+1)-365, "Ultimi 12 mesi", "Vecchi dati")</f>
        <v>Vecchi dati</v>
      </c>
      <c r="Q230" s="12"/>
    </row>
    <row r="231" spans="1:17">
      <c r="A231">
        <v>20241119</v>
      </c>
      <c r="B231" s="4">
        <v>1.5598289999999999</v>
      </c>
      <c r="C231" s="5">
        <v>0.31193399999999999</v>
      </c>
      <c r="D231" s="5">
        <v>0.82531600000000005</v>
      </c>
      <c r="E231" s="5">
        <v>2.174331</v>
      </c>
      <c r="F231" s="5">
        <v>3.3823810000000001</v>
      </c>
      <c r="G231" s="5">
        <v>2.5438900000000002</v>
      </c>
      <c r="H231" s="5">
        <f>TBL_Dati_OS[[#This Row],[Valore Volatilità]]</f>
        <v>7.7950422803451245</v>
      </c>
      <c r="I231">
        <v>0.72244900000000001</v>
      </c>
      <c r="J231">
        <v>2.0825770000000001</v>
      </c>
      <c r="K231">
        <v>2.9572620000000001</v>
      </c>
      <c r="L231" s="6">
        <f>DATE(LEFT(TBL_TEV[[#This Row],[Data]],4),MID(TBL_TEV[[#This Row],[Data]],5,2),RIGHT(TBL_TEV[[#This Row],[Data]],2))</f>
        <v>45615</v>
      </c>
      <c r="M231" t="str" cm="1">
        <f t="array" aca="1" ref="M231" ca="1">IF(_xlfn.SINGLE(TBL_TEV[Data2])&gt;=INDIRECT("L"&amp;COUNTA(TBL_TEV[Data])+1)-365, "Ultimi 12 mesi", "Vecchi dati")</f>
        <v>Vecchi dati</v>
      </c>
      <c r="Q231" s="12"/>
    </row>
    <row r="232" spans="1:17">
      <c r="A232">
        <v>20241120</v>
      </c>
      <c r="B232" s="7">
        <v>1.5539559999999999</v>
      </c>
      <c r="C232" s="8">
        <v>0.31050499999999998</v>
      </c>
      <c r="D232" s="8">
        <v>0.82309299999999996</v>
      </c>
      <c r="E232" s="8">
        <v>2.166553</v>
      </c>
      <c r="F232" s="8">
        <v>3.3676179999999998</v>
      </c>
      <c r="G232" s="8">
        <v>2.518014</v>
      </c>
      <c r="H232" s="8">
        <f>TBL_Dati_OS[[#This Row],[Valore Volatilità]]</f>
        <v>7.7285303638665628</v>
      </c>
      <c r="I232">
        <v>0.72244900000000001</v>
      </c>
      <c r="J232">
        <v>2.0825770000000001</v>
      </c>
      <c r="K232">
        <v>2.9572620000000001</v>
      </c>
      <c r="L232" s="6">
        <f>DATE(LEFT(TBL_TEV[[#This Row],[Data]],4),MID(TBL_TEV[[#This Row],[Data]],5,2),RIGHT(TBL_TEV[[#This Row],[Data]],2))</f>
        <v>45616</v>
      </c>
      <c r="M232" t="str" cm="1">
        <f t="array" aca="1" ref="M232" ca="1">IF(_xlfn.SINGLE(TBL_TEV[Data2])&gt;=INDIRECT("L"&amp;COUNTA(TBL_TEV[Data])+1)-365, "Ultimi 12 mesi", "Vecchi dati")</f>
        <v>Vecchi dati</v>
      </c>
      <c r="Q232" s="12"/>
    </row>
    <row r="233" spans="1:17">
      <c r="A233">
        <v>20241121</v>
      </c>
      <c r="B233" s="4">
        <v>1.5547489999999999</v>
      </c>
      <c r="C233" s="5">
        <v>0.310664</v>
      </c>
      <c r="D233" s="5">
        <v>0.82198199999999999</v>
      </c>
      <c r="E233" s="5">
        <v>2.1575039999999999</v>
      </c>
      <c r="F233" s="5">
        <v>3.3550770000000001</v>
      </c>
      <c r="G233" s="5">
        <v>2.513252</v>
      </c>
      <c r="H233" s="5">
        <f>TBL_Dati_OS[[#This Row],[Valore Volatilità]]</f>
        <v>7.8137241446036523</v>
      </c>
      <c r="I233">
        <v>0.72244900000000001</v>
      </c>
      <c r="J233">
        <v>2.0825770000000001</v>
      </c>
      <c r="K233">
        <v>2.9572620000000001</v>
      </c>
      <c r="L233" s="6">
        <f>DATE(LEFT(TBL_TEV[[#This Row],[Data]],4),MID(TBL_TEV[[#This Row],[Data]],5,2),RIGHT(TBL_TEV[[#This Row],[Data]],2))</f>
        <v>45617</v>
      </c>
      <c r="M233" t="str" cm="1">
        <f t="array" aca="1" ref="M233" ca="1">IF(_xlfn.SINGLE(TBL_TEV[Data2])&gt;=INDIRECT("L"&amp;COUNTA(TBL_TEV[Data])+1)-365, "Ultimi 12 mesi", "Vecchi dati")</f>
        <v>Vecchi dati</v>
      </c>
      <c r="Q233" s="12"/>
    </row>
    <row r="234" spans="1:17">
      <c r="A234">
        <v>20241122</v>
      </c>
      <c r="B234" s="7">
        <v>1.5588770000000001</v>
      </c>
      <c r="C234" s="8">
        <v>0.31114000000000003</v>
      </c>
      <c r="D234" s="8">
        <v>0.82563299999999995</v>
      </c>
      <c r="E234" s="8">
        <v>2.1719499999999998</v>
      </c>
      <c r="F234" s="8">
        <v>3.3625379999999998</v>
      </c>
      <c r="G234" s="8">
        <v>2.5283329999999999</v>
      </c>
      <c r="H234" s="8">
        <f>TBL_Dati_OS[[#This Row],[Valore Volatilità]]</f>
        <v>7.6378470460606467</v>
      </c>
      <c r="I234">
        <v>0.72244900000000001</v>
      </c>
      <c r="J234">
        <v>2.0825770000000001</v>
      </c>
      <c r="K234">
        <v>2.9572620000000001</v>
      </c>
      <c r="L234" s="6">
        <f>DATE(LEFT(TBL_TEV[[#This Row],[Data]],4),MID(TBL_TEV[[#This Row],[Data]],5,2),RIGHT(TBL_TEV[[#This Row],[Data]],2))</f>
        <v>45618</v>
      </c>
      <c r="M234" t="str" cm="1">
        <f t="array" aca="1" ref="M234" ca="1">IF(_xlfn.SINGLE(TBL_TEV[Data2])&gt;=INDIRECT("L"&amp;COUNTA(TBL_TEV[Data])+1)-365, "Ultimi 12 mesi", "Vecchi dati")</f>
        <v>Vecchi dati</v>
      </c>
      <c r="Q234" s="12"/>
    </row>
    <row r="235" spans="1:17">
      <c r="A235">
        <v>20241125</v>
      </c>
      <c r="B235" s="4">
        <v>1.5436369999999999</v>
      </c>
      <c r="C235" s="5">
        <v>0.31161699999999998</v>
      </c>
      <c r="D235" s="5">
        <v>0.81467999999999996</v>
      </c>
      <c r="E235" s="5">
        <v>2.2543389999999999</v>
      </c>
      <c r="F235" s="5">
        <v>3.3453940000000002</v>
      </c>
      <c r="G235" s="5">
        <v>2.5491280000000001</v>
      </c>
      <c r="H235" s="5">
        <f>TBL_Dati_OS[[#This Row],[Valore Volatilità]]</f>
        <v>7.5912345765369764</v>
      </c>
      <c r="I235">
        <v>0.72244900000000001</v>
      </c>
      <c r="J235">
        <v>2.0825770000000001</v>
      </c>
      <c r="K235">
        <v>2.9572620000000001</v>
      </c>
      <c r="L235" s="6">
        <f>DATE(LEFT(TBL_TEV[[#This Row],[Data]],4),MID(TBL_TEV[[#This Row],[Data]],5,2),RIGHT(TBL_TEV[[#This Row],[Data]],2))</f>
        <v>45621</v>
      </c>
      <c r="M235" t="str" cm="1">
        <f t="array" aca="1" ref="M235" ca="1">IF(_xlfn.SINGLE(TBL_TEV[Data2])&gt;=INDIRECT("L"&amp;COUNTA(TBL_TEV[Data])+1)-365, "Ultimi 12 mesi", "Vecchi dati")</f>
        <v>Vecchi dati</v>
      </c>
      <c r="Q235" s="12"/>
    </row>
    <row r="236" spans="1:17">
      <c r="A236" s="9">
        <v>20241126</v>
      </c>
      <c r="B236" s="7">
        <v>1.533795</v>
      </c>
      <c r="C236" s="8">
        <v>0.26827899999999999</v>
      </c>
      <c r="D236" s="8">
        <v>0.77181900000000003</v>
      </c>
      <c r="E236" s="8">
        <v>2.4738829999999998</v>
      </c>
      <c r="F236" s="10">
        <v>3.6385960000000002</v>
      </c>
      <c r="G236" s="8">
        <v>2.3387910000000001</v>
      </c>
      <c r="H236" s="8">
        <f>TBL_Dati_OS[[#This Row],[Valore Volatilità]]</f>
        <v>7.6901282788913825</v>
      </c>
      <c r="I236">
        <v>0.72244900000000001</v>
      </c>
      <c r="J236">
        <v>2.0825770000000001</v>
      </c>
      <c r="K236">
        <v>2.9572620000000001</v>
      </c>
      <c r="L236" s="6">
        <f>DATE(LEFT(TBL_TEV[[#This Row],[Data]],4),MID(TBL_TEV[[#This Row],[Data]],5,2),RIGHT(TBL_TEV[[#This Row],[Data]],2))</f>
        <v>45622</v>
      </c>
      <c r="M236" t="str" cm="1">
        <f t="array" aca="1" ref="M236" ca="1">IF(_xlfn.SINGLE(TBL_TEV[Data2])&gt;=INDIRECT("L"&amp;COUNTA(TBL_TEV[Data])+1)-365, "Ultimi 12 mesi", "Vecchi dati")</f>
        <v>Vecchi dati</v>
      </c>
      <c r="Q236" s="12"/>
    </row>
    <row r="237" spans="1:17">
      <c r="A237" s="9">
        <v>20241127</v>
      </c>
      <c r="B237" s="4">
        <v>1.51919</v>
      </c>
      <c r="C237" s="5">
        <v>0.27066000000000001</v>
      </c>
      <c r="D237" s="5">
        <v>0.73070400000000002</v>
      </c>
      <c r="E237" s="5">
        <v>2.4518179999999998</v>
      </c>
      <c r="F237" s="11">
        <v>3.620816</v>
      </c>
      <c r="G237" s="5">
        <v>2.3279969999999999</v>
      </c>
      <c r="H237" s="5">
        <f>TBL_Dati_OS[[#This Row],[Valore Volatilità]]</f>
        <v>7.6342893737293522</v>
      </c>
      <c r="I237">
        <v>0.72244900000000001</v>
      </c>
      <c r="J237">
        <v>2.0825770000000001</v>
      </c>
      <c r="K237">
        <v>2.9572620000000001</v>
      </c>
      <c r="L237" s="6">
        <f>DATE(LEFT(TBL_TEV[[#This Row],[Data]],4),MID(TBL_TEV[[#This Row],[Data]],5,2),RIGHT(TBL_TEV[[#This Row],[Data]],2))</f>
        <v>45623</v>
      </c>
      <c r="M237" t="str" cm="1">
        <f t="array" aca="1" ref="M237" ca="1">IF(_xlfn.SINGLE(TBL_TEV[Data2])&gt;=INDIRECT("L"&amp;COUNTA(TBL_TEV[Data])+1)-365, "Ultimi 12 mesi", "Vecchi dati")</f>
        <v>Vecchi dati</v>
      </c>
      <c r="Q237" s="12"/>
    </row>
    <row r="238" spans="1:17">
      <c r="A238" s="9">
        <v>20241128</v>
      </c>
      <c r="B238" s="7">
        <v>1.504586</v>
      </c>
      <c r="C238" s="8">
        <v>0.27081899999999998</v>
      </c>
      <c r="D238" s="8">
        <v>0.71467000000000003</v>
      </c>
      <c r="E238" s="8">
        <v>2.4470550000000002</v>
      </c>
      <c r="F238" s="10">
        <v>3.6160540000000001</v>
      </c>
      <c r="G238" s="8">
        <v>2.3100580000000002</v>
      </c>
      <c r="H238" s="8">
        <f>TBL_Dati_OS[[#This Row],[Valore Volatilità]]</f>
        <v>7.5321991318111996</v>
      </c>
      <c r="I238">
        <v>0.72244900000000001</v>
      </c>
      <c r="J238">
        <v>2.0825770000000001</v>
      </c>
      <c r="K238">
        <v>2.9572620000000001</v>
      </c>
      <c r="L238" s="6">
        <f>DATE(LEFT(TBL_TEV[[#This Row],[Data]],4),MID(TBL_TEV[[#This Row],[Data]],5,2),RIGHT(TBL_TEV[[#This Row],[Data]],2))</f>
        <v>45624</v>
      </c>
      <c r="M238" t="str" cm="1">
        <f t="array" aca="1" ref="M238" ca="1">IF(_xlfn.SINGLE(TBL_TEV[Data2])&gt;=INDIRECT("L"&amp;COUNTA(TBL_TEV[Data])+1)-365, "Ultimi 12 mesi", "Vecchi dati")</f>
        <v>Vecchi dati</v>
      </c>
      <c r="Q238" s="12"/>
    </row>
    <row r="239" spans="1:17">
      <c r="A239" s="9">
        <v>20241129</v>
      </c>
      <c r="B239" s="4">
        <v>1.497125</v>
      </c>
      <c r="C239" s="5">
        <v>0.25208700000000001</v>
      </c>
      <c r="D239" s="5">
        <v>0.69546200000000002</v>
      </c>
      <c r="E239" s="5">
        <v>2.4451499999999999</v>
      </c>
      <c r="F239" s="11">
        <v>3.6152600000000001</v>
      </c>
      <c r="G239" s="5">
        <v>2.3046609999999998</v>
      </c>
      <c r="H239" s="5">
        <f>TBL_Dati_OS[[#This Row],[Valore Volatilità]]</f>
        <v>7.4490190193628969</v>
      </c>
      <c r="I239">
        <v>0.72244900000000001</v>
      </c>
      <c r="J239">
        <v>2.0825770000000001</v>
      </c>
      <c r="K239">
        <v>2.9572620000000001</v>
      </c>
      <c r="L239" s="6">
        <f>DATE(LEFT(TBL_TEV[[#This Row],[Data]],4),MID(TBL_TEV[[#This Row],[Data]],5,2),RIGHT(TBL_TEV[[#This Row],[Data]],2))</f>
        <v>45625</v>
      </c>
      <c r="M239" t="str" cm="1">
        <f t="array" aca="1" ref="M239" ca="1">IF(_xlfn.SINGLE(TBL_TEV[Data2])&gt;=INDIRECT("L"&amp;COUNTA(TBL_TEV[Data])+1)-365, "Ultimi 12 mesi", "Vecchi dati")</f>
        <v>Vecchi dati</v>
      </c>
      <c r="Q239" s="12"/>
    </row>
    <row r="240" spans="1:17">
      <c r="A240" s="9">
        <v>20241202</v>
      </c>
      <c r="B240" s="7">
        <v>1.5004580000000001</v>
      </c>
      <c r="C240" s="8">
        <v>0.25161099999999997</v>
      </c>
      <c r="D240" s="8">
        <v>0.693716</v>
      </c>
      <c r="E240" s="8">
        <v>2.4422929999999998</v>
      </c>
      <c r="F240" s="10">
        <v>3.599227</v>
      </c>
      <c r="G240" s="8">
        <v>2.3106930000000001</v>
      </c>
      <c r="H240" s="8">
        <f>TBL_Dati_OS[[#This Row],[Valore Volatilità]]</f>
        <v>7.6131641427235168</v>
      </c>
      <c r="I240">
        <v>0.72244900000000001</v>
      </c>
      <c r="J240">
        <v>2.0825770000000001</v>
      </c>
      <c r="K240">
        <v>2.9572620000000001</v>
      </c>
      <c r="L240" s="6">
        <f>DATE(LEFT(TBL_TEV[[#This Row],[Data]],4),MID(TBL_TEV[[#This Row],[Data]],5,2),RIGHT(TBL_TEV[[#This Row],[Data]],2))</f>
        <v>45628</v>
      </c>
      <c r="M240" t="str" cm="1">
        <f t="array" aca="1" ref="M240" ca="1">IF(_xlfn.SINGLE(TBL_TEV[Data2])&gt;=INDIRECT("L"&amp;COUNTA(TBL_TEV[Data])+1)-365, "Ultimi 12 mesi", "Vecchi dati")</f>
        <v>Vecchi dati</v>
      </c>
      <c r="Q240" s="12"/>
    </row>
    <row r="241" spans="1:17">
      <c r="A241" s="9">
        <v>20241203</v>
      </c>
      <c r="B241" s="4">
        <v>1.4974419999999999</v>
      </c>
      <c r="C241" s="5">
        <v>0.25097599999999998</v>
      </c>
      <c r="D241" s="5">
        <v>0.69165200000000004</v>
      </c>
      <c r="E241" s="5">
        <v>2.4335619999999998</v>
      </c>
      <c r="F241" s="11">
        <v>3.5897019999999999</v>
      </c>
      <c r="G241" s="5">
        <v>2.3327589999999998</v>
      </c>
      <c r="H241" s="5">
        <f>TBL_Dati_OS[[#This Row],[Valore Volatilità]]</f>
        <v>7.5782963591583199</v>
      </c>
      <c r="I241">
        <v>0.72244900000000001</v>
      </c>
      <c r="J241">
        <v>2.0825770000000001</v>
      </c>
      <c r="K241">
        <v>2.9572620000000001</v>
      </c>
      <c r="L241" s="6">
        <f>DATE(LEFT(TBL_TEV[[#This Row],[Data]],4),MID(TBL_TEV[[#This Row],[Data]],5,2),RIGHT(TBL_TEV[[#This Row],[Data]],2))</f>
        <v>45629</v>
      </c>
      <c r="M241" t="str" cm="1">
        <f t="array" aca="1" ref="M241" ca="1">IF(_xlfn.SINGLE(TBL_TEV[Data2])&gt;=INDIRECT("L"&amp;COUNTA(TBL_TEV[Data])+1)-365, "Ultimi 12 mesi", "Vecchi dati")</f>
        <v>Vecchi dati</v>
      </c>
      <c r="Q241" s="12"/>
    </row>
    <row r="242" spans="1:17">
      <c r="A242" s="9">
        <v>20241204</v>
      </c>
      <c r="B242" s="7">
        <v>1.495379</v>
      </c>
      <c r="C242" s="8">
        <v>0.25034099999999998</v>
      </c>
      <c r="D242" s="8">
        <v>0.68323900000000004</v>
      </c>
      <c r="E242" s="8">
        <v>2.4238789999999999</v>
      </c>
      <c r="F242" s="10">
        <v>3.572082</v>
      </c>
      <c r="G242" s="8">
        <v>2.3203770000000001</v>
      </c>
      <c r="H242" s="8">
        <f>TBL_Dati_OS[[#This Row],[Valore Volatilità]]</f>
        <v>7.5539143549245962</v>
      </c>
      <c r="I242">
        <v>0.72244900000000001</v>
      </c>
      <c r="J242">
        <v>2.0825770000000001</v>
      </c>
      <c r="K242">
        <v>2.9572620000000001</v>
      </c>
      <c r="L242" s="6">
        <f>DATE(LEFT(TBL_TEV[[#This Row],[Data]],4),MID(TBL_TEV[[#This Row],[Data]],5,2),RIGHT(TBL_TEV[[#This Row],[Data]],2))</f>
        <v>45630</v>
      </c>
      <c r="M242" t="str" cm="1">
        <f t="array" aca="1" ref="M242" ca="1">IF(_xlfn.SINGLE(TBL_TEV[Data2])&gt;=INDIRECT("L"&amp;COUNTA(TBL_TEV[Data])+1)-365, "Ultimi 12 mesi", "Vecchi dati")</f>
        <v>Vecchi dati</v>
      </c>
      <c r="Q242" s="12"/>
    </row>
    <row r="243" spans="1:17">
      <c r="A243" s="9">
        <v>20241205</v>
      </c>
      <c r="B243" s="4">
        <v>1.494267</v>
      </c>
      <c r="C243" s="5">
        <v>0.25065799999999999</v>
      </c>
      <c r="D243" s="5">
        <v>0.67736499999999999</v>
      </c>
      <c r="E243" s="5">
        <v>2.425942</v>
      </c>
      <c r="F243" s="11">
        <v>3.5895440000000001</v>
      </c>
      <c r="G243" s="5">
        <v>2.3475220000000001</v>
      </c>
      <c r="H243" s="5">
        <f>TBL_Dati_OS[[#This Row],[Valore Volatilità]]</f>
        <v>7.6063715790763116</v>
      </c>
      <c r="I243">
        <v>0.72244900000000001</v>
      </c>
      <c r="J243">
        <v>2.0825770000000001</v>
      </c>
      <c r="K243">
        <v>2.9572620000000001</v>
      </c>
      <c r="L243" s="6">
        <f>DATE(LEFT(TBL_TEV[[#This Row],[Data]],4),MID(TBL_TEV[[#This Row],[Data]],5,2),RIGHT(TBL_TEV[[#This Row],[Data]],2))</f>
        <v>45631</v>
      </c>
      <c r="M243" t="str" cm="1">
        <f t="array" aca="1" ref="M243" ca="1">IF(_xlfn.SINGLE(TBL_TEV[Data2])&gt;=INDIRECT("L"&amp;COUNTA(TBL_TEV[Data])+1)-365, "Ultimi 12 mesi", "Vecchi dati")</f>
        <v>Vecchi dati</v>
      </c>
      <c r="Q243" s="12"/>
    </row>
    <row r="244" spans="1:17">
      <c r="A244" s="9">
        <v>20241206</v>
      </c>
      <c r="B244" s="7">
        <v>1.4955369999999999</v>
      </c>
      <c r="C244" s="8">
        <v>0.249389</v>
      </c>
      <c r="D244" s="8">
        <v>0.67879400000000001</v>
      </c>
      <c r="E244" s="8">
        <v>2.4156240000000002</v>
      </c>
      <c r="F244" s="10">
        <v>3.5739869999999998</v>
      </c>
      <c r="G244" s="8">
        <v>2.3419660000000002</v>
      </c>
      <c r="H244" s="8">
        <f>TBL_Dati_OS[[#This Row],[Valore Volatilità]]</f>
        <v>7.5181670929987172</v>
      </c>
      <c r="I244">
        <v>0.72244900000000001</v>
      </c>
      <c r="J244">
        <v>2.0825770000000001</v>
      </c>
      <c r="K244">
        <v>2.9572620000000001</v>
      </c>
      <c r="L244" s="6">
        <f>DATE(LEFT(TBL_TEV[[#This Row],[Data]],4),MID(TBL_TEV[[#This Row],[Data]],5,2),RIGHT(TBL_TEV[[#This Row],[Data]],2))</f>
        <v>45632</v>
      </c>
      <c r="M244" t="str" cm="1">
        <f t="array" aca="1" ref="M244" ca="1">IF(_xlfn.SINGLE(TBL_TEV[Data2])&gt;=INDIRECT("L"&amp;COUNTA(TBL_TEV[Data])+1)-365, "Ultimi 12 mesi", "Vecchi dati")</f>
        <v>Vecchi dati</v>
      </c>
      <c r="Q244" s="12"/>
    </row>
    <row r="245" spans="1:17">
      <c r="A245" s="9">
        <v>20241209</v>
      </c>
      <c r="B245" s="4">
        <v>1.48125</v>
      </c>
      <c r="C245" s="5">
        <v>0.248277</v>
      </c>
      <c r="D245" s="5">
        <v>0.67434899999999998</v>
      </c>
      <c r="E245" s="5">
        <v>2.3802240000000001</v>
      </c>
      <c r="F245" s="11">
        <v>3.5284270000000002</v>
      </c>
      <c r="G245" s="5">
        <v>2.3303780000000001</v>
      </c>
      <c r="H245" s="5">
        <f>TBL_Dati_OS[[#This Row],[Valore Volatilità]]</f>
        <v>7.3835635993218727</v>
      </c>
      <c r="I245">
        <v>0.72244900000000001</v>
      </c>
      <c r="J245">
        <v>2.0825770000000001</v>
      </c>
      <c r="K245">
        <v>2.9572620000000001</v>
      </c>
      <c r="L245" s="6">
        <f>DATE(LEFT(TBL_TEV[[#This Row],[Data]],4),MID(TBL_TEV[[#This Row],[Data]],5,2),RIGHT(TBL_TEV[[#This Row],[Data]],2))</f>
        <v>45635</v>
      </c>
      <c r="M245" t="str" cm="1">
        <f t="array" aca="1" ref="M245" ca="1">IF(_xlfn.SINGLE(TBL_TEV[Data2])&gt;=INDIRECT("L"&amp;COUNTA(TBL_TEV[Data])+1)-365, "Ultimi 12 mesi", "Vecchi dati")</f>
        <v>Vecchi dati</v>
      </c>
      <c r="Q245" s="12"/>
    </row>
    <row r="246" spans="1:17">
      <c r="A246" s="9">
        <v>20241210</v>
      </c>
      <c r="B246" s="7">
        <v>1.4709319999999999</v>
      </c>
      <c r="C246" s="8">
        <v>0.247166</v>
      </c>
      <c r="D246" s="8">
        <v>0.67101500000000003</v>
      </c>
      <c r="E246" s="8">
        <v>2.344347</v>
      </c>
      <c r="F246" s="10">
        <v>3.539698</v>
      </c>
      <c r="G246" s="8">
        <v>2.3152970000000002</v>
      </c>
      <c r="H246" s="8">
        <f>TBL_Dati_OS[[#This Row],[Valore Volatilità]]</f>
        <v>7.3883515152864492</v>
      </c>
      <c r="I246">
        <v>0.72244900000000001</v>
      </c>
      <c r="J246">
        <v>2.0825770000000001</v>
      </c>
      <c r="K246">
        <v>2.9572620000000001</v>
      </c>
      <c r="L246" s="6">
        <f>DATE(LEFT(TBL_TEV[[#This Row],[Data]],4),MID(TBL_TEV[[#This Row],[Data]],5,2),RIGHT(TBL_TEV[[#This Row],[Data]],2))</f>
        <v>45636</v>
      </c>
      <c r="M246" t="str" cm="1">
        <f t="array" aca="1" ref="M246" ca="1">IF(_xlfn.SINGLE(TBL_TEV[Data2])&gt;=INDIRECT("L"&amp;COUNTA(TBL_TEV[Data])+1)-365, "Ultimi 12 mesi", "Vecchi dati")</f>
        <v>Vecchi dati</v>
      </c>
      <c r="Q246" s="12"/>
    </row>
    <row r="247" spans="1:17">
      <c r="A247" s="9">
        <v>20241211</v>
      </c>
      <c r="B247" s="7">
        <v>1.4836320000000001</v>
      </c>
      <c r="C247" s="8">
        <v>0.24684900000000001</v>
      </c>
      <c r="D247" s="8">
        <v>0.67371400000000004</v>
      </c>
      <c r="E247" s="8">
        <v>2.3645079999999998</v>
      </c>
      <c r="F247" s="10">
        <v>3.56351</v>
      </c>
      <c r="G247" s="8">
        <v>2.3606980000000002</v>
      </c>
      <c r="H247" s="8">
        <f>TBL_Dati_OS[[#This Row],[Valore Volatilità]]</f>
        <v>7.3182795465715849</v>
      </c>
      <c r="I247">
        <v>0.72244900000000001</v>
      </c>
      <c r="J247">
        <v>2.0825770000000001</v>
      </c>
      <c r="K247">
        <v>2.9572620000000001</v>
      </c>
      <c r="L247" s="6">
        <f>DATE(LEFT(TBL_TEV[[#This Row],[Data]],4),MID(TBL_TEV[[#This Row],[Data]],5,2),RIGHT(TBL_TEV[[#This Row],[Data]],2))</f>
        <v>45637</v>
      </c>
      <c r="M247" t="str" cm="1">
        <f t="array" aca="1" ref="M247" ca="1">IF(_xlfn.SINGLE(TBL_TEV[Data2])&gt;=INDIRECT("L"&amp;COUNTA(TBL_TEV[Data])+1)-365, "Ultimi 12 mesi", "Vecchi dati")</f>
        <v>Vecchi dati</v>
      </c>
      <c r="Q247" s="12"/>
    </row>
    <row r="248" spans="1:17">
      <c r="A248" s="9">
        <v>20241212</v>
      </c>
      <c r="B248" s="4">
        <v>1.4810920000000001</v>
      </c>
      <c r="C248" s="5">
        <v>0.25192799999999999</v>
      </c>
      <c r="D248" s="5">
        <v>0.66260200000000002</v>
      </c>
      <c r="E248" s="5">
        <v>2.3657780000000002</v>
      </c>
      <c r="F248" s="11">
        <v>3.5596999999999999</v>
      </c>
      <c r="G248" s="5">
        <v>2.3464109999999998</v>
      </c>
      <c r="H248" s="5">
        <f>TBL_Dati_OS[[#This Row],[Valore Volatilità]]</f>
        <v>7.1882540267221975</v>
      </c>
      <c r="I248">
        <v>0.72244900000000001</v>
      </c>
      <c r="J248">
        <v>2.0825770000000001</v>
      </c>
      <c r="K248">
        <v>2.9572620000000001</v>
      </c>
      <c r="L248" s="6">
        <f>DATE(LEFT(TBL_TEV[[#This Row],[Data]],4),MID(TBL_TEV[[#This Row],[Data]],5,2),RIGHT(TBL_TEV[[#This Row],[Data]],2))</f>
        <v>45638</v>
      </c>
      <c r="M248" t="str" cm="1">
        <f t="array" aca="1" ref="M248" ca="1">IF(_xlfn.SINGLE(TBL_TEV[Data2])&gt;=INDIRECT("L"&amp;COUNTA(TBL_TEV[Data])+1)-365, "Ultimi 12 mesi", "Vecchi dati")</f>
        <v>Ultimi 12 mesi</v>
      </c>
      <c r="Q248" s="12"/>
    </row>
    <row r="249" spans="1:17">
      <c r="A249" s="9">
        <v>20241213</v>
      </c>
      <c r="B249" s="7">
        <v>1.5374460000000001</v>
      </c>
      <c r="C249" s="8">
        <v>0.25097599999999998</v>
      </c>
      <c r="D249" s="8">
        <v>0.68165100000000001</v>
      </c>
      <c r="E249" s="8">
        <v>2.4118140000000001</v>
      </c>
      <c r="F249" s="10">
        <v>3.6300240000000001</v>
      </c>
      <c r="G249" s="8">
        <v>2.3616510000000002</v>
      </c>
      <c r="H249" s="8">
        <f>TBL_Dati_OS[[#This Row],[Valore Volatilità]]</f>
        <v>7.2360166313193188</v>
      </c>
      <c r="I249">
        <v>0.72244900000000001</v>
      </c>
      <c r="J249">
        <v>2.0825770000000001</v>
      </c>
      <c r="K249">
        <v>2.9572620000000001</v>
      </c>
      <c r="L249" s="6">
        <f>DATE(LEFT(TBL_TEV[[#This Row],[Data]],4),MID(TBL_TEV[[#This Row],[Data]],5,2),RIGHT(TBL_TEV[[#This Row],[Data]],2))</f>
        <v>45639</v>
      </c>
      <c r="M249" t="str" cm="1">
        <f t="array" aca="1" ref="M249" ca="1">IF(_xlfn.SINGLE(TBL_TEV[Data2])&gt;=INDIRECT("L"&amp;COUNTA(TBL_TEV[Data])+1)-365, "Ultimi 12 mesi", "Vecchi dati")</f>
        <v>Ultimi 12 mesi</v>
      </c>
      <c r="Q249" s="12"/>
    </row>
    <row r="250" spans="1:17">
      <c r="A250" s="9">
        <v>20241216</v>
      </c>
      <c r="B250" s="4">
        <v>1.570465</v>
      </c>
      <c r="C250" s="5">
        <v>0.24923000000000001</v>
      </c>
      <c r="D250" s="5">
        <v>0.69133500000000003</v>
      </c>
      <c r="E250" s="5">
        <v>2.4408639999999999</v>
      </c>
      <c r="F250" s="11">
        <v>3.7357480000000001</v>
      </c>
      <c r="G250" s="5">
        <v>2.3743500000000002</v>
      </c>
      <c r="H250" s="5">
        <f>TBL_Dati_OS[[#This Row],[Valore Volatilità]]</f>
        <v>6.9379985585142707</v>
      </c>
      <c r="I250">
        <v>0.72244900000000001</v>
      </c>
      <c r="J250">
        <v>2.0825770000000001</v>
      </c>
      <c r="K250">
        <v>2.9572620000000001</v>
      </c>
      <c r="L250" s="6">
        <f>DATE(LEFT(TBL_TEV[[#This Row],[Data]],4),MID(TBL_TEV[[#This Row],[Data]],5,2),RIGHT(TBL_TEV[[#This Row],[Data]],2))</f>
        <v>45642</v>
      </c>
      <c r="M250" t="str" cm="1">
        <f t="array" aca="1" ref="M250" ca="1">IF(_xlfn.SINGLE(TBL_TEV[Data2])&gt;=INDIRECT("L"&amp;COUNTA(TBL_TEV[Data])+1)-365, "Ultimi 12 mesi", "Vecchi dati")</f>
        <v>Ultimi 12 mesi</v>
      </c>
      <c r="Q250" s="12"/>
    </row>
    <row r="251" spans="1:17">
      <c r="A251" s="9">
        <v>20241217</v>
      </c>
      <c r="B251" s="7">
        <v>1.577291</v>
      </c>
      <c r="C251" s="8">
        <v>0.24780099999999999</v>
      </c>
      <c r="D251" s="8">
        <v>0.69593799999999995</v>
      </c>
      <c r="E251" s="8">
        <v>2.472137</v>
      </c>
      <c r="F251" s="10">
        <v>3.7522570000000002</v>
      </c>
      <c r="G251" s="8">
        <v>2.36673</v>
      </c>
      <c r="H251" s="8">
        <f>TBL_Dati_OS[[#This Row],[Valore Volatilità]]</f>
        <v>7.2846818507254714</v>
      </c>
      <c r="I251">
        <v>0.72244900000000001</v>
      </c>
      <c r="J251">
        <v>2.0825770000000001</v>
      </c>
      <c r="K251">
        <v>2.9572620000000001</v>
      </c>
      <c r="L251" s="6">
        <f>DATE(LEFT(TBL_TEV[[#This Row],[Data]],4),MID(TBL_TEV[[#This Row],[Data]],5,2),RIGHT(TBL_TEV[[#This Row],[Data]],2))</f>
        <v>45643</v>
      </c>
      <c r="M251" t="str" cm="1">
        <f t="array" aca="1" ref="M251" ca="1">IF(_xlfn.SINGLE(TBL_TEV[Data2])&gt;=INDIRECT("L"&amp;COUNTA(TBL_TEV[Data])+1)-365, "Ultimi 12 mesi", "Vecchi dati")</f>
        <v>Ultimi 12 mesi</v>
      </c>
      <c r="Q251" s="12"/>
    </row>
    <row r="252" spans="1:17">
      <c r="A252" s="9">
        <v>20241218</v>
      </c>
      <c r="B252" s="4">
        <v>1.5904670000000001</v>
      </c>
      <c r="C252" s="5">
        <v>0.248754</v>
      </c>
      <c r="D252" s="5">
        <v>0.69577999999999995</v>
      </c>
      <c r="E252" s="5">
        <v>2.4988060000000001</v>
      </c>
      <c r="F252" s="11">
        <v>3.8009919999999999</v>
      </c>
      <c r="G252" s="5">
        <v>2.358476</v>
      </c>
      <c r="H252" s="5">
        <f>TBL_Dati_OS[[#This Row],[Valore Volatilità]]</f>
        <v>7.5344920550611008</v>
      </c>
      <c r="I252">
        <v>0.72244900000000001</v>
      </c>
      <c r="J252">
        <v>2.0825770000000001</v>
      </c>
      <c r="K252">
        <v>2.9572620000000001</v>
      </c>
      <c r="L252" s="6">
        <f>DATE(LEFT(TBL_TEV[[#This Row],[Data]],4),MID(TBL_TEV[[#This Row],[Data]],5,2),RIGHT(TBL_TEV[[#This Row],[Data]],2))</f>
        <v>45644</v>
      </c>
      <c r="M252" t="str" cm="1">
        <f t="array" aca="1" ref="M252" ca="1">IF(_xlfn.SINGLE(TBL_TEV[Data2])&gt;=INDIRECT("L"&amp;COUNTA(TBL_TEV[Data])+1)-365, "Ultimi 12 mesi", "Vecchi dati")</f>
        <v>Ultimi 12 mesi</v>
      </c>
      <c r="Q252" s="12"/>
    </row>
    <row r="253" spans="1:17">
      <c r="A253" s="9">
        <v>20241219</v>
      </c>
      <c r="B253" s="7">
        <v>1.601262</v>
      </c>
      <c r="C253" s="8">
        <v>0.24923000000000001</v>
      </c>
      <c r="D253" s="8">
        <v>0.70435199999999998</v>
      </c>
      <c r="E253" s="8">
        <v>2.504362</v>
      </c>
      <c r="F253" s="10">
        <v>3.8008329999999999</v>
      </c>
      <c r="G253" s="8">
        <v>2.3940350000000001</v>
      </c>
      <c r="H253" s="8">
        <f>TBL_Dati_OS[[#This Row],[Valore Volatilità]]</f>
        <v>7.4731754304780029</v>
      </c>
      <c r="I253">
        <v>0.72244900000000001</v>
      </c>
      <c r="J253">
        <v>2.0825770000000001</v>
      </c>
      <c r="K253">
        <v>2.9572620000000001</v>
      </c>
      <c r="L253" s="6">
        <f>DATE(LEFT(TBL_TEV[[#This Row],[Data]],4),MID(TBL_TEV[[#This Row],[Data]],5,2),RIGHT(TBL_TEV[[#This Row],[Data]],2))</f>
        <v>45645</v>
      </c>
      <c r="M253" t="str" cm="1">
        <f t="array" aca="1" ref="M253" ca="1">IF(_xlfn.SINGLE(TBL_TEV[Data2])&gt;=INDIRECT("L"&amp;COUNTA(TBL_TEV[Data])+1)-365, "Ultimi 12 mesi", "Vecchi dati")</f>
        <v>Ultimi 12 mesi</v>
      </c>
      <c r="Q253" s="12"/>
    </row>
    <row r="254" spans="1:17">
      <c r="A254" s="9">
        <v>20241220</v>
      </c>
      <c r="B254" s="4">
        <v>1.5896729999999999</v>
      </c>
      <c r="C254" s="5">
        <v>0.248754</v>
      </c>
      <c r="D254" s="5">
        <v>0.703399</v>
      </c>
      <c r="E254" s="5">
        <v>2.494996</v>
      </c>
      <c r="F254" s="11">
        <v>3.7813080000000001</v>
      </c>
      <c r="G254" s="5">
        <v>2.4022890000000001</v>
      </c>
      <c r="H254" s="5">
        <f>TBL_Dati_OS[[#This Row],[Valore Volatilità]]</f>
        <v>7.5018382792057121</v>
      </c>
      <c r="I254">
        <v>0.72244900000000001</v>
      </c>
      <c r="J254">
        <v>2.0825770000000001</v>
      </c>
      <c r="K254">
        <v>2.9572620000000001</v>
      </c>
      <c r="L254" s="6">
        <f>DATE(LEFT(TBL_TEV[[#This Row],[Data]],4),MID(TBL_TEV[[#This Row],[Data]],5,2),RIGHT(TBL_TEV[[#This Row],[Data]],2))</f>
        <v>45646</v>
      </c>
      <c r="M254" t="str" cm="1">
        <f t="array" aca="1" ref="M254" ca="1">IF(_xlfn.SINGLE(TBL_TEV[Data2])&gt;=INDIRECT("L"&amp;COUNTA(TBL_TEV[Data])+1)-365, "Ultimi 12 mesi", "Vecchi dati")</f>
        <v>Ultimi 12 mesi</v>
      </c>
      <c r="Q254" s="12"/>
    </row>
    <row r="255" spans="1:17">
      <c r="A255" s="9">
        <v>20241223</v>
      </c>
      <c r="B255" s="7">
        <v>1.588721</v>
      </c>
      <c r="C255" s="8">
        <v>0.248277</v>
      </c>
      <c r="D255" s="8">
        <v>0.70149499999999998</v>
      </c>
      <c r="E255" s="8">
        <v>2.5111880000000002</v>
      </c>
      <c r="F255" s="10">
        <v>3.7979759999999998</v>
      </c>
      <c r="G255" s="8">
        <v>2.4156240000000002</v>
      </c>
      <c r="H255" s="8">
        <f>TBL_Dati_OS[[#This Row],[Valore Volatilità]]</f>
        <v>7.5432810698021138</v>
      </c>
      <c r="I255">
        <v>0.72244900000000001</v>
      </c>
      <c r="J255">
        <v>2.0825770000000001</v>
      </c>
      <c r="K255">
        <v>2.9572620000000001</v>
      </c>
      <c r="L255" s="6">
        <f>DATE(LEFT(TBL_TEV[[#This Row],[Data]],4),MID(TBL_TEV[[#This Row],[Data]],5,2),RIGHT(TBL_TEV[[#This Row],[Data]],2))</f>
        <v>45649</v>
      </c>
      <c r="M255" t="str" cm="1">
        <f t="array" aca="1" ref="M255" ca="1">IF(_xlfn.SINGLE(TBL_TEV[Data2])&gt;=INDIRECT("L"&amp;COUNTA(TBL_TEV[Data])+1)-365, "Ultimi 12 mesi", "Vecchi dati")</f>
        <v>Ultimi 12 mesi</v>
      </c>
      <c r="Q255" s="12"/>
    </row>
    <row r="256" spans="1:17">
      <c r="A256" s="9">
        <v>20241224</v>
      </c>
      <c r="B256" s="4">
        <v>1.602373</v>
      </c>
      <c r="C256" s="5">
        <v>0.24954699999999999</v>
      </c>
      <c r="D256" s="5">
        <v>0.70482800000000001</v>
      </c>
      <c r="E256" s="5">
        <v>2.5240469999999999</v>
      </c>
      <c r="F256" s="11">
        <v>3.6649479999999999</v>
      </c>
      <c r="G256" s="5">
        <v>2.4186399999999999</v>
      </c>
      <c r="H256" s="5">
        <f>TBL_Dati_OS[[#This Row],[Valore Volatilità]]</f>
        <v>7.5432810698020987</v>
      </c>
      <c r="I256">
        <v>0.72244900000000001</v>
      </c>
      <c r="J256">
        <v>2.0825770000000001</v>
      </c>
      <c r="K256">
        <v>2.9572620000000001</v>
      </c>
      <c r="L256" s="6">
        <f>DATE(LEFT(TBL_TEV[[#This Row],[Data]],4),MID(TBL_TEV[[#This Row],[Data]],5,2),RIGHT(TBL_TEV[[#This Row],[Data]],2))</f>
        <v>45650</v>
      </c>
      <c r="M256" t="str" cm="1">
        <f t="array" aca="1" ref="M256" ca="1">IF(_xlfn.SINGLE(TBL_TEV[Data2])&gt;=INDIRECT("L"&amp;COUNTA(TBL_TEV[Data])+1)-365, "Ultimi 12 mesi", "Vecchi dati")</f>
        <v>Ultimi 12 mesi</v>
      </c>
      <c r="Q256" s="12"/>
    </row>
    <row r="257" spans="1:17">
      <c r="A257" s="9">
        <v>20241227</v>
      </c>
      <c r="B257" s="7">
        <v>1.589197</v>
      </c>
      <c r="C257" s="8">
        <v>0.24923000000000001</v>
      </c>
      <c r="D257" s="8">
        <v>0.69720800000000005</v>
      </c>
      <c r="E257" s="8">
        <v>2.491187</v>
      </c>
      <c r="F257" s="10">
        <v>3.5673189999999999</v>
      </c>
      <c r="G257" s="8">
        <v>2.3878430000000002</v>
      </c>
      <c r="H257" s="8">
        <f>TBL_Dati_OS[[#This Row],[Valore Volatilità]]</f>
        <v>7.1782330492582496</v>
      </c>
      <c r="I257">
        <v>0.72244900000000001</v>
      </c>
      <c r="J257">
        <v>2.0825770000000001</v>
      </c>
      <c r="K257">
        <v>2.9572620000000001</v>
      </c>
      <c r="L257" s="6">
        <f>DATE(LEFT(TBL_TEV[[#This Row],[Data]],4),MID(TBL_TEV[[#This Row],[Data]],5,2),RIGHT(TBL_TEV[[#This Row],[Data]],2))</f>
        <v>45653</v>
      </c>
      <c r="M257" t="str" cm="1">
        <f t="array" aca="1" ref="M257" ca="1">IF(_xlfn.SINGLE(TBL_TEV[Data2])&gt;=INDIRECT("L"&amp;COUNTA(TBL_TEV[Data])+1)-365, "Ultimi 12 mesi", "Vecchi dati")</f>
        <v>Ultimi 12 mesi</v>
      </c>
      <c r="Q257" s="12"/>
    </row>
    <row r="258" spans="1:17">
      <c r="A258" s="9">
        <v>20241230</v>
      </c>
      <c r="B258" s="4">
        <v>1.582212</v>
      </c>
      <c r="C258" s="5">
        <v>0.24811900000000001</v>
      </c>
      <c r="D258" s="5">
        <v>0.69609699999999997</v>
      </c>
      <c r="E258" s="5">
        <v>2.481344</v>
      </c>
      <c r="F258" s="11">
        <v>3.552556</v>
      </c>
      <c r="G258" s="5">
        <v>2.3816519999999999</v>
      </c>
      <c r="H258" s="5">
        <f>TBL_Dati_OS[[#This Row],[Valore Volatilità]]</f>
        <v>7.1903330415571052</v>
      </c>
      <c r="I258">
        <v>0.72244900000000001</v>
      </c>
      <c r="J258">
        <v>2.0825770000000001</v>
      </c>
      <c r="K258">
        <v>2.9572620000000001</v>
      </c>
      <c r="L258" s="6">
        <f>DATE(LEFT(TBL_TEV[[#This Row],[Data]],4),MID(TBL_TEV[[#This Row],[Data]],5,2),RIGHT(TBL_TEV[[#This Row],[Data]],2))</f>
        <v>45656</v>
      </c>
      <c r="M258" t="str" cm="1">
        <f t="array" aca="1" ref="M258" ca="1">IF(_xlfn.SINGLE(TBL_TEV[Data2])&gt;=INDIRECT("L"&amp;COUNTA(TBL_TEV[Data])+1)-365, "Ultimi 12 mesi", "Vecchi dati")</f>
        <v>Ultimi 12 mesi</v>
      </c>
      <c r="Q258" s="12"/>
    </row>
    <row r="259" spans="1:17">
      <c r="A259" s="9">
        <v>20241231</v>
      </c>
      <c r="B259" s="7">
        <v>1.565385</v>
      </c>
      <c r="C259" s="8">
        <v>0.239705</v>
      </c>
      <c r="D259" s="8">
        <v>0.67815899999999996</v>
      </c>
      <c r="E259" s="8">
        <v>2.4557859999999998</v>
      </c>
      <c r="F259" s="10">
        <v>3.5235059999999998</v>
      </c>
      <c r="G259" s="8">
        <v>2.3713340000000001</v>
      </c>
      <c r="H259" s="8">
        <f>TBL_Dati_OS[[#This Row],[Valore Volatilità]]</f>
        <v>7.2519446357708848</v>
      </c>
      <c r="I259">
        <v>0.72244900000000001</v>
      </c>
      <c r="J259">
        <v>2.0825770000000001</v>
      </c>
      <c r="K259">
        <v>2.9572620000000001</v>
      </c>
      <c r="L259" s="6">
        <f>DATE(LEFT(TBL_TEV[[#This Row],[Data]],4),MID(TBL_TEV[[#This Row],[Data]],5,2),RIGHT(TBL_TEV[[#This Row],[Data]],2))</f>
        <v>45657</v>
      </c>
      <c r="M259" t="str" cm="1">
        <f t="array" aca="1" ref="M259" ca="1">IF(_xlfn.SINGLE(TBL_TEV[Data2])&gt;=INDIRECT("L"&amp;COUNTA(TBL_TEV[Data])+1)-365, "Ultimi 12 mesi", "Vecchi dati")</f>
        <v>Ultimi 12 mesi</v>
      </c>
      <c r="Q259" s="12"/>
    </row>
    <row r="260" spans="1:17">
      <c r="A260" s="9">
        <v>20250102</v>
      </c>
      <c r="B260" s="4">
        <v>1.554273</v>
      </c>
      <c r="C260" s="5">
        <v>0.237959</v>
      </c>
      <c r="D260" s="5">
        <v>0.66815800000000003</v>
      </c>
      <c r="E260" s="5">
        <v>2.4513419999999999</v>
      </c>
      <c r="F260" s="11">
        <v>3.4981070000000001</v>
      </c>
      <c r="G260" s="5">
        <v>2.3529200000000001</v>
      </c>
      <c r="H260" s="5">
        <f>TBL_Dati_OS[[#This Row],[Valore Volatilità]]</f>
        <v>7.1181686635014296</v>
      </c>
      <c r="I260">
        <v>0.72244900000000001</v>
      </c>
      <c r="J260">
        <v>2.0825770000000001</v>
      </c>
      <c r="K260">
        <v>2.9572620000000001</v>
      </c>
      <c r="L260" s="6">
        <f>DATE(LEFT(TBL_TEV[[#This Row],[Data]],4),MID(TBL_TEV[[#This Row],[Data]],5,2),RIGHT(TBL_TEV[[#This Row],[Data]],2))</f>
        <v>45659</v>
      </c>
      <c r="M260" t="str" cm="1">
        <f t="array" aca="1" ref="M260" ca="1">IF(_xlfn.SINGLE(TBL_TEV[Data2])&gt;=INDIRECT("L"&amp;COUNTA(TBL_TEV[Data])+1)-365, "Ultimi 12 mesi", "Vecchi dati")</f>
        <v>Ultimi 12 mesi</v>
      </c>
      <c r="Q260" s="12"/>
    </row>
    <row r="261" spans="1:17">
      <c r="A261" s="9">
        <v>20250103</v>
      </c>
      <c r="B261" s="7">
        <v>1.5682430000000001</v>
      </c>
      <c r="C261" s="8">
        <v>0.23621300000000001</v>
      </c>
      <c r="D261" s="8">
        <v>0.67371400000000004</v>
      </c>
      <c r="E261" s="8">
        <v>2.476264</v>
      </c>
      <c r="F261" s="10">
        <v>3.5227119999999998</v>
      </c>
      <c r="G261" s="8">
        <v>2.3978440000000001</v>
      </c>
      <c r="H261" s="8">
        <f>TBL_Dati_OS[[#This Row],[Valore Volatilità]]</f>
        <v>7.2006429161174053</v>
      </c>
      <c r="I261">
        <v>0.72244900000000001</v>
      </c>
      <c r="J261">
        <v>2.0825770000000001</v>
      </c>
      <c r="K261">
        <v>2.9572620000000001</v>
      </c>
      <c r="L261" s="6">
        <f>DATE(LEFT(TBL_TEV[[#This Row],[Data]],4),MID(TBL_TEV[[#This Row],[Data]],5,2),RIGHT(TBL_TEV[[#This Row],[Data]],2))</f>
        <v>45660</v>
      </c>
      <c r="M261" t="str" cm="1">
        <f t="array" aca="1" ref="M261" ca="1">IF(_xlfn.SINGLE(TBL_TEV[Data2])&gt;=INDIRECT("L"&amp;COUNTA(TBL_TEV[Data])+1)-365, "Ultimi 12 mesi", "Vecchi dati")</f>
        <v>Ultimi 12 mesi</v>
      </c>
      <c r="Q261" s="12"/>
    </row>
    <row r="262" spans="1:17">
      <c r="A262" s="9">
        <v>20250106</v>
      </c>
      <c r="B262" s="4">
        <v>1.5699890000000001</v>
      </c>
      <c r="C262" s="5">
        <v>0.238594</v>
      </c>
      <c r="D262" s="5">
        <v>0.67276199999999997</v>
      </c>
      <c r="E262" s="5">
        <v>2.4889640000000002</v>
      </c>
      <c r="F262" s="11">
        <v>3.5373169999999998</v>
      </c>
      <c r="G262" s="5">
        <v>2.4199099999999998</v>
      </c>
      <c r="H262" s="5">
        <f>TBL_Dati_OS[[#This Row],[Valore Volatilità]]</f>
        <v>7.2006429161174053</v>
      </c>
      <c r="I262">
        <v>0.72244900000000001</v>
      </c>
      <c r="J262">
        <v>2.0825770000000001</v>
      </c>
      <c r="K262">
        <v>2.9572620000000001</v>
      </c>
      <c r="L262" s="6">
        <f>DATE(LEFT(TBL_TEV[[#This Row],[Data]],4),MID(TBL_TEV[[#This Row],[Data]],5,2),RIGHT(TBL_TEV[[#This Row],[Data]],2))</f>
        <v>45663</v>
      </c>
      <c r="M262" t="str" cm="1">
        <f t="array" aca="1" ref="M262" ca="1">IF(_xlfn.SINGLE(TBL_TEV[Data2])&gt;=INDIRECT("L"&amp;COUNTA(TBL_TEV[Data])+1)-365, "Ultimi 12 mesi", "Vecchi dati")</f>
        <v>Ultimi 12 mesi</v>
      </c>
      <c r="Q262" s="12"/>
    </row>
    <row r="263" spans="1:17">
      <c r="A263" s="9">
        <v>20250107</v>
      </c>
      <c r="B263" s="7">
        <v>1.5590349999999999</v>
      </c>
      <c r="C263" s="8">
        <v>0.23732400000000001</v>
      </c>
      <c r="D263" s="8">
        <v>0.66657100000000002</v>
      </c>
      <c r="E263" s="8">
        <v>2.449754</v>
      </c>
      <c r="F263" s="10">
        <v>3.5039799999999999</v>
      </c>
      <c r="G263" s="8">
        <v>2.4472139999999998</v>
      </c>
      <c r="H263" s="8">
        <f>TBL_Dati_OS[[#This Row],[Valore Volatilità]]</f>
        <v>7.3681825711398785</v>
      </c>
      <c r="I263">
        <v>0.72244900000000001</v>
      </c>
      <c r="J263">
        <v>2.0825770000000001</v>
      </c>
      <c r="K263">
        <v>2.9572620000000001</v>
      </c>
      <c r="L263" s="6">
        <f>DATE(LEFT(TBL_TEV[[#This Row],[Data]],4),MID(TBL_TEV[[#This Row],[Data]],5,2),RIGHT(TBL_TEV[[#This Row],[Data]],2))</f>
        <v>45664</v>
      </c>
      <c r="M263" t="str" cm="1">
        <f t="array" aca="1" ref="M263" ca="1">IF(_xlfn.SINGLE(TBL_TEV[Data2])&gt;=INDIRECT("L"&amp;COUNTA(TBL_TEV[Data])+1)-365, "Ultimi 12 mesi", "Vecchi dati")</f>
        <v>Ultimi 12 mesi</v>
      </c>
      <c r="Q263" s="12"/>
    </row>
    <row r="264" spans="1:17">
      <c r="A264">
        <v>20250108</v>
      </c>
      <c r="B264" s="4">
        <v>1.539669</v>
      </c>
      <c r="C264" s="5">
        <v>0.23605400000000001</v>
      </c>
      <c r="D264" s="5">
        <v>0.65799799999999997</v>
      </c>
      <c r="E264" s="5">
        <v>2.4151479999999999</v>
      </c>
      <c r="F264" s="5">
        <v>3.4749300000000001</v>
      </c>
      <c r="G264" s="5">
        <v>2.4187989999999999</v>
      </c>
      <c r="H264" s="5">
        <f>TBL_Dati_OS[[#This Row],[Valore Volatilità]]</f>
        <v>7.3209106340204446</v>
      </c>
      <c r="I264">
        <v>0.72244900000000001</v>
      </c>
      <c r="J264">
        <v>2.0825770000000001</v>
      </c>
      <c r="K264">
        <v>2.9572620000000001</v>
      </c>
      <c r="L264" s="6">
        <f>DATE(LEFT(TBL_TEV[[#This Row],[Data]],4),MID(TBL_TEV[[#This Row],[Data]],5,2),RIGHT(TBL_TEV[[#This Row],[Data]],2))</f>
        <v>45665</v>
      </c>
      <c r="M264" t="str" cm="1">
        <f t="array" aca="1" ref="M264" ca="1">IF(_xlfn.SINGLE(TBL_TEV[Data2])&gt;=INDIRECT("L"&amp;COUNTA(TBL_TEV[Data])+1)-365, "Ultimi 12 mesi", "Vecchi dati")</f>
        <v>Ultimi 12 mesi</v>
      </c>
      <c r="Q264" s="12"/>
    </row>
    <row r="265" spans="1:17">
      <c r="A265">
        <v>20250109</v>
      </c>
      <c r="B265" s="7">
        <v>1.496807</v>
      </c>
      <c r="C265" s="8">
        <v>0.23526</v>
      </c>
      <c r="D265" s="8">
        <v>0.61990000000000001</v>
      </c>
      <c r="E265" s="8">
        <v>2.3781599999999998</v>
      </c>
      <c r="F265" s="8">
        <v>3.420798</v>
      </c>
      <c r="G265" s="8">
        <v>2.3775249999999999</v>
      </c>
      <c r="H265" s="8">
        <f>TBL_Dati_OS[[#This Row],[Valore Volatilità]]</f>
        <v>7.2457948865664195</v>
      </c>
      <c r="I265">
        <v>0.72244900000000001</v>
      </c>
      <c r="J265">
        <v>2.0825770000000001</v>
      </c>
      <c r="K265">
        <v>2.9572620000000001</v>
      </c>
      <c r="L265" s="6">
        <f>DATE(LEFT(TBL_TEV[[#This Row],[Data]],4),MID(TBL_TEV[[#This Row],[Data]],5,2),RIGHT(TBL_TEV[[#This Row],[Data]],2))</f>
        <v>45666</v>
      </c>
      <c r="M265" t="str" cm="1">
        <f t="array" aca="1" ref="M265" ca="1">IF(_xlfn.SINGLE(TBL_TEV[Data2])&gt;=INDIRECT("L"&amp;COUNTA(TBL_TEV[Data])+1)-365, "Ultimi 12 mesi", "Vecchi dati")</f>
        <v>Ultimi 12 mesi</v>
      </c>
      <c r="Q265" s="12"/>
    </row>
    <row r="266" spans="1:17">
      <c r="A266">
        <v>20250110</v>
      </c>
      <c r="B266" s="4">
        <v>1.49522</v>
      </c>
      <c r="C266" s="5">
        <v>0.23446600000000001</v>
      </c>
      <c r="D266" s="5">
        <v>0.62751900000000005</v>
      </c>
      <c r="E266" s="5">
        <v>2.3662540000000001</v>
      </c>
      <c r="F266" s="5">
        <v>3.4103210000000002</v>
      </c>
      <c r="G266" s="5">
        <v>2.371969</v>
      </c>
      <c r="H266" s="5">
        <f>TBL_Dati_OS[[#This Row],[Valore Volatilità]]</f>
        <v>7.1877611125549157</v>
      </c>
      <c r="I266">
        <v>0.72244900000000001</v>
      </c>
      <c r="J266">
        <v>2.0825770000000001</v>
      </c>
      <c r="K266">
        <v>2.9572620000000001</v>
      </c>
      <c r="L266" s="6">
        <f>DATE(LEFT(TBL_TEV[[#This Row],[Data]],4),MID(TBL_TEV[[#This Row],[Data]],5,2),RIGHT(TBL_TEV[[#This Row],[Data]],2))</f>
        <v>45667</v>
      </c>
      <c r="M266" t="str" cm="1">
        <f t="array" aca="1" ref="M266" ca="1">IF(_xlfn.SINGLE(TBL_TEV[Data2])&gt;=INDIRECT("L"&amp;COUNTA(TBL_TEV[Data])+1)-365, "Ultimi 12 mesi", "Vecchi dati")</f>
        <v>Ultimi 12 mesi</v>
      </c>
      <c r="Q266" s="12"/>
    </row>
    <row r="267" spans="1:17">
      <c r="A267">
        <v>20250113</v>
      </c>
      <c r="B267" s="7">
        <v>1.488394</v>
      </c>
      <c r="C267" s="8">
        <v>0.23383200000000001</v>
      </c>
      <c r="D267" s="8">
        <v>0.62640799999999996</v>
      </c>
      <c r="E267" s="8">
        <v>2.35419</v>
      </c>
      <c r="F267" s="8">
        <v>3.3915890000000002</v>
      </c>
      <c r="G267" s="8">
        <v>2.3700640000000002</v>
      </c>
      <c r="H267" s="8">
        <f>TBL_Dati_OS[[#This Row],[Valore Volatilità]]</f>
        <v>7.0612032657579196</v>
      </c>
      <c r="I267">
        <v>0.72244900000000001</v>
      </c>
      <c r="J267">
        <v>2.0825770000000001</v>
      </c>
      <c r="K267">
        <v>2.9572620000000001</v>
      </c>
      <c r="L267" s="6">
        <f>DATE(LEFT(TBL_TEV[[#This Row],[Data]],4),MID(TBL_TEV[[#This Row],[Data]],5,2),RIGHT(TBL_TEV[[#This Row],[Data]],2))</f>
        <v>45670</v>
      </c>
      <c r="M267" t="str" cm="1">
        <f t="array" aca="1" ref="M267" ca="1">IF(_xlfn.SINGLE(TBL_TEV[Data2])&gt;=INDIRECT("L"&amp;COUNTA(TBL_TEV[Data])+1)-365, "Ultimi 12 mesi", "Vecchi dati")</f>
        <v>Ultimi 12 mesi</v>
      </c>
      <c r="Q267" s="12"/>
    </row>
    <row r="268" spans="1:17">
      <c r="A268">
        <v>20250114</v>
      </c>
      <c r="B268" s="4">
        <v>1.471249</v>
      </c>
      <c r="C268" s="5">
        <v>0.23224400000000001</v>
      </c>
      <c r="D268" s="5">
        <v>0.61958199999999997</v>
      </c>
      <c r="E268" s="5">
        <v>2.3291080000000002</v>
      </c>
      <c r="F268" s="5">
        <v>3.3623799999999999</v>
      </c>
      <c r="G268" s="5">
        <v>2.3381560000000001</v>
      </c>
      <c r="H268" s="5">
        <f>TBL_Dati_OS[[#This Row],[Valore Volatilità]]</f>
        <v>7.0789773603606241</v>
      </c>
      <c r="I268">
        <v>0.72244900000000001</v>
      </c>
      <c r="J268">
        <v>2.0825770000000001</v>
      </c>
      <c r="K268">
        <v>2.9572620000000001</v>
      </c>
      <c r="L268" s="6">
        <f>DATE(LEFT(TBL_TEV[[#This Row],[Data]],4),MID(TBL_TEV[[#This Row],[Data]],5,2),RIGHT(TBL_TEV[[#This Row],[Data]],2))</f>
        <v>45671</v>
      </c>
      <c r="M268" t="str" cm="1">
        <f t="array" aca="1" ref="M268" ca="1">IF(_xlfn.SINGLE(TBL_TEV[Data2])&gt;=INDIRECT("L"&amp;COUNTA(TBL_TEV[Data])+1)-365, "Ultimi 12 mesi", "Vecchi dati")</f>
        <v>Ultimi 12 mesi</v>
      </c>
      <c r="Q268" s="12"/>
    </row>
    <row r="269" spans="1:17">
      <c r="A269">
        <v>20250115</v>
      </c>
      <c r="B269" s="4">
        <v>1.488553</v>
      </c>
      <c r="C269" s="5">
        <v>0.26113599999999998</v>
      </c>
      <c r="D269" s="5">
        <v>0.62291600000000003</v>
      </c>
      <c r="E269" s="5">
        <v>2.359111</v>
      </c>
      <c r="F269" s="5">
        <v>3.4077809999999999</v>
      </c>
      <c r="G269" s="5">
        <v>2.372128</v>
      </c>
      <c r="H269" s="5">
        <f>TBL_Dati_OS[[#This Row],[Valore Volatilità]]</f>
        <v>7.0087273820366391</v>
      </c>
      <c r="I269">
        <v>0.61958199999999997</v>
      </c>
      <c r="J269">
        <v>2.3013270000000001</v>
      </c>
      <c r="K269">
        <v>3.3357100000000002</v>
      </c>
      <c r="L269" s="6">
        <f>DATE(LEFT(TBL_TEV[[#This Row],[Data]],4),MID(TBL_TEV[[#This Row],[Data]],5,2),RIGHT(TBL_TEV[[#This Row],[Data]],2))</f>
        <v>45672</v>
      </c>
      <c r="M269" t="str" cm="1">
        <f t="array" aca="1" ref="M269" ca="1">IF(_xlfn.SINGLE(TBL_TEV[Data2])&gt;=INDIRECT("L"&amp;COUNTA(TBL_TEV[Data])+1)-365, "Ultimi 12 mesi", "Vecchi dati")</f>
        <v>Ultimi 12 mesi</v>
      </c>
      <c r="Q269" s="12"/>
    </row>
    <row r="270" spans="1:17">
      <c r="A270">
        <v>20250116</v>
      </c>
      <c r="B270" s="4">
        <v>1.4876</v>
      </c>
      <c r="C270" s="5">
        <v>0.26034200000000002</v>
      </c>
      <c r="D270" s="5">
        <v>0.624027</v>
      </c>
      <c r="E270" s="5">
        <v>2.335934</v>
      </c>
      <c r="F270" s="5">
        <v>3.3822230000000002</v>
      </c>
      <c r="G270" s="5">
        <v>2.3510149999999999</v>
      </c>
      <c r="H270" s="5">
        <f>TBL_Dati_OS[[#This Row],[Valore Volatilità]]</f>
        <v>7.1914653681544571</v>
      </c>
      <c r="I270">
        <v>0.62624899999999994</v>
      </c>
      <c r="J270">
        <v>2.284977</v>
      </c>
      <c r="K270">
        <v>3.3168199999999999</v>
      </c>
      <c r="L270" s="6">
        <f>DATE(LEFT(TBL_TEV[[#This Row],[Data]],4),MID(TBL_TEV[[#This Row],[Data]],5,2),RIGHT(TBL_TEV[[#This Row],[Data]],2))</f>
        <v>45673</v>
      </c>
      <c r="M270" t="str" cm="1">
        <f t="array" aca="1" ref="M270" ca="1">IF(_xlfn.SINGLE(TBL_TEV[Data2])&gt;=INDIRECT("L"&amp;COUNTA(TBL_TEV[Data])+1)-365, "Ultimi 12 mesi", "Vecchi dati")</f>
        <v>Ultimi 12 mesi</v>
      </c>
      <c r="Q270" s="12"/>
    </row>
    <row r="271" spans="1:17">
      <c r="A271">
        <v>20250117</v>
      </c>
      <c r="B271" s="4">
        <v>1.4917279999999999</v>
      </c>
      <c r="C271" s="5">
        <v>0.26002399999999998</v>
      </c>
      <c r="D271" s="5">
        <v>0.62894799999999995</v>
      </c>
      <c r="E271" s="5">
        <v>2.344824</v>
      </c>
      <c r="F271" s="5">
        <v>3.3868260000000001</v>
      </c>
      <c r="G271" s="5">
        <v>2.3537129999999999</v>
      </c>
      <c r="H271" s="5">
        <f>TBL_Dati_OS[[#This Row],[Valore Volatilità]]</f>
        <v>6.9919029333107314</v>
      </c>
      <c r="I271">
        <v>0.62656699999999999</v>
      </c>
      <c r="J271">
        <v>2.2978350000000001</v>
      </c>
      <c r="K271">
        <v>3.3266619999999998</v>
      </c>
      <c r="L271" s="6">
        <f>DATE(LEFT(TBL_TEV[[#This Row],[Data]],4),MID(TBL_TEV[[#This Row],[Data]],5,2),RIGHT(TBL_TEV[[#This Row],[Data]],2))</f>
        <v>45674</v>
      </c>
      <c r="M271" t="str" cm="1">
        <f t="array" aca="1" ref="M271" ca="1">IF(_xlfn.SINGLE(TBL_TEV[Data2])&gt;=INDIRECT("L"&amp;COUNTA(TBL_TEV[Data])+1)-365, "Ultimi 12 mesi", "Vecchi dati")</f>
        <v>Ultimi 12 mesi</v>
      </c>
      <c r="Q271" s="12"/>
    </row>
    <row r="272" spans="1:17">
      <c r="A272">
        <v>20250120</v>
      </c>
      <c r="B272" s="4">
        <v>1.486013</v>
      </c>
      <c r="C272" s="5">
        <v>0.259548</v>
      </c>
      <c r="D272" s="5">
        <v>0.62863100000000005</v>
      </c>
      <c r="E272" s="5">
        <v>2.33514</v>
      </c>
      <c r="F272" s="5">
        <v>3.378889</v>
      </c>
      <c r="G272" s="5">
        <v>2.3464109999999998</v>
      </c>
      <c r="H272" s="5">
        <f>TBL_Dati_OS[[#This Row],[Valore Volatilità]]</f>
        <v>7.0686404108785528</v>
      </c>
      <c r="I272">
        <v>0.624027</v>
      </c>
      <c r="J272">
        <v>2.2827540000000002</v>
      </c>
      <c r="K272">
        <v>3.314438</v>
      </c>
      <c r="L272" s="6">
        <f>DATE(LEFT(TBL_TEV[[#This Row],[Data]],4),MID(TBL_TEV[[#This Row],[Data]],5,2),RIGHT(TBL_TEV[[#This Row],[Data]],2))</f>
        <v>45677</v>
      </c>
      <c r="M272" t="str" cm="1">
        <f t="array" aca="1" ref="M272" ca="1">IF(_xlfn.SINGLE(TBL_TEV[Data2])&gt;=INDIRECT("L"&amp;COUNTA(TBL_TEV[Data])+1)-365, "Ultimi 12 mesi", "Vecchi dati")</f>
        <v>Ultimi 12 mesi</v>
      </c>
      <c r="Q272" s="12"/>
    </row>
    <row r="273" spans="1:17">
      <c r="A273">
        <v>20250121</v>
      </c>
      <c r="B273" s="4">
        <v>1.504745</v>
      </c>
      <c r="C273" s="5">
        <v>0.25938899999999998</v>
      </c>
      <c r="D273" s="5">
        <v>0.63910800000000001</v>
      </c>
      <c r="E273" s="5">
        <v>2.3875259999999998</v>
      </c>
      <c r="F273" s="5">
        <v>3.4231790000000002</v>
      </c>
      <c r="G273" s="5">
        <v>2.3853040000000001</v>
      </c>
      <c r="H273" s="5">
        <f>TBL_Dati_OS[[#This Row],[Valore Volatilità]]</f>
        <v>7.3288775916097917</v>
      </c>
      <c r="I273">
        <v>0.63307500000000005</v>
      </c>
      <c r="J273">
        <v>2.3373629999999999</v>
      </c>
      <c r="K273">
        <v>3.3546010000000002</v>
      </c>
      <c r="L273" s="6">
        <f>DATE(LEFT(TBL_TEV[[#This Row],[Data]],4),MID(TBL_TEV[[#This Row],[Data]],5,2),RIGHT(TBL_TEV[[#This Row],[Data]],2))</f>
        <v>45678</v>
      </c>
      <c r="M273" t="str" cm="1">
        <f t="array" aca="1" ref="M273" ca="1">IF(_xlfn.SINGLE(TBL_TEV[Data2])&gt;=INDIRECT("L"&amp;COUNTA(TBL_TEV[Data])+1)-365, "Ultimi 12 mesi", "Vecchi dati")</f>
        <v>Ultimi 12 mesi</v>
      </c>
      <c r="Q273" s="12"/>
    </row>
    <row r="274" spans="1:17">
      <c r="A274">
        <v>20250122</v>
      </c>
      <c r="B274">
        <v>1.495061</v>
      </c>
      <c r="C274">
        <v>0.27955000000000002</v>
      </c>
      <c r="D274">
        <v>0.63497999999999999</v>
      </c>
      <c r="E274">
        <v>2.3746679999999998</v>
      </c>
      <c r="F274">
        <v>3.4269889999999998</v>
      </c>
      <c r="G274">
        <v>2.3868909999999999</v>
      </c>
      <c r="H274">
        <f>TBL_Dati_OS[[#This Row],[Valore Volatilità]]</f>
        <v>7.3933089731716191</v>
      </c>
      <c r="I274">
        <v>0.62736099999999995</v>
      </c>
      <c r="J274">
        <v>2.3289490000000002</v>
      </c>
      <c r="K274">
        <v>3.355553</v>
      </c>
      <c r="L274" s="6">
        <f>DATE(LEFT(TBL_TEV[[#This Row],[Data]],4),MID(TBL_TEV[[#This Row],[Data]],5,2),RIGHT(TBL_TEV[[#This Row],[Data]],2))</f>
        <v>45679</v>
      </c>
      <c r="M274" t="str" cm="1">
        <f t="array" aca="1" ref="M274" ca="1">IF(_xlfn.SINGLE(TBL_TEV[Data2])&gt;=INDIRECT("L"&amp;COUNTA(TBL_TEV[Data])+1)-365, "Ultimi 12 mesi", "Vecchi dati")</f>
        <v>Ultimi 12 mesi</v>
      </c>
      <c r="Q274" s="12"/>
    </row>
    <row r="275" spans="1:17">
      <c r="A275">
        <v>20250123</v>
      </c>
      <c r="B275" s="16">
        <v>1.492362</v>
      </c>
      <c r="C275" s="16">
        <v>0.28462999999999999</v>
      </c>
      <c r="D275" s="16">
        <v>0.63688500000000003</v>
      </c>
      <c r="E275" s="16">
        <v>2.3791120000000001</v>
      </c>
      <c r="F275" s="16">
        <v>3.4176229999999999</v>
      </c>
      <c r="G275" s="16">
        <v>2.3819699999999999</v>
      </c>
      <c r="H275" s="16">
        <f>TBL_Dati_OS[[#This Row],[Valore Volatilità]]</f>
        <v>7.417752516168779</v>
      </c>
      <c r="I275">
        <v>0.62609099999999995</v>
      </c>
      <c r="J275">
        <v>2.3289490000000002</v>
      </c>
      <c r="K275">
        <v>3.3412660000000001</v>
      </c>
      <c r="L275" s="6">
        <f>DATE(LEFT(TBL_TEV[[#This Row],[Data]],4),MID(TBL_TEV[[#This Row],[Data]],5,2),RIGHT(TBL_TEV[[#This Row],[Data]],2))</f>
        <v>45680</v>
      </c>
      <c r="M275" t="str" cm="1">
        <f t="array" aca="1" ref="M275" ca="1">IF(_xlfn.SINGLE(TBL_TEV[Data2])&gt;=INDIRECT("L"&amp;COUNTA(TBL_TEV[Data])+1)-365, "Ultimi 12 mesi", "Vecchi dati")</f>
        <v>Ultimi 12 mesi</v>
      </c>
      <c r="Q275" s="12"/>
    </row>
    <row r="276" spans="1:17">
      <c r="A276">
        <v>20250124</v>
      </c>
      <c r="B276" s="16">
        <v>1.489981</v>
      </c>
      <c r="C276" s="16">
        <v>0.28383599999999998</v>
      </c>
      <c r="D276" s="16">
        <v>0.63783800000000002</v>
      </c>
      <c r="E276" s="16">
        <v>2.3595869999999999</v>
      </c>
      <c r="F276" s="16">
        <v>3.4117489999999999</v>
      </c>
      <c r="G276" s="16">
        <v>2.3506969999999998</v>
      </c>
      <c r="H276" s="16">
        <f>TBL_Dati_OS[[#This Row],[Valore Volatilità]]</f>
        <v>7.2723740488331767</v>
      </c>
      <c r="I276">
        <v>0.62783699999999998</v>
      </c>
      <c r="J276">
        <v>2.316249</v>
      </c>
      <c r="K276">
        <v>3.3322180000000001</v>
      </c>
      <c r="L276" s="6">
        <f>DATE(LEFT(TBL_TEV[[#This Row],[Data]],4),MID(TBL_TEV[[#This Row],[Data]],5,2),RIGHT(TBL_TEV[[#This Row],[Data]],2))</f>
        <v>45681</v>
      </c>
      <c r="M276" t="str" cm="1">
        <f t="array" aca="1" ref="M276" ca="1">IF(_xlfn.SINGLE(TBL_TEV[Data2])&gt;=INDIRECT("L"&amp;COUNTA(TBL_TEV[Data])+1)-365, "Ultimi 12 mesi", "Vecchi dati")</f>
        <v>Ultimi 12 mesi</v>
      </c>
      <c r="Q276" s="12"/>
    </row>
    <row r="277" spans="1:17">
      <c r="A277">
        <v>20250127</v>
      </c>
      <c r="B277">
        <v>1.4706140000000001</v>
      </c>
      <c r="C277">
        <v>0.28383599999999998</v>
      </c>
      <c r="D277">
        <v>0.64117100000000005</v>
      </c>
      <c r="E277">
        <v>2.3205360000000002</v>
      </c>
      <c r="F277">
        <v>3.4149240000000001</v>
      </c>
      <c r="G277">
        <v>2.3098999999999998</v>
      </c>
      <c r="H277">
        <f>TBL_Dati_OS[[#This Row],[Valore Volatilità]]</f>
        <v>7.2467560775366815</v>
      </c>
      <c r="I277">
        <v>0.61926499999999995</v>
      </c>
      <c r="J277">
        <v>2.266721</v>
      </c>
      <c r="K277">
        <v>3.2834829999999999</v>
      </c>
      <c r="L277" s="6">
        <f>DATE(LEFT(TBL_TEV[[#This Row],[Data]],4),MID(TBL_TEV[[#This Row],[Data]],5,2),RIGHT(TBL_TEV[[#This Row],[Data]],2))</f>
        <v>45684</v>
      </c>
      <c r="M277" t="str" cm="1">
        <f t="array" aca="1" ref="M277" ca="1">IF(_xlfn.SINGLE(TBL_TEV[Data2])&gt;=INDIRECT("L"&amp;COUNTA(TBL_TEV[Data])+1)-365, "Ultimi 12 mesi", "Vecchi dati")</f>
        <v>Ultimi 12 mesi</v>
      </c>
      <c r="Q277" s="12"/>
    </row>
    <row r="278" spans="1:17">
      <c r="A278">
        <v>20250128</v>
      </c>
      <c r="B278" s="16">
        <v>1.4779169999999999</v>
      </c>
      <c r="C278" s="16">
        <v>0.314633</v>
      </c>
      <c r="D278" s="16">
        <v>0.64228300000000005</v>
      </c>
      <c r="E278" s="16">
        <v>2.353237</v>
      </c>
      <c r="F278" s="16">
        <v>3.4360369999999998</v>
      </c>
      <c r="G278" s="16">
        <v>2.3983210000000001</v>
      </c>
      <c r="H278" s="16">
        <f>TBL_Dati_OS[[#This Row],[Valore Volatilità]]</f>
        <v>7.5058966207984339</v>
      </c>
      <c r="I278">
        <v>0.62021700000000002</v>
      </c>
      <c r="J278">
        <v>2.2979940000000001</v>
      </c>
      <c r="K278">
        <v>3.2993579999999998</v>
      </c>
      <c r="L278" s="6">
        <f>DATE(LEFT(TBL_TEV[[#This Row],[Data]],4),MID(TBL_TEV[[#This Row],[Data]],5,2),RIGHT(TBL_TEV[[#This Row],[Data]],2))</f>
        <v>45685</v>
      </c>
      <c r="M278" t="str" cm="1">
        <f t="array" aca="1" ref="M278" ca="1">IF(_xlfn.SINGLE(TBL_TEV[Data2])&gt;=INDIRECT("L"&amp;COUNTA(TBL_TEV[Data])+1)-365, "Ultimi 12 mesi", "Vecchi dati")</f>
        <v>Ultimi 12 mesi</v>
      </c>
      <c r="Q278" s="12"/>
    </row>
    <row r="279" spans="1:17">
      <c r="A279">
        <v>20250129</v>
      </c>
      <c r="B279">
        <v>1.4741070000000001</v>
      </c>
      <c r="C279">
        <v>0.32606200000000002</v>
      </c>
      <c r="D279">
        <v>0.64021899999999998</v>
      </c>
      <c r="E279">
        <v>2.3406959999999999</v>
      </c>
      <c r="F279">
        <v>3.4263539999999999</v>
      </c>
      <c r="G279">
        <v>2.3589519999999999</v>
      </c>
      <c r="H279">
        <f>TBL_Dati_OS[[#This Row],[Valore Volatilità]]</f>
        <v>7.3811539329168125</v>
      </c>
      <c r="I279">
        <v>0.61593100000000001</v>
      </c>
      <c r="J279">
        <v>2.2810079999999999</v>
      </c>
      <c r="K279">
        <v>3.2901509999999998</v>
      </c>
      <c r="L279" s="6">
        <f>DATE(LEFT(TBL_TEV[[#This Row],[Data]],4),MID(TBL_TEV[[#This Row],[Data]],5,2),RIGHT(TBL_TEV[[#This Row],[Data]],2))</f>
        <v>45686</v>
      </c>
      <c r="M279" t="str" cm="1">
        <f t="array" aca="1" ref="M279" ca="1">IF(_xlfn.SINGLE(TBL_TEV[Data2])&gt;=INDIRECT("L"&amp;COUNTA(TBL_TEV[Data])+1)-365, "Ultimi 12 mesi", "Vecchi dati")</f>
        <v>Ultimi 12 mesi</v>
      </c>
      <c r="Q279" s="12"/>
    </row>
    <row r="280" spans="1:17">
      <c r="A280">
        <v>20250130</v>
      </c>
      <c r="B280">
        <v>1.473948</v>
      </c>
      <c r="C280">
        <v>0.32717400000000002</v>
      </c>
      <c r="D280">
        <v>0.68514399999999998</v>
      </c>
      <c r="E280">
        <v>2.3375210000000002</v>
      </c>
      <c r="F280">
        <v>3.4246080000000001</v>
      </c>
      <c r="G280">
        <v>2.3408549999999999</v>
      </c>
      <c r="H280">
        <f>TBL_Dati_OS[[#This Row],[Valore Volatilità]]</f>
        <v>7.4347140771324751</v>
      </c>
      <c r="I280">
        <v>0.61751800000000001</v>
      </c>
      <c r="J280">
        <v>2.2770389999999998</v>
      </c>
      <c r="K280">
        <v>3.2801499999999999</v>
      </c>
      <c r="L280" s="6">
        <f>DATE(LEFT(TBL_TEV[[#This Row],[Data]],4),MID(TBL_TEV[[#This Row],[Data]],5,2),RIGHT(TBL_TEV[[#This Row],[Data]],2))</f>
        <v>45687</v>
      </c>
      <c r="M280" t="str" cm="1">
        <f t="array" aca="1" ref="M280" ca="1">IF(_xlfn.SINGLE(TBL_TEV[Data2])&gt;=INDIRECT("L"&amp;COUNTA(TBL_TEV[Data])+1)-365, "Ultimi 12 mesi", "Vecchi dati")</f>
        <v>Ultimi 12 mesi</v>
      </c>
      <c r="Q280" s="12"/>
    </row>
    <row r="281" spans="1:17">
      <c r="A281">
        <v>20250131</v>
      </c>
      <c r="B281" s="16">
        <v>1.4658519999999999</v>
      </c>
      <c r="C281" s="16">
        <v>0.29129699999999997</v>
      </c>
      <c r="D281" s="16">
        <v>0.67196800000000001</v>
      </c>
      <c r="E281" s="16">
        <v>2.326092</v>
      </c>
      <c r="F281" s="16">
        <v>3.415718</v>
      </c>
      <c r="G281" s="16">
        <v>2.299264</v>
      </c>
      <c r="H281" s="16">
        <f>TBL_Dati_OS[[#This Row],[Valore Volatilità]]</f>
        <v>7.1456410983291683</v>
      </c>
      <c r="I281">
        <v>0.59719900000000004</v>
      </c>
      <c r="J281">
        <v>2.2598950000000002</v>
      </c>
      <c r="K281">
        <v>3.2776100000000001</v>
      </c>
      <c r="L281" s="6">
        <f>DATE(LEFT(TBL_TEV[[#This Row],[Data]],4),MID(TBL_TEV[[#This Row],[Data]],5,2),RIGHT(TBL_TEV[[#This Row],[Data]],2))</f>
        <v>45688</v>
      </c>
      <c r="M281" t="str" cm="1">
        <f t="array" aca="1" ref="M281" ca="1">IF(_xlfn.SINGLE(TBL_TEV[Data2])&gt;=INDIRECT("L"&amp;COUNTA(TBL_TEV[Data])+1)-365, "Ultimi 12 mesi", "Vecchi dati")</f>
        <v>Ultimi 12 mesi</v>
      </c>
      <c r="Q281" s="12"/>
    </row>
    <row r="282" spans="1:17">
      <c r="A282">
        <v>20250203</v>
      </c>
      <c r="B282">
        <v>1.4183870000000001</v>
      </c>
      <c r="C282">
        <v>0.28907500000000003</v>
      </c>
      <c r="D282">
        <v>0.62656699999999999</v>
      </c>
      <c r="E282">
        <v>2.2916439999999998</v>
      </c>
      <c r="F282">
        <v>3.370317</v>
      </c>
      <c r="G282">
        <v>2.283865</v>
      </c>
      <c r="H282">
        <f>TBL_Dati_OS[[#This Row],[Valore Volatilità]]</f>
        <v>7.1890411642455376</v>
      </c>
      <c r="I282">
        <v>0.58735700000000002</v>
      </c>
      <c r="J282">
        <v>2.220526</v>
      </c>
      <c r="K282">
        <v>3.2309389999999998</v>
      </c>
      <c r="L282" s="6">
        <f>DATE(LEFT(TBL_TEV[[#This Row],[Data]],4),MID(TBL_TEV[[#This Row],[Data]],5,2),RIGHT(TBL_TEV[[#This Row],[Data]],2))</f>
        <v>45691</v>
      </c>
      <c r="M282" t="str" cm="1">
        <f t="array" aca="1" ref="M282" ca="1">IF(_xlfn.SINGLE(TBL_TEV[Data2])&gt;=INDIRECT("L"&amp;COUNTA(TBL_TEV[Data])+1)-365, "Ultimi 12 mesi", "Vecchi dati")</f>
        <v>Ultimi 12 mesi</v>
      </c>
      <c r="Q282" s="12"/>
    </row>
    <row r="283" spans="1:17">
      <c r="A283">
        <v>20250204</v>
      </c>
      <c r="B283" s="16">
        <v>1.428547</v>
      </c>
      <c r="C283" s="16">
        <v>0.28780499999999998</v>
      </c>
      <c r="D283" s="16">
        <v>0.630853</v>
      </c>
      <c r="E283" s="16">
        <v>2.2987869999999999</v>
      </c>
      <c r="F283" s="16">
        <v>3.375238</v>
      </c>
      <c r="G283" s="16">
        <v>2.302597</v>
      </c>
      <c r="H283" s="16">
        <f>TBL_Dati_OS[[#This Row],[Valore Volatilità]]</f>
        <v>7.2170583208829884</v>
      </c>
      <c r="I283">
        <v>0.59084899999999996</v>
      </c>
      <c r="J283">
        <v>2.2305269999999999</v>
      </c>
      <c r="K283">
        <v>3.2482419999999999</v>
      </c>
      <c r="L283" s="6">
        <f>DATE(LEFT(TBL_TEV[[#This Row],[Data]],4),MID(TBL_TEV[[#This Row],[Data]],5,2),RIGHT(TBL_TEV[[#This Row],[Data]],2))</f>
        <v>45692</v>
      </c>
      <c r="M283" t="str" cm="1">
        <f t="array" aca="1" ref="M283" ca="1">IF(_xlfn.SINGLE(TBL_TEV[Data2])&gt;=INDIRECT("L"&amp;COUNTA(TBL_TEV[Data])+1)-365, "Ultimi 12 mesi", "Vecchi dati")</f>
        <v>Ultimi 12 mesi</v>
      </c>
      <c r="Q283" s="12"/>
    </row>
    <row r="284" spans="1:17">
      <c r="A284">
        <v>20250205</v>
      </c>
      <c r="B284">
        <v>1.4469609999999999</v>
      </c>
      <c r="C284">
        <v>0.28923399999999999</v>
      </c>
      <c r="D284">
        <v>0.64148899999999998</v>
      </c>
      <c r="E284">
        <v>2.3413309999999998</v>
      </c>
      <c r="F284">
        <v>3.3936519999999999</v>
      </c>
      <c r="G284">
        <v>2.2913260000000002</v>
      </c>
      <c r="H284">
        <f>TBL_Dati_OS[[#This Row],[Valore Volatilità]]</f>
        <v>7.2892992796109786</v>
      </c>
      <c r="I284">
        <v>0.59592900000000004</v>
      </c>
      <c r="J284">
        <v>2.2595770000000002</v>
      </c>
      <c r="K284">
        <v>3.2480829999999998</v>
      </c>
      <c r="L284" s="6">
        <f>DATE(LEFT(TBL_TEV[[#This Row],[Data]],4),MID(TBL_TEV[[#This Row],[Data]],5,2),RIGHT(TBL_TEV[[#This Row],[Data]],2))</f>
        <v>45693</v>
      </c>
      <c r="M284" t="str" cm="1">
        <f t="array" aca="1" ref="M284" ca="1">IF(_xlfn.SINGLE(TBL_TEV[Data2])&gt;=INDIRECT("L"&amp;COUNTA(TBL_TEV[Data])+1)-365, "Ultimi 12 mesi", "Vecchi dati")</f>
        <v>Ultimi 12 mesi</v>
      </c>
      <c r="Q284" s="12"/>
    </row>
    <row r="285" spans="1:17">
      <c r="A285">
        <v>20250206</v>
      </c>
      <c r="B285">
        <v>1.447438</v>
      </c>
      <c r="C285">
        <v>0.28986899999999999</v>
      </c>
      <c r="D285">
        <v>0.643235</v>
      </c>
      <c r="E285">
        <v>2.3546659999999999</v>
      </c>
      <c r="F285">
        <v>3.393176</v>
      </c>
      <c r="G285">
        <v>2.2818019999999999</v>
      </c>
      <c r="H285">
        <f>TBL_Dati_OS[[#This Row],[Valore Volatilità]]</f>
        <v>7.6135794176513283</v>
      </c>
      <c r="I285">
        <v>0.59545300000000001</v>
      </c>
      <c r="J285">
        <v>2.2641810000000002</v>
      </c>
      <c r="K285">
        <v>3.2423679999999999</v>
      </c>
      <c r="L285" s="6">
        <f>DATE(LEFT(TBL_TEV[[#This Row],[Data]],4),MID(TBL_TEV[[#This Row],[Data]],5,2),RIGHT(TBL_TEV[[#This Row],[Data]],2))</f>
        <v>45694</v>
      </c>
      <c r="M285" t="str" cm="1">
        <f t="array" aca="1" ref="M285" ca="1">IF(_xlfn.SINGLE(TBL_TEV[Data2])&gt;=INDIRECT("L"&amp;COUNTA(TBL_TEV[Data])+1)-365, "Ultimi 12 mesi", "Vecchi dati")</f>
        <v>Ultimi 12 mesi</v>
      </c>
      <c r="Q285" s="12"/>
    </row>
    <row r="286" spans="1:17">
      <c r="A286">
        <v>20250207</v>
      </c>
      <c r="B286">
        <v>1.438072</v>
      </c>
      <c r="C286">
        <v>0.29288500000000001</v>
      </c>
      <c r="D286">
        <v>0.64863199999999999</v>
      </c>
      <c r="E286">
        <v>2.3614920000000001</v>
      </c>
      <c r="F286">
        <v>3.4088919999999998</v>
      </c>
      <c r="G286">
        <v>2.26688</v>
      </c>
      <c r="H286">
        <f>TBL_Dati_OS[[#This Row],[Valore Volatilità]]</f>
        <v>7.2597351079071517</v>
      </c>
      <c r="I286">
        <v>0.59465900000000005</v>
      </c>
      <c r="J286">
        <v>2.275928</v>
      </c>
      <c r="K286">
        <v>3.2663389999999999</v>
      </c>
      <c r="L286" s="6">
        <f>DATE(LEFT(TBL_TEV[[#This Row],[Data]],4),MID(TBL_TEV[[#This Row],[Data]],5,2),RIGHT(TBL_TEV[[#This Row],[Data]],2))</f>
        <v>45695</v>
      </c>
      <c r="M286" t="str" cm="1">
        <f t="array" aca="1" ref="M286" ca="1">IF(_xlfn.SINGLE(TBL_TEV[Data2])&gt;=INDIRECT("L"&amp;COUNTA(TBL_TEV[Data])+1)-365, "Ultimi 12 mesi", "Vecchi dati")</f>
        <v>Ultimi 12 mesi</v>
      </c>
      <c r="Q286" s="12"/>
    </row>
    <row r="287" spans="1:17">
      <c r="A287">
        <v>20250210</v>
      </c>
      <c r="B287">
        <v>1.453311</v>
      </c>
      <c r="C287">
        <v>0.29288500000000001</v>
      </c>
      <c r="D287">
        <v>0.663713</v>
      </c>
      <c r="E287">
        <v>2.409592</v>
      </c>
      <c r="F287">
        <v>3.438418</v>
      </c>
      <c r="G287">
        <v>2.2902149999999999</v>
      </c>
      <c r="H287">
        <f>TBL_Dati_OS[[#This Row],[Valore Volatilità]]</f>
        <v>7.413965809895755</v>
      </c>
      <c r="I287">
        <v>0.60069099999999997</v>
      </c>
      <c r="J287">
        <v>2.3010100000000002</v>
      </c>
      <c r="K287">
        <v>3.2934839999999999</v>
      </c>
      <c r="L287" s="6">
        <f>DATE(LEFT(TBL_TEV[[#This Row],[Data]],4),MID(TBL_TEV[[#This Row],[Data]],5,2),RIGHT(TBL_TEV[[#This Row],[Data]],2))</f>
        <v>45698</v>
      </c>
      <c r="M287" t="str" cm="1">
        <f t="array" aca="1" ref="M287" ca="1">IF(_xlfn.SINGLE(TBL_TEV[Data2])&gt;=INDIRECT("L"&amp;COUNTA(TBL_TEV[Data])+1)-365, "Ultimi 12 mesi", "Vecchi dati")</f>
        <v>Ultimi 12 mesi</v>
      </c>
      <c r="Q287" s="12"/>
    </row>
    <row r="288" spans="1:17">
      <c r="A288">
        <v>20250211</v>
      </c>
      <c r="B288">
        <v>1.4442630000000001</v>
      </c>
      <c r="C288">
        <v>0.29399599999999998</v>
      </c>
      <c r="D288">
        <v>0.66418900000000003</v>
      </c>
      <c r="E288">
        <v>2.40848</v>
      </c>
      <c r="F288">
        <v>3.4323860000000002</v>
      </c>
      <c r="G288">
        <v>2.2764039999999999</v>
      </c>
      <c r="H288">
        <f>TBL_Dati_OS[[#This Row],[Valore Volatilità]]</f>
        <v>7.4600799810682856</v>
      </c>
      <c r="I288">
        <v>0.59640499999999996</v>
      </c>
      <c r="J288">
        <v>2.285612</v>
      </c>
      <c r="K288">
        <v>3.264275</v>
      </c>
      <c r="L288" s="6">
        <f>DATE(LEFT(TBL_TEV[[#This Row],[Data]],4),MID(TBL_TEV[[#This Row],[Data]],5,2),RIGHT(TBL_TEV[[#This Row],[Data]],2))</f>
        <v>45699</v>
      </c>
      <c r="M288" t="str" cm="1">
        <f t="array" aca="1" ref="M288" ca="1">IF(_xlfn.SINGLE(TBL_TEV[Data2])&gt;=INDIRECT("L"&amp;COUNTA(TBL_TEV[Data])+1)-365, "Ultimi 12 mesi", "Vecchi dati")</f>
        <v>Ultimi 12 mesi</v>
      </c>
      <c r="Q288" s="12"/>
    </row>
    <row r="289" spans="1:17">
      <c r="A289">
        <v>20250212</v>
      </c>
      <c r="B289">
        <v>1.4479139999999999</v>
      </c>
      <c r="C289">
        <v>0.29383700000000001</v>
      </c>
      <c r="D289">
        <v>0.66672900000000002</v>
      </c>
      <c r="E289">
        <v>2.4054639999999998</v>
      </c>
      <c r="F289">
        <v>3.43953</v>
      </c>
      <c r="G289">
        <v>2.2876750000000001</v>
      </c>
      <c r="H289">
        <f>TBL_Dati_OS[[#This Row],[Valore Volatilità]]</f>
        <v>7.685680888955674</v>
      </c>
      <c r="I289">
        <v>0.59608799999999995</v>
      </c>
      <c r="J289">
        <v>2.2775159999999999</v>
      </c>
      <c r="K289">
        <v>3.2545920000000002</v>
      </c>
      <c r="L289" s="6">
        <f>DATE(LEFT(TBL_TEV[[#This Row],[Data]],4),MID(TBL_TEV[[#This Row],[Data]],5,2),RIGHT(TBL_TEV[[#This Row],[Data]],2))</f>
        <v>45700</v>
      </c>
      <c r="M289" t="str" cm="1">
        <f t="array" aca="1" ref="M289" ca="1">IF(_xlfn.SINGLE(TBL_TEV[Data2])&gt;=INDIRECT("L"&amp;COUNTA(TBL_TEV[Data])+1)-365, "Ultimi 12 mesi", "Vecchi dati")</f>
        <v>Ultimi 12 mesi</v>
      </c>
      <c r="Q289" s="12"/>
    </row>
    <row r="290" spans="1:17">
      <c r="A290">
        <v>20250213</v>
      </c>
      <c r="B290">
        <v>1.488235</v>
      </c>
      <c r="C290">
        <v>0.29732999999999998</v>
      </c>
      <c r="D290">
        <v>0.69752599999999998</v>
      </c>
      <c r="E290">
        <v>2.4519760000000002</v>
      </c>
      <c r="F290">
        <v>3.4903279999999999</v>
      </c>
      <c r="G290">
        <v>2.3067250000000001</v>
      </c>
      <c r="H290">
        <f>TBL_Dati_OS[[#This Row],[Valore Volatilità]]</f>
        <v>7.5132957042119504</v>
      </c>
      <c r="I290">
        <v>0.60148500000000005</v>
      </c>
      <c r="J290">
        <v>2.298629</v>
      </c>
      <c r="K290">
        <v>3.2782450000000001</v>
      </c>
      <c r="L290" s="6">
        <f>DATE(LEFT(TBL_TEV[[#This Row],[Data]],4),MID(TBL_TEV[[#This Row],[Data]],5,2),RIGHT(TBL_TEV[[#This Row],[Data]],2))</f>
        <v>45701</v>
      </c>
      <c r="M290" t="str" cm="1">
        <f t="array" aca="1" ref="M290" ca="1">IF(_xlfn.SINGLE(TBL_TEV[Data2])&gt;=INDIRECT("L"&amp;COUNTA(TBL_TEV[Data])+1)-365, "Ultimi 12 mesi", "Vecchi dati")</f>
        <v>Ultimi 12 mesi</v>
      </c>
      <c r="Q290" s="12"/>
    </row>
    <row r="291" spans="1:17">
      <c r="A291">
        <v>20250214</v>
      </c>
      <c r="B291">
        <v>1.494902</v>
      </c>
      <c r="C291">
        <v>0.29796499999999998</v>
      </c>
      <c r="D291">
        <v>0.70181199999999999</v>
      </c>
      <c r="E291">
        <v>2.4775339999999999</v>
      </c>
      <c r="F291">
        <v>3.5169969999999999</v>
      </c>
      <c r="G291">
        <v>2.317202</v>
      </c>
      <c r="H291">
        <f>TBL_Dati_OS[[#This Row],[Valore Volatilità]]</f>
        <v>7.5181332368886711</v>
      </c>
      <c r="I291">
        <v>0.59577000000000002</v>
      </c>
      <c r="J291">
        <v>2.3005339999999999</v>
      </c>
      <c r="K291">
        <v>3.2758630000000002</v>
      </c>
      <c r="L291" s="6">
        <f>DATE(LEFT(TBL_TEV[[#This Row],[Data]],4),MID(TBL_TEV[[#This Row],[Data]],5,2),RIGHT(TBL_TEV[[#This Row],[Data]],2))</f>
        <v>45702</v>
      </c>
      <c r="M291" t="str" cm="1">
        <f t="array" aca="1" ref="M291" ca="1">IF(_xlfn.SINGLE(TBL_TEV[Data2])&gt;=INDIRECT("L"&amp;COUNTA(TBL_TEV[Data])+1)-365, "Ultimi 12 mesi", "Vecchi dati")</f>
        <v>Ultimi 12 mesi</v>
      </c>
    </row>
    <row r="292" spans="1:17">
      <c r="A292">
        <v>20250217</v>
      </c>
      <c r="B292">
        <v>1.490934</v>
      </c>
      <c r="C292">
        <v>0.29828199999999999</v>
      </c>
      <c r="D292">
        <v>0.70149499999999998</v>
      </c>
      <c r="E292">
        <v>2.4872179999999999</v>
      </c>
      <c r="F292">
        <v>3.5149339999999998</v>
      </c>
      <c r="G292">
        <v>2.3054549999999998</v>
      </c>
      <c r="H292">
        <f>TBL_Dati_OS[[#This Row],[Valore Volatilità]]</f>
        <v>7.5990340401177292</v>
      </c>
      <c r="I292">
        <v>0.592754</v>
      </c>
      <c r="J292">
        <v>2.2873579999999998</v>
      </c>
      <c r="K292">
        <v>3.2561789999999999</v>
      </c>
      <c r="L292" s="6">
        <f>DATE(LEFT(TBL_TEV[[#This Row],[Data]],4),MID(TBL_TEV[[#This Row],[Data]],5,2),RIGHT(TBL_TEV[[#This Row],[Data]],2))</f>
        <v>45705</v>
      </c>
      <c r="M292" t="str" cm="1">
        <f t="array" aca="1" ref="M292" ca="1">IF(_xlfn.SINGLE(TBL_TEV[Data2])&gt;=INDIRECT("L"&amp;COUNTA(TBL_TEV[Data])+1)-365, "Ultimi 12 mesi", "Vecchi dati")</f>
        <v>Ultimi 12 mesi</v>
      </c>
    </row>
    <row r="293" spans="1:17">
      <c r="A293">
        <v>20250218</v>
      </c>
      <c r="B293">
        <v>1.4775990000000001</v>
      </c>
      <c r="C293">
        <v>0.29875800000000002</v>
      </c>
      <c r="D293">
        <v>0.69625599999999999</v>
      </c>
      <c r="E293">
        <v>2.4807090000000001</v>
      </c>
      <c r="F293">
        <v>3.5054090000000002</v>
      </c>
      <c r="G293">
        <v>2.2924380000000002</v>
      </c>
      <c r="H293">
        <f>TBL_Dati_OS[[#This Row],[Valore Volatilità]]</f>
        <v>7.4544339902121344</v>
      </c>
      <c r="I293">
        <v>0.59243699999999999</v>
      </c>
      <c r="J293">
        <v>2.2825950000000002</v>
      </c>
      <c r="K293">
        <v>3.2388759999999999</v>
      </c>
      <c r="L293" s="6">
        <f>DATE(LEFT(TBL_TEV[[#This Row],[Data]],4),MID(TBL_TEV[[#This Row],[Data]],5,2),RIGHT(TBL_TEV[[#This Row],[Data]],2))</f>
        <v>45706</v>
      </c>
      <c r="M293" t="str" cm="1">
        <f t="array" aca="1" ref="M293" ca="1">IF(_xlfn.SINGLE(TBL_TEV[Data2])&gt;=INDIRECT("L"&amp;COUNTA(TBL_TEV[Data])+1)-365, "Ultimi 12 mesi", "Vecchi dati")</f>
        <v>Ultimi 12 mesi</v>
      </c>
    </row>
    <row r="294" spans="1:17">
      <c r="A294">
        <v>20250219</v>
      </c>
      <c r="B294">
        <v>1.465376</v>
      </c>
      <c r="C294">
        <v>0.35939900000000002</v>
      </c>
      <c r="D294">
        <v>0.67514300000000005</v>
      </c>
      <c r="E294">
        <v>2.486583</v>
      </c>
      <c r="F294">
        <v>3.4938199999999999</v>
      </c>
      <c r="G294">
        <v>2.3006920000000002</v>
      </c>
      <c r="H294">
        <f>TBL_Dati_OS[[#This Row],[Valore Volatilità]]</f>
        <v>7.4926533355738538</v>
      </c>
      <c r="I294">
        <v>0.58942000000000005</v>
      </c>
      <c r="J294">
        <v>2.2816429999999999</v>
      </c>
      <c r="K294">
        <v>3.2285569999999999</v>
      </c>
      <c r="L294" s="6">
        <f>DATE(LEFT(TBL_TEV[[#This Row],[Data]],4),MID(TBL_TEV[[#This Row],[Data]],5,2),RIGHT(TBL_TEV[[#This Row],[Data]],2))</f>
        <v>45707</v>
      </c>
      <c r="M294" t="str" cm="1">
        <f t="array" aca="1" ref="M294" ca="1">IF(_xlfn.SINGLE(TBL_TEV[Data2])&gt;=INDIRECT("L"&amp;COUNTA(TBL_TEV[Data])+1)-365, "Ultimi 12 mesi", "Vecchi dati")</f>
        <v>Ultimi 12 mesi</v>
      </c>
    </row>
    <row r="295" spans="1:17">
      <c r="A295">
        <v>20250220</v>
      </c>
      <c r="B295">
        <v>1.518397</v>
      </c>
      <c r="C295">
        <v>0.36590699999999998</v>
      </c>
      <c r="D295">
        <v>0.74054600000000004</v>
      </c>
      <c r="E295">
        <v>2.4830909999999999</v>
      </c>
      <c r="F295">
        <v>3.5033449999999999</v>
      </c>
      <c r="G295">
        <v>2.3225989999999999</v>
      </c>
      <c r="H295">
        <f>TBL_Dati_OS[[#This Row],[Valore Volatilità]]</f>
        <v>7.4465862220150996</v>
      </c>
      <c r="I295">
        <v>0.58561099999999999</v>
      </c>
      <c r="J295">
        <v>2.27196</v>
      </c>
      <c r="K295">
        <v>3.2260170000000001</v>
      </c>
      <c r="L295" s="6">
        <f>DATE(LEFT(TBL_TEV[[#This Row],[Data]],4),MID(TBL_TEV[[#This Row],[Data]],5,2),RIGHT(TBL_TEV[[#This Row],[Data]],2))</f>
        <v>45708</v>
      </c>
      <c r="M295" t="str" cm="1">
        <f t="array" aca="1" ref="M295" ca="1">IF(_xlfn.SINGLE(TBL_TEV[Data2])&gt;=INDIRECT("L"&amp;COUNTA(TBL_TEV[Data])+1)-365, "Ultimi 12 mesi", "Vecchi dati")</f>
        <v>Ultimi 12 mesi</v>
      </c>
    </row>
    <row r="296" spans="1:17">
      <c r="A296">
        <v>20250221</v>
      </c>
      <c r="B296">
        <v>1.5479229999999999</v>
      </c>
      <c r="C296">
        <v>0.36686000000000002</v>
      </c>
      <c r="D296">
        <v>0.76038899999999998</v>
      </c>
      <c r="E296">
        <v>2.4878529999999999</v>
      </c>
      <c r="F296">
        <v>3.5327130000000002</v>
      </c>
      <c r="G296">
        <v>2.3145030000000002</v>
      </c>
      <c r="H296">
        <f>TBL_Dati_OS[[#This Row],[Valore Volatilità]]</f>
        <v>7.4414247791712187</v>
      </c>
      <c r="I296">
        <v>0.58640400000000004</v>
      </c>
      <c r="J296">
        <v>2.257673</v>
      </c>
      <c r="K296">
        <v>3.2472889999999999</v>
      </c>
      <c r="L296" s="6">
        <f>DATE(LEFT(TBL_TEV[[#This Row],[Data]],4),MID(TBL_TEV[[#This Row],[Data]],5,2),RIGHT(TBL_TEV[[#This Row],[Data]],2))</f>
        <v>45709</v>
      </c>
      <c r="M296" t="str" cm="1">
        <f t="array" aca="1" ref="M296" ca="1">IF(_xlfn.SINGLE(TBL_TEV[Data2])&gt;=INDIRECT("L"&amp;COUNTA(TBL_TEV[Data])+1)-365, "Ultimi 12 mesi", "Vecchi dati")</f>
        <v>Ultimi 12 mesi</v>
      </c>
    </row>
    <row r="297" spans="1:17">
      <c r="A297">
        <v>20250224</v>
      </c>
      <c r="B297">
        <v>1.534589</v>
      </c>
      <c r="C297">
        <v>0.36590699999999998</v>
      </c>
      <c r="D297">
        <v>0.76102400000000003</v>
      </c>
      <c r="E297">
        <v>2.4607070000000002</v>
      </c>
      <c r="F297">
        <v>3.493185</v>
      </c>
      <c r="G297">
        <v>2.3089469999999999</v>
      </c>
      <c r="H297">
        <f>TBL_Dati_OS[[#This Row],[Valore Volatilità]]</f>
        <v>7.4089966059973067</v>
      </c>
      <c r="I297">
        <v>0.58132399999999995</v>
      </c>
      <c r="J297">
        <v>2.2408459999999999</v>
      </c>
      <c r="K297">
        <v>3.237606</v>
      </c>
      <c r="L297" s="6">
        <f>DATE(LEFT(TBL_TEV[[#This Row],[Data]],4),MID(TBL_TEV[[#This Row],[Data]],5,2),RIGHT(TBL_TEV[[#This Row],[Data]],2))</f>
        <v>45712</v>
      </c>
      <c r="M297" t="str" cm="1">
        <f t="array" aca="1" ref="M297" ca="1">IF(_xlfn.SINGLE(TBL_TEV[Data2])&gt;=INDIRECT("L"&amp;COUNTA(TBL_TEV[Data])+1)-365, "Ultimi 12 mesi", "Vecchi dati")</f>
        <v>Ultimi 12 mesi</v>
      </c>
    </row>
    <row r="298" spans="1:17">
      <c r="A298">
        <v>20250225</v>
      </c>
      <c r="B298">
        <v>1.5110939999999999</v>
      </c>
      <c r="C298">
        <v>0.36559000000000003</v>
      </c>
      <c r="D298">
        <v>0.75959500000000002</v>
      </c>
      <c r="E298">
        <v>2.4219740000000001</v>
      </c>
      <c r="F298">
        <v>3.438895</v>
      </c>
      <c r="G298">
        <v>2.2748170000000001</v>
      </c>
      <c r="H298">
        <f>TBL_Dati_OS[[#This Row],[Valore Volatilità]]</f>
        <v>7.4506998642294571</v>
      </c>
      <c r="I298">
        <v>0.87595500000000004</v>
      </c>
      <c r="J298">
        <v>2.1906819999999998</v>
      </c>
      <c r="K298">
        <v>3.1688689999999999</v>
      </c>
      <c r="L298" s="6">
        <f>DATE(LEFT(TBL_TEV[[#This Row],[Data]],4),MID(TBL_TEV[[#This Row],[Data]],5,2),RIGHT(TBL_TEV[[#This Row],[Data]],2))</f>
        <v>45713</v>
      </c>
      <c r="M298" t="str" cm="1">
        <f t="array" aca="1" ref="M298" ca="1">IF(_xlfn.SINGLE(TBL_TEV[Data2])&gt;=INDIRECT("L"&amp;COUNTA(TBL_TEV[Data])+1)-365, "Ultimi 12 mesi", "Vecchi dati")</f>
        <v>Ultimi 12 mesi</v>
      </c>
    </row>
    <row r="299" spans="1:17">
      <c r="A299">
        <v>20250226</v>
      </c>
      <c r="B299">
        <v>1.5215719999999999</v>
      </c>
      <c r="C299">
        <v>0.36701899999999998</v>
      </c>
      <c r="D299">
        <v>0.76959599999999995</v>
      </c>
      <c r="E299">
        <v>2.4662639999999998</v>
      </c>
      <c r="F299">
        <v>3.4684210000000002</v>
      </c>
      <c r="G299">
        <v>2.2864049999999998</v>
      </c>
      <c r="H299">
        <f>TBL_Dati_OS[[#This Row],[Valore Volatilità]]</f>
        <v>7.3562218455797845</v>
      </c>
      <c r="I299">
        <v>0.57878499999999999</v>
      </c>
      <c r="J299">
        <v>2.201953</v>
      </c>
      <c r="K299">
        <v>3.1714090000000001</v>
      </c>
      <c r="L299" s="6">
        <f>DATE(LEFT(TBL_TEV[[#This Row],[Data]],4),MID(TBL_TEV[[#This Row],[Data]],5,2),RIGHT(TBL_TEV[[#This Row],[Data]],2))</f>
        <v>45714</v>
      </c>
      <c r="M299" t="str" cm="1">
        <f t="array" aca="1" ref="M299" ca="1">IF(_xlfn.SINGLE(TBL_TEV[Data2])&gt;=INDIRECT("L"&amp;COUNTA(TBL_TEV[Data])+1)-365, "Ultimi 12 mesi", "Vecchi dati")</f>
        <v>Ultimi 12 mesi</v>
      </c>
    </row>
    <row r="300" spans="1:17">
      <c r="A300">
        <v>20250227</v>
      </c>
      <c r="B300">
        <v>1.50665</v>
      </c>
      <c r="C300">
        <v>0.367336</v>
      </c>
      <c r="D300">
        <v>0.76594499999999999</v>
      </c>
      <c r="E300">
        <v>2.4410229999999999</v>
      </c>
      <c r="F300">
        <v>3.4501659999999998</v>
      </c>
      <c r="G300">
        <v>2.2484649999999999</v>
      </c>
      <c r="H300">
        <f>TBL_Dati_OS[[#This Row],[Valore Volatilità]]</f>
        <v>7.3796952730608432</v>
      </c>
      <c r="I300">
        <v>0.57370500000000002</v>
      </c>
      <c r="J300">
        <v>2.1675049999999998</v>
      </c>
      <c r="K300">
        <v>3.1475970000000002</v>
      </c>
      <c r="L300" s="6">
        <f>DATE(LEFT(TBL_TEV[[#This Row],[Data]],4),MID(TBL_TEV[[#This Row],[Data]],5,2),RIGHT(TBL_TEV[[#This Row],[Data]],2))</f>
        <v>45715</v>
      </c>
      <c r="M300" t="str" cm="1">
        <f t="array" aca="1" ref="M300" ca="1">IF(_xlfn.SINGLE(TBL_TEV[Data2])&gt;=INDIRECT("L"&amp;COUNTA(TBL_TEV[Data])+1)-365, "Ultimi 12 mesi", "Vecchi dati")</f>
        <v>Ultimi 12 mesi</v>
      </c>
    </row>
    <row r="301" spans="1:17">
      <c r="A301">
        <v>20250228</v>
      </c>
      <c r="B301">
        <v>1.5441130000000001</v>
      </c>
      <c r="C301">
        <v>0.33368199999999998</v>
      </c>
      <c r="D301">
        <v>0.74054600000000004</v>
      </c>
      <c r="E301">
        <v>2.4919799999999999</v>
      </c>
      <c r="F301">
        <v>3.5062030000000002</v>
      </c>
      <c r="G301">
        <v>2.2945009999999999</v>
      </c>
      <c r="H301">
        <f>TBL_Dati_OS[[#This Row],[Valore Volatilità]]</f>
        <v>7.495661270799217</v>
      </c>
      <c r="I301">
        <v>0.57116500000000003</v>
      </c>
      <c r="J301">
        <v>2.2316379999999998</v>
      </c>
      <c r="K301">
        <v>3.3023739999999999</v>
      </c>
      <c r="L301" s="6">
        <f>DATE(LEFT(TBL_TEV[[#This Row],[Data]],4),MID(TBL_TEV[[#This Row],[Data]],5,2),RIGHT(TBL_TEV[[#This Row],[Data]],2))</f>
        <v>45716</v>
      </c>
      <c r="M301" t="str" cm="1">
        <f t="array" aca="1" ref="M301" ca="1">IF(_xlfn.SINGLE(TBL_TEV[Data2])&gt;=INDIRECT("L"&amp;COUNTA(TBL_TEV[Data])+1)-365, "Ultimi 12 mesi", "Vecchi dati")</f>
        <v>Ultimi 12 mesi</v>
      </c>
    </row>
    <row r="302" spans="1:17">
      <c r="A302">
        <v>20250303</v>
      </c>
      <c r="B302">
        <v>1.52173</v>
      </c>
      <c r="C302">
        <v>0.33082499999999998</v>
      </c>
      <c r="D302">
        <v>0.73657700000000004</v>
      </c>
      <c r="E302">
        <v>2.3272029999999999</v>
      </c>
      <c r="F302">
        <v>3.4366720000000002</v>
      </c>
      <c r="G302">
        <v>2.2722769999999999</v>
      </c>
      <c r="H302">
        <f>TBL_Dati_OS[[#This Row],[Valore Volatilità]]</f>
        <v>7.3773728453819283</v>
      </c>
      <c r="I302">
        <v>0.55957599999999996</v>
      </c>
      <c r="J302">
        <v>2.1779820000000001</v>
      </c>
      <c r="K302">
        <v>3.2455430000000001</v>
      </c>
      <c r="L302" s="6">
        <f>DATE(LEFT(TBL_TEV[[#This Row],[Data]],4),MID(TBL_TEV[[#This Row],[Data]],5,2),RIGHT(TBL_TEV[[#This Row],[Data]],2))</f>
        <v>45719</v>
      </c>
      <c r="M302" t="str" cm="1">
        <f t="array" aca="1" ref="M302" ca="1">IF(_xlfn.SINGLE(TBL_TEV[Data2])&gt;=INDIRECT("L"&amp;COUNTA(TBL_TEV[Data])+1)-365, "Ultimi 12 mesi", "Vecchi dati")</f>
        <v>Ultimi 12 mesi</v>
      </c>
    </row>
    <row r="303" spans="1:17">
      <c r="A303">
        <v>20250304</v>
      </c>
      <c r="B303">
        <v>1.504586</v>
      </c>
      <c r="C303">
        <v>0.330507</v>
      </c>
      <c r="D303">
        <v>0.73070400000000002</v>
      </c>
      <c r="E303">
        <v>2.3032319999999999</v>
      </c>
      <c r="F303">
        <v>3.4109560000000001</v>
      </c>
      <c r="G303">
        <v>2.2732299999999999</v>
      </c>
      <c r="H303">
        <f>TBL_Dati_OS[[#This Row],[Valore Volatilità]]</f>
        <v>7.3903948119928282</v>
      </c>
      <c r="I303">
        <v>0.55259199999999997</v>
      </c>
      <c r="J303">
        <v>2.1490909999999999</v>
      </c>
      <c r="K303">
        <v>3.205857</v>
      </c>
      <c r="L303" s="6">
        <f>DATE(LEFT(TBL_TEV[[#This Row],[Data]],4),MID(TBL_TEV[[#This Row],[Data]],5,2),RIGHT(TBL_TEV[[#This Row],[Data]],2))</f>
        <v>45720</v>
      </c>
      <c r="M303" t="str" cm="1">
        <f t="array" aca="1" ref="M303" ca="1">IF(_xlfn.SINGLE(TBL_TEV[Data2])&gt;=INDIRECT("L"&amp;COUNTA(TBL_TEV[Data])+1)-365, "Ultimi 12 mesi", "Vecchi dati")</f>
        <v>Ultimi 12 mesi</v>
      </c>
    </row>
    <row r="304" spans="1:17">
      <c r="A304">
        <v>20250305</v>
      </c>
      <c r="B304">
        <v>1.541415</v>
      </c>
      <c r="C304">
        <v>0.37559100000000001</v>
      </c>
      <c r="D304">
        <v>0.77896200000000004</v>
      </c>
      <c r="E304">
        <v>2.2916439999999998</v>
      </c>
      <c r="F304">
        <v>3.375238</v>
      </c>
      <c r="G304">
        <v>2.265927</v>
      </c>
      <c r="H304">
        <f>TBL_Dati_OS[[#This Row],[Valore Volatilità]]</f>
        <v>7.512018204814372</v>
      </c>
      <c r="I304">
        <v>0.63974299999999995</v>
      </c>
      <c r="J304">
        <v>2.1854429999999998</v>
      </c>
      <c r="K304">
        <v>3.1977609999999999</v>
      </c>
      <c r="L304" s="6">
        <f>DATE(LEFT(TBL_TEV[[#This Row],[Data]],4),MID(TBL_TEV[[#This Row],[Data]],5,2),RIGHT(TBL_TEV[[#This Row],[Data]],2))</f>
        <v>45721</v>
      </c>
      <c r="M304" t="str" cm="1">
        <f t="array" aca="1" ref="M304" ca="1">IF(_xlfn.SINGLE(TBL_TEV[Data2])&gt;=INDIRECT("L"&amp;COUNTA(TBL_TEV[Data])+1)-365, "Ultimi 12 mesi", "Vecchi dati")</f>
        <v>Ultimi 12 mesi</v>
      </c>
    </row>
    <row r="305" spans="1:13">
      <c r="A305">
        <v>20250306</v>
      </c>
      <c r="B305">
        <v>1.57491</v>
      </c>
      <c r="C305">
        <v>0.38130599999999998</v>
      </c>
      <c r="D305">
        <v>0.79499500000000001</v>
      </c>
      <c r="E305">
        <v>2.2694200000000002</v>
      </c>
      <c r="F305">
        <v>3.3590460000000002</v>
      </c>
      <c r="G305">
        <v>2.2602120000000001</v>
      </c>
      <c r="H305">
        <f>TBL_Dati_OS[[#This Row],[Valore Volatilità]]</f>
        <v>7.5801251017474547</v>
      </c>
      <c r="I305">
        <v>0.64863199999999999</v>
      </c>
      <c r="J305">
        <v>2.1586159999999999</v>
      </c>
      <c r="K305">
        <v>3.191411</v>
      </c>
      <c r="L305" s="6">
        <f>DATE(LEFT(TBL_TEV[[#This Row],[Data]],4),MID(TBL_TEV[[#This Row],[Data]],5,2),RIGHT(TBL_TEV[[#This Row],[Data]],2))</f>
        <v>45722</v>
      </c>
      <c r="M305" t="str" cm="1">
        <f t="array" aca="1" ref="M305" ca="1">IF(_xlfn.SINGLE(TBL_TEV[Data2])&gt;=INDIRECT("L"&amp;COUNTA(TBL_TEV[Data])+1)-365, "Ultimi 12 mesi", "Vecchi dati")</f>
        <v>Ultimi 12 mesi</v>
      </c>
    </row>
    <row r="306" spans="1:13">
      <c r="A306">
        <v>20250307</v>
      </c>
      <c r="B306">
        <v>1.565544</v>
      </c>
      <c r="C306">
        <v>0.38575100000000001</v>
      </c>
      <c r="D306">
        <v>0.79785300000000003</v>
      </c>
      <c r="E306">
        <v>2.3054549999999998</v>
      </c>
      <c r="F306">
        <v>3.3987319999999999</v>
      </c>
      <c r="G306">
        <v>2.2792620000000001</v>
      </c>
      <c r="H306">
        <f>TBL_Dati_OS[[#This Row],[Valore Volatilità]]</f>
        <v>7.5869073117988242</v>
      </c>
      <c r="I306">
        <v>0.65609300000000004</v>
      </c>
      <c r="J306">
        <v>2.1946509999999999</v>
      </c>
      <c r="K306">
        <v>3.2344309999999998</v>
      </c>
      <c r="L306" s="6">
        <f>DATE(LEFT(TBL_TEV[[#This Row],[Data]],4),MID(TBL_TEV[[#This Row],[Data]],5,2),RIGHT(TBL_TEV[[#This Row],[Data]],2))</f>
        <v>45723</v>
      </c>
      <c r="M306" t="str" cm="1">
        <f t="array" aca="1" ref="M306" ca="1">IF(_xlfn.SINGLE(TBL_TEV[Data2])&gt;=INDIRECT("L"&amp;COUNTA(TBL_TEV[Data])+1)-365, "Ultimi 12 mesi", "Vecchi dati")</f>
        <v>Ultimi 12 mesi</v>
      </c>
    </row>
    <row r="307" spans="1:13">
      <c r="A307">
        <v>20250310</v>
      </c>
      <c r="B307">
        <v>1.578244</v>
      </c>
      <c r="C307">
        <v>0.38829000000000002</v>
      </c>
      <c r="D307">
        <v>0.80356799999999995</v>
      </c>
      <c r="E307">
        <v>2.289898</v>
      </c>
      <c r="F307">
        <v>3.3790480000000001</v>
      </c>
      <c r="G307">
        <v>2.2564030000000002</v>
      </c>
      <c r="H307">
        <f>TBL_Dati_OS[[#This Row],[Valore Volatilità]]</f>
        <v>7.7174082099507153</v>
      </c>
      <c r="I307">
        <v>0.66355399999999998</v>
      </c>
      <c r="J307">
        <v>2.1970320000000001</v>
      </c>
      <c r="K307">
        <v>3.2468129999999999</v>
      </c>
      <c r="L307" s="6">
        <f>DATE(LEFT(TBL_TEV[[#This Row],[Data]],4),MID(TBL_TEV[[#This Row],[Data]],5,2),RIGHT(TBL_TEV[[#This Row],[Data]],2))</f>
        <v>45726</v>
      </c>
      <c r="M307" t="str" cm="1">
        <f t="array" aca="1" ref="M307" ca="1">IF(_xlfn.SINGLE(TBL_TEV[Data2])&gt;=INDIRECT("L"&amp;COUNTA(TBL_TEV[Data])+1)-365, "Ultimi 12 mesi", "Vecchi dati")</f>
        <v>Ultimi 12 mesi</v>
      </c>
    </row>
    <row r="308" spans="1:13">
      <c r="A308">
        <v>20250311</v>
      </c>
      <c r="B308">
        <v>1.6033249999999999</v>
      </c>
      <c r="C308">
        <v>0.385909</v>
      </c>
      <c r="D308">
        <v>0.81721999999999995</v>
      </c>
      <c r="E308">
        <v>2.3013270000000001</v>
      </c>
      <c r="F308">
        <v>3.3963510000000001</v>
      </c>
      <c r="G308">
        <v>2.3002159999999998</v>
      </c>
      <c r="H308">
        <f>TBL_Dati_OS[[#This Row],[Valore Volatilità]]</f>
        <v>7.6621744601918431</v>
      </c>
      <c r="I308">
        <v>0.67101500000000003</v>
      </c>
      <c r="J308">
        <v>2.2441789999999999</v>
      </c>
      <c r="K308">
        <v>3.268402</v>
      </c>
      <c r="L308" s="6">
        <f>DATE(LEFT(TBL_TEV[[#This Row],[Data]],4),MID(TBL_TEV[[#This Row],[Data]],5,2),RIGHT(TBL_TEV[[#This Row],[Data]],2))</f>
        <v>45727</v>
      </c>
      <c r="M308" t="str" cm="1">
        <f t="array" aca="1" ref="M308" ca="1">IF(_xlfn.SINGLE(TBL_TEV[Data2])&gt;=INDIRECT("L"&amp;COUNTA(TBL_TEV[Data])+1)-365, "Ultimi 12 mesi", "Vecchi dati")</f>
        <v>Ultimi 12 mesi</v>
      </c>
    </row>
    <row r="309" spans="1:13">
      <c r="A309">
        <v>20250312</v>
      </c>
      <c r="B309">
        <v>1.606976</v>
      </c>
      <c r="C309">
        <v>0.384322</v>
      </c>
      <c r="D309">
        <v>0.82261700000000004</v>
      </c>
      <c r="E309">
        <v>2.3097409999999998</v>
      </c>
      <c r="F309">
        <v>3.4049230000000001</v>
      </c>
      <c r="G309">
        <v>2.3478400000000001</v>
      </c>
      <c r="H309">
        <f>TBL_Dati_OS[[#This Row],[Valore Volatilità]]</f>
        <v>7.7531930049474189</v>
      </c>
      <c r="I309">
        <v>0.69498599999999999</v>
      </c>
      <c r="J309">
        <v>2.2857699999999999</v>
      </c>
      <c r="K309">
        <v>3.2766570000000002</v>
      </c>
      <c r="L309" s="6">
        <f>DATE(LEFT(TBL_TEV[[#This Row],[Data]],4),MID(TBL_TEV[[#This Row],[Data]],5,2),RIGHT(TBL_TEV[[#This Row],[Data]],2))</f>
        <v>45728</v>
      </c>
      <c r="M309" t="str" cm="1">
        <f t="array" aca="1" ref="M309" ca="1">IF(_xlfn.SINGLE(TBL_TEV[Data2])&gt;=INDIRECT("L"&amp;COUNTA(TBL_TEV[Data])+1)-365, "Ultimi 12 mesi", "Vecchi dati")</f>
        <v>Ultimi 12 mesi</v>
      </c>
    </row>
    <row r="310" spans="1:13">
      <c r="A310">
        <v>20250313</v>
      </c>
      <c r="B310">
        <v>1.6360269999999999</v>
      </c>
      <c r="C310">
        <v>0.38321100000000002</v>
      </c>
      <c r="D310">
        <v>0.94373899999999999</v>
      </c>
      <c r="E310">
        <v>2.3106930000000001</v>
      </c>
      <c r="F310">
        <v>3.4082569999999999</v>
      </c>
      <c r="G310">
        <v>2.3472050000000002</v>
      </c>
      <c r="H310">
        <f>TBL_Dati_OS[[#This Row],[Valore Volatilità]]</f>
        <v>7.6198486149070881</v>
      </c>
      <c r="I310">
        <v>0.69387500000000002</v>
      </c>
      <c r="J310">
        <v>2.2819609999999999</v>
      </c>
      <c r="K310">
        <v>3.269037</v>
      </c>
      <c r="L310" s="6">
        <f>DATE(LEFT(TBL_TEV[[#This Row],[Data]],4),MID(TBL_TEV[[#This Row],[Data]],5,2),RIGHT(TBL_TEV[[#This Row],[Data]],2))</f>
        <v>45729</v>
      </c>
      <c r="M310" t="str" cm="1">
        <f t="array" aca="1" ref="M310" ca="1">IF(_xlfn.SINGLE(TBL_TEV[Data2])&gt;=INDIRECT("L"&amp;COUNTA(TBL_TEV[Data])+1)-365, "Ultimi 12 mesi", "Vecchi dati")</f>
        <v>Ultimi 12 mesi</v>
      </c>
    </row>
    <row r="311" spans="1:13">
      <c r="A311">
        <v>20250314</v>
      </c>
      <c r="B311">
        <v>1.629677</v>
      </c>
      <c r="C311">
        <v>0.38194099999999997</v>
      </c>
      <c r="D311">
        <v>0.94500899999999999</v>
      </c>
      <c r="E311">
        <v>2.2924380000000002</v>
      </c>
      <c r="F311">
        <v>3.3585699999999998</v>
      </c>
      <c r="G311">
        <v>2.3695879999999998</v>
      </c>
      <c r="H311">
        <f>TBL_Dati_OS[[#This Row],[Valore Volatilità]]</f>
        <v>7.8219860364202418</v>
      </c>
      <c r="I311">
        <v>0.70514600000000005</v>
      </c>
      <c r="J311">
        <v>2.3018040000000002</v>
      </c>
      <c r="K311">
        <v>3.2885629999999999</v>
      </c>
      <c r="L311" s="6">
        <f>DATE(LEFT(TBL_TEV[[#This Row],[Data]],4),MID(TBL_TEV[[#This Row],[Data]],5,2),RIGHT(TBL_TEV[[#This Row],[Data]],2))</f>
        <v>45730</v>
      </c>
      <c r="M311" t="str" cm="1">
        <f t="array" aca="1" ref="M311" ca="1">IF(_xlfn.SINGLE(TBL_TEV[Data2])&gt;=INDIRECT("L"&amp;COUNTA(TBL_TEV[Data])+1)-365, "Ultimi 12 mesi", "Vecchi dati")</f>
        <v>Ultimi 12 mesi</v>
      </c>
    </row>
    <row r="312" spans="1:13">
      <c r="A312">
        <v>20250317</v>
      </c>
      <c r="B312">
        <v>1.634757</v>
      </c>
      <c r="C312">
        <v>0.38463900000000001</v>
      </c>
      <c r="D312">
        <v>0.95770900000000003</v>
      </c>
      <c r="E312">
        <v>2.2921200000000002</v>
      </c>
      <c r="F312">
        <v>3.3380920000000001</v>
      </c>
      <c r="G312">
        <v>2.3892720000000001</v>
      </c>
      <c r="H312">
        <f>TBL_Dati_OS[[#This Row],[Valore Volatilità]]</f>
        <v>7.8400368301231866</v>
      </c>
      <c r="I312">
        <v>0.70165299999999997</v>
      </c>
      <c r="J312">
        <v>2.2686259999999998</v>
      </c>
      <c r="K312">
        <v>3.2357010000000002</v>
      </c>
      <c r="L312" s="6">
        <f>DATE(LEFT(TBL_TEV[[#This Row],[Data]],4),MID(TBL_TEV[[#This Row],[Data]],5,2),RIGHT(TBL_TEV[[#This Row],[Data]],2))</f>
        <v>45733</v>
      </c>
      <c r="M312" t="str" cm="1">
        <f t="array" aca="1" ref="M312" ca="1">IF(_xlfn.SINGLE(TBL_TEV[Data2])&gt;=INDIRECT("L"&amp;COUNTA(TBL_TEV[Data])+1)-365, "Ultimi 12 mesi", "Vecchi dati")</f>
        <v>Ultimi 12 mesi</v>
      </c>
    </row>
    <row r="313" spans="1:13">
      <c r="A313">
        <v>20250318</v>
      </c>
      <c r="B313">
        <v>1.613961</v>
      </c>
      <c r="C313">
        <v>0.383687</v>
      </c>
      <c r="D313">
        <v>0.953264</v>
      </c>
      <c r="E313">
        <v>2.2630699999999999</v>
      </c>
      <c r="F313">
        <v>3.296977</v>
      </c>
      <c r="G313">
        <v>2.3243450000000001</v>
      </c>
      <c r="H313">
        <f>TBL_Dati_OS[[#This Row],[Valore Volatilità]]</f>
        <v>7.9218481129408396</v>
      </c>
      <c r="I313">
        <v>0.69704999999999995</v>
      </c>
      <c r="J313">
        <v>2.2410040000000002</v>
      </c>
      <c r="K313">
        <v>3.1998250000000001</v>
      </c>
      <c r="L313" s="6">
        <f>DATE(LEFT(TBL_TEV[[#This Row],[Data]],4),MID(TBL_TEV[[#This Row],[Data]],5,2),RIGHT(TBL_TEV[[#This Row],[Data]],2))</f>
        <v>45734</v>
      </c>
      <c r="M313" t="str" cm="1">
        <f t="array" aca="1" ref="M313" ca="1">IF(_xlfn.SINGLE(TBL_TEV[Data2])&gt;=INDIRECT("L"&amp;COUNTA(TBL_TEV[Data])+1)-365, "Ultimi 12 mesi", "Vecchi dati")</f>
        <v>Ultimi 12 mesi</v>
      </c>
    </row>
    <row r="314" spans="1:13">
      <c r="A314">
        <v>20250319</v>
      </c>
      <c r="B314">
        <v>1.582212</v>
      </c>
      <c r="C314">
        <v>0.38543300000000003</v>
      </c>
      <c r="D314">
        <v>0.94516800000000001</v>
      </c>
      <c r="E314">
        <v>2.24275</v>
      </c>
      <c r="F314">
        <v>3.2891979999999998</v>
      </c>
      <c r="G314">
        <v>2.2976760000000001</v>
      </c>
      <c r="H314">
        <f>TBL_Dati_OS[[#This Row],[Valore Volatilità]]</f>
        <v>7.7372537528634435</v>
      </c>
      <c r="I314">
        <v>0.695303</v>
      </c>
      <c r="J314">
        <v>2.258149</v>
      </c>
      <c r="K314">
        <v>3.241733</v>
      </c>
      <c r="L314" s="6">
        <f>DATE(LEFT(TBL_TEV[[#This Row],[Data]],4),MID(TBL_TEV[[#This Row],[Data]],5,2),RIGHT(TBL_TEV[[#This Row],[Data]],2))</f>
        <v>45735</v>
      </c>
      <c r="M314" t="str" cm="1">
        <f t="array" aca="1" ref="M314" ca="1">IF(_xlfn.SINGLE(TBL_TEV[Data2])&gt;=INDIRECT("L"&amp;COUNTA(TBL_TEV[Data])+1)-365, "Ultimi 12 mesi", "Vecchi dati")</f>
        <v>Ultimi 12 mesi</v>
      </c>
    </row>
    <row r="315" spans="1:13">
      <c r="A315">
        <v>20250320</v>
      </c>
      <c r="B315">
        <v>1.5736399999999999</v>
      </c>
      <c r="C315">
        <v>0.38622699999999999</v>
      </c>
      <c r="D315">
        <v>0.94564400000000004</v>
      </c>
      <c r="E315">
        <v>2.216399</v>
      </c>
      <c r="F315">
        <v>3.2391930000000002</v>
      </c>
      <c r="G315">
        <v>2.2090969999999999</v>
      </c>
      <c r="H315">
        <f>TBL_Dati_OS[[#This Row],[Valore Volatilità]]</f>
        <v>7.6894913445915547</v>
      </c>
      <c r="I315">
        <v>0.67895300000000003</v>
      </c>
      <c r="J315">
        <v>2.248148</v>
      </c>
      <c r="K315">
        <v>3.2163339999999998</v>
      </c>
      <c r="L315" s="6">
        <f>DATE(LEFT(TBL_TEV[[#This Row],[Data]],4),MID(TBL_TEV[[#This Row],[Data]],5,2),RIGHT(TBL_TEV[[#This Row],[Data]],2))</f>
        <v>45736</v>
      </c>
      <c r="M315" t="str" cm="1">
        <f t="array" aca="1" ref="M315" ca="1">IF(_xlfn.SINGLE(TBL_TEV[Data2])&gt;=INDIRECT("L"&amp;COUNTA(TBL_TEV[Data])+1)-365, "Ultimi 12 mesi", "Vecchi dati")</f>
        <v>Ultimi 12 mesi</v>
      </c>
    </row>
    <row r="316" spans="1:13">
      <c r="A316">
        <v>20250321</v>
      </c>
      <c r="B316">
        <v>1.5914189999999999</v>
      </c>
      <c r="C316">
        <v>0.38749699999999998</v>
      </c>
      <c r="D316">
        <v>0.94881899999999997</v>
      </c>
      <c r="E316">
        <v>2.2471950000000001</v>
      </c>
      <c r="F316">
        <v>3.2709419999999998</v>
      </c>
      <c r="G316">
        <v>2.2265579999999998</v>
      </c>
      <c r="H316">
        <f>TBL_Dati_OS[[#This Row],[Valore Volatilità]]</f>
        <v>7.4842955691604542</v>
      </c>
      <c r="I316">
        <v>0.67911100000000002</v>
      </c>
      <c r="J316">
        <v>2.2700550000000002</v>
      </c>
      <c r="K316">
        <v>3.2674500000000002</v>
      </c>
      <c r="L316" s="6">
        <f>DATE(LEFT(TBL_TEV[[#This Row],[Data]],4),MID(TBL_TEV[[#This Row],[Data]],5,2),RIGHT(TBL_TEV[[#This Row],[Data]],2))</f>
        <v>45737</v>
      </c>
      <c r="M316" t="str" cm="1">
        <f t="array" aca="1" ref="M316" ca="1">IF(_xlfn.SINGLE(TBL_TEV[Data2])&gt;=INDIRECT("L"&amp;COUNTA(TBL_TEV[Data])+1)-365, "Ultimi 12 mesi", "Vecchi dati")</f>
        <v>Ultimi 12 mesi</v>
      </c>
    </row>
    <row r="317" spans="1:13">
      <c r="A317">
        <v>20250324</v>
      </c>
      <c r="B317">
        <v>1.5949120000000001</v>
      </c>
      <c r="C317">
        <v>0.393847</v>
      </c>
      <c r="D317">
        <v>0.95802699999999996</v>
      </c>
      <c r="E317">
        <v>2.2648160000000002</v>
      </c>
      <c r="F317">
        <v>3.287928</v>
      </c>
      <c r="G317">
        <v>2.2278280000000001</v>
      </c>
      <c r="H317">
        <f>TBL_Dati_OS[[#This Row],[Valore Volatilità]]</f>
        <v>7.4942011768814671</v>
      </c>
      <c r="I317">
        <v>0.67942899999999995</v>
      </c>
      <c r="J317">
        <v>2.2552910000000002</v>
      </c>
      <c r="K317">
        <v>3.2414160000000001</v>
      </c>
      <c r="L317" s="6">
        <f>DATE(LEFT(TBL_TEV[[#This Row],[Data]],4),MID(TBL_TEV[[#This Row],[Data]],5,2),RIGHT(TBL_TEV[[#This Row],[Data]],2))</f>
        <v>45740</v>
      </c>
      <c r="M317" t="str" cm="1">
        <f t="array" aca="1" ref="M317" ca="1">IF(_xlfn.SINGLE(TBL_TEV[Data2])&gt;=INDIRECT("L"&amp;COUNTA(TBL_TEV[Data])+1)-365, "Ultimi 12 mesi", "Vecchi dati")</f>
        <v>Ultimi 12 mesi</v>
      </c>
    </row>
    <row r="318" spans="1:13">
      <c r="A318">
        <v>20250325</v>
      </c>
      <c r="B318">
        <v>1.6085640000000001</v>
      </c>
      <c r="C318">
        <v>0.40114899999999998</v>
      </c>
      <c r="D318">
        <v>0.96326500000000004</v>
      </c>
      <c r="E318">
        <v>2.2894220000000001</v>
      </c>
      <c r="F318">
        <v>3.3044380000000002</v>
      </c>
      <c r="G318">
        <v>2.207668</v>
      </c>
      <c r="H318">
        <f>TBL_Dati_OS[[#This Row],[Valore Volatilità]]</f>
        <v>7.3968360905732506</v>
      </c>
      <c r="I318">
        <v>0.91040299999999996</v>
      </c>
      <c r="J318">
        <v>2.2735470000000002</v>
      </c>
      <c r="K318">
        <v>3.2712599999999998</v>
      </c>
      <c r="L318" s="6">
        <f>DATE(LEFT(TBL_TEV[[#This Row],[Data]],4),MID(TBL_TEV[[#This Row],[Data]],5,2),RIGHT(TBL_TEV[[#This Row],[Data]],2))</f>
        <v>45741</v>
      </c>
      <c r="M318" t="str" cm="1">
        <f t="array" aca="1" ref="M318" ca="1">IF(_xlfn.SINGLE(TBL_TEV[Data2])&gt;=INDIRECT("L"&amp;COUNTA(TBL_TEV[Data])+1)-365, "Ultimi 12 mesi", "Vecchi dati")</f>
        <v>Ultimi 12 mesi</v>
      </c>
    </row>
    <row r="319" spans="1:13">
      <c r="A319">
        <v>20250326</v>
      </c>
      <c r="B319">
        <v>1.5906260000000001</v>
      </c>
      <c r="C319">
        <v>0.40035500000000002</v>
      </c>
      <c r="D319">
        <v>0.96247099999999997</v>
      </c>
      <c r="E319">
        <v>2.24783</v>
      </c>
      <c r="F319">
        <v>3.2399870000000002</v>
      </c>
      <c r="G319">
        <v>2.1775060000000002</v>
      </c>
      <c r="H319">
        <f>TBL_Dati_OS[[#This Row],[Valore Volatilità]]</f>
        <v>7.2494628474767318</v>
      </c>
      <c r="I319">
        <v>0.902783</v>
      </c>
      <c r="J319">
        <v>2.225606</v>
      </c>
      <c r="K319">
        <v>3.2098249999999999</v>
      </c>
      <c r="L319" s="6">
        <f>DATE(LEFT(TBL_TEV[[#This Row],[Data]],4),MID(TBL_TEV[[#This Row],[Data]],5,2),RIGHT(TBL_TEV[[#This Row],[Data]],2))</f>
        <v>45742</v>
      </c>
      <c r="M319" t="str" cm="1">
        <f t="array" aca="1" ref="M319" ca="1">IF(_xlfn.SINGLE(TBL_TEV[Data2])&gt;=INDIRECT("L"&amp;COUNTA(TBL_TEV[Data])+1)-365, "Ultimi 12 mesi", "Vecchi dati")</f>
        <v>Ultimi 12 mesi</v>
      </c>
    </row>
    <row r="320" spans="1:13">
      <c r="A320">
        <v>20250327</v>
      </c>
      <c r="B320">
        <v>1.581736</v>
      </c>
      <c r="C320">
        <v>0.39987899999999998</v>
      </c>
      <c r="D320">
        <v>0.96310600000000002</v>
      </c>
      <c r="E320">
        <v>2.216081</v>
      </c>
      <c r="F320">
        <v>3.191252</v>
      </c>
      <c r="G320">
        <v>2.1675049999999998</v>
      </c>
      <c r="H320">
        <f>TBL_Dati_OS[[#This Row],[Valore Volatilità]]</f>
        <v>7.3276771266031488</v>
      </c>
      <c r="I320">
        <v>0.90071999999999997</v>
      </c>
      <c r="J320">
        <v>2.201635</v>
      </c>
      <c r="K320">
        <v>3.1758540000000002</v>
      </c>
      <c r="L320" s="6">
        <f>DATE(LEFT(TBL_TEV[[#This Row],[Data]],4),MID(TBL_TEV[[#This Row],[Data]],5,2),RIGHT(TBL_TEV[[#This Row],[Data]],2))</f>
        <v>45743</v>
      </c>
      <c r="M320" t="str" cm="1">
        <f t="array" aca="1" ref="M320" ca="1">IF(_xlfn.SINGLE(TBL_TEV[Data2])&gt;=INDIRECT("L"&amp;COUNTA(TBL_TEV[Data])+1)-365, "Ultimi 12 mesi", "Vecchi dati")</f>
        <v>Ultimi 12 mesi</v>
      </c>
    </row>
    <row r="321" spans="1:13">
      <c r="A321">
        <v>20250328</v>
      </c>
      <c r="B321">
        <v>1.582212</v>
      </c>
      <c r="C321">
        <v>0.400038</v>
      </c>
      <c r="D321">
        <v>0.96818599999999999</v>
      </c>
      <c r="E321">
        <v>2.2008420000000002</v>
      </c>
      <c r="F321">
        <v>3.1650589999999998</v>
      </c>
      <c r="G321">
        <v>2.1630600000000002</v>
      </c>
      <c r="H321">
        <f>TBL_Dati_OS[[#This Row],[Valore Volatilità]]</f>
        <v>7.31768199546406</v>
      </c>
      <c r="I321">
        <v>0.89341700000000002</v>
      </c>
      <c r="J321">
        <v>2.1587740000000002</v>
      </c>
      <c r="K321">
        <v>3.117912</v>
      </c>
      <c r="L321" s="6">
        <f>DATE(LEFT(TBL_TEV[[#This Row],[Data]],4),MID(TBL_TEV[[#This Row],[Data]],5,2),RIGHT(TBL_TEV[[#This Row],[Data]],2))</f>
        <v>45744</v>
      </c>
      <c r="M321" t="str" cm="1">
        <f t="array" aca="1" ref="M321" ca="1">IF(_xlfn.SINGLE(TBL_TEV[Data2])&gt;=INDIRECT("L"&amp;COUNTA(TBL_TEV[Data])+1)-365, "Ultimi 12 mesi", "Vecchi dati")</f>
        <v>Ultimi 12 mesi</v>
      </c>
    </row>
    <row r="322" spans="1:13">
      <c r="A322">
        <v>20250331</v>
      </c>
      <c r="B322">
        <v>1.51919</v>
      </c>
      <c r="C322">
        <v>0.33527000000000001</v>
      </c>
      <c r="D322">
        <v>0.88230500000000001</v>
      </c>
      <c r="E322">
        <v>2.1694100000000001</v>
      </c>
      <c r="F322">
        <v>3.1385489999999998</v>
      </c>
      <c r="G322">
        <v>2.1224219999999998</v>
      </c>
      <c r="H322">
        <f>TBL_Dati_OS[[#This Row],[Valore Volatilità]]</f>
        <v>7.2497634355052742</v>
      </c>
      <c r="I322">
        <v>0.83960299999999999</v>
      </c>
      <c r="J322">
        <v>2.1362329999999998</v>
      </c>
      <c r="K322">
        <v>3.095529</v>
      </c>
      <c r="L322" s="6">
        <f>DATE(LEFT(TBL_TEV[[#This Row],[Data]],4),MID(TBL_TEV[[#This Row],[Data]],5,2),RIGHT(TBL_TEV[[#This Row],[Data]],2))</f>
        <v>45747</v>
      </c>
      <c r="M322" t="str" cm="1">
        <f t="array" aca="1" ref="M322" ca="1">IF(_xlfn.SINGLE(TBL_TEV[Data2])&gt;=INDIRECT("L"&amp;COUNTA(TBL_TEV[Data])+1)-365, "Ultimi 12 mesi", "Vecchi dati")</f>
        <v>Ultimi 12 mesi</v>
      </c>
    </row>
    <row r="323" spans="1:13">
      <c r="A323">
        <v>20250401</v>
      </c>
      <c r="B323">
        <v>1.5236350000000001</v>
      </c>
      <c r="C323">
        <v>0.32590400000000003</v>
      </c>
      <c r="D323">
        <v>0.88690899999999995</v>
      </c>
      <c r="E323">
        <v>2.202429</v>
      </c>
      <c r="F323">
        <v>3.1874419999999999</v>
      </c>
      <c r="G323">
        <v>2.1525829999999999</v>
      </c>
      <c r="H323">
        <f>TBL_Dati_OS[[#This Row],[Valore Volatilità]]</f>
        <v>7.1686841251688866</v>
      </c>
      <c r="I323">
        <v>0.84198399999999995</v>
      </c>
      <c r="J323">
        <v>2.1648070000000001</v>
      </c>
      <c r="K323">
        <v>3.1420409999999999</v>
      </c>
      <c r="L323" s="6">
        <f>DATE(LEFT(TBL_TEV[[#This Row],[Data]],4),MID(TBL_TEV[[#This Row],[Data]],5,2),RIGHT(TBL_TEV[[#This Row],[Data]],2))</f>
        <v>45748</v>
      </c>
      <c r="M323" t="str" cm="1">
        <f t="array" aca="1" ref="M323" ca="1">IF(_xlfn.SINGLE(TBL_TEV[Data2])&gt;=INDIRECT("L"&amp;COUNTA(TBL_TEV[Data])+1)-365, "Ultimi 12 mesi", "Vecchi dati")</f>
        <v>Ultimi 12 mesi</v>
      </c>
    </row>
    <row r="324" spans="1:13">
      <c r="A324">
        <v>20250402</v>
      </c>
      <c r="B324">
        <v>1.5307789999999999</v>
      </c>
      <c r="C324">
        <v>0.32447500000000001</v>
      </c>
      <c r="D324">
        <v>0.88516300000000003</v>
      </c>
      <c r="E324">
        <v>2.2148110000000001</v>
      </c>
      <c r="F324">
        <v>3.2022059999999999</v>
      </c>
      <c r="G324">
        <v>2.1502020000000002</v>
      </c>
      <c r="H324">
        <f>TBL_Dati_OS[[#This Row],[Valore Volatilità]]</f>
        <v>7.1553475372925348</v>
      </c>
      <c r="I324">
        <v>0.83690399999999998</v>
      </c>
      <c r="J324">
        <v>2.176078</v>
      </c>
      <c r="K324">
        <v>3.2133180000000001</v>
      </c>
      <c r="L324" s="6">
        <f>DATE(LEFT(TBL_TEV[[#This Row],[Data]],4),MID(TBL_TEV[[#This Row],[Data]],5,2),RIGHT(TBL_TEV[[#This Row],[Data]],2))</f>
        <v>45749</v>
      </c>
      <c r="M324" t="str" cm="1">
        <f t="array" aca="1" ref="M324" ca="1">IF(_xlfn.SINGLE(TBL_TEV[Data2])&gt;=INDIRECT("L"&amp;COUNTA(TBL_TEV[Data])+1)-365, "Ultimi 12 mesi", "Vecchi dati")</f>
        <v>Ultimi 12 mesi</v>
      </c>
    </row>
    <row r="325" spans="1:13">
      <c r="A325">
        <v>20250403</v>
      </c>
      <c r="B325">
        <v>1.551733</v>
      </c>
      <c r="C325">
        <v>0.32590400000000003</v>
      </c>
      <c r="D325">
        <v>0.72800500000000001</v>
      </c>
      <c r="E325">
        <v>2.1173419999999998</v>
      </c>
      <c r="F325">
        <v>3.1075940000000002</v>
      </c>
      <c r="G325">
        <v>2.2656100000000001</v>
      </c>
      <c r="H325">
        <f>TBL_Dati_OS[[#This Row],[Valore Volatilità]]</f>
        <v>7.4315006091545266</v>
      </c>
      <c r="I325">
        <v>0.84261900000000001</v>
      </c>
      <c r="J325">
        <v>2.1325810000000001</v>
      </c>
      <c r="K325">
        <v>3.118547</v>
      </c>
      <c r="L325" s="6">
        <f>DATE(LEFT(TBL_TEV[[#This Row],[Data]],4),MID(TBL_TEV[[#This Row],[Data]],5,2),RIGHT(TBL_TEV[[#This Row],[Data]],2))</f>
        <v>45750</v>
      </c>
      <c r="M325" t="str" cm="1">
        <f t="array" aca="1" ref="M325" ca="1">IF(_xlfn.SINGLE(TBL_TEV[Data2])&gt;=INDIRECT("L"&amp;COUNTA(TBL_TEV[Data])+1)-365, "Ultimi 12 mesi", "Vecchi dati")</f>
        <v>Ultimi 12 mesi</v>
      </c>
    </row>
    <row r="326" spans="1:13">
      <c r="A326">
        <v>20250404</v>
      </c>
      <c r="B326">
        <v>1.639043</v>
      </c>
      <c r="C326">
        <v>0.32606200000000002</v>
      </c>
      <c r="D326">
        <v>0.75197499999999995</v>
      </c>
      <c r="E326">
        <v>2.152901</v>
      </c>
      <c r="F326">
        <v>3.099815</v>
      </c>
      <c r="G326">
        <v>2.3097409999999998</v>
      </c>
      <c r="H326">
        <f>TBL_Dati_OS[[#This Row],[Valore Volatilità]]</f>
        <v>7.462037200877325</v>
      </c>
      <c r="I326">
        <v>0.85246100000000002</v>
      </c>
      <c r="J326">
        <v>2.2192560000000001</v>
      </c>
      <c r="K326">
        <v>3.1256910000000002</v>
      </c>
      <c r="L326" s="6">
        <f>DATE(LEFT(TBL_TEV[[#This Row],[Data]],4),MID(TBL_TEV[[#This Row],[Data]],5,2),RIGHT(TBL_TEV[[#This Row],[Data]],2))</f>
        <v>45751</v>
      </c>
      <c r="M326" t="str" cm="1">
        <f t="array" aca="1" ref="M326" ca="1">IF(_xlfn.SINGLE(TBL_TEV[Data2])&gt;=INDIRECT("L"&amp;COUNTA(TBL_TEV[Data])+1)-365, "Ultimi 12 mesi", "Vecchi dati")</f>
        <v>Ultimi 12 mesi</v>
      </c>
    </row>
    <row r="327" spans="1:13">
      <c r="A327">
        <v>20250407</v>
      </c>
      <c r="B327">
        <v>1.728575</v>
      </c>
      <c r="C327">
        <v>0.33066600000000002</v>
      </c>
      <c r="D327">
        <v>0.78737599999999996</v>
      </c>
      <c r="E327">
        <v>2.225765</v>
      </c>
      <c r="F327">
        <v>3.1660119999999998</v>
      </c>
      <c r="G327">
        <v>2.4494370000000001</v>
      </c>
      <c r="H327">
        <f>TBL_Dati_OS[[#This Row],[Valore Volatilità]]</f>
        <v>7.6106980085581277</v>
      </c>
      <c r="I327">
        <v>0.88865499999999997</v>
      </c>
      <c r="J327">
        <v>2.3008510000000002</v>
      </c>
      <c r="K327">
        <v>3.1987130000000001</v>
      </c>
      <c r="L327" s="6">
        <f>DATE(LEFT(TBL_TEV[[#This Row],[Data]],4),MID(TBL_TEV[[#This Row],[Data]],5,2),RIGHT(TBL_TEV[[#This Row],[Data]],2))</f>
        <v>45754</v>
      </c>
      <c r="M327" t="str" cm="1">
        <f t="array" aca="1" ref="M327" ca="1">IF(_xlfn.SINGLE(TBL_TEV[Data2])&gt;=INDIRECT("L"&amp;COUNTA(TBL_TEV[Data])+1)-365, "Ultimi 12 mesi", "Vecchi dati")</f>
        <v>Ultimi 12 mesi</v>
      </c>
    </row>
    <row r="328" spans="1:13">
      <c r="A328">
        <v>20250408</v>
      </c>
      <c r="B328">
        <v>1.7139709999999999</v>
      </c>
      <c r="C328">
        <v>0.32780900000000002</v>
      </c>
      <c r="D328">
        <v>0.78213699999999997</v>
      </c>
      <c r="E328">
        <v>2.2049690000000002</v>
      </c>
      <c r="F328">
        <v>3.1355330000000001</v>
      </c>
      <c r="G328">
        <v>2.4280059999999999</v>
      </c>
      <c r="H328">
        <f>TBL_Dati_OS[[#This Row],[Valore Volatilità]]</f>
        <v>7.8052518340757944</v>
      </c>
      <c r="I328">
        <v>0.88611499999999999</v>
      </c>
      <c r="J328">
        <v>2.280214</v>
      </c>
      <c r="K328">
        <v>3.168393</v>
      </c>
      <c r="L328" s="6">
        <f>DATE(LEFT(TBL_TEV[[#This Row],[Data]],4),MID(TBL_TEV[[#This Row],[Data]],5,2),RIGHT(TBL_TEV[[#This Row],[Data]],2))</f>
        <v>45755</v>
      </c>
      <c r="M328" t="str" cm="1">
        <f t="array" aca="1" ref="M328" ca="1">IF(_xlfn.SINGLE(TBL_TEV[Data2])&gt;=INDIRECT("L"&amp;COUNTA(TBL_TEV[Data])+1)-365, "Ultimi 12 mesi", "Vecchi dati")</f>
        <v>Ultimi 12 mesi</v>
      </c>
    </row>
    <row r="329" spans="1:13">
      <c r="A329">
        <v>20250409</v>
      </c>
      <c r="B329">
        <v>1.902242</v>
      </c>
      <c r="C329">
        <v>0.32384000000000002</v>
      </c>
      <c r="D329">
        <v>0.84277800000000003</v>
      </c>
      <c r="E329">
        <v>2.294184</v>
      </c>
      <c r="F329">
        <v>3.2942779999999998</v>
      </c>
      <c r="G329">
        <v>2.606277</v>
      </c>
      <c r="H329">
        <f>TBL_Dati_OS[[#This Row],[Valore Volatilità]]</f>
        <v>9.1259998211888806</v>
      </c>
      <c r="I329">
        <v>0.92135599999999995</v>
      </c>
      <c r="J329">
        <v>2.3186309999999999</v>
      </c>
      <c r="K329">
        <v>3.3542839999999998</v>
      </c>
      <c r="L329" s="6">
        <f>DATE(LEFT(TBL_TEV[[#This Row],[Data]],4),MID(TBL_TEV[[#This Row],[Data]],5,2),RIGHT(TBL_TEV[[#This Row],[Data]],2))</f>
        <v>45756</v>
      </c>
      <c r="M329" t="str" cm="1">
        <f t="array" aca="1" ref="M329" ca="1">IF(_xlfn.SINGLE(TBL_TEV[Data2])&gt;=INDIRECT("L"&amp;COUNTA(TBL_TEV[Data])+1)-365, "Ultimi 12 mesi", "Vecchi dati")</f>
        <v>Ultimi 12 mesi</v>
      </c>
    </row>
    <row r="330" spans="1:13">
      <c r="A330">
        <v>20250410</v>
      </c>
      <c r="B330">
        <v>1.9749479999999999</v>
      </c>
      <c r="C330">
        <v>0.322411</v>
      </c>
      <c r="D330">
        <v>0.87992400000000004</v>
      </c>
      <c r="E330">
        <v>2.2919610000000001</v>
      </c>
      <c r="F330">
        <v>3.2495120000000002</v>
      </c>
      <c r="G330">
        <v>2.6173890000000002</v>
      </c>
      <c r="H330">
        <f>TBL_Dati_OS[[#This Row],[Valore Volatilità]]</f>
        <v>9.1148689913800958</v>
      </c>
      <c r="I330">
        <v>0.95501000000000003</v>
      </c>
      <c r="J330">
        <v>2.3011689999999998</v>
      </c>
      <c r="K330">
        <v>3.3233280000000001</v>
      </c>
      <c r="L330" s="6">
        <f>DATE(LEFT(TBL_TEV[[#This Row],[Data]],4),MID(TBL_TEV[[#This Row],[Data]],5,2),RIGHT(TBL_TEV[[#This Row],[Data]],2))</f>
        <v>45757</v>
      </c>
      <c r="M330" t="str" cm="1">
        <f t="array" aca="1" ref="M330" ca="1">IF(_xlfn.SINGLE(TBL_TEV[Data2])&gt;=INDIRECT("L"&amp;COUNTA(TBL_TEV[Data])+1)-365, "Ultimi 12 mesi", "Vecchi dati")</f>
        <v>Ultimi 12 mesi</v>
      </c>
    </row>
    <row r="331" spans="1:13">
      <c r="A331">
        <v>20250411</v>
      </c>
      <c r="B331">
        <v>1.9251020000000001</v>
      </c>
      <c r="C331">
        <v>0.32050600000000001</v>
      </c>
      <c r="D331">
        <v>0.89865600000000001</v>
      </c>
      <c r="E331">
        <v>2.3433950000000001</v>
      </c>
      <c r="F331">
        <v>3.3163429999999998</v>
      </c>
      <c r="G331">
        <v>2.7175569999999998</v>
      </c>
      <c r="H331">
        <f>TBL_Dati_OS[[#This Row],[Valore Volatilità]]</f>
        <v>9.0753718350715467</v>
      </c>
      <c r="I331">
        <v>0.96612299999999995</v>
      </c>
      <c r="J331">
        <v>2.3435540000000001</v>
      </c>
      <c r="K331">
        <v>3.4160349999999999</v>
      </c>
      <c r="L331" s="6">
        <f>DATE(LEFT(TBL_TEV[[#This Row],[Data]],4),MID(TBL_TEV[[#This Row],[Data]],5,2),RIGHT(TBL_TEV[[#This Row],[Data]],2))</f>
        <v>45758</v>
      </c>
      <c r="M331" t="str" cm="1">
        <f t="array" aca="1" ref="M331" ca="1">IF(_xlfn.SINGLE(TBL_TEV[Data2])&gt;=INDIRECT("L"&amp;COUNTA(TBL_TEV[Data])+1)-365, "Ultimi 12 mesi", "Vecchi dati")</f>
        <v>Ultimi 12 mesi</v>
      </c>
    </row>
    <row r="332" spans="1:13">
      <c r="A332">
        <v>20250414</v>
      </c>
      <c r="B332">
        <v>1.8496980000000001</v>
      </c>
      <c r="C332">
        <v>0.33828599999999998</v>
      </c>
      <c r="D332">
        <v>0.90310100000000004</v>
      </c>
      <c r="E332">
        <v>2.325933</v>
      </c>
      <c r="F332">
        <v>3.2936429999999999</v>
      </c>
      <c r="G332">
        <v>2.6691400000000001</v>
      </c>
      <c r="H332">
        <f>TBL_Dati_OS[[#This Row],[Valore Volatilità]]</f>
        <v>8.9912283823524692</v>
      </c>
      <c r="I332">
        <v>0.97152000000000005</v>
      </c>
      <c r="J332">
        <v>2.325615</v>
      </c>
      <c r="K332">
        <v>3.384128</v>
      </c>
      <c r="L332" s="6">
        <f>DATE(LEFT(TBL_TEV[[#This Row],[Data]],4),MID(TBL_TEV[[#This Row],[Data]],5,2),RIGHT(TBL_TEV[[#This Row],[Data]],2))</f>
        <v>45761</v>
      </c>
      <c r="M332" t="str" cm="1">
        <f t="array" aca="1" ref="M332" ca="1">IF(_xlfn.SINGLE(TBL_TEV[Data2])&gt;=INDIRECT("L"&amp;COUNTA(TBL_TEV[Data])+1)-365, "Ultimi 12 mesi", "Vecchi dati")</f>
        <v>Ultimi 12 mesi</v>
      </c>
    </row>
    <row r="333" spans="1:13">
      <c r="A333">
        <v>20250415</v>
      </c>
      <c r="B333">
        <v>1.835569</v>
      </c>
      <c r="C333">
        <v>0.33685700000000002</v>
      </c>
      <c r="D333">
        <v>0.90103699999999998</v>
      </c>
      <c r="E333">
        <v>2.3065660000000001</v>
      </c>
      <c r="F333">
        <v>3.2774510000000001</v>
      </c>
      <c r="G333">
        <v>2.655011</v>
      </c>
      <c r="H333">
        <f>TBL_Dati_OS[[#This Row],[Valore Volatilità]]</f>
        <v>8.9704813615047705</v>
      </c>
      <c r="I333">
        <v>0.96342399999999995</v>
      </c>
      <c r="J333">
        <v>2.3132329999999999</v>
      </c>
      <c r="K333">
        <v>3.370317</v>
      </c>
      <c r="L333" s="6">
        <f>DATE(LEFT(TBL_TEV[[#This Row],[Data]],4),MID(TBL_TEV[[#This Row],[Data]],5,2),RIGHT(TBL_TEV[[#This Row],[Data]],2))</f>
        <v>45762</v>
      </c>
      <c r="M333" t="str" cm="1">
        <f t="array" aca="1" ref="M333" ca="1">IF(_xlfn.SINGLE(TBL_TEV[Data2])&gt;=INDIRECT("L"&amp;COUNTA(TBL_TEV[Data])+1)-365, "Ultimi 12 mesi", "Vecchi dati")</f>
        <v>Ultimi 12 mesi</v>
      </c>
    </row>
    <row r="334" spans="1:13">
      <c r="A334">
        <v>20250416</v>
      </c>
      <c r="B334">
        <v>1.8087409999999999</v>
      </c>
      <c r="C334">
        <v>0.29526599999999997</v>
      </c>
      <c r="D334">
        <v>0.82214100000000001</v>
      </c>
      <c r="E334">
        <v>2.2883100000000001</v>
      </c>
      <c r="F334">
        <v>3.2491940000000001</v>
      </c>
      <c r="G334">
        <v>2.536905</v>
      </c>
      <c r="H334">
        <f>TBL_Dati_OS[[#This Row],[Valore Volatilità]]</f>
        <v>8.7927394108789247</v>
      </c>
      <c r="I334">
        <v>0.96310600000000002</v>
      </c>
      <c r="J334">
        <v>2.2864049999999998</v>
      </c>
      <c r="K334">
        <v>3.2549090000000001</v>
      </c>
      <c r="L334" s="6">
        <f>DATE(LEFT(TBL_TEV[[#This Row],[Data]],4),MID(TBL_TEV[[#This Row],[Data]],5,2),RIGHT(TBL_TEV[[#This Row],[Data]],2))</f>
        <v>45763</v>
      </c>
      <c r="M334" t="str" cm="1">
        <f t="array" aca="1" ref="M334" ca="1">IF(_xlfn.SINGLE(TBL_TEV[Data2])&gt;=INDIRECT("L"&amp;COUNTA(TBL_TEV[Data])+1)-365, "Ultimi 12 mesi", "Vecchi dati")</f>
        <v>Ultimi 12 mesi</v>
      </c>
    </row>
    <row r="335" spans="1:13">
      <c r="A335">
        <v>20250417</v>
      </c>
      <c r="B335">
        <v>1.7755639999999999</v>
      </c>
      <c r="C335">
        <v>0.29558299999999998</v>
      </c>
      <c r="D335">
        <v>0.77531099999999997</v>
      </c>
      <c r="E335">
        <v>2.2965650000000002</v>
      </c>
      <c r="F335">
        <v>3.3096760000000001</v>
      </c>
      <c r="G335">
        <v>2.4641999999999999</v>
      </c>
      <c r="H335">
        <f>TBL_Dati_OS[[#This Row],[Valore Volatilità]]</f>
        <v>8.7155681340746796</v>
      </c>
      <c r="I335">
        <v>0.964059</v>
      </c>
      <c r="J335">
        <v>2.2714829999999999</v>
      </c>
      <c r="K335">
        <v>3.2355420000000001</v>
      </c>
      <c r="L335" s="6">
        <f>DATE(LEFT(TBL_TEV[[#This Row],[Data]],4),MID(TBL_TEV[[#This Row],[Data]],5,2),RIGHT(TBL_TEV[[#This Row],[Data]],2))</f>
        <v>45764</v>
      </c>
      <c r="M335" t="str" cm="1">
        <f t="array" aca="1" ref="M335" ca="1">IF(_xlfn.SINGLE(TBL_TEV[Data2])&gt;=INDIRECT("L"&amp;COUNTA(TBL_TEV[Data])+1)-365, "Ultimi 12 mesi", "Vecchi dati")</f>
        <v>Ultimi 12 mesi</v>
      </c>
    </row>
    <row r="336" spans="1:13">
      <c r="A336">
        <v>20250422</v>
      </c>
      <c r="B336">
        <v>1.7888980000000001</v>
      </c>
      <c r="C336">
        <v>0.29336099999999998</v>
      </c>
      <c r="D336">
        <v>0.77054900000000004</v>
      </c>
      <c r="E336">
        <v>2.2859289999999999</v>
      </c>
      <c r="F336">
        <v>3.2982459999999998</v>
      </c>
      <c r="G336">
        <v>2.4108619999999998</v>
      </c>
      <c r="H336">
        <f>TBL_Dati_OS[[#This Row],[Valore Volatilità]]</f>
        <v>8.6446932421470049</v>
      </c>
      <c r="I336">
        <v>0.96262999999999999</v>
      </c>
      <c r="J336">
        <v>2.266086</v>
      </c>
      <c r="K336">
        <v>3.2285569999999999</v>
      </c>
      <c r="L336" s="6">
        <f>DATE(LEFT(TBL_TEV[[#This Row],[Data]],4),MID(TBL_TEV[[#This Row],[Data]],5,2),RIGHT(TBL_TEV[[#This Row],[Data]],2))</f>
        <v>45769</v>
      </c>
      <c r="M336" t="str" cm="1">
        <f t="array" aca="1" ref="M336" ca="1">IF(_xlfn.SINGLE(TBL_TEV[Data2])&gt;=INDIRECT("L"&amp;COUNTA(TBL_TEV[Data])+1)-365, "Ultimi 12 mesi", "Vecchi dati")</f>
        <v>Ultimi 12 mesi</v>
      </c>
    </row>
    <row r="337" spans="1:13">
      <c r="A337">
        <v>20250423</v>
      </c>
      <c r="B337">
        <v>1.7619119999999999</v>
      </c>
      <c r="C337">
        <v>0.29272599999999999</v>
      </c>
      <c r="D337">
        <v>0.76562799999999998</v>
      </c>
      <c r="E337">
        <v>2.2687849999999998</v>
      </c>
      <c r="F337">
        <v>3.3055490000000001</v>
      </c>
      <c r="G337">
        <v>2.4159410000000001</v>
      </c>
      <c r="H337">
        <f>TBL_Dati_OS[[#This Row],[Valore Volatilità]]</f>
        <v>8.5555319181109066</v>
      </c>
      <c r="I337">
        <v>0.84960400000000003</v>
      </c>
      <c r="J337">
        <v>2.2646570000000001</v>
      </c>
      <c r="K337">
        <v>3.2582429999999998</v>
      </c>
      <c r="L337" s="6">
        <f>DATE(LEFT(TBL_TEV[[#This Row],[Data]],4),MID(TBL_TEV[[#This Row],[Data]],5,2),RIGHT(TBL_TEV[[#This Row],[Data]],2))</f>
        <v>45770</v>
      </c>
      <c r="M337" t="str" cm="1">
        <f t="array" aca="1" ref="M337" ca="1">IF(_xlfn.SINGLE(TBL_TEV[Data2])&gt;=INDIRECT("L"&amp;COUNTA(TBL_TEV[Data])+1)-365, "Ultimi 12 mesi", "Vecchi dati")</f>
        <v>Ultimi 12 mesi</v>
      </c>
    </row>
    <row r="338" spans="1:13">
      <c r="A338">
        <v>20250424</v>
      </c>
      <c r="B338">
        <v>1.7433380000000001</v>
      </c>
      <c r="C338">
        <v>0.29558299999999998</v>
      </c>
      <c r="D338">
        <v>0.76785000000000003</v>
      </c>
      <c r="E338">
        <v>2.2579899999999999</v>
      </c>
      <c r="F338">
        <v>3.2961830000000001</v>
      </c>
      <c r="G338">
        <v>2.4151479999999999</v>
      </c>
      <c r="H338">
        <f>TBL_Dati_OS[[#This Row],[Valore Volatilità]]</f>
        <v>8.9614647575654747</v>
      </c>
      <c r="I338">
        <v>0.84563500000000003</v>
      </c>
      <c r="J338">
        <v>2.2594189999999998</v>
      </c>
      <c r="K338">
        <v>3.2361770000000001</v>
      </c>
      <c r="L338" s="6">
        <f>DATE(LEFT(TBL_TEV[[#This Row],[Data]],4),MID(TBL_TEV[[#This Row],[Data]],5,2),RIGHT(TBL_TEV[[#This Row],[Data]],2))</f>
        <v>45771</v>
      </c>
      <c r="M338" t="str" cm="1">
        <f t="array" aca="1" ref="M338" ca="1">IF(_xlfn.SINGLE(TBL_TEV[Data2])&gt;=INDIRECT("L"&amp;COUNTA(TBL_TEV[Data])+1)-365, "Ultimi 12 mesi", "Vecchi dati")</f>
        <v>Ultimi 12 mesi</v>
      </c>
    </row>
    <row r="339" spans="1:13">
      <c r="A339">
        <v>20250428</v>
      </c>
      <c r="B339">
        <v>1.724289</v>
      </c>
      <c r="C339">
        <v>0.29526599999999997</v>
      </c>
      <c r="D339">
        <v>0.75753199999999998</v>
      </c>
      <c r="E339">
        <v>2.242909</v>
      </c>
      <c r="F339">
        <v>3.301104</v>
      </c>
      <c r="G339">
        <v>2.4241959999999998</v>
      </c>
      <c r="H339">
        <f>TBL_Dati_OS[[#This Row],[Valore Volatilità]]</f>
        <v>8.7739984821563866</v>
      </c>
      <c r="I339">
        <v>0.830237</v>
      </c>
      <c r="J339">
        <v>2.2459250000000002</v>
      </c>
      <c r="K339">
        <v>3.2337959999999999</v>
      </c>
      <c r="L339" s="6">
        <f>DATE(LEFT(TBL_TEV[[#This Row],[Data]],4),MID(TBL_TEV[[#This Row],[Data]],5,2),RIGHT(TBL_TEV[[#This Row],[Data]],2))</f>
        <v>45775</v>
      </c>
      <c r="M339" t="str" cm="1">
        <f t="array" aca="1" ref="M339" ca="1">IF(_xlfn.SINGLE(TBL_TEV[Data2])&gt;=INDIRECT("L"&amp;COUNTA(TBL_TEV[Data])+1)-365, "Ultimi 12 mesi", "Vecchi dati")</f>
        <v>Ultimi 12 mesi</v>
      </c>
    </row>
    <row r="340" spans="1:13">
      <c r="A340">
        <v>20250429</v>
      </c>
      <c r="B340">
        <v>1.77477</v>
      </c>
      <c r="C340">
        <v>0.430199</v>
      </c>
      <c r="D340">
        <v>0.83865000000000001</v>
      </c>
      <c r="E340">
        <v>2.239099</v>
      </c>
      <c r="F340">
        <v>3.278403</v>
      </c>
      <c r="G340">
        <v>2.413243</v>
      </c>
      <c r="H340">
        <f>TBL_Dati_OS[[#This Row],[Valore Volatilità]]</f>
        <v>8.6991213242216396</v>
      </c>
      <c r="I340">
        <v>0.87452700000000005</v>
      </c>
      <c r="J340">
        <v>2.229733</v>
      </c>
      <c r="K340">
        <v>3.2131590000000001</v>
      </c>
      <c r="L340" s="6">
        <f>DATE(LEFT(TBL_TEV[[#This Row],[Data]],4),MID(TBL_TEV[[#This Row],[Data]],5,2),RIGHT(TBL_TEV[[#This Row],[Data]],2))</f>
        <v>45776</v>
      </c>
      <c r="M340" t="str" cm="1">
        <f t="array" aca="1" ref="M340" ca="1">IF(_xlfn.SINGLE(TBL_TEV[Data2])&gt;=INDIRECT("L"&amp;COUNTA(TBL_TEV[Data])+1)-365, "Ultimi 12 mesi", "Vecchi dati")</f>
        <v>Ultimi 12 mesi</v>
      </c>
    </row>
    <row r="341" spans="1:13">
      <c r="A341">
        <v>20250430</v>
      </c>
      <c r="B341">
        <v>1.6982550000000001</v>
      </c>
      <c r="C341">
        <v>0.40194299999999999</v>
      </c>
      <c r="D341">
        <v>0.74959399999999998</v>
      </c>
      <c r="E341">
        <v>2.2362419999999998</v>
      </c>
      <c r="F341">
        <v>3.2906270000000002</v>
      </c>
      <c r="G341">
        <v>2.36673</v>
      </c>
      <c r="H341">
        <f>TBL_Dati_OS[[#This Row],[Valore Volatilità]]</f>
        <v>8.5767286201059356</v>
      </c>
      <c r="I341">
        <v>0.910721</v>
      </c>
      <c r="J341">
        <v>2.238782</v>
      </c>
      <c r="K341">
        <v>3.2271290000000001</v>
      </c>
      <c r="L341" s="6">
        <f>DATE(LEFT(TBL_TEV[[#This Row],[Data]],4),MID(TBL_TEV[[#This Row],[Data]],5,2),RIGHT(TBL_TEV[[#This Row],[Data]],2))</f>
        <v>45777</v>
      </c>
      <c r="M341" t="str" cm="1">
        <f t="array" aca="1" ref="M341" ca="1">IF(_xlfn.SINGLE(TBL_TEV[Data2])&gt;=INDIRECT("L"&amp;COUNTA(TBL_TEV[Data])+1)-365, "Ultimi 12 mesi", "Vecchi dati")</f>
        <v>Ultimi 12 mesi</v>
      </c>
    </row>
    <row r="342" spans="1:13">
      <c r="A342">
        <v>20250502</v>
      </c>
      <c r="B342">
        <v>1.692064</v>
      </c>
      <c r="C342">
        <v>0.39432299999999998</v>
      </c>
      <c r="D342">
        <v>0.74657799999999996</v>
      </c>
      <c r="E342">
        <v>2.2845</v>
      </c>
      <c r="F342">
        <v>3.3903189999999999</v>
      </c>
      <c r="G342">
        <v>2.4032420000000001</v>
      </c>
      <c r="H342">
        <f>TBL_Dati_OS[[#This Row],[Valore Volatilità]]</f>
        <v>8.6557736631461726</v>
      </c>
      <c r="I342">
        <v>0.79848799999999998</v>
      </c>
      <c r="J342">
        <v>2.2895799999999999</v>
      </c>
      <c r="K342">
        <v>3.3207879999999999</v>
      </c>
      <c r="L342" s="6">
        <f>DATE(LEFT(TBL_TEV[[#This Row],[Data]],4),MID(TBL_TEV[[#This Row],[Data]],5,2),RIGHT(TBL_TEV[[#This Row],[Data]],2))</f>
        <v>45779</v>
      </c>
      <c r="M342" t="str" cm="1">
        <f t="array" aca="1" ref="M342" ca="1">IF(_xlfn.SINGLE(TBL_TEV[Data2])&gt;=INDIRECT("L"&amp;COUNTA(TBL_TEV[Data])+1)-365, "Ultimi 12 mesi", "Vecchi dati")</f>
        <v>Ultimi 12 mesi</v>
      </c>
    </row>
    <row r="343" spans="1:13">
      <c r="A343">
        <v>20250505</v>
      </c>
      <c r="B343">
        <v>1.676666</v>
      </c>
      <c r="C343">
        <v>0.39162400000000003</v>
      </c>
      <c r="D343">
        <v>0.74086300000000005</v>
      </c>
      <c r="E343">
        <v>2.261482</v>
      </c>
      <c r="F343">
        <v>3.3561879999999999</v>
      </c>
      <c r="G343">
        <v>2.380382</v>
      </c>
      <c r="H343">
        <f>TBL_Dati_OS[[#This Row],[Valore Volatilità]]</f>
        <v>8.6065391676688101</v>
      </c>
      <c r="I343">
        <v>0.79547199999999996</v>
      </c>
      <c r="J343">
        <v>2.2738649999999998</v>
      </c>
      <c r="K343">
        <v>3.2972939999999999</v>
      </c>
      <c r="L343" s="6">
        <f>DATE(LEFT(TBL_TEV[[#This Row],[Data]],4),MID(TBL_TEV[[#This Row],[Data]],5,2),RIGHT(TBL_TEV[[#This Row],[Data]],2))</f>
        <v>45782</v>
      </c>
      <c r="M343" t="str" cm="1">
        <f t="array" aca="1" ref="M343" ca="1">IF(_xlfn.SINGLE(TBL_TEV[Data2])&gt;=INDIRECT("L"&amp;COUNTA(TBL_TEV[Data])+1)-365, "Ultimi 12 mesi", "Vecchi dati")</f>
        <v>Ultimi 12 mesi</v>
      </c>
    </row>
    <row r="344" spans="1:13">
      <c r="A344">
        <v>20250506</v>
      </c>
      <c r="B344">
        <v>1.6674580000000001</v>
      </c>
      <c r="C344">
        <v>0.39083000000000001</v>
      </c>
      <c r="D344">
        <v>0.73832299999999995</v>
      </c>
      <c r="E344">
        <v>2.2464019999999998</v>
      </c>
      <c r="F344">
        <v>3.3222170000000002</v>
      </c>
      <c r="G344">
        <v>2.3746679999999998</v>
      </c>
      <c r="H344">
        <f>TBL_Dati_OS[[#This Row],[Valore Volatilità]]</f>
        <v>8.4420330746134269</v>
      </c>
      <c r="I344">
        <v>0.79023299999999996</v>
      </c>
      <c r="J344">
        <v>2.2586249999999999</v>
      </c>
      <c r="K344">
        <v>3.2755459999999998</v>
      </c>
      <c r="L344" s="6">
        <f>DATE(LEFT(TBL_TEV[[#This Row],[Data]],4),MID(TBL_TEV[[#This Row],[Data]],5,2),RIGHT(TBL_TEV[[#This Row],[Data]],2))</f>
        <v>45783</v>
      </c>
      <c r="M344" t="str" cm="1">
        <f t="array" aca="1" ref="M344" ca="1">IF(_xlfn.SINGLE(TBL_TEV[Data2])&gt;=INDIRECT("L"&amp;COUNTA(TBL_TEV[Data])+1)-365, "Ultimi 12 mesi", "Vecchi dati")</f>
        <v>Ultimi 12 mesi</v>
      </c>
    </row>
    <row r="345" spans="1:13">
      <c r="A345">
        <v>20250507</v>
      </c>
      <c r="B345">
        <v>1.6263430000000001</v>
      </c>
      <c r="C345">
        <v>0.39067200000000002</v>
      </c>
      <c r="D345">
        <v>0.738958</v>
      </c>
      <c r="E345">
        <v>2.2321149999999998</v>
      </c>
      <c r="F345">
        <v>3.273482</v>
      </c>
      <c r="G345">
        <v>2.36673</v>
      </c>
      <c r="H345">
        <f>TBL_Dati_OS[[#This Row],[Valore Volatilità]]</f>
        <v>8.5229801546531654</v>
      </c>
      <c r="I345">
        <v>0.78435900000000003</v>
      </c>
      <c r="J345">
        <v>2.2356069999999999</v>
      </c>
      <c r="K345">
        <v>3.233479</v>
      </c>
      <c r="L345" s="6">
        <f>DATE(LEFT(TBL_TEV[[#This Row],[Data]],4),MID(TBL_TEV[[#This Row],[Data]],5,2),RIGHT(TBL_TEV[[#This Row],[Data]],2))</f>
        <v>45784</v>
      </c>
      <c r="M345" t="str" cm="1">
        <f t="array" aca="1" ref="M345" ca="1">IF(_xlfn.SINGLE(TBL_TEV[Data2])&gt;=INDIRECT("L"&amp;COUNTA(TBL_TEV[Data])+1)-365, "Ultimi 12 mesi", "Vecchi dati")</f>
        <v>Ultimi 12 mesi</v>
      </c>
    </row>
    <row r="346" spans="1:13">
      <c r="A346">
        <v>20250508</v>
      </c>
      <c r="B346">
        <v>1.6290420000000001</v>
      </c>
      <c r="C346">
        <v>0.39003700000000002</v>
      </c>
      <c r="D346">
        <v>0.74134</v>
      </c>
      <c r="E346">
        <v>2.248148</v>
      </c>
      <c r="F346">
        <v>3.300786</v>
      </c>
      <c r="G346">
        <v>2.3700640000000002</v>
      </c>
      <c r="H346">
        <f>TBL_Dati_OS[[#This Row],[Valore Volatilità]]</f>
        <v>8.6318044969298438</v>
      </c>
      <c r="I346">
        <v>0.77848600000000001</v>
      </c>
      <c r="J346">
        <v>2.24783</v>
      </c>
      <c r="K346">
        <v>3.2579250000000002</v>
      </c>
      <c r="L346" s="6">
        <f>DATE(LEFT(TBL_TEV[[#This Row],[Data]],4),MID(TBL_TEV[[#This Row],[Data]],5,2),RIGHT(TBL_TEV[[#This Row],[Data]],2))</f>
        <v>45785</v>
      </c>
      <c r="M346" t="str" cm="1">
        <f t="array" aca="1" ref="M346" ca="1">IF(_xlfn.SINGLE(TBL_TEV[Data2])&gt;=INDIRECT("L"&amp;COUNTA(TBL_TEV[Data])+1)-365, "Ultimi 12 mesi", "Vecchi dati")</f>
        <v>Ultimi 12 mesi</v>
      </c>
    </row>
    <row r="347" spans="1:13">
      <c r="A347">
        <v>20250509</v>
      </c>
      <c r="B347">
        <v>1.642218</v>
      </c>
      <c r="C347">
        <v>0.38892500000000002</v>
      </c>
      <c r="D347">
        <v>0.74451400000000001</v>
      </c>
      <c r="E347">
        <v>2.2697370000000001</v>
      </c>
      <c r="F347">
        <v>3.3417430000000001</v>
      </c>
      <c r="G347">
        <v>2.3605390000000002</v>
      </c>
      <c r="H347">
        <f>TBL_Dati_OS[[#This Row],[Valore Volatilità]]</f>
        <v>8.4183946649003776</v>
      </c>
      <c r="I347">
        <v>0.78086699999999998</v>
      </c>
      <c r="J347">
        <v>2.2749760000000001</v>
      </c>
      <c r="K347">
        <v>3.3050730000000001</v>
      </c>
      <c r="L347" s="6">
        <f>DATE(LEFT(TBL_TEV[[#This Row],[Data]],4),MID(TBL_TEV[[#This Row],[Data]],5,2),RIGHT(TBL_TEV[[#This Row],[Data]],2))</f>
        <v>45786</v>
      </c>
      <c r="M347" t="str" cm="1">
        <f t="array" aca="1" ref="M347" ca="1">IF(_xlfn.SINGLE(TBL_TEV[Data2])&gt;=INDIRECT("L"&amp;COUNTA(TBL_TEV[Data])+1)-365, "Ultimi 12 mesi", "Vecchi dati")</f>
        <v>Ultimi 12 mesi</v>
      </c>
    </row>
    <row r="348" spans="1:13">
      <c r="A348">
        <v>20250512</v>
      </c>
      <c r="B348">
        <v>1.6488849999999999</v>
      </c>
      <c r="C348">
        <v>0.385909</v>
      </c>
      <c r="D348">
        <v>0.811029</v>
      </c>
      <c r="E348">
        <v>2.331013</v>
      </c>
      <c r="F348">
        <v>3.360633</v>
      </c>
      <c r="G348">
        <v>2.3645079999999998</v>
      </c>
      <c r="H348">
        <f>TBL_Dati_OS[[#This Row],[Valore Volatilità]]</f>
        <v>8.7314213763732855</v>
      </c>
      <c r="I348">
        <v>0.77039000000000002</v>
      </c>
      <c r="J348">
        <v>2.3275199999999998</v>
      </c>
      <c r="K348">
        <v>3.3639670000000002</v>
      </c>
      <c r="L348" s="6">
        <f>DATE(LEFT(TBL_TEV[[#This Row],[Data]],4),MID(TBL_TEV[[#This Row],[Data]],5,2),RIGHT(TBL_TEV[[#This Row],[Data]],2))</f>
        <v>45789</v>
      </c>
      <c r="M348" t="str" cm="1">
        <f t="array" aca="1" ref="M348" ca="1">IF(_xlfn.SINGLE(TBL_TEV[Data2])&gt;=INDIRECT("L"&amp;COUNTA(TBL_TEV[Data])+1)-365, "Ultimi 12 mesi", "Vecchi dati")</f>
        <v>Ultimi 12 mesi</v>
      </c>
    </row>
    <row r="349" spans="1:13">
      <c r="A349">
        <v>20250513</v>
      </c>
      <c r="B349">
        <v>1.6811100000000001</v>
      </c>
      <c r="C349">
        <v>0.38384600000000002</v>
      </c>
      <c r="D349">
        <v>0.84595299999999995</v>
      </c>
      <c r="E349">
        <v>2.3316479999999999</v>
      </c>
      <c r="F349">
        <v>3.333488</v>
      </c>
      <c r="G349">
        <v>2.4278469999999999</v>
      </c>
      <c r="H349">
        <f>TBL_Dati_OS[[#This Row],[Valore Volatilità]]</f>
        <v>8.7804578421962187</v>
      </c>
      <c r="I349">
        <v>0.76324599999999998</v>
      </c>
      <c r="J349">
        <v>2.3545069999999999</v>
      </c>
      <c r="K349">
        <v>3.3655539999999999</v>
      </c>
      <c r="L349" s="6">
        <f>DATE(LEFT(TBL_TEV[[#This Row],[Data]],4),MID(TBL_TEV[[#This Row],[Data]],5,2),RIGHT(TBL_TEV[[#This Row],[Data]],2))</f>
        <v>45790</v>
      </c>
      <c r="M349" t="str" cm="1">
        <f t="array" aca="1" ref="M349" ca="1">IF(_xlfn.SINGLE(TBL_TEV[Data2])&gt;=INDIRECT("L"&amp;COUNTA(TBL_TEV[Data])+1)-365, "Ultimi 12 mesi", "Vecchi dati")</f>
        <v>Ultimi 12 mesi</v>
      </c>
    </row>
    <row r="350" spans="1:13">
      <c r="A350">
        <v>20250514</v>
      </c>
      <c r="B350">
        <v>1.682857</v>
      </c>
      <c r="C350">
        <v>0.38098799999999999</v>
      </c>
      <c r="D350">
        <v>0.84595299999999995</v>
      </c>
      <c r="E350">
        <v>2.3294250000000001</v>
      </c>
      <c r="F350">
        <v>3.333647</v>
      </c>
      <c r="G350">
        <v>2.49579</v>
      </c>
      <c r="H350">
        <f>TBL_Dati_OS[[#This Row],[Valore Volatilità]]</f>
        <v>8.9492559781120651</v>
      </c>
      <c r="I350">
        <v>0.75419800000000004</v>
      </c>
      <c r="J350">
        <v>2.32498</v>
      </c>
      <c r="K350">
        <v>3.3369800000000001</v>
      </c>
      <c r="L350" s="6">
        <f>DATE(LEFT(TBL_TEV[[#This Row],[Data]],4),MID(TBL_TEV[[#This Row],[Data]],5,2),RIGHT(TBL_TEV[[#This Row],[Data]],2))</f>
        <v>45791</v>
      </c>
      <c r="M350" t="str" cm="1">
        <f t="array" aca="1" ref="M350" ca="1">IF(_xlfn.SINGLE(TBL_TEV[Data2])&gt;=INDIRECT("L"&amp;COUNTA(TBL_TEV[Data])+1)-365, "Ultimi 12 mesi", "Vecchi dati")</f>
        <v>Ultimi 12 mesi</v>
      </c>
    </row>
    <row r="351" spans="1:13">
      <c r="A351">
        <v>20250515</v>
      </c>
      <c r="B351">
        <v>1.6461859999999999</v>
      </c>
      <c r="C351">
        <v>0.38241700000000001</v>
      </c>
      <c r="D351">
        <v>0.85007999999999995</v>
      </c>
      <c r="E351">
        <v>2.3105349999999998</v>
      </c>
      <c r="F351">
        <v>3.2868170000000001</v>
      </c>
      <c r="G351">
        <v>2.4513419999999999</v>
      </c>
      <c r="H351">
        <f>TBL_Dati_OS[[#This Row],[Valore Volatilità]]</f>
        <v>8.8076535691367912</v>
      </c>
      <c r="I351">
        <v>0.75118200000000002</v>
      </c>
      <c r="J351">
        <v>2.2973590000000002</v>
      </c>
      <c r="K351">
        <v>3.2864990000000001</v>
      </c>
      <c r="L351" s="6">
        <f>DATE(LEFT(TBL_TEV[[#This Row],[Data]],4),MID(TBL_TEV[[#This Row],[Data]],5,2),RIGHT(TBL_TEV[[#This Row],[Data]],2))</f>
        <v>45792</v>
      </c>
      <c r="M351" t="str" cm="1">
        <f t="array" aca="1" ref="M351" ca="1">IF(_xlfn.SINGLE(TBL_TEV[Data2])&gt;=INDIRECT("L"&amp;COUNTA(TBL_TEV[Data])+1)-365, "Ultimi 12 mesi", "Vecchi dati")</f>
        <v>Ultimi 12 mesi</v>
      </c>
    </row>
    <row r="352" spans="1:13">
      <c r="A352">
        <v>20250516</v>
      </c>
      <c r="B352">
        <v>1.634439</v>
      </c>
      <c r="C352">
        <v>0.38225799999999999</v>
      </c>
      <c r="D352">
        <v>0.85373100000000002</v>
      </c>
      <c r="E352">
        <v>2.3010100000000002</v>
      </c>
      <c r="F352">
        <v>3.2531629999999998</v>
      </c>
      <c r="G352">
        <v>2.4357839999999999</v>
      </c>
      <c r="H352">
        <f>TBL_Dati_OS[[#This Row],[Valore Volatilità]]</f>
        <v>8.7545187385335339</v>
      </c>
      <c r="I352">
        <v>0.74721300000000002</v>
      </c>
      <c r="J352">
        <v>2.2808489999999999</v>
      </c>
      <c r="K352">
        <v>3.2520519999999999</v>
      </c>
      <c r="L352" s="6">
        <f>DATE(LEFT(TBL_TEV[[#This Row],[Data]],4),MID(TBL_TEV[[#This Row],[Data]],5,2),RIGHT(TBL_TEV[[#This Row],[Data]],2))</f>
        <v>45793</v>
      </c>
      <c r="M352" t="str" cm="1">
        <f t="array" aca="1" ref="M352" ca="1">IF(_xlfn.SINGLE(TBL_TEV[Data2])&gt;=INDIRECT("L"&amp;COUNTA(TBL_TEV[Data])+1)-365, "Ultimi 12 mesi", "Vecchi dati")</f>
        <v>Ultimi 12 mesi</v>
      </c>
    </row>
    <row r="353" spans="1:13">
      <c r="A353">
        <v>20250519</v>
      </c>
      <c r="B353">
        <v>1.626978</v>
      </c>
      <c r="C353">
        <v>0.383052</v>
      </c>
      <c r="D353">
        <v>0.85023899999999997</v>
      </c>
      <c r="E353">
        <v>2.2865639999999998</v>
      </c>
      <c r="F353">
        <v>3.2371300000000001</v>
      </c>
      <c r="G353">
        <v>2.4335619999999998</v>
      </c>
      <c r="H353">
        <f>TBL_Dati_OS[[#This Row],[Valore Volatilità]]</f>
        <v>8.7938785631353298</v>
      </c>
      <c r="I353">
        <v>0.74308600000000002</v>
      </c>
      <c r="J353">
        <v>2.2618</v>
      </c>
      <c r="K353">
        <v>3.2382409999999999</v>
      </c>
      <c r="L353" s="6">
        <f>DATE(LEFT(TBL_TEV[[#This Row],[Data]],4),MID(TBL_TEV[[#This Row],[Data]],5,2),RIGHT(TBL_TEV[[#This Row],[Data]],2))</f>
        <v>45796</v>
      </c>
      <c r="M353" t="str" cm="1">
        <f t="array" aca="1" ref="M353" ca="1">IF(_xlfn.SINGLE(TBL_TEV[Data2])&gt;=INDIRECT("L"&amp;COUNTA(TBL_TEV[Data])+1)-365, "Ultimi 12 mesi", "Vecchi dati")</f>
        <v>Ultimi 12 mesi</v>
      </c>
    </row>
    <row r="354" spans="1:13">
      <c r="A354">
        <v>20250520</v>
      </c>
      <c r="B354">
        <v>1.631264</v>
      </c>
      <c r="C354">
        <v>0.38289299999999998</v>
      </c>
      <c r="D354">
        <v>0.82912600000000003</v>
      </c>
      <c r="E354">
        <v>2.2273520000000002</v>
      </c>
      <c r="F354">
        <v>3.205381</v>
      </c>
      <c r="G354">
        <v>2.4065750000000001</v>
      </c>
      <c r="H354">
        <f>TBL_Dati_OS[[#This Row],[Valore Volatilità]]</f>
        <v>8.6872629781733455</v>
      </c>
      <c r="I354">
        <v>0.738958</v>
      </c>
      <c r="J354">
        <v>2.2417980000000002</v>
      </c>
      <c r="K354">
        <v>3.2088730000000001</v>
      </c>
      <c r="L354" s="6">
        <f>DATE(LEFT(TBL_TEV[[#This Row],[Data]],4),MID(TBL_TEV[[#This Row],[Data]],5,2),RIGHT(TBL_TEV[[#This Row],[Data]],2))</f>
        <v>45797</v>
      </c>
      <c r="M354" t="str" cm="1">
        <f t="array" aca="1" ref="M354" ca="1">IF(_xlfn.SINGLE(TBL_TEV[Data2])&gt;=INDIRECT("L"&amp;COUNTA(TBL_TEV[Data])+1)-365, "Ultimi 12 mesi", "Vecchi dati")</f>
        <v>Ultimi 12 mesi</v>
      </c>
    </row>
    <row r="355" spans="1:13">
      <c r="A355">
        <v>20250521</v>
      </c>
      <c r="B355">
        <v>1.6265019999999999</v>
      </c>
      <c r="C355">
        <v>0.38273400000000002</v>
      </c>
      <c r="D355">
        <v>0.82499800000000001</v>
      </c>
      <c r="E355">
        <v>2.2041750000000002</v>
      </c>
      <c r="F355">
        <v>3.1904590000000002</v>
      </c>
      <c r="G355">
        <v>2.376573</v>
      </c>
      <c r="H355">
        <f>TBL_Dati_OS[[#This Row],[Valore Volatilità]]</f>
        <v>8.359763238845078</v>
      </c>
      <c r="I355">
        <v>0.73657700000000004</v>
      </c>
      <c r="J355">
        <v>2.2186210000000002</v>
      </c>
      <c r="K355">
        <v>3.2015709999999999</v>
      </c>
      <c r="L355" s="6">
        <f>DATE(LEFT(TBL_TEV[[#This Row],[Data]],4),MID(TBL_TEV[[#This Row],[Data]],5,2),RIGHT(TBL_TEV[[#This Row],[Data]],2))</f>
        <v>45798</v>
      </c>
      <c r="M355" t="str" cm="1">
        <f t="array" aca="1" ref="M355" ca="1">IF(_xlfn.SINGLE(TBL_TEV[Data2])&gt;=INDIRECT("L"&amp;COUNTA(TBL_TEV[Data])+1)-365, "Ultimi 12 mesi", "Vecchi dati")</f>
        <v>Ultimi 12 mesi</v>
      </c>
    </row>
    <row r="356" spans="1:13">
      <c r="A356">
        <v>20250522</v>
      </c>
      <c r="B356">
        <v>1.62809</v>
      </c>
      <c r="C356">
        <v>0.38321100000000002</v>
      </c>
      <c r="D356">
        <v>0.83071300000000003</v>
      </c>
      <c r="E356">
        <v>2.2000479999999998</v>
      </c>
      <c r="F356">
        <v>3.18649</v>
      </c>
      <c r="G356">
        <v>2.403559</v>
      </c>
      <c r="H356">
        <f>TBL_Dati_OS[[#This Row],[Valore Volatilità]]</f>
        <v>8.2956761499423468</v>
      </c>
      <c r="I356">
        <v>0.73880000000000001</v>
      </c>
      <c r="J356">
        <v>2.2259229999999999</v>
      </c>
      <c r="K356">
        <v>3.210302</v>
      </c>
      <c r="L356" s="6">
        <f>DATE(LEFT(TBL_TEV[[#This Row],[Data]],4),MID(TBL_TEV[[#This Row],[Data]],5,2),RIGHT(TBL_TEV[[#This Row],[Data]],2))</f>
        <v>45799</v>
      </c>
      <c r="M356" t="str" cm="1">
        <f t="array" aca="1" ref="M356" ca="1">IF(_xlfn.SINGLE(TBL_TEV[Data2])&gt;=INDIRECT("L"&amp;COUNTA(TBL_TEV[Data])+1)-365, "Ultimi 12 mesi", "Vecchi dati")</f>
        <v>Ultimi 12 mesi</v>
      </c>
    </row>
    <row r="357" spans="1:13">
      <c r="A357">
        <v>20250523</v>
      </c>
      <c r="B357">
        <v>1.6298360000000001</v>
      </c>
      <c r="C357">
        <v>0.38416299999999998</v>
      </c>
      <c r="D357">
        <v>0.82039499999999999</v>
      </c>
      <c r="E357">
        <v>2.1821100000000002</v>
      </c>
      <c r="F357">
        <v>3.1704569999999999</v>
      </c>
      <c r="G357">
        <v>2.3606980000000002</v>
      </c>
      <c r="H357">
        <f>TBL_Dati_OS[[#This Row],[Valore Volatilità]]</f>
        <v>8.306969077571221</v>
      </c>
      <c r="I357">
        <v>0.74038700000000002</v>
      </c>
      <c r="J357">
        <v>2.1824270000000001</v>
      </c>
      <c r="K357">
        <v>3.1664880000000002</v>
      </c>
      <c r="L357" s="6">
        <f>DATE(LEFT(TBL_TEV[[#This Row],[Data]],4),MID(TBL_TEV[[#This Row],[Data]],5,2),RIGHT(TBL_TEV[[#This Row],[Data]],2))</f>
        <v>45800</v>
      </c>
      <c r="M357" t="str" cm="1">
        <f t="array" aca="1" ref="M357" ca="1">IF(_xlfn.SINGLE(TBL_TEV[Data2])&gt;=INDIRECT("L"&amp;COUNTA(TBL_TEV[Data])+1)-365, "Ultimi 12 mesi", "Vecchi dati")</f>
        <v>Ultimi 12 mesi</v>
      </c>
    </row>
    <row r="358" spans="1:13">
      <c r="A358">
        <v>20250526</v>
      </c>
      <c r="B358">
        <v>1.607135</v>
      </c>
      <c r="C358">
        <v>0.38289299999999998</v>
      </c>
      <c r="D358">
        <v>0.81610799999999994</v>
      </c>
      <c r="E358">
        <v>2.1630600000000002</v>
      </c>
      <c r="F358">
        <v>3.1431529999999999</v>
      </c>
      <c r="G358">
        <v>2.3464109999999998</v>
      </c>
      <c r="H358">
        <f>TBL_Dati_OS[[#This Row],[Valore Volatilità]]</f>
        <v>8.1601882160589323</v>
      </c>
      <c r="I358">
        <v>0.73530700000000004</v>
      </c>
      <c r="J358">
        <v>2.1570279999999999</v>
      </c>
      <c r="K358">
        <v>3.1488670000000001</v>
      </c>
      <c r="L358" s="6">
        <f>DATE(LEFT(TBL_TEV[[#This Row],[Data]],4),MID(TBL_TEV[[#This Row],[Data]],5,2),RIGHT(TBL_TEV[[#This Row],[Data]],2))</f>
        <v>45803</v>
      </c>
      <c r="M358" t="str" cm="1">
        <f t="array" aca="1" ref="M358" ca="1">IF(_xlfn.SINGLE(TBL_TEV[Data2])&gt;=INDIRECT("L"&amp;COUNTA(TBL_TEV[Data])+1)-365, "Ultimi 12 mesi", "Vecchi dati")</f>
        <v>Ultimi 12 mesi</v>
      </c>
    </row>
    <row r="359" spans="1:13">
      <c r="A359">
        <v>20250527</v>
      </c>
      <c r="B359">
        <v>1.5520510000000001</v>
      </c>
      <c r="C359">
        <v>0.38051200000000002</v>
      </c>
      <c r="D359">
        <v>0.75483299999999998</v>
      </c>
      <c r="E359">
        <v>2.1576629999999999</v>
      </c>
      <c r="F359">
        <v>3.1493440000000001</v>
      </c>
      <c r="G359">
        <v>2.3262499999999999</v>
      </c>
      <c r="H359">
        <f>TBL_Dati_OS[[#This Row],[Valore Volatilità]]</f>
        <v>8.354831119801025</v>
      </c>
      <c r="I359">
        <v>0.73038599999999998</v>
      </c>
      <c r="J359">
        <v>2.170204</v>
      </c>
      <c r="K359">
        <v>3.1568049999999999</v>
      </c>
      <c r="L359" s="6">
        <f>DATE(LEFT(TBL_TEV[[#This Row],[Data]],4),MID(TBL_TEV[[#This Row],[Data]],5,2),RIGHT(TBL_TEV[[#This Row],[Data]],2))</f>
        <v>45804</v>
      </c>
      <c r="M359" t="str" cm="1">
        <f t="array" aca="1" ref="M359" ca="1">IF(_xlfn.SINGLE(TBL_TEV[Data2])&gt;=INDIRECT("L"&amp;COUNTA(TBL_TEV[Data])+1)-365, "Ultimi 12 mesi", "Vecchi dati")</f>
        <v>Ultimi 12 mesi</v>
      </c>
    </row>
    <row r="360" spans="1:13">
      <c r="A360">
        <v>20250528</v>
      </c>
      <c r="B360">
        <v>1.554273</v>
      </c>
      <c r="C360">
        <v>0.37876599999999999</v>
      </c>
      <c r="D360">
        <v>0.763405</v>
      </c>
      <c r="E360">
        <v>2.1327400000000001</v>
      </c>
      <c r="F360">
        <v>3.1225160000000001</v>
      </c>
      <c r="G360">
        <v>2.3292670000000002</v>
      </c>
      <c r="H360">
        <f>TBL_Dati_OS[[#This Row],[Valore Volatilità]]</f>
        <v>8.4566635955396077</v>
      </c>
      <c r="I360">
        <v>0.72705200000000003</v>
      </c>
      <c r="J360">
        <v>2.1622669999999999</v>
      </c>
      <c r="K360">
        <v>3.1522009999999998</v>
      </c>
      <c r="L360" s="6">
        <f>DATE(LEFT(TBL_TEV[[#This Row],[Data]],4),MID(TBL_TEV[[#This Row],[Data]],5,2),RIGHT(TBL_TEV[[#This Row],[Data]],2))</f>
        <v>45805</v>
      </c>
      <c r="M360" t="str" cm="1">
        <f t="array" aca="1" ref="M360" ca="1">IF(_xlfn.SINGLE(TBL_TEV[Data2])&gt;=INDIRECT("L"&amp;COUNTA(TBL_TEV[Data])+1)-365, "Ultimi 12 mesi", "Vecchi dati")</f>
        <v>Ultimi 12 mesi</v>
      </c>
    </row>
    <row r="361" spans="1:13">
      <c r="A361">
        <v>20250529</v>
      </c>
      <c r="B361">
        <v>1.591102</v>
      </c>
      <c r="C361">
        <v>0.380353</v>
      </c>
      <c r="D361">
        <v>0.80404399999999998</v>
      </c>
      <c r="E361">
        <v>2.1548060000000002</v>
      </c>
      <c r="F361">
        <v>3.1406130000000001</v>
      </c>
      <c r="G361">
        <v>2.3602219999999998</v>
      </c>
      <c r="H361">
        <f>TBL_Dati_OS[[#This Row],[Valore Volatilità]]</f>
        <v>8.1748017958183592</v>
      </c>
      <c r="I361">
        <v>0.73149699999999995</v>
      </c>
      <c r="J361">
        <v>2.1829040000000002</v>
      </c>
      <c r="K361">
        <v>3.1722030000000001</v>
      </c>
      <c r="L361" s="6">
        <f>DATE(LEFT(TBL_TEV[[#This Row],[Data]],4),MID(TBL_TEV[[#This Row],[Data]],5,2),RIGHT(TBL_TEV[[#This Row],[Data]],2))</f>
        <v>45806</v>
      </c>
      <c r="M361" t="str" cm="1">
        <f t="array" aca="1" ref="M361" ca="1">IF(_xlfn.SINGLE(TBL_TEV[Data2])&gt;=INDIRECT("L"&amp;COUNTA(TBL_TEV[Data])+1)-365, "Ultimi 12 mesi", "Vecchi dati")</f>
        <v>Ultimi 12 mesi</v>
      </c>
    </row>
    <row r="362" spans="1:13">
      <c r="A362">
        <v>20250530</v>
      </c>
      <c r="B362">
        <v>1.5904670000000001</v>
      </c>
      <c r="C362">
        <v>0.35066799999999998</v>
      </c>
      <c r="D362">
        <v>0.79293199999999997</v>
      </c>
      <c r="E362">
        <v>2.156552</v>
      </c>
      <c r="F362">
        <v>3.1507719999999999</v>
      </c>
      <c r="G362">
        <v>2.3043439999999999</v>
      </c>
      <c r="H362">
        <f>TBL_Dati_OS[[#This Row],[Valore Volatilità]]</f>
        <v>8.0027069671422399</v>
      </c>
      <c r="I362">
        <v>0.71911499999999995</v>
      </c>
      <c r="J362">
        <v>2.1832210000000001</v>
      </c>
      <c r="K362">
        <v>3.1844260000000002</v>
      </c>
      <c r="L362" s="6">
        <f>DATE(LEFT(TBL_TEV[[#This Row],[Data]],4),MID(TBL_TEV[[#This Row],[Data]],5,2),RIGHT(TBL_TEV[[#This Row],[Data]],2))</f>
        <v>45807</v>
      </c>
      <c r="M362" t="str" cm="1">
        <f t="array" aca="1" ref="M362" ca="1">IF(_xlfn.SINGLE(TBL_TEV[Data2])&gt;=INDIRECT("L"&amp;COUNTA(TBL_TEV[Data])+1)-365, "Ultimi 12 mesi", "Vecchi dati")</f>
        <v>Ultimi 12 mesi</v>
      </c>
    </row>
    <row r="363" spans="1:13">
      <c r="A363">
        <v>20250603</v>
      </c>
      <c r="B363">
        <v>1.515063</v>
      </c>
      <c r="C363">
        <v>0.34558800000000001</v>
      </c>
      <c r="D363">
        <v>0.72673500000000002</v>
      </c>
      <c r="E363">
        <v>2.1000390000000002</v>
      </c>
      <c r="F363">
        <v>3.0552079999999999</v>
      </c>
      <c r="G363">
        <v>2.2602120000000001</v>
      </c>
      <c r="H363">
        <f>TBL_Dati_OS[[#This Row],[Valore Volatilità]]</f>
        <v>8.1842886986744432</v>
      </c>
      <c r="I363">
        <v>0.89563999999999999</v>
      </c>
      <c r="J363">
        <v>2.10242</v>
      </c>
      <c r="K363">
        <v>3.0679069999999999</v>
      </c>
      <c r="L363" s="6">
        <f>DATE(LEFT(TBL_TEV[[#This Row],[Data]],4),MID(TBL_TEV[[#This Row],[Data]],5,2),RIGHT(TBL_TEV[[#This Row],[Data]],2))</f>
        <v>45811</v>
      </c>
      <c r="M363" t="str" cm="1">
        <f t="array" aca="1" ref="M363" ca="1">IF(_xlfn.SINGLE(TBL_TEV[Data2])&gt;=INDIRECT("L"&amp;COUNTA(TBL_TEV[Data])+1)-365, "Ultimi 12 mesi", "Vecchi dati")</f>
        <v>Ultimi 12 mesi</v>
      </c>
    </row>
    <row r="364" spans="1:13">
      <c r="A364">
        <v>20250604</v>
      </c>
      <c r="B364">
        <v>1.5076020000000001</v>
      </c>
      <c r="C364">
        <v>0.34177800000000003</v>
      </c>
      <c r="D364">
        <v>0.72673500000000002</v>
      </c>
      <c r="E364">
        <v>2.101626</v>
      </c>
      <c r="F364">
        <v>3.0461589999999998</v>
      </c>
      <c r="G364">
        <v>2.2633869999999998</v>
      </c>
      <c r="H364">
        <f>TBL_Dati_OS[[#This Row],[Valore Volatilità]]</f>
        <v>8.1513579777540457</v>
      </c>
      <c r="I364">
        <v>0.70006599999999997</v>
      </c>
      <c r="J364">
        <v>2.0819420000000002</v>
      </c>
      <c r="K364">
        <v>3.0499689999999999</v>
      </c>
      <c r="L364" s="6">
        <f>DATE(LEFT(TBL_TEV[[#This Row],[Data]],4),MID(TBL_TEV[[#This Row],[Data]],5,2),RIGHT(TBL_TEV[[#This Row],[Data]],2))</f>
        <v>45812</v>
      </c>
      <c r="M364" t="str" cm="1">
        <f t="array" aca="1" ref="M364" ca="1">IF(_xlfn.SINGLE(TBL_TEV[Data2])&gt;=INDIRECT("L"&amp;COUNTA(TBL_TEV[Data])+1)-365, "Ultimi 12 mesi", "Vecchi dati")</f>
        <v>Ultimi 12 mesi</v>
      </c>
    </row>
    <row r="365" spans="1:13">
      <c r="A365">
        <v>20250605</v>
      </c>
      <c r="B365">
        <v>1.4822029999999999</v>
      </c>
      <c r="C365">
        <v>0.33971400000000002</v>
      </c>
      <c r="D365">
        <v>0.716893</v>
      </c>
      <c r="E365">
        <v>2.0774970000000001</v>
      </c>
      <c r="F365">
        <v>3.00806</v>
      </c>
      <c r="G365">
        <v>2.2178270000000002</v>
      </c>
      <c r="H365">
        <f>TBL_Dati_OS[[#This Row],[Valore Volatilità]]</f>
        <v>8.0687072051325028</v>
      </c>
      <c r="I365">
        <v>0.68815999999999999</v>
      </c>
      <c r="J365">
        <v>2.0767030000000002</v>
      </c>
      <c r="K365">
        <v>3.0115530000000001</v>
      </c>
      <c r="L365" s="6">
        <f>DATE(LEFT(TBL_TEV[[#This Row],[Data]],4),MID(TBL_TEV[[#This Row],[Data]],5,2),RIGHT(TBL_TEV[[#This Row],[Data]],2))</f>
        <v>45813</v>
      </c>
      <c r="M365" t="str" cm="1">
        <f t="array" aca="1" ref="M365" ca="1">IF(_xlfn.SINGLE(TBL_TEV[Data2])&gt;=INDIRECT("L"&amp;COUNTA(TBL_TEV[Data])+1)-365, "Ultimi 12 mesi", "Vecchi dati")</f>
        <v>Ultimi 12 mesi</v>
      </c>
    </row>
    <row r="366" spans="1:13">
      <c r="A366">
        <v>20250606</v>
      </c>
      <c r="B366">
        <v>1.48125</v>
      </c>
      <c r="C366">
        <v>0.339397</v>
      </c>
      <c r="D366">
        <v>0.71752800000000005</v>
      </c>
      <c r="E366">
        <v>2.0832120000000001</v>
      </c>
      <c r="F366">
        <v>3.0110769999999998</v>
      </c>
      <c r="G366">
        <v>2.2286220000000001</v>
      </c>
      <c r="H366">
        <f>TBL_Dati_OS[[#This Row],[Valore Volatilità]]</f>
        <v>8.1534395151529395</v>
      </c>
      <c r="I366">
        <v>0.684033</v>
      </c>
      <c r="J366">
        <v>2.0844819999999999</v>
      </c>
      <c r="K366">
        <v>3.0163150000000001</v>
      </c>
      <c r="L366" s="6">
        <f>DATE(LEFT(TBL_TEV[[#This Row],[Data]],4),MID(TBL_TEV[[#This Row],[Data]],5,2),RIGHT(TBL_TEV[[#This Row],[Data]],2))</f>
        <v>45814</v>
      </c>
      <c r="M366" t="str" cm="1">
        <f t="array" aca="1" ref="M366" ca="1">IF(_xlfn.SINGLE(TBL_TEV[Data2])&gt;=INDIRECT("L"&amp;COUNTA(TBL_TEV[Data])+1)-365, "Ultimi 12 mesi", "Vecchi dati")</f>
        <v>Ultimi 12 mesi</v>
      </c>
    </row>
    <row r="367" spans="1:13">
      <c r="A367">
        <v>20250609</v>
      </c>
      <c r="B367">
        <v>1.474424</v>
      </c>
      <c r="C367">
        <v>0.33828599999999998</v>
      </c>
      <c r="D367">
        <v>0.71800399999999998</v>
      </c>
      <c r="E367">
        <v>2.0874980000000001</v>
      </c>
      <c r="F367">
        <v>3.0099649999999998</v>
      </c>
      <c r="G367">
        <v>2.2224309999999998</v>
      </c>
      <c r="H367">
        <f>TBL_Dati_OS[[#This Row],[Valore Volatilità]]</f>
        <v>7.9436137757704692</v>
      </c>
      <c r="I367">
        <v>0.684033</v>
      </c>
      <c r="J367">
        <v>2.088768</v>
      </c>
      <c r="K367">
        <v>3.0180609999999999</v>
      </c>
      <c r="L367" s="6">
        <f>DATE(LEFT(TBL_TEV[[#This Row],[Data]],4),MID(TBL_TEV[[#This Row],[Data]],5,2),RIGHT(TBL_TEV[[#This Row],[Data]],2))</f>
        <v>45817</v>
      </c>
      <c r="M367" t="str" cm="1">
        <f t="array" aca="1" ref="M367" ca="1">IF(_xlfn.SINGLE(TBL_TEV[Data2])&gt;=INDIRECT("L"&amp;COUNTA(TBL_TEV[Data])+1)-365, "Ultimi 12 mesi", "Vecchi dati")</f>
        <v>Ultimi 12 mesi</v>
      </c>
    </row>
    <row r="368" spans="1:13">
      <c r="A368">
        <v>20250610</v>
      </c>
      <c r="B368">
        <v>1.485695</v>
      </c>
      <c r="C368">
        <v>0.33812700000000001</v>
      </c>
      <c r="D368">
        <v>0.72498899999999999</v>
      </c>
      <c r="E368">
        <v>2.1148020000000001</v>
      </c>
      <c r="F368">
        <v>3.0377459999999998</v>
      </c>
      <c r="G368">
        <v>2.2584659999999999</v>
      </c>
      <c r="H368">
        <f>TBL_Dati_OS[[#This Row],[Valore Volatilità]]</f>
        <v>7.9769769970323887</v>
      </c>
      <c r="I368">
        <v>0.68546099999999999</v>
      </c>
      <c r="J368">
        <v>2.106706</v>
      </c>
      <c r="K368">
        <v>3.090449</v>
      </c>
      <c r="L368" s="6">
        <f>DATE(LEFT(TBL_TEV[[#This Row],[Data]],4),MID(TBL_TEV[[#This Row],[Data]],5,2),RIGHT(TBL_TEV[[#This Row],[Data]],2))</f>
        <v>45818</v>
      </c>
      <c r="M368" t="str" cm="1">
        <f t="array" aca="1" ref="M368" ca="1">IF(_xlfn.SINGLE(TBL_TEV[Data2])&gt;=INDIRECT("L"&amp;COUNTA(TBL_TEV[Data])+1)-365, "Ultimi 12 mesi", "Vecchi dati")</f>
        <v>Ultimi 12 mesi</v>
      </c>
    </row>
    <row r="369" spans="1:13">
      <c r="A369">
        <v>20250611</v>
      </c>
      <c r="B369">
        <v>1.4888699999999999</v>
      </c>
      <c r="C369">
        <v>0.33749200000000001</v>
      </c>
      <c r="D369">
        <v>0.72292500000000004</v>
      </c>
      <c r="E369">
        <v>2.1176590000000002</v>
      </c>
      <c r="F369">
        <v>3.0361579999999999</v>
      </c>
      <c r="G369">
        <v>2.2773569999999999</v>
      </c>
      <c r="H369">
        <f>TBL_Dati_OS[[#This Row],[Valore Volatilità]]</f>
        <v>7.9613297901649798</v>
      </c>
      <c r="I369">
        <v>0.68498499999999996</v>
      </c>
      <c r="J369">
        <v>2.1030549999999999</v>
      </c>
      <c r="K369">
        <v>3.0875919999999999</v>
      </c>
      <c r="L369" s="6">
        <f>DATE(LEFT(TBL_TEV[[#This Row],[Data]],4),MID(TBL_TEV[[#This Row],[Data]],5,2),RIGHT(TBL_TEV[[#This Row],[Data]],2))</f>
        <v>45819</v>
      </c>
      <c r="M369" t="str" cm="1">
        <f t="array" aca="1" ref="M369" ca="1">IF(_xlfn.SINGLE(TBL_TEV[Data2])&gt;=INDIRECT("L"&amp;COUNTA(TBL_TEV[Data])+1)-365, "Ultimi 12 mesi", "Vecchi dati")</f>
        <v>Ultimi 12 mesi</v>
      </c>
    </row>
    <row r="370" spans="1:13">
      <c r="A370">
        <v>20250612</v>
      </c>
      <c r="B370">
        <v>1.472996</v>
      </c>
      <c r="C370">
        <v>0.33654000000000001</v>
      </c>
      <c r="D370">
        <v>0.71562300000000001</v>
      </c>
      <c r="E370">
        <v>2.1117859999999999</v>
      </c>
      <c r="F370">
        <v>3.0345710000000001</v>
      </c>
      <c r="G370">
        <v>2.2586249999999999</v>
      </c>
      <c r="H370">
        <f>TBL_Dati_OS[[#This Row],[Valore Volatilità]]</f>
        <v>7.9616143136355806</v>
      </c>
      <c r="I370">
        <v>0.68260399999999999</v>
      </c>
      <c r="J370">
        <v>2.0989270000000002</v>
      </c>
      <c r="K370">
        <v>3.0874329999999999</v>
      </c>
      <c r="L370" s="6">
        <f>DATE(LEFT(TBL_TEV[[#This Row],[Data]],4),MID(TBL_TEV[[#This Row],[Data]],5,2),RIGHT(TBL_TEV[[#This Row],[Data]],2))</f>
        <v>45820</v>
      </c>
      <c r="M370" t="str" cm="1">
        <f t="array" aca="1" ref="M370" ca="1">IF(_xlfn.SINGLE(TBL_TEV[Data2])&gt;=INDIRECT("L"&amp;COUNTA(TBL_TEV[Data])+1)-365, "Ultimi 12 mesi", "Vecchi dati")</f>
        <v>Ultimi 12 mesi</v>
      </c>
    </row>
    <row r="371" spans="1:13">
      <c r="A371">
        <v>20250613</v>
      </c>
      <c r="B371">
        <v>1.5042679999999999</v>
      </c>
      <c r="C371">
        <v>0.340667</v>
      </c>
      <c r="D371">
        <v>0.73181499999999999</v>
      </c>
      <c r="E371">
        <v>2.1494080000000002</v>
      </c>
      <c r="F371">
        <v>3.0915599999999999</v>
      </c>
      <c r="G371">
        <v>2.2554500000000002</v>
      </c>
      <c r="H371">
        <f>TBL_Dati_OS[[#This Row],[Valore Volatilità]]</f>
        <v>8.1155867372121229</v>
      </c>
      <c r="I371">
        <v>0.69101699999999999</v>
      </c>
      <c r="J371">
        <v>2.128295</v>
      </c>
      <c r="K371">
        <v>3.141089</v>
      </c>
      <c r="L371" s="6">
        <f>DATE(LEFT(TBL_TEV[[#This Row],[Data]],4),MID(TBL_TEV[[#This Row],[Data]],5,2),RIGHT(TBL_TEV[[#This Row],[Data]],2))</f>
        <v>45821</v>
      </c>
      <c r="M371" t="str" cm="1">
        <f t="array" aca="1" ref="M371" ca="1">IF(_xlfn.SINGLE(TBL_TEV[Data2])&gt;=INDIRECT("L"&amp;COUNTA(TBL_TEV[Data])+1)-365, "Ultimi 12 mesi", "Vecchi dati")</f>
        <v>Ultimi 12 mesi</v>
      </c>
    </row>
    <row r="372" spans="1:13">
      <c r="A372">
        <v>20250616</v>
      </c>
      <c r="B372">
        <v>1.490934</v>
      </c>
      <c r="C372">
        <v>0.34209600000000001</v>
      </c>
      <c r="D372">
        <v>0.72863999999999995</v>
      </c>
      <c r="E372">
        <v>2.14798</v>
      </c>
      <c r="F372">
        <v>3.0833059999999999</v>
      </c>
      <c r="G372">
        <v>2.2446549999999998</v>
      </c>
      <c r="H372">
        <f>TBL_Dati_OS[[#This Row],[Valore Volatilità]]</f>
        <v>7.9145599553664017</v>
      </c>
      <c r="I372">
        <v>0.68927099999999997</v>
      </c>
      <c r="J372">
        <v>2.1260729999999999</v>
      </c>
      <c r="K372">
        <v>3.1337869999999999</v>
      </c>
      <c r="L372" s="6">
        <f>DATE(LEFT(TBL_TEV[[#This Row],[Data]],4),MID(TBL_TEV[[#This Row],[Data]],5,2),RIGHT(TBL_TEV[[#This Row],[Data]],2))</f>
        <v>45824</v>
      </c>
      <c r="M372" t="str" cm="1">
        <f t="array" aca="1" ref="M372" ca="1">IF(_xlfn.SINGLE(TBL_TEV[Data2])&gt;=INDIRECT("L"&amp;COUNTA(TBL_TEV[Data])+1)-365, "Ultimi 12 mesi", "Vecchi dati")</f>
        <v>Ultimi 12 mesi</v>
      </c>
    </row>
    <row r="373" spans="1:13">
      <c r="A373">
        <v>20250617</v>
      </c>
      <c r="B373">
        <v>1.4826790000000001</v>
      </c>
      <c r="C373">
        <v>0.344001</v>
      </c>
      <c r="D373">
        <v>0.72641699999999998</v>
      </c>
      <c r="E373">
        <v>2.138455</v>
      </c>
      <c r="F373">
        <v>3.06759</v>
      </c>
      <c r="G373">
        <v>2.2284630000000001</v>
      </c>
      <c r="H373">
        <f>TBL_Dati_OS[[#This Row],[Valore Volatilità]]</f>
        <v>8.0153069579735714</v>
      </c>
      <c r="I373">
        <v>0.68276300000000001</v>
      </c>
      <c r="J373">
        <v>2.1082930000000002</v>
      </c>
      <c r="K373">
        <v>3.10934</v>
      </c>
      <c r="L373" s="6">
        <f>DATE(LEFT(TBL_TEV[[#This Row],[Data]],4),MID(TBL_TEV[[#This Row],[Data]],5,2),RIGHT(TBL_TEV[[#This Row],[Data]],2))</f>
        <v>45825</v>
      </c>
      <c r="M373" t="str" cm="1">
        <f t="array" aca="1" ref="M373" ca="1">IF(_xlfn.SINGLE(TBL_TEV[Data2])&gt;=INDIRECT("L"&amp;COUNTA(TBL_TEV[Data])+1)-365, "Ultimi 12 mesi", "Vecchi dati")</f>
        <v>Ultimi 12 mesi</v>
      </c>
    </row>
    <row r="374" spans="1:13">
      <c r="A374">
        <v>20250618</v>
      </c>
      <c r="B374">
        <v>1.48506</v>
      </c>
      <c r="C374">
        <v>0.34558800000000001</v>
      </c>
      <c r="D374">
        <v>0.72879899999999997</v>
      </c>
      <c r="E374">
        <v>2.1409950000000002</v>
      </c>
      <c r="F374">
        <v>3.0755270000000001</v>
      </c>
      <c r="G374">
        <v>2.2400519999999999</v>
      </c>
      <c r="H374">
        <f>TBL_Dati_OS[[#This Row],[Valore Volatilità]]</f>
        <v>8.1342653535021956</v>
      </c>
      <c r="I374">
        <v>0.682921</v>
      </c>
      <c r="J374">
        <v>2.1097220000000001</v>
      </c>
      <c r="K374">
        <v>3.1182300000000001</v>
      </c>
      <c r="L374" s="6">
        <f>DATE(LEFT(TBL_TEV[[#This Row],[Data]],4),MID(TBL_TEV[[#This Row],[Data]],5,2),RIGHT(TBL_TEV[[#This Row],[Data]],2))</f>
        <v>45826</v>
      </c>
      <c r="M374" t="str" cm="1">
        <f t="array" aca="1" ref="M374" ca="1">IF(_xlfn.SINGLE(TBL_TEV[Data2])&gt;=INDIRECT("L"&amp;COUNTA(TBL_TEV[Data])+1)-365, "Ultimi 12 mesi", "Vecchi dati")</f>
        <v>Ultimi 12 mesi</v>
      </c>
    </row>
    <row r="375" spans="1:13">
      <c r="A375">
        <v>20250619</v>
      </c>
      <c r="B375">
        <v>1.5042679999999999</v>
      </c>
      <c r="C375">
        <v>0.34479399999999999</v>
      </c>
      <c r="D375">
        <v>0.75689700000000004</v>
      </c>
      <c r="E375">
        <v>2.1457570000000001</v>
      </c>
      <c r="F375">
        <v>3.0645739999999999</v>
      </c>
      <c r="G375">
        <v>2.2483070000000001</v>
      </c>
      <c r="H375">
        <f>TBL_Dati_OS[[#This Row],[Valore Volatilità]]</f>
        <v>7.9244261192097749</v>
      </c>
      <c r="I375">
        <v>0.67879400000000001</v>
      </c>
      <c r="J375">
        <v>2.105912</v>
      </c>
      <c r="K375">
        <v>3.1099749999999999</v>
      </c>
      <c r="L375" s="6">
        <f>DATE(LEFT(TBL_TEV[[#This Row],[Data]],4),MID(TBL_TEV[[#This Row],[Data]],5,2),RIGHT(TBL_TEV[[#This Row],[Data]],2))</f>
        <v>45827</v>
      </c>
      <c r="M375" t="str" cm="1">
        <f t="array" aca="1" ref="M375" ca="1">IF(_xlfn.SINGLE(TBL_TEV[Data2])&gt;=INDIRECT("L"&amp;COUNTA(TBL_TEV[Data])+1)-365, "Ultimi 12 mesi", "Vecchi dati")</f>
        <v>Ultimi 12 mesi</v>
      </c>
    </row>
    <row r="376" spans="1:13">
      <c r="A376">
        <v>20250620</v>
      </c>
      <c r="B376">
        <v>1.5003</v>
      </c>
      <c r="C376">
        <v>0.34273100000000001</v>
      </c>
      <c r="D376">
        <v>0.75768999999999997</v>
      </c>
      <c r="E376">
        <v>2.134169</v>
      </c>
      <c r="F376">
        <v>3.0515569999999999</v>
      </c>
      <c r="G376">
        <v>2.23021</v>
      </c>
      <c r="H376">
        <f>TBL_Dati_OS[[#This Row],[Valore Volatilità]]</f>
        <v>7.9960313258430151</v>
      </c>
      <c r="I376">
        <v>0.67958799999999997</v>
      </c>
      <c r="J376">
        <v>2.0916250000000001</v>
      </c>
      <c r="K376">
        <v>3.0925129999999998</v>
      </c>
      <c r="L376" s="6">
        <f>DATE(LEFT(TBL_TEV[[#This Row],[Data]],4),MID(TBL_TEV[[#This Row],[Data]],5,2),RIGHT(TBL_TEV[[#This Row],[Data]],2))</f>
        <v>45828</v>
      </c>
      <c r="M376" t="str" cm="1">
        <f t="array" aca="1" ref="M376" ca="1">IF(_xlfn.SINGLE(TBL_TEV[Data2])&gt;=INDIRECT("L"&amp;COUNTA(TBL_TEV[Data])+1)-365, "Ultimi 12 mesi", "Vecchi dati")</f>
        <v>Ultimi 12 mesi</v>
      </c>
    </row>
    <row r="377" spans="1:13">
      <c r="A377">
        <v>20250623</v>
      </c>
      <c r="B377">
        <v>1.501887</v>
      </c>
      <c r="C377">
        <v>0.34098400000000001</v>
      </c>
      <c r="D377">
        <v>0.75594399999999995</v>
      </c>
      <c r="E377">
        <v>2.1275019999999998</v>
      </c>
      <c r="F377">
        <v>3.0406029999999999</v>
      </c>
      <c r="G377">
        <v>2.2357659999999999</v>
      </c>
      <c r="H377">
        <f>TBL_Dati_OS[[#This Row],[Valore Volatilità]]</f>
        <v>7.9671575882395347</v>
      </c>
      <c r="I377">
        <v>0.67514300000000005</v>
      </c>
      <c r="J377">
        <v>2.0814650000000001</v>
      </c>
      <c r="K377">
        <v>3.077591</v>
      </c>
      <c r="L377" s="6">
        <f>DATE(LEFT(TBL_TEV[[#This Row],[Data]],4),MID(TBL_TEV[[#This Row],[Data]],5,2),RIGHT(TBL_TEV[[#This Row],[Data]],2))</f>
        <v>45831</v>
      </c>
      <c r="M377" t="str" cm="1">
        <f t="array" aca="1" ref="M377" ca="1">IF(_xlfn.SINGLE(TBL_TEV[Data2])&gt;=INDIRECT("L"&amp;COUNTA(TBL_TEV[Data])+1)-365, "Ultimi 12 mesi", "Vecchi dati")</f>
        <v>Ultimi 12 mesi</v>
      </c>
    </row>
    <row r="378" spans="1:13">
      <c r="A378">
        <v>20250624</v>
      </c>
      <c r="B378">
        <v>1.513952</v>
      </c>
      <c r="C378">
        <v>0.34050799999999998</v>
      </c>
      <c r="D378">
        <v>0.76229400000000003</v>
      </c>
      <c r="E378">
        <v>2.1636950000000001</v>
      </c>
      <c r="F378">
        <v>3.0660020000000001</v>
      </c>
      <c r="G378">
        <v>2.2141760000000001</v>
      </c>
      <c r="H378">
        <f>TBL_Dati_OS[[#This Row],[Valore Volatilità]]</f>
        <v>8.0267599272448038</v>
      </c>
      <c r="I378">
        <v>0.670539</v>
      </c>
      <c r="J378">
        <v>2.0781320000000001</v>
      </c>
      <c r="K378">
        <v>3.0701299999999998</v>
      </c>
      <c r="L378" s="6">
        <f>DATE(LEFT(TBL_TEV[[#This Row],[Data]],4),MID(TBL_TEV[[#This Row],[Data]],5,2),RIGHT(TBL_TEV[[#This Row],[Data]],2))</f>
        <v>45832</v>
      </c>
      <c r="M378" t="str" cm="1">
        <f t="array" aca="1" ref="M378" ca="1">IF(_xlfn.SINGLE(TBL_TEV[Data2])&gt;=INDIRECT("L"&amp;COUNTA(TBL_TEV[Data])+1)-365, "Ultimi 12 mesi", "Vecchi dati")</f>
        <v>Ultimi 12 mesi</v>
      </c>
    </row>
    <row r="379" spans="1:13">
      <c r="A379">
        <v>20250625</v>
      </c>
      <c r="B379">
        <v>1.501252</v>
      </c>
      <c r="C379">
        <v>0.33892099999999997</v>
      </c>
      <c r="D379">
        <v>0.747054</v>
      </c>
      <c r="E379">
        <v>2.1355979999999999</v>
      </c>
      <c r="F379">
        <v>3.05362</v>
      </c>
      <c r="G379">
        <v>2.2303679999999999</v>
      </c>
      <c r="H379">
        <f>TBL_Dati_OS[[#This Row],[Valore Volatilità]]</f>
        <v>7.9521870512407231</v>
      </c>
      <c r="I379">
        <v>0.670539</v>
      </c>
      <c r="J379">
        <v>2.0765440000000002</v>
      </c>
      <c r="K379">
        <v>3.06759</v>
      </c>
      <c r="L379" s="6">
        <f>DATE(LEFT(TBL_TEV[[#This Row],[Data]],4),MID(TBL_TEV[[#This Row],[Data]],5,2),RIGHT(TBL_TEV[[#This Row],[Data]],2))</f>
        <v>45833</v>
      </c>
      <c r="M379" t="str" cm="1">
        <f t="array" aca="1" ref="M379" ca="1">IF(_xlfn.SINGLE(TBL_TEV[Data2])&gt;=INDIRECT("L"&amp;COUNTA(TBL_TEV[Data])+1)-365, "Ultimi 12 mesi", "Vecchi dati")</f>
        <v>Ultimi 12 mesi</v>
      </c>
    </row>
    <row r="380" spans="1:13">
      <c r="A380">
        <v>20250626</v>
      </c>
      <c r="B380">
        <v>1.529191</v>
      </c>
      <c r="C380">
        <v>0.33749200000000001</v>
      </c>
      <c r="D380">
        <v>0.75324500000000005</v>
      </c>
      <c r="E380">
        <v>2.055749</v>
      </c>
      <c r="F380">
        <v>3.0298090000000002</v>
      </c>
      <c r="G380">
        <v>2.2294160000000001</v>
      </c>
      <c r="H380">
        <f>TBL_Dati_OS[[#This Row],[Valore Volatilità]]</f>
        <v>7.9651719317409082</v>
      </c>
      <c r="I380">
        <v>0.67466700000000002</v>
      </c>
      <c r="J380">
        <v>2.010983</v>
      </c>
      <c r="K380">
        <v>3.0420319999999998</v>
      </c>
      <c r="L380" s="6">
        <f>DATE(LEFT(TBL_TEV[[#This Row],[Data]],4),MID(TBL_TEV[[#This Row],[Data]],5,2),RIGHT(TBL_TEV[[#This Row],[Data]],2))</f>
        <v>45834</v>
      </c>
      <c r="M380" t="str" cm="1">
        <f t="array" aca="1" ref="M380" ca="1">IF(_xlfn.SINGLE(TBL_TEV[Data2])&gt;=INDIRECT("L"&amp;COUNTA(TBL_TEV[Data])+1)-365, "Ultimi 12 mesi", "Vecchi dati")</f>
        <v>Ultimi 12 mesi</v>
      </c>
    </row>
    <row r="381" spans="1:13">
      <c r="A381">
        <v>20250627</v>
      </c>
      <c r="B381">
        <v>1.520302</v>
      </c>
      <c r="C381">
        <v>0.33781</v>
      </c>
      <c r="D381">
        <v>0.75054699999999996</v>
      </c>
      <c r="E381">
        <v>2.0620989999999999</v>
      </c>
      <c r="F381">
        <v>3.030761</v>
      </c>
      <c r="G381">
        <v>2.2483070000000001</v>
      </c>
      <c r="H381">
        <f>TBL_Dati_OS[[#This Row],[Valore Volatilità]]</f>
        <v>7.9669725653856789</v>
      </c>
      <c r="I381">
        <v>0.66815800000000003</v>
      </c>
      <c r="J381">
        <v>2.0012989999999999</v>
      </c>
      <c r="K381">
        <v>3.0367929999999999</v>
      </c>
      <c r="L381" s="6">
        <f>DATE(LEFT(TBL_TEV[[#This Row],[Data]],4),MID(TBL_TEV[[#This Row],[Data]],5,2),RIGHT(TBL_TEV[[#This Row],[Data]],2))</f>
        <v>45835</v>
      </c>
      <c r="M381" t="str" cm="1">
        <f t="array" aca="1" ref="M381" ca="1">IF(_xlfn.SINGLE(TBL_TEV[Data2])&gt;=INDIRECT("L"&amp;COUNTA(TBL_TEV[Data])+1)-365, "Ultimi 12 mesi", "Vecchi dati")</f>
        <v>Ultimi 12 mesi</v>
      </c>
    </row>
    <row r="382" spans="1:13">
      <c r="A382">
        <v>20250630</v>
      </c>
      <c r="B382">
        <v>1.5053799999999999</v>
      </c>
      <c r="C382">
        <v>0.320824</v>
      </c>
      <c r="D382">
        <v>0.73165599999999997</v>
      </c>
      <c r="E382">
        <v>2.0505100000000001</v>
      </c>
      <c r="F382">
        <v>2.9869469999999998</v>
      </c>
      <c r="G382">
        <v>2.2181449999999998</v>
      </c>
      <c r="H382">
        <f>TBL_Dati_OS[[#This Row],[Valore Volatilità]]</f>
        <v>8.0391439036008485</v>
      </c>
      <c r="I382">
        <v>0.64974399999999999</v>
      </c>
      <c r="J382">
        <v>1.9882820000000001</v>
      </c>
      <c r="K382">
        <v>3.0204430000000002</v>
      </c>
      <c r="L382" s="6">
        <f>DATE(LEFT(TBL_TEV[[#This Row],[Data]],4),MID(TBL_TEV[[#This Row],[Data]],5,2),RIGHT(TBL_TEV[[#This Row],[Data]],2))</f>
        <v>45838</v>
      </c>
      <c r="M382" t="str" cm="1">
        <f t="array" aca="1" ref="M382" ca="1">IF(_xlfn.SINGLE(TBL_TEV[Data2])&gt;=INDIRECT("L"&amp;COUNTA(TBL_TEV[Data])+1)-365, "Ultimi 12 mesi", "Vecchi dati")</f>
        <v>Ultimi 12 mesi</v>
      </c>
    </row>
    <row r="383" spans="1:13">
      <c r="A383">
        <v>20250701</v>
      </c>
      <c r="B383">
        <v>1.499506</v>
      </c>
      <c r="C383">
        <v>0.31780799999999998</v>
      </c>
      <c r="D383">
        <v>0.726576</v>
      </c>
      <c r="E383">
        <v>2.0506690000000001</v>
      </c>
      <c r="F383">
        <v>2.9799630000000001</v>
      </c>
      <c r="G383">
        <v>2.2159230000000001</v>
      </c>
      <c r="H383">
        <f>TBL_Dati_OS[[#This Row],[Valore Volatilità]]</f>
        <v>7.9312203161382842</v>
      </c>
      <c r="I383">
        <v>0.64752100000000001</v>
      </c>
      <c r="J383">
        <v>1.9841549999999999</v>
      </c>
      <c r="K383">
        <v>2.9574210000000001</v>
      </c>
      <c r="L383" s="6">
        <f>DATE(LEFT(TBL_TEV[[#This Row],[Data]],4),MID(TBL_TEV[[#This Row],[Data]],5,2),RIGHT(TBL_TEV[[#This Row],[Data]],2))</f>
        <v>45839</v>
      </c>
      <c r="M383" t="str" cm="1">
        <f t="array" aca="1" ref="M383" ca="1">IF(_xlfn.SINGLE(TBL_TEV[Data2])&gt;=INDIRECT("L"&amp;COUNTA(TBL_TEV[Data])+1)-365, "Ultimi 12 mesi", "Vecchi dati")</f>
        <v>Ultimi 12 mesi</v>
      </c>
    </row>
    <row r="384" spans="1:13">
      <c r="A384">
        <v>20250702</v>
      </c>
      <c r="B384">
        <v>1.4922040000000001</v>
      </c>
      <c r="C384">
        <v>0.31717299999999998</v>
      </c>
      <c r="D384">
        <v>0.72308399999999995</v>
      </c>
      <c r="E384">
        <v>2.05559</v>
      </c>
      <c r="F384">
        <v>2.9885350000000002</v>
      </c>
      <c r="G384">
        <v>2.220685</v>
      </c>
      <c r="H384">
        <f>TBL_Dati_OS[[#This Row],[Valore Volatilità]]</f>
        <v>7.8027972502025218</v>
      </c>
      <c r="I384">
        <v>0.64101300000000005</v>
      </c>
      <c r="J384">
        <v>1.9892350000000001</v>
      </c>
      <c r="K384">
        <v>2.9690089999999998</v>
      </c>
      <c r="L384" s="6">
        <f>DATE(LEFT(TBL_TEV[[#This Row],[Data]],4),MID(TBL_TEV[[#This Row],[Data]],5,2),RIGHT(TBL_TEV[[#This Row],[Data]],2))</f>
        <v>45840</v>
      </c>
      <c r="M384" t="str" cm="1">
        <f t="array" aca="1" ref="M384" ca="1">IF(_xlfn.SINGLE(TBL_TEV[Data2])&gt;=INDIRECT("L"&amp;COUNTA(TBL_TEV[Data])+1)-365, "Ultimi 12 mesi", "Vecchi dati")</f>
        <v>Ultimi 12 mesi</v>
      </c>
    </row>
    <row r="385" spans="1:13">
      <c r="A385">
        <v>20250703</v>
      </c>
      <c r="B385">
        <v>1.4853780000000001</v>
      </c>
      <c r="C385">
        <v>0.31796600000000003</v>
      </c>
      <c r="D385">
        <v>0.72340099999999996</v>
      </c>
      <c r="E385">
        <v>2.0486049999999998</v>
      </c>
      <c r="F385">
        <v>2.9785339999999998</v>
      </c>
      <c r="G385">
        <v>2.2200500000000001</v>
      </c>
      <c r="H385">
        <f>TBL_Dati_OS[[#This Row],[Valore Volatilità]]</f>
        <v>7.907239641046572</v>
      </c>
      <c r="I385">
        <v>0.64148899999999998</v>
      </c>
      <c r="J385">
        <v>1.9892350000000001</v>
      </c>
      <c r="K385">
        <v>2.9683739999999998</v>
      </c>
      <c r="L385" s="6">
        <f>DATE(LEFT(TBL_TEV[[#This Row],[Data]],4),MID(TBL_TEV[[#This Row],[Data]],5,2),RIGHT(TBL_TEV[[#This Row],[Data]],2))</f>
        <v>45841</v>
      </c>
      <c r="M385" t="str" cm="1">
        <f t="array" aca="1" ref="M385" ca="1">IF(_xlfn.SINGLE(TBL_TEV[Data2])&gt;=INDIRECT("L"&amp;COUNTA(TBL_TEV[Data])+1)-365, "Ultimi 12 mesi", "Vecchi dati")</f>
        <v>Ultimi 12 mesi</v>
      </c>
    </row>
    <row r="386" spans="1:13">
      <c r="A386">
        <v>20250704</v>
      </c>
      <c r="B386">
        <v>1.475536</v>
      </c>
      <c r="C386">
        <v>0.31637900000000002</v>
      </c>
      <c r="D386">
        <v>0.72038500000000005</v>
      </c>
      <c r="E386">
        <v>2.0393979999999998</v>
      </c>
      <c r="F386">
        <v>2.9625010000000001</v>
      </c>
      <c r="G386">
        <v>2.1852849999999999</v>
      </c>
      <c r="H386">
        <f>TBL_Dati_OS[[#This Row],[Valore Volatilità]]</f>
        <v>7.7930059811085952</v>
      </c>
      <c r="I386">
        <v>0.63577399999999995</v>
      </c>
      <c r="J386">
        <v>1.973201</v>
      </c>
      <c r="K386">
        <v>2.9456739999999999</v>
      </c>
      <c r="L386" s="6">
        <f>DATE(LEFT(TBL_TEV[[#This Row],[Data]],4),MID(TBL_TEV[[#This Row],[Data]],5,2),RIGHT(TBL_TEV[[#This Row],[Data]],2))</f>
        <v>45842</v>
      </c>
      <c r="M386" t="str" cm="1">
        <f t="array" aca="1" ref="M386" ca="1">IF(_xlfn.SINGLE(TBL_TEV[Data2])&gt;=INDIRECT("L"&amp;COUNTA(TBL_TEV[Data])+1)-365, "Ultimi 12 mesi", "Vecchi dati")</f>
        <v>Ultimi 12 mesi</v>
      </c>
    </row>
    <row r="387" spans="1:13">
      <c r="A387">
        <v>20250707</v>
      </c>
      <c r="B387">
        <v>1.4706140000000001</v>
      </c>
      <c r="C387">
        <v>0.315585</v>
      </c>
      <c r="D387">
        <v>0.71990900000000002</v>
      </c>
      <c r="E387">
        <v>2.0398740000000002</v>
      </c>
      <c r="F387">
        <v>2.9547219999999998</v>
      </c>
      <c r="G387">
        <v>2.197667</v>
      </c>
      <c r="H387">
        <f>TBL_Dati_OS[[#This Row],[Valore Volatilità]]</f>
        <v>7.6552644262343099</v>
      </c>
      <c r="I387">
        <v>0.63228200000000001</v>
      </c>
      <c r="J387">
        <v>1.96574</v>
      </c>
      <c r="K387">
        <v>2.9378950000000001</v>
      </c>
      <c r="L387" s="6">
        <f>DATE(LEFT(TBL_TEV[[#This Row],[Data]],4),MID(TBL_TEV[[#This Row],[Data]],5,2),RIGHT(TBL_TEV[[#This Row],[Data]],2))</f>
        <v>45845</v>
      </c>
      <c r="M387" t="str" cm="1">
        <f t="array" aca="1" ref="M387" ca="1">IF(_xlfn.SINGLE(TBL_TEV[Data2])&gt;=INDIRECT("L"&amp;COUNTA(TBL_TEV[Data])+1)-365, "Ultimi 12 mesi", "Vecchi dati")</f>
        <v>Ultimi 12 mesi</v>
      </c>
    </row>
    <row r="388" spans="1:13">
      <c r="A388">
        <v>20250708</v>
      </c>
      <c r="B388">
        <v>1.4620420000000001</v>
      </c>
      <c r="C388">
        <v>0.31431500000000001</v>
      </c>
      <c r="D388">
        <v>0.71467000000000003</v>
      </c>
      <c r="E388">
        <v>2.0459070000000001</v>
      </c>
      <c r="F388">
        <v>2.9691679999999998</v>
      </c>
      <c r="G388">
        <v>2.2181449999999998</v>
      </c>
      <c r="H388">
        <f>TBL_Dati_OS[[#This Row],[Valore Volatilità]]</f>
        <v>7.650026392372852</v>
      </c>
      <c r="I388">
        <v>0.625614</v>
      </c>
      <c r="J388">
        <v>1.973519</v>
      </c>
      <c r="K388">
        <v>2.952976</v>
      </c>
      <c r="L388" s="6">
        <f>DATE(LEFT(TBL_TEV[[#This Row],[Data]],4),MID(TBL_TEV[[#This Row],[Data]],5,2),RIGHT(TBL_TEV[[#This Row],[Data]],2))</f>
        <v>45846</v>
      </c>
      <c r="M388" t="str" cm="1">
        <f t="array" aca="1" ref="M388" ca="1">IF(_xlfn.SINGLE(TBL_TEV[Data2])&gt;=INDIRECT("L"&amp;COUNTA(TBL_TEV[Data])+1)-365, "Ultimi 12 mesi", "Vecchi dati")</f>
        <v>Ultimi 12 mesi</v>
      </c>
    </row>
    <row r="389" spans="1:13">
      <c r="A389">
        <v>20250709</v>
      </c>
      <c r="B389">
        <v>1.46109</v>
      </c>
      <c r="C389">
        <v>0.31304500000000002</v>
      </c>
      <c r="D389">
        <v>0.710225</v>
      </c>
      <c r="E389">
        <v>2.0473349999999999</v>
      </c>
      <c r="F389">
        <v>2.962342</v>
      </c>
      <c r="G389">
        <v>2.240211</v>
      </c>
      <c r="H389">
        <f>TBL_Dati_OS[[#This Row],[Valore Volatilità]]</f>
        <v>7.7524010934831917</v>
      </c>
      <c r="I389">
        <v>0.62307400000000002</v>
      </c>
      <c r="J389">
        <v>1.9617720000000001</v>
      </c>
      <c r="K389">
        <v>2.9345620000000001</v>
      </c>
      <c r="L389" s="6">
        <f>DATE(LEFT(TBL_TEV[[#This Row],[Data]],4),MID(TBL_TEV[[#This Row],[Data]],5,2),RIGHT(TBL_TEV[[#This Row],[Data]],2))</f>
        <v>45847</v>
      </c>
      <c r="M389" t="str" cm="1">
        <f t="array" aca="1" ref="M389" ca="1">IF(_xlfn.SINGLE(TBL_TEV[Data2])&gt;=INDIRECT("L"&amp;COUNTA(TBL_TEV[Data])+1)-365, "Ultimi 12 mesi", "Vecchi dati")</f>
        <v>Ultimi 12 mesi</v>
      </c>
    </row>
    <row r="390" spans="1:13">
      <c r="A390">
        <v>20250710</v>
      </c>
      <c r="B390">
        <v>1.453311</v>
      </c>
      <c r="C390">
        <v>0.31129899999999999</v>
      </c>
      <c r="D390">
        <v>0.70689199999999996</v>
      </c>
      <c r="E390">
        <v>2.0441600000000002</v>
      </c>
      <c r="F390">
        <v>2.9548809999999999</v>
      </c>
      <c r="G390">
        <v>2.2400519999999999</v>
      </c>
      <c r="H390">
        <f>TBL_Dati_OS[[#This Row],[Valore Volatilità]]</f>
        <v>7.6994355028319914</v>
      </c>
      <c r="I390">
        <v>0.61926499999999995</v>
      </c>
      <c r="J390">
        <v>1.9593910000000001</v>
      </c>
      <c r="K390">
        <v>2.9272589999999998</v>
      </c>
      <c r="L390" s="6">
        <f>DATE(LEFT(TBL_TEV[[#This Row],[Data]],4),MID(TBL_TEV[[#This Row],[Data]],5,2),RIGHT(TBL_TEV[[#This Row],[Data]],2))</f>
        <v>45848</v>
      </c>
      <c r="M390" t="str" cm="1">
        <f t="array" aca="1" ref="M390" ca="1">IF(_xlfn.SINGLE(TBL_TEV[Data2])&gt;=INDIRECT("L"&amp;COUNTA(TBL_TEV[Data])+1)-365, "Ultimi 12 mesi", "Vecchi dati")</f>
        <v>Ultimi 12 mesi</v>
      </c>
    </row>
    <row r="391" spans="1:13">
      <c r="A391">
        <v>20250711</v>
      </c>
      <c r="B391">
        <v>1.486013</v>
      </c>
      <c r="C391">
        <v>0.30986999999999998</v>
      </c>
      <c r="D391">
        <v>0.72006800000000004</v>
      </c>
      <c r="E391">
        <v>2.0459070000000001</v>
      </c>
      <c r="F391">
        <v>2.9429750000000001</v>
      </c>
      <c r="G391">
        <v>2.2706900000000001</v>
      </c>
      <c r="H391">
        <f>TBL_Dati_OS[[#This Row],[Valore Volatilità]]</f>
        <v>7.5205207970425825</v>
      </c>
      <c r="I391">
        <v>0.62466200000000005</v>
      </c>
      <c r="J391">
        <v>1.9724079999999999</v>
      </c>
      <c r="K391">
        <v>2.9467850000000002</v>
      </c>
      <c r="L391" s="6">
        <f>DATE(LEFT(TBL_TEV[[#This Row],[Data]],4),MID(TBL_TEV[[#This Row],[Data]],5,2),RIGHT(TBL_TEV[[#This Row],[Data]],2))</f>
        <v>45849</v>
      </c>
      <c r="M391" t="str" cm="1">
        <f t="array" aca="1" ref="M391" ca="1">IF(_xlfn.SINGLE(TBL_TEV[Data2])&gt;=INDIRECT("L"&amp;COUNTA(TBL_TEV[Data])+1)-365, "Ultimi 12 mesi", "Vecchi dati")</f>
        <v>Ultimi 12 mesi</v>
      </c>
    </row>
    <row r="392" spans="1:13">
      <c r="A392">
        <v>20250714</v>
      </c>
      <c r="B392">
        <v>1.493474</v>
      </c>
      <c r="C392">
        <v>0.30828299999999997</v>
      </c>
      <c r="D392">
        <v>0.723719</v>
      </c>
      <c r="E392">
        <v>2.0732110000000001</v>
      </c>
      <c r="F392">
        <v>2.9763109999999999</v>
      </c>
      <c r="G392">
        <v>2.2722769999999999</v>
      </c>
      <c r="H392">
        <f>TBL_Dati_OS[[#This Row],[Valore Volatilità]]</f>
        <v>7.5300301202480657</v>
      </c>
      <c r="I392">
        <v>0.63466299999999998</v>
      </c>
      <c r="J392">
        <v>1.994632</v>
      </c>
      <c r="K392">
        <v>2.9848840000000001</v>
      </c>
      <c r="L392" s="6">
        <f>DATE(LEFT(TBL_TEV[[#This Row],[Data]],4),MID(TBL_TEV[[#This Row],[Data]],5,2),RIGHT(TBL_TEV[[#This Row],[Data]],2))</f>
        <v>45852</v>
      </c>
      <c r="M392" t="str" cm="1">
        <f t="array" aca="1" ref="M392" ca="1">IF(_xlfn.SINGLE(TBL_TEV[Data2])&gt;=INDIRECT("L"&amp;COUNTA(TBL_TEV[Data])+1)-365, "Ultimi 12 mesi", "Vecchi dati")</f>
        <v>Ultimi 12 mesi</v>
      </c>
    </row>
    <row r="393" spans="1:13">
      <c r="A393">
        <v>20250715</v>
      </c>
      <c r="B393">
        <v>1.503633</v>
      </c>
      <c r="C393">
        <v>0.30764799999999998</v>
      </c>
      <c r="D393">
        <v>0.72625899999999999</v>
      </c>
      <c r="E393">
        <v>2.0813069999999998</v>
      </c>
      <c r="F393">
        <v>2.9932970000000001</v>
      </c>
      <c r="G393">
        <v>2.2913260000000002</v>
      </c>
      <c r="H393">
        <f>TBL_Dati_OS[[#This Row],[Valore Volatilità]]</f>
        <v>7.670032588217973</v>
      </c>
      <c r="I393">
        <v>0.63434500000000005</v>
      </c>
      <c r="J393">
        <v>2.0062199999999999</v>
      </c>
      <c r="K393">
        <v>2.99552</v>
      </c>
      <c r="L393" s="6">
        <f>DATE(LEFT(TBL_TEV[[#This Row],[Data]],4),MID(TBL_TEV[[#This Row],[Data]],5,2),RIGHT(TBL_TEV[[#This Row],[Data]],2))</f>
        <v>45853</v>
      </c>
      <c r="M393" t="str" cm="1">
        <f t="array" aca="1" ref="M393" ca="1">IF(_xlfn.SINGLE(TBL_TEV[Data2])&gt;=INDIRECT("L"&amp;COUNTA(TBL_TEV[Data])+1)-365, "Ultimi 12 mesi", "Vecchi dati")</f>
        <v>Ultimi 12 mesi</v>
      </c>
    </row>
    <row r="394" spans="1:13">
      <c r="A394">
        <v>20250716</v>
      </c>
      <c r="B394">
        <v>1.4853780000000001</v>
      </c>
      <c r="C394">
        <v>0.30177399999999999</v>
      </c>
      <c r="D394">
        <v>0.723719</v>
      </c>
      <c r="E394">
        <v>2.0538439999999998</v>
      </c>
      <c r="F394">
        <v>2.9596429999999998</v>
      </c>
      <c r="G394">
        <v>2.2724359999999999</v>
      </c>
      <c r="H394">
        <f>TBL_Dati_OS[[#This Row],[Valore Volatilità]]</f>
        <v>7.3454005487441254</v>
      </c>
      <c r="I394">
        <v>0.636409</v>
      </c>
      <c r="J394">
        <v>2.0028869999999999</v>
      </c>
      <c r="K394">
        <v>2.9912339999999999</v>
      </c>
      <c r="L394" s="6">
        <f>DATE(LEFT(TBL_TEV[[#This Row],[Data]],4),MID(TBL_TEV[[#This Row],[Data]],5,2),RIGHT(TBL_TEV[[#This Row],[Data]],2))</f>
        <v>45854</v>
      </c>
      <c r="M394" t="str" cm="1">
        <f t="array" aca="1" ref="M394" ca="1">IF(_xlfn.SINGLE(TBL_TEV[Data2])&gt;=INDIRECT("L"&amp;COUNTA(TBL_TEV[Data])+1)-365, "Ultimi 12 mesi", "Vecchi dati")</f>
        <v>Ultimi 12 mesi</v>
      </c>
    </row>
    <row r="395" spans="1:13">
      <c r="A395">
        <v>20250717</v>
      </c>
      <c r="B395">
        <v>1.476647</v>
      </c>
      <c r="C395">
        <v>0.295742</v>
      </c>
      <c r="D395">
        <v>0.72054399999999996</v>
      </c>
      <c r="E395">
        <v>2.0449540000000002</v>
      </c>
      <c r="F395">
        <v>2.9502769999999998</v>
      </c>
      <c r="G395">
        <v>2.261641</v>
      </c>
      <c r="H395">
        <f>TBL_Dati_OS[[#This Row],[Valore Volatilità]]</f>
        <v>7.4215460120958037</v>
      </c>
      <c r="I395">
        <v>0.63228200000000001</v>
      </c>
      <c r="J395">
        <v>1.9995529999999999</v>
      </c>
      <c r="K395">
        <v>2.9872649999999998</v>
      </c>
      <c r="L395" s="6">
        <f>DATE(LEFT(TBL_TEV[[#This Row],[Data]],4),MID(TBL_TEV[[#This Row],[Data]],5,2),RIGHT(TBL_TEV[[#This Row],[Data]],2))</f>
        <v>45855</v>
      </c>
      <c r="M395" t="str" cm="1">
        <f t="array" aca="1" ref="M395" ca="1">IF(_xlfn.SINGLE(TBL_TEV[Data2])&gt;=INDIRECT("L"&amp;COUNTA(TBL_TEV[Data])+1)-365, "Ultimi 12 mesi", "Vecchi dati")</f>
        <v>Ultimi 12 mesi</v>
      </c>
    </row>
    <row r="396" spans="1:13">
      <c r="A396">
        <v>20250718</v>
      </c>
      <c r="B396">
        <v>1.479663</v>
      </c>
      <c r="C396">
        <v>0.29764699999999999</v>
      </c>
      <c r="D396">
        <v>0.72340099999999996</v>
      </c>
      <c r="E396">
        <v>2.0395569999999998</v>
      </c>
      <c r="F396">
        <v>2.9404349999999999</v>
      </c>
      <c r="G396">
        <v>2.271801</v>
      </c>
      <c r="H396">
        <f>TBL_Dati_OS[[#This Row],[Valore Volatilità]]</f>
        <v>7.5553812202297488</v>
      </c>
      <c r="I396">
        <v>0.63402800000000004</v>
      </c>
      <c r="J396">
        <v>1.986853</v>
      </c>
      <c r="K396">
        <v>2.9642469999999999</v>
      </c>
      <c r="L396" s="6">
        <f>DATE(LEFT(TBL_TEV[[#This Row],[Data]],4),MID(TBL_TEV[[#This Row],[Data]],5,2),RIGHT(TBL_TEV[[#This Row],[Data]],2))</f>
        <v>45856</v>
      </c>
      <c r="M396" t="str" cm="1">
        <f t="array" aca="1" ref="M396" ca="1">IF(_xlfn.SINGLE(TBL_TEV[Data2])&gt;=INDIRECT("L"&amp;COUNTA(TBL_TEV[Data])+1)-365, "Ultimi 12 mesi", "Vecchi dati")</f>
        <v>Ultimi 12 mesi</v>
      </c>
    </row>
    <row r="397" spans="1:13">
      <c r="A397">
        <v>20250721</v>
      </c>
      <c r="B397">
        <v>1.483949</v>
      </c>
      <c r="C397">
        <v>0.30225099999999999</v>
      </c>
      <c r="D397">
        <v>0.72927500000000001</v>
      </c>
      <c r="E397">
        <v>2.0347940000000002</v>
      </c>
      <c r="F397">
        <v>2.9290050000000001</v>
      </c>
      <c r="G397">
        <v>2.2643399999999998</v>
      </c>
      <c r="H397">
        <f>TBL_Dati_OS[[#This Row],[Valore Volatilità]]</f>
        <v>7.5626497642306116</v>
      </c>
      <c r="I397">
        <v>0.641648</v>
      </c>
      <c r="J397">
        <v>1.985425</v>
      </c>
      <c r="K397">
        <v>2.9574210000000001</v>
      </c>
      <c r="L397" s="6">
        <f>DATE(LEFT(TBL_TEV[[#This Row],[Data]],4),MID(TBL_TEV[[#This Row],[Data]],5,2),RIGHT(TBL_TEV[[#This Row],[Data]],2))</f>
        <v>45859</v>
      </c>
      <c r="M397" t="str" cm="1">
        <f t="array" aca="1" ref="M397" ca="1">IF(_xlfn.SINGLE(TBL_TEV[Data2])&gt;=INDIRECT("L"&amp;COUNTA(TBL_TEV[Data])+1)-365, "Ultimi 12 mesi", "Vecchi dati")</f>
        <v>Ultimi 12 mesi</v>
      </c>
    </row>
    <row r="398" spans="1:13">
      <c r="A398">
        <v>20250722</v>
      </c>
      <c r="B398">
        <v>1.4731540000000001</v>
      </c>
      <c r="C398">
        <v>0.30129800000000001</v>
      </c>
      <c r="D398">
        <v>0.72594099999999995</v>
      </c>
      <c r="E398">
        <v>2.019396</v>
      </c>
      <c r="F398">
        <v>2.9017010000000001</v>
      </c>
      <c r="G398">
        <v>2.2378290000000001</v>
      </c>
      <c r="H398">
        <f>TBL_Dati_OS[[#This Row],[Valore Volatilità]]</f>
        <v>7.3105504438779425</v>
      </c>
      <c r="I398">
        <v>0.63894899999999999</v>
      </c>
      <c r="J398">
        <v>1.961454</v>
      </c>
      <c r="K398">
        <v>2.9205920000000001</v>
      </c>
      <c r="L398" s="6">
        <f>DATE(LEFT(TBL_TEV[[#This Row],[Data]],4),MID(TBL_TEV[[#This Row],[Data]],5,2),RIGHT(TBL_TEV[[#This Row],[Data]],2))</f>
        <v>45860</v>
      </c>
      <c r="M398" t="str" cm="1">
        <f t="array" aca="1" ref="M398" ca="1">IF(_xlfn.SINGLE(TBL_TEV[Data2])&gt;=INDIRECT("L"&amp;COUNTA(TBL_TEV[Data])+1)-365, "Ultimi 12 mesi", "Vecchi dati")</f>
        <v>Ultimi 12 mesi</v>
      </c>
    </row>
    <row r="399" spans="1:13">
      <c r="A399">
        <v>20250723</v>
      </c>
      <c r="B399">
        <v>1.4775990000000001</v>
      </c>
      <c r="C399">
        <v>0.30082199999999998</v>
      </c>
      <c r="D399">
        <v>0.72705200000000003</v>
      </c>
      <c r="E399">
        <v>2.0447950000000001</v>
      </c>
      <c r="F399">
        <v>2.9221789999999999</v>
      </c>
      <c r="G399">
        <v>2.239576</v>
      </c>
      <c r="H399">
        <f>TBL_Dati_OS[[#This Row],[Valore Volatilità]]</f>
        <v>7.3271791812131566</v>
      </c>
      <c r="I399">
        <v>0.63244</v>
      </c>
      <c r="J399">
        <v>1.9533579999999999</v>
      </c>
      <c r="K399">
        <v>2.9129719999999999</v>
      </c>
      <c r="L399" s="6">
        <f>DATE(LEFT(TBL_TEV[[#This Row],[Data]],4),MID(TBL_TEV[[#This Row],[Data]],5,2),RIGHT(TBL_TEV[[#This Row],[Data]],2))</f>
        <v>45861</v>
      </c>
      <c r="M399" t="str" cm="1">
        <f t="array" aca="1" ref="M399" ca="1">IF(_xlfn.SINGLE(TBL_TEV[Data2])&gt;=INDIRECT("L"&amp;COUNTA(TBL_TEV[Data])+1)-365, "Ultimi 12 mesi", "Vecchi dati")</f>
        <v>Ultimi 12 mesi</v>
      </c>
    </row>
    <row r="400" spans="1:13">
      <c r="A400">
        <v>20250724</v>
      </c>
      <c r="B400">
        <v>1.4563269999999999</v>
      </c>
      <c r="C400">
        <v>0.30796499999999999</v>
      </c>
      <c r="D400">
        <v>0.73308499999999999</v>
      </c>
      <c r="E400">
        <v>2.0543200000000001</v>
      </c>
      <c r="F400">
        <v>2.9156710000000001</v>
      </c>
      <c r="G400">
        <v>2.2460840000000002</v>
      </c>
      <c r="H400">
        <f>TBL_Dati_OS[[#This Row],[Valore Volatilità]]</f>
        <v>7.5225208149060867</v>
      </c>
      <c r="I400">
        <v>0.637679</v>
      </c>
      <c r="J400">
        <v>1.9590730000000001</v>
      </c>
      <c r="K400">
        <v>2.9093209999999998</v>
      </c>
      <c r="L400" s="6">
        <f>DATE(LEFT(TBL_TEV[[#This Row],[Data]],4),MID(TBL_TEV[[#This Row],[Data]],5,2),RIGHT(TBL_TEV[[#This Row],[Data]],2))</f>
        <v>45862</v>
      </c>
      <c r="M400" t="str" cm="1">
        <f t="array" aca="1" ref="M400" ca="1">IF(_xlfn.SINGLE(TBL_TEV[Data2])&gt;=INDIRECT("L"&amp;COUNTA(TBL_TEV[Data])+1)-365, "Ultimi 12 mesi", "Vecchi dati")</f>
        <v>Ultimi 12 mesi</v>
      </c>
    </row>
    <row r="401" spans="1:13">
      <c r="A401">
        <v>20250725</v>
      </c>
      <c r="B401">
        <v>1.4571210000000001</v>
      </c>
      <c r="C401">
        <v>0.307172</v>
      </c>
      <c r="D401">
        <v>0.737371</v>
      </c>
      <c r="E401">
        <v>2.0609869999999999</v>
      </c>
      <c r="F401">
        <v>2.9091619999999998</v>
      </c>
      <c r="G401">
        <v>2.239099</v>
      </c>
      <c r="H401">
        <f>TBL_Dati_OS[[#This Row],[Valore Volatilità]]</f>
        <v>7.3462085501719718</v>
      </c>
      <c r="I401">
        <v>0.63894899999999999</v>
      </c>
      <c r="J401">
        <v>1.9633590000000001</v>
      </c>
      <c r="K401">
        <v>2.915988</v>
      </c>
      <c r="L401" s="6">
        <f>DATE(LEFT(TBL_TEV[[#This Row],[Data]],4),MID(TBL_TEV[[#This Row],[Data]],5,2),RIGHT(TBL_TEV[[#This Row],[Data]],2))</f>
        <v>45863</v>
      </c>
      <c r="M401" t="str" cm="1">
        <f t="array" aca="1" ref="M401" ca="1">IF(_xlfn.SINGLE(TBL_TEV[Data2])&gt;=INDIRECT("L"&amp;COUNTA(TBL_TEV[Data])+1)-365, "Ultimi 12 mesi", "Vecchi dati")</f>
        <v>Ultimi 12 mesi</v>
      </c>
    </row>
    <row r="402" spans="1:13">
      <c r="A402">
        <v>20250728</v>
      </c>
      <c r="B402">
        <v>1.472361</v>
      </c>
      <c r="C402">
        <v>0.30907699999999999</v>
      </c>
      <c r="D402">
        <v>0.74276799999999998</v>
      </c>
      <c r="E402">
        <v>2.0668609999999998</v>
      </c>
      <c r="F402">
        <v>2.9329740000000002</v>
      </c>
      <c r="G402">
        <v>2.2490999999999999</v>
      </c>
      <c r="H402">
        <f>TBL_Dati_OS[[#This Row],[Valore Volatilità]]</f>
        <v>7.269404100831971</v>
      </c>
      <c r="I402">
        <v>0.64704499999999998</v>
      </c>
      <c r="J402">
        <v>1.9866950000000001</v>
      </c>
      <c r="K402">
        <v>2.9490069999999999</v>
      </c>
      <c r="L402" s="6">
        <f>DATE(LEFT(TBL_TEV[[#This Row],[Data]],4),MID(TBL_TEV[[#This Row],[Data]],5,2),RIGHT(TBL_TEV[[#This Row],[Data]],2))</f>
        <v>45866</v>
      </c>
      <c r="M402" t="str" cm="1">
        <f t="array" aca="1" ref="M402" ca="1">IF(_xlfn.SINGLE(TBL_TEV[Data2])&gt;=INDIRECT("L"&amp;COUNTA(TBL_TEV[Data])+1)-365, "Ultimi 12 mesi", "Vecchi dati")</f>
        <v>Ultimi 12 mesi</v>
      </c>
    </row>
    <row r="403" spans="1:13">
      <c r="A403">
        <v>20250729</v>
      </c>
      <c r="B403">
        <v>1.4639470000000001</v>
      </c>
      <c r="C403">
        <v>0.30796499999999999</v>
      </c>
      <c r="D403">
        <v>0.70593899999999998</v>
      </c>
      <c r="E403">
        <v>2.046224</v>
      </c>
      <c r="F403">
        <v>2.9386890000000001</v>
      </c>
      <c r="G403">
        <v>2.2722769999999999</v>
      </c>
      <c r="H403">
        <f>TBL_Dati_OS[[#This Row],[Valore Volatilità]]</f>
        <v>7.2367155603282427</v>
      </c>
      <c r="I403">
        <v>0.64514000000000005</v>
      </c>
      <c r="J403">
        <v>1.987965</v>
      </c>
      <c r="K403">
        <v>2.9661520000000001</v>
      </c>
      <c r="L403" s="6">
        <f>DATE(LEFT(TBL_TEV[[#This Row],[Data]],4),MID(TBL_TEV[[#This Row],[Data]],5,2),RIGHT(TBL_TEV[[#This Row],[Data]],2))</f>
        <v>45867</v>
      </c>
      <c r="M403" t="str" cm="1">
        <f t="array" aca="1" ref="M403" ca="1">IF(_xlfn.SINGLE(TBL_TEV[Data2])&gt;=INDIRECT("L"&amp;COUNTA(TBL_TEV[Data])+1)-365, "Ultimi 12 mesi", "Vecchi dati")</f>
        <v>Ultimi 12 mesi</v>
      </c>
    </row>
    <row r="404" spans="1:13">
      <c r="A404">
        <v>20250730</v>
      </c>
      <c r="B404">
        <v>1.501887</v>
      </c>
      <c r="C404">
        <v>0.306537</v>
      </c>
      <c r="D404">
        <v>0.79832899999999996</v>
      </c>
      <c r="E404">
        <v>2.1094050000000002</v>
      </c>
      <c r="F404">
        <v>2.9742479999999998</v>
      </c>
      <c r="G404">
        <v>2.3138679999999998</v>
      </c>
      <c r="H404">
        <f>TBL_Dati_OS[[#This Row],[Valore Volatilità]]</f>
        <v>7.4586093829788149</v>
      </c>
      <c r="I404">
        <v>0.64498100000000003</v>
      </c>
      <c r="J404">
        <v>2.0074900000000002</v>
      </c>
      <c r="K404">
        <v>2.998218</v>
      </c>
      <c r="L404" s="6">
        <f>DATE(LEFT(TBL_TEV[[#This Row],[Data]],4),MID(TBL_TEV[[#This Row],[Data]],5,2),RIGHT(TBL_TEV[[#This Row],[Data]],2))</f>
        <v>45868</v>
      </c>
      <c r="M404" t="str" cm="1">
        <f t="array" aca="1" ref="M404" ca="1">IF(_xlfn.SINGLE(TBL_TEV[Data2])&gt;=INDIRECT("L"&amp;COUNTA(TBL_TEV[Data])+1)-365, "Ultimi 12 mesi", "Vecchi dati")</f>
        <v>Ultimi 12 mesi</v>
      </c>
    </row>
    <row r="405" spans="1:13">
      <c r="A405">
        <v>20250731</v>
      </c>
      <c r="B405">
        <v>1.51919</v>
      </c>
      <c r="C405">
        <v>0.27050200000000002</v>
      </c>
      <c r="D405">
        <v>0.77880300000000002</v>
      </c>
      <c r="E405">
        <v>2.1221040000000002</v>
      </c>
      <c r="F405">
        <v>3.003457</v>
      </c>
      <c r="G405">
        <v>2.3048199999999999</v>
      </c>
      <c r="H405">
        <f>TBL_Dati_OS[[#This Row],[Valore Volatilità]]</f>
        <v>7.1322825788014113</v>
      </c>
      <c r="I405">
        <v>0.61736000000000002</v>
      </c>
      <c r="J405">
        <v>2.0119349999999998</v>
      </c>
      <c r="K405">
        <v>3.0161560000000001</v>
      </c>
      <c r="L405" s="6">
        <f>DATE(LEFT(TBL_TEV[[#This Row],[Data]],4),MID(TBL_TEV[[#This Row],[Data]],5,2),RIGHT(TBL_TEV[[#This Row],[Data]],2))</f>
        <v>45869</v>
      </c>
      <c r="M405" t="str" cm="1">
        <f t="array" aca="1" ref="M405" ca="1">IF(_xlfn.SINGLE(TBL_TEV[Data2])&gt;=INDIRECT("L"&amp;COUNTA(TBL_TEV[Data])+1)-365, "Ultimi 12 mesi", "Vecchi dati")</f>
        <v>Ultimi 12 mesi</v>
      </c>
    </row>
    <row r="406" spans="1:13">
      <c r="A406">
        <v>20250801</v>
      </c>
      <c r="B406">
        <v>1.5483990000000001</v>
      </c>
      <c r="C406">
        <v>0.26923200000000003</v>
      </c>
      <c r="D406">
        <v>0.78308900000000004</v>
      </c>
      <c r="E406">
        <v>2.1917930000000001</v>
      </c>
      <c r="F406">
        <v>3.1383899999999998</v>
      </c>
      <c r="G406">
        <v>2.3014860000000001</v>
      </c>
      <c r="H406">
        <f>TBL_Dati_OS[[#This Row],[Valore Volatilità]]</f>
        <v>7.6103397678474698</v>
      </c>
      <c r="I406">
        <v>0.62053499999999995</v>
      </c>
      <c r="J406">
        <v>2.0703529999999999</v>
      </c>
      <c r="K406">
        <v>3.1329929999999999</v>
      </c>
      <c r="L406" s="6">
        <f>DATE(LEFT(TBL_TEV[[#This Row],[Data]],4),MID(TBL_TEV[[#This Row],[Data]],5,2),RIGHT(TBL_TEV[[#This Row],[Data]],2))</f>
        <v>45870</v>
      </c>
      <c r="M406" t="str" cm="1">
        <f t="array" aca="1" ref="M406" ca="1">IF(_xlfn.SINGLE(TBL_TEV[Data2])&gt;=INDIRECT("L"&amp;COUNTA(TBL_TEV[Data])+1)-365, "Ultimi 12 mesi", "Vecchi dati")</f>
        <v>Ultimi 12 mesi</v>
      </c>
    </row>
    <row r="407" spans="1:13">
      <c r="A407">
        <v>20250804</v>
      </c>
      <c r="B407">
        <v>1.532049</v>
      </c>
      <c r="C407">
        <v>0.26891399999999999</v>
      </c>
      <c r="D407">
        <v>0.78070799999999996</v>
      </c>
      <c r="E407">
        <v>2.1681400000000002</v>
      </c>
      <c r="F407">
        <v>3.09918</v>
      </c>
      <c r="G407">
        <v>2.3605390000000002</v>
      </c>
      <c r="H407">
        <f>TBL_Dati_OS[[#This Row],[Valore Volatilità]]</f>
        <v>7.6467293770326155</v>
      </c>
      <c r="I407">
        <v>0.617201</v>
      </c>
      <c r="J407">
        <v>2.051145</v>
      </c>
      <c r="K407">
        <v>3.1039430000000001</v>
      </c>
      <c r="L407" s="6">
        <f>DATE(LEFT(TBL_TEV[[#This Row],[Data]],4),MID(TBL_TEV[[#This Row],[Data]],5,2),RIGHT(TBL_TEV[[#This Row],[Data]],2))</f>
        <v>45873</v>
      </c>
      <c r="M407" t="str" cm="1">
        <f t="array" aca="1" ref="M407" ca="1">IF(_xlfn.SINGLE(TBL_TEV[Data2])&gt;=INDIRECT("L"&amp;COUNTA(TBL_TEV[Data])+1)-365, "Ultimi 12 mesi", "Vecchi dati")</f>
        <v>Ultimi 12 mesi</v>
      </c>
    </row>
    <row r="408" spans="1:13">
      <c r="A408">
        <v>20250805</v>
      </c>
      <c r="B408">
        <v>1.520778</v>
      </c>
      <c r="C408">
        <v>0.26780300000000001</v>
      </c>
      <c r="D408">
        <v>0.77626300000000004</v>
      </c>
      <c r="E408">
        <v>2.1559170000000001</v>
      </c>
      <c r="F408">
        <v>3.0826709999999999</v>
      </c>
      <c r="G408">
        <v>2.339585</v>
      </c>
      <c r="H408">
        <f>TBL_Dati_OS[[#This Row],[Valore Volatilità]]</f>
        <v>7.5638134523194065</v>
      </c>
      <c r="I408">
        <v>0.60989899999999997</v>
      </c>
      <c r="J408">
        <v>2.0309849999999998</v>
      </c>
      <c r="K408">
        <v>3.0755270000000001</v>
      </c>
      <c r="L408" s="6">
        <f>DATE(LEFT(TBL_TEV[[#This Row],[Data]],4),MID(TBL_TEV[[#This Row],[Data]],5,2),RIGHT(TBL_TEV[[#This Row],[Data]],2))</f>
        <v>45874</v>
      </c>
      <c r="M408" t="str" cm="1">
        <f t="array" aca="1" ref="M408" ca="1">IF(_xlfn.SINGLE(TBL_TEV[Data2])&gt;=INDIRECT("L"&amp;COUNTA(TBL_TEV[Data])+1)-365, "Ultimi 12 mesi", "Vecchi dati")</f>
        <v>Ultimi 12 mesi</v>
      </c>
    </row>
    <row r="409" spans="1:13">
      <c r="A409">
        <v>20250806</v>
      </c>
      <c r="B409">
        <v>1.5425260000000001</v>
      </c>
      <c r="C409">
        <v>0.26684999999999998</v>
      </c>
      <c r="D409">
        <v>0.78118500000000002</v>
      </c>
      <c r="E409">
        <v>2.194016</v>
      </c>
      <c r="F409">
        <v>3.14601</v>
      </c>
      <c r="G409">
        <v>2.3843510000000001</v>
      </c>
      <c r="H409">
        <f>TBL_Dati_OS[[#This Row],[Valore Volatilità]]</f>
        <v>7.4905788068398538</v>
      </c>
      <c r="I409">
        <v>0.61228000000000005</v>
      </c>
      <c r="J409">
        <v>2.0774970000000001</v>
      </c>
      <c r="K409">
        <v>3.1455340000000001</v>
      </c>
      <c r="L409" s="6">
        <f>DATE(LEFT(TBL_TEV[[#This Row],[Data]],4),MID(TBL_TEV[[#This Row],[Data]],5,2),RIGHT(TBL_TEV[[#This Row],[Data]],2))</f>
        <v>45875</v>
      </c>
      <c r="M409" t="str" cm="1">
        <f t="array" aca="1" ref="M409" ca="1">IF(_xlfn.SINGLE(TBL_TEV[Data2])&gt;=INDIRECT("L"&amp;COUNTA(TBL_TEV[Data])+1)-365, "Ultimi 12 mesi", "Vecchi dati")</f>
        <v>Ultimi 12 mesi</v>
      </c>
    </row>
    <row r="410" spans="1:13">
      <c r="A410">
        <v>20250807</v>
      </c>
      <c r="B410">
        <v>1.54078</v>
      </c>
      <c r="C410">
        <v>0.265739</v>
      </c>
      <c r="D410">
        <v>0.78134300000000001</v>
      </c>
      <c r="E410">
        <v>2.1900469999999999</v>
      </c>
      <c r="F410">
        <v>3.1404540000000001</v>
      </c>
      <c r="G410">
        <v>2.3383150000000001</v>
      </c>
      <c r="H410">
        <f>TBL_Dati_OS[[#This Row],[Valore Volatilità]]</f>
        <v>7.4923435031292591</v>
      </c>
      <c r="I410">
        <v>0.60862899999999998</v>
      </c>
      <c r="J410">
        <v>2.0728930000000001</v>
      </c>
      <c r="K410">
        <v>3.1393430000000002</v>
      </c>
      <c r="L410" s="6">
        <f>DATE(LEFT(TBL_TEV[[#This Row],[Data]],4),MID(TBL_TEV[[#This Row],[Data]],5,2),RIGHT(TBL_TEV[[#This Row],[Data]],2))</f>
        <v>45876</v>
      </c>
      <c r="M410" t="str" cm="1">
        <f t="array" aca="1" ref="M410" ca="1">IF(_xlfn.SINGLE(TBL_TEV[Data2])&gt;=INDIRECT("L"&amp;COUNTA(TBL_TEV[Data])+1)-365, "Ultimi 12 mesi", "Vecchi dati")</f>
        <v>Ultimi 12 mesi</v>
      </c>
    </row>
    <row r="411" spans="1:13">
      <c r="A411">
        <v>20250808</v>
      </c>
      <c r="B411">
        <v>1.5382400000000001</v>
      </c>
      <c r="C411">
        <v>0.26605699999999999</v>
      </c>
      <c r="D411">
        <v>0.78054999999999997</v>
      </c>
      <c r="E411">
        <v>2.1856019999999998</v>
      </c>
      <c r="F411">
        <v>3.1337869999999999</v>
      </c>
      <c r="G411">
        <v>2.3373629999999999</v>
      </c>
      <c r="H411">
        <f>TBL_Dati_OS[[#This Row],[Valore Volatilità]]</f>
        <v>7.5365657033702087</v>
      </c>
      <c r="I411">
        <v>0.60386600000000001</v>
      </c>
      <c r="J411">
        <v>2.0679720000000001</v>
      </c>
      <c r="K411">
        <v>3.1318820000000001</v>
      </c>
      <c r="L411" s="6">
        <f>DATE(LEFT(TBL_TEV[[#This Row],[Data]],4),MID(TBL_TEV[[#This Row],[Data]],5,2),RIGHT(TBL_TEV[[#This Row],[Data]],2))</f>
        <v>45877</v>
      </c>
      <c r="M411" t="str" cm="1">
        <f t="array" aca="1" ref="M411" ca="1">IF(_xlfn.SINGLE(TBL_TEV[Data2])&gt;=INDIRECT("L"&amp;COUNTA(TBL_TEV[Data])+1)-365, "Ultimi 12 mesi", "Vecchi dati")</f>
        <v>Ultimi 12 mesi</v>
      </c>
    </row>
    <row r="412" spans="1:13">
      <c r="A412">
        <v>20250811</v>
      </c>
      <c r="B412">
        <v>1.532049</v>
      </c>
      <c r="C412">
        <v>0.26494600000000001</v>
      </c>
      <c r="D412">
        <v>0.779756</v>
      </c>
      <c r="E412">
        <v>2.1746490000000001</v>
      </c>
      <c r="F412">
        <v>3.122833</v>
      </c>
      <c r="G412">
        <v>2.325615</v>
      </c>
      <c r="H412">
        <f>TBL_Dati_OS[[#This Row],[Valore Volatilità]]</f>
        <v>7.5108288124322478</v>
      </c>
      <c r="I412">
        <v>0.60085</v>
      </c>
      <c r="J412">
        <v>2.0567009999999999</v>
      </c>
      <c r="K412">
        <v>3.1156899999999998</v>
      </c>
      <c r="L412" s="6">
        <f>DATE(LEFT(TBL_TEV[[#This Row],[Data]],4),MID(TBL_TEV[[#This Row],[Data]],5,2),RIGHT(TBL_TEV[[#This Row],[Data]],2))</f>
        <v>45880</v>
      </c>
      <c r="M412" t="str" cm="1">
        <f t="array" aca="1" ref="M412" ca="1">IF(_xlfn.SINGLE(TBL_TEV[Data2])&gt;=INDIRECT("L"&amp;COUNTA(TBL_TEV[Data])+1)-365, "Ultimi 12 mesi", "Vecchi dati")</f>
        <v>Ultimi 12 mesi</v>
      </c>
    </row>
    <row r="413" spans="1:13">
      <c r="A413">
        <v>20250812</v>
      </c>
      <c r="B413">
        <v>1.528715</v>
      </c>
      <c r="C413">
        <v>0.263517</v>
      </c>
      <c r="D413">
        <v>0.77864500000000003</v>
      </c>
      <c r="E413">
        <v>2.1694100000000001</v>
      </c>
      <c r="F413">
        <v>3.1155309999999998</v>
      </c>
      <c r="G413">
        <v>2.3191069999999998</v>
      </c>
      <c r="H413">
        <f>TBL_Dati_OS[[#This Row],[Valore Volatilità]]</f>
        <v>7.4515082065053191</v>
      </c>
      <c r="I413">
        <v>0.59783399999999998</v>
      </c>
      <c r="J413">
        <v>2.0493990000000002</v>
      </c>
      <c r="K413">
        <v>3.1077520000000001</v>
      </c>
      <c r="L413" s="6">
        <f>DATE(LEFT(TBL_TEV[[#This Row],[Data]],4),MID(TBL_TEV[[#This Row],[Data]],5,2),RIGHT(TBL_TEV[[#This Row],[Data]],2))</f>
        <v>45881</v>
      </c>
      <c r="M413" t="str" cm="1">
        <f t="array" aca="1" ref="M413" ca="1">IF(_xlfn.SINGLE(TBL_TEV[Data2])&gt;=INDIRECT("L"&amp;COUNTA(TBL_TEV[Data])+1)-365, "Ultimi 12 mesi", "Vecchi dati")</f>
        <v>Ultimi 12 mesi</v>
      </c>
    </row>
    <row r="414" spans="1:13">
      <c r="A414">
        <v>20250813</v>
      </c>
      <c r="B414">
        <v>1.540303</v>
      </c>
      <c r="C414">
        <v>0.26589800000000002</v>
      </c>
      <c r="D414">
        <v>0.79324899999999998</v>
      </c>
      <c r="E414">
        <v>2.1630600000000002</v>
      </c>
      <c r="F414">
        <v>3.0934650000000001</v>
      </c>
      <c r="G414">
        <v>2.3672070000000001</v>
      </c>
      <c r="H414">
        <f>TBL_Dati_OS[[#This Row],[Valore Volatilità]]</f>
        <v>7.4019193235780394</v>
      </c>
      <c r="I414">
        <v>0.60799400000000003</v>
      </c>
      <c r="J414">
        <v>2.0328889999999999</v>
      </c>
      <c r="K414">
        <v>3.0834640000000002</v>
      </c>
      <c r="L414" s="6">
        <f>DATE(LEFT(TBL_TEV[[#This Row],[Data]],4),MID(TBL_TEV[[#This Row],[Data]],5,2),RIGHT(TBL_TEV[[#This Row],[Data]],2))</f>
        <v>45882</v>
      </c>
      <c r="M414" t="str" cm="1">
        <f t="array" aca="1" ref="M414" ca="1">IF(_xlfn.SINGLE(TBL_TEV[Data2])&gt;=INDIRECT("L"&amp;COUNTA(TBL_TEV[Data])+1)-365, "Ultimi 12 mesi", "Vecchi dati")</f>
        <v>Ultimi 12 mesi</v>
      </c>
    </row>
    <row r="415" spans="1:13">
      <c r="A415">
        <v>20250814</v>
      </c>
      <c r="B415">
        <v>1.539669</v>
      </c>
      <c r="C415">
        <v>0.26558100000000001</v>
      </c>
      <c r="D415">
        <v>0.79245500000000002</v>
      </c>
      <c r="E415">
        <v>2.1641720000000002</v>
      </c>
      <c r="F415">
        <v>3.091402</v>
      </c>
      <c r="G415">
        <v>2.3743500000000002</v>
      </c>
      <c r="H415">
        <f>TBL_Dati_OS[[#This Row],[Valore Volatilità]]</f>
        <v>7.4064625056013025</v>
      </c>
      <c r="I415">
        <v>0.60688200000000003</v>
      </c>
      <c r="J415">
        <v>2.0301909999999999</v>
      </c>
      <c r="K415">
        <v>3.0798130000000001</v>
      </c>
      <c r="L415" s="6">
        <f>DATE(LEFT(TBL_TEV[[#This Row],[Data]],4),MID(TBL_TEV[[#This Row],[Data]],5,2),RIGHT(TBL_TEV[[#This Row],[Data]],2))</f>
        <v>45883</v>
      </c>
      <c r="M415" t="str" cm="1">
        <f t="array" aca="1" ref="M415" ca="1">IF(_xlfn.SINGLE(TBL_TEV[Data2])&gt;=INDIRECT("L"&amp;COUNTA(TBL_TEV[Data])+1)-365, "Ultimi 12 mesi", "Vecchi dati")</f>
        <v>Ultimi 12 mesi</v>
      </c>
    </row>
    <row r="416" spans="1:13">
      <c r="A416">
        <v>20250818</v>
      </c>
      <c r="B416">
        <v>1.522365</v>
      </c>
      <c r="C416">
        <v>0.26256400000000002</v>
      </c>
      <c r="D416">
        <v>0.78816900000000001</v>
      </c>
      <c r="E416">
        <v>2.1417890000000002</v>
      </c>
      <c r="F416">
        <v>3.0426669999999998</v>
      </c>
      <c r="G416">
        <v>2.3522850000000002</v>
      </c>
      <c r="H416">
        <f>TBL_Dati_OS[[#This Row],[Valore Volatilità]]</f>
        <v>7.4118936175636163</v>
      </c>
      <c r="I416">
        <v>0.59989800000000004</v>
      </c>
      <c r="J416">
        <v>2.009236</v>
      </c>
      <c r="K416">
        <v>3.0480640000000001</v>
      </c>
      <c r="L416" s="6">
        <f>DATE(LEFT(TBL_TEV[[#This Row],[Data]],4),MID(TBL_TEV[[#This Row],[Data]],5,2),RIGHT(TBL_TEV[[#This Row],[Data]],2))</f>
        <v>45887</v>
      </c>
      <c r="M416" t="str" cm="1">
        <f t="array" aca="1" ref="M416" ca="1">IF(_xlfn.SINGLE(TBL_TEV[Data2])&gt;=INDIRECT("L"&amp;COUNTA(TBL_TEV[Data])+1)-365, "Ultimi 12 mesi", "Vecchi dati")</f>
        <v>Ultimi 12 mesi</v>
      </c>
    </row>
    <row r="417" spans="1:13">
      <c r="A417">
        <v>20250819</v>
      </c>
      <c r="B417">
        <v>1.5326839999999999</v>
      </c>
      <c r="C417">
        <v>0.26145299999999999</v>
      </c>
      <c r="D417">
        <v>0.78753399999999996</v>
      </c>
      <c r="E417">
        <v>2.156711</v>
      </c>
      <c r="F417">
        <v>3.0618750000000001</v>
      </c>
      <c r="G417">
        <v>2.3408549999999999</v>
      </c>
      <c r="H417">
        <f>TBL_Dati_OS[[#This Row],[Valore Volatilità]]</f>
        <v>7.3141084781585501</v>
      </c>
      <c r="I417">
        <v>0.60243800000000003</v>
      </c>
      <c r="J417">
        <v>2.019396</v>
      </c>
      <c r="K417">
        <v>3.067431</v>
      </c>
      <c r="L417" s="6">
        <f>DATE(LEFT(TBL_TEV[[#This Row],[Data]],4),MID(TBL_TEV[[#This Row],[Data]],5,2),RIGHT(TBL_TEV[[#This Row],[Data]],2))</f>
        <v>45888</v>
      </c>
      <c r="M417" t="str" cm="1">
        <f t="array" aca="1" ref="M417" ca="1">IF(_xlfn.SINGLE(TBL_TEV[Data2])&gt;=INDIRECT("L"&amp;COUNTA(TBL_TEV[Data])+1)-365, "Ultimi 12 mesi", "Vecchi dati")</f>
        <v>Ultimi 12 mesi</v>
      </c>
    </row>
    <row r="418" spans="1:13">
      <c r="A418">
        <v>20250820</v>
      </c>
      <c r="B418">
        <v>1.525223</v>
      </c>
      <c r="C418">
        <v>0.26097700000000001</v>
      </c>
      <c r="D418">
        <v>0.78594699999999995</v>
      </c>
      <c r="E418">
        <v>2.1444869999999998</v>
      </c>
      <c r="F418">
        <v>3.040127</v>
      </c>
      <c r="G418">
        <v>2.325774</v>
      </c>
      <c r="H418">
        <f>TBL_Dati_OS[[#This Row],[Valore Volatilità]]</f>
        <v>7.282321733237505</v>
      </c>
      <c r="I418">
        <v>0.59926299999999999</v>
      </c>
      <c r="J418">
        <v>2.0070139999999999</v>
      </c>
      <c r="K418">
        <v>3.0471119999999998</v>
      </c>
      <c r="L418" s="6">
        <f>DATE(LEFT(TBL_TEV[[#This Row],[Data]],4),MID(TBL_TEV[[#This Row],[Data]],5,2),RIGHT(TBL_TEV[[#This Row],[Data]],2))</f>
        <v>45889</v>
      </c>
      <c r="M418" t="str" cm="1">
        <f t="array" aca="1" ref="M418" ca="1">IF(_xlfn.SINGLE(TBL_TEV[Data2])&gt;=INDIRECT("L"&amp;COUNTA(TBL_TEV[Data])+1)-365, "Ultimi 12 mesi", "Vecchi dati")</f>
        <v>Ultimi 12 mesi</v>
      </c>
    </row>
    <row r="419" spans="1:13">
      <c r="A419">
        <v>20250821</v>
      </c>
      <c r="B419">
        <v>1.525064</v>
      </c>
      <c r="C419">
        <v>0.26097700000000001</v>
      </c>
      <c r="D419">
        <v>0.78896299999999997</v>
      </c>
      <c r="E419">
        <v>2.1497259999999998</v>
      </c>
      <c r="F419">
        <v>3.0374279999999998</v>
      </c>
      <c r="G419">
        <v>2.3291080000000002</v>
      </c>
      <c r="H419">
        <f>TBL_Dati_OS[[#This Row],[Valore Volatilità]]</f>
        <v>7.2773168343928258</v>
      </c>
      <c r="I419">
        <v>0.59862800000000005</v>
      </c>
      <c r="J419">
        <v>2.005585</v>
      </c>
      <c r="K419">
        <v>3.0439370000000001</v>
      </c>
      <c r="L419" s="6">
        <f>DATE(LEFT(TBL_TEV[[#This Row],[Data]],4),MID(TBL_TEV[[#This Row],[Data]],5,2),RIGHT(TBL_TEV[[#This Row],[Data]],2))</f>
        <v>45890</v>
      </c>
      <c r="M419" t="str" cm="1">
        <f t="array" aca="1" ref="M419" ca="1">IF(_xlfn.SINGLE(TBL_TEV[Data2])&gt;=INDIRECT("L"&amp;COUNTA(TBL_TEV[Data])+1)-365, "Ultimi 12 mesi", "Vecchi dati")</f>
        <v>Ultimi 12 mesi</v>
      </c>
    </row>
    <row r="420" spans="1:13">
      <c r="A420">
        <v>20250822</v>
      </c>
      <c r="B420">
        <v>1.528715</v>
      </c>
      <c r="C420">
        <v>0.26192900000000002</v>
      </c>
      <c r="D420">
        <v>0.79118500000000003</v>
      </c>
      <c r="E420">
        <v>2.152425</v>
      </c>
      <c r="F420">
        <v>3.0404439999999999</v>
      </c>
      <c r="G420">
        <v>2.339267</v>
      </c>
      <c r="H420">
        <f>TBL_Dati_OS[[#This Row],[Valore Volatilità]]</f>
        <v>7.2688031216623177</v>
      </c>
      <c r="I420">
        <v>0.59958</v>
      </c>
      <c r="J420">
        <v>2.005903</v>
      </c>
      <c r="K420">
        <v>3.046001</v>
      </c>
      <c r="L420" s="6">
        <f>DATE(LEFT(TBL_TEV[[#This Row],[Data]],4),MID(TBL_TEV[[#This Row],[Data]],5,2),RIGHT(TBL_TEV[[#This Row],[Data]],2))</f>
        <v>45891</v>
      </c>
      <c r="M420" t="str" cm="1">
        <f t="array" aca="1" ref="M420" ca="1">IF(_xlfn.SINGLE(TBL_TEV[Data2])&gt;=INDIRECT("L"&amp;COUNTA(TBL_TEV[Data])+1)-365, "Ultimi 12 mesi", "Vecchi dati")</f>
        <v>Ultimi 12 mesi</v>
      </c>
    </row>
    <row r="421" spans="1:13">
      <c r="A421">
        <v>20250825</v>
      </c>
      <c r="B421">
        <v>1.525223</v>
      </c>
      <c r="C421">
        <v>0.26256400000000002</v>
      </c>
      <c r="D421">
        <v>0.79197899999999999</v>
      </c>
      <c r="E421">
        <v>2.14798</v>
      </c>
      <c r="F421">
        <v>3.035682</v>
      </c>
      <c r="G421">
        <v>2.3630789999999999</v>
      </c>
      <c r="H421">
        <f>TBL_Dati_OS[[#This Row],[Valore Volatilità]]</f>
        <v>7.2797716851885079</v>
      </c>
      <c r="I421">
        <v>0.59624699999999997</v>
      </c>
      <c r="J421">
        <v>2.6754899999999999</v>
      </c>
      <c r="K421">
        <v>4.0686359999999997</v>
      </c>
      <c r="L421" s="6">
        <f>DATE(LEFT(TBL_TEV[[#This Row],[Data]],4),MID(TBL_TEV[[#This Row],[Data]],5,2),RIGHT(TBL_TEV[[#This Row],[Data]],2))</f>
        <v>45894</v>
      </c>
      <c r="M421" t="str" cm="1">
        <f t="array" aca="1" ref="M421" ca="1">IF(_xlfn.SINGLE(TBL_TEV[Data2])&gt;=INDIRECT("L"&amp;COUNTA(TBL_TEV[Data])+1)-365, "Ultimi 12 mesi", "Vecchi dati")</f>
        <v>Ultimi 12 mesi</v>
      </c>
    </row>
    <row r="422" spans="1:13">
      <c r="A422">
        <v>20250826</v>
      </c>
      <c r="B422">
        <v>1.524429</v>
      </c>
      <c r="C422">
        <v>0.26161200000000001</v>
      </c>
      <c r="D422">
        <v>0.79404300000000005</v>
      </c>
      <c r="E422">
        <v>2.1497259999999998</v>
      </c>
      <c r="F422">
        <v>3.036476</v>
      </c>
      <c r="G422">
        <v>2.3699050000000002</v>
      </c>
      <c r="H422">
        <f>TBL_Dati_OS[[#This Row],[Valore Volatilità]]</f>
        <v>7.3901983707021293</v>
      </c>
      <c r="I422">
        <v>0.59291300000000002</v>
      </c>
      <c r="J422">
        <v>2.6702509999999999</v>
      </c>
      <c r="K422">
        <v>4.0611750000000004</v>
      </c>
      <c r="L422" s="6">
        <f>DATE(LEFT(TBL_TEV[[#This Row],[Data]],4),MID(TBL_TEV[[#This Row],[Data]],5,2),RIGHT(TBL_TEV[[#This Row],[Data]],2))</f>
        <v>45895</v>
      </c>
      <c r="M422" t="str" cm="1">
        <f t="array" aca="1" ref="M422" ca="1">IF(_xlfn.SINGLE(TBL_TEV[Data2])&gt;=INDIRECT("L"&amp;COUNTA(TBL_TEV[Data])+1)-365, "Ultimi 12 mesi", "Vecchi dati")</f>
        <v>Ultimi 12 mesi</v>
      </c>
    </row>
    <row r="423" spans="1:13">
      <c r="A423">
        <v>20250827</v>
      </c>
      <c r="B423">
        <v>1.52173</v>
      </c>
      <c r="C423">
        <v>0.26081799999999999</v>
      </c>
      <c r="D423">
        <v>0.79181999999999997</v>
      </c>
      <c r="E423">
        <v>2.1403599999999998</v>
      </c>
      <c r="F423">
        <v>3.0207600000000001</v>
      </c>
      <c r="G423">
        <v>2.3643489999999998</v>
      </c>
      <c r="H423">
        <f>TBL_Dati_OS[[#This Row],[Valore Volatilità]]</f>
        <v>7.3684206820753939</v>
      </c>
      <c r="I423">
        <v>0.591167</v>
      </c>
      <c r="J423">
        <v>2.6677110000000002</v>
      </c>
      <c r="K423">
        <v>4.0648260000000001</v>
      </c>
      <c r="L423" s="6">
        <f>DATE(LEFT(TBL_TEV[[#This Row],[Data]],4),MID(TBL_TEV[[#This Row],[Data]],5,2),RIGHT(TBL_TEV[[#This Row],[Data]],2))</f>
        <v>45896</v>
      </c>
      <c r="M423" t="str" cm="1">
        <f t="array" aca="1" ref="M423" ca="1">IF(_xlfn.SINGLE(TBL_TEV[Data2])&gt;=INDIRECT("L"&amp;COUNTA(TBL_TEV[Data])+1)-365, "Ultimi 12 mesi", "Vecchi dati")</f>
        <v>Ultimi 12 mesi</v>
      </c>
    </row>
    <row r="424" spans="1:13">
      <c r="A424">
        <v>20250828</v>
      </c>
      <c r="B424">
        <v>1.530303</v>
      </c>
      <c r="C424">
        <v>0.26081799999999999</v>
      </c>
      <c r="D424">
        <v>0.794678</v>
      </c>
      <c r="E424">
        <v>2.1506780000000001</v>
      </c>
      <c r="F424">
        <v>3.0420319999999998</v>
      </c>
      <c r="G424">
        <v>2.35419</v>
      </c>
      <c r="H424">
        <f>TBL_Dati_OS[[#This Row],[Valore Volatilità]]</f>
        <v>7.3323973646894416</v>
      </c>
      <c r="I424">
        <v>0.59434200000000004</v>
      </c>
      <c r="J424">
        <v>2.6888239999999999</v>
      </c>
      <c r="K424">
        <v>4.0892730000000004</v>
      </c>
      <c r="L424" s="6">
        <f>DATE(LEFT(TBL_TEV[[#This Row],[Data]],4),MID(TBL_TEV[[#This Row],[Data]],5,2),RIGHT(TBL_TEV[[#This Row],[Data]],2))</f>
        <v>45897</v>
      </c>
      <c r="M424" t="str" cm="1">
        <f t="array" aca="1" ref="M424" ca="1">IF(_xlfn.SINGLE(TBL_TEV[Data2])&gt;=INDIRECT("L"&amp;COUNTA(TBL_TEV[Data])+1)-365, "Ultimi 12 mesi", "Vecchi dati")</f>
        <v>Ultimi 12 mesi</v>
      </c>
    </row>
    <row r="425" spans="1:13">
      <c r="A425">
        <v>20250829</v>
      </c>
      <c r="B425">
        <v>1.518397</v>
      </c>
      <c r="C425">
        <v>0.244944</v>
      </c>
      <c r="D425">
        <v>0.777057</v>
      </c>
      <c r="E425">
        <v>2.1403599999999998</v>
      </c>
      <c r="F425">
        <v>3.0301260000000001</v>
      </c>
      <c r="G425">
        <v>2.3211710000000001</v>
      </c>
      <c r="H425">
        <f>TBL_Dati_OS[[#This Row],[Valore Volatilità]]</f>
        <v>7.2378885951596006</v>
      </c>
      <c r="I425">
        <v>0.58164199999999999</v>
      </c>
      <c r="J425">
        <v>2.6761249999999999</v>
      </c>
      <c r="K425">
        <v>4.0678429999999999</v>
      </c>
      <c r="L425" s="6">
        <f>DATE(LEFT(TBL_TEV[[#This Row],[Data]],4),MID(TBL_TEV[[#This Row],[Data]],5,2),RIGHT(TBL_TEV[[#This Row],[Data]],2))</f>
        <v>45898</v>
      </c>
      <c r="M425" t="str" cm="1">
        <f t="array" aca="1" ref="M425" ca="1">IF(_xlfn.SINGLE(TBL_TEV[Data2])&gt;=INDIRECT("L"&amp;COUNTA(TBL_TEV[Data])+1)-365, "Ultimi 12 mesi", "Vecchi dati")</f>
        <v>Ultimi 12 mesi</v>
      </c>
    </row>
    <row r="426" spans="1:13">
      <c r="A426">
        <v>20250901</v>
      </c>
      <c r="B426">
        <v>1.524905</v>
      </c>
      <c r="C426">
        <v>0.24272099999999999</v>
      </c>
      <c r="D426">
        <v>0.77658099999999997</v>
      </c>
      <c r="E426">
        <v>2.1502020000000002</v>
      </c>
      <c r="F426">
        <v>3.0393330000000001</v>
      </c>
      <c r="G426">
        <v>2.3470460000000002</v>
      </c>
      <c r="H426">
        <f>TBL_Dati_OS[[#This Row],[Valore Volatilità]]</f>
        <v>7.1413841931145008</v>
      </c>
      <c r="I426">
        <v>0.58084800000000003</v>
      </c>
      <c r="J426">
        <v>2.6886649999999999</v>
      </c>
      <c r="K426">
        <v>4.0873679999999997</v>
      </c>
      <c r="L426" s="6">
        <f>DATE(LEFT(TBL_TEV[[#This Row],[Data]],4),MID(TBL_TEV[[#This Row],[Data]],5,2),RIGHT(TBL_TEV[[#This Row],[Data]],2))</f>
        <v>45901</v>
      </c>
      <c r="M426" t="str" cm="1">
        <f t="array" aca="1" ref="M426" ca="1">IF(_xlfn.SINGLE(TBL_TEV[Data2])&gt;=INDIRECT("L"&amp;COUNTA(TBL_TEV[Data])+1)-365, "Ultimi 12 mesi", "Vecchi dati")</f>
        <v>Ultimi 12 mesi</v>
      </c>
    </row>
    <row r="427" spans="1:13">
      <c r="A427">
        <v>20250902</v>
      </c>
      <c r="B427">
        <v>1.5553840000000001</v>
      </c>
      <c r="C427">
        <v>0.242562</v>
      </c>
      <c r="D427">
        <v>0.78896299999999997</v>
      </c>
      <c r="E427">
        <v>2.1873480000000001</v>
      </c>
      <c r="F427">
        <v>3.1058469999999998</v>
      </c>
      <c r="G427">
        <v>2.3527610000000001</v>
      </c>
      <c r="H427">
        <f>TBL_Dati_OS[[#This Row],[Valore Volatilità]]</f>
        <v>7.1172317915306991</v>
      </c>
      <c r="I427">
        <v>0.59100799999999998</v>
      </c>
      <c r="J427">
        <v>2.7385109999999999</v>
      </c>
      <c r="K427">
        <v>4.1915050000000003</v>
      </c>
      <c r="L427" s="6">
        <f>DATE(LEFT(TBL_TEV[[#This Row],[Data]],4),MID(TBL_TEV[[#This Row],[Data]],5,2),RIGHT(TBL_TEV[[#This Row],[Data]],2))</f>
        <v>45902</v>
      </c>
      <c r="M427" t="str" cm="1">
        <f t="array" aca="1" ref="M427" ca="1">IF(_xlfn.SINGLE(TBL_TEV[Data2])&gt;=INDIRECT("L"&amp;COUNTA(TBL_TEV[Data])+1)-365, "Ultimi 12 mesi", "Vecchi dati")</f>
        <v>Ultimi 12 mesi</v>
      </c>
    </row>
    <row r="428" spans="1:13">
      <c r="A428">
        <v>20250903</v>
      </c>
      <c r="B428">
        <v>1.5647500000000001</v>
      </c>
      <c r="C428">
        <v>0.28875699999999999</v>
      </c>
      <c r="D428">
        <v>0.79086800000000002</v>
      </c>
      <c r="E428">
        <v>2.18973</v>
      </c>
      <c r="F428">
        <v>3.1217220000000001</v>
      </c>
      <c r="G428">
        <v>2.3751440000000001</v>
      </c>
      <c r="H428">
        <f>TBL_Dati_OS[[#This Row],[Valore Volatilità]]</f>
        <v>6.9172891999094581</v>
      </c>
      <c r="I428">
        <v>0.59481799999999996</v>
      </c>
      <c r="J428">
        <v>2.770737</v>
      </c>
      <c r="K428">
        <v>4.2370650000000003</v>
      </c>
      <c r="L428" s="6">
        <f>DATE(LEFT(TBL_TEV[[#This Row],[Data]],4),MID(TBL_TEV[[#This Row],[Data]],5,2),RIGHT(TBL_TEV[[#This Row],[Data]],2))</f>
        <v>45903</v>
      </c>
      <c r="M428" t="str" cm="1">
        <f t="array" aca="1" ref="M428" ca="1">IF(_xlfn.SINGLE(TBL_TEV[Data2])&gt;=INDIRECT("L"&amp;COUNTA(TBL_TEV[Data])+1)-365, "Ultimi 12 mesi", "Vecchi dati")</f>
        <v>Ultimi 12 mesi</v>
      </c>
    </row>
    <row r="429" spans="1:13">
      <c r="A429">
        <v>20250904</v>
      </c>
      <c r="B429">
        <v>1.5760209999999999</v>
      </c>
      <c r="C429">
        <v>0.28812199999999999</v>
      </c>
      <c r="D429">
        <v>0.88976599999999995</v>
      </c>
      <c r="E429">
        <v>2.2232249999999998</v>
      </c>
      <c r="F429">
        <v>3.1655359999999999</v>
      </c>
      <c r="G429">
        <v>2.39086</v>
      </c>
      <c r="H429">
        <f>TBL_Dati_OS[[#This Row],[Valore Volatilità]]</f>
        <v>6.9701460887245936</v>
      </c>
      <c r="I429">
        <v>0.59831000000000001</v>
      </c>
      <c r="J429">
        <v>2.8059780000000001</v>
      </c>
      <c r="K429">
        <v>4.2921490000000002</v>
      </c>
      <c r="L429" s="6">
        <f>DATE(LEFT(TBL_TEV[[#This Row],[Data]],4),MID(TBL_TEV[[#This Row],[Data]],5,2),RIGHT(TBL_TEV[[#This Row],[Data]],2))</f>
        <v>45904</v>
      </c>
      <c r="M429" t="str" cm="1">
        <f t="array" aca="1" ref="M429" ca="1">IF(_xlfn.SINGLE(TBL_TEV[Data2])&gt;=INDIRECT("L"&amp;COUNTA(TBL_TEV[Data])+1)-365, "Ultimi 12 mesi", "Vecchi dati")</f>
        <v>Ultimi 12 mesi</v>
      </c>
    </row>
    <row r="430" spans="1:13">
      <c r="A430">
        <v>20250905</v>
      </c>
      <c r="B430">
        <v>1.6065</v>
      </c>
      <c r="C430">
        <v>0.29050300000000001</v>
      </c>
      <c r="D430">
        <v>0.76404000000000005</v>
      </c>
      <c r="E430">
        <v>2.2640220000000002</v>
      </c>
      <c r="F430">
        <v>3.2252239999999999</v>
      </c>
      <c r="G430">
        <v>2.3964159999999999</v>
      </c>
      <c r="H430">
        <f>TBL_Dati_OS[[#This Row],[Valore Volatilità]]</f>
        <v>6.9478095996626044</v>
      </c>
      <c r="I430">
        <v>0.60958100000000004</v>
      </c>
      <c r="J430">
        <v>2.8439179999999999</v>
      </c>
      <c r="K430">
        <v>4.3615209999999998</v>
      </c>
      <c r="L430" s="6">
        <f>DATE(LEFT(TBL_TEV[[#This Row],[Data]],4),MID(TBL_TEV[[#This Row],[Data]],5,2),RIGHT(TBL_TEV[[#This Row],[Data]],2))</f>
        <v>45905</v>
      </c>
      <c r="M430" t="str" cm="1">
        <f t="array" aca="1" ref="M430" ca="1">IF(_xlfn.SINGLE(TBL_TEV[Data2])&gt;=INDIRECT("L"&amp;COUNTA(TBL_TEV[Data])+1)-365, "Ultimi 12 mesi", "Vecchi dati")</f>
        <v>Ultimi 12 mesi</v>
      </c>
    </row>
    <row r="431" spans="1:13">
      <c r="A431">
        <v>20250908</v>
      </c>
      <c r="B431">
        <v>1.5768150000000001</v>
      </c>
      <c r="C431">
        <v>0.27859800000000001</v>
      </c>
      <c r="D431">
        <v>0.76594499999999999</v>
      </c>
      <c r="E431">
        <v>2.2519580000000001</v>
      </c>
      <c r="F431">
        <v>3.209349</v>
      </c>
      <c r="G431">
        <v>2.3516499999999998</v>
      </c>
      <c r="H431">
        <f>TBL_Dati_OS[[#This Row],[Valore Volatilità]]</f>
        <v>6.9654371260776351</v>
      </c>
      <c r="I431">
        <v>0.60688200000000003</v>
      </c>
      <c r="J431">
        <v>2.8305829999999998</v>
      </c>
      <c r="K431">
        <v>4.3413599999999999</v>
      </c>
      <c r="L431" s="6">
        <f>DATE(LEFT(TBL_TEV[[#This Row],[Data]],4),MID(TBL_TEV[[#This Row],[Data]],5,2),RIGHT(TBL_TEV[[#This Row],[Data]],2))</f>
        <v>45908</v>
      </c>
      <c r="M431" t="str" cm="1">
        <f t="array" aca="1" ref="M431" ca="1">IF(_xlfn.SINGLE(TBL_TEV[Data2])&gt;=INDIRECT("L"&amp;COUNTA(TBL_TEV[Data])+1)-365, "Ultimi 12 mesi", "Vecchi dati")</f>
        <v>Ultimi 12 mesi</v>
      </c>
    </row>
    <row r="432" spans="1:13">
      <c r="A432">
        <v>20250909</v>
      </c>
      <c r="B432">
        <v>1.5761799999999999</v>
      </c>
      <c r="C432">
        <v>0.30415599999999998</v>
      </c>
      <c r="D432">
        <v>0.76816700000000004</v>
      </c>
      <c r="E432">
        <v>2.2498939999999998</v>
      </c>
      <c r="F432">
        <v>3.2055389999999999</v>
      </c>
      <c r="G432">
        <v>2.3516499999999998</v>
      </c>
      <c r="H432">
        <f>TBL_Dati_OS[[#This Row],[Valore Volatilità]]</f>
        <v>6.8452583427801263</v>
      </c>
      <c r="I432">
        <v>0.60656500000000002</v>
      </c>
      <c r="J432">
        <v>2.8170899999999999</v>
      </c>
      <c r="K432">
        <v>4.340249</v>
      </c>
      <c r="L432" s="6">
        <f>DATE(LEFT(TBL_TEV[[#This Row],[Data]],4),MID(TBL_TEV[[#This Row],[Data]],5,2),RIGHT(TBL_TEV[[#This Row],[Data]],2))</f>
        <v>45909</v>
      </c>
      <c r="M432" t="str" cm="1">
        <f t="array" aca="1" ref="M432" ca="1">IF(_xlfn.SINGLE(TBL_TEV[Data2])&gt;=INDIRECT("L"&amp;COUNTA(TBL_TEV[Data])+1)-365, "Ultimi 12 mesi", "Vecchi dati")</f>
        <v>Ultimi 12 mesi</v>
      </c>
    </row>
    <row r="433" spans="1:13">
      <c r="A433">
        <v>20250910</v>
      </c>
      <c r="B433">
        <v>1.5852280000000001</v>
      </c>
      <c r="C433">
        <v>0.30288599999999999</v>
      </c>
      <c r="D433">
        <v>0.77800999999999998</v>
      </c>
      <c r="E433">
        <v>2.312122</v>
      </c>
      <c r="F433">
        <v>3.2704659999999999</v>
      </c>
      <c r="G433">
        <v>2.6443759999999998</v>
      </c>
      <c r="H433">
        <f>TBL_Dati_OS[[#This Row],[Valore Volatilità]]</f>
        <v>7.0387893986636625</v>
      </c>
      <c r="I433">
        <v>0.60545400000000005</v>
      </c>
      <c r="J433">
        <v>2.8172489999999999</v>
      </c>
      <c r="K433">
        <v>4.3278670000000004</v>
      </c>
      <c r="L433" s="6">
        <f>DATE(LEFT(TBL_TEV[[#This Row],[Data]],4),MID(TBL_TEV[[#This Row],[Data]],5,2),RIGHT(TBL_TEV[[#This Row],[Data]],2))</f>
        <v>45910</v>
      </c>
      <c r="M433" t="str" cm="1">
        <f t="array" aca="1" ref="M433" ca="1">IF(_xlfn.SINGLE(TBL_TEV[Data2])&gt;=INDIRECT("L"&amp;COUNTA(TBL_TEV[Data])+1)-365, "Ultimi 12 mesi", "Vecchi dati")</f>
        <v>Ultimi 12 mesi</v>
      </c>
    </row>
    <row r="434" spans="1:13">
      <c r="A434">
        <v>20250911</v>
      </c>
      <c r="B434">
        <v>1.5690360000000001</v>
      </c>
      <c r="C434">
        <v>0.30177399999999999</v>
      </c>
      <c r="D434">
        <v>0.77245399999999997</v>
      </c>
      <c r="E434">
        <v>2.2779919999999998</v>
      </c>
      <c r="F434">
        <v>3.2268110000000001</v>
      </c>
      <c r="G434">
        <v>2.5837349999999999</v>
      </c>
      <c r="H434">
        <f>TBL_Dati_OS[[#This Row],[Valore Volatilità]]</f>
        <v>7.0246551739795651</v>
      </c>
      <c r="I434">
        <v>0.60053299999999998</v>
      </c>
      <c r="J434">
        <v>2.7923260000000001</v>
      </c>
      <c r="K434">
        <v>4.2731000000000003</v>
      </c>
      <c r="L434" s="6">
        <f>DATE(LEFT(TBL_TEV[[#This Row],[Data]],4),MID(TBL_TEV[[#This Row],[Data]],5,2),RIGHT(TBL_TEV[[#This Row],[Data]],2))</f>
        <v>45911</v>
      </c>
      <c r="M434" t="str" cm="1">
        <f t="array" aca="1" ref="M434" ca="1">IF(_xlfn.SINGLE(TBL_TEV[Data2])&gt;=INDIRECT("L"&amp;COUNTA(TBL_TEV[Data])+1)-365, "Ultimi 12 mesi", "Vecchi dati")</f>
        <v>Ultimi 12 mesi</v>
      </c>
    </row>
    <row r="435" spans="1:13">
      <c r="A435">
        <v>20250912</v>
      </c>
      <c r="B435">
        <v>1.6087229999999999</v>
      </c>
      <c r="C435">
        <v>0.29971100000000001</v>
      </c>
      <c r="D435">
        <v>0.78515299999999999</v>
      </c>
      <c r="E435">
        <v>2.317361</v>
      </c>
      <c r="F435">
        <v>3.2890389999999998</v>
      </c>
      <c r="G435">
        <v>2.6477089999999999</v>
      </c>
      <c r="H435">
        <f>TBL_Dati_OS[[#This Row],[Valore Volatilità]]</f>
        <v>7.2413438800442886</v>
      </c>
      <c r="I435">
        <v>0.61212100000000003</v>
      </c>
      <c r="J435">
        <v>2.8609040000000001</v>
      </c>
      <c r="K435">
        <v>4.386444</v>
      </c>
      <c r="L435" s="6">
        <f>DATE(LEFT(TBL_TEV[[#This Row],[Data]],4),MID(TBL_TEV[[#This Row],[Data]],5,2),RIGHT(TBL_TEV[[#This Row],[Data]],2))</f>
        <v>45912</v>
      </c>
      <c r="M435" t="str" cm="1">
        <f t="array" aca="1" ref="M435" ca="1">IF(_xlfn.SINGLE(TBL_TEV[Data2])&gt;=INDIRECT("L"&amp;COUNTA(TBL_TEV[Data])+1)-365, "Ultimi 12 mesi", "Vecchi dati")</f>
        <v>Ultimi 12 mesi</v>
      </c>
    </row>
    <row r="436" spans="1:13">
      <c r="A436">
        <v>20250915</v>
      </c>
      <c r="B436">
        <v>1.6218980000000001</v>
      </c>
      <c r="C436">
        <v>0.30145699999999997</v>
      </c>
      <c r="D436">
        <v>0.79547199999999996</v>
      </c>
      <c r="E436">
        <v>2.3319649999999998</v>
      </c>
      <c r="F436">
        <v>3.3217409999999998</v>
      </c>
      <c r="G436">
        <v>2.6664409999999998</v>
      </c>
      <c r="H436">
        <f>TBL_Dati_OS[[#This Row],[Valore Volatilità]]</f>
        <v>7.2851964889604837</v>
      </c>
      <c r="I436">
        <v>0.61767700000000003</v>
      </c>
      <c r="J436">
        <v>2.8918590000000002</v>
      </c>
      <c r="K436">
        <v>4.4247019999999999</v>
      </c>
      <c r="L436" s="6">
        <f>DATE(LEFT(TBL_TEV[[#This Row],[Data]],4),MID(TBL_TEV[[#This Row],[Data]],5,2),RIGHT(TBL_TEV[[#This Row],[Data]],2))</f>
        <v>45915</v>
      </c>
      <c r="M436" t="str" cm="1">
        <f t="array" aca="1" ref="M436" ca="1">IF(_xlfn.SINGLE(TBL_TEV[Data2])&gt;=INDIRECT("L"&amp;COUNTA(TBL_TEV[Data])+1)-365, "Ultimi 12 mesi", "Vecchi dati")</f>
        <v>Ultimi 12 mesi</v>
      </c>
    </row>
    <row r="437" spans="1:13">
      <c r="A437">
        <v>20250916</v>
      </c>
      <c r="B437">
        <v>1.6247560000000001</v>
      </c>
      <c r="C437">
        <v>0.30018699999999998</v>
      </c>
      <c r="D437">
        <v>0.79547199999999996</v>
      </c>
      <c r="E437">
        <v>2.3408549999999999</v>
      </c>
      <c r="F437">
        <v>3.346822</v>
      </c>
      <c r="G437">
        <v>2.668822</v>
      </c>
      <c r="H437">
        <v>7.1190853949711697</v>
      </c>
      <c r="I437">
        <v>0.61799499999999996</v>
      </c>
      <c r="J437">
        <v>2.8996379999999999</v>
      </c>
      <c r="K437">
        <v>4.4440679999999997</v>
      </c>
      <c r="L437" s="6">
        <f>DATE(LEFT(TBL_TEV[[#This Row],[Data]],4),MID(TBL_TEV[[#This Row],[Data]],5,2),RIGHT(TBL_TEV[[#This Row],[Data]],2))</f>
        <v>45916</v>
      </c>
      <c r="M437" t="str" cm="1">
        <f t="array" aca="1" ref="M437" ca="1">IF(_xlfn.SINGLE(TBL_TEV[Data2])&gt;=INDIRECT("L"&amp;COUNTA(TBL_TEV[Data])+1)-365, "Ultimi 12 mesi", "Vecchi dati")</f>
        <v>Ultimi 12 mesi</v>
      </c>
    </row>
    <row r="438" spans="1:13">
      <c r="A438">
        <v>20250917</v>
      </c>
      <c r="B438">
        <v>1.618406</v>
      </c>
      <c r="C438">
        <v>0.299234</v>
      </c>
      <c r="D438">
        <v>0.79388400000000003</v>
      </c>
      <c r="E438">
        <v>2.3345050000000001</v>
      </c>
      <c r="F438">
        <v>3.3368220000000002</v>
      </c>
      <c r="G438">
        <v>2.656123</v>
      </c>
      <c r="H438">
        <v>7.0846125233270474</v>
      </c>
      <c r="I438">
        <v>0.613232</v>
      </c>
      <c r="J438">
        <v>2.1640130000000002</v>
      </c>
      <c r="K438">
        <v>3.3338049999999999</v>
      </c>
      <c r="L438" s="44">
        <f>DATE(LEFT(TBL_TEV[[#This Row],[Data]],4),MID(TBL_TEV[[#This Row],[Data]],5,2),RIGHT(TBL_TEV[[#This Row],[Data]],2))</f>
        <v>45917</v>
      </c>
      <c r="M438" t="str" cm="1">
        <f t="array" aca="1" ref="M438" ca="1">IF(_xlfn.SINGLE(TBL_TEV[Data2])&gt;=INDIRECT("L"&amp;COUNTA(TBL_TEV[Data])+1)-365, "Ultimi 12 mesi", "Vecchi dati")</f>
        <v>Ultimi 12 mesi</v>
      </c>
    </row>
    <row r="439" spans="1:13">
      <c r="A439">
        <v>20250918</v>
      </c>
      <c r="B439">
        <v>1.6169770000000001</v>
      </c>
      <c r="C439">
        <v>0.29907600000000001</v>
      </c>
      <c r="D439">
        <v>0.79197899999999999</v>
      </c>
      <c r="E439">
        <v>2.3240280000000002</v>
      </c>
      <c r="F439">
        <v>3.3285670000000001</v>
      </c>
      <c r="G439">
        <v>2.6764420000000002</v>
      </c>
      <c r="H439">
        <v>7.3721734021592971</v>
      </c>
      <c r="I439">
        <v>0.73864099999999999</v>
      </c>
      <c r="J439">
        <v>2.1517900000000001</v>
      </c>
      <c r="K439">
        <v>3.3209469999999999</v>
      </c>
      <c r="L439" s="44">
        <f>DATE(LEFT(TBL_TEV[[#This Row],[Data]],4),MID(TBL_TEV[[#This Row],[Data]],5,2),RIGHT(TBL_TEV[[#This Row],[Data]],2))</f>
        <v>45918</v>
      </c>
      <c r="M439" t="str" cm="1">
        <f t="array" aca="1" ref="M439" ca="1">IF(_xlfn.SINGLE(TBL_TEV[Data2])&gt;=INDIRECT("L"&amp;COUNTA(TBL_TEV[Data])+1)-365, "Ultimi 12 mesi", "Vecchi dati")</f>
        <v>Ultimi 12 mesi</v>
      </c>
    </row>
    <row r="440" spans="1:13">
      <c r="A440">
        <v>20250919</v>
      </c>
      <c r="B440">
        <v>1.6399950000000001</v>
      </c>
      <c r="C440">
        <v>0.29796499999999998</v>
      </c>
      <c r="D440">
        <v>0.80166300000000001</v>
      </c>
      <c r="E440">
        <v>2.3657780000000002</v>
      </c>
      <c r="F440">
        <v>3.3861910000000002</v>
      </c>
      <c r="G440">
        <v>2.7078739999999999</v>
      </c>
      <c r="H440">
        <v>7.1091781803795042</v>
      </c>
      <c r="I440">
        <v>0.74562600000000001</v>
      </c>
      <c r="J440">
        <v>2.1554410000000002</v>
      </c>
      <c r="K440">
        <v>3.3774600000000001</v>
      </c>
      <c r="L440" s="44">
        <f>DATE(LEFT(TBL_TEV[[#This Row],[Data]],4),MID(TBL_TEV[[#This Row],[Data]],5,2),RIGHT(TBL_TEV[[#This Row],[Data]],2))</f>
        <v>45919</v>
      </c>
      <c r="M440" t="str" cm="1">
        <f t="array" aca="1" ref="M440" ca="1">IF(_xlfn.SINGLE(TBL_TEV[Data2])&gt;=INDIRECT("L"&amp;COUNTA(TBL_TEV[Data])+1)-365, "Ultimi 12 mesi", "Vecchi dati")</f>
        <v>Ultimi 12 mesi</v>
      </c>
    </row>
    <row r="441" spans="1:13">
      <c r="A441">
        <v>20250922</v>
      </c>
      <c r="B441">
        <v>1.662061</v>
      </c>
      <c r="C441">
        <v>0.296377</v>
      </c>
      <c r="D441">
        <v>0.80896500000000005</v>
      </c>
      <c r="E441">
        <v>2.3970509999999998</v>
      </c>
      <c r="F441">
        <v>3.437783</v>
      </c>
      <c r="G441">
        <v>2.8045490000000002</v>
      </c>
      <c r="H441">
        <v>7.4043341561524105</v>
      </c>
      <c r="I441">
        <v>0.74768900000000005</v>
      </c>
      <c r="J441">
        <v>2.188936</v>
      </c>
      <c r="K441">
        <v>3.424925</v>
      </c>
      <c r="L441" s="44">
        <f>DATE(LEFT(TBL_TEV[[#This Row],[Data]],4),MID(TBL_TEV[[#This Row],[Data]],5,2),RIGHT(TBL_TEV[[#This Row],[Data]],2))</f>
        <v>45922</v>
      </c>
      <c r="M441" t="str" cm="1">
        <f t="array" aca="1" ref="M441" ca="1">IF(_xlfn.SINGLE(TBL_TEV[Data2])&gt;=INDIRECT("L"&amp;COUNTA(TBL_TEV[Data])+1)-365, "Ultimi 12 mesi", "Vecchi dati")</f>
        <v>Ultimi 12 mesi</v>
      </c>
    </row>
    <row r="442" spans="1:13">
      <c r="A442">
        <v>20250923</v>
      </c>
      <c r="B442">
        <v>1.6655530000000001</v>
      </c>
      <c r="C442">
        <v>0.295742</v>
      </c>
      <c r="D442">
        <v>0.81229899999999999</v>
      </c>
      <c r="E442">
        <v>2.399432</v>
      </c>
      <c r="F442">
        <v>3.4571499999999999</v>
      </c>
      <c r="G442">
        <v>2.7539099999999999</v>
      </c>
      <c r="H442">
        <v>7.3279064687337643</v>
      </c>
      <c r="I442">
        <v>0.75054699999999996</v>
      </c>
      <c r="J442">
        <v>2.2148110000000001</v>
      </c>
      <c r="K442">
        <v>3.448102</v>
      </c>
      <c r="L442" s="44">
        <f>DATE(LEFT(TBL_TEV[[#This Row],[Data]],4),MID(TBL_TEV[[#This Row],[Data]],5,2),RIGHT(TBL_TEV[[#This Row],[Data]],2))</f>
        <v>45923</v>
      </c>
      <c r="M442" t="str" cm="1">
        <f t="array" aca="1" ref="M442" ca="1">IF(_xlfn.SINGLE(TBL_TEV[Data2])&gt;=INDIRECT("L"&amp;COUNTA(TBL_TEV[Data])+1)-365, "Ultimi 12 mesi", "Vecchi dati")</f>
        <v>Ultimi 12 mesi</v>
      </c>
    </row>
    <row r="443" spans="1:13">
      <c r="A443">
        <v>20250924</v>
      </c>
      <c r="B443">
        <v>1.6717439999999999</v>
      </c>
      <c r="C443">
        <v>0.36431999999999998</v>
      </c>
      <c r="D443">
        <v>0.81467999999999996</v>
      </c>
      <c r="E443">
        <v>2.4153060000000002</v>
      </c>
      <c r="F443">
        <v>3.478898</v>
      </c>
      <c r="G443">
        <v>2.7488299999999999</v>
      </c>
      <c r="H443">
        <v>7.2868354772161608</v>
      </c>
      <c r="I443">
        <v>0.74753099999999995</v>
      </c>
      <c r="J443">
        <v>2.211795</v>
      </c>
      <c r="K443">
        <v>3.4484189999999999</v>
      </c>
      <c r="L443" s="44">
        <f>DATE(LEFT(TBL_TEV[[#This Row],[Data]],4),MID(TBL_TEV[[#This Row],[Data]],5,2),RIGHT(TBL_TEV[[#This Row],[Data]],2))</f>
        <v>45924</v>
      </c>
      <c r="M443" t="str" cm="1">
        <f t="array" aca="1" ref="M443" ca="1">IF(_xlfn.SINGLE(TBL_TEV[Data2])&gt;=INDIRECT("L"&amp;COUNTA(TBL_TEV[Data])+1)-365, "Ultimi 12 mesi", "Vecchi dati")</f>
        <v>Ultimi 12 mesi</v>
      </c>
    </row>
    <row r="444" spans="1:13">
      <c r="A444">
        <v>20250925</v>
      </c>
      <c r="B444">
        <v>1.6796819999999999</v>
      </c>
      <c r="C444">
        <v>0.363844</v>
      </c>
      <c r="D444">
        <v>0.82420400000000005</v>
      </c>
      <c r="E444">
        <v>2.4345150000000002</v>
      </c>
      <c r="F444">
        <v>3.5054090000000002</v>
      </c>
      <c r="G444">
        <v>2.7499410000000002</v>
      </c>
      <c r="H444">
        <v>7.3921617436367564</v>
      </c>
      <c r="I444">
        <v>0.74641900000000005</v>
      </c>
      <c r="J444">
        <v>2.2148110000000001</v>
      </c>
      <c r="K444">
        <v>3.457627</v>
      </c>
      <c r="L444" s="44">
        <f>DATE(LEFT(TBL_TEV[[#This Row],[Data]],4),MID(TBL_TEV[[#This Row],[Data]],5,2),RIGHT(TBL_TEV[[#This Row],[Data]],2))</f>
        <v>45925</v>
      </c>
      <c r="M444" t="str" cm="1">
        <f t="array" aca="1" ref="M444" ca="1">IF(_xlfn.SINGLE(TBL_TEV[Data2])&gt;=INDIRECT("L"&amp;COUNTA(TBL_TEV[Data])+1)-365, "Ultimi 12 mesi", "Vecchi dati")</f>
        <v>Ultimi 12 mesi</v>
      </c>
    </row>
    <row r="445" spans="1:13">
      <c r="A445">
        <v>20250926</v>
      </c>
      <c r="B445">
        <v>1.6717439999999999</v>
      </c>
      <c r="C445">
        <v>0.36368499999999998</v>
      </c>
      <c r="D445">
        <v>0.82039499999999999</v>
      </c>
      <c r="E445">
        <v>2.4229259999999999</v>
      </c>
      <c r="F445">
        <v>3.4908039999999998</v>
      </c>
      <c r="G445">
        <v>2.7315269999999998</v>
      </c>
      <c r="H445">
        <v>7.3852579750648353</v>
      </c>
      <c r="I445">
        <v>0.749753</v>
      </c>
      <c r="J445">
        <v>2.2322730000000002</v>
      </c>
      <c r="K445">
        <v>3.4447679999999998</v>
      </c>
      <c r="L445" s="44">
        <f>DATE(LEFT(TBL_TEV[[#This Row],[Data]],4),MID(TBL_TEV[[#This Row],[Data]],5,2),RIGHT(TBL_TEV[[#This Row],[Data]],2))</f>
        <v>45926</v>
      </c>
      <c r="M445" t="str" cm="1">
        <f t="array" aca="1" ref="M445" ca="1">IF(_xlfn.SINGLE(TBL_TEV[Data2])&gt;=INDIRECT("L"&amp;COUNTA(TBL_TEV[Data])+1)-365, "Ultimi 12 mesi", "Vecchi dati")</f>
        <v>Ultimi 12 mesi</v>
      </c>
    </row>
    <row r="446" spans="1:13">
      <c r="A446">
        <v>20250929</v>
      </c>
      <c r="B446">
        <v>1.672221</v>
      </c>
      <c r="C446">
        <v>0.36114499999999999</v>
      </c>
      <c r="D446">
        <v>0.820712</v>
      </c>
      <c r="E446">
        <v>2.4191159999999998</v>
      </c>
      <c r="F446">
        <v>3.4819149999999999</v>
      </c>
      <c r="G446">
        <v>2.7221609999999998</v>
      </c>
      <c r="H446">
        <v>7.2453964246667715</v>
      </c>
      <c r="I446">
        <v>0.75149900000000003</v>
      </c>
      <c r="J446">
        <v>2.2362419999999998</v>
      </c>
      <c r="K446">
        <v>3.4546100000000002</v>
      </c>
      <c r="L446" s="44">
        <f>DATE(LEFT(TBL_TEV[[#This Row],[Data]],4),MID(TBL_TEV[[#This Row],[Data]],5,2),RIGHT(TBL_TEV[[#This Row],[Data]],2))</f>
        <v>45929</v>
      </c>
      <c r="M446" t="str" cm="1">
        <f t="array" aca="1" ref="M446" ca="1">IF(_xlfn.SINGLE(TBL_TEV[Data2])&gt;=INDIRECT("L"&amp;COUNTA(TBL_TEV[Data])+1)-365, "Ultimi 12 mesi", "Vecchi dati")</f>
        <v>Ultimi 12 mesi</v>
      </c>
    </row>
    <row r="447" spans="1:13">
      <c r="A447">
        <v>20250930</v>
      </c>
      <c r="B447">
        <v>1.6487259999999999</v>
      </c>
      <c r="C447">
        <v>0.31812499999999999</v>
      </c>
      <c r="D447">
        <v>0.781026</v>
      </c>
      <c r="E447">
        <v>2.3973680000000002</v>
      </c>
      <c r="F447">
        <v>3.4612780000000001</v>
      </c>
      <c r="G447">
        <v>2.6934279999999999</v>
      </c>
      <c r="H447">
        <v>7.367495355237736</v>
      </c>
      <c r="I447">
        <v>0.71641699999999997</v>
      </c>
      <c r="J447">
        <v>2.234337</v>
      </c>
      <c r="K447">
        <v>3.4582619999999999</v>
      </c>
      <c r="L447" s="44">
        <f>DATE(LEFT(TBL_TEV[[#This Row],[Data]],4),MID(TBL_TEV[[#This Row],[Data]],5,2),RIGHT(TBL_TEV[[#This Row],[Data]],2))</f>
        <v>45930</v>
      </c>
      <c r="M447" t="str" cm="1">
        <f t="array" aca="1" ref="M447" ca="1">IF(_xlfn.SINGLE(TBL_TEV[Data2])&gt;=INDIRECT("L"&amp;COUNTA(TBL_TEV[Data])+1)-365, "Ultimi 12 mesi", "Vecchi dati")</f>
        <v>Ultimi 12 mesi</v>
      </c>
    </row>
    <row r="448" spans="1:13">
      <c r="A448">
        <v>20251001</v>
      </c>
      <c r="B448">
        <v>1.664442</v>
      </c>
      <c r="C448">
        <v>0.31495000000000001</v>
      </c>
      <c r="D448">
        <v>0.702129</v>
      </c>
      <c r="E448">
        <v>2.4434040000000001</v>
      </c>
      <c r="F448">
        <v>3.5274740000000002</v>
      </c>
      <c r="G448">
        <v>2.6904119999999998</v>
      </c>
      <c r="H448">
        <v>7.4913872182235792</v>
      </c>
      <c r="I448">
        <v>0.71863900000000003</v>
      </c>
      <c r="J448">
        <v>2.2875169999999998</v>
      </c>
      <c r="K448">
        <v>3.5204900000000001</v>
      </c>
      <c r="L448" s="44">
        <f>DATE(LEFT(TBL_TEV[[#This Row],[Data]],4),MID(TBL_TEV[[#This Row],[Data]],5,2),RIGHT(TBL_TEV[[#This Row],[Data]],2))</f>
        <v>45931</v>
      </c>
      <c r="M448" t="str" cm="1">
        <f t="array" aca="1" ref="M448" ca="1">IF(_xlfn.SINGLE(TBL_TEV[Data2])&gt;=INDIRECT("L"&amp;COUNTA(TBL_TEV[Data])+1)-365, "Ultimi 12 mesi", "Vecchi dati")</f>
        <v>Ultimi 12 mesi</v>
      </c>
    </row>
    <row r="449" spans="1:13">
      <c r="A449">
        <v>20251002</v>
      </c>
      <c r="B449">
        <v>1.6677759999999999</v>
      </c>
      <c r="C449">
        <v>0.31352200000000002</v>
      </c>
      <c r="D449">
        <v>0.78229599999999999</v>
      </c>
      <c r="E449">
        <v>2.4522940000000002</v>
      </c>
      <c r="F449">
        <v>3.520966</v>
      </c>
      <c r="G449">
        <v>2.6908880000000002</v>
      </c>
      <c r="H449">
        <v>7.5279371744014778</v>
      </c>
      <c r="I449">
        <v>0.71546399999999999</v>
      </c>
      <c r="J449">
        <v>2.2903739999999999</v>
      </c>
      <c r="K449">
        <v>3.5022340000000001</v>
      </c>
      <c r="L449" s="44">
        <f>DATE(LEFT(TBL_TEV[[#This Row],[Data]],4),MID(TBL_TEV[[#This Row],[Data]],5,2),RIGHT(TBL_TEV[[#This Row],[Data]],2))</f>
        <v>45932</v>
      </c>
      <c r="M449" t="str" cm="1">
        <f t="array" aca="1" ref="M449" ca="1">IF(_xlfn.SINGLE(TBL_TEV[Data2])&gt;=INDIRECT("L"&amp;COUNTA(TBL_TEV[Data])+1)-365, "Ultimi 12 mesi", "Vecchi dati")</f>
        <v>Ultimi 12 mesi</v>
      </c>
    </row>
    <row r="450" spans="1:13">
      <c r="A450">
        <v>20251003</v>
      </c>
      <c r="B450">
        <v>1.6668229999999999</v>
      </c>
      <c r="C450">
        <v>0.31161699999999998</v>
      </c>
      <c r="D450">
        <v>0.78308900000000004</v>
      </c>
      <c r="E450">
        <v>2.45404</v>
      </c>
      <c r="F450">
        <v>3.5281090000000002</v>
      </c>
      <c r="G450">
        <v>2.6775530000000001</v>
      </c>
      <c r="H450">
        <v>7.6217938927470783</v>
      </c>
      <c r="I450">
        <v>0.71482900000000005</v>
      </c>
      <c r="J450">
        <v>2.294978</v>
      </c>
      <c r="K450">
        <v>3.5128699999999999</v>
      </c>
      <c r="L450" s="44">
        <f>DATE(LEFT(TBL_TEV[[#This Row],[Data]],4),MID(TBL_TEV[[#This Row],[Data]],5,2),RIGHT(TBL_TEV[[#This Row],[Data]],2))</f>
        <v>45933</v>
      </c>
      <c r="M450" t="str" cm="1">
        <f t="array" aca="1" ref="M450" ca="1">IF(_xlfn.SINGLE(TBL_TEV[Data2])&gt;=INDIRECT("L"&amp;COUNTA(TBL_TEV[Data])+1)-365, "Ultimi 12 mesi", "Vecchi dati")</f>
        <v>Ultimi 12 mesi</v>
      </c>
    </row>
    <row r="451" spans="1:13">
      <c r="A451">
        <v>20251006</v>
      </c>
      <c r="B451">
        <v>1.6768240000000001</v>
      </c>
      <c r="C451">
        <v>0.30875900000000001</v>
      </c>
      <c r="D451">
        <v>0.78499399999999997</v>
      </c>
      <c r="E451">
        <v>2.4653109999999998</v>
      </c>
      <c r="F451">
        <v>3.5463650000000002</v>
      </c>
      <c r="G451">
        <v>2.7875640000000002</v>
      </c>
      <c r="H451">
        <v>7.6026596019173898</v>
      </c>
      <c r="I451">
        <v>0.74007000000000001</v>
      </c>
      <c r="J451">
        <v>2.3097409999999998</v>
      </c>
      <c r="K451">
        <v>3.5341420000000001</v>
      </c>
      <c r="L451" s="44">
        <f>DATE(LEFT(TBL_TEV[[#This Row],[Data]],4),MID(TBL_TEV[[#This Row],[Data]],5,2),RIGHT(TBL_TEV[[#This Row],[Data]],2))</f>
        <v>45936</v>
      </c>
      <c r="M451" t="str" cm="1">
        <f t="array" aca="1" ref="M451" ca="1">IF(_xlfn.SINGLE(TBL_TEV[Data2])&gt;=INDIRECT("L"&amp;COUNTA(TBL_TEV[Data])+1)-365, "Ultimi 12 mesi", "Vecchi dati")</f>
        <v>Ultimi 12 mesi</v>
      </c>
    </row>
    <row r="452" spans="1:13">
      <c r="A452">
        <v>20251007</v>
      </c>
      <c r="B452">
        <v>1.6623779999999999</v>
      </c>
      <c r="C452">
        <v>0.30685400000000002</v>
      </c>
      <c r="D452">
        <v>0.78197799999999995</v>
      </c>
      <c r="E452">
        <v>2.4399120000000001</v>
      </c>
      <c r="F452">
        <v>3.5106470000000001</v>
      </c>
      <c r="G452">
        <v>2.7645460000000002</v>
      </c>
      <c r="H452">
        <v>7.4090597644975746</v>
      </c>
      <c r="I452">
        <v>0.73229100000000003</v>
      </c>
      <c r="J452">
        <v>2.2776740000000002</v>
      </c>
      <c r="K452">
        <v>3.4854069999999999</v>
      </c>
      <c r="L452" s="44">
        <f>DATE(LEFT(TBL_TEV[[#This Row],[Data]],4),MID(TBL_TEV[[#This Row],[Data]],5,2),RIGHT(TBL_TEV[[#This Row],[Data]],2))</f>
        <v>45937</v>
      </c>
      <c r="M452" t="str" cm="1">
        <f t="array" aca="1" ref="M452" ca="1">IF(_xlfn.SINGLE(TBL_TEV[Data2])&gt;=INDIRECT("L"&amp;COUNTA(TBL_TEV[Data])+1)-365, "Ultimi 12 mesi", "Vecchi dati")</f>
        <v>Ultimi 12 mesi</v>
      </c>
    </row>
    <row r="453" spans="1:13">
      <c r="A453">
        <v>20251008</v>
      </c>
      <c r="B453">
        <v>1.6220570000000001</v>
      </c>
      <c r="C453">
        <v>0.30875900000000001</v>
      </c>
      <c r="D453">
        <v>0.72451299999999996</v>
      </c>
      <c r="E453">
        <v>2.4410229999999999</v>
      </c>
      <c r="F453">
        <v>3.5049329999999999</v>
      </c>
      <c r="G453">
        <v>2.8326470000000001</v>
      </c>
      <c r="H453">
        <v>7.4481910293774112</v>
      </c>
      <c r="I453">
        <v>0.73165599999999997</v>
      </c>
      <c r="J453">
        <v>2.2778330000000002</v>
      </c>
      <c r="K453">
        <v>3.4820730000000002</v>
      </c>
      <c r="L453" s="44">
        <f>DATE(LEFT(TBL_TEV[[#This Row],[Data]],4),MID(TBL_TEV[[#This Row],[Data]],5,2),RIGHT(TBL_TEV[[#This Row],[Data]],2))</f>
        <v>45938</v>
      </c>
      <c r="M453" t="str" cm="1">
        <f t="array" aca="1" ref="M453" ca="1">IF(_xlfn.SINGLE(TBL_TEV[Data2])&gt;=INDIRECT("L"&amp;COUNTA(TBL_TEV[Data])+1)-365, "Ultimi 12 mesi", "Vecchi dati")</f>
        <v>Ultimi 12 mesi</v>
      </c>
    </row>
    <row r="454" spans="1:13">
      <c r="A454">
        <v>20251009</v>
      </c>
      <c r="B454">
        <v>1.618247</v>
      </c>
      <c r="C454">
        <v>0.307807</v>
      </c>
      <c r="D454">
        <v>0.72387800000000002</v>
      </c>
      <c r="E454">
        <v>2.4391180000000001</v>
      </c>
      <c r="F454">
        <v>3.497789</v>
      </c>
      <c r="G454">
        <v>2.852014</v>
      </c>
      <c r="H454">
        <v>7.5359617435572943</v>
      </c>
      <c r="I454">
        <v>0.72990999999999995</v>
      </c>
      <c r="J454">
        <v>2.2749760000000001</v>
      </c>
      <c r="K454">
        <v>3.4765169999999999</v>
      </c>
      <c r="L454" s="44">
        <f>DATE(LEFT(TBL_TEV[[#This Row],[Data]],4),MID(TBL_TEV[[#This Row],[Data]],5,2),RIGHT(TBL_TEV[[#This Row],[Data]],2))</f>
        <v>45939</v>
      </c>
      <c r="M454" t="str" cm="1">
        <f t="array" aca="1" ref="M454" ca="1">IF(_xlfn.SINGLE(TBL_TEV[Data2])&gt;=INDIRECT("L"&amp;COUNTA(TBL_TEV[Data])+1)-365, "Ultimi 12 mesi", "Vecchi dati")</f>
        <v>Ultimi 12 mesi</v>
      </c>
    </row>
    <row r="455" spans="1:13">
      <c r="A455">
        <v>20251010</v>
      </c>
      <c r="B455">
        <v>1.583958</v>
      </c>
      <c r="C455">
        <v>0.307807</v>
      </c>
      <c r="D455">
        <v>0.71482900000000005</v>
      </c>
      <c r="E455">
        <v>2.3927649999999998</v>
      </c>
      <c r="F455">
        <v>3.4528639999999999</v>
      </c>
      <c r="G455">
        <v>2.756926</v>
      </c>
      <c r="H455">
        <v>7.3342825442451698</v>
      </c>
      <c r="I455">
        <v>0.72340099999999996</v>
      </c>
      <c r="J455">
        <v>2.2327499999999998</v>
      </c>
      <c r="K455">
        <v>3.4303219999999999</v>
      </c>
      <c r="L455" s="44">
        <f>DATE(LEFT(TBL_TEV[[#This Row],[Data]],4),MID(TBL_TEV[[#This Row],[Data]],5,2),RIGHT(TBL_TEV[[#This Row],[Data]],2))</f>
        <v>45940</v>
      </c>
      <c r="M455" t="str" cm="1">
        <f t="array" aca="1" ref="M455" ca="1">IF(_xlfn.SINGLE(TBL_TEV[Data2])&gt;=INDIRECT("L"&amp;COUNTA(TBL_TEV[Data])+1)-365, "Ultimi 12 mesi", "Vecchi dati")</f>
        <v>Ultimi 12 mesi</v>
      </c>
    </row>
    <row r="456" spans="1:13">
      <c r="A456">
        <v>20251013</v>
      </c>
      <c r="B456">
        <v>1.595547</v>
      </c>
      <c r="C456">
        <v>0.30812400000000001</v>
      </c>
      <c r="D456">
        <v>0.72054399999999996</v>
      </c>
      <c r="E456">
        <v>2.4068930000000002</v>
      </c>
      <c r="F456">
        <v>3.4647700000000001</v>
      </c>
      <c r="G456">
        <v>2.8182010000000002</v>
      </c>
      <c r="H456">
        <v>7.4098222253755841</v>
      </c>
      <c r="I456">
        <v>0.72340099999999996</v>
      </c>
      <c r="J456">
        <v>2.243703</v>
      </c>
      <c r="K456">
        <v>3.4420700000000002</v>
      </c>
      <c r="L456" s="44">
        <f>DATE(LEFT(TBL_TEV[[#This Row],[Data]],4),MID(TBL_TEV[[#This Row],[Data]],5,2),RIGHT(TBL_TEV[[#This Row],[Data]],2))</f>
        <v>45943</v>
      </c>
      <c r="M456" t="str" cm="1">
        <f t="array" aca="1" ref="M456" ca="1">IF(_xlfn.SINGLE(TBL_TEV[Data2])&gt;=INDIRECT("L"&amp;COUNTA(TBL_TEV[Data])+1)-365, "Ultimi 12 mesi", "Vecchi dati")</f>
        <v>Ultimi 12 mesi</v>
      </c>
    </row>
    <row r="457" spans="1:13">
      <c r="A457">
        <v>20251014</v>
      </c>
      <c r="B457">
        <v>1.5949120000000001</v>
      </c>
      <c r="C457">
        <v>0.306695</v>
      </c>
      <c r="D457">
        <v>0.75324500000000005</v>
      </c>
      <c r="E457">
        <v>2.4111790000000002</v>
      </c>
      <c r="F457">
        <v>3.4854069999999999</v>
      </c>
      <c r="G457">
        <v>2.7434319999999999</v>
      </c>
      <c r="H457">
        <v>7.3060570895479504</v>
      </c>
      <c r="I457">
        <v>0.72133800000000003</v>
      </c>
      <c r="J457">
        <v>2.2503700000000002</v>
      </c>
      <c r="K457">
        <v>3.4571499999999999</v>
      </c>
      <c r="L457" s="44">
        <f>DATE(LEFT(TBL_TEV[[#This Row],[Data]],4),MID(TBL_TEV[[#This Row],[Data]],5,2),RIGHT(TBL_TEV[[#This Row],[Data]],2))</f>
        <v>45944</v>
      </c>
      <c r="M457" t="str" cm="1">
        <f t="array" aca="1" ref="M457" ca="1">IF(_xlfn.SINGLE(TBL_TEV[Data2])&gt;=INDIRECT("L"&amp;COUNTA(TBL_TEV[Data])+1)-365, "Ultimi 12 mesi", "Vecchi dati")</f>
        <v>Ultimi 12 mesi</v>
      </c>
    </row>
    <row r="458" spans="1:13">
      <c r="A458">
        <v>20251015</v>
      </c>
      <c r="B458">
        <v>1.6011029999999999</v>
      </c>
      <c r="C458">
        <v>0.31129899999999999</v>
      </c>
      <c r="D458">
        <v>0.76197599999999999</v>
      </c>
      <c r="E458">
        <v>2.418005</v>
      </c>
      <c r="F458">
        <v>3.4919150000000001</v>
      </c>
      <c r="G458">
        <v>2.8081999999999998</v>
      </c>
      <c r="H458">
        <v>7.235909011030019</v>
      </c>
      <c r="I458">
        <v>0.72673500000000002</v>
      </c>
      <c r="J458">
        <v>2.2632289999999999</v>
      </c>
      <c r="K458">
        <v>3.5909719999999998</v>
      </c>
      <c r="L458" s="44">
        <f>DATE(LEFT(TBL_TEV[[#This Row],[Data]],4),MID(TBL_TEV[[#This Row],[Data]],5,2),RIGHT(TBL_TEV[[#This Row],[Data]],2))</f>
        <v>45945</v>
      </c>
      <c r="M458" t="str" cm="1">
        <f t="array" aca="1" ref="M458" ca="1">IF(_xlfn.SINGLE(TBL_TEV[Data2])&gt;=INDIRECT("L"&amp;COUNTA(TBL_TEV[Data])+1)-365, "Ultimi 12 mesi", "Vecchi dati")</f>
        <v>Ultimi 12 mesi</v>
      </c>
    </row>
    <row r="459" spans="1:13">
      <c r="A459">
        <v>20251016</v>
      </c>
      <c r="B459">
        <v>1.5942769999999999</v>
      </c>
      <c r="C459">
        <v>0.31098199999999998</v>
      </c>
      <c r="D459">
        <v>0.68546099999999999</v>
      </c>
      <c r="E459">
        <v>2.45404</v>
      </c>
      <c r="F459">
        <v>3.5873210000000002</v>
      </c>
      <c r="G459">
        <v>2.8180429999999999</v>
      </c>
      <c r="H459">
        <v>7.2627647179210033</v>
      </c>
      <c r="I459">
        <v>0.73276699999999995</v>
      </c>
      <c r="J459">
        <v>2.3181539999999998</v>
      </c>
      <c r="K459">
        <v>3.6674880000000001</v>
      </c>
      <c r="L459" s="44">
        <f>DATE(LEFT(TBL_TEV[[#This Row],[Data]],4),MID(TBL_TEV[[#This Row],[Data]],5,2),RIGHT(TBL_TEV[[#This Row],[Data]],2))</f>
        <v>45946</v>
      </c>
      <c r="M459" t="str" cm="1">
        <f t="array" aca="1" ref="M459" ca="1">IF(_xlfn.SINGLE(TBL_TEV[Data2])&gt;=INDIRECT("L"&amp;COUNTA(TBL_TEV[Data])+1)-365, "Ultimi 12 mesi", "Vecchi dati")</f>
        <v>Ultimi 12 mesi</v>
      </c>
    </row>
    <row r="460" spans="1:13">
      <c r="A460">
        <v>20251017</v>
      </c>
      <c r="B460">
        <v>1.58761</v>
      </c>
      <c r="C460">
        <v>0.310664</v>
      </c>
      <c r="D460">
        <v>0.68514399999999998</v>
      </c>
      <c r="E460">
        <v>2.4343560000000002</v>
      </c>
      <c r="F460">
        <v>3.5587469999999999</v>
      </c>
      <c r="G460">
        <v>2.742639</v>
      </c>
      <c r="H460">
        <v>7.2825966427749584</v>
      </c>
      <c r="I460">
        <v>0.73324400000000001</v>
      </c>
      <c r="J460">
        <v>2.3067250000000001</v>
      </c>
      <c r="K460">
        <v>3.6452629999999999</v>
      </c>
      <c r="L460" s="44">
        <f>DATE(LEFT(TBL_TEV[[#This Row],[Data]],4),MID(TBL_TEV[[#This Row],[Data]],5,2),RIGHT(TBL_TEV[[#This Row],[Data]],2))</f>
        <v>45947</v>
      </c>
      <c r="M460" t="str" cm="1">
        <f t="array" aca="1" ref="M460" ca="1">IF(_xlfn.SINGLE(TBL_TEV[Data2])&gt;=INDIRECT("L"&amp;COUNTA(TBL_TEV[Data])+1)-365, "Ultimi 12 mesi", "Vecchi dati")</f>
        <v>Ultimi 12 mesi</v>
      </c>
    </row>
    <row r="461" spans="1:13">
      <c r="A461">
        <v>20251020</v>
      </c>
      <c r="B461">
        <v>1.592689</v>
      </c>
      <c r="C461">
        <v>0.30955300000000002</v>
      </c>
      <c r="D461">
        <v>0.68704900000000002</v>
      </c>
      <c r="E461">
        <v>2.4372129999999999</v>
      </c>
      <c r="F461">
        <v>3.5606520000000002</v>
      </c>
      <c r="G461">
        <v>2.6804109999999999</v>
      </c>
      <c r="H461">
        <v>7.387293966801538</v>
      </c>
      <c r="I461">
        <v>0.71927399999999997</v>
      </c>
      <c r="J461">
        <v>2.307042</v>
      </c>
      <c r="K461">
        <v>3.5322369999999998</v>
      </c>
      <c r="L461" s="44">
        <f>DATE(LEFT(TBL_TEV[[#This Row],[Data]],4),MID(TBL_TEV[[#This Row],[Data]],5,2),RIGHT(TBL_TEV[[#This Row],[Data]],2))</f>
        <v>45950</v>
      </c>
      <c r="M461" t="str" cm="1">
        <f t="array" aca="1" ref="M461" ca="1">IF(_xlfn.SINGLE(TBL_TEV[Data2])&gt;=INDIRECT("L"&amp;COUNTA(TBL_TEV[Data])+1)-365, "Ultimi 12 mesi", "Vecchi dati")</f>
        <v>Ultimi 12 mesi</v>
      </c>
    </row>
    <row r="462" spans="1:13">
      <c r="A462">
        <v>20251021</v>
      </c>
      <c r="B462">
        <v>1.595229</v>
      </c>
      <c r="C462">
        <v>0.30748900000000001</v>
      </c>
      <c r="D462">
        <v>0.68911199999999995</v>
      </c>
      <c r="E462">
        <v>2.441182</v>
      </c>
      <c r="F462">
        <v>3.556683</v>
      </c>
      <c r="G462">
        <v>2.6848559999999999</v>
      </c>
      <c r="H462">
        <v>7.304375227312887</v>
      </c>
      <c r="I462">
        <v>0.71879800000000005</v>
      </c>
      <c r="J462">
        <v>2.3083119999999999</v>
      </c>
      <c r="K462">
        <v>3.4971540000000001</v>
      </c>
      <c r="L462" s="44">
        <f>DATE(LEFT(TBL_TEV[[#This Row],[Data]],4),MID(TBL_TEV[[#This Row],[Data]],5,2),RIGHT(TBL_TEV[[#This Row],[Data]],2))</f>
        <v>45951</v>
      </c>
      <c r="M462" t="str" cm="1">
        <f t="array" aca="1" ref="M462" ca="1">IF(_xlfn.SINGLE(TBL_TEV[Data2])&gt;=INDIRECT("L"&amp;COUNTA(TBL_TEV[Data])+1)-365, "Ultimi 12 mesi", "Vecchi dati")</f>
        <v>Ultimi 12 mesi</v>
      </c>
    </row>
    <row r="463" spans="1:13">
      <c r="A463">
        <v>20251022</v>
      </c>
      <c r="B463">
        <v>1.5804659999999999</v>
      </c>
      <c r="C463">
        <v>0.30574299999999999</v>
      </c>
      <c r="D463">
        <v>0.685303</v>
      </c>
      <c r="E463">
        <v>2.412925</v>
      </c>
      <c r="F463">
        <v>3.5198550000000002</v>
      </c>
      <c r="G463">
        <v>2.6650119999999999</v>
      </c>
      <c r="H463">
        <v>7.2904792151755631</v>
      </c>
      <c r="I463">
        <v>0.710225</v>
      </c>
      <c r="J463">
        <v>2.2705310000000001</v>
      </c>
      <c r="K463">
        <v>3.4461970000000002</v>
      </c>
      <c r="L463" s="44">
        <f>DATE(LEFT(TBL_TEV[[#This Row],[Data]],4),MID(TBL_TEV[[#This Row],[Data]],5,2),RIGHT(TBL_TEV[[#This Row],[Data]],2))</f>
        <v>45952</v>
      </c>
      <c r="M463" t="str" cm="1">
        <f t="array" aca="1" ref="M463" ca="1">IF(_xlfn.SINGLE(TBL_TEV[Data2])&gt;=INDIRECT("L"&amp;COUNTA(TBL_TEV[Data])+1)-365, "Ultimi 12 mesi", "Vecchi dati")</f>
        <v>Ultimi 12 mesi</v>
      </c>
    </row>
    <row r="464" spans="1:13">
      <c r="A464">
        <v>20251023</v>
      </c>
      <c r="B464">
        <v>1.592848</v>
      </c>
      <c r="C464">
        <v>0.30479099999999998</v>
      </c>
      <c r="D464">
        <v>0.695303</v>
      </c>
      <c r="E464">
        <v>2.4451499999999999</v>
      </c>
      <c r="F464">
        <v>3.5571600000000001</v>
      </c>
      <c r="G464">
        <v>2.6159599999999998</v>
      </c>
      <c r="H464">
        <v>7.1972374251060147</v>
      </c>
      <c r="I464">
        <v>0.71070199999999994</v>
      </c>
      <c r="J464">
        <v>2.289898</v>
      </c>
      <c r="K464">
        <v>3.4727070000000002</v>
      </c>
      <c r="L464" s="44">
        <f>DATE(LEFT(TBL_TEV[[#This Row],[Data]],4),MID(TBL_TEV[[#This Row],[Data]],5,2),RIGHT(TBL_TEV[[#This Row],[Data]],2))</f>
        <v>45953</v>
      </c>
      <c r="M464" t="str" cm="1">
        <f t="array" aca="1" ref="M464" ca="1">IF(_xlfn.SINGLE(TBL_TEV[Data2])&gt;=INDIRECT("L"&amp;COUNTA(TBL_TEV[Data])+1)-365, "Ultimi 12 mesi", "Vecchi dati")</f>
        <v>Ultimi 12 mesi</v>
      </c>
    </row>
    <row r="465" spans="1:13">
      <c r="A465">
        <v>20251024</v>
      </c>
      <c r="B465">
        <v>1.5957060000000001</v>
      </c>
      <c r="C465">
        <v>0.30542599999999998</v>
      </c>
      <c r="D465">
        <v>0.69800200000000001</v>
      </c>
      <c r="E465">
        <v>2.4545159999999999</v>
      </c>
      <c r="F465">
        <v>3.5609700000000002</v>
      </c>
      <c r="G465">
        <v>2.6492969999999998</v>
      </c>
      <c r="H465">
        <v>7.5440216918168908</v>
      </c>
      <c r="I465">
        <v>0.71197200000000005</v>
      </c>
      <c r="J465">
        <v>2.2956129999999999</v>
      </c>
      <c r="K465">
        <v>3.4774699999999998</v>
      </c>
      <c r="L465" s="44">
        <f>DATE(LEFT(TBL_TEV[[#This Row],[Data]],4),MID(TBL_TEV[[#This Row],[Data]],5,2),RIGHT(TBL_TEV[[#This Row],[Data]],2))</f>
        <v>45954</v>
      </c>
      <c r="M465" t="str" cm="1">
        <f t="array" aca="1" ref="M465" ca="1">IF(_xlfn.SINGLE(TBL_TEV[Data2])&gt;=INDIRECT("L"&amp;COUNTA(TBL_TEV[Data])+1)-365, "Ultimi 12 mesi", "Vecchi dati")</f>
        <v>Ultimi 12 mesi</v>
      </c>
    </row>
    <row r="466" spans="1:13">
      <c r="A466">
        <v>20251027</v>
      </c>
      <c r="B466">
        <v>1.6065</v>
      </c>
      <c r="C466">
        <v>0.30415599999999998</v>
      </c>
      <c r="D466">
        <v>0.70244700000000004</v>
      </c>
      <c r="E466">
        <v>2.4657870000000002</v>
      </c>
      <c r="F466">
        <v>3.5747800000000001</v>
      </c>
      <c r="G466">
        <v>2.6775530000000001</v>
      </c>
      <c r="H466">
        <v>7.669953733798617</v>
      </c>
      <c r="I466">
        <v>0.71117799999999998</v>
      </c>
      <c r="J466">
        <v>2.3095819999999998</v>
      </c>
      <c r="K466">
        <v>3.49255</v>
      </c>
      <c r="L466" s="44">
        <f>DATE(LEFT(TBL_TEV[[#This Row],[Data]],4),MID(TBL_TEV[[#This Row],[Data]],5,2),RIGHT(TBL_TEV[[#This Row],[Data]],2))</f>
        <v>45957</v>
      </c>
      <c r="M466" t="str" cm="1">
        <f t="array" aca="1" ref="M466" ca="1">IF(_xlfn.SINGLE(TBL_TEV[Data2])&gt;=INDIRECT("L"&amp;COUNTA(TBL_TEV[Data])+1)-365, "Ultimi 12 mesi", "Vecchi dati")</f>
        <v>Ultimi 12 mesi</v>
      </c>
    </row>
    <row r="467" spans="1:13">
      <c r="A467">
        <v>20251028</v>
      </c>
      <c r="B467">
        <v>1.589356</v>
      </c>
      <c r="C467">
        <v>0.303203</v>
      </c>
      <c r="D467">
        <v>0.70260599999999995</v>
      </c>
      <c r="E467">
        <v>2.4292760000000002</v>
      </c>
      <c r="F467">
        <v>3.5562070000000001</v>
      </c>
      <c r="G467">
        <v>2.70581</v>
      </c>
      <c r="H467">
        <v>7.7118155397262704</v>
      </c>
      <c r="I467">
        <v>0.70689199999999996</v>
      </c>
      <c r="J467">
        <v>2.2981530000000001</v>
      </c>
      <c r="K467">
        <v>3.4750890000000001</v>
      </c>
      <c r="L467" s="44">
        <f>DATE(LEFT(TBL_TEV[[#This Row],[Data]],4),MID(TBL_TEV[[#This Row],[Data]],5,2),RIGHT(TBL_TEV[[#This Row],[Data]],2))</f>
        <v>45958</v>
      </c>
      <c r="M467" t="str" cm="1">
        <f t="array" aca="1" ref="M467" ca="1">IF(_xlfn.SINGLE(TBL_TEV[Data2])&gt;=INDIRECT("L"&amp;COUNTA(TBL_TEV[Data])+1)-365, "Ultimi 12 mesi", "Vecchi dati")</f>
        <v>Ultimi 12 mesi</v>
      </c>
    </row>
    <row r="468" spans="1:13">
      <c r="A468">
        <v>20251029</v>
      </c>
      <c r="B468">
        <v>1.5984039999999999</v>
      </c>
      <c r="C468">
        <v>0.30177399999999999</v>
      </c>
      <c r="D468">
        <v>0.706098</v>
      </c>
      <c r="E468">
        <v>2.486583</v>
      </c>
      <c r="F468">
        <v>3.644628</v>
      </c>
      <c r="G468">
        <v>2.8367749999999998</v>
      </c>
      <c r="H468">
        <v>7.5063141287664159</v>
      </c>
      <c r="I468">
        <v>0.70927300000000004</v>
      </c>
      <c r="J468">
        <v>2.3456169999999998</v>
      </c>
      <c r="K468">
        <v>3.5554139999999999</v>
      </c>
      <c r="L468" s="44">
        <f>DATE(LEFT(TBL_TEV[[#This Row],[Data]],4),MID(TBL_TEV[[#This Row],[Data]],5,2),RIGHT(TBL_TEV[[#This Row],[Data]],2))</f>
        <v>45959</v>
      </c>
      <c r="M468" t="str" cm="1">
        <f t="array" aca="1" ref="M468" ca="1">IF(_xlfn.SINGLE(TBL_TEV[Data2])&gt;=INDIRECT("L"&amp;COUNTA(TBL_TEV[Data])+1)-365, "Ultimi 12 mesi", "Vecchi dati")</f>
        <v>Ultimi 12 mesi</v>
      </c>
    </row>
    <row r="469" spans="1:13">
      <c r="A469">
        <v>20251030</v>
      </c>
      <c r="B469">
        <v>1.6428529999999999</v>
      </c>
      <c r="C469">
        <v>0.30082199999999998</v>
      </c>
      <c r="D469">
        <v>0.81293400000000005</v>
      </c>
      <c r="E469">
        <v>2.4683269999999999</v>
      </c>
      <c r="F469">
        <v>3.6068470000000001</v>
      </c>
      <c r="G469">
        <v>2.8077239999999999</v>
      </c>
      <c r="H469">
        <v>7.4112472430800924</v>
      </c>
      <c r="I469">
        <v>0.703241</v>
      </c>
      <c r="J469">
        <v>2.3245040000000001</v>
      </c>
      <c r="K469">
        <v>3.5185849999999999</v>
      </c>
      <c r="L469" s="44">
        <f>DATE(LEFT(TBL_TEV[[#This Row],[Data]],4),MID(TBL_TEV[[#This Row],[Data]],5,2),RIGHT(TBL_TEV[[#This Row],[Data]],2))</f>
        <v>45960</v>
      </c>
      <c r="M469" t="str" cm="1">
        <f t="array" aca="1" ref="M469" ca="1">IF(_xlfn.SINGLE(TBL_TEV[Data2])&gt;=INDIRECT("L"&amp;COUNTA(TBL_TEV[Data])+1)-365, "Ultimi 12 mesi", "Vecchi dati")</f>
        <v>Ultimi 12 mesi</v>
      </c>
    </row>
    <row r="470" spans="1:13">
      <c r="A470">
        <v>20251031</v>
      </c>
      <c r="B470">
        <v>1.6220570000000001</v>
      </c>
      <c r="C470">
        <v>0.26986700000000002</v>
      </c>
      <c r="D470">
        <v>0.78705800000000004</v>
      </c>
      <c r="E470">
        <v>2.4391180000000001</v>
      </c>
      <c r="F470">
        <v>3.5727169999999999</v>
      </c>
      <c r="G470">
        <v>2.7881990000000001</v>
      </c>
      <c r="H470">
        <v>7.5359521020168021</v>
      </c>
      <c r="I470">
        <v>0.68784199999999995</v>
      </c>
      <c r="J470">
        <v>2.3333940000000002</v>
      </c>
      <c r="K470">
        <v>3.5362049999999998</v>
      </c>
      <c r="L470" s="44">
        <f>DATE(LEFT(TBL_TEV[[#This Row],[Data]],4),MID(TBL_TEV[[#This Row],[Data]],5,2),RIGHT(TBL_TEV[[#This Row],[Data]],2))</f>
        <v>45961</v>
      </c>
      <c r="M470" t="str" cm="1">
        <f t="array" aca="1" ref="M470" ca="1">IF(_xlfn.SINGLE(TBL_TEV[Data2])&gt;=INDIRECT("L"&amp;COUNTA(TBL_TEV[Data])+1)-365, "Ultimi 12 mesi", "Vecchi dati")</f>
        <v>Ultimi 12 mesi</v>
      </c>
    </row>
    <row r="471" spans="1:13">
      <c r="A471">
        <v>20251103</v>
      </c>
      <c r="B471">
        <v>1.6152310000000001</v>
      </c>
      <c r="C471">
        <v>0.265739</v>
      </c>
      <c r="D471">
        <v>0.78166100000000005</v>
      </c>
      <c r="E471">
        <v>2.4329269999999998</v>
      </c>
      <c r="F471">
        <v>3.56351</v>
      </c>
      <c r="G471">
        <v>2.8377270000000001</v>
      </c>
      <c r="H471">
        <v>7.5459071693320814</v>
      </c>
      <c r="I471">
        <v>0.67942899999999995</v>
      </c>
      <c r="J471">
        <v>2.302915</v>
      </c>
      <c r="K471">
        <v>3.4852479999999999</v>
      </c>
      <c r="L471" s="44">
        <f>DATE(LEFT(TBL_TEV[[#This Row],[Data]],4),MID(TBL_TEV[[#This Row],[Data]],5,2),RIGHT(TBL_TEV[[#This Row],[Data]],2))</f>
        <v>45964</v>
      </c>
      <c r="M471" t="str" cm="1">
        <f t="array" aca="1" ref="M471" ca="1">IF(_xlfn.SINGLE(TBL_TEV[Data2])&gt;=INDIRECT("L"&amp;COUNTA(TBL_TEV[Data])+1)-365, "Ultimi 12 mesi", "Vecchi dati")</f>
        <v>Ultimi 12 mesi</v>
      </c>
    </row>
    <row r="472" spans="1:13">
      <c r="A472">
        <v>20251104</v>
      </c>
      <c r="B472">
        <v>1.5984039999999999</v>
      </c>
      <c r="C472">
        <v>0.26446900000000001</v>
      </c>
      <c r="D472">
        <v>0.77785099999999996</v>
      </c>
      <c r="E472">
        <v>2.4057819999999999</v>
      </c>
      <c r="F472">
        <v>3.5254110000000001</v>
      </c>
      <c r="G472">
        <v>2.7959770000000002</v>
      </c>
      <c r="H472">
        <v>7.3724681882319798</v>
      </c>
      <c r="I472">
        <v>0.67276199999999997</v>
      </c>
      <c r="J472">
        <v>2.2644989999999998</v>
      </c>
      <c r="K472">
        <v>3.3857149999999998</v>
      </c>
      <c r="L472" s="44">
        <f>DATE(LEFT(TBL_TEV[[#This Row],[Data]],4),MID(TBL_TEV[[#This Row],[Data]],5,2),RIGHT(TBL_TEV[[#This Row],[Data]],2))</f>
        <v>45965</v>
      </c>
      <c r="M472" t="str" cm="1">
        <f t="array" aca="1" ref="M472" ca="1">IF(_xlfn.SINGLE(TBL_TEV[Data2])&gt;=INDIRECT("L"&amp;COUNTA(TBL_TEV[Data])+1)-365, "Ultimi 12 mesi", "Vecchi dati")</f>
        <v>Ultimi 12 mesi</v>
      </c>
    </row>
    <row r="473" spans="1:13">
      <c r="A473">
        <v>20251105</v>
      </c>
      <c r="B473">
        <v>1.608088</v>
      </c>
      <c r="C473">
        <v>0.26256400000000002</v>
      </c>
      <c r="D473">
        <v>0.76404000000000005</v>
      </c>
      <c r="E473">
        <v>2.4340380000000001</v>
      </c>
      <c r="F473">
        <v>3.5590649999999999</v>
      </c>
      <c r="G473">
        <v>2.7945479999999998</v>
      </c>
      <c r="H473">
        <v>7.1796115289589615</v>
      </c>
      <c r="I473">
        <v>0.67355500000000001</v>
      </c>
      <c r="J473">
        <v>2.2716419999999999</v>
      </c>
      <c r="K473">
        <v>3.5558900000000002</v>
      </c>
      <c r="L473" s="44">
        <f>DATE(LEFT(TBL_TEV[[#This Row],[Data]],4),MID(TBL_TEV[[#This Row],[Data]],5,2),RIGHT(TBL_TEV[[#This Row],[Data]],2))</f>
        <v>45966</v>
      </c>
      <c r="M473" t="str" cm="1">
        <f t="array" aca="1" ref="M473" ca="1">IF(_xlfn.SINGLE(TBL_TEV[Data2])&gt;=INDIRECT("L"&amp;COUNTA(TBL_TEV[Data])+1)-365, "Ultimi 12 mesi", "Vecchi dati")</f>
        <v>Ultimi 12 mesi</v>
      </c>
    </row>
    <row r="474" spans="1:13">
      <c r="A474">
        <v>20251106</v>
      </c>
      <c r="B474">
        <v>1.605389</v>
      </c>
      <c r="C474">
        <v>0.26113599999999998</v>
      </c>
      <c r="D474">
        <v>0.80086900000000005</v>
      </c>
      <c r="E474">
        <v>2.42245</v>
      </c>
      <c r="F474">
        <v>3.5169969999999999</v>
      </c>
      <c r="G474">
        <v>2.7442259999999998</v>
      </c>
      <c r="H474">
        <v>7.01312907666986</v>
      </c>
      <c r="I474">
        <v>0.67990499999999998</v>
      </c>
      <c r="J474">
        <v>2.2732299999999999</v>
      </c>
      <c r="K474">
        <v>3.5006460000000001</v>
      </c>
      <c r="L474" s="44">
        <f>DATE(LEFT(TBL_TEV[[#This Row],[Data]],4),MID(TBL_TEV[[#This Row],[Data]],5,2),RIGHT(TBL_TEV[[#This Row],[Data]],2))</f>
        <v>45967</v>
      </c>
      <c r="M474" t="str" cm="1">
        <f t="array" aca="1" ref="M474" ca="1">IF(_xlfn.SINGLE(TBL_TEV[Data2])&gt;=INDIRECT("L"&amp;COUNTA(TBL_TEV[Data])+1)-365, "Ultimi 12 mesi", "Vecchi dati")</f>
        <v>Ultimi 12 mesi</v>
      </c>
    </row>
    <row r="475" spans="1:13">
      <c r="A475">
        <v>20251107</v>
      </c>
      <c r="B475">
        <v>1.5914189999999999</v>
      </c>
      <c r="C475">
        <v>0.260183</v>
      </c>
      <c r="D475">
        <v>0.79817000000000005</v>
      </c>
      <c r="E475">
        <v>2.3968919999999998</v>
      </c>
      <c r="F475">
        <v>3.4811209999999999</v>
      </c>
      <c r="G475">
        <v>2.7262879999999998</v>
      </c>
      <c r="H475">
        <v>7.1925894604388407</v>
      </c>
      <c r="I475">
        <v>0.67307899999999998</v>
      </c>
      <c r="J475">
        <v>2.2446549999999998</v>
      </c>
      <c r="K475">
        <v>3.4555630000000002</v>
      </c>
      <c r="L475" s="44">
        <f>DATE(LEFT(TBL_TEV[[#This Row],[Data]],4),MID(TBL_TEV[[#This Row],[Data]],5,2),RIGHT(TBL_TEV[[#This Row],[Data]],2))</f>
        <v>45968</v>
      </c>
      <c r="M475" t="str" cm="1">
        <f t="array" aca="1" ref="M475" ca="1">IF(_xlfn.SINGLE(TBL_TEV[Data2])&gt;=INDIRECT("L"&amp;COUNTA(TBL_TEV[Data])+1)-365, "Ultimi 12 mesi", "Vecchi dati")</f>
        <v>Ultimi 12 mesi</v>
      </c>
    </row>
    <row r="476" spans="1:13">
      <c r="A476">
        <v>20251110</v>
      </c>
      <c r="B476">
        <v>1.5939589999999999</v>
      </c>
      <c r="C476">
        <v>0.25843699999999997</v>
      </c>
      <c r="D476">
        <v>0.79817000000000005</v>
      </c>
      <c r="E476">
        <v>2.399591</v>
      </c>
      <c r="F476">
        <v>3.48001</v>
      </c>
      <c r="G476">
        <v>2.8104230000000001</v>
      </c>
      <c r="H476">
        <v>6.9820911669303776</v>
      </c>
      <c r="I476">
        <v>0.67180899999999999</v>
      </c>
      <c r="J476">
        <v>2.2544979999999999</v>
      </c>
      <c r="K476">
        <v>3.452388</v>
      </c>
      <c r="L476" s="44">
        <f>DATE(LEFT(TBL_TEV[[#This Row],[Data]],4),MID(TBL_TEV[[#This Row],[Data]],5,2),RIGHT(TBL_TEV[[#This Row],[Data]],2))</f>
        <v>45971</v>
      </c>
      <c r="M476" t="str" cm="1">
        <f t="array" aca="1" ref="M476" ca="1">IF(_xlfn.SINGLE(TBL_TEV[Data2])&gt;=INDIRECT("L"&amp;COUNTA(TBL_TEV[Data])+1)-365, "Ultimi 12 mesi", "Vecchi dati")</f>
        <v>Ultimi 12 mesi</v>
      </c>
    </row>
    <row r="477" spans="1:13">
      <c r="A477">
        <v>20251111</v>
      </c>
      <c r="B477">
        <v>1.5904670000000001</v>
      </c>
      <c r="C477">
        <v>0.25700800000000001</v>
      </c>
      <c r="D477">
        <v>0.79578899999999997</v>
      </c>
      <c r="E477">
        <v>2.4024480000000001</v>
      </c>
      <c r="F477">
        <v>3.484931</v>
      </c>
      <c r="G477">
        <v>2.8048670000000002</v>
      </c>
      <c r="H477">
        <v>7.1578832430833623</v>
      </c>
      <c r="I477">
        <v>0.66990400000000005</v>
      </c>
      <c r="J477">
        <v>2.2517990000000001</v>
      </c>
      <c r="K477">
        <v>3.4452440000000002</v>
      </c>
      <c r="L477" s="44">
        <f>DATE(LEFT(TBL_TEV[[#This Row],[Data]],4),MID(TBL_TEV[[#This Row],[Data]],5,2),RIGHT(TBL_TEV[[#This Row],[Data]],2))</f>
        <v>45972</v>
      </c>
      <c r="M477" t="str" cm="1">
        <f t="array" aca="1" ref="M477" ca="1">IF(_xlfn.SINGLE(TBL_TEV[Data2])&gt;=INDIRECT("L"&amp;COUNTA(TBL_TEV[Data])+1)-365, "Ultimi 12 mesi", "Vecchi dati")</f>
        <v>Ultimi 12 mesi</v>
      </c>
    </row>
    <row r="478" spans="1:13">
      <c r="A478">
        <v>20251112</v>
      </c>
      <c r="B478">
        <v>1.5906260000000001</v>
      </c>
      <c r="C478">
        <v>0.25494499999999998</v>
      </c>
      <c r="D478">
        <v>0.79928100000000002</v>
      </c>
      <c r="E478">
        <v>2.3989560000000001</v>
      </c>
      <c r="F478">
        <v>3.4742950000000001</v>
      </c>
      <c r="G478">
        <v>2.8489979999999999</v>
      </c>
      <c r="H478">
        <v>7.1465678491537705</v>
      </c>
      <c r="I478">
        <v>0.67037999999999998</v>
      </c>
      <c r="J478">
        <v>2.243703</v>
      </c>
      <c r="K478">
        <v>3.4330210000000001</v>
      </c>
      <c r="L478" s="44">
        <f>DATE(LEFT(TBL_TEV[[#This Row],[Data]],4),MID(TBL_TEV[[#This Row],[Data]],5,2),RIGHT(TBL_TEV[[#This Row],[Data]],2))</f>
        <v>45973</v>
      </c>
      <c r="M478" t="str" cm="1">
        <f t="array" aca="1" ref="M478" ca="1">IF(_xlfn.SINGLE(TBL_TEV[Data2])&gt;=INDIRECT("L"&amp;COUNTA(TBL_TEV[Data])+1)-365, "Ultimi 12 mesi", "Vecchi dati")</f>
        <v>Ultimi 12 mesi</v>
      </c>
    </row>
    <row r="479" spans="1:13">
      <c r="A479">
        <v>20251113</v>
      </c>
      <c r="B479">
        <v>1.602055</v>
      </c>
      <c r="C479">
        <v>0.25478600000000001</v>
      </c>
      <c r="D479">
        <v>0.85277899999999995</v>
      </c>
      <c r="E479">
        <v>2.3938760000000001</v>
      </c>
      <c r="F479">
        <v>3.4792160000000001</v>
      </c>
      <c r="G479">
        <v>2.7899449999999999</v>
      </c>
      <c r="H479">
        <v>7.1103370734217464</v>
      </c>
      <c r="I479">
        <v>0.663713</v>
      </c>
      <c r="J479">
        <v>2.2460840000000002</v>
      </c>
      <c r="K479">
        <v>3.4403229999999998</v>
      </c>
      <c r="L479" s="44">
        <f>DATE(LEFT(TBL_TEV[[#This Row],[Data]],4),MID(TBL_TEV[[#This Row],[Data]],5,2),RIGHT(TBL_TEV[[#This Row],[Data]],2))</f>
        <v>45974</v>
      </c>
      <c r="M479" t="str" cm="1">
        <f t="array" aca="1" ref="M479" ca="1">IF(_xlfn.SINGLE(TBL_TEV[Data2])&gt;=INDIRECT("L"&amp;COUNTA(TBL_TEV[Data])+1)-365, "Ultimi 12 mesi", "Vecchi dati")</f>
        <v>Ultimi 12 mesi</v>
      </c>
    </row>
    <row r="480" spans="1:13">
      <c r="A480">
        <v>20251114</v>
      </c>
      <c r="B480">
        <v>1.6042780000000001</v>
      </c>
      <c r="C480">
        <v>0.25319799999999998</v>
      </c>
      <c r="D480">
        <v>0.85277899999999995</v>
      </c>
      <c r="E480">
        <v>2.3892720000000001</v>
      </c>
      <c r="F480">
        <v>3.470485</v>
      </c>
      <c r="G480">
        <v>2.8101050000000001</v>
      </c>
      <c r="H480">
        <v>6.9611473161581188</v>
      </c>
      <c r="I480">
        <v>0.660856</v>
      </c>
      <c r="J480">
        <v>2.2356069999999999</v>
      </c>
      <c r="K480">
        <v>3.4090509999999998</v>
      </c>
      <c r="L480" s="44">
        <f>DATE(LEFT(TBL_TEV[[#This Row],[Data]],4),MID(TBL_TEV[[#This Row],[Data]],5,2),RIGHT(TBL_TEV[[#This Row],[Data]],2))</f>
        <v>45975</v>
      </c>
      <c r="M480" t="str" cm="1">
        <f t="array" aca="1" ref="M480" ca="1">IF(_xlfn.SINGLE(TBL_TEV[Data2])&gt;=INDIRECT("L"&amp;COUNTA(TBL_TEV[Data])+1)-365, "Ultimi 12 mesi", "Vecchi dati")</f>
        <v>Ultimi 12 mesi</v>
      </c>
    </row>
    <row r="481" spans="1:13">
      <c r="A481">
        <v>20251117</v>
      </c>
      <c r="B481">
        <v>1.603008</v>
      </c>
      <c r="C481">
        <v>0.25208700000000001</v>
      </c>
      <c r="D481">
        <v>0.85023899999999997</v>
      </c>
      <c r="E481">
        <v>2.381176</v>
      </c>
      <c r="F481">
        <v>3.4606430000000001</v>
      </c>
      <c r="G481">
        <v>2.7875640000000002</v>
      </c>
      <c r="H481">
        <v>7.1215406662151031</v>
      </c>
      <c r="I481">
        <v>0.65974500000000003</v>
      </c>
      <c r="J481">
        <v>2.225765</v>
      </c>
      <c r="K481">
        <v>3.396827</v>
      </c>
      <c r="L481" s="44">
        <f>DATE(LEFT(TBL_TEV[[#This Row],[Data]],4),MID(TBL_TEV[[#This Row],[Data]],5,2),RIGHT(TBL_TEV[[#This Row],[Data]],2))</f>
        <v>45978</v>
      </c>
      <c r="M481" t="str" cm="1">
        <f t="array" aca="1" ref="M481" ca="1">IF(_xlfn.SINGLE(TBL_TEV[Data2])&gt;=INDIRECT("L"&amp;COUNTA(TBL_TEV[Data])+1)-365, "Ultimi 12 mesi", "Vecchi dati")</f>
        <v>Ultimi 12 mesi</v>
      </c>
    </row>
    <row r="482" spans="1:13">
      <c r="A482">
        <v>20251118</v>
      </c>
      <c r="B482">
        <v>1.5874509999999999</v>
      </c>
      <c r="C482">
        <v>0.25065799999999999</v>
      </c>
      <c r="D482">
        <v>0.82880799999999999</v>
      </c>
      <c r="E482">
        <v>2.3430770000000001</v>
      </c>
      <c r="F482">
        <v>3.3982559999999999</v>
      </c>
      <c r="G482">
        <v>2.7313679999999998</v>
      </c>
      <c r="H482">
        <v>7.0049299878185867</v>
      </c>
      <c r="I482">
        <v>0.65387099999999998</v>
      </c>
      <c r="J482">
        <v>2.1956030000000002</v>
      </c>
      <c r="K482">
        <v>3.3449179999999998</v>
      </c>
      <c r="L482" s="44">
        <f>DATE(LEFT(TBL_TEV[[#This Row],[Data]],4),MID(TBL_TEV[[#This Row],[Data]],5,2),RIGHT(TBL_TEV[[#This Row],[Data]],2))</f>
        <v>45979</v>
      </c>
      <c r="M482" t="str" cm="1">
        <f t="array" aca="1" ref="M482" ca="1">IF(_xlfn.SINGLE(TBL_TEV[Data2])&gt;=INDIRECT("L"&amp;COUNTA(TBL_TEV[Data])+1)-365, "Ultimi 12 mesi", "Vecchi dati")</f>
        <v>Ultimi 12 mesi</v>
      </c>
    </row>
    <row r="483" spans="1:13">
      <c r="A483">
        <v>20251119</v>
      </c>
      <c r="B483">
        <v>1.5845929999999999</v>
      </c>
      <c r="C483">
        <v>0.25034099999999998</v>
      </c>
      <c r="D483">
        <v>0.82737899999999998</v>
      </c>
      <c r="E483">
        <v>2.339267</v>
      </c>
      <c r="F483">
        <v>3.3909539999999998</v>
      </c>
      <c r="G483">
        <v>2.7448610000000002</v>
      </c>
      <c r="H483">
        <v>6.9388808435440161</v>
      </c>
      <c r="I483">
        <v>0.65069600000000005</v>
      </c>
      <c r="J483">
        <v>2.1936979999999999</v>
      </c>
      <c r="K483">
        <v>3.3401550000000002</v>
      </c>
      <c r="L483" s="44">
        <f>DATE(LEFT(TBL_TEV[[#This Row],[Data]],4),MID(TBL_TEV[[#This Row],[Data]],5,2),RIGHT(TBL_TEV[[#This Row],[Data]],2))</f>
        <v>45980</v>
      </c>
      <c r="M483" t="str" cm="1">
        <f t="array" aca="1" ref="M483" ca="1">IF(_xlfn.SINGLE(TBL_TEV[Data2])&gt;=INDIRECT("L"&amp;COUNTA(TBL_TEV[Data])+1)-365, "Ultimi 12 mesi", "Vecchi dati")</f>
        <v>Ultimi 12 mesi</v>
      </c>
    </row>
    <row r="484" spans="1:13">
      <c r="A484">
        <v>20251120</v>
      </c>
      <c r="B484">
        <v>1.6519010000000001</v>
      </c>
      <c r="C484">
        <v>0.249389</v>
      </c>
      <c r="D484">
        <v>0.96056600000000003</v>
      </c>
      <c r="E484">
        <v>2.3246630000000001</v>
      </c>
      <c r="F484">
        <v>3.369364</v>
      </c>
      <c r="G484">
        <v>2.7088260000000002</v>
      </c>
      <c r="H484">
        <v>7.0150913743471968</v>
      </c>
      <c r="I484">
        <v>0.64958499999999997</v>
      </c>
      <c r="J484">
        <v>2.1830620000000001</v>
      </c>
      <c r="K484">
        <v>3.3187250000000001</v>
      </c>
      <c r="L484" s="44">
        <f>DATE(LEFT(TBL_TEV[[#This Row],[Data]],4),MID(TBL_TEV[[#This Row],[Data]],5,2),RIGHT(TBL_TEV[[#This Row],[Data]],2))</f>
        <v>45981</v>
      </c>
      <c r="M484" t="str" cm="1">
        <f t="array" aca="1" ref="M484" ca="1">IF(_xlfn.SINGLE(TBL_TEV[Data2])&gt;=INDIRECT("L"&amp;COUNTA(TBL_TEV[Data])+1)-365, "Ultimi 12 mesi", "Vecchi dati")</f>
        <v>Ultimi 12 mesi</v>
      </c>
    </row>
    <row r="485" spans="1:13">
      <c r="A485">
        <v>20251121</v>
      </c>
      <c r="B485">
        <v>1.5838000000000001</v>
      </c>
      <c r="C485">
        <v>0.24780099999999999</v>
      </c>
      <c r="D485">
        <v>0.79356700000000002</v>
      </c>
      <c r="E485">
        <v>2.3289490000000002</v>
      </c>
      <c r="F485">
        <v>3.401907</v>
      </c>
      <c r="G485">
        <v>2.733114</v>
      </c>
      <c r="H485">
        <v>7.3767327670180478</v>
      </c>
      <c r="I485">
        <v>0.64704499999999998</v>
      </c>
      <c r="J485">
        <v>2.1824270000000001</v>
      </c>
      <c r="K485">
        <v>3.355553</v>
      </c>
      <c r="L485" s="44">
        <f>DATE(LEFT(TBL_TEV[[#This Row],[Data]],4),MID(TBL_TEV[[#This Row],[Data]],5,2),RIGHT(TBL_TEV[[#This Row],[Data]],2))</f>
        <v>45982</v>
      </c>
      <c r="M485" t="str" cm="1">
        <f t="array" aca="1" ref="M485" ca="1">IF(_xlfn.SINGLE(TBL_TEV[Data2])&gt;=INDIRECT("L"&amp;COUNTA(TBL_TEV[Data])+1)-365, "Ultimi 12 mesi", "Vecchi dati")</f>
        <v>Ultimi 12 mesi</v>
      </c>
    </row>
    <row r="486" spans="1:13">
      <c r="A486">
        <v>20251124</v>
      </c>
      <c r="B486">
        <v>1.664601</v>
      </c>
      <c r="C486">
        <v>0.24748400000000001</v>
      </c>
      <c r="D486">
        <v>0.84753999999999996</v>
      </c>
      <c r="E486">
        <v>2.4070520000000002</v>
      </c>
      <c r="F486">
        <v>3.5262039999999999</v>
      </c>
      <c r="G486">
        <v>2.8121689999999999</v>
      </c>
      <c r="H486">
        <v>7.5093494459848973</v>
      </c>
      <c r="I486">
        <v>0.66196699999999997</v>
      </c>
      <c r="J486">
        <v>2.3270439999999999</v>
      </c>
      <c r="K486">
        <v>3.4784220000000001</v>
      </c>
      <c r="L486" s="44">
        <f>DATE(LEFT(TBL_TEV[[#This Row],[Data]],4),MID(TBL_TEV[[#This Row],[Data]],5,2),RIGHT(TBL_TEV[[#This Row],[Data]],2))</f>
        <v>45985</v>
      </c>
      <c r="M486" t="str" cm="1">
        <f t="array" aca="1" ref="M486" ca="1">IF(_xlfn.SINGLE(TBL_TEV[Data2])&gt;=INDIRECT("L"&amp;COUNTA(TBL_TEV[Data])+1)-365, "Ultimi 12 mesi", "Vecchi dati")</f>
        <v>Ultimi 12 mesi</v>
      </c>
    </row>
    <row r="487" spans="1:13">
      <c r="A487">
        <v>20251125</v>
      </c>
      <c r="B487">
        <v>1.641265</v>
      </c>
      <c r="C487">
        <v>0.24780099999999999</v>
      </c>
      <c r="D487">
        <v>0.86611300000000002</v>
      </c>
      <c r="E487">
        <v>2.5831</v>
      </c>
      <c r="F487">
        <v>3.799722</v>
      </c>
      <c r="G487">
        <v>2.8977330000000001</v>
      </c>
      <c r="H487">
        <v>7.5377455636904198</v>
      </c>
      <c r="I487">
        <v>0.66561800000000004</v>
      </c>
      <c r="J487">
        <v>2.5248400000000002</v>
      </c>
      <c r="K487">
        <v>3.7697189999999998</v>
      </c>
      <c r="L487" s="44">
        <f>DATE(LEFT(TBL_TEV[[#This Row],[Data]],4),MID(TBL_TEV[[#This Row],[Data]],5,2),RIGHT(TBL_TEV[[#This Row],[Data]],2))</f>
        <v>45986</v>
      </c>
      <c r="M487" t="str" cm="1">
        <f t="array" aca="1" ref="M487" ca="1">IF(_xlfn.SINGLE(TBL_TEV[Data2])&gt;=INDIRECT("L"&amp;COUNTA(TBL_TEV[Data])+1)-365, "Ultimi 12 mesi", "Vecchi dati")</f>
        <v>Ultimi 12 mesi</v>
      </c>
    </row>
    <row r="488" spans="1:13">
      <c r="A488">
        <v>20251126</v>
      </c>
      <c r="B488">
        <v>1.6374550000000001</v>
      </c>
      <c r="C488">
        <v>0.24684900000000001</v>
      </c>
      <c r="D488">
        <v>0.86563699999999999</v>
      </c>
      <c r="E488">
        <v>2.5853220000000001</v>
      </c>
      <c r="F488">
        <v>3.7976589999999999</v>
      </c>
      <c r="G488">
        <v>2.8997959999999998</v>
      </c>
      <c r="H488">
        <v>7.3719087753384986</v>
      </c>
      <c r="I488">
        <v>0.66276100000000004</v>
      </c>
      <c r="J488">
        <v>2.5254750000000001</v>
      </c>
      <c r="K488">
        <v>3.7762280000000001</v>
      </c>
      <c r="L488" s="44">
        <f>DATE(LEFT(TBL_TEV[[#This Row],[Data]],4),MID(TBL_TEV[[#This Row],[Data]],5,2),RIGHT(TBL_TEV[[#This Row],[Data]],2))</f>
        <v>45987</v>
      </c>
      <c r="M488" t="str" cm="1">
        <f t="array" aca="1" ref="M488" ca="1">IF(_xlfn.SINGLE(TBL_TEV[Data2])&gt;=INDIRECT("L"&amp;COUNTA(TBL_TEV[Data])+1)-365, "Ultimi 12 mesi", "Vecchi dati")</f>
        <v>Ultimi 12 mesi</v>
      </c>
    </row>
    <row r="489" spans="1:13">
      <c r="A489">
        <v>20251127</v>
      </c>
      <c r="B489">
        <v>1.6434880000000001</v>
      </c>
      <c r="C489">
        <v>0.24573700000000001</v>
      </c>
      <c r="D489">
        <v>0.87754299999999996</v>
      </c>
      <c r="E489">
        <v>2.5775440000000001</v>
      </c>
      <c r="F489">
        <v>3.7838479999999999</v>
      </c>
      <c r="G489">
        <v>2.8910650000000002</v>
      </c>
      <c r="H489">
        <v>7.3608076188302061</v>
      </c>
      <c r="I489">
        <v>0.66037999999999997</v>
      </c>
      <c r="J489">
        <v>2.5162680000000002</v>
      </c>
      <c r="K489">
        <v>3.7621000000000002</v>
      </c>
      <c r="L489" s="44">
        <f>DATE(LEFT(TBL_TEV[[#This Row],[Data]],4),MID(TBL_TEV[[#This Row],[Data]],5,2),RIGHT(TBL_TEV[[#This Row],[Data]],2))</f>
        <v>45988</v>
      </c>
      <c r="M489" t="str" cm="1">
        <f t="array" aca="1" ref="M489" ca="1">IF(_xlfn.SINGLE(TBL_TEV[Data2])&gt;=INDIRECT("L"&amp;COUNTA(TBL_TEV[Data])+1)-365, "Ultimi 12 mesi", "Vecchi dati")</f>
        <v>Ultimi 12 mesi</v>
      </c>
    </row>
    <row r="490" spans="1:13">
      <c r="A490">
        <v>20251128</v>
      </c>
      <c r="B490">
        <v>1.638884</v>
      </c>
      <c r="C490">
        <v>0.21351200000000001</v>
      </c>
      <c r="D490">
        <v>0.86420799999999998</v>
      </c>
      <c r="E490">
        <v>2.577385</v>
      </c>
      <c r="F490">
        <v>3.7946420000000001</v>
      </c>
      <c r="G490">
        <v>2.8932880000000001</v>
      </c>
      <c r="H490">
        <v>7.2532542679357386</v>
      </c>
      <c r="I490">
        <v>0.64815599999999995</v>
      </c>
      <c r="J490">
        <v>2.5216660000000002</v>
      </c>
      <c r="K490">
        <v>3.8403610000000001</v>
      </c>
      <c r="L490" s="44">
        <f>DATE(LEFT(TBL_TEV[[#This Row],[Data]],4),MID(TBL_TEV[[#This Row],[Data]],5,2),RIGHT(TBL_TEV[[#This Row],[Data]],2))</f>
        <v>45989</v>
      </c>
      <c r="M490" t="str" cm="1">
        <f t="array" aca="1" ref="M490" ca="1">IF(_xlfn.SINGLE(TBL_TEV[Data2])&gt;=INDIRECT("L"&amp;COUNTA(TBL_TEV[Data])+1)-365, "Ultimi 12 mesi", "Vecchi dati")</f>
        <v>Ultimi 12 mesi</v>
      </c>
    </row>
    <row r="491" spans="1:13">
      <c r="A491">
        <v>20251201</v>
      </c>
      <c r="B491">
        <v>1.6255500000000001</v>
      </c>
      <c r="C491">
        <v>0.21176600000000001</v>
      </c>
      <c r="D491">
        <v>0.85976300000000005</v>
      </c>
      <c r="E491">
        <v>2.5605579999999999</v>
      </c>
      <c r="F491">
        <v>3.777498</v>
      </c>
      <c r="G491">
        <v>2.871381</v>
      </c>
      <c r="H491">
        <v>7.3253427364069026</v>
      </c>
      <c r="I491">
        <v>0.640378</v>
      </c>
      <c r="J491">
        <v>2.508966</v>
      </c>
      <c r="K491">
        <v>3.763528</v>
      </c>
      <c r="L491" s="44">
        <f>DATE(LEFT(TBL_TEV[[#This Row],[Data]],4),MID(TBL_TEV[[#This Row],[Data]],5,2),RIGHT(TBL_TEV[[#This Row],[Data]],2))</f>
        <v>45992</v>
      </c>
      <c r="M491" t="str" cm="1">
        <f t="array" aca="1" ref="M491" ca="1">IF(_xlfn.SINGLE(TBL_TEV[Data2])&gt;=INDIRECT("L"&amp;COUNTA(TBL_TEV[Data])+1)-365, "Ultimi 12 mesi", "Vecchi dati")</f>
        <v>Ultimi 12 mesi</v>
      </c>
    </row>
    <row r="492" spans="1:13">
      <c r="A492">
        <v>20251202</v>
      </c>
      <c r="B492">
        <v>1.6325339999999999</v>
      </c>
      <c r="C492">
        <v>0.21002000000000001</v>
      </c>
      <c r="D492">
        <v>0.86293799999999998</v>
      </c>
      <c r="E492">
        <v>2.5831</v>
      </c>
      <c r="F492">
        <v>3.7854350000000001</v>
      </c>
      <c r="G492">
        <v>2.875032</v>
      </c>
      <c r="H492">
        <v>7.3622720170478875</v>
      </c>
      <c r="I492">
        <v>0.64180599999999999</v>
      </c>
      <c r="J492">
        <v>2.5129350000000001</v>
      </c>
      <c r="K492">
        <v>3.7579720000000001</v>
      </c>
      <c r="L492" s="44">
        <f>DATE(LEFT(TBL_TEV[[#This Row],[Data]],4),MID(TBL_TEV[[#This Row],[Data]],5,2),RIGHT(TBL_TEV[[#This Row],[Data]],2))</f>
        <v>45993</v>
      </c>
      <c r="M492" t="str" cm="1">
        <f t="array" aca="1" ref="M492" ca="1">IF(_xlfn.SINGLE(TBL_TEV[Data2])&gt;=INDIRECT("L"&amp;COUNTA(TBL_TEV[Data])+1)-365, "Ultimi 12 mesi", "Vecchi dati")</f>
        <v>Ultimi 12 mesi</v>
      </c>
    </row>
    <row r="493" spans="1:13">
      <c r="A493">
        <v>20251203</v>
      </c>
      <c r="B493">
        <v>1.638884</v>
      </c>
      <c r="C493">
        <v>0.20938499999999999</v>
      </c>
      <c r="D493">
        <v>0.86770099999999994</v>
      </c>
      <c r="E493">
        <v>2.5891320000000002</v>
      </c>
      <c r="F493">
        <v>3.791309</v>
      </c>
      <c r="G493">
        <v>2.9410699999999999</v>
      </c>
      <c r="H493">
        <v>7.3440380907744167</v>
      </c>
      <c r="I493">
        <v>0.64387000000000005</v>
      </c>
      <c r="J493">
        <v>2.5238879999999999</v>
      </c>
      <c r="K493">
        <v>3.7701959999999999</v>
      </c>
      <c r="L493" s="44">
        <f>DATE(LEFT(TBL_TEV[[#This Row],[Data]],4),MID(TBL_TEV[[#This Row],[Data]],5,2),RIGHT(TBL_TEV[[#This Row],[Data]],2))</f>
        <v>45994</v>
      </c>
      <c r="M493" t="str" cm="1">
        <f t="array" aca="1" ref="M493" ca="1">IF(_xlfn.SINGLE(TBL_TEV[Data2])&gt;=INDIRECT("L"&amp;COUNTA(TBL_TEV[Data])+1)-365, "Ultimi 12 mesi", "Vecchi dati")</f>
        <v>Ultimi 12 mesi</v>
      </c>
    </row>
    <row r="494" spans="1:13">
      <c r="A494">
        <v>20251204</v>
      </c>
      <c r="B494">
        <v>1.6331690000000001</v>
      </c>
      <c r="C494">
        <v>0.20938499999999999</v>
      </c>
      <c r="D494">
        <v>0.86531899999999995</v>
      </c>
      <c r="E494">
        <v>2.5746859999999998</v>
      </c>
      <c r="F494">
        <v>3.7721010000000001</v>
      </c>
      <c r="G494">
        <v>2.9558330000000002</v>
      </c>
      <c r="H494">
        <v>7.2923526063073441</v>
      </c>
      <c r="I494">
        <v>0.63974299999999995</v>
      </c>
      <c r="J494">
        <v>2.509601</v>
      </c>
      <c r="K494">
        <v>3.740669</v>
      </c>
      <c r="L494" s="44">
        <f>DATE(LEFT(TBL_TEV[[#This Row],[Data]],4),MID(TBL_TEV[[#This Row],[Data]],5,2),RIGHT(TBL_TEV[[#This Row],[Data]],2))</f>
        <v>45995</v>
      </c>
      <c r="M494" t="str" cm="1">
        <f t="array" aca="1" ref="M494" ca="1">IF(_xlfn.SINGLE(TBL_TEV[Data2])&gt;=INDIRECT("L"&amp;COUNTA(TBL_TEV[Data])+1)-365, "Ultimi 12 mesi", "Vecchi dati")</f>
        <v>Ultimi 12 mesi</v>
      </c>
    </row>
    <row r="495" spans="1:13">
      <c r="A495">
        <v>20251205</v>
      </c>
      <c r="B495">
        <v>1.629359</v>
      </c>
      <c r="C495">
        <v>0.20874999999999999</v>
      </c>
      <c r="D495">
        <v>0.86119199999999996</v>
      </c>
      <c r="E495">
        <v>2.5797659999999998</v>
      </c>
      <c r="F495">
        <v>3.7692429999999999</v>
      </c>
      <c r="G495">
        <v>2.962818</v>
      </c>
      <c r="H495">
        <v>7.2851249909776969</v>
      </c>
      <c r="I495">
        <v>0.637679</v>
      </c>
      <c r="J495">
        <v>2.5126170000000001</v>
      </c>
      <c r="K495">
        <v>3.741304</v>
      </c>
      <c r="L495" s="44">
        <f>DATE(LEFT(TBL_TEV[[#This Row],[Data]],4),MID(TBL_TEV[[#This Row],[Data]],5,2),RIGHT(TBL_TEV[[#This Row],[Data]],2))</f>
        <v>45996</v>
      </c>
      <c r="M495" t="str" cm="1">
        <f t="array" aca="1" ref="M495" ca="1">IF(_xlfn.SINGLE(TBL_TEV[Data2])&gt;=INDIRECT("L"&amp;COUNTA(TBL_TEV[Data])+1)-365, "Ultimi 12 mesi", "Vecchi dati")</f>
        <v>Ultimi 12 mesi</v>
      </c>
    </row>
    <row r="496" spans="1:13">
      <c r="A496">
        <v>20251209</v>
      </c>
      <c r="B496">
        <v>1.6309469999999999</v>
      </c>
      <c r="C496">
        <v>0.21160699999999999</v>
      </c>
      <c r="D496">
        <v>0.87611399999999995</v>
      </c>
      <c r="E496">
        <v>2.5896080000000001</v>
      </c>
      <c r="F496">
        <v>3.7925789999999999</v>
      </c>
      <c r="G496">
        <v>2.9820259999999998</v>
      </c>
      <c r="H496">
        <v>7.204698479434164</v>
      </c>
      <c r="I496">
        <v>0.64228300000000005</v>
      </c>
      <c r="J496">
        <v>2.5202369999999998</v>
      </c>
      <c r="K496">
        <v>3.7532100000000002</v>
      </c>
      <c r="L496" s="44">
        <f>DATE(LEFT(TBL_TEV[[#This Row],[Data]],4),MID(TBL_TEV[[#This Row],[Data]],5,2),RIGHT(TBL_TEV[[#This Row],[Data]],2))</f>
        <v>46000</v>
      </c>
      <c r="M496" t="str" cm="1">
        <f t="array" aca="1" ref="M496" ca="1">IF(_xlfn.SINGLE(TBL_TEV[Data2])&gt;=INDIRECT("L"&amp;COUNTA(TBL_TEV[Data])+1)-365, "Ultimi 12 mesi", "Vecchi dati")</f>
        <v>Ultimi 12 mesi</v>
      </c>
    </row>
    <row r="497" spans="1:13">
      <c r="A497">
        <v>20251210</v>
      </c>
      <c r="B497">
        <v>1.6177710000000001</v>
      </c>
      <c r="C497">
        <v>0.110804</v>
      </c>
      <c r="D497">
        <v>0.87373299999999998</v>
      </c>
      <c r="E497">
        <v>2.5894499999999998</v>
      </c>
      <c r="F497">
        <v>3.7894040000000002</v>
      </c>
      <c r="G497">
        <v>2.9777399999999998</v>
      </c>
      <c r="H497">
        <v>7.1390426590747778</v>
      </c>
      <c r="I497">
        <v>0.63831400000000005</v>
      </c>
      <c r="J497">
        <v>2.5323009999999999</v>
      </c>
      <c r="K497">
        <v>3.749876</v>
      </c>
      <c r="L497" s="44">
        <f>DATE(LEFT(TBL_TEV[[#This Row],[Data]],4),MID(TBL_TEV[[#This Row],[Data]],5,2),RIGHT(TBL_TEV[[#This Row],[Data]],2))</f>
        <v>46001</v>
      </c>
      <c r="M497" t="str" cm="1">
        <f t="array" aca="1" ref="M497" ca="1">IF(_xlfn.SINGLE(TBL_TEV[Data2])&gt;=INDIRECT("L"&amp;COUNTA(TBL_TEV[Data])+1)-365, "Ultimi 12 mesi", "Vecchi dati")</f>
        <v>Ultimi 12 mesi</v>
      </c>
    </row>
    <row r="498" spans="1:13">
      <c r="A498">
        <v>20251211</v>
      </c>
      <c r="B498">
        <v>1.6199939999999999</v>
      </c>
      <c r="C498">
        <v>0.23367299999999999</v>
      </c>
      <c r="D498">
        <v>0.87087599999999998</v>
      </c>
      <c r="E498">
        <v>2.568495</v>
      </c>
      <c r="F498">
        <v>3.7614649999999998</v>
      </c>
      <c r="G498">
        <v>2.9594849999999999</v>
      </c>
      <c r="H498">
        <v>7.117666225493311</v>
      </c>
      <c r="I498">
        <v>0.63386900000000002</v>
      </c>
      <c r="J498">
        <v>2.5113470000000002</v>
      </c>
      <c r="K498">
        <v>3.7263820000000001</v>
      </c>
      <c r="L498" s="44">
        <f>DATE(LEFT(TBL_TEV[[#This Row],[Data]],4),MID(TBL_TEV[[#This Row],[Data]],5,2),RIGHT(TBL_TEV[[#This Row],[Data]],2))</f>
        <v>46002</v>
      </c>
      <c r="M498" t="str" cm="1">
        <f t="array" aca="1" ref="M498" ca="1">IF(_xlfn.SINGLE(TBL_TEV[Data2])&gt;=INDIRECT("L"&amp;COUNTA(TBL_TEV[Data])+1)-365, "Ultimi 12 mesi", "Vecchi dati")</f>
        <v>Ultimi 12 mesi</v>
      </c>
    </row>
    <row r="499" spans="1:13">
      <c r="A499">
        <v>20251212</v>
      </c>
      <c r="B499">
        <v>1.6136440000000001</v>
      </c>
      <c r="C499">
        <v>0.232879</v>
      </c>
      <c r="D499">
        <v>0.87087599999999998</v>
      </c>
      <c r="E499">
        <v>2.5492870000000001</v>
      </c>
      <c r="F499">
        <v>3.7324139999999999</v>
      </c>
      <c r="G499">
        <v>2.9207510000000001</v>
      </c>
      <c r="H499" s="45">
        <v>7.1693203767268061</v>
      </c>
      <c r="I499">
        <v>0.86277999999999999</v>
      </c>
      <c r="J499">
        <v>2.4805510000000002</v>
      </c>
      <c r="K499">
        <v>3.68241</v>
      </c>
      <c r="L499" s="44">
        <f>DATE(LEFT(TBL_TEV[[#This Row],[Data]],4),MID(TBL_TEV[[#This Row],[Data]],5,2),RIGHT(TBL_TEV[[#This Row],[Data]],2))</f>
        <v>46003</v>
      </c>
      <c r="M499" s="45" t="str" cm="1">
        <f t="array" aca="1" ref="M499" ca="1">IF(_xlfn.SINGLE(TBL_TEV[Data2])&gt;=INDIRECT("L"&amp;COUNTA(TBL_TEV[Data])+1)-365, "Ultimi 12 mesi", "Vecchi dati")</f>
        <v>Ultimi 12 mesi</v>
      </c>
    </row>
    <row r="500" spans="1:13">
      <c r="L500" s="6"/>
    </row>
    <row r="501" spans="1:13">
      <c r="L501" s="6"/>
    </row>
    <row r="502" spans="1:13">
      <c r="L502" s="6"/>
    </row>
    <row r="503" spans="1:13">
      <c r="L503" s="6"/>
    </row>
    <row r="504" spans="1:13">
      <c r="L504" s="6"/>
    </row>
    <row r="505" spans="1:13">
      <c r="L505" s="6"/>
    </row>
    <row r="506" spans="1:13">
      <c r="L506" s="6"/>
    </row>
    <row r="507" spans="1:13">
      <c r="L507" s="6"/>
    </row>
    <row r="508" spans="1:13">
      <c r="L508" s="6"/>
    </row>
    <row r="509" spans="1:13">
      <c r="L509" s="6"/>
    </row>
    <row r="510" spans="1:13">
      <c r="L510" s="6"/>
    </row>
    <row r="511" spans="1:13">
      <c r="L511" s="6"/>
    </row>
    <row r="512" spans="1:13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  <row r="529" spans="12:12">
      <c r="L529" s="6"/>
    </row>
    <row r="530" spans="12:12">
      <c r="L530" s="6"/>
    </row>
    <row r="531" spans="12:12">
      <c r="L531" s="6"/>
    </row>
    <row r="532" spans="12:12">
      <c r="L532" s="6"/>
    </row>
    <row r="533" spans="12:12">
      <c r="L533" s="6"/>
    </row>
    <row r="534" spans="12:12">
      <c r="L534" s="6"/>
    </row>
    <row r="535" spans="12:12">
      <c r="L535" s="6"/>
    </row>
    <row r="536" spans="12:12">
      <c r="L536" s="6"/>
    </row>
    <row r="537" spans="12:12">
      <c r="L537" s="6"/>
    </row>
    <row r="538" spans="12:12">
      <c r="L538" s="6"/>
    </row>
    <row r="539" spans="12:12">
      <c r="L539" s="6"/>
    </row>
    <row r="540" spans="12:12">
      <c r="L540" s="6"/>
    </row>
    <row r="541" spans="12:12">
      <c r="L541" s="6"/>
    </row>
    <row r="542" spans="12:12">
      <c r="L542" s="6"/>
    </row>
    <row r="543" spans="12:12">
      <c r="L543" s="6"/>
    </row>
    <row r="544" spans="12:12">
      <c r="L544" s="6"/>
    </row>
    <row r="545" spans="12:12">
      <c r="L545" s="6"/>
    </row>
    <row r="546" spans="12:12">
      <c r="L546" s="6"/>
    </row>
    <row r="547" spans="12:12">
      <c r="L547" s="6"/>
    </row>
    <row r="548" spans="12:12">
      <c r="L548" s="6"/>
    </row>
    <row r="549" spans="12:12">
      <c r="L549" s="6"/>
    </row>
    <row r="550" spans="12:12">
      <c r="L550" s="6"/>
    </row>
    <row r="551" spans="12:12">
      <c r="L551" s="6"/>
    </row>
    <row r="552" spans="12:12">
      <c r="L552" s="6"/>
    </row>
    <row r="553" spans="12:12">
      <c r="L553" s="6"/>
    </row>
    <row r="554" spans="12:12">
      <c r="L554" s="6"/>
    </row>
    <row r="555" spans="12:12">
      <c r="L555" s="6"/>
    </row>
    <row r="556" spans="12:12">
      <c r="L556" s="6"/>
    </row>
    <row r="557" spans="12:12">
      <c r="L557" s="6"/>
    </row>
    <row r="558" spans="12:12">
      <c r="L558" s="6"/>
    </row>
    <row r="559" spans="12:12">
      <c r="L559" s="6"/>
    </row>
    <row r="560" spans="12:12">
      <c r="L560" s="6"/>
    </row>
    <row r="561" spans="12:12">
      <c r="L561" s="6"/>
    </row>
    <row r="562" spans="12:12">
      <c r="L562" s="6"/>
    </row>
    <row r="563" spans="12:12">
      <c r="L563" s="6"/>
    </row>
    <row r="564" spans="12:12">
      <c r="L564" s="6"/>
    </row>
    <row r="565" spans="12:12">
      <c r="L565" s="6"/>
    </row>
    <row r="566" spans="12:12">
      <c r="L566" s="6"/>
    </row>
    <row r="567" spans="12:12">
      <c r="L567" s="6"/>
    </row>
    <row r="568" spans="12:12">
      <c r="L568" s="6"/>
    </row>
    <row r="569" spans="12:12">
      <c r="L569" s="6"/>
    </row>
    <row r="570" spans="12:12">
      <c r="L570" s="6"/>
    </row>
    <row r="571" spans="12:12">
      <c r="L571" s="6"/>
    </row>
    <row r="572" spans="12:12">
      <c r="L572" s="6"/>
    </row>
    <row r="573" spans="12:12">
      <c r="L573" s="6"/>
    </row>
    <row r="574" spans="12:12">
      <c r="L574" s="6"/>
    </row>
    <row r="575" spans="12:12">
      <c r="L575" s="6"/>
    </row>
    <row r="576" spans="12:12">
      <c r="L576" s="6"/>
    </row>
    <row r="577" spans="12:12">
      <c r="L577" s="6"/>
    </row>
    <row r="578" spans="12:12">
      <c r="L578" s="6"/>
    </row>
    <row r="579" spans="12:12">
      <c r="L579" s="6"/>
    </row>
    <row r="580" spans="12:12">
      <c r="L580" s="6"/>
    </row>
    <row r="581" spans="12:12">
      <c r="L581" s="6"/>
    </row>
    <row r="582" spans="12:12">
      <c r="L582" s="6"/>
    </row>
    <row r="583" spans="12:12">
      <c r="L583" s="6"/>
    </row>
    <row r="584" spans="12:12">
      <c r="L584" s="6"/>
    </row>
    <row r="585" spans="12:12">
      <c r="L585" s="6"/>
    </row>
    <row r="586" spans="12:12">
      <c r="L586" s="6"/>
    </row>
    <row r="587" spans="12:12">
      <c r="L587" s="6"/>
    </row>
    <row r="588" spans="12:12">
      <c r="L588" s="6"/>
    </row>
    <row r="589" spans="12:12">
      <c r="L589" s="6"/>
    </row>
    <row r="590" spans="12:12">
      <c r="L590" s="6"/>
    </row>
    <row r="591" spans="12:12">
      <c r="L591" s="6"/>
    </row>
    <row r="592" spans="12:12">
      <c r="L592" s="6"/>
    </row>
    <row r="593" spans="12:12">
      <c r="L593" s="6"/>
    </row>
    <row r="594" spans="12:12">
      <c r="L594" s="6"/>
    </row>
    <row r="595" spans="12:12">
      <c r="L595" s="6"/>
    </row>
    <row r="596" spans="12:12">
      <c r="L596" s="6"/>
    </row>
    <row r="597" spans="12:12">
      <c r="L597" s="6"/>
    </row>
    <row r="598" spans="12:12">
      <c r="L598" s="6"/>
    </row>
    <row r="599" spans="12:12">
      <c r="L599" s="6"/>
    </row>
    <row r="600" spans="12:12">
      <c r="L600" s="6"/>
    </row>
    <row r="601" spans="12:12">
      <c r="L601" s="6"/>
    </row>
    <row r="602" spans="12:12">
      <c r="L602" s="6"/>
    </row>
    <row r="603" spans="12:12">
      <c r="L603" s="6"/>
    </row>
    <row r="604" spans="12:12">
      <c r="L604" s="6"/>
    </row>
    <row r="605" spans="12:12">
      <c r="L605" s="6"/>
    </row>
    <row r="606" spans="12:12">
      <c r="L606" s="6"/>
    </row>
    <row r="607" spans="12:12">
      <c r="L607" s="6"/>
    </row>
    <row r="608" spans="12:12">
      <c r="L608" s="6"/>
    </row>
    <row r="609" spans="12:12">
      <c r="L609" s="6"/>
    </row>
    <row r="610" spans="12:12">
      <c r="L610" s="6"/>
    </row>
    <row r="611" spans="12:12">
      <c r="L611" s="6"/>
    </row>
    <row r="612" spans="12:12">
      <c r="L612" s="6"/>
    </row>
    <row r="613" spans="12:12">
      <c r="L613" s="6"/>
    </row>
    <row r="614" spans="12:12">
      <c r="L614" s="6"/>
    </row>
    <row r="615" spans="12:12">
      <c r="L615" s="6"/>
    </row>
    <row r="616" spans="12:12">
      <c r="L616" s="6"/>
    </row>
    <row r="617" spans="12:12">
      <c r="L617" s="6"/>
    </row>
    <row r="618" spans="12:12">
      <c r="L618" s="6"/>
    </row>
    <row r="619" spans="12:12">
      <c r="L619" s="6"/>
    </row>
    <row r="620" spans="12:12">
      <c r="L620" s="6"/>
    </row>
    <row r="621" spans="12:12">
      <c r="L621" s="6"/>
    </row>
    <row r="622" spans="12:12">
      <c r="L622" s="6"/>
    </row>
    <row r="623" spans="12:12">
      <c r="L623" s="6"/>
    </row>
    <row r="624" spans="12:12">
      <c r="L624" s="6"/>
    </row>
    <row r="625" spans="12:12">
      <c r="L625" s="6"/>
    </row>
    <row r="626" spans="12:12">
      <c r="L626" s="6"/>
    </row>
    <row r="627" spans="12:12">
      <c r="L627" s="6"/>
    </row>
    <row r="628" spans="12:12">
      <c r="L628" s="6"/>
    </row>
    <row r="629" spans="12:12">
      <c r="L629" s="6"/>
    </row>
    <row r="630" spans="12:12">
      <c r="L630" s="6"/>
    </row>
    <row r="631" spans="12:12">
      <c r="L631" s="6"/>
    </row>
    <row r="632" spans="12:12">
      <c r="L632" s="6"/>
    </row>
    <row r="633" spans="12:12">
      <c r="L633" s="6"/>
    </row>
    <row r="634" spans="12:12">
      <c r="L634" s="6"/>
    </row>
    <row r="635" spans="12:12">
      <c r="L635" s="6"/>
    </row>
    <row r="636" spans="12:12">
      <c r="L636" s="6"/>
    </row>
    <row r="637" spans="12:12">
      <c r="L637" s="6"/>
    </row>
    <row r="638" spans="12:12">
      <c r="L638" s="6"/>
    </row>
    <row r="639" spans="12:12">
      <c r="L639" s="6"/>
    </row>
    <row r="640" spans="12:12">
      <c r="L640" s="6"/>
    </row>
    <row r="641" spans="12:12">
      <c r="L641" s="6"/>
    </row>
    <row r="642" spans="12:12">
      <c r="L642" s="6"/>
    </row>
    <row r="643" spans="12:12">
      <c r="L643" s="6"/>
    </row>
    <row r="644" spans="12:12">
      <c r="L644" s="6"/>
    </row>
    <row r="645" spans="12:12">
      <c r="L645" s="6"/>
    </row>
    <row r="646" spans="12:12">
      <c r="L646" s="6"/>
    </row>
    <row r="647" spans="12:12">
      <c r="L647" s="6"/>
    </row>
    <row r="648" spans="12:12">
      <c r="L648" s="6"/>
    </row>
    <row r="649" spans="12:12">
      <c r="L649" s="6"/>
    </row>
    <row r="650" spans="12:12">
      <c r="L650" s="6"/>
    </row>
    <row r="651" spans="12:12">
      <c r="L651" s="6"/>
    </row>
    <row r="652" spans="12:12">
      <c r="L652" s="6"/>
    </row>
    <row r="653" spans="12:12">
      <c r="L653" s="6"/>
    </row>
    <row r="654" spans="12:12">
      <c r="L654" s="6"/>
    </row>
    <row r="655" spans="12:12">
      <c r="L655" s="6"/>
    </row>
    <row r="656" spans="12:12">
      <c r="L656" s="6"/>
    </row>
    <row r="657" spans="12:12">
      <c r="L657" s="6"/>
    </row>
    <row r="658" spans="12:12">
      <c r="L658" s="6"/>
    </row>
    <row r="659" spans="12:12">
      <c r="L659" s="6"/>
    </row>
    <row r="660" spans="12:12">
      <c r="L660" s="6"/>
    </row>
    <row r="661" spans="12:12">
      <c r="L661" s="6"/>
    </row>
    <row r="662" spans="12:12">
      <c r="L662" s="6"/>
    </row>
    <row r="663" spans="12:12">
      <c r="L663" s="6"/>
    </row>
    <row r="664" spans="12:12">
      <c r="L664" s="6"/>
    </row>
    <row r="665" spans="12:12">
      <c r="L665" s="6"/>
    </row>
    <row r="666" spans="12:12">
      <c r="L666" s="6"/>
    </row>
    <row r="667" spans="12:12">
      <c r="L667" s="6"/>
    </row>
    <row r="668" spans="12:12">
      <c r="L668" s="6"/>
    </row>
    <row r="669" spans="12:12">
      <c r="L669" s="6"/>
    </row>
    <row r="670" spans="12:12">
      <c r="L670" s="6"/>
    </row>
    <row r="671" spans="12:12">
      <c r="L671" s="6"/>
    </row>
    <row r="672" spans="12:12">
      <c r="L672" s="6"/>
    </row>
    <row r="673" spans="12:12">
      <c r="L673" s="6"/>
    </row>
    <row r="674" spans="12:12">
      <c r="L674" s="6"/>
    </row>
    <row r="675" spans="12:12">
      <c r="L675" s="6"/>
    </row>
    <row r="676" spans="12:12">
      <c r="L676" s="6"/>
    </row>
    <row r="677" spans="12:12">
      <c r="L677" s="6"/>
    </row>
    <row r="678" spans="12:12">
      <c r="L678" s="6"/>
    </row>
    <row r="679" spans="12:12">
      <c r="L679" s="6"/>
    </row>
    <row r="680" spans="12:12">
      <c r="L680" s="6"/>
    </row>
    <row r="681" spans="12:12">
      <c r="L681" s="6"/>
    </row>
    <row r="682" spans="12:12">
      <c r="L682" s="6"/>
    </row>
    <row r="683" spans="12:12">
      <c r="L683" s="6"/>
    </row>
    <row r="684" spans="12:12">
      <c r="L684" s="6"/>
    </row>
    <row r="685" spans="12:12">
      <c r="L685" s="6"/>
    </row>
    <row r="686" spans="12:12">
      <c r="L686" s="6"/>
    </row>
    <row r="687" spans="12:12">
      <c r="L687" s="6"/>
    </row>
    <row r="688" spans="12:12">
      <c r="L688" s="6"/>
    </row>
    <row r="689" spans="12:12">
      <c r="L689" s="6"/>
    </row>
    <row r="690" spans="12:12">
      <c r="L690" s="6"/>
    </row>
    <row r="691" spans="12:12">
      <c r="L691" s="6"/>
    </row>
    <row r="692" spans="12:12">
      <c r="L692" s="6"/>
    </row>
    <row r="693" spans="12:12">
      <c r="L693" s="6"/>
    </row>
    <row r="694" spans="12:12">
      <c r="L694" s="6"/>
    </row>
    <row r="695" spans="12:12">
      <c r="L695" s="6"/>
    </row>
    <row r="696" spans="12:12">
      <c r="L696" s="6"/>
    </row>
    <row r="697" spans="12:12">
      <c r="L697" s="6"/>
    </row>
    <row r="698" spans="12:12">
      <c r="L698" s="6"/>
    </row>
    <row r="699" spans="12:12">
      <c r="L699" s="6"/>
    </row>
    <row r="700" spans="12:12">
      <c r="L700" s="6"/>
    </row>
    <row r="701" spans="12:12">
      <c r="L701" s="6"/>
    </row>
    <row r="702" spans="12:12">
      <c r="L702" s="6"/>
    </row>
    <row r="703" spans="12:12">
      <c r="L703" s="6"/>
    </row>
    <row r="704" spans="12:12">
      <c r="L704" s="6"/>
    </row>
    <row r="705" spans="12:12">
      <c r="L705" s="6"/>
    </row>
    <row r="706" spans="12:12">
      <c r="L706" s="6"/>
    </row>
    <row r="707" spans="12:12">
      <c r="L707" s="6"/>
    </row>
    <row r="708" spans="12:12">
      <c r="L708" s="6"/>
    </row>
    <row r="709" spans="12:12">
      <c r="L709" s="6"/>
    </row>
    <row r="710" spans="12:12">
      <c r="L710" s="6"/>
    </row>
    <row r="711" spans="12:12">
      <c r="L711" s="6"/>
    </row>
    <row r="712" spans="12:12">
      <c r="L712" s="6"/>
    </row>
    <row r="713" spans="12:12">
      <c r="L713" s="6"/>
    </row>
    <row r="714" spans="12:12">
      <c r="L714" s="6"/>
    </row>
    <row r="715" spans="12:12">
      <c r="L715" s="6"/>
    </row>
    <row r="716" spans="12:12">
      <c r="L716" s="6"/>
    </row>
    <row r="717" spans="12:12">
      <c r="L717" s="6"/>
    </row>
    <row r="718" spans="12:12">
      <c r="L718" s="6"/>
    </row>
    <row r="719" spans="12:12">
      <c r="L719" s="6"/>
    </row>
    <row r="720" spans="12:12">
      <c r="L720" s="6"/>
    </row>
    <row r="721" spans="12:12">
      <c r="L721" s="6"/>
    </row>
    <row r="722" spans="12:12">
      <c r="L722" s="6"/>
    </row>
    <row r="723" spans="12:12">
      <c r="L723" s="6"/>
    </row>
    <row r="724" spans="12:12">
      <c r="L724" s="6"/>
    </row>
    <row r="725" spans="12:12">
      <c r="L725" s="6"/>
    </row>
    <row r="726" spans="12:12">
      <c r="L726" s="6"/>
    </row>
    <row r="727" spans="12:12">
      <c r="L727" s="6"/>
    </row>
    <row r="728" spans="12:12">
      <c r="L728" s="6"/>
    </row>
    <row r="729" spans="12:12">
      <c r="L729" s="6"/>
    </row>
    <row r="730" spans="12:12">
      <c r="L730" s="6"/>
    </row>
    <row r="731" spans="12:12">
      <c r="L731" s="6"/>
    </row>
    <row r="732" spans="12:12">
      <c r="L732" s="6"/>
    </row>
    <row r="733" spans="12:12">
      <c r="L733" s="6"/>
    </row>
    <row r="734" spans="12:12">
      <c r="L734" s="6"/>
    </row>
    <row r="735" spans="12:12">
      <c r="L735" s="6"/>
    </row>
    <row r="736" spans="12:12">
      <c r="L736" s="6"/>
    </row>
    <row r="737" spans="12:12">
      <c r="L737" s="6"/>
    </row>
    <row r="738" spans="12:12">
      <c r="L738" s="6"/>
    </row>
    <row r="739" spans="12:12">
      <c r="L739" s="6"/>
    </row>
    <row r="740" spans="12:12">
      <c r="L740" s="6"/>
    </row>
    <row r="741" spans="12:12">
      <c r="L741" s="6"/>
    </row>
    <row r="742" spans="12:12">
      <c r="L742" s="6"/>
    </row>
    <row r="743" spans="12:12">
      <c r="L743" s="6"/>
    </row>
    <row r="744" spans="12:12">
      <c r="L744" s="6"/>
    </row>
    <row r="745" spans="12:12">
      <c r="L745" s="6"/>
    </row>
    <row r="746" spans="12:12">
      <c r="L746" s="6"/>
    </row>
    <row r="747" spans="12:12">
      <c r="L747" s="6"/>
    </row>
    <row r="748" spans="12:12">
      <c r="L748" s="6"/>
    </row>
    <row r="749" spans="12:12">
      <c r="L749" s="6"/>
    </row>
    <row r="750" spans="12:12">
      <c r="L750" s="6"/>
    </row>
    <row r="751" spans="12:12">
      <c r="L751" s="6"/>
    </row>
    <row r="752" spans="12:12">
      <c r="L752" s="6"/>
    </row>
    <row r="753" spans="12:12">
      <c r="L753" s="6"/>
    </row>
    <row r="754" spans="12:12">
      <c r="L754" s="6"/>
    </row>
    <row r="755" spans="12:12">
      <c r="L755" s="6"/>
    </row>
    <row r="756" spans="12:12">
      <c r="L756" s="6"/>
    </row>
    <row r="757" spans="12:12">
      <c r="L757" s="6"/>
    </row>
    <row r="758" spans="12:12">
      <c r="L758" s="6"/>
    </row>
    <row r="759" spans="12:12">
      <c r="L759" s="6"/>
    </row>
    <row r="760" spans="12:12">
      <c r="L760" s="6"/>
    </row>
    <row r="761" spans="12:12">
      <c r="L761" s="6"/>
    </row>
    <row r="762" spans="12:12">
      <c r="L762" s="6"/>
    </row>
    <row r="763" spans="12:12">
      <c r="L763" s="6"/>
    </row>
    <row r="764" spans="12:12">
      <c r="L764" s="6"/>
    </row>
    <row r="765" spans="12:12">
      <c r="L765" s="6"/>
    </row>
    <row r="766" spans="12:12">
      <c r="L766" s="6"/>
    </row>
    <row r="767" spans="12:12">
      <c r="L767" s="6"/>
    </row>
    <row r="768" spans="12:12">
      <c r="L768" s="6"/>
    </row>
    <row r="769" spans="12:12">
      <c r="L769" s="6"/>
    </row>
    <row r="770" spans="12:12">
      <c r="L770" s="6"/>
    </row>
    <row r="771" spans="12:12">
      <c r="L771" s="6"/>
    </row>
    <row r="772" spans="12:12">
      <c r="L772" s="6"/>
    </row>
    <row r="773" spans="12:12">
      <c r="L773" s="6"/>
    </row>
    <row r="774" spans="12:12">
      <c r="L774" s="6"/>
    </row>
    <row r="775" spans="12:12">
      <c r="L775" s="6"/>
    </row>
    <row r="776" spans="12:12">
      <c r="L776" s="6"/>
    </row>
    <row r="777" spans="12:12">
      <c r="L777" s="6"/>
    </row>
    <row r="778" spans="12:12">
      <c r="L778" s="6"/>
    </row>
    <row r="779" spans="12:12">
      <c r="L779" s="6"/>
    </row>
    <row r="780" spans="12:12">
      <c r="L780" s="6"/>
    </row>
    <row r="781" spans="12:12">
      <c r="L781" s="6"/>
    </row>
    <row r="782" spans="12:12">
      <c r="L782" s="6"/>
    </row>
    <row r="783" spans="12:12">
      <c r="L783" s="6"/>
    </row>
    <row r="784" spans="12:12">
      <c r="L784" s="6"/>
    </row>
    <row r="785" spans="12:12">
      <c r="L785" s="6"/>
    </row>
    <row r="786" spans="12:12">
      <c r="L786" s="6"/>
    </row>
    <row r="787" spans="12:12">
      <c r="L787" s="6"/>
    </row>
    <row r="788" spans="12:12">
      <c r="L788" s="6"/>
    </row>
    <row r="789" spans="12:12">
      <c r="L789" s="6"/>
    </row>
    <row r="790" spans="12:12">
      <c r="L790" s="6"/>
    </row>
    <row r="791" spans="12:12">
      <c r="L791" s="6"/>
    </row>
    <row r="792" spans="12:12">
      <c r="L792" s="6"/>
    </row>
    <row r="793" spans="12:12">
      <c r="L793" s="6"/>
    </row>
    <row r="794" spans="12:12">
      <c r="L794" s="6"/>
    </row>
    <row r="795" spans="12:12">
      <c r="L795" s="6"/>
    </row>
    <row r="796" spans="12:12">
      <c r="L796" s="6"/>
    </row>
    <row r="797" spans="12:12">
      <c r="L797" s="6"/>
    </row>
    <row r="798" spans="12:12">
      <c r="L798" s="6"/>
    </row>
    <row r="799" spans="12:12">
      <c r="L799" s="6"/>
    </row>
    <row r="800" spans="12:12">
      <c r="L800" s="6"/>
    </row>
    <row r="801" spans="12:12">
      <c r="L801" s="6"/>
    </row>
    <row r="802" spans="12:12">
      <c r="L802" s="6"/>
    </row>
    <row r="803" spans="12:12">
      <c r="L803" s="6"/>
    </row>
    <row r="804" spans="12:12">
      <c r="L804" s="6"/>
    </row>
    <row r="805" spans="12:12">
      <c r="L805" s="6"/>
    </row>
    <row r="806" spans="12:12">
      <c r="L806" s="6"/>
    </row>
    <row r="807" spans="12:12">
      <c r="L807" s="6"/>
    </row>
    <row r="808" spans="12:12">
      <c r="L808" s="6"/>
    </row>
    <row r="809" spans="12:12">
      <c r="L809" s="6"/>
    </row>
    <row r="810" spans="12:12">
      <c r="L810" s="6"/>
    </row>
    <row r="811" spans="12:12">
      <c r="L811" s="6"/>
    </row>
    <row r="812" spans="12:12">
      <c r="L812" s="6"/>
    </row>
    <row r="813" spans="12:12">
      <c r="L813" s="6"/>
    </row>
    <row r="814" spans="12:12">
      <c r="L814" s="6"/>
    </row>
    <row r="815" spans="12:12">
      <c r="L815" s="6"/>
    </row>
    <row r="816" spans="12:12">
      <c r="L816" s="6"/>
    </row>
    <row r="817" spans="12:12">
      <c r="L817" s="6"/>
    </row>
    <row r="818" spans="12:12">
      <c r="L818" s="6"/>
    </row>
    <row r="819" spans="12:12">
      <c r="L819" s="6"/>
    </row>
    <row r="820" spans="12:12">
      <c r="L820" s="6"/>
    </row>
    <row r="821" spans="12:12">
      <c r="L821" s="6"/>
    </row>
    <row r="822" spans="12:12">
      <c r="L822" s="6"/>
    </row>
    <row r="823" spans="12:12">
      <c r="L823" s="6"/>
    </row>
    <row r="824" spans="12:12">
      <c r="L824" s="6"/>
    </row>
    <row r="825" spans="12:12">
      <c r="L825" s="6"/>
    </row>
    <row r="826" spans="12:12">
      <c r="L826" s="6"/>
    </row>
    <row r="827" spans="12:12">
      <c r="L827" s="6"/>
    </row>
    <row r="828" spans="12:12">
      <c r="L828" s="6"/>
    </row>
    <row r="829" spans="12:12">
      <c r="L829" s="6"/>
    </row>
    <row r="830" spans="12:12">
      <c r="L830" s="6"/>
    </row>
    <row r="831" spans="12:12">
      <c r="L831" s="6"/>
    </row>
    <row r="832" spans="12:12">
      <c r="L832" s="6"/>
    </row>
    <row r="833" spans="12:12">
      <c r="L833" s="6"/>
    </row>
    <row r="834" spans="12:12">
      <c r="L834" s="6"/>
    </row>
    <row r="835" spans="12:12">
      <c r="L835" s="6"/>
    </row>
    <row r="836" spans="12:12">
      <c r="L836" s="6"/>
    </row>
    <row r="837" spans="12:12">
      <c r="L837" s="6"/>
    </row>
    <row r="838" spans="12:12">
      <c r="L838" s="6"/>
    </row>
    <row r="839" spans="12:12">
      <c r="L839" s="6"/>
    </row>
    <row r="840" spans="12:12">
      <c r="L840" s="6"/>
    </row>
    <row r="841" spans="12:12">
      <c r="L841" s="6"/>
    </row>
    <row r="842" spans="12:12">
      <c r="L842" s="6"/>
    </row>
    <row r="843" spans="12:12">
      <c r="L843" s="6"/>
    </row>
    <row r="844" spans="12:12">
      <c r="L844" s="6"/>
    </row>
    <row r="845" spans="12:12">
      <c r="L845" s="6"/>
    </row>
    <row r="846" spans="12:12">
      <c r="L846" s="6"/>
    </row>
    <row r="847" spans="12:12">
      <c r="L847" s="6"/>
    </row>
    <row r="848" spans="12:12">
      <c r="L848" s="6"/>
    </row>
    <row r="849" spans="12:12">
      <c r="L849" s="6"/>
    </row>
    <row r="850" spans="12:12">
      <c r="L850" s="6"/>
    </row>
    <row r="851" spans="12:12">
      <c r="L851" s="6"/>
    </row>
    <row r="852" spans="12:12">
      <c r="L852" s="6"/>
    </row>
    <row r="853" spans="12:12">
      <c r="L853" s="6"/>
    </row>
    <row r="854" spans="12:12">
      <c r="L854" s="6"/>
    </row>
    <row r="855" spans="12:12">
      <c r="L855" s="6"/>
    </row>
    <row r="856" spans="12:12">
      <c r="L856" s="6"/>
    </row>
    <row r="857" spans="12:12">
      <c r="L857" s="6"/>
    </row>
    <row r="858" spans="12:12">
      <c r="L858" s="6"/>
    </row>
    <row r="859" spans="12:12">
      <c r="L859" s="6"/>
    </row>
    <row r="860" spans="12:12">
      <c r="L860" s="6"/>
    </row>
    <row r="861" spans="12:12">
      <c r="L861" s="6"/>
    </row>
    <row r="862" spans="12:12">
      <c r="L862" s="6"/>
    </row>
    <row r="863" spans="12:12">
      <c r="L863" s="6"/>
    </row>
    <row r="864" spans="12:12">
      <c r="L864" s="6"/>
    </row>
    <row r="865" spans="12:12">
      <c r="L865" s="6"/>
    </row>
    <row r="866" spans="12:12">
      <c r="L866" s="6"/>
    </row>
    <row r="867" spans="12:12">
      <c r="L867" s="6"/>
    </row>
    <row r="868" spans="12:12">
      <c r="L868" s="6"/>
    </row>
    <row r="869" spans="12:12">
      <c r="L869" s="6"/>
    </row>
    <row r="870" spans="12:12">
      <c r="L870" s="6"/>
    </row>
    <row r="871" spans="12:12">
      <c r="L871" s="6"/>
    </row>
    <row r="872" spans="12:12">
      <c r="L872" s="6"/>
    </row>
    <row r="873" spans="12:12">
      <c r="L873" s="6"/>
    </row>
    <row r="874" spans="12:12">
      <c r="L874" s="6"/>
    </row>
    <row r="875" spans="12:12">
      <c r="L875" s="6"/>
    </row>
    <row r="876" spans="12:12">
      <c r="L876" s="6"/>
    </row>
    <row r="877" spans="12:12">
      <c r="L877" s="6"/>
    </row>
    <row r="878" spans="12:12">
      <c r="L878" s="6"/>
    </row>
    <row r="879" spans="12:12">
      <c r="L879" s="6"/>
    </row>
    <row r="880" spans="12:12">
      <c r="L880" s="6"/>
    </row>
    <row r="881" spans="12:12">
      <c r="L881" s="6"/>
    </row>
    <row r="882" spans="12:12">
      <c r="L882" s="6"/>
    </row>
    <row r="883" spans="12:12">
      <c r="L883" s="6"/>
    </row>
    <row r="884" spans="12:12">
      <c r="L884" s="6"/>
    </row>
    <row r="885" spans="12:12">
      <c r="L885" s="6"/>
    </row>
    <row r="886" spans="12:12">
      <c r="L886" s="6"/>
    </row>
    <row r="887" spans="12:12">
      <c r="L887" s="6"/>
    </row>
    <row r="888" spans="12:12">
      <c r="L888" s="6"/>
    </row>
    <row r="889" spans="12:12">
      <c r="L889" s="6"/>
    </row>
    <row r="890" spans="12:12">
      <c r="L890" s="6"/>
    </row>
    <row r="891" spans="12:12">
      <c r="L891" s="6"/>
    </row>
    <row r="892" spans="12:12">
      <c r="L892" s="6"/>
    </row>
    <row r="893" spans="12:12">
      <c r="L893" s="6"/>
    </row>
    <row r="894" spans="12:12">
      <c r="L894" s="6"/>
    </row>
    <row r="895" spans="12:12">
      <c r="L895" s="6"/>
    </row>
    <row r="896" spans="12:12">
      <c r="L896" s="6"/>
    </row>
    <row r="897" spans="12:12">
      <c r="L897" s="6"/>
    </row>
    <row r="898" spans="12:12">
      <c r="L898" s="6"/>
    </row>
    <row r="899" spans="12:12">
      <c r="L899" s="6"/>
    </row>
    <row r="900" spans="12:12">
      <c r="L900" s="6"/>
    </row>
    <row r="901" spans="12:12">
      <c r="L901" s="6"/>
    </row>
    <row r="902" spans="12:12">
      <c r="L902" s="6"/>
    </row>
    <row r="903" spans="12:12">
      <c r="L903" s="6"/>
    </row>
    <row r="904" spans="12:12">
      <c r="L904" s="6"/>
    </row>
    <row r="905" spans="12:12">
      <c r="L905" s="6"/>
    </row>
    <row r="906" spans="12:12">
      <c r="L906" s="6"/>
    </row>
    <row r="907" spans="12:12">
      <c r="L907" s="6"/>
    </row>
    <row r="908" spans="12:12">
      <c r="L908" s="6"/>
    </row>
    <row r="909" spans="12:12">
      <c r="L909" s="6"/>
    </row>
    <row r="910" spans="12:12">
      <c r="L910" s="6"/>
    </row>
    <row r="911" spans="12:12">
      <c r="L911" s="6"/>
    </row>
    <row r="912" spans="12:12">
      <c r="L912" s="6"/>
    </row>
    <row r="913" spans="12:12">
      <c r="L913" s="6"/>
    </row>
    <row r="914" spans="12:12">
      <c r="L914" s="6"/>
    </row>
    <row r="915" spans="12:12">
      <c r="L915" s="6"/>
    </row>
    <row r="916" spans="12:12">
      <c r="L916" s="6"/>
    </row>
    <row r="917" spans="12:12">
      <c r="L917" s="6"/>
    </row>
    <row r="918" spans="12:12">
      <c r="L918" s="6"/>
    </row>
    <row r="919" spans="12:12">
      <c r="L919" s="6"/>
    </row>
    <row r="920" spans="12:12">
      <c r="L920" s="6"/>
    </row>
    <row r="921" spans="12:12">
      <c r="L921" s="6"/>
    </row>
    <row r="922" spans="12:12">
      <c r="L922" s="6"/>
    </row>
    <row r="923" spans="12:12">
      <c r="L923" s="6"/>
    </row>
    <row r="924" spans="12:12">
      <c r="L924" s="6"/>
    </row>
    <row r="925" spans="12:12">
      <c r="L925" s="6"/>
    </row>
    <row r="926" spans="12:12">
      <c r="L926" s="6"/>
    </row>
    <row r="927" spans="12:12">
      <c r="L927" s="6"/>
    </row>
    <row r="928" spans="12:12">
      <c r="L928" s="6"/>
    </row>
    <row r="929" spans="12:12">
      <c r="L929" s="6"/>
    </row>
    <row r="930" spans="12:12">
      <c r="L930" s="6"/>
    </row>
    <row r="931" spans="12:12">
      <c r="L931" s="6"/>
    </row>
    <row r="932" spans="12:12">
      <c r="L932" s="6"/>
    </row>
    <row r="933" spans="12:12">
      <c r="L933" s="6"/>
    </row>
    <row r="934" spans="12:12">
      <c r="L934" s="6"/>
    </row>
    <row r="935" spans="12:12">
      <c r="L935" s="6"/>
    </row>
    <row r="936" spans="12:12">
      <c r="L936" s="6"/>
    </row>
    <row r="937" spans="12:12">
      <c r="L937" s="6"/>
    </row>
    <row r="938" spans="12:12">
      <c r="L938" s="6"/>
    </row>
    <row r="939" spans="12:12">
      <c r="L939" s="6"/>
    </row>
    <row r="940" spans="12:12">
      <c r="L940" s="6"/>
    </row>
    <row r="941" spans="12:12">
      <c r="L941" s="6"/>
    </row>
    <row r="942" spans="12:12">
      <c r="L942" s="6"/>
    </row>
    <row r="943" spans="12:12">
      <c r="L943" s="6"/>
    </row>
    <row r="944" spans="12:12">
      <c r="L944" s="6"/>
    </row>
    <row r="945" spans="12:12">
      <c r="L945" s="6"/>
    </row>
    <row r="946" spans="12:12">
      <c r="L946" s="6"/>
    </row>
    <row r="947" spans="12:12">
      <c r="L947" s="6"/>
    </row>
    <row r="948" spans="12:12">
      <c r="L948" s="6"/>
    </row>
    <row r="949" spans="12:12">
      <c r="L949" s="6"/>
    </row>
    <row r="950" spans="12:12">
      <c r="L950" s="6"/>
    </row>
    <row r="951" spans="12:12">
      <c r="L951" s="6"/>
    </row>
    <row r="952" spans="12:12">
      <c r="L952" s="6"/>
    </row>
    <row r="953" spans="12:12">
      <c r="L953" s="6"/>
    </row>
    <row r="954" spans="12:12">
      <c r="L954" s="6"/>
    </row>
    <row r="955" spans="12:12">
      <c r="L955" s="6"/>
    </row>
    <row r="956" spans="12:12">
      <c r="L956" s="6"/>
    </row>
    <row r="957" spans="12:12">
      <c r="L957" s="6"/>
    </row>
    <row r="958" spans="12:12">
      <c r="L958" s="6"/>
    </row>
    <row r="959" spans="12:12">
      <c r="L959" s="6"/>
    </row>
    <row r="960" spans="12:12">
      <c r="L960" s="6"/>
    </row>
    <row r="961" spans="12:12">
      <c r="L961" s="6"/>
    </row>
    <row r="962" spans="12:12">
      <c r="L962" s="6"/>
    </row>
    <row r="963" spans="12:12">
      <c r="L963" s="6"/>
    </row>
    <row r="964" spans="12:12">
      <c r="L964" s="6"/>
    </row>
    <row r="965" spans="12:12">
      <c r="L965" s="6"/>
    </row>
    <row r="966" spans="12:12">
      <c r="L966" s="6"/>
    </row>
    <row r="967" spans="12:12">
      <c r="L967" s="6"/>
    </row>
    <row r="968" spans="12:12">
      <c r="L968" s="6"/>
    </row>
    <row r="969" spans="12:12">
      <c r="L969" s="6"/>
    </row>
    <row r="970" spans="12:12">
      <c r="L970" s="6"/>
    </row>
    <row r="971" spans="12:12">
      <c r="L971" s="6"/>
    </row>
    <row r="972" spans="12:12">
      <c r="L972" s="6"/>
    </row>
    <row r="973" spans="12:12">
      <c r="L973" s="6"/>
    </row>
    <row r="974" spans="12:12">
      <c r="L974" s="6"/>
    </row>
    <row r="975" spans="12:12">
      <c r="L975" s="6"/>
    </row>
    <row r="976" spans="12:12">
      <c r="L976" s="6"/>
    </row>
    <row r="977" spans="12:12">
      <c r="L977" s="6"/>
    </row>
    <row r="978" spans="12:12">
      <c r="L978" s="6"/>
    </row>
    <row r="979" spans="12:12">
      <c r="L979" s="6"/>
    </row>
    <row r="980" spans="12:12">
      <c r="L980" s="6"/>
    </row>
    <row r="981" spans="12:12">
      <c r="L981" s="6"/>
    </row>
    <row r="982" spans="12:12">
      <c r="L982" s="6"/>
    </row>
    <row r="983" spans="12:12">
      <c r="L983" s="6"/>
    </row>
    <row r="984" spans="12:12">
      <c r="L984" s="6"/>
    </row>
    <row r="985" spans="12:12">
      <c r="L985" s="6"/>
    </row>
    <row r="986" spans="12:12">
      <c r="L986" s="6"/>
    </row>
    <row r="987" spans="12:12">
      <c r="L987" s="6"/>
    </row>
    <row r="988" spans="12:12">
      <c r="L988" s="6"/>
    </row>
    <row r="989" spans="12:12">
      <c r="L989" s="6"/>
    </row>
    <row r="990" spans="12:12">
      <c r="L990" s="6"/>
    </row>
    <row r="991" spans="12:12">
      <c r="L991" s="6"/>
    </row>
    <row r="992" spans="12:12">
      <c r="L992" s="6"/>
    </row>
    <row r="993" spans="12:12">
      <c r="L993" s="6"/>
    </row>
    <row r="994" spans="12:12">
      <c r="L994" s="6"/>
    </row>
    <row r="995" spans="12:12">
      <c r="L995" s="6"/>
    </row>
    <row r="996" spans="12:12">
      <c r="L996" s="6"/>
    </row>
    <row r="997" spans="12:12">
      <c r="L997" s="6"/>
    </row>
    <row r="998" spans="12:12">
      <c r="L998" s="6"/>
    </row>
    <row r="999" spans="12:12">
      <c r="L999" s="6"/>
    </row>
    <row r="1000" spans="12:12">
      <c r="L1000" s="6"/>
    </row>
    <row r="1001" spans="12:12">
      <c r="L1001" s="6"/>
    </row>
    <row r="1002" spans="12:12">
      <c r="L1002" s="6"/>
    </row>
    <row r="1003" spans="12:12">
      <c r="L1003" s="6"/>
    </row>
    <row r="1004" spans="12:12">
      <c r="L1004" s="6"/>
    </row>
    <row r="1005" spans="12:12">
      <c r="L1005" s="6"/>
    </row>
    <row r="1006" spans="12:12">
      <c r="L1006" s="6"/>
    </row>
    <row r="1007" spans="12:12">
      <c r="L1007" s="6"/>
    </row>
    <row r="1008" spans="12:12">
      <c r="L1008" s="6"/>
    </row>
    <row r="1009" spans="12:12">
      <c r="L1009" s="6"/>
    </row>
    <row r="1010" spans="12:12">
      <c r="L1010" s="6"/>
    </row>
    <row r="1011" spans="12:12">
      <c r="L1011" s="6"/>
    </row>
    <row r="1012" spans="12:12">
      <c r="L1012" s="6"/>
    </row>
    <row r="1013" spans="12:12">
      <c r="L1013" s="6"/>
    </row>
    <row r="1014" spans="12:12">
      <c r="L1014" s="6"/>
    </row>
    <row r="1015" spans="12:12">
      <c r="L1015" s="6"/>
    </row>
    <row r="1016" spans="12:12">
      <c r="L1016" s="6"/>
    </row>
    <row r="1017" spans="12:12">
      <c r="L1017" s="6"/>
    </row>
    <row r="1018" spans="12:12">
      <c r="L1018" s="6"/>
    </row>
    <row r="1019" spans="12:12">
      <c r="L1019" s="6"/>
    </row>
    <row r="1020" spans="12:12">
      <c r="L1020" s="6"/>
    </row>
    <row r="1021" spans="12:12">
      <c r="L1021" s="6"/>
    </row>
    <row r="1022" spans="12:12">
      <c r="L1022" s="6"/>
    </row>
    <row r="1023" spans="12:12">
      <c r="L1023" s="6"/>
    </row>
    <row r="1024" spans="12:12">
      <c r="L1024" s="6"/>
    </row>
    <row r="1025" spans="12:12">
      <c r="L1025" s="6"/>
    </row>
    <row r="1026" spans="12:12">
      <c r="L1026" s="6"/>
    </row>
    <row r="1027" spans="12:12">
      <c r="L1027" s="6"/>
    </row>
    <row r="1028" spans="12:12">
      <c r="L1028" s="6"/>
    </row>
    <row r="1029" spans="12:12">
      <c r="L1029" s="6"/>
    </row>
    <row r="1030" spans="12:12">
      <c r="L1030" s="6"/>
    </row>
    <row r="1031" spans="12:12">
      <c r="L1031" s="6"/>
    </row>
    <row r="1032" spans="12:12">
      <c r="L1032" s="6"/>
    </row>
    <row r="1033" spans="12:12">
      <c r="L1033" s="6"/>
    </row>
    <row r="1034" spans="12:12">
      <c r="L1034" s="6"/>
    </row>
    <row r="1035" spans="12:12">
      <c r="L1035" s="6"/>
    </row>
    <row r="1036" spans="12:12">
      <c r="L1036" s="6"/>
    </row>
    <row r="1037" spans="12:12">
      <c r="L1037" s="6"/>
    </row>
    <row r="1038" spans="12:12">
      <c r="L1038" s="6"/>
    </row>
    <row r="1039" spans="12:12">
      <c r="L1039" s="6"/>
    </row>
    <row r="1040" spans="12:12">
      <c r="L1040" s="6"/>
    </row>
    <row r="1041" spans="12:12">
      <c r="L1041" s="6"/>
    </row>
    <row r="1042" spans="12:12">
      <c r="L1042" s="6"/>
    </row>
    <row r="1043" spans="12:12">
      <c r="L1043" s="6"/>
    </row>
    <row r="1044" spans="12:12">
      <c r="L1044" s="6"/>
    </row>
    <row r="1045" spans="12:12">
      <c r="L1045" s="6"/>
    </row>
    <row r="1046" spans="12:12">
      <c r="L1046" s="6"/>
    </row>
    <row r="1047" spans="12:12">
      <c r="L1047" s="6"/>
    </row>
    <row r="1048" spans="12:12">
      <c r="L1048" s="6"/>
    </row>
    <row r="1049" spans="12:12">
      <c r="L1049" s="6"/>
    </row>
    <row r="1050" spans="12:12">
      <c r="L1050" s="6"/>
    </row>
    <row r="1051" spans="12:12">
      <c r="L1051" s="6"/>
    </row>
    <row r="1052" spans="12:12">
      <c r="L1052" s="6"/>
    </row>
    <row r="1053" spans="12:12">
      <c r="L1053" s="6"/>
    </row>
    <row r="1054" spans="12:12">
      <c r="L1054" s="6"/>
    </row>
    <row r="1055" spans="12:12">
      <c r="L1055" s="6"/>
    </row>
    <row r="1056" spans="12:12">
      <c r="L1056" s="6"/>
    </row>
    <row r="1057" spans="12:12">
      <c r="L1057" s="6"/>
    </row>
    <row r="1058" spans="12:12">
      <c r="L1058" s="6"/>
    </row>
    <row r="1059" spans="12:12">
      <c r="L1059" s="6"/>
    </row>
    <row r="1060" spans="12:12">
      <c r="L1060" s="6"/>
    </row>
    <row r="1061" spans="12:12">
      <c r="L1061" s="6"/>
    </row>
    <row r="1062" spans="12:12">
      <c r="L1062" s="6"/>
    </row>
    <row r="1063" spans="12:12">
      <c r="L1063" s="6"/>
    </row>
    <row r="1064" spans="12:12">
      <c r="L1064" s="6"/>
    </row>
    <row r="1065" spans="12:12">
      <c r="L1065" s="6"/>
    </row>
    <row r="1066" spans="12:12">
      <c r="L1066" s="6"/>
    </row>
    <row r="1067" spans="12:12">
      <c r="L1067" s="6"/>
    </row>
    <row r="1068" spans="12:12">
      <c r="L1068" s="6"/>
    </row>
    <row r="1069" spans="12:12">
      <c r="L1069" s="6"/>
    </row>
    <row r="1070" spans="12:12">
      <c r="L1070" s="6"/>
    </row>
    <row r="1071" spans="12:12">
      <c r="L1071" s="6"/>
    </row>
    <row r="1072" spans="12:12">
      <c r="L1072" s="6"/>
    </row>
    <row r="1073" spans="12:12">
      <c r="L1073" s="6"/>
    </row>
    <row r="1074" spans="12:12">
      <c r="L1074" s="6"/>
    </row>
    <row r="1075" spans="12:12">
      <c r="L1075" s="6"/>
    </row>
    <row r="1076" spans="12:12">
      <c r="L1076" s="6"/>
    </row>
    <row r="1077" spans="12:12">
      <c r="L1077" s="6"/>
    </row>
    <row r="1078" spans="12:12">
      <c r="L1078" s="6"/>
    </row>
    <row r="1079" spans="12:12">
      <c r="L1079" s="6"/>
    </row>
    <row r="1080" spans="12:12">
      <c r="L1080" s="6"/>
    </row>
    <row r="1081" spans="12:12">
      <c r="L1081" s="6"/>
    </row>
    <row r="1082" spans="12:12">
      <c r="L1082" s="6"/>
    </row>
    <row r="1083" spans="12:12">
      <c r="L1083" s="6"/>
    </row>
    <row r="1084" spans="12:12">
      <c r="L1084" s="6"/>
    </row>
    <row r="1085" spans="12:12">
      <c r="L1085" s="6"/>
    </row>
    <row r="1086" spans="12:12">
      <c r="L1086" s="6"/>
    </row>
    <row r="1087" spans="12:12">
      <c r="L1087" s="6"/>
    </row>
    <row r="1088" spans="12:12">
      <c r="L1088" s="6"/>
    </row>
    <row r="1089" spans="12:12">
      <c r="L1089" s="6"/>
    </row>
    <row r="1090" spans="12:12">
      <c r="L1090" s="6"/>
    </row>
    <row r="1091" spans="12:12">
      <c r="L1091" s="6"/>
    </row>
    <row r="1092" spans="12:12">
      <c r="L1092" s="6"/>
    </row>
    <row r="1093" spans="12:12">
      <c r="L1093" s="6"/>
    </row>
    <row r="1094" spans="12:12">
      <c r="L1094" s="6"/>
    </row>
    <row r="1095" spans="12:12">
      <c r="L1095" s="6"/>
    </row>
    <row r="1096" spans="12:12">
      <c r="L1096" s="6"/>
    </row>
    <row r="1097" spans="12:12">
      <c r="L1097" s="6"/>
    </row>
    <row r="1098" spans="12:12">
      <c r="L1098" s="6"/>
    </row>
    <row r="1099" spans="12:12">
      <c r="L1099" s="6"/>
    </row>
    <row r="1100" spans="12:12">
      <c r="L1100" s="6"/>
    </row>
    <row r="1101" spans="12:12">
      <c r="L1101" s="6"/>
    </row>
    <row r="1102" spans="12:12">
      <c r="L1102" s="6"/>
    </row>
    <row r="1103" spans="12:12">
      <c r="L1103" s="6"/>
    </row>
    <row r="1104" spans="12:12">
      <c r="L1104" s="6"/>
    </row>
    <row r="1105" spans="12:12">
      <c r="L1105" s="6"/>
    </row>
    <row r="1106" spans="12:12">
      <c r="L1106" s="6"/>
    </row>
    <row r="1107" spans="12:12">
      <c r="L1107" s="6"/>
    </row>
    <row r="1108" spans="12:12">
      <c r="L1108" s="6"/>
    </row>
    <row r="1109" spans="12:12">
      <c r="L1109" s="6"/>
    </row>
    <row r="1110" spans="12:12">
      <c r="L1110" s="6"/>
    </row>
    <row r="1111" spans="12:12">
      <c r="L1111" s="6"/>
    </row>
    <row r="1112" spans="12:12">
      <c r="L1112" s="6"/>
    </row>
    <row r="1113" spans="12:12">
      <c r="L1113" s="6"/>
    </row>
    <row r="1114" spans="12:12">
      <c r="L1114" s="6"/>
    </row>
    <row r="1115" spans="12:12">
      <c r="L1115" s="6"/>
    </row>
    <row r="1116" spans="12:12">
      <c r="L1116" s="6"/>
    </row>
    <row r="1117" spans="12:12">
      <c r="L1117" s="6"/>
    </row>
    <row r="1118" spans="12:12">
      <c r="L1118" s="6"/>
    </row>
    <row r="1119" spans="12:12">
      <c r="L1119" s="6"/>
    </row>
    <row r="1120" spans="12:12">
      <c r="L1120" s="6"/>
    </row>
    <row r="1121" spans="12:12">
      <c r="L1121" s="6"/>
    </row>
    <row r="1122" spans="12:12">
      <c r="L1122" s="6"/>
    </row>
    <row r="1123" spans="12:12">
      <c r="L1123" s="6"/>
    </row>
    <row r="1124" spans="12:12">
      <c r="L1124" s="6"/>
    </row>
    <row r="1125" spans="12:12">
      <c r="L1125" s="6"/>
    </row>
    <row r="1126" spans="12:12">
      <c r="L1126" s="6"/>
    </row>
    <row r="1127" spans="12:12">
      <c r="L1127" s="6"/>
    </row>
    <row r="1128" spans="12:12">
      <c r="L1128" s="6"/>
    </row>
    <row r="1129" spans="12:12">
      <c r="L1129" s="6"/>
    </row>
    <row r="1130" spans="12:12">
      <c r="L1130" s="6"/>
    </row>
    <row r="1131" spans="12:12">
      <c r="L1131" s="6"/>
    </row>
    <row r="1132" spans="12:12">
      <c r="L1132" s="6"/>
    </row>
    <row r="1133" spans="12:12">
      <c r="L1133" s="6"/>
    </row>
    <row r="1134" spans="12:12">
      <c r="L1134" s="6"/>
    </row>
    <row r="1135" spans="12:12">
      <c r="L1135" s="6"/>
    </row>
    <row r="1136" spans="12:12">
      <c r="L1136" s="6"/>
    </row>
    <row r="1137" spans="12:12">
      <c r="L1137" s="6"/>
    </row>
    <row r="1138" spans="12:12">
      <c r="L1138" s="6"/>
    </row>
    <row r="1139" spans="12:12">
      <c r="L1139" s="6"/>
    </row>
    <row r="1140" spans="12:12">
      <c r="L1140" s="6"/>
    </row>
    <row r="1141" spans="12:12">
      <c r="L1141" s="6"/>
    </row>
    <row r="1142" spans="12:12">
      <c r="L1142" s="6"/>
    </row>
    <row r="1143" spans="12:12">
      <c r="L1143" s="6"/>
    </row>
    <row r="1144" spans="12:12">
      <c r="L1144" s="6"/>
    </row>
    <row r="1145" spans="12:12">
      <c r="L1145" s="6"/>
    </row>
    <row r="1146" spans="12:12">
      <c r="L1146" s="6"/>
    </row>
    <row r="1147" spans="12:12">
      <c r="L1147" s="6"/>
    </row>
    <row r="1148" spans="12:12">
      <c r="L1148" s="6"/>
    </row>
    <row r="1149" spans="12:12">
      <c r="L1149" s="6"/>
    </row>
    <row r="1150" spans="12:12">
      <c r="L1150" s="6"/>
    </row>
    <row r="1151" spans="12:12">
      <c r="L1151" s="6"/>
    </row>
    <row r="1152" spans="12:12">
      <c r="L1152" s="6"/>
    </row>
    <row r="1153" spans="12:12">
      <c r="L1153" s="6"/>
    </row>
    <row r="1154" spans="12:12">
      <c r="L1154" s="6"/>
    </row>
    <row r="1155" spans="12:12">
      <c r="L1155" s="6"/>
    </row>
    <row r="1156" spans="12:12">
      <c r="L1156" s="6"/>
    </row>
    <row r="1157" spans="12:12">
      <c r="L1157" s="6"/>
    </row>
    <row r="1158" spans="12:12">
      <c r="L1158" s="6"/>
    </row>
    <row r="1159" spans="12:12">
      <c r="L1159" s="6"/>
    </row>
    <row r="1160" spans="12:12">
      <c r="L1160" s="6"/>
    </row>
    <row r="1161" spans="12:12">
      <c r="L1161" s="6"/>
    </row>
    <row r="1162" spans="12:12">
      <c r="L1162" s="6"/>
    </row>
    <row r="1163" spans="12:12">
      <c r="L1163" s="6"/>
    </row>
    <row r="1164" spans="12:12">
      <c r="L1164" s="6"/>
    </row>
    <row r="1165" spans="12:12">
      <c r="L1165" s="6"/>
    </row>
    <row r="1166" spans="12:12">
      <c r="L1166" s="6"/>
    </row>
    <row r="1167" spans="12:12">
      <c r="L1167" s="6"/>
    </row>
    <row r="1168" spans="12:12">
      <c r="L1168" s="6"/>
    </row>
    <row r="1169" spans="12:12">
      <c r="L1169" s="6"/>
    </row>
    <row r="1170" spans="12:12">
      <c r="L1170" s="6"/>
    </row>
    <row r="1171" spans="12:12">
      <c r="L1171" s="6"/>
    </row>
    <row r="1172" spans="12:12">
      <c r="L1172" s="6"/>
    </row>
    <row r="1173" spans="12:12">
      <c r="L1173" s="6"/>
    </row>
    <row r="1174" spans="12:12">
      <c r="L1174" s="6"/>
    </row>
    <row r="1175" spans="12:12">
      <c r="L1175" s="6"/>
    </row>
    <row r="1176" spans="12:12">
      <c r="L1176" s="6"/>
    </row>
    <row r="1177" spans="12:12">
      <c r="L1177" s="6"/>
    </row>
    <row r="1178" spans="12:12">
      <c r="L1178" s="6"/>
    </row>
    <row r="1179" spans="12:12">
      <c r="L1179" s="6"/>
    </row>
    <row r="1180" spans="12:12">
      <c r="L1180" s="6"/>
    </row>
    <row r="1181" spans="12:12">
      <c r="L1181" s="6"/>
    </row>
    <row r="1182" spans="12:12">
      <c r="L1182" s="6"/>
    </row>
    <row r="1183" spans="12:12">
      <c r="L1183" s="6"/>
    </row>
    <row r="1184" spans="12:12">
      <c r="L1184" s="6"/>
    </row>
    <row r="1185" spans="12:12">
      <c r="L1185" s="6"/>
    </row>
    <row r="1186" spans="12:12">
      <c r="L1186" s="6"/>
    </row>
    <row r="1187" spans="12:12">
      <c r="L1187" s="6"/>
    </row>
    <row r="1188" spans="12:12">
      <c r="L1188" s="6"/>
    </row>
    <row r="1189" spans="12:12">
      <c r="L1189" s="6"/>
    </row>
    <row r="1190" spans="12:12">
      <c r="L1190" s="6"/>
    </row>
    <row r="1191" spans="12:12">
      <c r="L1191" s="6"/>
    </row>
    <row r="1192" spans="12:12">
      <c r="L1192" s="6"/>
    </row>
    <row r="1193" spans="12:12">
      <c r="L1193" s="6"/>
    </row>
    <row r="1194" spans="12:12">
      <c r="L1194" s="6"/>
    </row>
    <row r="1195" spans="12:12">
      <c r="L1195" s="6"/>
    </row>
    <row r="1196" spans="12:12">
      <c r="L1196" s="6"/>
    </row>
    <row r="1197" spans="12:12">
      <c r="L1197" s="6"/>
    </row>
    <row r="1198" spans="12:12">
      <c r="L1198" s="6"/>
    </row>
    <row r="1199" spans="12:12">
      <c r="L1199" s="6"/>
    </row>
    <row r="1200" spans="12:12">
      <c r="L1200" s="6"/>
    </row>
    <row r="1201" spans="12:12">
      <c r="L1201" s="6"/>
    </row>
    <row r="1202" spans="12:12">
      <c r="L1202" s="6"/>
    </row>
    <row r="1203" spans="12:12">
      <c r="L1203" s="6"/>
    </row>
    <row r="1204" spans="12:12">
      <c r="L1204" s="6"/>
    </row>
    <row r="1205" spans="12:12">
      <c r="L1205" s="6"/>
    </row>
    <row r="1206" spans="12:12">
      <c r="L1206" s="6"/>
    </row>
    <row r="1207" spans="12:12">
      <c r="L1207" s="6"/>
    </row>
    <row r="1208" spans="12:12">
      <c r="L1208" s="6"/>
    </row>
    <row r="1209" spans="12:12">
      <c r="L1209" s="6"/>
    </row>
    <row r="1210" spans="12:12">
      <c r="L1210" s="6"/>
    </row>
    <row r="1211" spans="12:12">
      <c r="L1211" s="6"/>
    </row>
    <row r="1212" spans="12:12">
      <c r="L1212" s="6"/>
    </row>
    <row r="1213" spans="12:12">
      <c r="L1213" s="6"/>
    </row>
    <row r="1214" spans="12:12">
      <c r="L1214" s="6"/>
    </row>
    <row r="1215" spans="12:12">
      <c r="L1215" s="6"/>
    </row>
    <row r="1216" spans="12:12">
      <c r="L1216" s="6"/>
    </row>
    <row r="1217" spans="12:12">
      <c r="L1217" s="6"/>
    </row>
    <row r="1218" spans="12:12">
      <c r="L1218" s="6"/>
    </row>
    <row r="1219" spans="12:12">
      <c r="L1219" s="6"/>
    </row>
    <row r="1220" spans="12:12">
      <c r="L1220" s="6"/>
    </row>
    <row r="1221" spans="12:12">
      <c r="L1221" s="6"/>
    </row>
    <row r="1222" spans="12:12">
      <c r="L1222" s="6"/>
    </row>
    <row r="1223" spans="12:12">
      <c r="L1223" s="6"/>
    </row>
    <row r="1224" spans="12:12">
      <c r="L1224" s="6"/>
    </row>
    <row r="1225" spans="12:12">
      <c r="L1225" s="6"/>
    </row>
    <row r="1226" spans="12:12">
      <c r="L1226" s="6"/>
    </row>
    <row r="1227" spans="12:12">
      <c r="L1227" s="6"/>
    </row>
    <row r="1228" spans="12:12">
      <c r="L1228" s="6"/>
    </row>
    <row r="1229" spans="12:12">
      <c r="L1229" s="6"/>
    </row>
    <row r="1230" spans="12:12">
      <c r="L1230" s="6"/>
    </row>
    <row r="1231" spans="12:12">
      <c r="L1231" s="6"/>
    </row>
    <row r="1232" spans="12:12">
      <c r="L1232" s="6"/>
    </row>
    <row r="1233" spans="12:12">
      <c r="L1233" s="6"/>
    </row>
    <row r="1234" spans="12:12">
      <c r="L1234" s="6"/>
    </row>
    <row r="1235" spans="12:12">
      <c r="L1235" s="6"/>
    </row>
    <row r="1236" spans="12:12">
      <c r="L1236" s="6"/>
    </row>
    <row r="1237" spans="12:12">
      <c r="L1237" s="6"/>
    </row>
    <row r="1238" spans="12:12">
      <c r="L1238" s="6"/>
    </row>
    <row r="1239" spans="12:12">
      <c r="L1239" s="6"/>
    </row>
    <row r="1240" spans="12:12">
      <c r="L1240" s="6"/>
    </row>
    <row r="1241" spans="12:12">
      <c r="L1241" s="6"/>
    </row>
    <row r="1242" spans="12:12">
      <c r="L1242" s="6"/>
    </row>
    <row r="1243" spans="12:12">
      <c r="L1243" s="6"/>
    </row>
    <row r="1244" spans="12:12">
      <c r="L1244" s="6"/>
    </row>
    <row r="1245" spans="12:12">
      <c r="L1245" s="6"/>
    </row>
    <row r="1246" spans="12:12">
      <c r="L1246" s="6"/>
    </row>
    <row r="1247" spans="12:12">
      <c r="L1247" s="6"/>
    </row>
    <row r="1248" spans="12:12">
      <c r="L1248" s="6"/>
    </row>
    <row r="1249" spans="12:12">
      <c r="L1249" s="6"/>
    </row>
    <row r="1250" spans="12:12">
      <c r="L1250" s="6"/>
    </row>
    <row r="1251" spans="12:12">
      <c r="L1251" s="6"/>
    </row>
    <row r="1252" spans="12:12">
      <c r="L1252" s="6"/>
    </row>
    <row r="1253" spans="12:12">
      <c r="L1253" s="6"/>
    </row>
    <row r="1254" spans="12:12">
      <c r="L1254" s="6"/>
    </row>
    <row r="1255" spans="12:12">
      <c r="L1255" s="6"/>
    </row>
    <row r="1256" spans="12:12">
      <c r="L1256" s="6"/>
    </row>
    <row r="1257" spans="12:12">
      <c r="L1257" s="6"/>
    </row>
    <row r="1258" spans="12:12">
      <c r="L1258" s="6"/>
    </row>
    <row r="1259" spans="12:12">
      <c r="L1259" s="6"/>
    </row>
    <row r="1260" spans="12:12">
      <c r="L1260" s="6"/>
    </row>
    <row r="1261" spans="12:12">
      <c r="L1261" s="6"/>
    </row>
    <row r="1262" spans="12:12">
      <c r="L1262" s="6"/>
    </row>
    <row r="1263" spans="12:12">
      <c r="L1263" s="6"/>
    </row>
    <row r="1264" spans="12:12">
      <c r="L1264" s="6"/>
    </row>
    <row r="1265" spans="12:12">
      <c r="L1265" s="6"/>
    </row>
    <row r="1266" spans="12:12">
      <c r="L1266" s="6"/>
    </row>
    <row r="1267" spans="12:12">
      <c r="L1267" s="6"/>
    </row>
    <row r="1268" spans="12:12">
      <c r="L1268" s="6"/>
    </row>
    <row r="1269" spans="12:12">
      <c r="L1269" s="6"/>
    </row>
    <row r="1270" spans="12:12">
      <c r="L1270" s="6"/>
    </row>
    <row r="1271" spans="12:12">
      <c r="L1271" s="6"/>
    </row>
    <row r="1272" spans="12:12">
      <c r="L1272" s="6"/>
    </row>
    <row r="1273" spans="12:12">
      <c r="L1273" s="6"/>
    </row>
    <row r="1274" spans="12:12">
      <c r="L1274" s="6"/>
    </row>
    <row r="1275" spans="12:12">
      <c r="L1275" s="6"/>
    </row>
    <row r="1276" spans="12:12">
      <c r="L1276" s="6"/>
    </row>
    <row r="1277" spans="12:12">
      <c r="L1277" s="6"/>
    </row>
    <row r="1278" spans="12:12">
      <c r="L1278" s="6"/>
    </row>
    <row r="1279" spans="12:12">
      <c r="L1279" s="6"/>
    </row>
    <row r="1280" spans="12:12">
      <c r="L1280" s="6"/>
    </row>
    <row r="1281" spans="12:12">
      <c r="L1281" s="6"/>
    </row>
    <row r="1282" spans="12:12">
      <c r="L1282" s="6"/>
    </row>
    <row r="1283" spans="12:12">
      <c r="L1283" s="6"/>
    </row>
    <row r="1284" spans="12:12">
      <c r="L1284" s="6"/>
    </row>
    <row r="1285" spans="12:12">
      <c r="L1285" s="6"/>
    </row>
    <row r="1286" spans="12:12">
      <c r="L1286" s="6"/>
    </row>
    <row r="1287" spans="12:12">
      <c r="L1287" s="6"/>
    </row>
    <row r="1288" spans="12:12">
      <c r="L1288" s="6"/>
    </row>
    <row r="1289" spans="12:12">
      <c r="L1289" s="6"/>
    </row>
    <row r="1290" spans="12:12">
      <c r="L1290" s="6"/>
    </row>
    <row r="1291" spans="12:12">
      <c r="L1291" s="6"/>
    </row>
    <row r="1292" spans="12:12">
      <c r="L1292" s="6"/>
    </row>
    <row r="1293" spans="12:12">
      <c r="L1293" s="6"/>
    </row>
    <row r="1294" spans="12:12">
      <c r="L1294" s="6"/>
    </row>
    <row r="1295" spans="12:12">
      <c r="L1295" s="6"/>
    </row>
    <row r="1296" spans="12:12">
      <c r="L1296" s="6"/>
    </row>
    <row r="1297" spans="12:12">
      <c r="L1297" s="6"/>
    </row>
    <row r="1298" spans="12:12">
      <c r="L1298" s="6"/>
    </row>
    <row r="1299" spans="12:12">
      <c r="L1299" s="6"/>
    </row>
    <row r="1300" spans="12:12">
      <c r="L1300" s="6"/>
    </row>
    <row r="1301" spans="12:12">
      <c r="L1301" s="6"/>
    </row>
    <row r="1302" spans="12:12">
      <c r="L1302" s="6"/>
    </row>
    <row r="1303" spans="12:12">
      <c r="L1303" s="6"/>
    </row>
    <row r="1304" spans="12:12">
      <c r="L1304" s="6"/>
    </row>
    <row r="1305" spans="12:12">
      <c r="L1305" s="6"/>
    </row>
    <row r="1306" spans="12:12">
      <c r="L1306" s="6"/>
    </row>
    <row r="1307" spans="12:12">
      <c r="L1307" s="6"/>
    </row>
    <row r="1308" spans="12:12">
      <c r="L1308" s="6"/>
    </row>
    <row r="1309" spans="12:12">
      <c r="L1309" s="6"/>
    </row>
    <row r="1310" spans="12:12">
      <c r="L1310" s="6"/>
    </row>
    <row r="1311" spans="12:12">
      <c r="L1311" s="6"/>
    </row>
    <row r="1312" spans="12:12">
      <c r="L1312" s="6"/>
    </row>
    <row r="1313" spans="12:12">
      <c r="L1313" s="6"/>
    </row>
    <row r="1314" spans="12:12">
      <c r="L1314" s="6"/>
    </row>
    <row r="1315" spans="12:12">
      <c r="L1315" s="6"/>
    </row>
    <row r="1316" spans="12:12">
      <c r="L1316" s="6"/>
    </row>
    <row r="1317" spans="12:12">
      <c r="L1317" s="6"/>
    </row>
    <row r="1318" spans="12:12">
      <c r="L1318" s="6"/>
    </row>
    <row r="1319" spans="12:12">
      <c r="L1319" s="6"/>
    </row>
    <row r="1320" spans="12:12">
      <c r="L1320" s="6"/>
    </row>
    <row r="1321" spans="12:12">
      <c r="L1321" s="6"/>
    </row>
    <row r="1322" spans="12:12">
      <c r="L1322" s="6"/>
    </row>
    <row r="1323" spans="12:12">
      <c r="L1323" s="6"/>
    </row>
    <row r="1324" spans="12:12">
      <c r="L1324" s="6"/>
    </row>
    <row r="1325" spans="12:12">
      <c r="L1325" s="6"/>
    </row>
    <row r="1326" spans="12:12">
      <c r="L1326" s="6"/>
    </row>
    <row r="1327" spans="12:12">
      <c r="L1327" s="6"/>
    </row>
    <row r="1328" spans="12:12">
      <c r="L1328" s="6"/>
    </row>
    <row r="1329" spans="12:12">
      <c r="L1329" s="6"/>
    </row>
    <row r="1330" spans="12:12">
      <c r="L1330" s="6"/>
    </row>
    <row r="1331" spans="12:12">
      <c r="L1331" s="6"/>
    </row>
    <row r="1332" spans="12:12">
      <c r="L1332" s="6"/>
    </row>
    <row r="1333" spans="12:12">
      <c r="L1333" s="6"/>
    </row>
    <row r="1334" spans="12:12">
      <c r="L1334" s="6"/>
    </row>
    <row r="1335" spans="12:12">
      <c r="L1335" s="6"/>
    </row>
    <row r="1336" spans="12:12">
      <c r="L1336" s="6"/>
    </row>
    <row r="1337" spans="12:12">
      <c r="L1337" s="6"/>
    </row>
    <row r="1338" spans="12:12">
      <c r="L1338" s="6"/>
    </row>
    <row r="1339" spans="12:12">
      <c r="L1339" s="6"/>
    </row>
    <row r="1340" spans="12:12">
      <c r="L1340" s="6"/>
    </row>
    <row r="1341" spans="12:12">
      <c r="L1341" s="6"/>
    </row>
    <row r="1342" spans="12:12">
      <c r="L1342" s="6"/>
    </row>
    <row r="1343" spans="12:12">
      <c r="L1343" s="6"/>
    </row>
    <row r="1344" spans="12:12">
      <c r="L1344" s="6"/>
    </row>
    <row r="1345" spans="12:12">
      <c r="L1345" s="6"/>
    </row>
    <row r="1346" spans="12:12">
      <c r="L1346" s="6"/>
    </row>
    <row r="1347" spans="12:12">
      <c r="L1347" s="6"/>
    </row>
    <row r="1348" spans="12:12">
      <c r="L1348" s="6"/>
    </row>
    <row r="1349" spans="12:12">
      <c r="L1349" s="6"/>
    </row>
    <row r="1350" spans="12:12">
      <c r="L1350" s="6"/>
    </row>
    <row r="1351" spans="12:12">
      <c r="L1351" s="6"/>
    </row>
    <row r="1352" spans="12:12">
      <c r="L1352" s="6"/>
    </row>
    <row r="1353" spans="12:12">
      <c r="L1353" s="6"/>
    </row>
    <row r="1354" spans="12:12">
      <c r="L1354" s="6"/>
    </row>
    <row r="1355" spans="12:12">
      <c r="L1355" s="6"/>
    </row>
    <row r="1356" spans="12:12">
      <c r="L1356" s="6"/>
    </row>
    <row r="1357" spans="12:12">
      <c r="L1357" s="6"/>
    </row>
    <row r="1358" spans="12:12">
      <c r="L1358" s="6"/>
    </row>
    <row r="1359" spans="12:12">
      <c r="L1359" s="6"/>
    </row>
    <row r="1360" spans="12:12">
      <c r="L1360" s="6"/>
    </row>
    <row r="1361" spans="12:12">
      <c r="L1361" s="6"/>
    </row>
    <row r="1362" spans="12:12">
      <c r="L1362" s="6"/>
    </row>
    <row r="1363" spans="12:12">
      <c r="L1363" s="6"/>
    </row>
    <row r="1364" spans="12:12">
      <c r="L1364" s="6"/>
    </row>
    <row r="1365" spans="12:12">
      <c r="L1365" s="6"/>
    </row>
    <row r="1366" spans="12:12">
      <c r="L1366" s="6"/>
    </row>
    <row r="1367" spans="12:12">
      <c r="L1367" s="6"/>
    </row>
    <row r="1368" spans="12:12">
      <c r="L1368" s="6"/>
    </row>
    <row r="1369" spans="12:12">
      <c r="L1369" s="6"/>
    </row>
    <row r="1370" spans="12:12">
      <c r="L1370" s="6"/>
    </row>
    <row r="1371" spans="12:12">
      <c r="L1371" s="6"/>
    </row>
    <row r="1372" spans="12:12">
      <c r="L1372" s="6"/>
    </row>
    <row r="1373" spans="12:12">
      <c r="L1373" s="6"/>
    </row>
    <row r="1374" spans="12:12">
      <c r="L1374" s="6"/>
    </row>
    <row r="1375" spans="12:12">
      <c r="L1375" s="6"/>
    </row>
    <row r="1376" spans="12:12">
      <c r="L1376" s="6"/>
    </row>
    <row r="1377" spans="12:12">
      <c r="L1377" s="6"/>
    </row>
    <row r="1378" spans="12:12">
      <c r="L1378" s="6"/>
    </row>
    <row r="1379" spans="12:12">
      <c r="L1379" s="6"/>
    </row>
    <row r="1380" spans="12:12">
      <c r="L1380" s="6"/>
    </row>
    <row r="1381" spans="12:12">
      <c r="L1381" s="6"/>
    </row>
    <row r="1382" spans="12:12">
      <c r="L1382" s="6"/>
    </row>
    <row r="1383" spans="12:12">
      <c r="L1383" s="6"/>
    </row>
    <row r="1384" spans="12:12">
      <c r="L1384" s="6"/>
    </row>
    <row r="1385" spans="12:12">
      <c r="L1385" s="6"/>
    </row>
    <row r="1386" spans="12:12">
      <c r="L1386" s="6"/>
    </row>
    <row r="1387" spans="12:12">
      <c r="L1387" s="6"/>
    </row>
    <row r="1388" spans="12:12">
      <c r="L1388" s="6"/>
    </row>
    <row r="1389" spans="12:12">
      <c r="L1389" s="6"/>
    </row>
    <row r="1390" spans="12:12">
      <c r="L1390" s="6"/>
    </row>
    <row r="1391" spans="12:12">
      <c r="L1391" s="6"/>
    </row>
    <row r="1392" spans="12:12">
      <c r="L1392" s="6"/>
    </row>
    <row r="1393" spans="12:12">
      <c r="L1393" s="6"/>
    </row>
    <row r="1394" spans="12:12">
      <c r="L1394" s="6"/>
    </row>
    <row r="1395" spans="12:12">
      <c r="L1395" s="6"/>
    </row>
    <row r="1396" spans="12:12">
      <c r="L1396" s="6"/>
    </row>
    <row r="1397" spans="12:12">
      <c r="L1397" s="6"/>
    </row>
    <row r="1398" spans="12:12">
      <c r="L1398" s="6"/>
    </row>
    <row r="1399" spans="12:12">
      <c r="L1399" s="6"/>
    </row>
    <row r="1400" spans="12:12">
      <c r="L1400" s="6"/>
    </row>
    <row r="1401" spans="12:12">
      <c r="L1401" s="6"/>
    </row>
    <row r="1402" spans="12:12">
      <c r="L1402" s="6"/>
    </row>
    <row r="1403" spans="12:12">
      <c r="L1403" s="6"/>
    </row>
    <row r="1404" spans="12:12">
      <c r="L1404" s="6"/>
    </row>
    <row r="1405" spans="12:12">
      <c r="L1405" s="6"/>
    </row>
    <row r="1406" spans="12:12">
      <c r="L1406" s="6"/>
    </row>
    <row r="1407" spans="12:12">
      <c r="L1407" s="6"/>
    </row>
    <row r="1408" spans="12:12">
      <c r="L1408" s="6"/>
    </row>
    <row r="1409" spans="12:12">
      <c r="L1409" s="6"/>
    </row>
    <row r="1410" spans="12:12">
      <c r="L1410" s="6"/>
    </row>
    <row r="1411" spans="12:12">
      <c r="L1411" s="6"/>
    </row>
    <row r="1412" spans="12:12">
      <c r="L1412" s="6"/>
    </row>
    <row r="1413" spans="12:12">
      <c r="L1413" s="6"/>
    </row>
    <row r="1414" spans="12:12">
      <c r="L1414" s="6"/>
    </row>
    <row r="1415" spans="12:12">
      <c r="L1415" s="6"/>
    </row>
    <row r="1416" spans="12:12">
      <c r="L1416" s="6"/>
    </row>
    <row r="1417" spans="12:12">
      <c r="L1417" s="6"/>
    </row>
    <row r="1418" spans="12:12">
      <c r="L1418" s="6"/>
    </row>
    <row r="1419" spans="12:12">
      <c r="L1419" s="6"/>
    </row>
    <row r="1420" spans="12:12">
      <c r="L1420" s="6"/>
    </row>
    <row r="1421" spans="12:12">
      <c r="L1421" s="6"/>
    </row>
    <row r="1422" spans="12:12">
      <c r="L1422" s="6"/>
    </row>
    <row r="1423" spans="12:12">
      <c r="L1423" s="6"/>
    </row>
    <row r="1424" spans="12:12">
      <c r="L1424" s="6"/>
    </row>
    <row r="1425" spans="12:12">
      <c r="L1425" s="6"/>
    </row>
    <row r="1426" spans="12:12">
      <c r="L1426" s="6"/>
    </row>
    <row r="1427" spans="12:12">
      <c r="L1427" s="6"/>
    </row>
    <row r="1428" spans="12:12">
      <c r="L1428" s="6"/>
    </row>
    <row r="1429" spans="12:12">
      <c r="L1429" s="6"/>
    </row>
    <row r="1430" spans="12:12">
      <c r="L1430" s="6"/>
    </row>
    <row r="1431" spans="12:12">
      <c r="L1431" s="6"/>
    </row>
    <row r="1432" spans="12:12">
      <c r="L1432" s="6"/>
    </row>
    <row r="1433" spans="12:12">
      <c r="L1433" s="6"/>
    </row>
    <row r="1434" spans="12:12">
      <c r="L1434" s="6"/>
    </row>
    <row r="1435" spans="12:12">
      <c r="L1435" s="6"/>
    </row>
    <row r="1436" spans="12:12">
      <c r="L1436" s="6"/>
    </row>
    <row r="1437" spans="12:12">
      <c r="L1437" s="6"/>
    </row>
    <row r="1438" spans="12:12">
      <c r="L1438" s="6"/>
    </row>
    <row r="1439" spans="12:12">
      <c r="L1439" s="6"/>
    </row>
    <row r="1440" spans="12:12">
      <c r="L1440" s="6"/>
    </row>
    <row r="1441" spans="12:12">
      <c r="L1441" s="6"/>
    </row>
    <row r="1442" spans="12:12">
      <c r="L1442" s="6"/>
    </row>
    <row r="1443" spans="12:12">
      <c r="L1443" s="6"/>
    </row>
    <row r="1444" spans="12:12">
      <c r="L1444" s="6"/>
    </row>
    <row r="1445" spans="12:12">
      <c r="L1445" s="6"/>
    </row>
    <row r="1446" spans="12:12">
      <c r="L1446" s="6"/>
    </row>
    <row r="1447" spans="12:12">
      <c r="L1447" s="6"/>
    </row>
    <row r="1448" spans="12:12">
      <c r="L1448" s="6"/>
    </row>
    <row r="1449" spans="12:12">
      <c r="L1449" s="6"/>
    </row>
    <row r="1450" spans="12:12">
      <c r="L1450" s="6"/>
    </row>
    <row r="1451" spans="12:12">
      <c r="L1451" s="6"/>
    </row>
    <row r="1452" spans="12:12">
      <c r="L1452" s="6"/>
    </row>
    <row r="1453" spans="12:12">
      <c r="L1453" s="6"/>
    </row>
    <row r="1454" spans="12:12">
      <c r="L1454" s="6"/>
    </row>
    <row r="1455" spans="12:12">
      <c r="L1455" s="6"/>
    </row>
    <row r="1456" spans="12:12">
      <c r="L1456" s="6"/>
    </row>
    <row r="1457" spans="12:12">
      <c r="L1457" s="6"/>
    </row>
    <row r="1458" spans="12:12">
      <c r="L1458" s="6"/>
    </row>
    <row r="1459" spans="12:12">
      <c r="L1459" s="6"/>
    </row>
    <row r="1460" spans="12:12">
      <c r="L1460" s="6"/>
    </row>
    <row r="1461" spans="12:12">
      <c r="L1461" s="6"/>
    </row>
    <row r="1462" spans="12:12">
      <c r="L1462" s="6"/>
    </row>
    <row r="1463" spans="12:12">
      <c r="L1463" s="6"/>
    </row>
    <row r="1464" spans="12:12">
      <c r="L1464" s="6"/>
    </row>
    <row r="1465" spans="12:12">
      <c r="L1465" s="6"/>
    </row>
    <row r="1466" spans="12:12">
      <c r="L1466" s="6"/>
    </row>
    <row r="1467" spans="12:12">
      <c r="L1467" s="6"/>
    </row>
    <row r="1468" spans="12:12">
      <c r="L1468" s="6"/>
    </row>
    <row r="1469" spans="12:12">
      <c r="L1469" s="6"/>
    </row>
    <row r="1470" spans="12:12">
      <c r="L1470" s="6"/>
    </row>
    <row r="1471" spans="12:12">
      <c r="L1471" s="6"/>
    </row>
    <row r="1472" spans="12:12">
      <c r="L1472" s="6"/>
    </row>
    <row r="1473" spans="12:12">
      <c r="L1473" s="6"/>
    </row>
    <row r="1474" spans="12:12">
      <c r="L1474" s="6"/>
    </row>
    <row r="1475" spans="12:12">
      <c r="L1475" s="6"/>
    </row>
    <row r="1476" spans="12:12">
      <c r="L1476" s="6"/>
    </row>
    <row r="1477" spans="12:12">
      <c r="L1477" s="6"/>
    </row>
    <row r="1478" spans="12:12">
      <c r="L1478" s="6"/>
    </row>
    <row r="1479" spans="12:12">
      <c r="L1479" s="6"/>
    </row>
    <row r="1480" spans="12:12">
      <c r="L1480" s="6"/>
    </row>
    <row r="1481" spans="12:12">
      <c r="L1481" s="6"/>
    </row>
    <row r="1482" spans="12:12">
      <c r="L1482" s="6"/>
    </row>
    <row r="1483" spans="12:12">
      <c r="L1483" s="6"/>
    </row>
    <row r="1484" spans="12:12">
      <c r="L1484" s="6"/>
    </row>
    <row r="1485" spans="12:12">
      <c r="L1485" s="6"/>
    </row>
    <row r="1486" spans="12:12">
      <c r="L1486" s="6"/>
    </row>
    <row r="1487" spans="12:12">
      <c r="L1487" s="6"/>
    </row>
    <row r="1488" spans="12:12">
      <c r="L1488" s="6"/>
    </row>
    <row r="1489" spans="12:12">
      <c r="L1489" s="6"/>
    </row>
    <row r="1490" spans="12:12">
      <c r="L1490" s="6"/>
    </row>
    <row r="1491" spans="12:12">
      <c r="L1491" s="6"/>
    </row>
    <row r="1492" spans="12:12">
      <c r="L1492" s="6"/>
    </row>
    <row r="1493" spans="12:12">
      <c r="L1493" s="6"/>
    </row>
    <row r="1494" spans="12:12">
      <c r="L1494" s="6"/>
    </row>
    <row r="1495" spans="12:12">
      <c r="L1495" s="6"/>
    </row>
    <row r="1496" spans="12:12">
      <c r="L1496" s="6"/>
    </row>
    <row r="1497" spans="12:12">
      <c r="L1497" s="6"/>
    </row>
    <row r="1498" spans="12:12">
      <c r="L1498" s="6"/>
    </row>
    <row r="1499" spans="12:12">
      <c r="L1499" s="6"/>
    </row>
    <row r="1500" spans="12:12">
      <c r="L1500" s="6"/>
    </row>
    <row r="1501" spans="12:12">
      <c r="L1501" s="6"/>
    </row>
  </sheetData>
  <sortState xmlns:xlrd2="http://schemas.microsoft.com/office/spreadsheetml/2017/richdata2" ref="A2:N499">
    <sortCondition ref="A2:A49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B66-8956-4719-916E-A128A9CC9659}">
  <sheetPr codeName="Foglio6"/>
  <dimension ref="A1:H10011"/>
  <sheetViews>
    <sheetView topLeftCell="A433" workbookViewId="0">
      <selection activeCell="D439" sqref="D439"/>
    </sheetView>
  </sheetViews>
  <sheetFormatPr defaultColWidth="8.86328125" defaultRowHeight="14.75"/>
  <cols>
    <col min="1" max="1" width="11.40625" style="17" customWidth="1"/>
    <col min="2" max="3" width="17.40625" customWidth="1"/>
    <col min="4" max="4" width="15.40625" customWidth="1"/>
    <col min="5" max="5" width="9.26953125" bestFit="1" customWidth="1"/>
    <col min="6" max="6" width="26.1328125" bestFit="1" customWidth="1"/>
    <col min="8" max="8" width="10.7265625" bestFit="1" customWidth="1"/>
  </cols>
  <sheetData>
    <row r="1" spans="1:8"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8">
      <c r="A2" s="18" cm="1">
        <f t="array" ref="A2:A436">_xlfn.SEQUENCE(COUNT(C2:C1048576))</f>
        <v>1</v>
      </c>
      <c r="B2">
        <f>TBL_Dati_OS[[#This Row],[VaR OS]]/2.33*SQRT(260)</f>
        <v>6.0357310402110356</v>
      </c>
      <c r="C2" s="12">
        <v>45293</v>
      </c>
      <c r="D2" s="14">
        <v>0.87216594673245285</v>
      </c>
      <c r="E2" t="b">
        <f>F2=C2</f>
        <v>1</v>
      </c>
      <c r="F2" s="12" cm="1">
        <f t="array" ref="F2:F9998">'Output Fondi'!L2:L9998</f>
        <v>45293</v>
      </c>
    </row>
    <row r="3" spans="1:8">
      <c r="A3" s="18">
        <v>2</v>
      </c>
      <c r="B3">
        <f>TBL_Dati_OS[[#This Row],[VaR OS]]/2.33*SQRT(260)</f>
        <v>6.0119643541636583</v>
      </c>
      <c r="C3" s="12">
        <v>45294</v>
      </c>
      <c r="D3" s="14">
        <v>0.86873164952816917</v>
      </c>
      <c r="E3" t="b">
        <f t="shared" ref="E3:E66" si="0">F3=C3</f>
        <v>1</v>
      </c>
      <c r="F3" s="12">
        <v>45294</v>
      </c>
      <c r="H3" s="15" t="s">
        <v>18</v>
      </c>
    </row>
    <row r="4" spans="1:8">
      <c r="A4" s="18">
        <v>3</v>
      </c>
      <c r="B4">
        <f>TBL_Dati_OS[[#This Row],[VaR OS]]/2.33*SQRT(260)</f>
        <v>6.0124200032349355</v>
      </c>
      <c r="C4" s="12">
        <v>45295</v>
      </c>
      <c r="D4" s="14">
        <v>0.86879749103120851</v>
      </c>
      <c r="E4" t="b">
        <f t="shared" si="0"/>
        <v>1</v>
      </c>
      <c r="F4" s="12">
        <v>45295</v>
      </c>
      <c r="H4" s="12" cm="1">
        <f t="array" ref="H4:H501">_xlfn._xlws.FILTER('Output Fondi'!L2:L9998,'Output Fondi'!L2:L9998&lt;&gt;"")</f>
        <v>45293</v>
      </c>
    </row>
    <row r="5" spans="1:8">
      <c r="A5" s="18">
        <v>4</v>
      </c>
      <c r="B5">
        <f>TBL_Dati_OS[[#This Row],[VaR OS]]/2.33*SQRT(260)</f>
        <v>5.9834841183883647</v>
      </c>
      <c r="C5" s="12">
        <v>45296</v>
      </c>
      <c r="D5" s="14">
        <v>0.86461624219264721</v>
      </c>
      <c r="E5" t="b">
        <f t="shared" si="0"/>
        <v>1</v>
      </c>
      <c r="F5" s="12">
        <v>45296</v>
      </c>
      <c r="H5" s="12">
        <v>45294</v>
      </c>
    </row>
    <row r="6" spans="1:8">
      <c r="A6" s="18">
        <v>5</v>
      </c>
      <c r="B6">
        <f>TBL_Dati_OS[[#This Row],[VaR OS]]/2.33*SQRT(260)</f>
        <v>5.9795534815140243</v>
      </c>
      <c r="C6" s="12">
        <v>45299</v>
      </c>
      <c r="D6" s="14">
        <v>0.86404826333342843</v>
      </c>
      <c r="E6" t="b">
        <f t="shared" si="0"/>
        <v>1</v>
      </c>
      <c r="F6" s="12">
        <v>45299</v>
      </c>
      <c r="H6" s="12">
        <v>45295</v>
      </c>
    </row>
    <row r="7" spans="1:8">
      <c r="A7" s="18">
        <v>6</v>
      </c>
      <c r="B7">
        <f>TBL_Dati_OS[[#This Row],[VaR OS]]/2.33*SQRT(260)</f>
        <v>5.8988179380230985</v>
      </c>
      <c r="C7" s="12">
        <v>45300</v>
      </c>
      <c r="D7" s="14">
        <v>0.85238193969266196</v>
      </c>
      <c r="E7" t="b">
        <f t="shared" si="0"/>
        <v>1</v>
      </c>
      <c r="F7" s="12">
        <v>45300</v>
      </c>
      <c r="H7" s="12">
        <v>45296</v>
      </c>
    </row>
    <row r="8" spans="1:8">
      <c r="A8" s="18">
        <v>7</v>
      </c>
      <c r="B8">
        <f>TBL_Dati_OS[[#This Row],[VaR OS]]/2.33*SQRT(260)</f>
        <v>5.8304006116530749</v>
      </c>
      <c r="C8" s="12">
        <v>45301</v>
      </c>
      <c r="D8" s="14">
        <v>0.84249560416364733</v>
      </c>
      <c r="E8" t="b">
        <f t="shared" si="0"/>
        <v>1</v>
      </c>
      <c r="F8" s="12">
        <v>45301</v>
      </c>
      <c r="H8" s="12">
        <v>45299</v>
      </c>
    </row>
    <row r="9" spans="1:8">
      <c r="A9" s="18">
        <v>8</v>
      </c>
      <c r="B9">
        <f>TBL_Dati_OS[[#This Row],[VaR OS]]/2.33*SQRT(260)</f>
        <v>5.7935550932780311</v>
      </c>
      <c r="C9" s="12">
        <v>45302</v>
      </c>
      <c r="D9" s="14">
        <v>0.83717140959594261</v>
      </c>
      <c r="E9" t="b">
        <f t="shared" si="0"/>
        <v>1</v>
      </c>
      <c r="F9" s="12">
        <v>45302</v>
      </c>
      <c r="H9" s="12">
        <v>45300</v>
      </c>
    </row>
    <row r="10" spans="1:8">
      <c r="A10" s="18">
        <v>9</v>
      </c>
      <c r="B10">
        <f>TBL_Dati_OS[[#This Row],[VaR OS]]/2.33*SQRT(260)</f>
        <v>5.7776225880288496</v>
      </c>
      <c r="C10" s="12">
        <v>45303</v>
      </c>
      <c r="D10" s="14">
        <v>0.8348691551661318</v>
      </c>
      <c r="E10" t="b">
        <f t="shared" si="0"/>
        <v>1</v>
      </c>
      <c r="F10" s="12">
        <v>45303</v>
      </c>
      <c r="H10" s="12">
        <v>45301</v>
      </c>
    </row>
    <row r="11" spans="1:8">
      <c r="A11" s="18">
        <v>10</v>
      </c>
      <c r="B11">
        <f>TBL_Dati_OS[[#This Row],[VaR OS]]/2.33*SQRT(260)</f>
        <v>5.7513380734199684</v>
      </c>
      <c r="C11" s="12">
        <v>45306</v>
      </c>
      <c r="D11" s="14">
        <v>0.83107103056191545</v>
      </c>
      <c r="E11" t="b">
        <f t="shared" si="0"/>
        <v>1</v>
      </c>
      <c r="F11" s="12">
        <v>45306</v>
      </c>
      <c r="H11" s="12">
        <v>45302</v>
      </c>
    </row>
    <row r="12" spans="1:8">
      <c r="A12" s="18">
        <v>11</v>
      </c>
      <c r="B12">
        <f>TBL_Dati_OS[[#This Row],[VaR OS]]/2.33*SQRT(260)</f>
        <v>5.7679622276370752</v>
      </c>
      <c r="C12" s="12">
        <v>45307</v>
      </c>
      <c r="D12" s="14">
        <v>0.83347322858975903</v>
      </c>
      <c r="E12" t="b">
        <f t="shared" si="0"/>
        <v>1</v>
      </c>
      <c r="F12" s="12">
        <v>45307</v>
      </c>
      <c r="H12" s="12">
        <v>45303</v>
      </c>
    </row>
    <row r="13" spans="1:8">
      <c r="A13" s="18">
        <v>12</v>
      </c>
      <c r="B13">
        <f>TBL_Dati_OS[[#This Row],[VaR OS]]/2.33*SQRT(260)</f>
        <v>5.7293044297161684</v>
      </c>
      <c r="C13" s="12">
        <v>45308</v>
      </c>
      <c r="D13" s="14">
        <v>0.82788715878352392</v>
      </c>
      <c r="E13" t="b">
        <f t="shared" si="0"/>
        <v>1</v>
      </c>
      <c r="F13" s="12">
        <v>45308</v>
      </c>
      <c r="H13" s="12">
        <v>45306</v>
      </c>
    </row>
    <row r="14" spans="1:8">
      <c r="A14" s="18">
        <v>13</v>
      </c>
      <c r="B14">
        <f>TBL_Dati_OS[[#This Row],[VaR OS]]/2.33*SQRT(260)</f>
        <v>5.9096074137105399</v>
      </c>
      <c r="C14" s="12">
        <v>45309</v>
      </c>
      <c r="D14" s="14">
        <v>0.85394102395519644</v>
      </c>
      <c r="E14" t="b">
        <f t="shared" si="0"/>
        <v>1</v>
      </c>
      <c r="F14" s="12">
        <v>45309</v>
      </c>
      <c r="H14" s="12">
        <v>45307</v>
      </c>
    </row>
    <row r="15" spans="1:8">
      <c r="A15" s="18">
        <v>14</v>
      </c>
      <c r="B15">
        <f>TBL_Dati_OS[[#This Row],[VaR OS]]/2.33*SQRT(260)</f>
        <v>5.9294479171696892</v>
      </c>
      <c r="C15" s="12">
        <v>45310</v>
      </c>
      <c r="D15" s="14">
        <v>0.85680798594667906</v>
      </c>
      <c r="E15" t="b">
        <f t="shared" si="0"/>
        <v>1</v>
      </c>
      <c r="F15" s="12">
        <v>45310</v>
      </c>
      <c r="H15" s="12">
        <v>45308</v>
      </c>
    </row>
    <row r="16" spans="1:8">
      <c r="A16" s="18">
        <v>15</v>
      </c>
      <c r="B16">
        <f>TBL_Dati_OS[[#This Row],[VaR OS]]/2.33*SQRT(260)</f>
        <v>6.0664129226383654</v>
      </c>
      <c r="C16" s="12">
        <v>45313</v>
      </c>
      <c r="D16" s="14">
        <v>0.87659949303471318</v>
      </c>
      <c r="E16" t="b">
        <f t="shared" si="0"/>
        <v>1</v>
      </c>
      <c r="F16" s="12">
        <v>45313</v>
      </c>
      <c r="H16" s="12">
        <v>45309</v>
      </c>
    </row>
    <row r="17" spans="1:8">
      <c r="A17" s="18">
        <v>16</v>
      </c>
      <c r="B17">
        <f>TBL_Dati_OS[[#This Row],[VaR OS]]/2.33*SQRT(260)</f>
        <v>6.0374497830877818</v>
      </c>
      <c r="C17" s="12">
        <v>45314</v>
      </c>
      <c r="D17" s="14">
        <v>0.87241430587872681</v>
      </c>
      <c r="E17" t="b">
        <f t="shared" si="0"/>
        <v>1</v>
      </c>
      <c r="F17" s="12">
        <v>45314</v>
      </c>
      <c r="H17" s="12">
        <v>45310</v>
      </c>
    </row>
    <row r="18" spans="1:8">
      <c r="A18" s="18">
        <v>17</v>
      </c>
      <c r="B18">
        <f>TBL_Dati_OS[[#This Row],[VaR OS]]/2.33*SQRT(260)</f>
        <v>6.0074912734185082</v>
      </c>
      <c r="C18" s="12">
        <v>45315</v>
      </c>
      <c r="D18" s="14">
        <v>0.86808528727695</v>
      </c>
      <c r="E18" t="b">
        <f t="shared" si="0"/>
        <v>1</v>
      </c>
      <c r="F18" s="12">
        <v>45315</v>
      </c>
      <c r="H18" s="12">
        <v>45313</v>
      </c>
    </row>
    <row r="19" spans="1:8">
      <c r="A19" s="18">
        <v>18</v>
      </c>
      <c r="B19">
        <f>TBL_Dati_OS[[#This Row],[VaR OS]]/2.33*SQRT(260)</f>
        <v>6.0148773964993936</v>
      </c>
      <c r="C19" s="12">
        <v>45316</v>
      </c>
      <c r="D19" s="14">
        <v>0.86915258550256769</v>
      </c>
      <c r="E19" t="b">
        <f t="shared" si="0"/>
        <v>1</v>
      </c>
      <c r="F19" s="12">
        <v>45316</v>
      </c>
      <c r="H19" s="12">
        <v>45314</v>
      </c>
    </row>
    <row r="20" spans="1:8">
      <c r="A20" s="18">
        <v>19</v>
      </c>
      <c r="B20">
        <f>TBL_Dati_OS[[#This Row],[VaR OS]]/2.33*SQRT(260)</f>
        <v>5.9937775485109466</v>
      </c>
      <c r="C20" s="12">
        <v>45317</v>
      </c>
      <c r="D20" s="14">
        <v>0.86610364764000325</v>
      </c>
      <c r="E20" t="b">
        <f t="shared" si="0"/>
        <v>1</v>
      </c>
      <c r="F20" s="12">
        <v>45317</v>
      </c>
      <c r="H20" s="12">
        <v>45315</v>
      </c>
    </row>
    <row r="21" spans="1:8">
      <c r="A21" s="18">
        <v>20</v>
      </c>
      <c r="B21">
        <f>TBL_Dati_OS[[#This Row],[VaR OS]]/2.33*SQRT(260)</f>
        <v>5.9801709161744832</v>
      </c>
      <c r="C21" s="12">
        <v>45320</v>
      </c>
      <c r="D21" s="14">
        <v>0.86413748292946357</v>
      </c>
      <c r="E21" t="b">
        <f t="shared" si="0"/>
        <v>1</v>
      </c>
      <c r="F21" s="12">
        <v>45320</v>
      </c>
      <c r="H21" s="12">
        <v>45316</v>
      </c>
    </row>
    <row r="22" spans="1:8">
      <c r="A22" s="18">
        <v>21</v>
      </c>
      <c r="B22">
        <f>TBL_Dati_OS[[#This Row],[VaR OS]]/2.33*SQRT(260)</f>
        <v>5.949747534948</v>
      </c>
      <c r="C22" s="12">
        <v>45321</v>
      </c>
      <c r="D22" s="14">
        <v>0.85974129017113443</v>
      </c>
      <c r="E22" t="b">
        <f t="shared" si="0"/>
        <v>1</v>
      </c>
      <c r="F22" s="12">
        <v>45321</v>
      </c>
      <c r="H22" s="12">
        <v>45317</v>
      </c>
    </row>
    <row r="23" spans="1:8">
      <c r="A23" s="18">
        <v>22</v>
      </c>
      <c r="B23">
        <f>TBL_Dati_OS[[#This Row],[VaR OS]]/2.33*SQRT(260)</f>
        <v>6.3447127283348053</v>
      </c>
      <c r="C23" s="12">
        <v>45322</v>
      </c>
      <c r="D23" s="14">
        <v>0.91681394458890408</v>
      </c>
      <c r="E23" t="b">
        <f t="shared" si="0"/>
        <v>1</v>
      </c>
      <c r="F23" s="12">
        <v>45322</v>
      </c>
      <c r="H23" s="12">
        <v>45320</v>
      </c>
    </row>
    <row r="24" spans="1:8">
      <c r="A24" s="18">
        <v>23</v>
      </c>
      <c r="B24">
        <f>TBL_Dati_OS[[#This Row],[VaR OS]]/2.33*SQRT(260)</f>
        <v>6.6788607001160702</v>
      </c>
      <c r="C24" s="12">
        <v>45323</v>
      </c>
      <c r="D24" s="14">
        <v>0.96509848215622851</v>
      </c>
      <c r="E24" t="b">
        <f t="shared" si="0"/>
        <v>1</v>
      </c>
      <c r="F24" s="12">
        <v>45323</v>
      </c>
      <c r="H24" s="12">
        <v>45321</v>
      </c>
    </row>
    <row r="25" spans="1:8">
      <c r="A25" s="18">
        <v>24</v>
      </c>
      <c r="B25">
        <f>TBL_Dati_OS[[#This Row],[VaR OS]]/2.33*SQRT(260)</f>
        <v>6.4421934237441372</v>
      </c>
      <c r="C25" s="12">
        <v>45324</v>
      </c>
      <c r="D25" s="14">
        <v>0.93089995048171226</v>
      </c>
      <c r="E25" t="b">
        <f t="shared" si="0"/>
        <v>1</v>
      </c>
      <c r="F25" s="12">
        <v>45324</v>
      </c>
      <c r="H25" s="12">
        <v>45322</v>
      </c>
    </row>
    <row r="26" spans="1:8">
      <c r="A26" s="18">
        <v>25</v>
      </c>
      <c r="B26">
        <f>TBL_Dati_OS[[#This Row],[VaR OS]]/2.33*SQRT(260)</f>
        <v>6.4247180254204137</v>
      </c>
      <c r="C26" s="12">
        <v>45327</v>
      </c>
      <c r="D26" s="14">
        <v>0.92837474728395608</v>
      </c>
      <c r="E26" t="b">
        <f t="shared" si="0"/>
        <v>1</v>
      </c>
      <c r="F26" s="12">
        <v>45327</v>
      </c>
      <c r="H26" s="12">
        <v>45323</v>
      </c>
    </row>
    <row r="27" spans="1:8">
      <c r="A27" s="18">
        <v>26</v>
      </c>
      <c r="B27">
        <f>TBL_Dati_OS[[#This Row],[VaR OS]]/2.33*SQRT(260)</f>
        <v>6.4284845130961106</v>
      </c>
      <c r="C27" s="12">
        <v>45328</v>
      </c>
      <c r="D27" s="14">
        <v>0.9289190065075108</v>
      </c>
      <c r="E27" t="b">
        <f t="shared" si="0"/>
        <v>1</v>
      </c>
      <c r="F27" s="12">
        <v>45328</v>
      </c>
      <c r="H27" s="12">
        <v>45324</v>
      </c>
    </row>
    <row r="28" spans="1:8">
      <c r="A28" s="18">
        <v>27</v>
      </c>
      <c r="B28">
        <f>TBL_Dati_OS[[#This Row],[VaR OS]]/2.33*SQRT(260)</f>
        <v>6.3873902590837552</v>
      </c>
      <c r="C28" s="12">
        <v>45329</v>
      </c>
      <c r="D28" s="14">
        <v>0.92298086766116871</v>
      </c>
      <c r="E28" t="b">
        <f t="shared" si="0"/>
        <v>1</v>
      </c>
      <c r="F28" s="12">
        <v>45329</v>
      </c>
      <c r="H28" s="12">
        <v>45327</v>
      </c>
    </row>
    <row r="29" spans="1:8">
      <c r="A29" s="18">
        <v>28</v>
      </c>
      <c r="B29">
        <f>TBL_Dati_OS[[#This Row],[VaR OS]]/2.33*SQRT(260)</f>
        <v>6.3201944681726863</v>
      </c>
      <c r="C29" s="12">
        <v>45330</v>
      </c>
      <c r="D29" s="14">
        <v>0.91327104457495989</v>
      </c>
      <c r="E29" t="b">
        <f t="shared" si="0"/>
        <v>1</v>
      </c>
      <c r="F29" s="12">
        <v>45330</v>
      </c>
      <c r="H29" s="12">
        <v>45328</v>
      </c>
    </row>
    <row r="30" spans="1:8">
      <c r="A30" s="18">
        <v>29</v>
      </c>
      <c r="B30">
        <f>TBL_Dati_OS[[#This Row],[VaR OS]]/2.33*SQRT(260)</f>
        <v>6.2917411862284398</v>
      </c>
      <c r="C30" s="12">
        <v>45331</v>
      </c>
      <c r="D30" s="14">
        <v>0.9091595320805792</v>
      </c>
      <c r="E30" t="b">
        <f t="shared" si="0"/>
        <v>1</v>
      </c>
      <c r="F30" s="12">
        <v>45331</v>
      </c>
      <c r="H30" s="12">
        <v>45329</v>
      </c>
    </row>
    <row r="31" spans="1:8">
      <c r="A31" s="18">
        <v>30</v>
      </c>
      <c r="B31">
        <f>TBL_Dati_OS[[#This Row],[VaR OS]]/2.33*SQRT(260)</f>
        <v>6.2895713571095246</v>
      </c>
      <c r="C31" s="12">
        <v>45334</v>
      </c>
      <c r="D31" s="14">
        <v>0.9088459907621973</v>
      </c>
      <c r="E31" t="b">
        <f t="shared" si="0"/>
        <v>1</v>
      </c>
      <c r="F31" s="12">
        <v>45334</v>
      </c>
      <c r="H31" s="12">
        <v>45330</v>
      </c>
    </row>
    <row r="32" spans="1:8">
      <c r="A32" s="18">
        <v>31</v>
      </c>
      <c r="B32">
        <f>TBL_Dati_OS[[#This Row],[VaR OS]]/2.33*SQRT(260)</f>
        <v>6.3020853060032485</v>
      </c>
      <c r="C32" s="12">
        <v>45335</v>
      </c>
      <c r="D32" s="14">
        <v>0.91065426220629309</v>
      </c>
      <c r="E32" t="b">
        <f t="shared" si="0"/>
        <v>1</v>
      </c>
      <c r="F32" s="12">
        <v>45335</v>
      </c>
      <c r="H32" s="12">
        <v>45331</v>
      </c>
    </row>
    <row r="33" spans="1:8">
      <c r="A33" s="18">
        <v>32</v>
      </c>
      <c r="B33">
        <f>TBL_Dati_OS[[#This Row],[VaR OS]]/2.33*SQRT(260)</f>
        <v>6.3419128308431274</v>
      </c>
      <c r="C33" s="12">
        <v>45336</v>
      </c>
      <c r="D33" s="14">
        <v>0.91640935809717428</v>
      </c>
      <c r="E33" t="b">
        <f t="shared" si="0"/>
        <v>1</v>
      </c>
      <c r="F33" s="12">
        <v>45336</v>
      </c>
      <c r="H33" s="12">
        <v>45334</v>
      </c>
    </row>
    <row r="34" spans="1:8">
      <c r="A34" s="18">
        <v>33</v>
      </c>
      <c r="B34">
        <f>TBL_Dati_OS[[#This Row],[VaR OS]]/2.33*SQRT(260)</f>
        <v>6.4048441780000926</v>
      </c>
      <c r="C34" s="12">
        <v>45337</v>
      </c>
      <c r="D34" s="14">
        <v>0.92550296707455249</v>
      </c>
      <c r="E34" t="b">
        <f t="shared" si="0"/>
        <v>1</v>
      </c>
      <c r="F34" s="12">
        <v>45337</v>
      </c>
      <c r="H34" s="12">
        <v>45335</v>
      </c>
    </row>
    <row r="35" spans="1:8">
      <c r="A35" s="18">
        <v>34</v>
      </c>
      <c r="B35">
        <f>TBL_Dati_OS[[#This Row],[VaR OS]]/2.33*SQRT(260)</f>
        <v>6.3777221901828947</v>
      </c>
      <c r="C35" s="12">
        <v>45338</v>
      </c>
      <c r="D35" s="14">
        <v>0.92158382720164234</v>
      </c>
      <c r="E35" t="b">
        <f t="shared" si="0"/>
        <v>1</v>
      </c>
      <c r="F35" s="12">
        <v>45338</v>
      </c>
      <c r="H35" s="12">
        <v>45336</v>
      </c>
    </row>
    <row r="36" spans="1:8">
      <c r="A36" s="18">
        <v>35</v>
      </c>
      <c r="B36">
        <f>TBL_Dati_OS[[#This Row],[VaR OS]]/2.33*SQRT(260)</f>
        <v>6.3405936144719188</v>
      </c>
      <c r="C36" s="12">
        <v>45341</v>
      </c>
      <c r="D36" s="14">
        <v>0.91621873071704851</v>
      </c>
      <c r="E36" t="b">
        <f t="shared" si="0"/>
        <v>1</v>
      </c>
      <c r="F36" s="12">
        <v>45341</v>
      </c>
      <c r="H36" s="12">
        <v>45337</v>
      </c>
    </row>
    <row r="37" spans="1:8">
      <c r="A37" s="18">
        <v>36</v>
      </c>
      <c r="B37">
        <f>TBL_Dati_OS[[#This Row],[VaR OS]]/2.33*SQRT(260)</f>
        <v>6.2406896421939404</v>
      </c>
      <c r="C37" s="12">
        <v>45342</v>
      </c>
      <c r="D37" s="14">
        <v>0.90178256018796721</v>
      </c>
      <c r="E37" t="b">
        <f t="shared" si="0"/>
        <v>1</v>
      </c>
      <c r="F37" s="12">
        <v>45342</v>
      </c>
      <c r="H37" s="12">
        <v>45338</v>
      </c>
    </row>
    <row r="38" spans="1:8">
      <c r="A38" s="18">
        <v>37</v>
      </c>
      <c r="B38">
        <f>TBL_Dati_OS[[#This Row],[VaR OS]]/2.33*SQRT(260)</f>
        <v>6.1840506381446509</v>
      </c>
      <c r="C38" s="12">
        <v>45343</v>
      </c>
      <c r="D38" s="14">
        <v>0.89359819772059901</v>
      </c>
      <c r="E38" t="b">
        <f t="shared" si="0"/>
        <v>1</v>
      </c>
      <c r="F38" s="12">
        <v>45343</v>
      </c>
      <c r="H38" s="12">
        <v>45341</v>
      </c>
    </row>
    <row r="39" spans="1:8">
      <c r="A39" s="18">
        <v>38</v>
      </c>
      <c r="B39">
        <f>TBL_Dati_OS[[#This Row],[VaR OS]]/2.33*SQRT(260)</f>
        <v>6.2062131523274049</v>
      </c>
      <c r="C39" s="12">
        <v>45344</v>
      </c>
      <c r="D39" s="14">
        <v>0.89680069134322693</v>
      </c>
      <c r="E39" t="b">
        <f t="shared" si="0"/>
        <v>1</v>
      </c>
      <c r="F39" s="12">
        <v>45344</v>
      </c>
      <c r="H39" s="12">
        <v>45342</v>
      </c>
    </row>
    <row r="40" spans="1:8">
      <c r="A40" s="18">
        <v>39</v>
      </c>
      <c r="B40">
        <f>TBL_Dati_OS[[#This Row],[VaR OS]]/2.33*SQRT(260)</f>
        <v>6.220786109373126</v>
      </c>
      <c r="C40" s="12">
        <v>45345</v>
      </c>
      <c r="D40" s="14">
        <v>0.89890649042436499</v>
      </c>
      <c r="E40" t="b">
        <f t="shared" si="0"/>
        <v>1</v>
      </c>
      <c r="F40" s="12">
        <v>45345</v>
      </c>
      <c r="H40" s="12">
        <v>45343</v>
      </c>
    </row>
    <row r="41" spans="1:8">
      <c r="A41" s="18">
        <v>40</v>
      </c>
      <c r="B41">
        <f>TBL_Dati_OS[[#This Row],[VaR OS]]/2.33*SQRT(260)</f>
        <v>6.1844298630390382</v>
      </c>
      <c r="C41" s="12">
        <v>45348</v>
      </c>
      <c r="D41" s="14">
        <v>0.89365299589447966</v>
      </c>
      <c r="E41" t="b">
        <f t="shared" si="0"/>
        <v>1</v>
      </c>
      <c r="F41" s="12">
        <v>45348</v>
      </c>
      <c r="H41" s="12">
        <v>45344</v>
      </c>
    </row>
    <row r="42" spans="1:8">
      <c r="A42" s="18">
        <v>41</v>
      </c>
      <c r="B42">
        <f>TBL_Dati_OS[[#This Row],[VaR OS]]/2.33*SQRT(260)</f>
        <v>6.340451748621339</v>
      </c>
      <c r="C42" s="12">
        <v>45349</v>
      </c>
      <c r="D42" s="14">
        <v>0.91619823103555909</v>
      </c>
      <c r="E42" t="b">
        <f t="shared" si="0"/>
        <v>1</v>
      </c>
      <c r="F42" s="12">
        <v>45349</v>
      </c>
      <c r="H42" s="12">
        <v>45345</v>
      </c>
    </row>
    <row r="43" spans="1:8">
      <c r="A43" s="18">
        <v>42</v>
      </c>
      <c r="B43">
        <f>TBL_Dati_OS[[#This Row],[VaR OS]]/2.33*SQRT(260)</f>
        <v>6.5861658665334168</v>
      </c>
      <c r="C43" s="12">
        <v>45350</v>
      </c>
      <c r="D43" s="14">
        <v>0.95170403552661265</v>
      </c>
      <c r="E43" t="b">
        <f t="shared" si="0"/>
        <v>1</v>
      </c>
      <c r="F43" s="12">
        <v>45350</v>
      </c>
      <c r="H43" s="12">
        <v>45348</v>
      </c>
    </row>
    <row r="44" spans="1:8">
      <c r="A44" s="18">
        <v>43</v>
      </c>
      <c r="B44">
        <f>TBL_Dati_OS[[#This Row],[VaR OS]]/2.33*SQRT(260)</f>
        <v>6.5689429463550955</v>
      </c>
      <c r="C44" s="12">
        <v>45351</v>
      </c>
      <c r="D44" s="14">
        <v>0.94921531553847061</v>
      </c>
      <c r="E44" t="b">
        <f t="shared" si="0"/>
        <v>1</v>
      </c>
      <c r="F44" s="12">
        <v>45351</v>
      </c>
      <c r="H44" s="12">
        <v>45349</v>
      </c>
    </row>
    <row r="45" spans="1:8">
      <c r="A45" s="18">
        <v>44</v>
      </c>
      <c r="B45">
        <f>TBL_Dati_OS[[#This Row],[VaR OS]]/2.33*SQRT(260)</f>
        <v>6.5694487201945968</v>
      </c>
      <c r="C45" s="12">
        <v>45352</v>
      </c>
      <c r="D45" s="14">
        <v>0.94928840009386617</v>
      </c>
      <c r="E45" t="b">
        <f t="shared" si="0"/>
        <v>1</v>
      </c>
      <c r="F45" s="12">
        <v>45352</v>
      </c>
      <c r="H45" s="12">
        <v>45350</v>
      </c>
    </row>
    <row r="46" spans="1:8">
      <c r="A46" s="18">
        <v>45</v>
      </c>
      <c r="B46">
        <f>TBL_Dati_OS[[#This Row],[VaR OS]]/2.33*SQRT(260)</f>
        <v>6.5621155140455212</v>
      </c>
      <c r="C46" s="12">
        <v>45355</v>
      </c>
      <c r="D46" s="14">
        <v>0.94822874838954341</v>
      </c>
      <c r="E46" t="b">
        <f t="shared" si="0"/>
        <v>1</v>
      </c>
      <c r="F46" s="12">
        <v>45355</v>
      </c>
      <c r="H46" s="12">
        <v>45351</v>
      </c>
    </row>
    <row r="47" spans="1:8">
      <c r="A47" s="18">
        <v>46</v>
      </c>
      <c r="B47">
        <f>TBL_Dati_OS[[#This Row],[VaR OS]]/2.33*SQRT(260)</f>
        <v>6.5273923357384342</v>
      </c>
      <c r="C47" s="12">
        <v>45356</v>
      </c>
      <c r="D47" s="14">
        <v>0.94321123295023701</v>
      </c>
      <c r="E47" t="b">
        <f t="shared" si="0"/>
        <v>1</v>
      </c>
      <c r="F47" s="12">
        <v>45356</v>
      </c>
      <c r="H47" s="12">
        <v>45352</v>
      </c>
    </row>
    <row r="48" spans="1:8">
      <c r="A48" s="18">
        <v>47</v>
      </c>
      <c r="B48">
        <f>TBL_Dati_OS[[#This Row],[VaR OS]]/2.33*SQRT(260)</f>
        <v>6.5426942616508832</v>
      </c>
      <c r="C48" s="12">
        <v>45357</v>
      </c>
      <c r="D48" s="14">
        <v>0.94542236837216831</v>
      </c>
      <c r="E48" t="b">
        <f t="shared" si="0"/>
        <v>1</v>
      </c>
      <c r="F48" s="12">
        <v>45357</v>
      </c>
      <c r="H48" s="12">
        <v>45355</v>
      </c>
    </row>
    <row r="49" spans="1:8">
      <c r="A49" s="18">
        <v>48</v>
      </c>
      <c r="B49">
        <f>TBL_Dati_OS[[#This Row],[VaR OS]]/2.33*SQRT(260)</f>
        <v>6.4706801567198884</v>
      </c>
      <c r="C49" s="12">
        <v>45358</v>
      </c>
      <c r="D49" s="14">
        <v>0.93501629666572672</v>
      </c>
      <c r="E49" t="b">
        <f t="shared" si="0"/>
        <v>1</v>
      </c>
      <c r="F49" s="12">
        <v>45358</v>
      </c>
      <c r="H49" s="12">
        <v>45356</v>
      </c>
    </row>
    <row r="50" spans="1:8">
      <c r="A50" s="18">
        <v>49</v>
      </c>
      <c r="B50">
        <f>TBL_Dati_OS[[#This Row],[VaR OS]]/2.33*SQRT(260)</f>
        <v>6.4113478612102934</v>
      </c>
      <c r="C50" s="12">
        <v>45359</v>
      </c>
      <c r="D50" s="14">
        <v>0.92644275232781892</v>
      </c>
      <c r="E50" t="b">
        <f t="shared" si="0"/>
        <v>1</v>
      </c>
      <c r="F50" s="12">
        <v>45359</v>
      </c>
      <c r="H50" s="12">
        <v>45357</v>
      </c>
    </row>
    <row r="51" spans="1:8">
      <c r="A51" s="18">
        <v>50</v>
      </c>
      <c r="B51">
        <f>TBL_Dati_OS[[#This Row],[VaR OS]]/2.33*SQRT(260)</f>
        <v>6.3592782896823552</v>
      </c>
      <c r="C51" s="12">
        <v>45362</v>
      </c>
      <c r="D51" s="14">
        <v>0.91891867498821156</v>
      </c>
      <c r="E51" t="b">
        <f t="shared" si="0"/>
        <v>1</v>
      </c>
      <c r="F51" s="12">
        <v>45362</v>
      </c>
      <c r="H51" s="12">
        <v>45358</v>
      </c>
    </row>
    <row r="52" spans="1:8">
      <c r="A52" s="18">
        <v>51</v>
      </c>
      <c r="B52">
        <f>TBL_Dati_OS[[#This Row],[VaR OS]]/2.33*SQRT(260)</f>
        <v>6.3666788186148979</v>
      </c>
      <c r="C52" s="12">
        <v>45363</v>
      </c>
      <c r="D52" s="14">
        <v>0.9199880548661038</v>
      </c>
      <c r="E52" t="b">
        <f t="shared" si="0"/>
        <v>1</v>
      </c>
      <c r="F52" s="12">
        <v>45363</v>
      </c>
      <c r="H52" s="12">
        <v>45359</v>
      </c>
    </row>
    <row r="53" spans="1:8">
      <c r="A53" s="18">
        <v>52</v>
      </c>
      <c r="B53">
        <f>TBL_Dati_OS[[#This Row],[VaR OS]]/2.33*SQRT(260)</f>
        <v>6.2312183411928919</v>
      </c>
      <c r="C53" s="12">
        <v>45364</v>
      </c>
      <c r="D53" s="14">
        <v>0.90041395278161751</v>
      </c>
      <c r="E53" t="b">
        <f t="shared" si="0"/>
        <v>1</v>
      </c>
      <c r="F53" s="12">
        <v>45364</v>
      </c>
      <c r="H53" s="12">
        <v>45362</v>
      </c>
    </row>
    <row r="54" spans="1:8">
      <c r="A54" s="18">
        <v>53</v>
      </c>
      <c r="B54">
        <f>TBL_Dati_OS[[#This Row],[VaR OS]]/2.33*SQRT(260)</f>
        <v>6.2071778179359773</v>
      </c>
      <c r="C54" s="12">
        <v>45365</v>
      </c>
      <c r="D54" s="14">
        <v>0.89694008597300356</v>
      </c>
      <c r="E54" t="b">
        <f t="shared" si="0"/>
        <v>1</v>
      </c>
      <c r="F54" s="12">
        <v>45365</v>
      </c>
      <c r="H54" s="12">
        <v>45363</v>
      </c>
    </row>
    <row r="55" spans="1:8">
      <c r="A55" s="18">
        <v>54</v>
      </c>
      <c r="B55">
        <f>TBL_Dati_OS[[#This Row],[VaR OS]]/2.33*SQRT(260)</f>
        <v>6.1900882031800926</v>
      </c>
      <c r="C55" s="12">
        <v>45366</v>
      </c>
      <c r="D55" s="14">
        <v>0.89447062868049654</v>
      </c>
      <c r="E55" t="b">
        <f t="shared" si="0"/>
        <v>1</v>
      </c>
      <c r="F55" s="12">
        <v>45366</v>
      </c>
      <c r="H55" s="12">
        <v>45364</v>
      </c>
    </row>
    <row r="56" spans="1:8">
      <c r="A56" s="18">
        <v>55</v>
      </c>
      <c r="B56">
        <f>TBL_Dati_OS[[#This Row],[VaR OS]]/2.33*SQRT(260)</f>
        <v>6.2634860987447079</v>
      </c>
      <c r="C56" s="12">
        <v>45369</v>
      </c>
      <c r="D56" s="14">
        <v>0.90507665877806109</v>
      </c>
      <c r="E56" t="b">
        <f t="shared" si="0"/>
        <v>1</v>
      </c>
      <c r="F56" s="12">
        <v>45369</v>
      </c>
      <c r="H56" s="12">
        <v>45365</v>
      </c>
    </row>
    <row r="57" spans="1:8">
      <c r="A57" s="18">
        <v>56</v>
      </c>
      <c r="B57">
        <f>TBL_Dati_OS[[#This Row],[VaR OS]]/2.33*SQRT(260)</f>
        <v>6.2482515006106256</v>
      </c>
      <c r="C57" s="12">
        <v>45370</v>
      </c>
      <c r="D57" s="14">
        <v>0.90287525225146481</v>
      </c>
      <c r="E57" t="b">
        <f t="shared" si="0"/>
        <v>1</v>
      </c>
      <c r="F57" s="12">
        <v>45370</v>
      </c>
      <c r="H57" s="12">
        <v>45366</v>
      </c>
    </row>
    <row r="58" spans="1:8">
      <c r="A58" s="18">
        <v>57</v>
      </c>
      <c r="B58">
        <f>TBL_Dati_OS[[#This Row],[VaR OS]]/2.33*SQRT(260)</f>
        <v>6.2211991174375623</v>
      </c>
      <c r="C58" s="12">
        <v>45371</v>
      </c>
      <c r="D58" s="14">
        <v>0.89896617028205372</v>
      </c>
      <c r="E58" t="b">
        <f t="shared" si="0"/>
        <v>1</v>
      </c>
      <c r="F58" s="12">
        <v>45371</v>
      </c>
      <c r="H58" s="12">
        <v>45369</v>
      </c>
    </row>
    <row r="59" spans="1:8">
      <c r="A59" s="18">
        <v>58</v>
      </c>
      <c r="B59">
        <f>TBL_Dati_OS[[#This Row],[VaR OS]]/2.33*SQRT(260)</f>
        <v>6.1999769425771047</v>
      </c>
      <c r="C59" s="12">
        <v>45372</v>
      </c>
      <c r="D59" s="14">
        <v>0.89589955612950434</v>
      </c>
      <c r="E59" t="b">
        <f t="shared" si="0"/>
        <v>1</v>
      </c>
      <c r="F59" s="12">
        <v>45372</v>
      </c>
      <c r="H59" s="12">
        <v>45370</v>
      </c>
    </row>
    <row r="60" spans="1:8">
      <c r="A60" s="18">
        <v>59</v>
      </c>
      <c r="B60">
        <f>TBL_Dati_OS[[#This Row],[VaR OS]]/2.33*SQRT(260)</f>
        <v>6.3758435380745215</v>
      </c>
      <c r="C60" s="12">
        <v>45373</v>
      </c>
      <c r="D60" s="14">
        <v>0.92131236109691306</v>
      </c>
      <c r="E60" t="b">
        <f t="shared" si="0"/>
        <v>1</v>
      </c>
      <c r="F60" s="12">
        <v>45373</v>
      </c>
      <c r="H60" s="12">
        <v>45371</v>
      </c>
    </row>
    <row r="61" spans="1:8">
      <c r="A61" s="18">
        <v>60</v>
      </c>
      <c r="B61">
        <f>TBL_Dati_OS[[#This Row],[VaR OS]]/2.33*SQRT(260)</f>
        <v>6.3174621340602135</v>
      </c>
      <c r="C61" s="12">
        <v>45376</v>
      </c>
      <c r="D61" s="14">
        <v>0.91287622102299604</v>
      </c>
      <c r="E61" t="b">
        <f t="shared" si="0"/>
        <v>1</v>
      </c>
      <c r="F61" s="12">
        <v>45376</v>
      </c>
      <c r="H61" s="12">
        <v>45372</v>
      </c>
    </row>
    <row r="62" spans="1:8">
      <c r="A62" s="18">
        <v>61</v>
      </c>
      <c r="B62">
        <f>TBL_Dati_OS[[#This Row],[VaR OS]]/2.33*SQRT(260)</f>
        <v>6.3124206402886758</v>
      </c>
      <c r="C62" s="12">
        <v>45377</v>
      </c>
      <c r="D62" s="14">
        <v>0.91214772282469914</v>
      </c>
      <c r="E62" t="b">
        <f t="shared" si="0"/>
        <v>1</v>
      </c>
      <c r="F62" s="12">
        <v>45377</v>
      </c>
      <c r="H62" s="12">
        <v>45373</v>
      </c>
    </row>
    <row r="63" spans="1:8">
      <c r="A63" s="18">
        <v>62</v>
      </c>
      <c r="B63">
        <f>TBL_Dati_OS[[#This Row],[VaR OS]]/2.33*SQRT(260)</f>
        <v>6.2962786559061792</v>
      </c>
      <c r="C63" s="12">
        <v>45378</v>
      </c>
      <c r="D63" s="14">
        <v>0.90981519856254978</v>
      </c>
      <c r="E63" t="b">
        <f t="shared" si="0"/>
        <v>1</v>
      </c>
      <c r="F63" s="12">
        <v>45378</v>
      </c>
      <c r="H63" s="12">
        <v>45376</v>
      </c>
    </row>
    <row r="64" spans="1:8">
      <c r="A64" s="18">
        <v>63</v>
      </c>
      <c r="B64">
        <f>TBL_Dati_OS[[#This Row],[VaR OS]]/2.33*SQRT(260)</f>
        <v>6.2947147267397074</v>
      </c>
      <c r="C64" s="12">
        <v>45379</v>
      </c>
      <c r="D64" s="14">
        <v>0.90958921006952187</v>
      </c>
      <c r="E64" t="b">
        <f t="shared" si="0"/>
        <v>1</v>
      </c>
      <c r="F64" s="12">
        <v>45379</v>
      </c>
      <c r="H64" s="12">
        <v>45377</v>
      </c>
    </row>
    <row r="65" spans="1:8">
      <c r="A65" s="18">
        <v>64</v>
      </c>
      <c r="B65">
        <f>TBL_Dati_OS[[#This Row],[VaR OS]]/2.33*SQRT(260)</f>
        <v>6.2947147267397074</v>
      </c>
      <c r="C65" s="12">
        <v>45380</v>
      </c>
      <c r="D65" s="14">
        <v>0.90958921006952187</v>
      </c>
      <c r="E65" t="b">
        <f t="shared" si="0"/>
        <v>1</v>
      </c>
      <c r="F65" s="12">
        <v>45380</v>
      </c>
      <c r="H65" s="12">
        <v>45378</v>
      </c>
    </row>
    <row r="66" spans="1:8">
      <c r="A66" s="18">
        <v>65</v>
      </c>
      <c r="B66">
        <f>TBL_Dati_OS[[#This Row],[VaR OS]]/2.33*SQRT(260)</f>
        <v>6.1943378074318547</v>
      </c>
      <c r="C66" s="12">
        <v>45384</v>
      </c>
      <c r="D66" s="14">
        <v>0.8950846984743267</v>
      </c>
      <c r="E66" t="b">
        <f t="shared" si="0"/>
        <v>1</v>
      </c>
      <c r="F66" s="12">
        <v>45384</v>
      </c>
      <c r="H66" s="12">
        <v>45379</v>
      </c>
    </row>
    <row r="67" spans="1:8">
      <c r="A67" s="18">
        <v>66</v>
      </c>
      <c r="B67">
        <f>TBL_Dati_OS[[#This Row],[VaR OS]]/2.33*SQRT(260)</f>
        <v>6.2351291594603495</v>
      </c>
      <c r="C67" s="12">
        <v>45385</v>
      </c>
      <c r="D67" s="14">
        <v>0.90097906784291026</v>
      </c>
      <c r="E67" t="b">
        <f t="shared" ref="E67:E130" si="1">F67=C67</f>
        <v>1</v>
      </c>
      <c r="F67" s="12">
        <v>45385</v>
      </c>
      <c r="H67" s="12">
        <v>45380</v>
      </c>
    </row>
    <row r="68" spans="1:8">
      <c r="A68" s="18">
        <v>67</v>
      </c>
      <c r="B68">
        <f>TBL_Dati_OS[[#This Row],[VaR OS]]/2.33*SQRT(260)</f>
        <v>6.2246476602788938</v>
      </c>
      <c r="C68" s="12">
        <v>45386</v>
      </c>
      <c r="D68" s="14">
        <v>0.89946448632894505</v>
      </c>
      <c r="E68" t="b">
        <f t="shared" si="1"/>
        <v>1</v>
      </c>
      <c r="F68" s="12">
        <v>45386</v>
      </c>
      <c r="H68" s="12">
        <v>45384</v>
      </c>
    </row>
    <row r="69" spans="1:8">
      <c r="A69" s="18">
        <v>68</v>
      </c>
      <c r="B69">
        <f>TBL_Dati_OS[[#This Row],[VaR OS]]/2.33*SQRT(260)</f>
        <v>6.4385185937787606</v>
      </c>
      <c r="C69" s="12">
        <v>45387</v>
      </c>
      <c r="D69" s="14">
        <v>0.93036893583999258</v>
      </c>
      <c r="E69" t="b">
        <f t="shared" si="1"/>
        <v>1</v>
      </c>
      <c r="F69" s="12">
        <v>45387</v>
      </c>
      <c r="H69" s="12">
        <v>45385</v>
      </c>
    </row>
    <row r="70" spans="1:8">
      <c r="A70" s="18">
        <v>69</v>
      </c>
      <c r="B70">
        <f>TBL_Dati_OS[[#This Row],[VaR OS]]/2.33*SQRT(260)</f>
        <v>6.4224736227050148</v>
      </c>
      <c r="C70" s="12">
        <v>45390</v>
      </c>
      <c r="D70" s="14">
        <v>0.92805043004614618</v>
      </c>
      <c r="E70" t="b">
        <f t="shared" si="1"/>
        <v>1</v>
      </c>
      <c r="F70" s="12">
        <v>45390</v>
      </c>
      <c r="H70" s="12">
        <v>45386</v>
      </c>
    </row>
    <row r="71" spans="1:8">
      <c r="A71" s="18">
        <v>70</v>
      </c>
      <c r="B71">
        <f>TBL_Dati_OS[[#This Row],[VaR OS]]/2.33*SQRT(260)</f>
        <v>6.3777387856583019</v>
      </c>
      <c r="C71" s="12">
        <v>45391</v>
      </c>
      <c r="D71" s="14">
        <v>0.92158622525556888</v>
      </c>
      <c r="E71" t="b">
        <f t="shared" si="1"/>
        <v>1</v>
      </c>
      <c r="F71" s="12">
        <v>45391</v>
      </c>
      <c r="H71" s="12">
        <v>45387</v>
      </c>
    </row>
    <row r="72" spans="1:8">
      <c r="A72" s="18">
        <v>71</v>
      </c>
      <c r="B72">
        <f>TBL_Dati_OS[[#This Row],[VaR OS]]/2.33*SQRT(260)</f>
        <v>6.3480742818745233</v>
      </c>
      <c r="C72" s="12">
        <v>45392</v>
      </c>
      <c r="D72" s="14">
        <v>0.91729969064119299</v>
      </c>
      <c r="E72" t="b">
        <f t="shared" si="1"/>
        <v>1</v>
      </c>
      <c r="F72" s="12">
        <v>45392</v>
      </c>
      <c r="H72" s="12">
        <v>45390</v>
      </c>
    </row>
    <row r="73" spans="1:8">
      <c r="A73" s="18">
        <v>72</v>
      </c>
      <c r="B73">
        <f>TBL_Dati_OS[[#This Row],[VaR OS]]/2.33*SQRT(260)</f>
        <v>6.3402952421185335</v>
      </c>
      <c r="C73" s="12">
        <v>45393</v>
      </c>
      <c r="D73" s="14">
        <v>0.91617561577300344</v>
      </c>
      <c r="E73" t="b">
        <f t="shared" si="1"/>
        <v>1</v>
      </c>
      <c r="F73" s="12">
        <v>45393</v>
      </c>
      <c r="H73" s="12">
        <v>45391</v>
      </c>
    </row>
    <row r="74" spans="1:8">
      <c r="A74" s="18">
        <v>73</v>
      </c>
      <c r="B74">
        <f>TBL_Dati_OS[[#This Row],[VaR OS]]/2.33*SQRT(260)</f>
        <v>6.4006020298519735</v>
      </c>
      <c r="C74" s="12">
        <v>45394</v>
      </c>
      <c r="D74" s="14">
        <v>0.92488997469117196</v>
      </c>
      <c r="E74" t="b">
        <f t="shared" si="1"/>
        <v>1</v>
      </c>
      <c r="F74" s="12">
        <v>45394</v>
      </c>
      <c r="H74" s="12">
        <v>45392</v>
      </c>
    </row>
    <row r="75" spans="1:8">
      <c r="A75" s="18">
        <v>74</v>
      </c>
      <c r="B75">
        <f>TBL_Dati_OS[[#This Row],[VaR OS]]/2.33*SQRT(260)</f>
        <v>6.3650185453998089</v>
      </c>
      <c r="C75" s="12">
        <v>45397</v>
      </c>
      <c r="D75" s="14">
        <v>0.91974814461317411</v>
      </c>
      <c r="E75" t="b">
        <f t="shared" si="1"/>
        <v>1</v>
      </c>
      <c r="F75" s="12">
        <v>45397</v>
      </c>
      <c r="H75" s="12">
        <v>45393</v>
      </c>
    </row>
    <row r="76" spans="1:8">
      <c r="A76" s="18">
        <v>75</v>
      </c>
      <c r="B76">
        <f>TBL_Dati_OS[[#This Row],[VaR OS]]/2.33*SQRT(260)</f>
        <v>6.2731369902453684</v>
      </c>
      <c r="C76" s="12">
        <v>45398</v>
      </c>
      <c r="D76" s="14">
        <v>0.90647121709525724</v>
      </c>
      <c r="E76" t="b">
        <f t="shared" si="1"/>
        <v>1</v>
      </c>
      <c r="F76" s="12">
        <v>45398</v>
      </c>
      <c r="H76" s="12">
        <v>45394</v>
      </c>
    </row>
    <row r="77" spans="1:8">
      <c r="A77" s="18">
        <v>76</v>
      </c>
      <c r="B77">
        <f>TBL_Dati_OS[[#This Row],[VaR OS]]/2.33*SQRT(260)</f>
        <v>6.2501877007173796</v>
      </c>
      <c r="C77" s="12">
        <v>45399</v>
      </c>
      <c r="D77" s="14">
        <v>0.90315503406876585</v>
      </c>
      <c r="E77" t="b">
        <f t="shared" si="1"/>
        <v>1</v>
      </c>
      <c r="F77" s="12">
        <v>45399</v>
      </c>
      <c r="H77" s="12">
        <v>45397</v>
      </c>
    </row>
    <row r="78" spans="1:8">
      <c r="A78" s="18">
        <v>77</v>
      </c>
      <c r="B78">
        <f>TBL_Dati_OS[[#This Row],[VaR OS]]/2.33*SQRT(260)</f>
        <v>6.4300296346666057</v>
      </c>
      <c r="C78" s="12">
        <v>45400</v>
      </c>
      <c r="D78" s="14">
        <v>0.92914227729415944</v>
      </c>
      <c r="E78" t="b">
        <f t="shared" si="1"/>
        <v>1</v>
      </c>
      <c r="F78" s="12">
        <v>45400</v>
      </c>
      <c r="H78" s="12">
        <v>45398</v>
      </c>
    </row>
    <row r="79" spans="1:8">
      <c r="A79" s="18">
        <v>78</v>
      </c>
      <c r="B79">
        <f>TBL_Dati_OS[[#This Row],[VaR OS]]/2.33*SQRT(260)</f>
        <v>6.5892985248041391</v>
      </c>
      <c r="C79" s="12">
        <v>45401</v>
      </c>
      <c r="D79" s="14">
        <v>0.95215670610591319</v>
      </c>
      <c r="E79" t="b">
        <f t="shared" si="1"/>
        <v>1</v>
      </c>
      <c r="F79" s="12">
        <v>45401</v>
      </c>
      <c r="H79" s="12">
        <v>45399</v>
      </c>
    </row>
    <row r="80" spans="1:8">
      <c r="A80" s="18">
        <v>79</v>
      </c>
      <c r="B80">
        <f>TBL_Dati_OS[[#This Row],[VaR OS]]/2.33*SQRT(260)</f>
        <v>6.533130782460236</v>
      </c>
      <c r="C80" s="12">
        <v>45404</v>
      </c>
      <c r="D80" s="14">
        <v>0.94404044117448527</v>
      </c>
      <c r="E80" t="b">
        <f t="shared" si="1"/>
        <v>1</v>
      </c>
      <c r="F80" s="12">
        <v>45404</v>
      </c>
      <c r="H80" s="12">
        <v>45400</v>
      </c>
    </row>
    <row r="81" spans="1:8">
      <c r="A81" s="18">
        <v>80</v>
      </c>
      <c r="B81">
        <f>TBL_Dati_OS[[#This Row],[VaR OS]]/2.33*SQRT(260)</f>
        <v>6.7580658537424423</v>
      </c>
      <c r="C81" s="12">
        <v>45405</v>
      </c>
      <c r="D81" s="14">
        <v>0.97654366374871682</v>
      </c>
      <c r="E81" t="b">
        <f t="shared" si="1"/>
        <v>1</v>
      </c>
      <c r="F81" s="12">
        <v>45405</v>
      </c>
      <c r="H81" s="12">
        <v>45401</v>
      </c>
    </row>
    <row r="82" spans="1:8">
      <c r="A82" s="18">
        <v>81</v>
      </c>
      <c r="B82">
        <f>TBL_Dati_OS[[#This Row],[VaR OS]]/2.33*SQRT(260)</f>
        <v>6.7693923581324666</v>
      </c>
      <c r="C82" s="12">
        <v>45406</v>
      </c>
      <c r="D82" s="14">
        <v>0.97818034890892069</v>
      </c>
      <c r="E82" t="b">
        <f t="shared" si="1"/>
        <v>1</v>
      </c>
      <c r="F82" s="12">
        <v>45406</v>
      </c>
      <c r="H82" s="12">
        <v>45404</v>
      </c>
    </row>
    <row r="83" spans="1:8">
      <c r="A83" s="18">
        <v>82</v>
      </c>
      <c r="B83">
        <f>TBL_Dati_OS[[#This Row],[VaR OS]]/2.33*SQRT(260)</f>
        <v>6.7693923581324666</v>
      </c>
      <c r="C83" s="12">
        <v>45407</v>
      </c>
      <c r="D83" s="14">
        <v>0.97818034890892069</v>
      </c>
      <c r="E83" t="b">
        <f t="shared" si="1"/>
        <v>1</v>
      </c>
      <c r="F83" s="12">
        <v>45407</v>
      </c>
      <c r="H83" s="12">
        <v>45405</v>
      </c>
    </row>
    <row r="84" spans="1:8">
      <c r="A84" s="18">
        <v>83</v>
      </c>
      <c r="B84">
        <f>TBL_Dati_OS[[#This Row],[VaR OS]]/2.33*SQRT(260)</f>
        <v>6.7710457496950331</v>
      </c>
      <c r="C84" s="12">
        <v>45408</v>
      </c>
      <c r="D84" s="14">
        <v>0.97841926475985541</v>
      </c>
      <c r="E84" t="b">
        <f t="shared" si="1"/>
        <v>1</v>
      </c>
      <c r="F84" s="12">
        <v>45408</v>
      </c>
      <c r="H84" s="12">
        <v>45406</v>
      </c>
    </row>
    <row r="85" spans="1:8">
      <c r="A85" s="17">
        <v>84</v>
      </c>
      <c r="B85">
        <f>TBL_Dati_OS[[#This Row],[VaR OS]]/2.33*SQRT(260)</f>
        <v>6.8580296705511721</v>
      </c>
      <c r="C85" s="12">
        <v>45411</v>
      </c>
      <c r="D85" s="14">
        <v>0.99098848184036714</v>
      </c>
      <c r="E85" t="b">
        <f t="shared" si="1"/>
        <v>1</v>
      </c>
      <c r="F85" s="12">
        <v>45411</v>
      </c>
      <c r="H85" s="12">
        <v>45407</v>
      </c>
    </row>
    <row r="86" spans="1:8">
      <c r="A86" s="17">
        <v>85</v>
      </c>
      <c r="B86">
        <f>TBL_Dati_OS[[#This Row],[VaR OS]]/2.33*SQRT(260)</f>
        <v>6.810495819286996</v>
      </c>
      <c r="C86" s="12">
        <v>45412</v>
      </c>
      <c r="D86" s="14">
        <v>0.98411981819159555</v>
      </c>
      <c r="E86" t="b">
        <f t="shared" si="1"/>
        <v>1</v>
      </c>
      <c r="F86" s="12">
        <v>45412</v>
      </c>
      <c r="H86" s="12">
        <v>45408</v>
      </c>
    </row>
    <row r="87" spans="1:8">
      <c r="A87" s="17">
        <v>86</v>
      </c>
      <c r="B87">
        <f>TBL_Dati_OS[[#This Row],[VaR OS]]/2.33*SQRT(260)</f>
        <v>6.810495819286996</v>
      </c>
      <c r="C87" s="12">
        <v>45413</v>
      </c>
      <c r="D87" s="14">
        <v>0.98411981819159555</v>
      </c>
      <c r="E87" t="b">
        <f t="shared" si="1"/>
        <v>1</v>
      </c>
      <c r="F87" s="12">
        <v>45413</v>
      </c>
      <c r="H87" s="12">
        <v>45411</v>
      </c>
    </row>
    <row r="88" spans="1:8">
      <c r="A88" s="17">
        <v>87</v>
      </c>
      <c r="B88">
        <f>TBL_Dati_OS[[#This Row],[VaR OS]]/2.33*SQRT(260)</f>
        <v>6.789010513571859</v>
      </c>
      <c r="C88" s="12">
        <v>45414</v>
      </c>
      <c r="D88" s="14">
        <v>0.98101518150797962</v>
      </c>
      <c r="E88" t="b">
        <f t="shared" si="1"/>
        <v>1</v>
      </c>
      <c r="F88" s="12">
        <v>45414</v>
      </c>
      <c r="H88" s="12">
        <v>45412</v>
      </c>
    </row>
    <row r="89" spans="1:8">
      <c r="A89" s="17">
        <v>88</v>
      </c>
      <c r="B89">
        <f>TBL_Dati_OS[[#This Row],[VaR OS]]/2.33*SQRT(260)</f>
        <v>6.7991451935230955</v>
      </c>
      <c r="C89" s="12">
        <v>45415</v>
      </c>
      <c r="D89" s="14">
        <v>0.98247964748163097</v>
      </c>
      <c r="E89" t="b">
        <f t="shared" si="1"/>
        <v>1</v>
      </c>
      <c r="F89" s="12">
        <v>45415</v>
      </c>
      <c r="H89" s="12">
        <v>45413</v>
      </c>
    </row>
    <row r="90" spans="1:8">
      <c r="A90" s="17">
        <v>89</v>
      </c>
      <c r="B90">
        <f>TBL_Dati_OS[[#This Row],[VaR OS]]/2.33*SQRT(260)</f>
        <v>6.7927504221745112</v>
      </c>
      <c r="C90" s="12">
        <v>45418</v>
      </c>
      <c r="D90" s="14">
        <v>0.98155560004309894</v>
      </c>
      <c r="E90" t="b">
        <f t="shared" si="1"/>
        <v>1</v>
      </c>
      <c r="F90" s="12">
        <v>45418</v>
      </c>
      <c r="H90" s="12">
        <v>45414</v>
      </c>
    </row>
    <row r="91" spans="1:8">
      <c r="A91" s="17">
        <v>90</v>
      </c>
      <c r="B91">
        <f>TBL_Dati_OS[[#This Row],[VaR OS]]/2.33*SQRT(260)</f>
        <v>6.7413748115375469</v>
      </c>
      <c r="C91" s="12">
        <v>45419</v>
      </c>
      <c r="D91" s="14">
        <v>0.97413180037548164</v>
      </c>
      <c r="E91" t="b">
        <f t="shared" si="1"/>
        <v>1</v>
      </c>
      <c r="F91" s="12">
        <v>45419</v>
      </c>
      <c r="H91" s="12">
        <v>45415</v>
      </c>
    </row>
    <row r="92" spans="1:8">
      <c r="A92" s="17">
        <v>91</v>
      </c>
      <c r="B92">
        <f>TBL_Dati_OS[[#This Row],[VaR OS]]/2.33*SQRT(260)</f>
        <v>6.7206145529572776</v>
      </c>
      <c r="C92" s="12">
        <v>45420</v>
      </c>
      <c r="D92" s="14">
        <v>0.97113193334057846</v>
      </c>
      <c r="E92" t="b">
        <f t="shared" si="1"/>
        <v>1</v>
      </c>
      <c r="F92" s="12">
        <v>45420</v>
      </c>
      <c r="H92" s="12">
        <v>45418</v>
      </c>
    </row>
    <row r="93" spans="1:8">
      <c r="A93" s="17">
        <v>92</v>
      </c>
      <c r="B93">
        <f>TBL_Dati_OS[[#This Row],[VaR OS]]/2.33*SQRT(260)</f>
        <v>6.6933994685476268</v>
      </c>
      <c r="C93" s="12">
        <v>45421</v>
      </c>
      <c r="D93" s="14">
        <v>0.9671993409666948</v>
      </c>
      <c r="E93" t="b">
        <f t="shared" si="1"/>
        <v>1</v>
      </c>
      <c r="F93" s="12">
        <v>45421</v>
      </c>
      <c r="H93" s="12">
        <v>45419</v>
      </c>
    </row>
    <row r="94" spans="1:8">
      <c r="A94" s="17">
        <v>93</v>
      </c>
      <c r="B94">
        <f>TBL_Dati_OS[[#This Row],[VaR OS]]/2.33*SQRT(260)</f>
        <v>6.6841557123740722</v>
      </c>
      <c r="C94" s="12">
        <v>45422</v>
      </c>
      <c r="D94" s="14">
        <v>0.96586361389390751</v>
      </c>
      <c r="E94" t="b">
        <f t="shared" si="1"/>
        <v>1</v>
      </c>
      <c r="F94" s="12">
        <v>45422</v>
      </c>
      <c r="H94" s="12">
        <v>45420</v>
      </c>
    </row>
    <row r="95" spans="1:8">
      <c r="A95" s="17">
        <v>94</v>
      </c>
      <c r="B95">
        <f>TBL_Dati_OS[[#This Row],[VaR OS]]/2.33*SQRT(260)</f>
        <v>6.6170543466691782</v>
      </c>
      <c r="C95" s="12">
        <v>45425</v>
      </c>
      <c r="D95" s="14">
        <v>0.95616743529397386</v>
      </c>
      <c r="E95" t="b">
        <f t="shared" si="1"/>
        <v>1</v>
      </c>
      <c r="F95" s="12">
        <v>45425</v>
      </c>
      <c r="H95" s="12">
        <v>45421</v>
      </c>
    </row>
    <row r="96" spans="1:8">
      <c r="A96" s="17">
        <v>95</v>
      </c>
      <c r="B96">
        <f>TBL_Dati_OS[[#This Row],[VaR OS]]/2.33*SQRT(260)</f>
        <v>6.9717836309546053</v>
      </c>
      <c r="C96" s="12">
        <v>45426</v>
      </c>
      <c r="D96" s="14">
        <v>1.0074259821048517</v>
      </c>
      <c r="E96" t="b">
        <f t="shared" si="1"/>
        <v>1</v>
      </c>
      <c r="F96" s="12">
        <v>45426</v>
      </c>
      <c r="H96" s="12">
        <v>45422</v>
      </c>
    </row>
    <row r="97" spans="1:8">
      <c r="A97" s="17">
        <v>96</v>
      </c>
      <c r="B97">
        <f>TBL_Dati_OS[[#This Row],[VaR OS]]/2.33*SQRT(260)</f>
        <v>6.9696174238611501</v>
      </c>
      <c r="C97" s="12">
        <v>45427</v>
      </c>
      <c r="D97" s="14">
        <v>1.0071129641708358</v>
      </c>
      <c r="E97" t="b">
        <f t="shared" si="1"/>
        <v>1</v>
      </c>
      <c r="F97" s="12">
        <v>45427</v>
      </c>
      <c r="H97" s="12">
        <v>45425</v>
      </c>
    </row>
    <row r="98" spans="1:8">
      <c r="A98" s="17">
        <v>97</v>
      </c>
      <c r="B98">
        <f>TBL_Dati_OS[[#This Row],[VaR OS]]/2.33*SQRT(260)</f>
        <v>6.9509555246564414</v>
      </c>
      <c r="C98" s="12">
        <v>45428</v>
      </c>
      <c r="D98" s="14">
        <v>1.0044163110431095</v>
      </c>
      <c r="E98" t="b">
        <f t="shared" si="1"/>
        <v>1</v>
      </c>
      <c r="F98" s="12">
        <v>45428</v>
      </c>
      <c r="H98" s="12">
        <v>45426</v>
      </c>
    </row>
    <row r="99" spans="1:8">
      <c r="A99" s="17">
        <v>98</v>
      </c>
      <c r="B99">
        <f>TBL_Dati_OS[[#This Row],[VaR OS]]/2.33*SQRT(260)</f>
        <v>6.881881554401307</v>
      </c>
      <c r="C99" s="12">
        <v>45429</v>
      </c>
      <c r="D99" s="14">
        <v>0.99443509016683396</v>
      </c>
      <c r="E99" t="b">
        <f t="shared" si="1"/>
        <v>1</v>
      </c>
      <c r="F99" s="12">
        <v>45429</v>
      </c>
      <c r="H99" s="12">
        <v>45427</v>
      </c>
    </row>
    <row r="100" spans="1:8">
      <c r="A100" s="17">
        <v>99</v>
      </c>
      <c r="B100">
        <f>TBL_Dati_OS[[#This Row],[VaR OS]]/2.33*SQRT(260)</f>
        <v>6.8565969963888467</v>
      </c>
      <c r="C100" s="12">
        <v>45432</v>
      </c>
      <c r="D100" s="14">
        <v>0.99078145975657661</v>
      </c>
      <c r="E100" t="b">
        <f t="shared" si="1"/>
        <v>1</v>
      </c>
      <c r="F100" s="12">
        <v>45432</v>
      </c>
      <c r="H100" s="12">
        <v>45428</v>
      </c>
    </row>
    <row r="101" spans="1:8">
      <c r="A101" s="17">
        <v>100</v>
      </c>
      <c r="B101">
        <f>TBL_Dati_OS[[#This Row],[VaR OS]]/2.33*SQRT(260)</f>
        <v>6.8328660036803184</v>
      </c>
      <c r="C101" s="12">
        <v>45433</v>
      </c>
      <c r="D101" s="14">
        <v>0.98735232025638253</v>
      </c>
      <c r="E101" t="b">
        <f t="shared" si="1"/>
        <v>1</v>
      </c>
      <c r="F101" s="12">
        <v>45433</v>
      </c>
      <c r="H101" s="12">
        <v>45429</v>
      </c>
    </row>
    <row r="102" spans="1:8">
      <c r="A102" s="17">
        <v>101</v>
      </c>
      <c r="B102">
        <f>TBL_Dati_OS[[#This Row],[VaR OS]]/2.33*SQRT(260)</f>
        <v>6.7764080264352318</v>
      </c>
      <c r="C102" s="12">
        <v>45434</v>
      </c>
      <c r="D102" s="14">
        <v>0.97919411624654351</v>
      </c>
      <c r="E102" t="b">
        <f t="shared" si="1"/>
        <v>1</v>
      </c>
      <c r="F102" s="12">
        <v>45434</v>
      </c>
      <c r="H102" s="12">
        <v>45432</v>
      </c>
    </row>
    <row r="103" spans="1:8">
      <c r="A103" s="17">
        <v>102</v>
      </c>
      <c r="B103">
        <f>TBL_Dati_OS[[#This Row],[VaR OS]]/2.33*SQRT(260)</f>
        <v>6.7515791998211192</v>
      </c>
      <c r="C103" s="12">
        <v>45435</v>
      </c>
      <c r="D103" s="14">
        <v>0.97560633923562545</v>
      </c>
      <c r="E103" t="b">
        <f t="shared" si="1"/>
        <v>1</v>
      </c>
      <c r="F103" s="12">
        <v>45435</v>
      </c>
      <c r="H103" s="12">
        <v>45433</v>
      </c>
    </row>
    <row r="104" spans="1:8">
      <c r="A104" s="17">
        <v>103</v>
      </c>
      <c r="B104">
        <f>TBL_Dati_OS[[#This Row],[VaR OS]]/2.33*SQRT(260)</f>
        <v>6.8506282300092725</v>
      </c>
      <c r="C104" s="12">
        <v>45436</v>
      </c>
      <c r="D104" s="14">
        <v>0.98991897023449793</v>
      </c>
      <c r="E104" t="b">
        <f t="shared" si="1"/>
        <v>1</v>
      </c>
      <c r="F104" s="12">
        <v>45436</v>
      </c>
      <c r="H104" s="12">
        <v>45434</v>
      </c>
    </row>
    <row r="105" spans="1:8">
      <c r="A105" s="17">
        <v>104</v>
      </c>
      <c r="B105">
        <f>TBL_Dati_OS[[#This Row],[VaR OS]]/2.33*SQRT(260)</f>
        <v>6.8193312983266816</v>
      </c>
      <c r="C105" s="12">
        <v>45439</v>
      </c>
      <c r="D105" s="14">
        <v>0.98539654902836471</v>
      </c>
      <c r="E105" t="b">
        <f t="shared" si="1"/>
        <v>1</v>
      </c>
      <c r="F105" s="12">
        <v>45439</v>
      </c>
      <c r="H105" s="12">
        <v>45435</v>
      </c>
    </row>
    <row r="106" spans="1:8">
      <c r="A106" s="17">
        <v>105</v>
      </c>
      <c r="B106">
        <f>TBL_Dati_OS[[#This Row],[VaR OS]]/2.33*SQRT(260)</f>
        <v>6.7077902403307981</v>
      </c>
      <c r="C106" s="12">
        <v>45440</v>
      </c>
      <c r="D106" s="14">
        <v>0.96927881419253314</v>
      </c>
      <c r="E106" t="b">
        <f t="shared" si="1"/>
        <v>1</v>
      </c>
      <c r="F106" s="12">
        <v>45440</v>
      </c>
      <c r="H106" s="12">
        <v>45436</v>
      </c>
    </row>
    <row r="107" spans="1:8">
      <c r="A107" s="17">
        <v>106</v>
      </c>
      <c r="B107">
        <f>TBL_Dati_OS[[#This Row],[VaR OS]]/2.33*SQRT(260)</f>
        <v>6.7527393878549518</v>
      </c>
      <c r="C107" s="12">
        <v>45441</v>
      </c>
      <c r="D107" s="14">
        <v>0.97577398694692574</v>
      </c>
      <c r="E107" t="b">
        <f t="shared" si="1"/>
        <v>1</v>
      </c>
      <c r="F107" s="12">
        <v>45441</v>
      </c>
      <c r="H107" s="12">
        <v>45439</v>
      </c>
    </row>
    <row r="108" spans="1:8">
      <c r="A108" s="17">
        <v>107</v>
      </c>
      <c r="B108">
        <f>TBL_Dati_OS[[#This Row],[VaR OS]]/2.33*SQRT(260)</f>
        <v>6.7373004919101787</v>
      </c>
      <c r="C108" s="12">
        <v>45442</v>
      </c>
      <c r="D108" s="14">
        <v>0.9735430592915234</v>
      </c>
      <c r="E108" t="b">
        <f t="shared" si="1"/>
        <v>1</v>
      </c>
      <c r="F108" s="12">
        <v>45442</v>
      </c>
      <c r="H108" s="12">
        <v>45440</v>
      </c>
    </row>
    <row r="109" spans="1:8">
      <c r="A109" s="17">
        <v>108</v>
      </c>
      <c r="B109">
        <f>TBL_Dati_OS[[#This Row],[VaR OS]]/2.33*SQRT(260)</f>
        <v>6.702355283125125</v>
      </c>
      <c r="C109" s="12">
        <v>45443</v>
      </c>
      <c r="D109" s="14">
        <v>0.96849346034472972</v>
      </c>
      <c r="E109" t="b">
        <f t="shared" si="1"/>
        <v>1</v>
      </c>
      <c r="F109" s="12">
        <v>45443</v>
      </c>
      <c r="H109" s="12">
        <v>45441</v>
      </c>
    </row>
    <row r="110" spans="1:8">
      <c r="A110" s="17">
        <v>109</v>
      </c>
      <c r="B110">
        <f>TBL_Dati_OS[[#This Row],[VaR OS]]/2.33*SQRT(260)</f>
        <v>6.7132743148718665</v>
      </c>
      <c r="C110" s="12">
        <v>45446</v>
      </c>
      <c r="D110" s="14">
        <v>0.97007126551817979</v>
      </c>
      <c r="E110" t="b">
        <f t="shared" si="1"/>
        <v>1</v>
      </c>
      <c r="F110" s="12">
        <v>45446</v>
      </c>
      <c r="H110" s="12">
        <v>45442</v>
      </c>
    </row>
    <row r="111" spans="1:8">
      <c r="A111" s="17">
        <v>110</v>
      </c>
      <c r="B111">
        <f>TBL_Dati_OS[[#This Row],[VaR OS]]/2.33*SQRT(260)</f>
        <v>6.791708940572696</v>
      </c>
      <c r="C111" s="12">
        <v>45447</v>
      </c>
      <c r="D111" s="14">
        <v>0.98140510546651827</v>
      </c>
      <c r="E111" t="b">
        <f t="shared" si="1"/>
        <v>1</v>
      </c>
      <c r="F111" s="12">
        <v>45447</v>
      </c>
      <c r="H111" s="12">
        <v>45443</v>
      </c>
    </row>
    <row r="112" spans="1:8">
      <c r="A112" s="17">
        <v>111</v>
      </c>
      <c r="B112">
        <f>TBL_Dati_OS[[#This Row],[VaR OS]]/2.33*SQRT(260)</f>
        <v>6.7977750976317237</v>
      </c>
      <c r="C112" s="12">
        <v>45448</v>
      </c>
      <c r="D112" s="14">
        <v>0.98228166798714189</v>
      </c>
      <c r="E112" t="b">
        <f t="shared" si="1"/>
        <v>1</v>
      </c>
      <c r="F112" s="12">
        <v>45448</v>
      </c>
      <c r="H112" s="12">
        <v>45446</v>
      </c>
    </row>
    <row r="113" spans="1:8">
      <c r="A113" s="17">
        <v>112</v>
      </c>
      <c r="B113">
        <f>TBL_Dati_OS[[#This Row],[VaR OS]]/2.33*SQRT(260)</f>
        <v>6.74095538236402</v>
      </c>
      <c r="C113" s="12">
        <v>45449</v>
      </c>
      <c r="D113" s="14">
        <v>0.97407119266453834</v>
      </c>
      <c r="E113" t="b">
        <f t="shared" si="1"/>
        <v>1</v>
      </c>
      <c r="F113" s="12">
        <v>45449</v>
      </c>
      <c r="H113" s="12">
        <v>45447</v>
      </c>
    </row>
    <row r="114" spans="1:8">
      <c r="A114" s="17">
        <v>113</v>
      </c>
      <c r="B114">
        <f>TBL_Dati_OS[[#This Row],[VaR OS]]/2.33*SQRT(260)</f>
        <v>6.7028998750579927</v>
      </c>
      <c r="C114" s="12">
        <v>45450</v>
      </c>
      <c r="D114" s="14">
        <v>0.96857215413269804</v>
      </c>
      <c r="E114" t="b">
        <f t="shared" si="1"/>
        <v>1</v>
      </c>
      <c r="F114" s="12">
        <v>45450</v>
      </c>
      <c r="H114" s="12">
        <v>45448</v>
      </c>
    </row>
    <row r="115" spans="1:8">
      <c r="A115" s="17">
        <v>114</v>
      </c>
      <c r="B115">
        <f>TBL_Dati_OS[[#This Row],[VaR OS]]/2.33*SQRT(260)</f>
        <v>6.6680630863130421</v>
      </c>
      <c r="C115" s="12">
        <v>45453</v>
      </c>
      <c r="D115" s="14">
        <v>0.96353822193220096</v>
      </c>
      <c r="E115" t="b">
        <f t="shared" si="1"/>
        <v>1</v>
      </c>
      <c r="F115" s="12">
        <v>45453</v>
      </c>
      <c r="H115" s="12">
        <v>45449</v>
      </c>
    </row>
    <row r="116" spans="1:8">
      <c r="A116" s="17">
        <v>115</v>
      </c>
      <c r="B116">
        <f>TBL_Dati_OS[[#This Row],[VaR OS]]/2.33*SQRT(260)</f>
        <v>6.6487866603743475</v>
      </c>
      <c r="C116" s="12">
        <v>45454</v>
      </c>
      <c r="D116" s="14">
        <v>0.96075276940516929</v>
      </c>
      <c r="E116" t="b">
        <f t="shared" si="1"/>
        <v>1</v>
      </c>
      <c r="F116" s="12">
        <v>45454</v>
      </c>
      <c r="H116" s="12">
        <v>45450</v>
      </c>
    </row>
    <row r="117" spans="1:8">
      <c r="A117" s="17">
        <v>116</v>
      </c>
      <c r="B117">
        <f>TBL_Dati_OS[[#This Row],[VaR OS]]/2.33*SQRT(260)</f>
        <v>6.6114794987547842</v>
      </c>
      <c r="C117" s="12">
        <v>45455</v>
      </c>
      <c r="D117" s="14">
        <v>0.95536186717359972</v>
      </c>
      <c r="E117" t="b">
        <f t="shared" si="1"/>
        <v>1</v>
      </c>
      <c r="F117" s="12">
        <v>45455</v>
      </c>
      <c r="H117" s="12">
        <v>45453</v>
      </c>
    </row>
    <row r="118" spans="1:8">
      <c r="A118" s="17">
        <v>117</v>
      </c>
      <c r="B118">
        <f>TBL_Dati_OS[[#This Row],[VaR OS]]/2.33*SQRT(260)</f>
        <v>6.6057856713707706</v>
      </c>
      <c r="C118" s="12">
        <v>45456</v>
      </c>
      <c r="D118" s="14">
        <v>0.9545391064644454</v>
      </c>
      <c r="E118" t="b">
        <f t="shared" si="1"/>
        <v>1</v>
      </c>
      <c r="F118" s="12">
        <v>45456</v>
      </c>
      <c r="H118" s="12">
        <v>45454</v>
      </c>
    </row>
    <row r="119" spans="1:8">
      <c r="A119" s="17">
        <v>118</v>
      </c>
      <c r="B119">
        <f>TBL_Dati_OS[[#This Row],[VaR OS]]/2.33*SQRT(260)</f>
        <v>6.4272456464875605</v>
      </c>
      <c r="C119" s="12">
        <v>45457</v>
      </c>
      <c r="D119" s="14">
        <v>0.92873998970551563</v>
      </c>
      <c r="E119" t="b">
        <f t="shared" si="1"/>
        <v>1</v>
      </c>
      <c r="F119" s="12">
        <v>45457</v>
      </c>
      <c r="H119" s="12">
        <v>45455</v>
      </c>
    </row>
    <row r="120" spans="1:8">
      <c r="A120" s="17">
        <v>119</v>
      </c>
      <c r="B120">
        <f>TBL_Dati_OS[[#This Row],[VaR OS]]/2.33*SQRT(260)</f>
        <v>6.4098919533445953</v>
      </c>
      <c r="C120" s="12">
        <v>45460</v>
      </c>
      <c r="D120" s="14">
        <v>0.92623237296306893</v>
      </c>
      <c r="E120" t="b">
        <f t="shared" si="1"/>
        <v>1</v>
      </c>
      <c r="F120" s="12">
        <v>45460</v>
      </c>
      <c r="H120" s="12">
        <v>45456</v>
      </c>
    </row>
    <row r="121" spans="1:8">
      <c r="A121" s="17">
        <v>120</v>
      </c>
      <c r="B121">
        <f>TBL_Dati_OS[[#This Row],[VaR OS]]/2.33*SQRT(260)</f>
        <v>6.4313746969077208</v>
      </c>
      <c r="C121" s="12">
        <v>45461</v>
      </c>
      <c r="D121" s="14">
        <v>0.92933663941452571</v>
      </c>
      <c r="E121" t="b">
        <f t="shared" si="1"/>
        <v>1</v>
      </c>
      <c r="F121" s="12">
        <v>45461</v>
      </c>
      <c r="H121" s="12">
        <v>45457</v>
      </c>
    </row>
    <row r="122" spans="1:8">
      <c r="A122" s="17">
        <v>121</v>
      </c>
      <c r="B122">
        <f>TBL_Dati_OS[[#This Row],[VaR OS]]/2.33*SQRT(260)</f>
        <v>6.4402573239018279</v>
      </c>
      <c r="C122" s="12">
        <v>45462</v>
      </c>
      <c r="D122" s="14">
        <v>0.93062018315267014</v>
      </c>
      <c r="E122" t="b">
        <f t="shared" si="1"/>
        <v>1</v>
      </c>
      <c r="F122" s="12">
        <v>45462</v>
      </c>
      <c r="H122" s="12">
        <v>45460</v>
      </c>
    </row>
    <row r="123" spans="1:8">
      <c r="A123" s="17">
        <v>122</v>
      </c>
      <c r="B123">
        <f>TBL_Dati_OS[[#This Row],[VaR OS]]/2.33*SQRT(260)</f>
        <v>6.3739567704682472</v>
      </c>
      <c r="C123" s="12">
        <v>45463</v>
      </c>
      <c r="D123" s="14">
        <v>0.9210397222989567</v>
      </c>
      <c r="E123" t="b">
        <f t="shared" si="1"/>
        <v>1</v>
      </c>
      <c r="F123" s="12">
        <v>45463</v>
      </c>
      <c r="H123" s="12">
        <v>45461</v>
      </c>
    </row>
    <row r="124" spans="1:8">
      <c r="A124" s="17">
        <v>123</v>
      </c>
      <c r="B124">
        <f>TBL_Dati_OS[[#This Row],[VaR OS]]/2.33*SQRT(260)</f>
        <v>6.3167578737966732</v>
      </c>
      <c r="C124" s="12">
        <v>45464</v>
      </c>
      <c r="D124" s="14">
        <v>0.9127744550868726</v>
      </c>
      <c r="E124" t="b">
        <f t="shared" si="1"/>
        <v>1</v>
      </c>
      <c r="F124" s="12">
        <v>45464</v>
      </c>
      <c r="H124" s="12">
        <v>45462</v>
      </c>
    </row>
    <row r="125" spans="1:8">
      <c r="A125" s="17">
        <v>124</v>
      </c>
      <c r="B125">
        <f>TBL_Dati_OS[[#This Row],[VaR OS]]/2.33*SQRT(260)</f>
        <v>6.2509061722066077</v>
      </c>
      <c r="C125" s="12">
        <v>45467</v>
      </c>
      <c r="D125" s="14">
        <v>0.90325885353362079</v>
      </c>
      <c r="E125" t="b">
        <f t="shared" si="1"/>
        <v>1</v>
      </c>
      <c r="F125" s="12">
        <v>45467</v>
      </c>
      <c r="H125" s="12">
        <v>45463</v>
      </c>
    </row>
    <row r="126" spans="1:8">
      <c r="A126" s="17">
        <v>125</v>
      </c>
      <c r="B126">
        <f>TBL_Dati_OS[[#This Row],[VaR OS]]/2.33*SQRT(260)</f>
        <v>6.2442968235562146</v>
      </c>
      <c r="C126" s="12">
        <v>45468</v>
      </c>
      <c r="D126" s="14">
        <v>0.90230379957502793</v>
      </c>
      <c r="E126" t="b">
        <f t="shared" si="1"/>
        <v>1</v>
      </c>
      <c r="F126" s="12">
        <v>45468</v>
      </c>
      <c r="H126" s="12">
        <v>45464</v>
      </c>
    </row>
    <row r="127" spans="1:8">
      <c r="A127" s="17">
        <v>126</v>
      </c>
      <c r="B127">
        <f>TBL_Dati_OS[[#This Row],[VaR OS]]/2.33*SQRT(260)</f>
        <v>6.199367075968417</v>
      </c>
      <c r="C127" s="12">
        <v>45469</v>
      </c>
      <c r="D127" s="14">
        <v>0.89581143012047526</v>
      </c>
      <c r="E127" t="b">
        <f t="shared" si="1"/>
        <v>1</v>
      </c>
      <c r="F127" s="12">
        <v>45469</v>
      </c>
      <c r="H127" s="12">
        <v>45467</v>
      </c>
    </row>
    <row r="128" spans="1:8">
      <c r="A128" s="17">
        <v>127</v>
      </c>
      <c r="B128">
        <f>TBL_Dati_OS[[#This Row],[VaR OS]]/2.33*SQRT(260)</f>
        <v>6.1203094970191136</v>
      </c>
      <c r="C128" s="12">
        <v>45470</v>
      </c>
      <c r="D128" s="14">
        <v>0.88438757313756311</v>
      </c>
      <c r="E128" t="b">
        <f t="shared" si="1"/>
        <v>1</v>
      </c>
      <c r="F128" s="12">
        <v>45470</v>
      </c>
      <c r="H128" s="12">
        <v>45468</v>
      </c>
    </row>
    <row r="129" spans="1:8">
      <c r="A129" s="17">
        <v>128</v>
      </c>
      <c r="B129">
        <f>TBL_Dati_OS[[#This Row],[VaR OS]]/2.33*SQRT(260)</f>
        <v>6.115514926467772</v>
      </c>
      <c r="C129" s="12">
        <v>45471</v>
      </c>
      <c r="D129" s="14">
        <v>0.8836947554596003</v>
      </c>
      <c r="E129" t="b">
        <f t="shared" si="1"/>
        <v>1</v>
      </c>
      <c r="F129" s="12">
        <v>45471</v>
      </c>
      <c r="H129" s="12">
        <v>45469</v>
      </c>
    </row>
    <row r="130" spans="1:8">
      <c r="A130" s="17">
        <v>129</v>
      </c>
      <c r="B130">
        <f>TBL_Dati_OS[[#This Row],[VaR OS]]/2.33*SQRT(260)</f>
        <v>6.0651288531730421</v>
      </c>
      <c r="C130" s="12">
        <v>45474</v>
      </c>
      <c r="D130" s="14">
        <v>0.87641394439885889</v>
      </c>
      <c r="E130" t="b">
        <f t="shared" si="1"/>
        <v>1</v>
      </c>
      <c r="F130" s="12">
        <v>45474</v>
      </c>
      <c r="H130" s="12">
        <v>45470</v>
      </c>
    </row>
    <row r="131" spans="1:8">
      <c r="A131" s="17">
        <v>130</v>
      </c>
      <c r="B131">
        <f>TBL_Dati_OS[[#This Row],[VaR OS]]/2.33*SQRT(260)</f>
        <v>6.052151531876639</v>
      </c>
      <c r="C131" s="12">
        <v>45475</v>
      </c>
      <c r="D131" s="14">
        <v>0.87453871542673878</v>
      </c>
      <c r="E131" t="b">
        <f t="shared" ref="E131:E194" si="2">F131=C131</f>
        <v>1</v>
      </c>
      <c r="F131" s="12">
        <v>45475</v>
      </c>
      <c r="H131" s="12">
        <v>45471</v>
      </c>
    </row>
    <row r="132" spans="1:8">
      <c r="A132" s="17">
        <v>131</v>
      </c>
      <c r="B132">
        <f>TBL_Dati_OS[[#This Row],[VaR OS]]/2.33*SQRT(260)</f>
        <v>6.0246174557906489</v>
      </c>
      <c r="C132" s="12">
        <v>45476</v>
      </c>
      <c r="D132" s="14">
        <v>0.87056002860703896</v>
      </c>
      <c r="E132" t="b">
        <f t="shared" si="2"/>
        <v>1</v>
      </c>
      <c r="F132" s="12">
        <v>45476</v>
      </c>
      <c r="H132" s="12">
        <v>45474</v>
      </c>
    </row>
    <row r="133" spans="1:8">
      <c r="A133" s="17">
        <v>132</v>
      </c>
      <c r="B133">
        <f>TBL_Dati_OS[[#This Row],[VaR OS]]/2.33*SQRT(260)</f>
        <v>6.0140154344872476</v>
      </c>
      <c r="C133" s="12">
        <v>45477</v>
      </c>
      <c r="D133" s="14">
        <v>0.86902803159031372</v>
      </c>
      <c r="E133" t="b">
        <f t="shared" si="2"/>
        <v>1</v>
      </c>
      <c r="F133" s="12">
        <v>45477</v>
      </c>
      <c r="H133" s="12">
        <v>45475</v>
      </c>
    </row>
    <row r="134" spans="1:8">
      <c r="A134" s="17">
        <v>133</v>
      </c>
      <c r="B134">
        <f>TBL_Dati_OS[[#This Row],[VaR OS]]/2.33*SQRT(260)</f>
        <v>5.9801700398220747</v>
      </c>
      <c r="C134" s="12">
        <v>45478</v>
      </c>
      <c r="D134" s="14">
        <v>0.86413735629613242</v>
      </c>
      <c r="E134" t="b">
        <f t="shared" si="2"/>
        <v>1</v>
      </c>
      <c r="F134" s="12">
        <v>45478</v>
      </c>
      <c r="H134" s="12">
        <v>45476</v>
      </c>
    </row>
    <row r="135" spans="1:8">
      <c r="A135" s="17">
        <v>134</v>
      </c>
      <c r="B135">
        <f>TBL_Dati_OS[[#This Row],[VaR OS]]/2.33*SQRT(260)</f>
        <v>5.957366756222271</v>
      </c>
      <c r="C135" s="12">
        <v>45481</v>
      </c>
      <c r="D135" s="14">
        <v>0.8608422711942727</v>
      </c>
      <c r="E135" t="b">
        <f t="shared" si="2"/>
        <v>1</v>
      </c>
      <c r="F135" s="12">
        <v>45481</v>
      </c>
      <c r="H135" s="12">
        <v>45477</v>
      </c>
    </row>
    <row r="136" spans="1:8">
      <c r="A136" s="17">
        <v>135</v>
      </c>
      <c r="B136">
        <f>TBL_Dati_OS[[#This Row],[VaR OS]]/2.33*SQRT(260)</f>
        <v>5.931608354379172</v>
      </c>
      <c r="C136" s="12">
        <v>45482</v>
      </c>
      <c r="D136" s="14">
        <v>0.85712017012977337</v>
      </c>
      <c r="E136" t="b">
        <f t="shared" si="2"/>
        <v>1</v>
      </c>
      <c r="F136" s="12">
        <v>45482</v>
      </c>
      <c r="H136" s="12">
        <v>45478</v>
      </c>
    </row>
    <row r="137" spans="1:8">
      <c r="A137" s="17">
        <v>136</v>
      </c>
      <c r="B137">
        <f>TBL_Dati_OS[[#This Row],[VaR OS]]/2.33*SQRT(260)</f>
        <v>7.6069913169426151</v>
      </c>
      <c r="C137" s="12">
        <v>45483</v>
      </c>
      <c r="D137" s="14">
        <v>1.0992137886075901</v>
      </c>
      <c r="E137" t="b">
        <f t="shared" si="2"/>
        <v>1</v>
      </c>
      <c r="F137" s="12">
        <v>45483</v>
      </c>
      <c r="H137" s="12">
        <v>45481</v>
      </c>
    </row>
    <row r="138" spans="1:8">
      <c r="A138" s="17">
        <v>137</v>
      </c>
      <c r="B138">
        <f>TBL_Dati_OS[[#This Row],[VaR OS]]/2.33*SQRT(260)</f>
        <v>7.6257425458183015</v>
      </c>
      <c r="C138" s="12">
        <v>45484</v>
      </c>
      <c r="D138" s="14">
        <v>1.1019233499143821</v>
      </c>
      <c r="E138" t="b">
        <f t="shared" si="2"/>
        <v>1</v>
      </c>
      <c r="F138" s="12">
        <v>45484</v>
      </c>
      <c r="H138" s="12">
        <v>45482</v>
      </c>
    </row>
    <row r="139" spans="1:8">
      <c r="A139" s="17">
        <v>138</v>
      </c>
      <c r="B139">
        <f>TBL_Dati_OS[[#This Row],[VaR OS]]/2.33*SQRT(260)</f>
        <v>7.960712243344747</v>
      </c>
      <c r="C139" s="12">
        <v>45485</v>
      </c>
      <c r="D139" s="14">
        <v>1.1503266272346422</v>
      </c>
      <c r="E139" t="b">
        <f t="shared" si="2"/>
        <v>1</v>
      </c>
      <c r="F139" s="12">
        <v>45485</v>
      </c>
      <c r="H139" s="12">
        <v>45483</v>
      </c>
    </row>
    <row r="140" spans="1:8">
      <c r="A140" s="17">
        <v>139</v>
      </c>
      <c r="B140">
        <f>TBL_Dati_OS[[#This Row],[VaR OS]]/2.33*SQRT(260)</f>
        <v>7.7452638800970606</v>
      </c>
      <c r="C140" s="12">
        <v>45488</v>
      </c>
      <c r="D140" s="14">
        <v>1.1191942383902735</v>
      </c>
      <c r="E140" t="b">
        <f t="shared" si="2"/>
        <v>1</v>
      </c>
      <c r="F140" s="12">
        <v>45488</v>
      </c>
      <c r="H140" s="12">
        <v>45484</v>
      </c>
    </row>
    <row r="141" spans="1:8">
      <c r="A141" s="17">
        <v>140</v>
      </c>
      <c r="B141">
        <f>TBL_Dati_OS[[#This Row],[VaR OS]]/2.33*SQRT(260)</f>
        <v>7.8047770055385444</v>
      </c>
      <c r="C141" s="12">
        <v>45489</v>
      </c>
      <c r="D141" s="14">
        <v>1.1277939127375691</v>
      </c>
      <c r="E141" t="b">
        <f t="shared" si="2"/>
        <v>1</v>
      </c>
      <c r="F141" s="12">
        <v>45489</v>
      </c>
      <c r="H141" s="12">
        <v>45485</v>
      </c>
    </row>
    <row r="142" spans="1:8">
      <c r="A142" s="17">
        <v>141</v>
      </c>
      <c r="B142">
        <f>TBL_Dati_OS[[#This Row],[VaR OS]]/2.33*SQRT(260)</f>
        <v>7.9002189572416102</v>
      </c>
      <c r="C142" s="12">
        <v>45490</v>
      </c>
      <c r="D142" s="14">
        <v>1.1415853192151824</v>
      </c>
      <c r="E142" t="b">
        <f t="shared" si="2"/>
        <v>1</v>
      </c>
      <c r="F142" s="12">
        <v>45490</v>
      </c>
      <c r="H142" s="12">
        <v>45488</v>
      </c>
    </row>
    <row r="143" spans="1:8">
      <c r="A143" s="17">
        <v>142</v>
      </c>
      <c r="B143">
        <f>TBL_Dati_OS[[#This Row],[VaR OS]]/2.33*SQRT(260)</f>
        <v>7.9011486152981432</v>
      </c>
      <c r="C143" s="12">
        <v>45491</v>
      </c>
      <c r="D143" s="14">
        <v>1.1417196552373827</v>
      </c>
      <c r="E143" t="b">
        <f t="shared" si="2"/>
        <v>1</v>
      </c>
      <c r="F143" s="12">
        <v>45491</v>
      </c>
      <c r="H143" s="12">
        <v>45489</v>
      </c>
    </row>
    <row r="144" spans="1:8">
      <c r="A144" s="17">
        <v>143</v>
      </c>
      <c r="B144">
        <f>TBL_Dati_OS[[#This Row],[VaR OS]]/2.33*SQRT(260)</f>
        <v>7.8455948988846282</v>
      </c>
      <c r="C144" s="12">
        <v>45492</v>
      </c>
      <c r="D144" s="14">
        <v>1.1336921173389072</v>
      </c>
      <c r="E144" t="b">
        <f t="shared" si="2"/>
        <v>1</v>
      </c>
      <c r="F144" s="12">
        <v>45492</v>
      </c>
      <c r="H144" s="12">
        <v>45490</v>
      </c>
    </row>
    <row r="145" spans="1:8">
      <c r="A145" s="17">
        <v>144</v>
      </c>
      <c r="B145">
        <f>TBL_Dati_OS[[#This Row],[VaR OS]]/2.33*SQRT(260)</f>
        <v>7.9272340695504981</v>
      </c>
      <c r="C145" s="12">
        <v>45495</v>
      </c>
      <c r="D145" s="14">
        <v>1.1454890155273594</v>
      </c>
      <c r="E145" t="b">
        <f t="shared" si="2"/>
        <v>1</v>
      </c>
      <c r="F145" s="12">
        <v>45495</v>
      </c>
      <c r="H145" s="12">
        <v>45491</v>
      </c>
    </row>
    <row r="146" spans="1:8">
      <c r="A146" s="17">
        <v>145</v>
      </c>
      <c r="B146">
        <f>TBL_Dati_OS[[#This Row],[VaR OS]]/2.33*SQRT(260)</f>
        <v>7.9129805876108055</v>
      </c>
      <c r="C146" s="12">
        <v>45496</v>
      </c>
      <c r="D146" s="14">
        <v>1.1434293807478528</v>
      </c>
      <c r="E146" t="b">
        <f t="shared" si="2"/>
        <v>1</v>
      </c>
      <c r="F146" s="12">
        <v>45496</v>
      </c>
      <c r="H146" s="12">
        <v>45492</v>
      </c>
    </row>
    <row r="147" spans="1:8">
      <c r="A147" s="17">
        <v>146</v>
      </c>
      <c r="B147">
        <f>TBL_Dati_OS[[#This Row],[VaR OS]]/2.33*SQRT(260)</f>
        <v>7.7693925528861989</v>
      </c>
      <c r="C147" s="12">
        <v>45497</v>
      </c>
      <c r="D147" s="14">
        <v>1.1226808428473536</v>
      </c>
      <c r="E147" t="b">
        <f t="shared" si="2"/>
        <v>1</v>
      </c>
      <c r="F147" s="12">
        <v>45497</v>
      </c>
      <c r="H147" s="12">
        <v>45495</v>
      </c>
    </row>
    <row r="148" spans="1:8">
      <c r="A148" s="17">
        <v>147</v>
      </c>
      <c r="B148">
        <f>TBL_Dati_OS[[#This Row],[VaR OS]]/2.33*SQRT(260)</f>
        <v>7.6338603323537493</v>
      </c>
      <c r="C148" s="12">
        <v>45498</v>
      </c>
      <c r="D148" s="14">
        <v>1.1030963738499904</v>
      </c>
      <c r="E148" t="b">
        <f t="shared" si="2"/>
        <v>1</v>
      </c>
      <c r="F148" s="12">
        <v>45498</v>
      </c>
      <c r="H148" s="12">
        <v>45496</v>
      </c>
    </row>
    <row r="149" spans="1:8">
      <c r="A149" s="17">
        <v>148</v>
      </c>
      <c r="B149">
        <f>TBL_Dati_OS[[#This Row],[VaR OS]]/2.33*SQRT(260)</f>
        <v>7.7120369341446429</v>
      </c>
      <c r="C149" s="12">
        <v>45499</v>
      </c>
      <c r="D149" s="14">
        <v>1.1143929292231565</v>
      </c>
      <c r="E149" t="b">
        <f t="shared" si="2"/>
        <v>1</v>
      </c>
      <c r="F149" s="12">
        <v>45499</v>
      </c>
      <c r="H149" s="12">
        <v>45497</v>
      </c>
    </row>
    <row r="150" spans="1:8">
      <c r="A150" s="17">
        <v>149</v>
      </c>
      <c r="B150">
        <f>TBL_Dati_OS[[#This Row],[VaR OS]]/2.33*SQRT(260)</f>
        <v>7.6652846386393447</v>
      </c>
      <c r="C150" s="12">
        <v>45502</v>
      </c>
      <c r="D150" s="14">
        <v>1.1076372007455886</v>
      </c>
      <c r="E150" t="b">
        <f t="shared" si="2"/>
        <v>1</v>
      </c>
      <c r="F150" s="12">
        <v>45502</v>
      </c>
      <c r="H150" s="12">
        <v>45498</v>
      </c>
    </row>
    <row r="151" spans="1:8">
      <c r="A151" s="17">
        <v>150</v>
      </c>
      <c r="B151">
        <f>TBL_Dati_OS[[#This Row],[VaR OS]]/2.33*SQRT(260)</f>
        <v>7.6912823241105759</v>
      </c>
      <c r="C151" s="12">
        <v>45503</v>
      </c>
      <c r="D151" s="14">
        <v>1.1113938784058104</v>
      </c>
      <c r="E151" t="b">
        <f t="shared" si="2"/>
        <v>1</v>
      </c>
      <c r="F151" s="12">
        <v>45503</v>
      </c>
      <c r="H151" s="12">
        <v>45499</v>
      </c>
    </row>
    <row r="152" spans="1:8">
      <c r="A152" s="17">
        <v>151</v>
      </c>
      <c r="B152">
        <f>TBL_Dati_OS[[#This Row],[VaR OS]]/2.33*SQRT(260)</f>
        <v>7.5548637393167031</v>
      </c>
      <c r="C152" s="12">
        <v>45504</v>
      </c>
      <c r="D152" s="14">
        <v>1.0916813293598064</v>
      </c>
      <c r="E152" t="b">
        <f t="shared" si="2"/>
        <v>1</v>
      </c>
      <c r="F152" s="12">
        <v>45504</v>
      </c>
      <c r="H152" s="12">
        <v>45502</v>
      </c>
    </row>
    <row r="153" spans="1:8">
      <c r="A153" s="17">
        <v>152</v>
      </c>
      <c r="B153">
        <f>TBL_Dati_OS[[#This Row],[VaR OS]]/2.33*SQRT(260)</f>
        <v>7.5573549246942049</v>
      </c>
      <c r="C153" s="12">
        <v>45505</v>
      </c>
      <c r="D153" s="14">
        <v>1.0920413068072405</v>
      </c>
      <c r="E153" t="b">
        <f t="shared" si="2"/>
        <v>1</v>
      </c>
      <c r="F153" s="12">
        <v>45505</v>
      </c>
      <c r="H153" s="12">
        <v>45503</v>
      </c>
    </row>
    <row r="154" spans="1:8">
      <c r="A154" s="17">
        <v>153</v>
      </c>
      <c r="B154">
        <f>TBL_Dati_OS[[#This Row],[VaR OS]]/2.33*SQRT(260)</f>
        <v>7.5672671981121598</v>
      </c>
      <c r="C154" s="12">
        <v>45506</v>
      </c>
      <c r="D154" s="14">
        <v>1.0934736349332366</v>
      </c>
      <c r="E154" t="b">
        <f t="shared" si="2"/>
        <v>1</v>
      </c>
      <c r="F154" s="12">
        <v>45506</v>
      </c>
      <c r="H154" s="12">
        <v>45504</v>
      </c>
    </row>
    <row r="155" spans="1:8">
      <c r="A155" s="17">
        <v>154</v>
      </c>
      <c r="B155">
        <f>TBL_Dati_OS[[#This Row],[VaR OS]]/2.33*SQRT(260)</f>
        <v>7.7653740971011427</v>
      </c>
      <c r="C155" s="12">
        <v>45509</v>
      </c>
      <c r="D155" s="14">
        <v>1.1221001741146306</v>
      </c>
      <c r="E155" t="b">
        <f t="shared" si="2"/>
        <v>1</v>
      </c>
      <c r="F155" s="12">
        <v>45509</v>
      </c>
      <c r="H155" s="12">
        <v>45505</v>
      </c>
    </row>
    <row r="156" spans="1:8">
      <c r="A156" s="17">
        <v>155</v>
      </c>
      <c r="B156">
        <f>TBL_Dati_OS[[#This Row],[VaR OS]]/2.33*SQRT(260)</f>
        <v>8.053783222655392</v>
      </c>
      <c r="C156" s="12">
        <v>45510</v>
      </c>
      <c r="D156" s="14">
        <v>1.1637754270971601</v>
      </c>
      <c r="E156" t="b">
        <f t="shared" si="2"/>
        <v>1</v>
      </c>
      <c r="F156" s="12">
        <v>45510</v>
      </c>
      <c r="H156" s="12">
        <v>45506</v>
      </c>
    </row>
    <row r="157" spans="1:8">
      <c r="A157" s="17">
        <v>156</v>
      </c>
      <c r="B157">
        <f>TBL_Dati_OS[[#This Row],[VaR OS]]/2.33*SQRT(260)</f>
        <v>7.9427921429789734</v>
      </c>
      <c r="C157" s="12">
        <v>45511</v>
      </c>
      <c r="D157" s="14">
        <v>1.1477371643846692</v>
      </c>
      <c r="E157" t="b">
        <f t="shared" si="2"/>
        <v>1</v>
      </c>
      <c r="F157" s="12">
        <v>45511</v>
      </c>
      <c r="H157" s="12">
        <v>45509</v>
      </c>
    </row>
    <row r="158" spans="1:8">
      <c r="A158" s="17">
        <v>157</v>
      </c>
      <c r="B158">
        <f>TBL_Dati_OS[[#This Row],[VaR OS]]/2.33*SQRT(260)</f>
        <v>8.2433568804668056</v>
      </c>
      <c r="C158" s="12">
        <v>45512</v>
      </c>
      <c r="D158" s="14">
        <v>1.1911689089536421</v>
      </c>
      <c r="E158" t="b">
        <f t="shared" si="2"/>
        <v>1</v>
      </c>
      <c r="F158" s="12">
        <v>45512</v>
      </c>
      <c r="H158" s="12">
        <v>45510</v>
      </c>
    </row>
    <row r="159" spans="1:8">
      <c r="A159" s="17">
        <v>158</v>
      </c>
      <c r="B159">
        <f>TBL_Dati_OS[[#This Row],[VaR OS]]/2.33*SQRT(260)</f>
        <v>8.1190776287659467</v>
      </c>
      <c r="C159" s="12">
        <v>45513</v>
      </c>
      <c r="D159" s="14">
        <v>1.1732104991940362</v>
      </c>
      <c r="E159" t="b">
        <f t="shared" si="2"/>
        <v>1</v>
      </c>
      <c r="F159" s="12">
        <v>45513</v>
      </c>
      <c r="H159" s="12">
        <v>45511</v>
      </c>
    </row>
    <row r="160" spans="1:8">
      <c r="A160" s="17">
        <v>159</v>
      </c>
      <c r="B160">
        <f>TBL_Dati_OS[[#This Row],[VaR OS]]/2.33*SQRT(260)</f>
        <v>8.0690069440459649</v>
      </c>
      <c r="C160" s="12">
        <v>45516</v>
      </c>
      <c r="D160" s="14">
        <v>1.1659752619292527</v>
      </c>
      <c r="E160" t="b">
        <f t="shared" si="2"/>
        <v>1</v>
      </c>
      <c r="F160" s="12">
        <v>45516</v>
      </c>
      <c r="H160" s="12">
        <v>45512</v>
      </c>
    </row>
    <row r="161" spans="1:8">
      <c r="A161" s="17">
        <v>160</v>
      </c>
      <c r="B161">
        <f>TBL_Dati_OS[[#This Row],[VaR OS]]/2.33*SQRT(260)</f>
        <v>8.3782527845144621</v>
      </c>
      <c r="C161" s="12">
        <v>45517</v>
      </c>
      <c r="D161" s="14">
        <v>1.2106614299225587</v>
      </c>
      <c r="E161" t="b">
        <f t="shared" si="2"/>
        <v>1</v>
      </c>
      <c r="F161" s="12">
        <v>45517</v>
      </c>
      <c r="H161" s="12">
        <v>45513</v>
      </c>
    </row>
    <row r="162" spans="1:8">
      <c r="A162" s="17">
        <v>161</v>
      </c>
      <c r="B162">
        <f>TBL_Dati_OS[[#This Row],[VaR OS]]/2.33*SQRT(260)</f>
        <v>8.3473488693364057</v>
      </c>
      <c r="C162" s="12">
        <v>45518</v>
      </c>
      <c r="D162" s="14">
        <v>1.2061957997843962</v>
      </c>
      <c r="E162" t="b">
        <f t="shared" si="2"/>
        <v>1</v>
      </c>
      <c r="F162" s="12">
        <v>45518</v>
      </c>
      <c r="H162" s="12">
        <v>45516</v>
      </c>
    </row>
    <row r="163" spans="1:8">
      <c r="A163" s="17">
        <v>162</v>
      </c>
      <c r="B163">
        <f>TBL_Dati_OS[[#This Row],[VaR OS]]/2.33*SQRT(260)</f>
        <v>8.3473488693364057</v>
      </c>
      <c r="C163" s="12">
        <v>45519</v>
      </c>
      <c r="D163" s="14">
        <v>1.2061957997843962</v>
      </c>
      <c r="E163" t="b">
        <f t="shared" si="2"/>
        <v>1</v>
      </c>
      <c r="F163" s="12">
        <v>45519</v>
      </c>
      <c r="H163" s="12">
        <v>45517</v>
      </c>
    </row>
    <row r="164" spans="1:8">
      <c r="A164" s="17">
        <v>163</v>
      </c>
      <c r="B164">
        <f>TBL_Dati_OS[[#This Row],[VaR OS]]/2.33*SQRT(260)</f>
        <v>8.428614653581203</v>
      </c>
      <c r="C164" s="12">
        <v>45520</v>
      </c>
      <c r="D164" s="14">
        <v>1.2179387434610811</v>
      </c>
      <c r="E164" t="b">
        <f t="shared" si="2"/>
        <v>1</v>
      </c>
      <c r="F164" s="12">
        <v>45520</v>
      </c>
      <c r="H164" s="12">
        <v>45518</v>
      </c>
    </row>
    <row r="165" spans="1:8">
      <c r="A165" s="17">
        <v>164</v>
      </c>
      <c r="B165">
        <f>TBL_Dati_OS[[#This Row],[VaR OS]]/2.33*SQRT(260)</f>
        <v>8.4402237980497006</v>
      </c>
      <c r="C165" s="12">
        <v>45523</v>
      </c>
      <c r="D165" s="14">
        <v>1.2196162702442772</v>
      </c>
      <c r="E165" t="b">
        <f t="shared" si="2"/>
        <v>1</v>
      </c>
      <c r="F165" s="12">
        <v>45523</v>
      </c>
      <c r="H165" s="12">
        <v>45519</v>
      </c>
    </row>
    <row r="166" spans="1:8">
      <c r="A166" s="17">
        <v>165</v>
      </c>
      <c r="B166">
        <f>TBL_Dati_OS[[#This Row],[VaR OS]]/2.33*SQRT(260)</f>
        <v>8.4355138205479161</v>
      </c>
      <c r="C166" s="12">
        <v>45524</v>
      </c>
      <c r="D166" s="14">
        <v>1.2189356763013788</v>
      </c>
      <c r="E166" t="b">
        <f t="shared" si="2"/>
        <v>1</v>
      </c>
      <c r="F166" s="12">
        <v>45524</v>
      </c>
      <c r="H166" s="12">
        <v>45520</v>
      </c>
    </row>
    <row r="167" spans="1:8">
      <c r="A167" s="17">
        <v>166</v>
      </c>
      <c r="B167">
        <f>TBL_Dati_OS[[#This Row],[VaR OS]]/2.33*SQRT(260)</f>
        <v>8.3349283088163464</v>
      </c>
      <c r="C167" s="12">
        <v>45525</v>
      </c>
      <c r="D167" s="14">
        <v>1.2044010230037947</v>
      </c>
      <c r="E167" t="b">
        <f t="shared" si="2"/>
        <v>1</v>
      </c>
      <c r="F167" s="12">
        <v>45525</v>
      </c>
      <c r="H167" s="12">
        <v>45523</v>
      </c>
    </row>
    <row r="168" spans="1:8">
      <c r="A168" s="17">
        <v>167</v>
      </c>
      <c r="B168">
        <f>TBL_Dati_OS[[#This Row],[VaR OS]]/2.33*SQRT(260)</f>
        <v>8.2028768821223697</v>
      </c>
      <c r="C168" s="12">
        <v>45526</v>
      </c>
      <c r="D168" s="14">
        <v>1.1853195303374324</v>
      </c>
      <c r="E168" t="b">
        <f t="shared" si="2"/>
        <v>1</v>
      </c>
      <c r="F168" s="12">
        <v>45526</v>
      </c>
      <c r="H168" s="12">
        <v>45524</v>
      </c>
    </row>
    <row r="169" spans="1:8">
      <c r="A169" s="17">
        <v>168</v>
      </c>
      <c r="B169">
        <f>TBL_Dati_OS[[#This Row],[VaR OS]]/2.33*SQRT(260)</f>
        <v>8.2126407098167906</v>
      </c>
      <c r="C169" s="12">
        <v>45527</v>
      </c>
      <c r="D169" s="14">
        <v>1.1867304079872323</v>
      </c>
      <c r="E169" t="b">
        <f t="shared" si="2"/>
        <v>1</v>
      </c>
      <c r="F169" s="12">
        <v>45527</v>
      </c>
      <c r="H169" s="12">
        <v>45525</v>
      </c>
    </row>
    <row r="170" spans="1:8">
      <c r="A170" s="17">
        <v>169</v>
      </c>
      <c r="B170">
        <f>TBL_Dati_OS[[#This Row],[VaR OS]]/2.33*SQRT(260)</f>
        <v>8.1239165341947146</v>
      </c>
      <c r="C170" s="12">
        <v>45530</v>
      </c>
      <c r="D170" s="14">
        <v>1.1739097232824383</v>
      </c>
      <c r="E170" t="b">
        <f t="shared" si="2"/>
        <v>1</v>
      </c>
      <c r="F170" s="12">
        <v>45530</v>
      </c>
      <c r="H170" s="12">
        <v>45526</v>
      </c>
    </row>
    <row r="171" spans="1:8">
      <c r="A171" s="17">
        <v>170</v>
      </c>
      <c r="B171">
        <f>TBL_Dati_OS[[#This Row],[VaR OS]]/2.33*SQRT(260)</f>
        <v>8.1381943213218371</v>
      </c>
      <c r="C171" s="12">
        <v>45531</v>
      </c>
      <c r="D171" s="14">
        <v>1.1759728701728496</v>
      </c>
      <c r="E171" t="b">
        <f t="shared" si="2"/>
        <v>1</v>
      </c>
      <c r="F171" s="12">
        <v>45531</v>
      </c>
      <c r="H171" s="12">
        <v>45527</v>
      </c>
    </row>
    <row r="172" spans="1:8">
      <c r="A172" s="17">
        <v>171</v>
      </c>
      <c r="B172">
        <f>TBL_Dati_OS[[#This Row],[VaR OS]]/2.33*SQRT(260)</f>
        <v>7.7874708578690157</v>
      </c>
      <c r="C172" s="12">
        <v>45532</v>
      </c>
      <c r="D172" s="14">
        <v>1.1252931663381804</v>
      </c>
      <c r="E172" t="b">
        <f t="shared" si="2"/>
        <v>1</v>
      </c>
      <c r="F172" s="12">
        <v>45532</v>
      </c>
      <c r="H172" s="12">
        <v>45530</v>
      </c>
    </row>
    <row r="173" spans="1:8">
      <c r="A173" s="17">
        <v>172</v>
      </c>
      <c r="B173">
        <f>TBL_Dati_OS[[#This Row],[VaR OS]]/2.33*SQRT(260)</f>
        <v>8.0872545533716451</v>
      </c>
      <c r="C173" s="12">
        <v>45533</v>
      </c>
      <c r="D173" s="14">
        <v>1.1686120499764849</v>
      </c>
      <c r="E173" t="b">
        <f t="shared" si="2"/>
        <v>1</v>
      </c>
      <c r="F173" s="12">
        <v>45533</v>
      </c>
      <c r="H173" s="12">
        <v>45531</v>
      </c>
    </row>
    <row r="174" spans="1:8">
      <c r="A174" s="17">
        <v>173</v>
      </c>
      <c r="B174">
        <f>TBL_Dati_OS[[#This Row],[VaR OS]]/2.33*SQRT(260)</f>
        <v>8.0511737429014563</v>
      </c>
      <c r="C174" s="12">
        <v>45534</v>
      </c>
      <c r="D174" s="14">
        <v>1.1633983560572299</v>
      </c>
      <c r="E174" t="b">
        <f t="shared" si="2"/>
        <v>1</v>
      </c>
      <c r="F174" s="12">
        <v>45534</v>
      </c>
      <c r="H174" s="12">
        <v>45532</v>
      </c>
    </row>
    <row r="175" spans="1:8">
      <c r="A175" s="17">
        <v>174</v>
      </c>
      <c r="B175">
        <f>TBL_Dati_OS[[#This Row],[VaR OS]]/2.33*SQRT(260)</f>
        <v>7.8824401661900172</v>
      </c>
      <c r="C175" s="12">
        <v>45537</v>
      </c>
      <c r="D175" s="14">
        <v>1.1390162756269298</v>
      </c>
      <c r="E175" t="b">
        <f t="shared" si="2"/>
        <v>1</v>
      </c>
      <c r="F175" s="12">
        <v>45537</v>
      </c>
      <c r="H175">
        <v>45533</v>
      </c>
    </row>
    <row r="176" spans="1:8">
      <c r="A176" s="17">
        <v>175</v>
      </c>
      <c r="B176">
        <f>TBL_Dati_OS[[#This Row],[VaR OS]]/2.33*SQRT(260)</f>
        <v>7.7238496566245347</v>
      </c>
      <c r="C176" s="12">
        <v>45538</v>
      </c>
      <c r="D176" s="14">
        <v>1.1160998731238247</v>
      </c>
      <c r="E176" t="b">
        <f t="shared" si="2"/>
        <v>1</v>
      </c>
      <c r="F176" s="12">
        <v>45538</v>
      </c>
      <c r="H176">
        <v>45534</v>
      </c>
    </row>
    <row r="177" spans="1:8">
      <c r="A177" s="17">
        <v>176</v>
      </c>
      <c r="B177">
        <f>TBL_Dati_OS[[#This Row],[VaR OS]]/2.33*SQRT(260)</f>
        <v>7.8403702341596615</v>
      </c>
      <c r="C177" s="12">
        <v>45539</v>
      </c>
      <c r="D177" s="14">
        <v>1.1329371508525192</v>
      </c>
      <c r="E177" t="b">
        <f t="shared" si="2"/>
        <v>1</v>
      </c>
      <c r="F177" s="12">
        <v>45539</v>
      </c>
      <c r="H177">
        <v>45537</v>
      </c>
    </row>
    <row r="178" spans="1:8">
      <c r="A178" s="17">
        <v>177</v>
      </c>
      <c r="B178">
        <f>TBL_Dati_OS[[#This Row],[VaR OS]]/2.33*SQRT(260)</f>
        <v>7.875516067774603</v>
      </c>
      <c r="C178" s="12">
        <v>45540</v>
      </c>
      <c r="D178" s="14">
        <v>1.1380157401806821</v>
      </c>
      <c r="E178" t="b">
        <f t="shared" si="2"/>
        <v>1</v>
      </c>
      <c r="F178" s="12">
        <v>45540</v>
      </c>
      <c r="H178">
        <v>45538</v>
      </c>
    </row>
    <row r="179" spans="1:8">
      <c r="A179" s="17">
        <v>178</v>
      </c>
      <c r="B179">
        <f>TBL_Dati_OS[[#This Row],[VaR OS]]/2.33*SQRT(260)</f>
        <v>7.6493599219594826</v>
      </c>
      <c r="C179" s="12">
        <v>45541</v>
      </c>
      <c r="D179" s="14">
        <v>1.1053360717676723</v>
      </c>
      <c r="E179" t="b">
        <f t="shared" si="2"/>
        <v>1</v>
      </c>
      <c r="F179" s="12">
        <v>45541</v>
      </c>
      <c r="H179">
        <v>45539</v>
      </c>
    </row>
    <row r="180" spans="1:8">
      <c r="A180" s="17">
        <v>179</v>
      </c>
      <c r="B180">
        <f>TBL_Dati_OS[[#This Row],[VaR OS]]/2.33*SQRT(260)</f>
        <v>7.5656010524404662</v>
      </c>
      <c r="C180" s="12">
        <v>45544</v>
      </c>
      <c r="D180" s="14">
        <v>1.0932328761075922</v>
      </c>
      <c r="E180" t="b">
        <f t="shared" si="2"/>
        <v>1</v>
      </c>
      <c r="F180" s="12">
        <v>45544</v>
      </c>
      <c r="H180">
        <v>45540</v>
      </c>
    </row>
    <row r="181" spans="1:8">
      <c r="A181" s="17">
        <v>180</v>
      </c>
      <c r="B181">
        <f>TBL_Dati_OS[[#This Row],[VaR OS]]/2.33*SQRT(260)</f>
        <v>7.5606850319327989</v>
      </c>
      <c r="C181" s="12">
        <v>45545</v>
      </c>
      <c r="D181" s="14">
        <v>1.0925225088543695</v>
      </c>
      <c r="E181" t="b">
        <f t="shared" si="2"/>
        <v>1</v>
      </c>
      <c r="F181" s="12">
        <v>45545</v>
      </c>
      <c r="H181">
        <v>45541</v>
      </c>
    </row>
    <row r="182" spans="1:8">
      <c r="A182" s="17">
        <v>181</v>
      </c>
      <c r="B182">
        <f>TBL_Dati_OS[[#This Row],[VaR OS]]/2.33*SQRT(260)</f>
        <v>7.6150929838996966</v>
      </c>
      <c r="C182" s="12">
        <v>45546</v>
      </c>
      <c r="D182" s="14">
        <v>1.1003844832566159</v>
      </c>
      <c r="E182" t="b">
        <f t="shared" si="2"/>
        <v>1</v>
      </c>
      <c r="F182" s="12">
        <v>45546</v>
      </c>
      <c r="H182">
        <v>45544</v>
      </c>
    </row>
    <row r="183" spans="1:8">
      <c r="A183" s="17">
        <v>182</v>
      </c>
      <c r="B183">
        <f>TBL_Dati_OS[[#This Row],[VaR OS]]/2.33*SQRT(260)</f>
        <v>7.7869553859326883</v>
      </c>
      <c r="C183" s="12">
        <v>45547</v>
      </c>
      <c r="D183" s="14">
        <v>1.1252186804032762</v>
      </c>
      <c r="E183" t="b">
        <f t="shared" si="2"/>
        <v>1</v>
      </c>
      <c r="F183" s="12">
        <v>45547</v>
      </c>
      <c r="H183">
        <v>45545</v>
      </c>
    </row>
    <row r="184" spans="1:8">
      <c r="A184" s="17">
        <v>183</v>
      </c>
      <c r="B184">
        <f>TBL_Dati_OS[[#This Row],[VaR OS]]/2.33*SQRT(260)</f>
        <v>7.7462438944674306</v>
      </c>
      <c r="C184" s="12">
        <v>45548</v>
      </c>
      <c r="D184" s="14">
        <v>1.1193358509232791</v>
      </c>
      <c r="E184" t="b">
        <f t="shared" si="2"/>
        <v>1</v>
      </c>
      <c r="F184" s="12">
        <v>45548</v>
      </c>
      <c r="H184">
        <v>45546</v>
      </c>
    </row>
    <row r="185" spans="1:8">
      <c r="A185" s="17">
        <v>184</v>
      </c>
      <c r="B185">
        <f>TBL_Dati_OS[[#This Row],[VaR OS]]/2.33*SQRT(260)</f>
        <v>7.8567296906895754</v>
      </c>
      <c r="C185" s="12">
        <v>45551</v>
      </c>
      <c r="D185" s="14">
        <v>1.1353010999412683</v>
      </c>
      <c r="E185" t="b">
        <f t="shared" si="2"/>
        <v>1</v>
      </c>
      <c r="F185" s="12">
        <v>45551</v>
      </c>
      <c r="H185">
        <v>45547</v>
      </c>
    </row>
    <row r="186" spans="1:8">
      <c r="A186" s="17">
        <v>185</v>
      </c>
      <c r="B186">
        <f>TBL_Dati_OS[[#This Row],[VaR OS]]/2.33*SQRT(260)</f>
        <v>7.7604907954485469</v>
      </c>
      <c r="C186" s="12">
        <v>45552</v>
      </c>
      <c r="D186" s="14">
        <v>1.121394534751206</v>
      </c>
      <c r="E186" t="b">
        <f t="shared" si="2"/>
        <v>1</v>
      </c>
      <c r="F186" s="12">
        <v>45552</v>
      </c>
      <c r="H186">
        <v>45548</v>
      </c>
    </row>
    <row r="187" spans="1:8">
      <c r="A187" s="17">
        <v>186</v>
      </c>
      <c r="B187">
        <f>TBL_Dati_OS[[#This Row],[VaR OS]]/2.33*SQRT(260)</f>
        <v>7.6180757161974535</v>
      </c>
      <c r="C187" s="12">
        <v>45553</v>
      </c>
      <c r="D187" s="14">
        <v>1.1008154894629878</v>
      </c>
      <c r="E187" t="b">
        <f t="shared" si="2"/>
        <v>1</v>
      </c>
      <c r="F187" s="12">
        <v>45553</v>
      </c>
      <c r="H187">
        <v>45551</v>
      </c>
    </row>
    <row r="188" spans="1:8">
      <c r="A188" s="17">
        <v>187</v>
      </c>
      <c r="B188">
        <f>TBL_Dati_OS[[#This Row],[VaR OS]]/2.33*SQRT(260)</f>
        <v>7.736903412557635</v>
      </c>
      <c r="C188" s="12">
        <v>45554</v>
      </c>
      <c r="D188" s="14">
        <v>1.1179861469365506</v>
      </c>
      <c r="E188" t="b">
        <f t="shared" si="2"/>
        <v>1</v>
      </c>
      <c r="F188" s="12">
        <v>45554</v>
      </c>
      <c r="H188">
        <v>45552</v>
      </c>
    </row>
    <row r="189" spans="1:8">
      <c r="A189" s="17">
        <v>188</v>
      </c>
      <c r="B189">
        <f>TBL_Dati_OS[[#This Row],[VaR OS]]/2.33*SQRT(260)</f>
        <v>7.5369544957843448</v>
      </c>
      <c r="C189" s="12">
        <v>45555</v>
      </c>
      <c r="D189" s="14">
        <v>1.0890934353273189</v>
      </c>
      <c r="E189" t="b">
        <f t="shared" si="2"/>
        <v>1</v>
      </c>
      <c r="F189" s="12">
        <v>45555</v>
      </c>
      <c r="H189">
        <v>45553</v>
      </c>
    </row>
    <row r="190" spans="1:8">
      <c r="A190" s="17">
        <v>189</v>
      </c>
      <c r="B190">
        <f>TBL_Dati_OS[[#This Row],[VaR OS]]/2.33*SQRT(260)</f>
        <v>7.4799435832432337</v>
      </c>
      <c r="C190" s="12">
        <v>45558</v>
      </c>
      <c r="D190" s="14">
        <v>1.080855331909649</v>
      </c>
      <c r="E190" t="b">
        <f t="shared" si="2"/>
        <v>1</v>
      </c>
      <c r="F190" s="12">
        <v>45558</v>
      </c>
      <c r="H190">
        <v>45554</v>
      </c>
    </row>
    <row r="191" spans="1:8">
      <c r="A191" s="17">
        <v>190</v>
      </c>
      <c r="B191">
        <f>TBL_Dati_OS[[#This Row],[VaR OS]]/2.33*SQRT(260)</f>
        <v>7.4882306206946572</v>
      </c>
      <c r="C191" s="12">
        <v>45559</v>
      </c>
      <c r="D191" s="14">
        <v>1.0820528126814521</v>
      </c>
      <c r="E191" t="b">
        <f t="shared" si="2"/>
        <v>1</v>
      </c>
      <c r="F191" s="12">
        <v>45559</v>
      </c>
      <c r="H191">
        <v>45555</v>
      </c>
    </row>
    <row r="192" spans="1:8">
      <c r="A192" s="17">
        <v>191</v>
      </c>
      <c r="B192">
        <f>TBL_Dati_OS[[#This Row],[VaR OS]]/2.33*SQRT(260)</f>
        <v>7.5116527187066389</v>
      </c>
      <c r="C192" s="12">
        <v>45560</v>
      </c>
      <c r="D192" s="14">
        <v>1.0854373167541131</v>
      </c>
      <c r="E192" t="b">
        <f t="shared" si="2"/>
        <v>1</v>
      </c>
      <c r="F192" s="12">
        <v>45560</v>
      </c>
      <c r="H192">
        <v>45558</v>
      </c>
    </row>
    <row r="193" spans="1:8">
      <c r="A193" s="17">
        <v>192</v>
      </c>
      <c r="B193">
        <f>TBL_Dati_OS[[#This Row],[VaR OS]]/2.33*SQRT(260)</f>
        <v>7.7620847372948614</v>
      </c>
      <c r="C193" s="12">
        <v>45561</v>
      </c>
      <c r="D193" s="14">
        <v>1.1216248600904508</v>
      </c>
      <c r="E193" t="b">
        <f t="shared" si="2"/>
        <v>1</v>
      </c>
      <c r="F193" s="12">
        <v>45561</v>
      </c>
      <c r="H193">
        <v>45559</v>
      </c>
    </row>
    <row r="194" spans="1:8">
      <c r="A194" s="17">
        <v>193</v>
      </c>
      <c r="B194">
        <f>TBL_Dati_OS[[#This Row],[VaR OS]]/2.33*SQRT(260)</f>
        <v>7.6336438946712759</v>
      </c>
      <c r="C194" s="12">
        <v>45562</v>
      </c>
      <c r="D194" s="14">
        <v>1.1030650985040571</v>
      </c>
      <c r="E194" t="b">
        <f t="shared" si="2"/>
        <v>1</v>
      </c>
      <c r="F194" s="12">
        <v>45562</v>
      </c>
      <c r="H194">
        <v>45560</v>
      </c>
    </row>
    <row r="195" spans="1:8">
      <c r="A195" s="17">
        <v>194</v>
      </c>
      <c r="B195">
        <f>TBL_Dati_OS[[#This Row],[VaR OS]]/2.33*SQRT(260)</f>
        <v>7.6746509238449159</v>
      </c>
      <c r="C195" s="12">
        <v>45565</v>
      </c>
      <c r="D195" s="14">
        <v>1.1089906333205757</v>
      </c>
      <c r="E195" t="b">
        <f t="shared" ref="E195:E258" si="3">F195=C195</f>
        <v>1</v>
      </c>
      <c r="F195" s="12">
        <v>45565</v>
      </c>
      <c r="H195">
        <v>45561</v>
      </c>
    </row>
    <row r="196" spans="1:8">
      <c r="A196" s="17">
        <v>195</v>
      </c>
      <c r="B196">
        <f>TBL_Dati_OS[[#This Row],[VaR OS]]/2.33*SQRT(260)</f>
        <v>7.710956385664991</v>
      </c>
      <c r="C196" s="12">
        <v>45566</v>
      </c>
      <c r="D196" s="14">
        <v>1.1142367894645311</v>
      </c>
      <c r="E196" t="b">
        <f t="shared" si="3"/>
        <v>1</v>
      </c>
      <c r="F196" s="12">
        <v>45566</v>
      </c>
      <c r="H196">
        <v>45562</v>
      </c>
    </row>
    <row r="197" spans="1:8">
      <c r="A197" s="17">
        <v>196</v>
      </c>
      <c r="B197">
        <f>TBL_Dati_OS[[#This Row],[VaR OS]]/2.33*SQRT(260)</f>
        <v>7.5149403048974701</v>
      </c>
      <c r="C197" s="12">
        <v>45567</v>
      </c>
      <c r="D197" s="14">
        <v>1.0859123744900341</v>
      </c>
      <c r="E197" t="b">
        <f t="shared" si="3"/>
        <v>1</v>
      </c>
      <c r="F197" s="12">
        <v>45567</v>
      </c>
      <c r="H197">
        <v>45565</v>
      </c>
    </row>
    <row r="198" spans="1:8">
      <c r="A198" s="17">
        <v>197</v>
      </c>
      <c r="B198">
        <f>TBL_Dati_OS[[#This Row],[VaR OS]]/2.33*SQRT(260)</f>
        <v>7.5782370099457168</v>
      </c>
      <c r="C198" s="12">
        <v>45568</v>
      </c>
      <c r="D198" s="14">
        <v>1.0950587778528849</v>
      </c>
      <c r="E198" t="b">
        <f t="shared" si="3"/>
        <v>1</v>
      </c>
      <c r="F198" s="12">
        <v>45568</v>
      </c>
      <c r="H198">
        <v>45566</v>
      </c>
    </row>
    <row r="199" spans="1:8">
      <c r="A199" s="17">
        <v>198</v>
      </c>
      <c r="B199">
        <f>TBL_Dati_OS[[#This Row],[VaR OS]]/2.33*SQRT(260)</f>
        <v>7.5738113429114016</v>
      </c>
      <c r="C199" s="12">
        <v>45569</v>
      </c>
      <c r="D199" s="14">
        <v>1.0944192669049664</v>
      </c>
      <c r="E199" t="b">
        <f t="shared" si="3"/>
        <v>1</v>
      </c>
      <c r="F199" s="12">
        <v>45569</v>
      </c>
      <c r="H199">
        <v>45567</v>
      </c>
    </row>
    <row r="200" spans="1:8">
      <c r="A200" s="17">
        <v>199</v>
      </c>
      <c r="B200">
        <f>TBL_Dati_OS[[#This Row],[VaR OS]]/2.33*SQRT(260)</f>
        <v>7.5679862011697239</v>
      </c>
      <c r="C200" s="12">
        <v>45572</v>
      </c>
      <c r="D200" s="14">
        <v>1.0935775312099638</v>
      </c>
      <c r="E200" t="b">
        <f t="shared" si="3"/>
        <v>1</v>
      </c>
      <c r="F200" s="12">
        <v>45572</v>
      </c>
      <c r="H200">
        <v>45568</v>
      </c>
    </row>
    <row r="201" spans="1:8">
      <c r="A201" s="17">
        <v>200</v>
      </c>
      <c r="B201">
        <f>TBL_Dati_OS[[#This Row],[VaR OS]]/2.33*SQRT(260)</f>
        <v>7.6907795738826747</v>
      </c>
      <c r="C201" s="12">
        <v>45573</v>
      </c>
      <c r="D201" s="14">
        <v>1.1113212307636995</v>
      </c>
      <c r="E201" t="b">
        <f t="shared" si="3"/>
        <v>1</v>
      </c>
      <c r="F201" s="12">
        <v>45573</v>
      </c>
      <c r="H201">
        <v>45569</v>
      </c>
    </row>
    <row r="202" spans="1:8">
      <c r="A202" s="17">
        <v>201</v>
      </c>
      <c r="B202">
        <f>TBL_Dati_OS[[#This Row],[VaR OS]]/2.33*SQRT(260)</f>
        <v>7.5878144367412306</v>
      </c>
      <c r="C202" s="12">
        <v>45574</v>
      </c>
      <c r="D202" s="14">
        <v>1.0964427204859677</v>
      </c>
      <c r="E202" t="b">
        <f t="shared" si="3"/>
        <v>1</v>
      </c>
      <c r="F202" s="12">
        <v>45574</v>
      </c>
      <c r="H202">
        <v>45572</v>
      </c>
    </row>
    <row r="203" spans="1:8">
      <c r="A203" s="17">
        <v>202</v>
      </c>
      <c r="B203">
        <f>TBL_Dati_OS[[#This Row],[VaR OS]]/2.33*SQRT(260)</f>
        <v>7.5492116488963852</v>
      </c>
      <c r="C203" s="12">
        <v>45575</v>
      </c>
      <c r="D203" s="14">
        <v>1.0908645996613469</v>
      </c>
      <c r="E203" t="b">
        <f t="shared" si="3"/>
        <v>1</v>
      </c>
      <c r="F203" s="12">
        <v>45575</v>
      </c>
      <c r="H203">
        <v>45573</v>
      </c>
    </row>
    <row r="204" spans="1:8">
      <c r="A204" s="17">
        <v>203</v>
      </c>
      <c r="B204">
        <f>TBL_Dati_OS[[#This Row],[VaR OS]]/2.33*SQRT(260)</f>
        <v>7.6142028050476833</v>
      </c>
      <c r="C204" s="12">
        <v>45576</v>
      </c>
      <c r="D204" s="14">
        <v>1.1002558519978578</v>
      </c>
      <c r="E204" t="b">
        <f t="shared" si="3"/>
        <v>1</v>
      </c>
      <c r="F204" s="12">
        <v>45576</v>
      </c>
      <c r="H204">
        <v>45574</v>
      </c>
    </row>
    <row r="205" spans="1:8">
      <c r="A205" s="17">
        <v>204</v>
      </c>
      <c r="B205">
        <f>TBL_Dati_OS[[#This Row],[VaR OS]]/2.33*SQRT(260)</f>
        <v>7.4612397808837612</v>
      </c>
      <c r="C205" s="12">
        <v>45579</v>
      </c>
      <c r="D205" s="14">
        <v>1.0781526237565409</v>
      </c>
      <c r="E205" t="b">
        <f t="shared" si="3"/>
        <v>1</v>
      </c>
      <c r="F205" s="12">
        <v>45579</v>
      </c>
      <c r="H205">
        <v>45575</v>
      </c>
    </row>
    <row r="206" spans="1:8">
      <c r="A206" s="17">
        <v>205</v>
      </c>
      <c r="B206">
        <f>TBL_Dati_OS[[#This Row],[VaR OS]]/2.33*SQRT(260)</f>
        <v>7.3550501132065014</v>
      </c>
      <c r="C206" s="12">
        <v>45580</v>
      </c>
      <c r="D206" s="14">
        <v>1.062808167314409</v>
      </c>
      <c r="E206" t="b">
        <f t="shared" si="3"/>
        <v>1</v>
      </c>
      <c r="F206" s="12">
        <v>45580</v>
      </c>
      <c r="H206">
        <v>45576</v>
      </c>
    </row>
    <row r="207" spans="1:8">
      <c r="A207" s="17">
        <v>206</v>
      </c>
      <c r="B207">
        <f>TBL_Dati_OS[[#This Row],[VaR OS]]/2.33*SQRT(260)</f>
        <v>7.3879407693735448</v>
      </c>
      <c r="C207" s="12">
        <v>45581</v>
      </c>
      <c r="D207" s="14">
        <v>1.0675608824508969</v>
      </c>
      <c r="E207" t="b">
        <f t="shared" si="3"/>
        <v>1</v>
      </c>
      <c r="F207" s="12">
        <v>45581</v>
      </c>
      <c r="H207">
        <v>45579</v>
      </c>
    </row>
    <row r="208" spans="1:8">
      <c r="A208" s="17">
        <v>207</v>
      </c>
      <c r="B208">
        <f>TBL_Dati_OS[[#This Row],[VaR OS]]/2.33*SQRT(260)</f>
        <v>7.3907406487136127</v>
      </c>
      <c r="C208" s="12">
        <v>45582</v>
      </c>
      <c r="D208" s="14">
        <v>1.0679654663197105</v>
      </c>
      <c r="E208" t="b">
        <f t="shared" si="3"/>
        <v>1</v>
      </c>
      <c r="F208" s="12">
        <v>45582</v>
      </c>
      <c r="H208">
        <v>45580</v>
      </c>
    </row>
    <row r="209" spans="1:8">
      <c r="A209" s="17">
        <v>208</v>
      </c>
      <c r="B209">
        <f>TBL_Dati_OS[[#This Row],[VaR OS]]/2.33*SQRT(260)</f>
        <v>7.5157331104145619</v>
      </c>
      <c r="C209" s="12">
        <v>45583</v>
      </c>
      <c r="D209" s="14">
        <v>1.0860269352565399</v>
      </c>
      <c r="E209" t="b">
        <f t="shared" si="3"/>
        <v>1</v>
      </c>
      <c r="F209" s="12">
        <v>45583</v>
      </c>
      <c r="H209">
        <v>45581</v>
      </c>
    </row>
    <row r="210" spans="1:8">
      <c r="A210" s="17">
        <v>209</v>
      </c>
      <c r="B210">
        <f>TBL_Dati_OS[[#This Row],[VaR OS]]/2.33*SQRT(260)</f>
        <v>7.4729489969470579</v>
      </c>
      <c r="C210" s="12">
        <v>45586</v>
      </c>
      <c r="D210" s="14">
        <v>1.0798446109317983</v>
      </c>
      <c r="E210" t="b">
        <f t="shared" si="3"/>
        <v>1</v>
      </c>
      <c r="F210" s="12">
        <v>45586</v>
      </c>
      <c r="H210">
        <v>45582</v>
      </c>
    </row>
    <row r="211" spans="1:8">
      <c r="A211" s="17">
        <v>210</v>
      </c>
      <c r="B211">
        <f>TBL_Dati_OS[[#This Row],[VaR OS]]/2.33*SQRT(260)</f>
        <v>7.5603074252607287</v>
      </c>
      <c r="C211" s="12">
        <v>45587</v>
      </c>
      <c r="D211" s="14">
        <v>1.0924679445143675</v>
      </c>
      <c r="E211" t="b">
        <f t="shared" si="3"/>
        <v>1</v>
      </c>
      <c r="F211" s="12">
        <v>45587</v>
      </c>
      <c r="H211">
        <v>45583</v>
      </c>
    </row>
    <row r="212" spans="1:8">
      <c r="A212" s="17">
        <v>211</v>
      </c>
      <c r="B212">
        <f>TBL_Dati_OS[[#This Row],[VaR OS]]/2.33*SQRT(260)</f>
        <v>7.3996720305470642</v>
      </c>
      <c r="C212" s="12">
        <v>45588</v>
      </c>
      <c r="D212" s="14">
        <v>1.06925605515485</v>
      </c>
      <c r="E212" t="b">
        <f t="shared" si="3"/>
        <v>1</v>
      </c>
      <c r="F212" s="12">
        <v>45588</v>
      </c>
      <c r="H212">
        <v>45586</v>
      </c>
    </row>
    <row r="213" spans="1:8">
      <c r="A213" s="17">
        <v>212</v>
      </c>
      <c r="B213">
        <f>TBL_Dati_OS[[#This Row],[VaR OS]]/2.33*SQRT(260)</f>
        <v>7.2667092049025355</v>
      </c>
      <c r="C213" s="12">
        <v>45589</v>
      </c>
      <c r="D213" s="14">
        <v>1.0500428649156064</v>
      </c>
      <c r="E213" t="b">
        <f t="shared" si="3"/>
        <v>1</v>
      </c>
      <c r="F213" s="12">
        <v>45589</v>
      </c>
      <c r="H213">
        <v>45587</v>
      </c>
    </row>
    <row r="214" spans="1:8">
      <c r="A214" s="17">
        <v>213</v>
      </c>
      <c r="B214">
        <f>TBL_Dati_OS[[#This Row],[VaR OS]]/2.33*SQRT(260)</f>
        <v>7.3458986907870356</v>
      </c>
      <c r="C214" s="12">
        <v>45590</v>
      </c>
      <c r="D214" s="14">
        <v>1.0614857825120962</v>
      </c>
      <c r="E214" t="b">
        <f t="shared" si="3"/>
        <v>1</v>
      </c>
      <c r="F214" s="12">
        <v>45590</v>
      </c>
      <c r="H214">
        <v>45588</v>
      </c>
    </row>
    <row r="215" spans="1:8">
      <c r="A215" s="17">
        <v>214</v>
      </c>
      <c r="B215">
        <f>TBL_Dati_OS[[#This Row],[VaR OS]]/2.33*SQRT(260)</f>
        <v>7.4330167413059387</v>
      </c>
      <c r="C215" s="12">
        <v>45593</v>
      </c>
      <c r="D215" s="14">
        <v>1.0740743813913545</v>
      </c>
      <c r="E215" t="b">
        <f t="shared" si="3"/>
        <v>1</v>
      </c>
      <c r="F215" s="12">
        <v>45593</v>
      </c>
      <c r="H215">
        <v>45589</v>
      </c>
    </row>
    <row r="216" spans="1:8">
      <c r="A216" s="17">
        <v>215</v>
      </c>
      <c r="B216">
        <f>TBL_Dati_OS[[#This Row],[VaR OS]]/2.33*SQRT(260)</f>
        <v>7.37193651579486</v>
      </c>
      <c r="C216" s="12">
        <v>45594</v>
      </c>
      <c r="D216" s="14">
        <v>1.0652482603540527</v>
      </c>
      <c r="E216" t="b">
        <f t="shared" si="3"/>
        <v>1</v>
      </c>
      <c r="F216" s="12">
        <v>45594</v>
      </c>
      <c r="H216">
        <v>45590</v>
      </c>
    </row>
    <row r="217" spans="1:8">
      <c r="A217" s="17">
        <v>216</v>
      </c>
      <c r="B217">
        <f>TBL_Dati_OS[[#This Row],[VaR OS]]/2.33*SQRT(260)</f>
        <v>7.2639666361435697</v>
      </c>
      <c r="C217" s="12">
        <v>45595</v>
      </c>
      <c r="D217" s="14">
        <v>1.0496465624524571</v>
      </c>
      <c r="E217" t="b">
        <f t="shared" si="3"/>
        <v>1</v>
      </c>
      <c r="F217" s="12">
        <v>45595</v>
      </c>
      <c r="H217">
        <v>45593</v>
      </c>
    </row>
    <row r="218" spans="1:8">
      <c r="A218" s="17">
        <v>217</v>
      </c>
      <c r="B218">
        <f>TBL_Dati_OS[[#This Row],[VaR OS]]/2.33*SQRT(260)</f>
        <v>7.2360939419953265</v>
      </c>
      <c r="C218" s="12">
        <v>45596</v>
      </c>
      <c r="D218" s="14">
        <v>1.0456189451650346</v>
      </c>
      <c r="E218" t="b">
        <f t="shared" si="3"/>
        <v>1</v>
      </c>
      <c r="F218" s="12">
        <v>45596</v>
      </c>
      <c r="H218">
        <v>45594</v>
      </c>
    </row>
    <row r="219" spans="1:8">
      <c r="A219" s="17">
        <v>218</v>
      </c>
      <c r="B219">
        <f>TBL_Dati_OS[[#This Row],[VaR OS]]/2.33*SQRT(260)</f>
        <v>7.2360939419953265</v>
      </c>
      <c r="C219" s="12">
        <v>45597</v>
      </c>
      <c r="D219" s="14">
        <v>1.0456189451650346</v>
      </c>
      <c r="E219" t="b">
        <f t="shared" si="3"/>
        <v>1</v>
      </c>
      <c r="F219" s="12">
        <v>45597</v>
      </c>
      <c r="H219">
        <v>45595</v>
      </c>
    </row>
    <row r="220" spans="1:8">
      <c r="A220" s="17">
        <v>219</v>
      </c>
      <c r="B220">
        <f>TBL_Dati_OS[[#This Row],[VaR OS]]/2.33*SQRT(260)</f>
        <v>7.218014994811254</v>
      </c>
      <c r="C220" s="12">
        <v>45600</v>
      </c>
      <c r="D220" s="14">
        <v>1.043006528875827</v>
      </c>
      <c r="E220" t="b">
        <f t="shared" si="3"/>
        <v>1</v>
      </c>
      <c r="F220" s="12">
        <v>45600</v>
      </c>
      <c r="H220">
        <v>45596</v>
      </c>
    </row>
    <row r="221" spans="1:8">
      <c r="A221" s="17">
        <v>220</v>
      </c>
      <c r="B221">
        <f>TBL_Dati_OS[[#This Row],[VaR OS]]/2.33*SQRT(260)</f>
        <v>7.2498854550893199</v>
      </c>
      <c r="C221" s="12">
        <v>45601</v>
      </c>
      <c r="D221" s="14">
        <v>1.0476118252311541</v>
      </c>
      <c r="E221" t="b">
        <f t="shared" si="3"/>
        <v>1</v>
      </c>
      <c r="F221" s="12">
        <v>45601</v>
      </c>
      <c r="H221">
        <v>45597</v>
      </c>
    </row>
    <row r="222" spans="1:8">
      <c r="A222" s="17">
        <v>221</v>
      </c>
      <c r="B222">
        <f>TBL_Dati_OS[[#This Row],[VaR OS]]/2.33*SQRT(260)</f>
        <v>7.5101422797740049</v>
      </c>
      <c r="C222" s="12">
        <v>45602</v>
      </c>
      <c r="D222" s="14">
        <v>1.0852190576247904</v>
      </c>
      <c r="E222" t="b">
        <f t="shared" si="3"/>
        <v>1</v>
      </c>
      <c r="F222" s="12">
        <v>45602</v>
      </c>
      <c r="H222">
        <v>45600</v>
      </c>
    </row>
    <row r="223" spans="1:8">
      <c r="A223" s="17">
        <v>222</v>
      </c>
      <c r="B223">
        <f>TBL_Dati_OS[[#This Row],[VaR OS]]/2.33*SQRT(260)</f>
        <v>7.476463984947844</v>
      </c>
      <c r="C223" s="12">
        <v>45603</v>
      </c>
      <c r="D223" s="14">
        <v>1.0803525283351807</v>
      </c>
      <c r="E223" t="b">
        <f t="shared" si="3"/>
        <v>1</v>
      </c>
      <c r="F223" s="12">
        <v>45603</v>
      </c>
      <c r="H223">
        <v>45601</v>
      </c>
    </row>
    <row r="224" spans="1:8">
      <c r="A224" s="17">
        <v>223</v>
      </c>
      <c r="B224">
        <f>TBL_Dati_OS[[#This Row],[VaR OS]]/2.33*SQRT(260)</f>
        <v>7.7199642726871973</v>
      </c>
      <c r="C224" s="12">
        <v>45604</v>
      </c>
      <c r="D224" s="14">
        <v>1.1155384333350815</v>
      </c>
      <c r="E224" t="b">
        <f t="shared" si="3"/>
        <v>1</v>
      </c>
      <c r="F224" s="12">
        <v>45604</v>
      </c>
      <c r="H224">
        <v>45602</v>
      </c>
    </row>
    <row r="225" spans="1:8">
      <c r="A225" s="17">
        <v>224</v>
      </c>
      <c r="B225">
        <f>TBL_Dati_OS[[#This Row],[VaR OS]]/2.33*SQRT(260)</f>
        <v>7.9834134312447098</v>
      </c>
      <c r="C225" s="12">
        <v>45607</v>
      </c>
      <c r="D225" s="14">
        <v>1.1536069594603191</v>
      </c>
      <c r="E225" t="b">
        <f t="shared" si="3"/>
        <v>1</v>
      </c>
      <c r="F225" s="12">
        <v>45607</v>
      </c>
      <c r="H225">
        <v>45603</v>
      </c>
    </row>
    <row r="226" spans="1:8">
      <c r="A226" s="17">
        <v>225</v>
      </c>
      <c r="B226">
        <f>TBL_Dati_OS[[#This Row],[VaR OS]]/2.33*SQRT(260)</f>
        <v>7.6633581542069136</v>
      </c>
      <c r="C226" s="12">
        <v>45608</v>
      </c>
      <c r="D226" s="14">
        <v>1.1073588228477527</v>
      </c>
      <c r="E226" t="b">
        <f t="shared" si="3"/>
        <v>1</v>
      </c>
      <c r="F226" s="12">
        <v>45608</v>
      </c>
      <c r="H226">
        <v>45604</v>
      </c>
    </row>
    <row r="227" spans="1:8">
      <c r="A227" s="17">
        <v>226</v>
      </c>
      <c r="B227">
        <f>TBL_Dati_OS[[#This Row],[VaR OS]]/2.33*SQRT(260)</f>
        <v>7.7396537912346748</v>
      </c>
      <c r="C227" s="12">
        <v>45609</v>
      </c>
      <c r="D227" s="14">
        <v>1.1183835779364995</v>
      </c>
      <c r="E227" t="b">
        <f t="shared" si="3"/>
        <v>1</v>
      </c>
      <c r="F227" s="12">
        <v>45609</v>
      </c>
      <c r="H227">
        <v>45607</v>
      </c>
    </row>
    <row r="228" spans="1:8">
      <c r="A228" s="17">
        <v>227</v>
      </c>
      <c r="B228">
        <f>TBL_Dati_OS[[#This Row],[VaR OS]]/2.33*SQRT(260)</f>
        <v>7.8514837782128266</v>
      </c>
      <c r="C228" s="12">
        <v>45610</v>
      </c>
      <c r="D228" s="14">
        <v>1.1345430631448508</v>
      </c>
      <c r="E228" t="b">
        <f t="shared" si="3"/>
        <v>1</v>
      </c>
      <c r="F228" s="12">
        <v>45610</v>
      </c>
      <c r="H228">
        <v>45608</v>
      </c>
    </row>
    <row r="229" spans="1:8">
      <c r="A229" s="17">
        <v>228</v>
      </c>
      <c r="B229">
        <f>TBL_Dati_OS[[#This Row],[VaR OS]]/2.33*SQRT(260)</f>
        <v>7.6337609334881478</v>
      </c>
      <c r="C229" s="12">
        <v>45611</v>
      </c>
      <c r="D229" s="14">
        <v>1.1030820106676114</v>
      </c>
      <c r="E229" t="b">
        <f t="shared" si="3"/>
        <v>1</v>
      </c>
      <c r="F229" s="12">
        <v>45611</v>
      </c>
      <c r="H229">
        <v>45609</v>
      </c>
    </row>
    <row r="230" spans="1:8">
      <c r="A230" s="17">
        <v>229</v>
      </c>
      <c r="B230">
        <f>TBL_Dati_OS[[#This Row],[VaR OS]]/2.33*SQRT(260)</f>
        <v>7.7858204896628074</v>
      </c>
      <c r="C230" s="12">
        <v>45614</v>
      </c>
      <c r="D230" s="14">
        <v>1.1250546873636478</v>
      </c>
      <c r="E230" t="b">
        <f t="shared" si="3"/>
        <v>1</v>
      </c>
      <c r="F230" s="12">
        <v>45614</v>
      </c>
      <c r="H230">
        <v>45610</v>
      </c>
    </row>
    <row r="231" spans="1:8">
      <c r="A231" s="17">
        <v>230</v>
      </c>
      <c r="B231">
        <f>TBL_Dati_OS[[#This Row],[VaR OS]]/2.33*SQRT(260)</f>
        <v>7.7950422803451245</v>
      </c>
      <c r="C231" s="12">
        <v>45615</v>
      </c>
      <c r="D231" s="14">
        <v>1.1263872404127198</v>
      </c>
      <c r="E231" t="b">
        <f t="shared" si="3"/>
        <v>1</v>
      </c>
      <c r="F231" s="12">
        <v>45615</v>
      </c>
      <c r="H231">
        <v>45611</v>
      </c>
    </row>
    <row r="232" spans="1:8">
      <c r="A232" s="17">
        <v>231</v>
      </c>
      <c r="B232">
        <f>TBL_Dati_OS[[#This Row],[VaR OS]]/2.33*SQRT(260)</f>
        <v>7.7285303638665628</v>
      </c>
      <c r="C232" s="12">
        <v>45616</v>
      </c>
      <c r="D232" s="14">
        <v>1.1167762375005545</v>
      </c>
      <c r="E232" t="b">
        <f t="shared" si="3"/>
        <v>1</v>
      </c>
      <c r="F232" s="12">
        <v>45616</v>
      </c>
      <c r="H232">
        <v>45614</v>
      </c>
    </row>
    <row r="233" spans="1:8">
      <c r="A233" s="17">
        <v>232</v>
      </c>
      <c r="B233">
        <f>TBL_Dati_OS[[#This Row],[VaR OS]]/2.33*SQRT(260)</f>
        <v>7.8137241446036523</v>
      </c>
      <c r="C233" s="12">
        <v>45617</v>
      </c>
      <c r="D233" s="14">
        <v>1.1290867785000227</v>
      </c>
      <c r="E233" t="b">
        <f t="shared" si="3"/>
        <v>1</v>
      </c>
      <c r="F233" s="12">
        <v>45617</v>
      </c>
      <c r="H233">
        <v>45615</v>
      </c>
    </row>
    <row r="234" spans="1:8">
      <c r="A234" s="17">
        <v>233</v>
      </c>
      <c r="B234">
        <f>TBL_Dati_OS[[#This Row],[VaR OS]]/2.33*SQRT(260)</f>
        <v>7.6378470460606467</v>
      </c>
      <c r="C234" s="12">
        <v>45618</v>
      </c>
      <c r="D234" s="14">
        <v>1.1036724558376341</v>
      </c>
      <c r="E234" t="b">
        <f t="shared" si="3"/>
        <v>1</v>
      </c>
      <c r="F234" s="12">
        <v>45618</v>
      </c>
      <c r="H234">
        <v>45616</v>
      </c>
    </row>
    <row r="235" spans="1:8">
      <c r="A235" s="17">
        <v>234</v>
      </c>
      <c r="B235">
        <f>TBL_Dati_OS[[#This Row],[VaR OS]]/2.33*SQRT(260)</f>
        <v>7.5912345765369764</v>
      </c>
      <c r="C235" s="12">
        <v>45621</v>
      </c>
      <c r="D235" s="14">
        <v>1.0969369322795419</v>
      </c>
      <c r="E235" t="b">
        <f t="shared" si="3"/>
        <v>1</v>
      </c>
      <c r="F235" s="12">
        <v>45621</v>
      </c>
      <c r="H235">
        <v>45617</v>
      </c>
    </row>
    <row r="236" spans="1:8">
      <c r="A236" s="17">
        <v>235</v>
      </c>
      <c r="B236">
        <f>TBL_Dati_OS[[#This Row],[VaR OS]]/2.33*SQRT(260)</f>
        <v>7.6901282788913825</v>
      </c>
      <c r="C236" s="12">
        <v>45622</v>
      </c>
      <c r="D236" s="14">
        <v>1.1112271183340869</v>
      </c>
      <c r="E236" t="b">
        <f t="shared" si="3"/>
        <v>1</v>
      </c>
      <c r="F236" s="12">
        <v>45622</v>
      </c>
      <c r="H236">
        <v>45618</v>
      </c>
    </row>
    <row r="237" spans="1:8">
      <c r="A237" s="17">
        <v>236</v>
      </c>
      <c r="B237">
        <f>TBL_Dati_OS[[#This Row],[VaR OS]]/2.33*SQRT(260)</f>
        <v>7.6342893737293522</v>
      </c>
      <c r="C237" s="12">
        <v>45623</v>
      </c>
      <c r="D237" s="14">
        <v>1.103158370528611</v>
      </c>
      <c r="E237" t="b">
        <f t="shared" si="3"/>
        <v>1</v>
      </c>
      <c r="F237" s="12">
        <v>45623</v>
      </c>
      <c r="H237">
        <v>45621</v>
      </c>
    </row>
    <row r="238" spans="1:8">
      <c r="A238" s="17">
        <v>237</v>
      </c>
      <c r="B238">
        <f>TBL_Dati_OS[[#This Row],[VaR OS]]/2.33*SQRT(260)</f>
        <v>7.5321991318111996</v>
      </c>
      <c r="C238" s="12">
        <v>45624</v>
      </c>
      <c r="D238" s="14">
        <v>1.088406283018168</v>
      </c>
      <c r="E238" t="b">
        <f t="shared" si="3"/>
        <v>1</v>
      </c>
      <c r="F238" s="12">
        <v>45624</v>
      </c>
      <c r="H238">
        <v>45622</v>
      </c>
    </row>
    <row r="239" spans="1:8">
      <c r="A239" s="17">
        <v>238</v>
      </c>
      <c r="B239">
        <f>TBL_Dati_OS[[#This Row],[VaR OS]]/2.33*SQRT(260)</f>
        <v>7.4490190193628969</v>
      </c>
      <c r="C239" s="12">
        <v>45625</v>
      </c>
      <c r="D239" s="14">
        <v>1.0763867180243889</v>
      </c>
      <c r="E239" t="b">
        <f t="shared" si="3"/>
        <v>1</v>
      </c>
      <c r="F239" s="12">
        <v>45625</v>
      </c>
      <c r="H239">
        <v>45623</v>
      </c>
    </row>
    <row r="240" spans="1:8">
      <c r="A240" s="17">
        <v>239</v>
      </c>
      <c r="B240">
        <f>TBL_Dati_OS[[#This Row],[VaR OS]]/2.33*SQRT(260)</f>
        <v>7.6131641427235168</v>
      </c>
      <c r="C240" s="12">
        <v>45628</v>
      </c>
      <c r="D240" s="14">
        <v>1.1001057648082107</v>
      </c>
      <c r="E240" t="b">
        <f t="shared" si="3"/>
        <v>1</v>
      </c>
      <c r="F240" s="12">
        <v>45628</v>
      </c>
      <c r="H240">
        <v>45624</v>
      </c>
    </row>
    <row r="241" spans="1:8">
      <c r="A241" s="17">
        <v>240</v>
      </c>
      <c r="B241">
        <f>TBL_Dati_OS[[#This Row],[VaR OS]]/2.33*SQRT(260)</f>
        <v>7.5782963591583199</v>
      </c>
      <c r="C241" s="12">
        <v>45629</v>
      </c>
      <c r="D241" s="14">
        <v>1.0950673538417506</v>
      </c>
      <c r="E241" t="b">
        <f t="shared" si="3"/>
        <v>1</v>
      </c>
      <c r="F241" s="12">
        <v>45629</v>
      </c>
      <c r="H241">
        <v>45625</v>
      </c>
    </row>
    <row r="242" spans="1:8">
      <c r="A242" s="17">
        <v>241</v>
      </c>
      <c r="B242">
        <f>TBL_Dati_OS[[#This Row],[VaR OS]]/2.33*SQRT(260)</f>
        <v>7.5539143549245962</v>
      </c>
      <c r="C242" s="12">
        <v>45630</v>
      </c>
      <c r="D242" s="14">
        <v>1.0915441428729271</v>
      </c>
      <c r="E242" t="b">
        <f t="shared" si="3"/>
        <v>1</v>
      </c>
      <c r="F242" s="12">
        <v>45630</v>
      </c>
      <c r="H242">
        <v>45628</v>
      </c>
    </row>
    <row r="243" spans="1:8">
      <c r="A243" s="17">
        <v>242</v>
      </c>
      <c r="B243">
        <f>TBL_Dati_OS[[#This Row],[VaR OS]]/2.33*SQRT(260)</f>
        <v>7.6063715790763116</v>
      </c>
      <c r="C243" s="12">
        <v>45631</v>
      </c>
      <c r="D243" s="14">
        <v>1.0991242361972375</v>
      </c>
      <c r="E243" t="b">
        <f t="shared" si="3"/>
        <v>1</v>
      </c>
      <c r="F243" s="12">
        <v>45631</v>
      </c>
      <c r="H243">
        <v>45629</v>
      </c>
    </row>
    <row r="244" spans="1:8">
      <c r="A244" s="17">
        <v>243</v>
      </c>
      <c r="B244">
        <f>TBL_Dati_OS[[#This Row],[VaR OS]]/2.33*SQRT(260)</f>
        <v>7.5181670929987172</v>
      </c>
      <c r="C244" s="12">
        <v>45632</v>
      </c>
      <c r="D244" s="14">
        <v>1.0863786468736907</v>
      </c>
      <c r="E244" t="b">
        <f t="shared" si="3"/>
        <v>1</v>
      </c>
      <c r="F244" s="12">
        <v>45632</v>
      </c>
      <c r="H244">
        <v>45630</v>
      </c>
    </row>
    <row r="245" spans="1:8">
      <c r="A245" s="17">
        <v>244</v>
      </c>
      <c r="B245">
        <f>TBL_Dati_OS[[#This Row],[VaR OS]]/2.33*SQRT(260)</f>
        <v>7.3835635993218727</v>
      </c>
      <c r="C245" s="12">
        <v>45635</v>
      </c>
      <c r="D245" s="14">
        <v>1.0669283793395601</v>
      </c>
      <c r="E245" t="b">
        <f t="shared" si="3"/>
        <v>1</v>
      </c>
      <c r="F245" s="12">
        <v>45635</v>
      </c>
      <c r="H245">
        <v>45631</v>
      </c>
    </row>
    <row r="246" spans="1:8">
      <c r="A246" s="17">
        <v>245</v>
      </c>
      <c r="B246">
        <f>TBL_Dati_OS[[#This Row],[VaR OS]]/2.33*SQRT(260)</f>
        <v>7.3883515152864492</v>
      </c>
      <c r="C246" s="12">
        <v>45636</v>
      </c>
      <c r="D246" s="14">
        <v>1.0676202354266355</v>
      </c>
      <c r="E246" t="b">
        <f t="shared" si="3"/>
        <v>1</v>
      </c>
      <c r="F246" s="12">
        <v>45636</v>
      </c>
      <c r="H246">
        <v>45632</v>
      </c>
    </row>
    <row r="247" spans="1:8">
      <c r="A247" s="17">
        <v>246</v>
      </c>
      <c r="B247">
        <f>TBL_Dati_OS[[#This Row],[VaR OS]]/2.33*SQRT(260)</f>
        <v>7.3182795465715849</v>
      </c>
      <c r="C247" s="12">
        <v>45637</v>
      </c>
      <c r="D247" s="14">
        <v>1.0574948033080649</v>
      </c>
      <c r="E247" t="b">
        <f t="shared" si="3"/>
        <v>1</v>
      </c>
      <c r="F247" s="12">
        <v>45637</v>
      </c>
      <c r="H247">
        <v>45635</v>
      </c>
    </row>
    <row r="248" spans="1:8">
      <c r="A248" s="17">
        <v>247</v>
      </c>
      <c r="B248">
        <f>TBL_Dati_OS[[#This Row],[VaR OS]]/2.33*SQRT(260)</f>
        <v>7.1882540267221975</v>
      </c>
      <c r="C248" s="12">
        <v>45638</v>
      </c>
      <c r="D248" s="14">
        <v>1.0387060551244058</v>
      </c>
      <c r="E248" t="b">
        <f t="shared" si="3"/>
        <v>1</v>
      </c>
      <c r="F248" s="12">
        <v>45638</v>
      </c>
      <c r="H248">
        <v>45636</v>
      </c>
    </row>
    <row r="249" spans="1:8">
      <c r="A249" s="17">
        <v>248</v>
      </c>
      <c r="B249">
        <f>TBL_Dati_OS[[#This Row],[VaR OS]]/2.33*SQRT(260)</f>
        <v>7.2360166313193188</v>
      </c>
      <c r="C249" s="12">
        <v>45639</v>
      </c>
      <c r="D249" s="14">
        <v>1.0456077737363405</v>
      </c>
      <c r="E249" t="b">
        <f t="shared" si="3"/>
        <v>1</v>
      </c>
      <c r="F249" s="12">
        <v>45639</v>
      </c>
      <c r="H249">
        <v>45637</v>
      </c>
    </row>
    <row r="250" spans="1:8">
      <c r="A250" s="17">
        <v>249</v>
      </c>
      <c r="B250">
        <f>TBL_Dati_OS[[#This Row],[VaR OS]]/2.33*SQRT(260)</f>
        <v>6.9379985585142707</v>
      </c>
      <c r="C250" s="12">
        <v>45642</v>
      </c>
      <c r="D250" s="14">
        <v>1.0025440234002572</v>
      </c>
      <c r="E250" t="b">
        <f t="shared" si="3"/>
        <v>1</v>
      </c>
      <c r="F250" s="12">
        <v>45642</v>
      </c>
      <c r="H250">
        <v>45638</v>
      </c>
    </row>
    <row r="251" spans="1:8">
      <c r="A251" s="17">
        <v>250</v>
      </c>
      <c r="B251">
        <f>TBL_Dati_OS[[#This Row],[VaR OS]]/2.33*SQRT(260)</f>
        <v>7.2846818507254714</v>
      </c>
      <c r="C251" s="12">
        <v>45643</v>
      </c>
      <c r="D251" s="14">
        <v>1.0526399206086148</v>
      </c>
      <c r="E251" t="b">
        <f t="shared" si="3"/>
        <v>1</v>
      </c>
      <c r="F251" s="12">
        <v>45643</v>
      </c>
      <c r="H251">
        <v>45639</v>
      </c>
    </row>
    <row r="252" spans="1:8">
      <c r="A252" s="17">
        <v>251</v>
      </c>
      <c r="B252">
        <f>TBL_Dati_OS[[#This Row],[VaR OS]]/2.33*SQRT(260)</f>
        <v>7.5344920550611008</v>
      </c>
      <c r="C252" s="12">
        <v>45644</v>
      </c>
      <c r="D252" s="14">
        <v>1.0887376114958141</v>
      </c>
      <c r="E252" t="b">
        <f t="shared" si="3"/>
        <v>1</v>
      </c>
      <c r="F252" s="12">
        <v>45644</v>
      </c>
      <c r="H252">
        <v>45642</v>
      </c>
    </row>
    <row r="253" spans="1:8">
      <c r="A253" s="17">
        <v>252</v>
      </c>
      <c r="B253">
        <f>TBL_Dati_OS[[#This Row],[VaR OS]]/2.33*SQRT(260)</f>
        <v>7.4731754304780029</v>
      </c>
      <c r="C253" s="12">
        <v>45645</v>
      </c>
      <c r="D253" s="14">
        <v>1.0798773306824918</v>
      </c>
      <c r="E253" t="b">
        <f t="shared" si="3"/>
        <v>1</v>
      </c>
      <c r="F253" s="12">
        <v>45645</v>
      </c>
      <c r="H253">
        <v>45643</v>
      </c>
    </row>
    <row r="254" spans="1:8">
      <c r="A254" s="17">
        <v>253</v>
      </c>
      <c r="B254">
        <f>TBL_Dati_OS[[#This Row],[VaR OS]]/2.33*SQRT(260)</f>
        <v>7.5018382792057121</v>
      </c>
      <c r="C254" s="12">
        <v>45646</v>
      </c>
      <c r="D254" s="14">
        <v>1.0840191256746983</v>
      </c>
      <c r="E254" t="b">
        <f t="shared" si="3"/>
        <v>1</v>
      </c>
      <c r="F254" s="12">
        <v>45646</v>
      </c>
      <c r="H254">
        <v>45644</v>
      </c>
    </row>
    <row r="255" spans="1:8">
      <c r="A255" s="17">
        <v>254</v>
      </c>
      <c r="B255">
        <f>TBL_Dati_OS[[#This Row],[VaR OS]]/2.33*SQRT(260)</f>
        <v>7.5432810698021138</v>
      </c>
      <c r="C255" s="12">
        <v>45649</v>
      </c>
      <c r="D255" s="14">
        <v>1.0900076282197821</v>
      </c>
      <c r="E255" t="b">
        <f t="shared" si="3"/>
        <v>1</v>
      </c>
      <c r="F255" s="12">
        <v>45649</v>
      </c>
      <c r="H255">
        <v>45645</v>
      </c>
    </row>
    <row r="256" spans="1:8">
      <c r="A256" s="17">
        <v>255</v>
      </c>
      <c r="B256">
        <f>TBL_Dati_OS[[#This Row],[VaR OS]]/2.33*SQRT(260)</f>
        <v>7.5432810698020987</v>
      </c>
      <c r="C256" s="12">
        <v>45650</v>
      </c>
      <c r="D256" s="14">
        <v>1.0900076282197799</v>
      </c>
      <c r="E256" t="b">
        <f t="shared" si="3"/>
        <v>1</v>
      </c>
      <c r="F256" s="12">
        <v>45650</v>
      </c>
      <c r="H256">
        <v>45646</v>
      </c>
    </row>
    <row r="257" spans="1:8">
      <c r="A257" s="17">
        <v>256</v>
      </c>
      <c r="B257">
        <f>TBL_Dati_OS[[#This Row],[VaR OS]]/2.33*SQRT(260)</f>
        <v>7.1782330492582496</v>
      </c>
      <c r="C257" s="12">
        <v>45653</v>
      </c>
      <c r="D257" s="14">
        <v>1.0372580192131298</v>
      </c>
      <c r="E257" t="b">
        <f t="shared" si="3"/>
        <v>1</v>
      </c>
      <c r="F257" s="12">
        <v>45653</v>
      </c>
      <c r="H257">
        <v>45649</v>
      </c>
    </row>
    <row r="258" spans="1:8">
      <c r="A258" s="17">
        <v>257</v>
      </c>
      <c r="B258">
        <f>TBL_Dati_OS[[#This Row],[VaR OS]]/2.33*SQRT(260)</f>
        <v>7.1903330415571052</v>
      </c>
      <c r="C258" s="12">
        <v>45656</v>
      </c>
      <c r="D258" s="14">
        <v>1.0390064737364475</v>
      </c>
      <c r="E258" t="b">
        <f t="shared" si="3"/>
        <v>1</v>
      </c>
      <c r="F258" s="12">
        <v>45656</v>
      </c>
      <c r="H258">
        <v>45650</v>
      </c>
    </row>
    <row r="259" spans="1:8">
      <c r="A259" s="17">
        <v>258</v>
      </c>
      <c r="B259">
        <f>TBL_Dati_OS[[#This Row],[VaR OS]]/2.33*SQRT(260)</f>
        <v>7.2519446357708848</v>
      </c>
      <c r="C259" s="12">
        <v>45657</v>
      </c>
      <c r="D259" s="14">
        <v>1.0479093777987993</v>
      </c>
      <c r="E259" t="b">
        <f t="shared" ref="E259:E322" si="4">F259=C259</f>
        <v>1</v>
      </c>
      <c r="F259" s="12">
        <v>45657</v>
      </c>
      <c r="H259">
        <v>45653</v>
      </c>
    </row>
    <row r="260" spans="1:8">
      <c r="A260" s="17">
        <v>259</v>
      </c>
      <c r="B260">
        <f>TBL_Dati_OS[[#This Row],[VaR OS]]/2.33*SQRT(260)</f>
        <v>7.1181686635014296</v>
      </c>
      <c r="C260" s="12">
        <v>45659</v>
      </c>
      <c r="D260" s="14">
        <v>1.028578687493493</v>
      </c>
      <c r="E260" t="b">
        <f t="shared" si="4"/>
        <v>1</v>
      </c>
      <c r="F260" s="12">
        <v>45659</v>
      </c>
      <c r="H260">
        <v>45656</v>
      </c>
    </row>
    <row r="261" spans="1:8">
      <c r="A261" s="17">
        <v>260</v>
      </c>
      <c r="B261">
        <f>TBL_Dati_OS[[#This Row],[VaR OS]]/2.33*SQRT(260)</f>
        <v>7.2006429161174053</v>
      </c>
      <c r="C261" s="12">
        <v>45660</v>
      </c>
      <c r="D261" s="14">
        <v>1.0404962554127137</v>
      </c>
      <c r="E261" t="b">
        <f t="shared" si="4"/>
        <v>1</v>
      </c>
      <c r="F261" s="12">
        <v>45660</v>
      </c>
      <c r="H261">
        <v>45657</v>
      </c>
    </row>
    <row r="262" spans="1:8">
      <c r="A262" s="17">
        <v>261</v>
      </c>
      <c r="B262">
        <f>TBL_Dati_OS[[#This Row],[VaR OS]]/2.33*SQRT(260)</f>
        <v>7.2006429161174053</v>
      </c>
      <c r="C262" s="12">
        <v>45663</v>
      </c>
      <c r="D262" s="14">
        <v>1.0404962554127137</v>
      </c>
      <c r="E262" t="b">
        <f t="shared" si="4"/>
        <v>1</v>
      </c>
      <c r="F262" s="12">
        <v>45663</v>
      </c>
      <c r="H262">
        <v>45659</v>
      </c>
    </row>
    <row r="263" spans="1:8">
      <c r="A263" s="17">
        <v>262</v>
      </c>
      <c r="B263">
        <f>TBL_Dati_OS[[#This Row],[VaR OS]]/2.33*SQRT(260)</f>
        <v>7.3681825711398785</v>
      </c>
      <c r="C263" s="12">
        <v>45664</v>
      </c>
      <c r="D263" s="14">
        <v>1.064705813602834</v>
      </c>
      <c r="E263" t="b">
        <f t="shared" si="4"/>
        <v>1</v>
      </c>
      <c r="F263" s="12">
        <v>45664</v>
      </c>
      <c r="H263">
        <v>45660</v>
      </c>
    </row>
    <row r="264" spans="1:8">
      <c r="A264" s="17">
        <v>263</v>
      </c>
      <c r="B264">
        <f>TBL_Dati_OS[[#This Row],[VaR OS]]/2.33*SQRT(260)</f>
        <v>7.3209106340204446</v>
      </c>
      <c r="C264" s="12">
        <v>45665</v>
      </c>
      <c r="D264" s="14">
        <v>1.0578749966699763</v>
      </c>
      <c r="E264" t="b">
        <f t="shared" si="4"/>
        <v>1</v>
      </c>
      <c r="F264" s="12">
        <v>45665</v>
      </c>
      <c r="H264">
        <v>45663</v>
      </c>
    </row>
    <row r="265" spans="1:8">
      <c r="A265" s="17">
        <v>264</v>
      </c>
      <c r="B265">
        <f>TBL_Dati_OS[[#This Row],[VaR OS]]/2.33*SQRT(260)</f>
        <v>7.2457948865664195</v>
      </c>
      <c r="C265" s="12">
        <v>45666</v>
      </c>
      <c r="D265" s="14">
        <v>1.0470207361742228</v>
      </c>
      <c r="E265" t="b">
        <f t="shared" si="4"/>
        <v>1</v>
      </c>
      <c r="F265" s="12">
        <v>45666</v>
      </c>
      <c r="H265">
        <v>45664</v>
      </c>
    </row>
    <row r="266" spans="1:8">
      <c r="A266" s="17">
        <v>265</v>
      </c>
      <c r="B266">
        <f>TBL_Dati_OS[[#This Row],[VaR OS]]/2.33*SQRT(260)</f>
        <v>7.1877611125549157</v>
      </c>
      <c r="C266" s="12">
        <v>45667</v>
      </c>
      <c r="D266" s="14">
        <v>1.0386348287976359</v>
      </c>
      <c r="E266" t="b">
        <f t="shared" si="4"/>
        <v>1</v>
      </c>
      <c r="F266" s="12">
        <v>45667</v>
      </c>
      <c r="H266">
        <v>45665</v>
      </c>
    </row>
    <row r="267" spans="1:8">
      <c r="A267" s="17">
        <v>266</v>
      </c>
      <c r="B267">
        <f>TBL_Dati_OS[[#This Row],[VaR OS]]/2.33*SQRT(260)</f>
        <v>7.0612032657579196</v>
      </c>
      <c r="C267" s="12">
        <v>45670</v>
      </c>
      <c r="D267" s="14">
        <v>1.020347160985277</v>
      </c>
      <c r="E267" t="b">
        <f t="shared" si="4"/>
        <v>1</v>
      </c>
      <c r="F267" s="12">
        <v>45670</v>
      </c>
      <c r="H267">
        <v>45666</v>
      </c>
    </row>
    <row r="268" spans="1:8">
      <c r="A268" s="17">
        <v>267</v>
      </c>
      <c r="B268">
        <f>TBL_Dati_OS[[#This Row],[VaR OS]]/2.33*SQRT(260)</f>
        <v>7.0789773603606241</v>
      </c>
      <c r="C268" s="12">
        <v>45671</v>
      </c>
      <c r="D268" s="14">
        <v>1.0229155259344775</v>
      </c>
      <c r="E268" t="b">
        <f t="shared" si="4"/>
        <v>1</v>
      </c>
      <c r="F268" s="12">
        <v>45671</v>
      </c>
      <c r="H268">
        <v>45667</v>
      </c>
    </row>
    <row r="269" spans="1:8">
      <c r="A269" s="17">
        <v>268</v>
      </c>
      <c r="B269">
        <f>TBL_Dati_OS[[#This Row],[VaR OS]]/2.33*SQRT(260)</f>
        <v>7.0087273820366391</v>
      </c>
      <c r="C269" s="12">
        <v>45672</v>
      </c>
      <c r="D269" s="14">
        <v>1.0127643713444727</v>
      </c>
      <c r="E269" t="b">
        <f t="shared" si="4"/>
        <v>1</v>
      </c>
      <c r="F269" s="12">
        <v>45672</v>
      </c>
      <c r="H269">
        <v>45670</v>
      </c>
    </row>
    <row r="270" spans="1:8">
      <c r="A270" s="17">
        <v>269</v>
      </c>
      <c r="B270">
        <f>TBL_Dati_OS[[#This Row],[VaR OS]]/2.33*SQRT(260)</f>
        <v>7.1914653681544571</v>
      </c>
      <c r="C270" s="12">
        <v>45673</v>
      </c>
      <c r="D270" s="14">
        <v>1.0391700954571987</v>
      </c>
      <c r="E270" t="b">
        <f t="shared" si="4"/>
        <v>1</v>
      </c>
      <c r="F270" s="12">
        <v>45673</v>
      </c>
      <c r="H270">
        <v>45671</v>
      </c>
    </row>
    <row r="271" spans="1:8">
      <c r="A271" s="17">
        <v>270</v>
      </c>
      <c r="B271">
        <f>TBL_Dati_OS[[#This Row],[VaR OS]]/2.33*SQRT(260)</f>
        <v>6.9919029333107314</v>
      </c>
      <c r="C271" s="12">
        <v>45674</v>
      </c>
      <c r="D271" s="14">
        <v>1.0103332306668109</v>
      </c>
      <c r="E271" t="b">
        <f t="shared" si="4"/>
        <v>1</v>
      </c>
      <c r="F271" s="12">
        <v>45674</v>
      </c>
      <c r="H271">
        <v>45672</v>
      </c>
    </row>
    <row r="272" spans="1:8">
      <c r="A272" s="17">
        <v>271</v>
      </c>
      <c r="B272">
        <f>TBL_Dati_OS[[#This Row],[VaR OS]]/2.33*SQRT(260)</f>
        <v>7.0686404108785528</v>
      </c>
      <c r="C272" s="12">
        <v>45677</v>
      </c>
      <c r="D272" s="14">
        <v>1.0214218319194042</v>
      </c>
      <c r="E272" t="b">
        <f t="shared" si="4"/>
        <v>1</v>
      </c>
      <c r="F272" s="12">
        <v>45677</v>
      </c>
      <c r="H272">
        <v>45673</v>
      </c>
    </row>
    <row r="273" spans="1:8">
      <c r="A273" s="17">
        <v>272</v>
      </c>
      <c r="B273">
        <f>TBL_Dati_OS[[#This Row],[VaR OS]]/2.33*SQRT(260)</f>
        <v>7.3288775916097917</v>
      </c>
      <c r="C273" s="12">
        <v>45678</v>
      </c>
      <c r="D273" s="14">
        <v>1.0590262257526173</v>
      </c>
      <c r="E273" t="b">
        <f t="shared" si="4"/>
        <v>1</v>
      </c>
      <c r="F273" s="12">
        <v>45678</v>
      </c>
      <c r="H273">
        <v>45674</v>
      </c>
    </row>
    <row r="274" spans="1:8">
      <c r="A274" s="17">
        <v>273</v>
      </c>
      <c r="B274">
        <f>TBL_Dati_OS[[#This Row],[VaR OS]]/2.33*SQRT(260)</f>
        <v>7.3933089731716191</v>
      </c>
      <c r="C274" s="12">
        <v>45679</v>
      </c>
      <c r="D274" s="14">
        <v>1.0683365904002087</v>
      </c>
      <c r="E274" t="b">
        <f t="shared" si="4"/>
        <v>1</v>
      </c>
      <c r="F274" s="12">
        <v>45679</v>
      </c>
      <c r="H274">
        <v>45677</v>
      </c>
    </row>
    <row r="275" spans="1:8">
      <c r="A275" s="17">
        <v>274</v>
      </c>
      <c r="B275">
        <f>TBL_Dati_OS[[#This Row],[VaR OS]]/2.33*SQRT(260)</f>
        <v>7.417752516168779</v>
      </c>
      <c r="C275" s="12">
        <v>45680</v>
      </c>
      <c r="D275" s="14">
        <v>1.0718686937490134</v>
      </c>
      <c r="E275" t="b">
        <f t="shared" si="4"/>
        <v>1</v>
      </c>
      <c r="F275" s="12">
        <v>45680</v>
      </c>
      <c r="H275">
        <v>45678</v>
      </c>
    </row>
    <row r="276" spans="1:8">
      <c r="A276" s="17">
        <v>275</v>
      </c>
      <c r="B276">
        <f>TBL_Dati_OS[[#This Row],[VaR OS]]/2.33*SQRT(260)</f>
        <v>7.2723740488331767</v>
      </c>
      <c r="C276" s="12">
        <v>45681</v>
      </c>
      <c r="D276" s="14">
        <v>1.050861437502248</v>
      </c>
      <c r="E276" t="b">
        <f t="shared" si="4"/>
        <v>1</v>
      </c>
      <c r="F276" s="12">
        <v>45681</v>
      </c>
      <c r="H276">
        <v>45679</v>
      </c>
    </row>
    <row r="277" spans="1:8">
      <c r="A277" s="17">
        <v>276</v>
      </c>
      <c r="B277">
        <f>TBL_Dati_OS[[#This Row],[VaR OS]]/2.33*SQRT(260)</f>
        <v>7.2467560775366815</v>
      </c>
      <c r="C277" s="12">
        <v>45684</v>
      </c>
      <c r="D277" s="14">
        <v>1.047159628717145</v>
      </c>
      <c r="E277" t="b">
        <f t="shared" si="4"/>
        <v>1</v>
      </c>
      <c r="F277" s="12">
        <v>45684</v>
      </c>
      <c r="H277">
        <v>45680</v>
      </c>
    </row>
    <row r="278" spans="1:8">
      <c r="A278" s="17">
        <v>277</v>
      </c>
      <c r="B278">
        <f>TBL_Dati_OS[[#This Row],[VaR OS]]/2.33*SQRT(260)</f>
        <v>7.5058966207984339</v>
      </c>
      <c r="C278" s="12">
        <v>45685</v>
      </c>
      <c r="D278" s="14">
        <v>1.0846055579252076</v>
      </c>
      <c r="E278" t="b">
        <f t="shared" si="4"/>
        <v>1</v>
      </c>
      <c r="F278" s="12">
        <v>45685</v>
      </c>
      <c r="H278">
        <v>45681</v>
      </c>
    </row>
    <row r="279" spans="1:8">
      <c r="A279" s="17">
        <v>278</v>
      </c>
      <c r="B279">
        <f>TBL_Dati_OS[[#This Row],[VaR OS]]/2.33*SQRT(260)</f>
        <v>7.3811539329168125</v>
      </c>
      <c r="C279" s="12">
        <v>45686</v>
      </c>
      <c r="D279" s="14">
        <v>1.0665801814216149</v>
      </c>
      <c r="E279" t="b">
        <f t="shared" si="4"/>
        <v>1</v>
      </c>
      <c r="F279" s="12">
        <v>45686</v>
      </c>
      <c r="H279" s="12">
        <v>45684</v>
      </c>
    </row>
    <row r="280" spans="1:8">
      <c r="A280" s="17">
        <v>279</v>
      </c>
      <c r="B280">
        <f>TBL_Dati_OS[[#This Row],[VaR OS]]/2.33*SQRT(260)</f>
        <v>7.4347140771324751</v>
      </c>
      <c r="C280" s="12">
        <v>45687</v>
      </c>
      <c r="D280" s="14">
        <v>1.0743196472089021</v>
      </c>
      <c r="E280" t="b">
        <f t="shared" si="4"/>
        <v>1</v>
      </c>
      <c r="F280" s="12">
        <v>45687</v>
      </c>
      <c r="H280">
        <v>45685</v>
      </c>
    </row>
    <row r="281" spans="1:8">
      <c r="A281" s="17">
        <v>280</v>
      </c>
      <c r="B281">
        <f>TBL_Dati_OS[[#This Row],[VaR OS]]/2.33*SQRT(260)</f>
        <v>7.1456410983291683</v>
      </c>
      <c r="C281" s="12">
        <v>45688</v>
      </c>
      <c r="D281" s="14">
        <v>1.0325484671226632</v>
      </c>
      <c r="E281" t="b">
        <f t="shared" si="4"/>
        <v>1</v>
      </c>
      <c r="F281" s="12">
        <v>45688</v>
      </c>
      <c r="H281">
        <v>45686</v>
      </c>
    </row>
    <row r="282" spans="1:8">
      <c r="A282" s="17">
        <v>281</v>
      </c>
      <c r="B282">
        <f>TBL_Dati_OS[[#This Row],[VaR OS]]/2.33*SQRT(260)</f>
        <v>7.1890411642455376</v>
      </c>
      <c r="C282" s="12">
        <v>45691</v>
      </c>
      <c r="D282" s="14">
        <v>1.0388197968631743</v>
      </c>
      <c r="E282" t="b">
        <f t="shared" si="4"/>
        <v>1</v>
      </c>
      <c r="F282" s="12">
        <v>45691</v>
      </c>
      <c r="H282">
        <v>45687</v>
      </c>
    </row>
    <row r="283" spans="1:8">
      <c r="A283" s="17">
        <v>282</v>
      </c>
      <c r="B283">
        <f>TBL_Dati_OS[[#This Row],[VaR OS]]/2.33*SQRT(260)</f>
        <v>7.2170583208829884</v>
      </c>
      <c r="C283" s="12">
        <v>45692</v>
      </c>
      <c r="D283" s="14">
        <v>1.0428682890475773</v>
      </c>
      <c r="E283" t="b">
        <f t="shared" si="4"/>
        <v>1</v>
      </c>
      <c r="F283" s="12">
        <v>45692</v>
      </c>
      <c r="H283">
        <v>45688</v>
      </c>
    </row>
    <row r="284" spans="1:8">
      <c r="A284" s="17">
        <v>283</v>
      </c>
      <c r="B284">
        <f>TBL_Dati_OS[[#This Row],[VaR OS]]/2.33*SQRT(260)</f>
        <v>7.2892992796109786</v>
      </c>
      <c r="C284" s="12">
        <v>45693</v>
      </c>
      <c r="D284" s="14">
        <v>1.0533071412333526</v>
      </c>
      <c r="E284" t="b">
        <f t="shared" si="4"/>
        <v>1</v>
      </c>
      <c r="F284" s="12">
        <v>45693</v>
      </c>
      <c r="H284">
        <v>45691</v>
      </c>
    </row>
    <row r="285" spans="1:8">
      <c r="A285" s="17">
        <v>284</v>
      </c>
      <c r="B285">
        <f>TBL_Dati_OS[[#This Row],[VaR OS]]/2.33*SQRT(260)</f>
        <v>7.6135794176513283</v>
      </c>
      <c r="C285" s="12">
        <v>45694</v>
      </c>
      <c r="D285" s="14">
        <v>1.100165772228713</v>
      </c>
      <c r="E285" t="b">
        <f t="shared" si="4"/>
        <v>1</v>
      </c>
      <c r="F285" s="12">
        <v>45694</v>
      </c>
      <c r="H285">
        <v>45692</v>
      </c>
    </row>
    <row r="286" spans="1:8">
      <c r="A286" s="17">
        <v>285</v>
      </c>
      <c r="B286">
        <f>TBL_Dati_OS[[#This Row],[VaR OS]]/2.33*SQRT(260)</f>
        <v>7.2597351079071517</v>
      </c>
      <c r="C286" s="12">
        <v>45695</v>
      </c>
      <c r="D286" s="14">
        <v>1.049035104651264</v>
      </c>
      <c r="E286" t="b">
        <f t="shared" si="4"/>
        <v>1</v>
      </c>
      <c r="F286" s="12">
        <v>45695</v>
      </c>
      <c r="H286">
        <v>45693</v>
      </c>
    </row>
    <row r="287" spans="1:8">
      <c r="A287" s="17">
        <v>286</v>
      </c>
      <c r="B287">
        <f>TBL_Dati_OS[[#This Row],[VaR OS]]/2.33*SQRT(260)</f>
        <v>7.413965809895755</v>
      </c>
      <c r="C287" s="12">
        <v>45698</v>
      </c>
      <c r="D287" s="14">
        <v>1.0713215129287272</v>
      </c>
      <c r="E287" t="b">
        <f t="shared" si="4"/>
        <v>1</v>
      </c>
      <c r="F287" s="12">
        <v>45698</v>
      </c>
      <c r="H287">
        <v>45694</v>
      </c>
    </row>
    <row r="288" spans="1:8">
      <c r="A288" s="17">
        <v>287</v>
      </c>
      <c r="B288">
        <f>TBL_Dati_OS[[#This Row],[VaR OS]]/2.33*SQRT(260)</f>
        <v>7.4600799810682856</v>
      </c>
      <c r="C288" s="12">
        <v>45699</v>
      </c>
      <c r="D288" s="14">
        <v>1.077985032142974</v>
      </c>
      <c r="E288" t="b">
        <f t="shared" si="4"/>
        <v>1</v>
      </c>
      <c r="F288" s="12">
        <v>45699</v>
      </c>
      <c r="H288">
        <v>45695</v>
      </c>
    </row>
    <row r="289" spans="1:8">
      <c r="A289" s="17">
        <v>288</v>
      </c>
      <c r="B289">
        <f>TBL_Dati_OS[[#This Row],[VaR OS]]/2.33*SQRT(260)</f>
        <v>7.685680888955674</v>
      </c>
      <c r="C289" s="12">
        <v>45700</v>
      </c>
      <c r="D289" s="14">
        <v>1.1105844684167987</v>
      </c>
      <c r="E289" t="b">
        <f t="shared" si="4"/>
        <v>1</v>
      </c>
      <c r="F289" s="12">
        <v>45700</v>
      </c>
      <c r="H289">
        <v>45698</v>
      </c>
    </row>
    <row r="290" spans="1:8">
      <c r="A290" s="17">
        <v>289</v>
      </c>
      <c r="B290">
        <f>TBL_Dati_OS[[#This Row],[VaR OS]]/2.33*SQRT(260)</f>
        <v>7.5132957042119504</v>
      </c>
      <c r="C290" s="12">
        <v>45701</v>
      </c>
      <c r="D290" s="14">
        <v>1.0856747289249273</v>
      </c>
      <c r="E290" t="b">
        <f t="shared" si="4"/>
        <v>1</v>
      </c>
      <c r="F290" s="12">
        <v>45701</v>
      </c>
      <c r="H290">
        <v>45699</v>
      </c>
    </row>
    <row r="291" spans="1:8">
      <c r="A291" s="17">
        <v>290</v>
      </c>
      <c r="B291">
        <f>TBL_Dati_OS[[#This Row],[VaR OS]]/2.33*SQRT(260)</f>
        <v>7.5181332368886711</v>
      </c>
      <c r="C291" s="12">
        <v>45702</v>
      </c>
      <c r="D291" s="14">
        <v>1.086373754650019</v>
      </c>
      <c r="E291" t="b">
        <f t="shared" si="4"/>
        <v>1</v>
      </c>
      <c r="F291" s="12">
        <v>45702</v>
      </c>
      <c r="H291">
        <v>45700</v>
      </c>
    </row>
    <row r="292" spans="1:8">
      <c r="A292" s="17">
        <v>291</v>
      </c>
      <c r="B292">
        <f>TBL_Dati_OS[[#This Row],[VaR OS]]/2.33*SQRT(260)</f>
        <v>7.5990340401177292</v>
      </c>
      <c r="C292" s="12">
        <v>45705</v>
      </c>
      <c r="D292" s="14">
        <v>1.098063958399923</v>
      </c>
      <c r="E292" t="b">
        <f t="shared" si="4"/>
        <v>1</v>
      </c>
      <c r="F292" s="12">
        <v>45705</v>
      </c>
      <c r="H292">
        <v>45701</v>
      </c>
    </row>
    <row r="293" spans="1:8">
      <c r="A293" s="17">
        <v>292</v>
      </c>
      <c r="B293">
        <f>TBL_Dati_OS[[#This Row],[VaR OS]]/2.33*SQRT(260)</f>
        <v>7.4544339902121344</v>
      </c>
      <c r="C293" s="12">
        <v>45706</v>
      </c>
      <c r="D293" s="14">
        <v>1.0771691838343778</v>
      </c>
      <c r="E293" t="b">
        <f t="shared" si="4"/>
        <v>1</v>
      </c>
      <c r="F293" s="12">
        <v>45706</v>
      </c>
      <c r="H293">
        <v>45702</v>
      </c>
    </row>
    <row r="294" spans="1:8">
      <c r="A294" s="17">
        <v>293</v>
      </c>
      <c r="B294">
        <f>TBL_Dati_OS[[#This Row],[VaR OS]]/2.33*SQRT(260)</f>
        <v>7.4926533355738538</v>
      </c>
      <c r="C294" s="12">
        <v>45707</v>
      </c>
      <c r="D294" s="14">
        <v>1.0826918970415809</v>
      </c>
      <c r="E294" t="b">
        <f t="shared" si="4"/>
        <v>1</v>
      </c>
      <c r="F294" s="12">
        <v>45707</v>
      </c>
      <c r="H294">
        <v>45705</v>
      </c>
    </row>
    <row r="295" spans="1:8">
      <c r="A295" s="17">
        <v>294</v>
      </c>
      <c r="B295">
        <f>TBL_Dati_OS[[#This Row],[VaR OS]]/2.33*SQRT(260)</f>
        <v>7.4465862220150996</v>
      </c>
      <c r="C295" s="12">
        <v>45708</v>
      </c>
      <c r="D295" s="14">
        <v>1.0760351776744439</v>
      </c>
      <c r="E295" t="b">
        <f t="shared" si="4"/>
        <v>1</v>
      </c>
      <c r="F295" s="12">
        <v>45708</v>
      </c>
      <c r="H295">
        <v>45706</v>
      </c>
    </row>
    <row r="296" spans="1:8">
      <c r="A296" s="17">
        <v>295</v>
      </c>
      <c r="B296">
        <f>TBL_Dati_OS[[#This Row],[VaR OS]]/2.33*SQRT(260)</f>
        <v>7.4414247791712187</v>
      </c>
      <c r="C296" s="12">
        <v>45709</v>
      </c>
      <c r="D296" s="14">
        <v>1.0752893467793214</v>
      </c>
      <c r="E296" t="b">
        <f t="shared" si="4"/>
        <v>1</v>
      </c>
      <c r="F296" s="12">
        <v>45709</v>
      </c>
      <c r="H296">
        <v>45707</v>
      </c>
    </row>
    <row r="297" spans="1:8">
      <c r="A297" s="17">
        <v>296</v>
      </c>
      <c r="B297">
        <f>TBL_Dati_OS[[#This Row],[VaR OS]]/2.33*SQRT(260)</f>
        <v>7.4089966059973067</v>
      </c>
      <c r="C297" s="12">
        <v>45712</v>
      </c>
      <c r="D297" s="14">
        <v>1.0706034606507639</v>
      </c>
      <c r="E297" t="b">
        <f t="shared" si="4"/>
        <v>1</v>
      </c>
      <c r="F297" s="12">
        <v>45712</v>
      </c>
      <c r="H297">
        <v>45708</v>
      </c>
    </row>
    <row r="298" spans="1:8">
      <c r="A298" s="17">
        <v>297</v>
      </c>
      <c r="B298">
        <f>TBL_Dati_OS[[#This Row],[VaR OS]]/2.33*SQRT(260)</f>
        <v>7.4506998642294571</v>
      </c>
      <c r="C298" s="12">
        <v>45713</v>
      </c>
      <c r="D298" s="14">
        <v>1.0766296008905383</v>
      </c>
      <c r="E298" t="b">
        <f t="shared" si="4"/>
        <v>1</v>
      </c>
      <c r="F298" s="12">
        <v>45713</v>
      </c>
      <c r="H298">
        <v>45709</v>
      </c>
    </row>
    <row r="299" spans="1:8">
      <c r="A299" s="17">
        <v>298</v>
      </c>
      <c r="B299">
        <f>TBL_Dati_OS[[#This Row],[VaR OS]]/2.33*SQRT(260)</f>
        <v>7.3562218455797845</v>
      </c>
      <c r="C299" s="12">
        <v>45714</v>
      </c>
      <c r="D299" s="14">
        <v>1.0629774831881371</v>
      </c>
      <c r="E299" t="b">
        <f t="shared" si="4"/>
        <v>1</v>
      </c>
      <c r="F299" s="12">
        <v>45714</v>
      </c>
      <c r="H299">
        <v>45712</v>
      </c>
    </row>
    <row r="300" spans="1:8">
      <c r="A300" s="17">
        <v>299</v>
      </c>
      <c r="B300">
        <f>TBL_Dati_OS[[#This Row],[VaR OS]]/2.33*SQRT(260)</f>
        <v>7.3796952730608432</v>
      </c>
      <c r="C300" s="12">
        <v>45715</v>
      </c>
      <c r="D300" s="14">
        <v>1.0663694043929888</v>
      </c>
      <c r="E300" t="b">
        <f t="shared" si="4"/>
        <v>1</v>
      </c>
      <c r="F300" s="12">
        <v>45715</v>
      </c>
      <c r="H300">
        <v>45713</v>
      </c>
    </row>
    <row r="301" spans="1:8">
      <c r="A301" s="17">
        <v>300</v>
      </c>
      <c r="B301">
        <f>TBL_Dati_OS[[#This Row],[VaR OS]]/2.33*SQRT(260)</f>
        <v>7.495661270799217</v>
      </c>
      <c r="C301" s="12">
        <v>45716</v>
      </c>
      <c r="D301" s="14">
        <v>1.0831265450827312</v>
      </c>
      <c r="E301" t="b">
        <f t="shared" si="4"/>
        <v>1</v>
      </c>
      <c r="F301" s="12">
        <v>45716</v>
      </c>
      <c r="H301">
        <v>45714</v>
      </c>
    </row>
    <row r="302" spans="1:8">
      <c r="A302" s="17">
        <v>301</v>
      </c>
      <c r="B302">
        <f>TBL_Dati_OS[[#This Row],[VaR OS]]/2.33*SQRT(260)</f>
        <v>7.3773728453819283</v>
      </c>
      <c r="C302" s="12">
        <v>45719</v>
      </c>
      <c r="D302" s="14">
        <v>1.0660338125116071</v>
      </c>
      <c r="E302" t="b">
        <f t="shared" si="4"/>
        <v>1</v>
      </c>
      <c r="F302" s="12">
        <v>45719</v>
      </c>
      <c r="H302">
        <v>45715</v>
      </c>
    </row>
    <row r="303" spans="1:8">
      <c r="A303" s="17">
        <v>302</v>
      </c>
      <c r="B303">
        <f>TBL_Dati_OS[[#This Row],[VaR OS]]/2.33*SQRT(260)</f>
        <v>7.3903948119928282</v>
      </c>
      <c r="C303" s="12">
        <v>45720</v>
      </c>
      <c r="D303" s="14">
        <v>1.0679154927524677</v>
      </c>
      <c r="E303" t="b">
        <f t="shared" si="4"/>
        <v>1</v>
      </c>
      <c r="F303" s="12">
        <v>45720</v>
      </c>
      <c r="H303">
        <v>45716</v>
      </c>
    </row>
    <row r="304" spans="1:8">
      <c r="A304" s="17">
        <v>303</v>
      </c>
      <c r="B304">
        <f>TBL_Dati_OS[[#This Row],[VaR OS]]/2.33*SQRT(260)</f>
        <v>7.512018204814372</v>
      </c>
      <c r="C304" s="12">
        <v>45721</v>
      </c>
      <c r="D304" s="14">
        <v>1.0854901296669226</v>
      </c>
      <c r="E304" t="b">
        <f t="shared" si="4"/>
        <v>1</v>
      </c>
      <c r="F304" s="12">
        <v>45721</v>
      </c>
      <c r="H304">
        <v>45719</v>
      </c>
    </row>
    <row r="305" spans="1:8">
      <c r="A305" s="17">
        <v>304</v>
      </c>
      <c r="B305">
        <f>TBL_Dati_OS[[#This Row],[VaR OS]]/2.33*SQRT(260)</f>
        <v>7.5801251017474547</v>
      </c>
      <c r="C305" s="12">
        <v>45722</v>
      </c>
      <c r="D305" s="14">
        <v>1.0953316079977025</v>
      </c>
      <c r="E305" t="b">
        <f t="shared" si="4"/>
        <v>1</v>
      </c>
      <c r="F305" s="12">
        <v>45722</v>
      </c>
      <c r="H305">
        <v>45720</v>
      </c>
    </row>
    <row r="306" spans="1:8">
      <c r="A306" s="17">
        <v>305</v>
      </c>
      <c r="B306">
        <f>TBL_Dati_OS[[#This Row],[VaR OS]]/2.33*SQRT(260)</f>
        <v>7.5869073117988242</v>
      </c>
      <c r="C306" s="12">
        <v>45723</v>
      </c>
      <c r="D306" s="14">
        <v>1.0963116405092546</v>
      </c>
      <c r="E306" t="b">
        <f t="shared" si="4"/>
        <v>1</v>
      </c>
      <c r="F306" s="12">
        <v>45723</v>
      </c>
      <c r="H306">
        <v>45721</v>
      </c>
    </row>
    <row r="307" spans="1:8">
      <c r="A307" s="17">
        <v>306</v>
      </c>
      <c r="B307">
        <f>TBL_Dati_OS[[#This Row],[VaR OS]]/2.33*SQRT(260)</f>
        <v>7.7174082099507153</v>
      </c>
      <c r="C307" s="12">
        <v>45726</v>
      </c>
      <c r="D307" s="14">
        <v>1.1151690810790549</v>
      </c>
      <c r="E307" t="b">
        <f t="shared" si="4"/>
        <v>1</v>
      </c>
      <c r="F307" s="12">
        <v>45726</v>
      </c>
      <c r="H307">
        <v>45722</v>
      </c>
    </row>
    <row r="308" spans="1:8">
      <c r="A308" s="17">
        <v>307</v>
      </c>
      <c r="B308">
        <f>TBL_Dati_OS[[#This Row],[VaR OS]]/2.33*SQRT(260)</f>
        <v>7.6621744601918431</v>
      </c>
      <c r="C308" s="12">
        <v>45727</v>
      </c>
      <c r="D308" s="14">
        <v>1.1071877785112145</v>
      </c>
      <c r="E308" t="b">
        <f t="shared" si="4"/>
        <v>1</v>
      </c>
      <c r="F308" s="12">
        <v>45727</v>
      </c>
      <c r="H308">
        <v>45723</v>
      </c>
    </row>
    <row r="309" spans="1:8">
      <c r="A309" s="17">
        <v>308</v>
      </c>
      <c r="B309">
        <f>TBL_Dati_OS[[#This Row],[VaR OS]]/2.33*SQRT(260)</f>
        <v>7.7531930049474189</v>
      </c>
      <c r="C309" s="12">
        <v>45728</v>
      </c>
      <c r="D309" s="14">
        <v>1.1203400006245083</v>
      </c>
      <c r="E309" t="b">
        <f t="shared" si="4"/>
        <v>1</v>
      </c>
      <c r="F309" s="12">
        <v>45728</v>
      </c>
      <c r="H309">
        <v>45726</v>
      </c>
    </row>
    <row r="310" spans="1:8">
      <c r="A310" s="17">
        <v>309</v>
      </c>
      <c r="B310">
        <f>TBL_Dati_OS[[#This Row],[VaR OS]]/2.33*SQRT(260)</f>
        <v>7.6198486149070881</v>
      </c>
      <c r="C310" s="12">
        <v>45729</v>
      </c>
      <c r="D310" s="14">
        <v>1.1010716741523399</v>
      </c>
      <c r="E310" t="b">
        <f t="shared" si="4"/>
        <v>1</v>
      </c>
      <c r="F310" s="12">
        <v>45729</v>
      </c>
      <c r="H310">
        <v>45727</v>
      </c>
    </row>
    <row r="311" spans="1:8">
      <c r="A311" s="17">
        <v>310</v>
      </c>
      <c r="B311">
        <f>TBL_Dati_OS[[#This Row],[VaR OS]]/2.33*SQRT(260)</f>
        <v>7.8219860364202418</v>
      </c>
      <c r="C311" s="12">
        <v>45730</v>
      </c>
      <c r="D311" s="14">
        <v>1.1302806257158795</v>
      </c>
      <c r="E311" t="b">
        <f t="shared" si="4"/>
        <v>1</v>
      </c>
      <c r="F311" s="12">
        <v>45730</v>
      </c>
      <c r="H311">
        <v>45728</v>
      </c>
    </row>
    <row r="312" spans="1:8">
      <c r="A312" s="17">
        <v>311</v>
      </c>
      <c r="B312">
        <f>TBL_Dati_OS[[#This Row],[VaR OS]]/2.33*SQRT(260)</f>
        <v>7.8400368301231866</v>
      </c>
      <c r="C312" s="12">
        <v>45733</v>
      </c>
      <c r="D312" s="14">
        <v>1.1328889738139503</v>
      </c>
      <c r="E312" t="b">
        <f t="shared" si="4"/>
        <v>1</v>
      </c>
      <c r="F312" s="12">
        <v>45733</v>
      </c>
      <c r="H312">
        <v>45729</v>
      </c>
    </row>
    <row r="313" spans="1:8">
      <c r="A313" s="17">
        <v>312</v>
      </c>
      <c r="B313">
        <f>TBL_Dati_OS[[#This Row],[VaR OS]]/2.33*SQRT(260)</f>
        <v>7.9218481129408396</v>
      </c>
      <c r="C313" s="12">
        <v>45734</v>
      </c>
      <c r="D313" s="14">
        <v>1.1447107422885043</v>
      </c>
      <c r="E313" t="b">
        <f t="shared" si="4"/>
        <v>1</v>
      </c>
      <c r="F313" s="12">
        <v>45734</v>
      </c>
      <c r="H313">
        <v>45730</v>
      </c>
    </row>
    <row r="314" spans="1:8">
      <c r="A314" s="17">
        <v>313</v>
      </c>
      <c r="B314">
        <f>TBL_Dati_OS[[#This Row],[VaR OS]]/2.33*SQRT(260)</f>
        <v>7.7372537528634435</v>
      </c>
      <c r="C314" s="12">
        <v>45735</v>
      </c>
      <c r="D314" s="14">
        <v>1.1180367712739272</v>
      </c>
      <c r="E314" t="b">
        <f t="shared" si="4"/>
        <v>1</v>
      </c>
      <c r="F314" s="12">
        <v>45735</v>
      </c>
      <c r="H314">
        <v>45733</v>
      </c>
    </row>
    <row r="315" spans="1:8">
      <c r="A315" s="17">
        <v>314</v>
      </c>
      <c r="B315">
        <f>TBL_Dati_OS[[#This Row],[VaR OS]]/2.33*SQRT(260)</f>
        <v>7.6894913445915547</v>
      </c>
      <c r="C315" s="12">
        <v>45736</v>
      </c>
      <c r="D315" s="14">
        <v>1.1111350810310801</v>
      </c>
      <c r="E315" t="b">
        <f t="shared" si="4"/>
        <v>1</v>
      </c>
      <c r="F315" s="12">
        <v>45736</v>
      </c>
      <c r="H315">
        <v>45734</v>
      </c>
    </row>
    <row r="316" spans="1:8">
      <c r="A316" s="17">
        <v>315</v>
      </c>
      <c r="B316">
        <f>TBL_Dati_OS[[#This Row],[VaR OS]]/2.33*SQRT(260)</f>
        <v>7.4842955691604542</v>
      </c>
      <c r="C316" s="12">
        <v>45737</v>
      </c>
      <c r="D316" s="14">
        <v>1.0814841959018269</v>
      </c>
      <c r="E316" t="b">
        <f t="shared" si="4"/>
        <v>1</v>
      </c>
      <c r="F316" s="12">
        <v>45737</v>
      </c>
      <c r="H316">
        <v>45735</v>
      </c>
    </row>
    <row r="317" spans="1:8">
      <c r="A317" s="17">
        <v>316</v>
      </c>
      <c r="B317">
        <f>TBL_Dati_OS[[#This Row],[VaR OS]]/2.33*SQRT(260)</f>
        <v>7.4942011768814671</v>
      </c>
      <c r="C317" s="12">
        <v>45740</v>
      </c>
      <c r="D317" s="14">
        <v>1.08291556083151</v>
      </c>
      <c r="E317" t="b">
        <f t="shared" si="4"/>
        <v>1</v>
      </c>
      <c r="F317" s="12">
        <v>45740</v>
      </c>
      <c r="H317">
        <v>45736</v>
      </c>
    </row>
    <row r="318" spans="1:8">
      <c r="A318" s="17">
        <v>317</v>
      </c>
      <c r="B318">
        <f>TBL_Dati_OS[[#This Row],[VaR OS]]/2.33*SQRT(260)</f>
        <v>7.3968360905732506</v>
      </c>
      <c r="C318" s="12">
        <v>45741</v>
      </c>
      <c r="D318" s="14">
        <v>1.0688462605076632</v>
      </c>
      <c r="E318" t="b">
        <f t="shared" si="4"/>
        <v>1</v>
      </c>
      <c r="F318" s="12">
        <v>45741</v>
      </c>
      <c r="H318">
        <v>45737</v>
      </c>
    </row>
    <row r="319" spans="1:8">
      <c r="A319" s="17">
        <v>318</v>
      </c>
      <c r="B319">
        <f>TBL_Dati_OS[[#This Row],[VaR OS]]/2.33*SQRT(260)</f>
        <v>7.2494628474767318</v>
      </c>
      <c r="C319" s="12">
        <v>45742</v>
      </c>
      <c r="D319" s="14">
        <v>1.047550758234286</v>
      </c>
      <c r="E319" t="b">
        <f t="shared" si="4"/>
        <v>1</v>
      </c>
      <c r="F319" s="12">
        <v>45742</v>
      </c>
      <c r="H319">
        <v>45740</v>
      </c>
    </row>
    <row r="320" spans="1:8">
      <c r="A320" s="17">
        <v>319</v>
      </c>
      <c r="B320">
        <f>TBL_Dati_OS[[#This Row],[VaR OS]]/2.33*SQRT(260)</f>
        <v>7.3276771266031488</v>
      </c>
      <c r="C320" s="12">
        <v>45743</v>
      </c>
      <c r="D320" s="14">
        <v>1.0588527579999851</v>
      </c>
      <c r="E320" t="b">
        <f t="shared" si="4"/>
        <v>1</v>
      </c>
      <c r="F320" s="12">
        <v>45743</v>
      </c>
      <c r="H320">
        <v>45741</v>
      </c>
    </row>
    <row r="321" spans="1:8">
      <c r="A321" s="17">
        <v>320</v>
      </c>
      <c r="B321">
        <f>TBL_Dati_OS[[#This Row],[VaR OS]]/2.33*SQRT(260)</f>
        <v>7.31768199546406</v>
      </c>
      <c r="C321" s="12">
        <v>45744</v>
      </c>
      <c r="D321" s="14">
        <v>1.0574084568946904</v>
      </c>
      <c r="E321" t="b">
        <f t="shared" si="4"/>
        <v>1</v>
      </c>
      <c r="F321" s="12">
        <v>45744</v>
      </c>
      <c r="H321">
        <v>45742</v>
      </c>
    </row>
    <row r="322" spans="1:8">
      <c r="A322" s="17">
        <v>321</v>
      </c>
      <c r="B322">
        <f>TBL_Dati_OS[[#This Row],[VaR OS]]/2.33*SQRT(260)</f>
        <v>7.2497634355052742</v>
      </c>
      <c r="C322" s="12">
        <v>45747</v>
      </c>
      <c r="D322" s="14">
        <v>1.0475941933444233</v>
      </c>
      <c r="E322" t="b">
        <f t="shared" si="4"/>
        <v>1</v>
      </c>
      <c r="F322" s="12">
        <v>45747</v>
      </c>
      <c r="H322">
        <v>45743</v>
      </c>
    </row>
    <row r="323" spans="1:8">
      <c r="A323" s="17">
        <v>322</v>
      </c>
      <c r="B323">
        <f>TBL_Dati_OS[[#This Row],[VaR OS]]/2.33*SQRT(260)</f>
        <v>7.1686841251688866</v>
      </c>
      <c r="C323" s="12">
        <v>45748</v>
      </c>
      <c r="D323" s="14">
        <v>1.0358781952343621</v>
      </c>
      <c r="E323" t="b">
        <f t="shared" ref="E323:E386" si="5">F323=C323</f>
        <v>1</v>
      </c>
      <c r="F323" s="12">
        <v>45748</v>
      </c>
      <c r="H323">
        <v>45744</v>
      </c>
    </row>
    <row r="324" spans="1:8">
      <c r="A324" s="17">
        <v>323</v>
      </c>
      <c r="B324">
        <f>TBL_Dati_OS[[#This Row],[VaR OS]]/2.33*SQRT(260)</f>
        <v>7.1553475372925348</v>
      </c>
      <c r="C324" s="12">
        <v>45749</v>
      </c>
      <c r="D324" s="14">
        <v>1.0339510520740942</v>
      </c>
      <c r="E324" t="b">
        <f t="shared" si="5"/>
        <v>1</v>
      </c>
      <c r="F324" s="12">
        <v>45749</v>
      </c>
      <c r="H324">
        <v>45747</v>
      </c>
    </row>
    <row r="325" spans="1:8">
      <c r="A325" s="17">
        <v>324</v>
      </c>
      <c r="B325">
        <f>TBL_Dati_OS[[#This Row],[VaR OS]]/2.33*SQRT(260)</f>
        <v>7.4315006091545266</v>
      </c>
      <c r="C325" s="12">
        <v>45750</v>
      </c>
      <c r="D325" s="14">
        <v>1.0738552995892665</v>
      </c>
      <c r="E325" t="b">
        <f t="shared" si="5"/>
        <v>1</v>
      </c>
      <c r="F325" s="12">
        <v>45750</v>
      </c>
      <c r="H325">
        <v>45748</v>
      </c>
    </row>
    <row r="326" spans="1:8">
      <c r="A326" s="17">
        <v>325</v>
      </c>
      <c r="B326">
        <f>TBL_Dati_OS[[#This Row],[VaR OS]]/2.33*SQRT(260)</f>
        <v>7.462037200877325</v>
      </c>
      <c r="C326" s="12">
        <v>45751</v>
      </c>
      <c r="D326" s="14">
        <v>1.0782678513170463</v>
      </c>
      <c r="E326" t="b">
        <f t="shared" si="5"/>
        <v>1</v>
      </c>
      <c r="F326" s="12">
        <v>45751</v>
      </c>
      <c r="H326">
        <v>45749</v>
      </c>
    </row>
    <row r="327" spans="1:8">
      <c r="A327" s="17">
        <v>326</v>
      </c>
      <c r="B327">
        <f>TBL_Dati_OS[[#This Row],[VaR OS]]/2.33*SQRT(260)</f>
        <v>7.6106980085581277</v>
      </c>
      <c r="C327" s="12">
        <v>45754</v>
      </c>
      <c r="D327" s="14">
        <v>1.0997494072725955</v>
      </c>
      <c r="E327" t="b">
        <f t="shared" si="5"/>
        <v>1</v>
      </c>
      <c r="F327" s="12">
        <v>45754</v>
      </c>
      <c r="H327">
        <v>45750</v>
      </c>
    </row>
    <row r="328" spans="1:8">
      <c r="A328" s="17">
        <v>327</v>
      </c>
      <c r="B328">
        <f>TBL_Dati_OS[[#This Row],[VaR OS]]/2.33*SQRT(260)</f>
        <v>7.8052518340757944</v>
      </c>
      <c r="C328" s="12">
        <v>45755</v>
      </c>
      <c r="D328" s="14">
        <v>1.1278625256823751</v>
      </c>
      <c r="E328" t="b">
        <f t="shared" si="5"/>
        <v>1</v>
      </c>
      <c r="F328" s="12">
        <v>45755</v>
      </c>
      <c r="H328">
        <v>45751</v>
      </c>
    </row>
    <row r="329" spans="1:8">
      <c r="A329" s="17">
        <v>328</v>
      </c>
      <c r="B329">
        <f>TBL_Dati_OS[[#This Row],[VaR OS]]/2.33*SQRT(260)</f>
        <v>9.1259998211888806</v>
      </c>
      <c r="C329" s="12">
        <v>45756</v>
      </c>
      <c r="D329" s="14">
        <v>1.3187112250199107</v>
      </c>
      <c r="E329" t="b">
        <f t="shared" si="5"/>
        <v>1</v>
      </c>
      <c r="F329" s="12">
        <v>45756</v>
      </c>
      <c r="H329">
        <v>45754</v>
      </c>
    </row>
    <row r="330" spans="1:8">
      <c r="A330" s="17">
        <v>329</v>
      </c>
      <c r="B330">
        <f>TBL_Dati_OS[[#This Row],[VaR OS]]/2.33*SQRT(260)</f>
        <v>9.1148689913800958</v>
      </c>
      <c r="C330" s="12">
        <v>45757</v>
      </c>
      <c r="D330" s="14">
        <v>1.3171028149278405</v>
      </c>
      <c r="E330" t="b">
        <f t="shared" si="5"/>
        <v>1</v>
      </c>
      <c r="F330" s="12">
        <v>45757</v>
      </c>
      <c r="H330">
        <v>45755</v>
      </c>
    </row>
    <row r="331" spans="1:8">
      <c r="A331" s="17">
        <v>330</v>
      </c>
      <c r="B331">
        <f>TBL_Dati_OS[[#This Row],[VaR OS]]/2.33*SQRT(260)</f>
        <v>9.0753718350715467</v>
      </c>
      <c r="C331" s="12">
        <v>45758</v>
      </c>
      <c r="D331" s="14">
        <v>1.3113954574436206</v>
      </c>
      <c r="E331" t="b">
        <f t="shared" si="5"/>
        <v>1</v>
      </c>
      <c r="F331" s="12">
        <v>45758</v>
      </c>
      <c r="H331">
        <v>45756</v>
      </c>
    </row>
    <row r="332" spans="1:8">
      <c r="A332" s="17">
        <v>331</v>
      </c>
      <c r="B332">
        <f>TBL_Dati_OS[[#This Row],[VaR OS]]/2.33*SQRT(260)</f>
        <v>8.9912283823524692</v>
      </c>
      <c r="C332" s="12">
        <v>45761</v>
      </c>
      <c r="D332" s="14">
        <v>1.2992366893319947</v>
      </c>
      <c r="E332" t="b">
        <f t="shared" si="5"/>
        <v>1</v>
      </c>
      <c r="F332" s="12">
        <v>45761</v>
      </c>
      <c r="H332">
        <v>45757</v>
      </c>
    </row>
    <row r="333" spans="1:8">
      <c r="A333" s="17">
        <v>332</v>
      </c>
      <c r="B333">
        <f>TBL_Dati_OS[[#This Row],[VaR OS]]/2.33*SQRT(260)</f>
        <v>8.9704813615047705</v>
      </c>
      <c r="C333" s="12">
        <v>45762</v>
      </c>
      <c r="D333" s="14">
        <v>1.2962387351556139</v>
      </c>
      <c r="E333" t="b">
        <f t="shared" si="5"/>
        <v>1</v>
      </c>
      <c r="F333" s="12">
        <v>45762</v>
      </c>
      <c r="H333">
        <v>45758</v>
      </c>
    </row>
    <row r="334" spans="1:8">
      <c r="A334" s="17">
        <v>333</v>
      </c>
      <c r="B334">
        <f>TBL_Dati_OS[[#This Row],[VaR OS]]/2.33*SQRT(260)</f>
        <v>8.7927394108789247</v>
      </c>
      <c r="C334" s="12">
        <v>45763</v>
      </c>
      <c r="D334" s="14">
        <v>1.2705549404986134</v>
      </c>
      <c r="E334" t="b">
        <f t="shared" si="5"/>
        <v>1</v>
      </c>
      <c r="F334" s="12">
        <v>45763</v>
      </c>
      <c r="H334">
        <v>45761</v>
      </c>
    </row>
    <row r="335" spans="1:8">
      <c r="A335" s="17">
        <v>334</v>
      </c>
      <c r="B335">
        <f>TBL_Dati_OS[[#This Row],[VaR OS]]/2.33*SQRT(260)</f>
        <v>8.7155681340746796</v>
      </c>
      <c r="C335" s="12">
        <v>45764</v>
      </c>
      <c r="D335" s="14">
        <v>1.2594036550542949</v>
      </c>
      <c r="E335" t="b">
        <f t="shared" si="5"/>
        <v>1</v>
      </c>
      <c r="F335" s="12">
        <v>45764</v>
      </c>
      <c r="H335">
        <v>45762</v>
      </c>
    </row>
    <row r="336" spans="1:8">
      <c r="A336" s="17">
        <v>335</v>
      </c>
      <c r="B336">
        <f>TBL_Dati_OS[[#This Row],[VaR OS]]/2.33*SQRT(260)</f>
        <v>8.6446932421470049</v>
      </c>
      <c r="C336" s="12">
        <v>45769</v>
      </c>
      <c r="D336" s="14">
        <v>1.2491622001574743</v>
      </c>
      <c r="E336" t="b">
        <f t="shared" si="5"/>
        <v>1</v>
      </c>
      <c r="F336" s="12">
        <v>45769</v>
      </c>
      <c r="H336">
        <v>45763</v>
      </c>
    </row>
    <row r="337" spans="1:8">
      <c r="A337" s="17">
        <v>336</v>
      </c>
      <c r="B337">
        <f>TBL_Dati_OS[[#This Row],[VaR OS]]/2.33*SQRT(260)</f>
        <v>8.5555319181109066</v>
      </c>
      <c r="C337" s="12">
        <v>45770</v>
      </c>
      <c r="D337" s="14">
        <v>1.2362783473032322</v>
      </c>
      <c r="E337" t="b">
        <f t="shared" si="5"/>
        <v>1</v>
      </c>
      <c r="F337" s="12">
        <v>45770</v>
      </c>
      <c r="H337">
        <v>45764</v>
      </c>
    </row>
    <row r="338" spans="1:8">
      <c r="A338" s="17">
        <v>337</v>
      </c>
      <c r="B338">
        <f>TBL_Dati_OS[[#This Row],[VaR OS]]/2.33*SQRT(260)</f>
        <v>8.9614647575654747</v>
      </c>
      <c r="C338" s="12">
        <v>45771</v>
      </c>
      <c r="D338" s="14">
        <v>1.2949358316864836</v>
      </c>
      <c r="E338" t="b">
        <f t="shared" si="5"/>
        <v>1</v>
      </c>
      <c r="F338" s="12">
        <v>45771</v>
      </c>
      <c r="H338">
        <v>45769</v>
      </c>
    </row>
    <row r="339" spans="1:8">
      <c r="A339" s="17">
        <v>338</v>
      </c>
      <c r="B339">
        <f>TBL_Dati_OS[[#This Row],[VaR OS]]/2.33*SQRT(260)</f>
        <v>8.7739984821563866</v>
      </c>
      <c r="C339" s="12">
        <v>45775</v>
      </c>
      <c r="D339" s="14">
        <v>1.2678468675687489</v>
      </c>
      <c r="E339" t="b">
        <f t="shared" si="5"/>
        <v>1</v>
      </c>
      <c r="F339" s="12">
        <v>45775</v>
      </c>
      <c r="H339">
        <v>45770</v>
      </c>
    </row>
    <row r="340" spans="1:8">
      <c r="A340" s="17">
        <v>339</v>
      </c>
      <c r="B340">
        <f>TBL_Dati_OS[[#This Row],[VaR OS]]/2.33*SQRT(260)</f>
        <v>8.6991213242216396</v>
      </c>
      <c r="C340" s="12">
        <v>45776</v>
      </c>
      <c r="D340" s="14">
        <v>1.2570270833696655</v>
      </c>
      <c r="E340" t="b">
        <f t="shared" si="5"/>
        <v>1</v>
      </c>
      <c r="F340" s="12">
        <v>45776</v>
      </c>
      <c r="H340">
        <v>45771</v>
      </c>
    </row>
    <row r="341" spans="1:8">
      <c r="A341" s="17">
        <v>340</v>
      </c>
      <c r="B341">
        <f>TBL_Dati_OS[[#This Row],[VaR OS]]/2.33*SQRT(260)</f>
        <v>8.5767286201059356</v>
      </c>
      <c r="C341" s="12">
        <v>45777</v>
      </c>
      <c r="D341" s="14">
        <v>1.2393412806148616</v>
      </c>
      <c r="E341" t="b">
        <f t="shared" si="5"/>
        <v>1</v>
      </c>
      <c r="F341" s="12">
        <v>45777</v>
      </c>
      <c r="H341">
        <v>45775</v>
      </c>
    </row>
    <row r="342" spans="1:8">
      <c r="A342" s="17">
        <v>341</v>
      </c>
      <c r="B342">
        <f>TBL_Dati_OS[[#This Row],[VaR OS]]/2.33*SQRT(260)</f>
        <v>8.6557736631461726</v>
      </c>
      <c r="C342" s="12">
        <v>45779</v>
      </c>
      <c r="D342" s="14">
        <v>1.2507633261530746</v>
      </c>
      <c r="E342" t="b">
        <f t="shared" si="5"/>
        <v>1</v>
      </c>
      <c r="F342" s="12">
        <v>45779</v>
      </c>
      <c r="H342">
        <v>45776</v>
      </c>
    </row>
    <row r="343" spans="1:8">
      <c r="A343" s="17">
        <v>342</v>
      </c>
      <c r="B343">
        <f>TBL_Dati_OS[[#This Row],[VaR OS]]/2.33*SQRT(260)</f>
        <v>8.6065391676688101</v>
      </c>
      <c r="C343" s="12">
        <v>45782</v>
      </c>
      <c r="D343" s="14">
        <v>1.2436489186233435</v>
      </c>
      <c r="E343" t="b">
        <f t="shared" si="5"/>
        <v>1</v>
      </c>
      <c r="F343" s="12">
        <v>45782</v>
      </c>
      <c r="H343">
        <v>45777</v>
      </c>
    </row>
    <row r="344" spans="1:8">
      <c r="A344" s="17">
        <v>343</v>
      </c>
      <c r="B344">
        <f>TBL_Dati_OS[[#This Row],[VaR OS]]/2.33*SQRT(260)</f>
        <v>8.4420330746134269</v>
      </c>
      <c r="C344" s="12">
        <v>45783</v>
      </c>
      <c r="D344" s="14">
        <v>1.2198777115504902</v>
      </c>
      <c r="E344" t="b">
        <f t="shared" si="5"/>
        <v>1</v>
      </c>
      <c r="F344" s="12">
        <v>45783</v>
      </c>
      <c r="H344">
        <v>45779</v>
      </c>
    </row>
    <row r="345" spans="1:8">
      <c r="A345" s="17">
        <v>344</v>
      </c>
      <c r="B345">
        <f>TBL_Dati_OS[[#This Row],[VaR OS]]/2.33*SQRT(260)</f>
        <v>8.5229801546531654</v>
      </c>
      <c r="C345" s="12">
        <v>45784</v>
      </c>
      <c r="D345" s="14">
        <v>1.2315746023210932</v>
      </c>
      <c r="E345" t="b">
        <f t="shared" si="5"/>
        <v>1</v>
      </c>
      <c r="F345" s="12">
        <v>45784</v>
      </c>
      <c r="H345">
        <v>45782</v>
      </c>
    </row>
    <row r="346" spans="1:8">
      <c r="A346" s="17">
        <v>345</v>
      </c>
      <c r="B346">
        <f>TBL_Dati_OS[[#This Row],[VaR OS]]/2.33*SQRT(260)</f>
        <v>8.6318044969298438</v>
      </c>
      <c r="C346" s="12">
        <v>45785</v>
      </c>
      <c r="D346" s="14">
        <v>1.2472997704700632</v>
      </c>
      <c r="E346" t="b">
        <f t="shared" si="5"/>
        <v>1</v>
      </c>
      <c r="F346" s="12">
        <v>45785</v>
      </c>
      <c r="H346">
        <v>45783</v>
      </c>
    </row>
    <row r="347" spans="1:8">
      <c r="A347" s="17">
        <v>346</v>
      </c>
      <c r="B347">
        <f>TBL_Dati_OS[[#This Row],[VaR OS]]/2.33*SQRT(260)</f>
        <v>8.4183946649003776</v>
      </c>
      <c r="C347" s="12">
        <v>45786</v>
      </c>
      <c r="D347" s="14">
        <v>1.2164619503362677</v>
      </c>
      <c r="E347" t="b">
        <f t="shared" si="5"/>
        <v>1</v>
      </c>
      <c r="F347" s="12">
        <v>45786</v>
      </c>
      <c r="H347">
        <v>45784</v>
      </c>
    </row>
    <row r="348" spans="1:8">
      <c r="A348" s="17">
        <v>347</v>
      </c>
      <c r="B348">
        <f>TBL_Dati_OS[[#This Row],[VaR OS]]/2.33*SQRT(260)</f>
        <v>8.7314213763732855</v>
      </c>
      <c r="C348" s="12">
        <v>45789</v>
      </c>
      <c r="D348" s="14">
        <v>1.261694455950827</v>
      </c>
      <c r="E348" t="b">
        <f t="shared" si="5"/>
        <v>1</v>
      </c>
      <c r="F348" s="12">
        <v>45789</v>
      </c>
      <c r="H348">
        <v>45785</v>
      </c>
    </row>
    <row r="349" spans="1:8">
      <c r="A349" s="17">
        <v>348</v>
      </c>
      <c r="B349">
        <f>TBL_Dati_OS[[#This Row],[VaR OS]]/2.33*SQRT(260)</f>
        <v>8.7804578421962187</v>
      </c>
      <c r="C349" s="12">
        <v>45790</v>
      </c>
      <c r="D349" s="14">
        <v>1.2687802481032517</v>
      </c>
      <c r="E349" t="b">
        <f t="shared" si="5"/>
        <v>1</v>
      </c>
      <c r="F349" s="12">
        <v>45790</v>
      </c>
      <c r="H349">
        <v>45786</v>
      </c>
    </row>
    <row r="350" spans="1:8">
      <c r="A350" s="17">
        <v>349</v>
      </c>
      <c r="B350">
        <f>TBL_Dati_OS[[#This Row],[VaR OS]]/2.33*SQRT(260)</f>
        <v>8.9492559781120651</v>
      </c>
      <c r="C350" s="12">
        <v>45791</v>
      </c>
      <c r="D350" s="14">
        <v>1.29317165736866</v>
      </c>
      <c r="E350" t="b">
        <f t="shared" si="5"/>
        <v>1</v>
      </c>
      <c r="F350" s="12">
        <v>45791</v>
      </c>
      <c r="H350">
        <v>45789</v>
      </c>
    </row>
    <row r="351" spans="1:8">
      <c r="A351" s="17">
        <v>350</v>
      </c>
      <c r="B351">
        <f>TBL_Dati_OS[[#This Row],[VaR OS]]/2.33*SQRT(260)</f>
        <v>8.8076535691367912</v>
      </c>
      <c r="C351" s="12">
        <v>45792</v>
      </c>
      <c r="D351" s="14">
        <v>1.2727100433138365</v>
      </c>
      <c r="E351" t="b">
        <f t="shared" si="5"/>
        <v>1</v>
      </c>
      <c r="F351" s="12">
        <v>45792</v>
      </c>
      <c r="H351">
        <v>45790</v>
      </c>
    </row>
    <row r="352" spans="1:8">
      <c r="A352" s="17">
        <v>351</v>
      </c>
      <c r="B352">
        <f>TBL_Dati_OS[[#This Row],[VaR OS]]/2.33*SQRT(260)</f>
        <v>8.7545187385335339</v>
      </c>
      <c r="C352" s="12">
        <v>45793</v>
      </c>
      <c r="D352" s="14">
        <v>1.2650320355416516</v>
      </c>
      <c r="E352" t="b">
        <f t="shared" si="5"/>
        <v>1</v>
      </c>
      <c r="F352" s="12">
        <v>45793</v>
      </c>
      <c r="H352">
        <v>45791</v>
      </c>
    </row>
    <row r="353" spans="1:8">
      <c r="A353" s="17">
        <v>352</v>
      </c>
      <c r="B353">
        <f>TBL_Dati_OS[[#This Row],[VaR OS]]/2.33*SQRT(260)</f>
        <v>8.7938785631353298</v>
      </c>
      <c r="C353" s="12">
        <v>45796</v>
      </c>
      <c r="D353" s="14">
        <v>1.2707195485302769</v>
      </c>
      <c r="E353" t="b">
        <f t="shared" si="5"/>
        <v>1</v>
      </c>
      <c r="F353" s="12">
        <v>45796</v>
      </c>
      <c r="H353">
        <v>45792</v>
      </c>
    </row>
    <row r="354" spans="1:8">
      <c r="A354" s="17">
        <v>353</v>
      </c>
      <c r="B354">
        <f>TBL_Dati_OS[[#This Row],[VaR OS]]/2.33*SQRT(260)</f>
        <v>8.6872629781733455</v>
      </c>
      <c r="C354" s="12">
        <v>45797</v>
      </c>
      <c r="D354" s="14">
        <v>1.2553135468421115</v>
      </c>
      <c r="E354" t="b">
        <f t="shared" si="5"/>
        <v>1</v>
      </c>
      <c r="F354" s="12">
        <v>45797</v>
      </c>
      <c r="H354">
        <v>45793</v>
      </c>
    </row>
    <row r="355" spans="1:8">
      <c r="A355" s="17">
        <v>354</v>
      </c>
      <c r="B355">
        <f>TBL_Dati_OS[[#This Row],[VaR OS]]/2.33*SQRT(260)</f>
        <v>8.359763238845078</v>
      </c>
      <c r="C355" s="12">
        <v>45798</v>
      </c>
      <c r="D355" s="14">
        <v>1.2079896819609681</v>
      </c>
      <c r="E355" t="b">
        <f t="shared" si="5"/>
        <v>1</v>
      </c>
      <c r="F355" s="12">
        <v>45798</v>
      </c>
      <c r="H355">
        <v>45796</v>
      </c>
    </row>
    <row r="356" spans="1:8">
      <c r="A356" s="17">
        <v>355</v>
      </c>
      <c r="B356">
        <f>TBL_Dati_OS[[#This Row],[VaR OS]]/2.33*SQRT(260)</f>
        <v>8.2956761499423468</v>
      </c>
      <c r="C356" s="12">
        <v>45799</v>
      </c>
      <c r="D356" s="14">
        <v>1.1987290677629865</v>
      </c>
      <c r="E356" t="b">
        <f t="shared" si="5"/>
        <v>1</v>
      </c>
      <c r="F356" s="12">
        <v>45799</v>
      </c>
      <c r="H356">
        <v>45797</v>
      </c>
    </row>
    <row r="357" spans="1:8">
      <c r="A357" s="17">
        <v>356</v>
      </c>
      <c r="B357">
        <f>TBL_Dati_OS[[#This Row],[VaR OS]]/2.33*SQRT(260)</f>
        <v>8.306969077571221</v>
      </c>
      <c r="C357" s="12">
        <v>45800</v>
      </c>
      <c r="D357" s="14">
        <v>1.200360901065564</v>
      </c>
      <c r="E357" t="b">
        <f t="shared" si="5"/>
        <v>1</v>
      </c>
      <c r="F357" s="12">
        <v>45800</v>
      </c>
      <c r="H357">
        <v>45798</v>
      </c>
    </row>
    <row r="358" spans="1:8">
      <c r="A358" s="17">
        <v>357</v>
      </c>
      <c r="B358">
        <f>TBL_Dati_OS[[#This Row],[VaR OS]]/2.33*SQRT(260)</f>
        <v>8.1601882160589323</v>
      </c>
      <c r="C358" s="12">
        <v>45803</v>
      </c>
      <c r="D358" s="14">
        <v>1.1791509982070374</v>
      </c>
      <c r="E358" t="b">
        <f t="shared" si="5"/>
        <v>1</v>
      </c>
      <c r="F358" s="12">
        <v>45803</v>
      </c>
      <c r="H358">
        <v>45799</v>
      </c>
    </row>
    <row r="359" spans="1:8">
      <c r="A359" s="17">
        <v>358</v>
      </c>
      <c r="B359">
        <f>TBL_Dati_OS[[#This Row],[VaR OS]]/2.33*SQRT(260)</f>
        <v>8.354831119801025</v>
      </c>
      <c r="C359" s="12">
        <v>45804</v>
      </c>
      <c r="D359" s="14">
        <v>1.2072769884617389</v>
      </c>
      <c r="E359" t="b">
        <f t="shared" si="5"/>
        <v>1</v>
      </c>
      <c r="F359" s="12">
        <v>45804</v>
      </c>
      <c r="H359">
        <v>45800</v>
      </c>
    </row>
    <row r="360" spans="1:8">
      <c r="A360" s="17">
        <v>359</v>
      </c>
      <c r="B360">
        <f>TBL_Dati_OS[[#This Row],[VaR OS]]/2.33*SQRT(260)</f>
        <v>8.4566635955396077</v>
      </c>
      <c r="C360" s="12">
        <v>45805</v>
      </c>
      <c r="D360" s="14">
        <v>1.2219918286391678</v>
      </c>
      <c r="E360" t="b">
        <f t="shared" si="5"/>
        <v>1</v>
      </c>
      <c r="F360" s="12">
        <v>45805</v>
      </c>
      <c r="H360">
        <v>45803</v>
      </c>
    </row>
    <row r="361" spans="1:8">
      <c r="A361" s="17">
        <v>360</v>
      </c>
      <c r="B361">
        <f>TBL_Dati_OS[[#This Row],[VaR OS]]/2.33*SQRT(260)</f>
        <v>8.1748017958183592</v>
      </c>
      <c r="C361" s="12">
        <v>45806</v>
      </c>
      <c r="D361" s="14">
        <v>1.1812626672892279</v>
      </c>
      <c r="E361" t="b">
        <f t="shared" si="5"/>
        <v>1</v>
      </c>
      <c r="F361" s="12">
        <v>45806</v>
      </c>
      <c r="H361">
        <v>45804</v>
      </c>
    </row>
    <row r="362" spans="1:8">
      <c r="A362" s="17">
        <v>361</v>
      </c>
      <c r="B362">
        <f>TBL_Dati_OS[[#This Row],[VaR OS]]/2.33*SQRT(260)</f>
        <v>8.0027069671422399</v>
      </c>
      <c r="C362" s="12">
        <v>45807</v>
      </c>
      <c r="D362" s="14">
        <v>1.1563948843843721</v>
      </c>
      <c r="E362" t="b">
        <f t="shared" si="5"/>
        <v>1</v>
      </c>
      <c r="F362" s="12">
        <v>45807</v>
      </c>
      <c r="H362">
        <v>45805</v>
      </c>
    </row>
    <row r="363" spans="1:8">
      <c r="A363" s="17">
        <v>362</v>
      </c>
      <c r="B363">
        <f>TBL_Dati_OS[[#This Row],[VaR OS]]/2.33*SQRT(260)</f>
        <v>8.1842886986744432</v>
      </c>
      <c r="C363" s="12">
        <v>45811</v>
      </c>
      <c r="D363" s="14">
        <v>1.1826335291708976</v>
      </c>
      <c r="E363" t="b">
        <f t="shared" si="5"/>
        <v>1</v>
      </c>
      <c r="F363" s="12">
        <v>45811</v>
      </c>
      <c r="H363">
        <v>45806</v>
      </c>
    </row>
    <row r="364" spans="1:8">
      <c r="A364" s="17">
        <v>363</v>
      </c>
      <c r="B364">
        <f>TBL_Dati_OS[[#This Row],[VaR OS]]/2.33*SQRT(260)</f>
        <v>8.1513579777540457</v>
      </c>
      <c r="C364" s="12">
        <v>45812</v>
      </c>
      <c r="D364" s="14">
        <v>1.1778750246588878</v>
      </c>
      <c r="E364" t="b">
        <f t="shared" si="5"/>
        <v>1</v>
      </c>
      <c r="F364" s="12">
        <v>45812</v>
      </c>
      <c r="H364">
        <v>45807</v>
      </c>
    </row>
    <row r="365" spans="1:8">
      <c r="A365" s="17">
        <v>364</v>
      </c>
      <c r="B365">
        <f>TBL_Dati_OS[[#This Row],[VaR OS]]/2.33*SQRT(260)</f>
        <v>8.0687072051325028</v>
      </c>
      <c r="C365" s="12">
        <v>45813</v>
      </c>
      <c r="D365" s="14">
        <v>1.1659319495166403</v>
      </c>
      <c r="E365" t="b">
        <f t="shared" si="5"/>
        <v>1</v>
      </c>
      <c r="F365" s="12">
        <v>45813</v>
      </c>
      <c r="H365">
        <v>45811</v>
      </c>
    </row>
    <row r="366" spans="1:8">
      <c r="A366" s="17">
        <v>365</v>
      </c>
      <c r="B366">
        <f>TBL_Dati_OS[[#This Row],[VaR OS]]/2.33*SQRT(260)</f>
        <v>8.1534395151529395</v>
      </c>
      <c r="C366" s="12">
        <v>45814</v>
      </c>
      <c r="D366" s="14">
        <v>1.1781758077826006</v>
      </c>
      <c r="E366" t="b">
        <f t="shared" si="5"/>
        <v>1</v>
      </c>
      <c r="F366" s="12">
        <v>45814</v>
      </c>
      <c r="H366">
        <v>45812</v>
      </c>
    </row>
    <row r="367" spans="1:8">
      <c r="A367" s="17">
        <v>366</v>
      </c>
      <c r="B367">
        <f>TBL_Dati_OS[[#This Row],[VaR OS]]/2.33*SQRT(260)</f>
        <v>7.9436137757704692</v>
      </c>
      <c r="C367" s="12">
        <v>45817</v>
      </c>
      <c r="D367" s="14">
        <v>1.1478558907057539</v>
      </c>
      <c r="E367" t="b">
        <f t="shared" si="5"/>
        <v>1</v>
      </c>
      <c r="F367" s="12">
        <v>45817</v>
      </c>
      <c r="H367">
        <v>45813</v>
      </c>
    </row>
    <row r="368" spans="1:8">
      <c r="A368" s="17">
        <v>367</v>
      </c>
      <c r="B368">
        <f>TBL_Dati_OS[[#This Row],[VaR OS]]/2.33*SQRT(260)</f>
        <v>7.9769769970323887</v>
      </c>
      <c r="C368" s="12">
        <v>45818</v>
      </c>
      <c r="D368" s="14">
        <v>1.1526768917185706</v>
      </c>
      <c r="E368" t="b">
        <f t="shared" si="5"/>
        <v>1</v>
      </c>
      <c r="F368" s="12">
        <v>45818</v>
      </c>
      <c r="H368">
        <v>45814</v>
      </c>
    </row>
    <row r="369" spans="1:8">
      <c r="A369" s="17">
        <v>368</v>
      </c>
      <c r="B369">
        <f>TBL_Dati_OS[[#This Row],[VaR OS]]/2.33*SQRT(260)</f>
        <v>7.9613297901649798</v>
      </c>
      <c r="C369" s="12">
        <v>45819</v>
      </c>
      <c r="D369" s="14">
        <v>1.150415863037817</v>
      </c>
      <c r="E369" t="b">
        <f t="shared" si="5"/>
        <v>1</v>
      </c>
      <c r="F369" s="12">
        <v>45819</v>
      </c>
      <c r="H369">
        <v>45817</v>
      </c>
    </row>
    <row r="370" spans="1:8">
      <c r="A370" s="17">
        <v>369</v>
      </c>
      <c r="B370">
        <f>TBL_Dati_OS[[#This Row],[VaR OS]]/2.33*SQRT(260)</f>
        <v>7.9616143136355806</v>
      </c>
      <c r="C370" s="12">
        <v>45820</v>
      </c>
      <c r="D370" s="14">
        <v>1.1504569768118487</v>
      </c>
      <c r="E370" t="b">
        <f t="shared" si="5"/>
        <v>1</v>
      </c>
      <c r="F370" s="12">
        <v>45820</v>
      </c>
      <c r="H370">
        <v>45818</v>
      </c>
    </row>
    <row r="371" spans="1:8">
      <c r="A371" s="17">
        <v>370</v>
      </c>
      <c r="B371">
        <f>TBL_Dati_OS[[#This Row],[VaR OS]]/2.33*SQRT(260)</f>
        <v>8.1155867372121229</v>
      </c>
      <c r="C371" s="12">
        <v>45821</v>
      </c>
      <c r="D371" s="14">
        <v>1.1727060637384639</v>
      </c>
      <c r="E371" t="b">
        <f t="shared" si="5"/>
        <v>1</v>
      </c>
      <c r="F371" s="12">
        <v>45821</v>
      </c>
      <c r="H371">
        <v>45819</v>
      </c>
    </row>
    <row r="372" spans="1:8">
      <c r="A372" s="17">
        <v>371</v>
      </c>
      <c r="B372">
        <f>TBL_Dati_OS[[#This Row],[VaR OS]]/2.33*SQRT(260)</f>
        <v>7.9145599553664017</v>
      </c>
      <c r="C372" s="12">
        <v>45824</v>
      </c>
      <c r="D372" s="14">
        <v>1.1436576001242005</v>
      </c>
      <c r="E372" t="b">
        <f t="shared" si="5"/>
        <v>1</v>
      </c>
      <c r="F372" s="12">
        <v>45824</v>
      </c>
      <c r="H372">
        <v>45820</v>
      </c>
    </row>
    <row r="373" spans="1:8">
      <c r="A373" s="17">
        <v>372</v>
      </c>
      <c r="B373">
        <f>TBL_Dati_OS[[#This Row],[VaR OS]]/2.33*SQRT(260)</f>
        <v>8.0153069579735714</v>
      </c>
      <c r="C373" s="12">
        <v>45825</v>
      </c>
      <c r="D373" s="14">
        <v>1.1582155889285304</v>
      </c>
      <c r="E373" t="b">
        <f t="shared" si="5"/>
        <v>1</v>
      </c>
      <c r="F373" s="12">
        <v>45825</v>
      </c>
      <c r="H373">
        <v>45821</v>
      </c>
    </row>
    <row r="374" spans="1:8">
      <c r="A374" s="17">
        <v>373</v>
      </c>
      <c r="B374">
        <f>TBL_Dati_OS[[#This Row],[VaR OS]]/2.33*SQRT(260)</f>
        <v>8.1342653535021956</v>
      </c>
      <c r="C374" s="12">
        <v>45826</v>
      </c>
      <c r="D374" s="14">
        <v>1.1754051324928121</v>
      </c>
      <c r="E374" t="b">
        <f t="shared" si="5"/>
        <v>1</v>
      </c>
      <c r="F374" s="12">
        <v>45826</v>
      </c>
      <c r="H374">
        <v>45824</v>
      </c>
    </row>
    <row r="375" spans="1:8">
      <c r="A375" s="17">
        <v>374</v>
      </c>
      <c r="B375">
        <f>TBL_Dati_OS[[#This Row],[VaR OS]]/2.33*SQRT(260)</f>
        <v>7.9244261192097749</v>
      </c>
      <c r="C375" s="12">
        <v>45827</v>
      </c>
      <c r="D375" s="14">
        <v>1.1450832653951917</v>
      </c>
      <c r="E375" t="b">
        <f t="shared" si="5"/>
        <v>1</v>
      </c>
      <c r="F375" s="12">
        <v>45827</v>
      </c>
      <c r="H375">
        <v>45825</v>
      </c>
    </row>
    <row r="376" spans="1:8">
      <c r="A376" s="17">
        <v>375</v>
      </c>
      <c r="B376">
        <f>TBL_Dati_OS[[#This Row],[VaR OS]]/2.33*SQRT(260)</f>
        <v>7.9960313258430151</v>
      </c>
      <c r="C376" s="12">
        <v>45828</v>
      </c>
      <c r="D376" s="14">
        <v>1.1554302511071444</v>
      </c>
      <c r="E376" t="b">
        <f t="shared" si="5"/>
        <v>1</v>
      </c>
      <c r="F376" s="12">
        <v>45828</v>
      </c>
      <c r="H376">
        <v>45826</v>
      </c>
    </row>
    <row r="377" spans="1:8">
      <c r="A377" s="17">
        <v>376</v>
      </c>
      <c r="B377">
        <f>TBL_Dati_OS[[#This Row],[VaR OS]]/2.33*SQRT(260)</f>
        <v>7.9671575882395347</v>
      </c>
      <c r="C377" s="12">
        <v>45831</v>
      </c>
      <c r="D377" s="14">
        <v>1.1512579825741576</v>
      </c>
      <c r="E377" t="b">
        <f t="shared" si="5"/>
        <v>1</v>
      </c>
      <c r="F377" s="12">
        <v>45831</v>
      </c>
      <c r="H377">
        <v>45827</v>
      </c>
    </row>
    <row r="378" spans="1:8">
      <c r="A378" s="17">
        <v>377</v>
      </c>
      <c r="B378">
        <f>TBL_Dati_OS[[#This Row],[VaR OS]]/2.33*SQRT(260)</f>
        <v>8.0267599272448038</v>
      </c>
      <c r="C378" s="12">
        <v>45832</v>
      </c>
      <c r="D378" s="14">
        <v>1.1598705483229756</v>
      </c>
      <c r="E378" t="b">
        <f t="shared" si="5"/>
        <v>1</v>
      </c>
      <c r="F378" s="12">
        <v>45832</v>
      </c>
      <c r="H378">
        <v>45828</v>
      </c>
    </row>
    <row r="379" spans="1:8">
      <c r="A379" s="17">
        <v>378</v>
      </c>
      <c r="B379">
        <f>TBL_Dati_OS[[#This Row],[VaR OS]]/2.33*SQRT(260)</f>
        <v>7.9521870512407231</v>
      </c>
      <c r="C379" s="12">
        <v>45833</v>
      </c>
      <c r="D379" s="14">
        <v>1.1490947330046066</v>
      </c>
      <c r="E379" t="b">
        <f t="shared" si="5"/>
        <v>1</v>
      </c>
      <c r="F379" s="12">
        <v>45833</v>
      </c>
      <c r="H379">
        <v>45831</v>
      </c>
    </row>
    <row r="380" spans="1:8">
      <c r="A380" s="17">
        <v>379</v>
      </c>
      <c r="B380">
        <f>TBL_Dati_OS[[#This Row],[VaR OS]]/2.33*SQRT(260)</f>
        <v>7.9651719317409082</v>
      </c>
      <c r="C380" s="12">
        <v>45834</v>
      </c>
      <c r="D380" s="14">
        <v>1.1509710542851943</v>
      </c>
      <c r="E380" t="b">
        <f t="shared" si="5"/>
        <v>1</v>
      </c>
      <c r="F380" s="12">
        <v>45834</v>
      </c>
      <c r="H380">
        <v>45832</v>
      </c>
    </row>
    <row r="381" spans="1:8">
      <c r="A381" s="17">
        <v>380</v>
      </c>
      <c r="B381">
        <f>TBL_Dati_OS[[#This Row],[VaR OS]]/2.33*SQRT(260)</f>
        <v>7.9669725653856789</v>
      </c>
      <c r="C381" s="12">
        <v>45835</v>
      </c>
      <c r="D381" s="14">
        <v>1.1512312466855925</v>
      </c>
      <c r="E381" t="b">
        <f t="shared" si="5"/>
        <v>1</v>
      </c>
      <c r="F381" s="12">
        <v>45835</v>
      </c>
      <c r="H381">
        <v>45833</v>
      </c>
    </row>
    <row r="382" spans="1:8">
      <c r="A382" s="17">
        <v>381</v>
      </c>
      <c r="B382">
        <f>TBL_Dati_OS[[#This Row],[VaR OS]]/2.33*SQRT(260)</f>
        <v>8.0391439036008485</v>
      </c>
      <c r="C382" s="12">
        <v>45838</v>
      </c>
      <c r="D382" s="14">
        <v>1.1616600386748359</v>
      </c>
      <c r="E382" t="b">
        <f t="shared" si="5"/>
        <v>1</v>
      </c>
      <c r="F382" s="12">
        <v>45838</v>
      </c>
      <c r="H382">
        <v>45834</v>
      </c>
    </row>
    <row r="383" spans="1:8">
      <c r="A383" s="17">
        <v>382</v>
      </c>
      <c r="B383">
        <f>TBL_Dati_OS[[#This Row],[VaR OS]]/2.33*SQRT(260)</f>
        <v>7.9312203161382842</v>
      </c>
      <c r="C383" s="12">
        <v>45839</v>
      </c>
      <c r="D383" s="14">
        <v>1.146065030016074</v>
      </c>
      <c r="E383" t="b">
        <f t="shared" si="5"/>
        <v>1</v>
      </c>
      <c r="F383" s="12">
        <v>45839</v>
      </c>
      <c r="H383">
        <v>45835</v>
      </c>
    </row>
    <row r="384" spans="1:8">
      <c r="A384" s="17">
        <v>383</v>
      </c>
      <c r="B384">
        <f>TBL_Dati_OS[[#This Row],[VaR OS]]/2.33*SQRT(260)</f>
        <v>7.8027972502025218</v>
      </c>
      <c r="C384" s="12">
        <v>45840</v>
      </c>
      <c r="D384" s="14">
        <v>1.127507837169351</v>
      </c>
      <c r="E384" t="b">
        <f t="shared" si="5"/>
        <v>1</v>
      </c>
      <c r="F384" s="12">
        <v>45840</v>
      </c>
      <c r="H384">
        <v>45838</v>
      </c>
    </row>
    <row r="385" spans="1:8">
      <c r="A385" s="17">
        <v>384</v>
      </c>
      <c r="B385">
        <f>TBL_Dati_OS[[#This Row],[VaR OS]]/2.33*SQRT(260)</f>
        <v>7.907239641046572</v>
      </c>
      <c r="C385" s="12">
        <v>45841</v>
      </c>
      <c r="D385" s="14">
        <v>1.1425998112952087</v>
      </c>
      <c r="E385" t="b">
        <f t="shared" si="5"/>
        <v>1</v>
      </c>
      <c r="F385" s="12">
        <v>45841</v>
      </c>
      <c r="H385">
        <v>45839</v>
      </c>
    </row>
    <row r="386" spans="1:8">
      <c r="A386" s="17">
        <v>385</v>
      </c>
      <c r="B386">
        <f>TBL_Dati_OS[[#This Row],[VaR OS]]/2.33*SQRT(260)</f>
        <v>7.7930059811085952</v>
      </c>
      <c r="C386" s="12">
        <v>45842</v>
      </c>
      <c r="D386" s="14">
        <v>1.1260929942245403</v>
      </c>
      <c r="E386" t="b">
        <f t="shared" si="5"/>
        <v>1</v>
      </c>
      <c r="F386" s="12">
        <v>45842</v>
      </c>
      <c r="H386">
        <v>45840</v>
      </c>
    </row>
    <row r="387" spans="1:8">
      <c r="A387" s="17">
        <v>386</v>
      </c>
      <c r="B387">
        <f>TBL_Dati_OS[[#This Row],[VaR OS]]/2.33*SQRT(260)</f>
        <v>7.6552644262343099</v>
      </c>
      <c r="C387" s="12">
        <v>45845</v>
      </c>
      <c r="D387" s="14">
        <v>1.1061892753856819</v>
      </c>
      <c r="E387" t="b">
        <f t="shared" ref="E387:E450" si="6">F387=C387</f>
        <v>1</v>
      </c>
      <c r="F387" s="12">
        <v>45845</v>
      </c>
      <c r="H387">
        <v>45841</v>
      </c>
    </row>
    <row r="388" spans="1:8">
      <c r="A388" s="17">
        <v>387</v>
      </c>
      <c r="B388">
        <f>TBL_Dati_OS[[#This Row],[VaR OS]]/2.33*SQRT(260)</f>
        <v>7.650026392372852</v>
      </c>
      <c r="C388" s="12">
        <v>45846</v>
      </c>
      <c r="D388" s="14">
        <v>1.1054323770528438</v>
      </c>
      <c r="E388" t="b">
        <f t="shared" si="6"/>
        <v>1</v>
      </c>
      <c r="F388" s="12">
        <v>45846</v>
      </c>
      <c r="H388">
        <v>45842</v>
      </c>
    </row>
    <row r="389" spans="1:8">
      <c r="A389" s="17">
        <v>388</v>
      </c>
      <c r="B389">
        <f>TBL_Dati_OS[[#This Row],[VaR OS]]/2.33*SQRT(260)</f>
        <v>7.7524010934831917</v>
      </c>
      <c r="C389" s="12">
        <v>45847</v>
      </c>
      <c r="D389" s="14">
        <v>1.1202255690490579</v>
      </c>
      <c r="E389" t="b">
        <f t="shared" si="6"/>
        <v>1</v>
      </c>
      <c r="F389" s="12">
        <v>45847</v>
      </c>
      <c r="H389">
        <v>45845</v>
      </c>
    </row>
    <row r="390" spans="1:8">
      <c r="A390" s="17">
        <v>389</v>
      </c>
      <c r="B390">
        <f>TBL_Dati_OS[[#This Row],[VaR OS]]/2.33*SQRT(260)</f>
        <v>7.6994355028319914</v>
      </c>
      <c r="C390" s="12">
        <v>45848</v>
      </c>
      <c r="D390" s="14">
        <v>1.1125720165287765</v>
      </c>
      <c r="E390" t="b">
        <f t="shared" si="6"/>
        <v>1</v>
      </c>
      <c r="F390" s="12">
        <v>45848</v>
      </c>
      <c r="H390">
        <v>45846</v>
      </c>
    </row>
    <row r="391" spans="1:8">
      <c r="A391" s="17">
        <v>390</v>
      </c>
      <c r="B391">
        <f>TBL_Dati_OS[[#This Row],[VaR OS]]/2.33*SQRT(260)</f>
        <v>7.5205207970425825</v>
      </c>
      <c r="C391" s="12">
        <v>45849</v>
      </c>
      <c r="D391" s="14">
        <v>1.086718758204376</v>
      </c>
      <c r="E391" t="b">
        <f t="shared" si="6"/>
        <v>1</v>
      </c>
      <c r="F391" s="12">
        <v>45849</v>
      </c>
      <c r="H391">
        <v>45847</v>
      </c>
    </row>
    <row r="392" spans="1:8">
      <c r="A392" s="17">
        <v>391</v>
      </c>
      <c r="B392">
        <f>TBL_Dati_OS[[#This Row],[VaR OS]]/2.33*SQRT(260)</f>
        <v>7.5300301202480657</v>
      </c>
      <c r="C392" s="12">
        <v>45852</v>
      </c>
      <c r="D392" s="14">
        <v>1.0880928598369772</v>
      </c>
      <c r="E392" t="b">
        <f t="shared" si="6"/>
        <v>1</v>
      </c>
      <c r="F392" s="12">
        <v>45852</v>
      </c>
      <c r="H392">
        <v>45848</v>
      </c>
    </row>
    <row r="393" spans="1:8">
      <c r="A393" s="17">
        <v>392</v>
      </c>
      <c r="B393">
        <f>TBL_Dati_OS[[#This Row],[VaR OS]]/2.33*SQRT(260)</f>
        <v>7.670032588217973</v>
      </c>
      <c r="C393" s="12">
        <v>45853</v>
      </c>
      <c r="D393" s="14">
        <v>1.1083232816712782</v>
      </c>
      <c r="E393" t="b">
        <f t="shared" si="6"/>
        <v>1</v>
      </c>
      <c r="F393" s="12">
        <v>45853</v>
      </c>
      <c r="H393">
        <v>45849</v>
      </c>
    </row>
    <row r="394" spans="1:8">
      <c r="A394" s="17">
        <v>393</v>
      </c>
      <c r="B394">
        <f>TBL_Dati_OS[[#This Row],[VaR OS]]/2.33*SQRT(260)</f>
        <v>7.3454005487441254</v>
      </c>
      <c r="C394" s="12">
        <v>45854</v>
      </c>
      <c r="D394" s="14">
        <v>1.061413800754863</v>
      </c>
      <c r="E394" t="b">
        <f t="shared" si="6"/>
        <v>1</v>
      </c>
      <c r="F394" s="12">
        <v>45854</v>
      </c>
      <c r="H394">
        <v>45852</v>
      </c>
    </row>
    <row r="395" spans="1:8">
      <c r="A395" s="17">
        <v>394</v>
      </c>
      <c r="B395">
        <f>TBL_Dati_OS[[#This Row],[VaR OS]]/2.33*SQRT(260)</f>
        <v>7.4215460120958037</v>
      </c>
      <c r="C395" s="12">
        <v>45855</v>
      </c>
      <c r="D395" s="14">
        <v>1.0724168556774654</v>
      </c>
      <c r="E395" t="b">
        <f t="shared" si="6"/>
        <v>1</v>
      </c>
      <c r="F395" s="12">
        <v>45855</v>
      </c>
      <c r="H395">
        <v>45853</v>
      </c>
    </row>
    <row r="396" spans="1:8">
      <c r="A396" s="17">
        <v>395</v>
      </c>
      <c r="B396">
        <f>TBL_Dati_OS[[#This Row],[VaR OS]]/2.33*SQRT(260)</f>
        <v>7.5553812202297488</v>
      </c>
      <c r="C396" s="12">
        <v>45856</v>
      </c>
      <c r="D396" s="14">
        <v>1.0917561055927822</v>
      </c>
      <c r="E396" t="b">
        <f t="shared" si="6"/>
        <v>1</v>
      </c>
      <c r="F396" s="12">
        <v>45856</v>
      </c>
      <c r="H396">
        <v>45854</v>
      </c>
    </row>
    <row r="397" spans="1:8">
      <c r="A397" s="17">
        <v>396</v>
      </c>
      <c r="B397">
        <f>TBL_Dati_OS[[#This Row],[VaR OS]]/2.33*SQRT(260)</f>
        <v>7.5626497642306116</v>
      </c>
      <c r="C397" s="12">
        <v>45859</v>
      </c>
      <c r="D397" s="14">
        <v>1.0928064135865687</v>
      </c>
      <c r="E397" t="b">
        <f t="shared" si="6"/>
        <v>1</v>
      </c>
      <c r="F397" s="12">
        <v>45859</v>
      </c>
      <c r="H397">
        <v>45855</v>
      </c>
    </row>
    <row r="398" spans="1:8">
      <c r="A398" s="17">
        <v>397</v>
      </c>
      <c r="B398">
        <f>TBL_Dati_OS[[#This Row],[VaR OS]]/2.33*SQRT(260)</f>
        <v>7.3105504438779425</v>
      </c>
      <c r="C398" s="12">
        <v>45860</v>
      </c>
      <c r="D398" s="14">
        <v>1.0563779443686452</v>
      </c>
      <c r="E398" t="b">
        <f t="shared" si="6"/>
        <v>1</v>
      </c>
      <c r="F398" s="12">
        <v>45860</v>
      </c>
      <c r="H398">
        <v>45856</v>
      </c>
    </row>
    <row r="399" spans="1:8">
      <c r="A399" s="17">
        <v>398</v>
      </c>
      <c r="B399">
        <f>TBL_Dati_OS[[#This Row],[VaR OS]]/2.33*SQRT(260)</f>
        <v>7.3271791812131566</v>
      </c>
      <c r="C399" s="12">
        <v>45861</v>
      </c>
      <c r="D399" s="14">
        <v>1.05878080465919</v>
      </c>
      <c r="E399" t="b">
        <f t="shared" si="6"/>
        <v>1</v>
      </c>
      <c r="F399" s="12">
        <v>45861</v>
      </c>
      <c r="H399">
        <v>45859</v>
      </c>
    </row>
    <row r="400" spans="1:8">
      <c r="A400" s="17">
        <v>399</v>
      </c>
      <c r="B400">
        <f>TBL_Dati_OS[[#This Row],[VaR OS]]/2.33*SQRT(260)</f>
        <v>7.5225208149060867</v>
      </c>
      <c r="C400" s="12">
        <v>45862</v>
      </c>
      <c r="D400" s="14">
        <v>1.0870077617172538</v>
      </c>
      <c r="E400" t="b">
        <f t="shared" si="6"/>
        <v>1</v>
      </c>
      <c r="F400" s="12">
        <v>45862</v>
      </c>
      <c r="H400">
        <v>45860</v>
      </c>
    </row>
    <row r="401" spans="1:8">
      <c r="A401" s="17">
        <v>400</v>
      </c>
      <c r="B401">
        <f>TBL_Dati_OS[[#This Row],[VaR OS]]/2.33*SQRT(260)</f>
        <v>7.3462085501719718</v>
      </c>
      <c r="C401" s="12">
        <v>45863</v>
      </c>
      <c r="D401" s="14">
        <v>1.0615305573375509</v>
      </c>
      <c r="E401" t="b">
        <f t="shared" si="6"/>
        <v>1</v>
      </c>
      <c r="F401" s="12">
        <v>45863</v>
      </c>
      <c r="H401">
        <v>45861</v>
      </c>
    </row>
    <row r="402" spans="1:8">
      <c r="A402" s="17">
        <v>401</v>
      </c>
      <c r="B402">
        <f>TBL_Dati_OS[[#This Row],[VaR OS]]/2.33*SQRT(260)</f>
        <v>7.269404100831971</v>
      </c>
      <c r="C402" s="12">
        <v>45866</v>
      </c>
      <c r="D402" s="14">
        <v>1.0504322786326827</v>
      </c>
      <c r="E402" t="b">
        <f t="shared" si="6"/>
        <v>1</v>
      </c>
      <c r="F402" s="12">
        <v>45866</v>
      </c>
      <c r="H402">
        <v>45862</v>
      </c>
    </row>
    <row r="403" spans="1:8">
      <c r="A403" s="17">
        <v>402</v>
      </c>
      <c r="B403">
        <f>TBL_Dati_OS[[#This Row],[VaR OS]]/2.33*SQRT(260)</f>
        <v>7.2367155603282427</v>
      </c>
      <c r="C403" s="12">
        <v>45867</v>
      </c>
      <c r="D403" s="14">
        <v>1.0457087693036886</v>
      </c>
      <c r="E403" t="b">
        <f t="shared" si="6"/>
        <v>1</v>
      </c>
      <c r="F403" s="12">
        <v>45867</v>
      </c>
      <c r="H403">
        <v>45863</v>
      </c>
    </row>
    <row r="404" spans="1:8">
      <c r="A404" s="17">
        <v>403</v>
      </c>
      <c r="B404">
        <f>TBL_Dati_OS[[#This Row],[VaR OS]]/2.33*SQRT(260)</f>
        <v>7.4586093829788149</v>
      </c>
      <c r="C404" s="12">
        <v>45868</v>
      </c>
      <c r="D404" s="14">
        <v>1.0777725300340462</v>
      </c>
      <c r="E404" t="b">
        <f t="shared" si="6"/>
        <v>1</v>
      </c>
      <c r="F404" s="12">
        <v>45868</v>
      </c>
      <c r="H404">
        <v>45866</v>
      </c>
    </row>
    <row r="405" spans="1:8">
      <c r="A405" s="17">
        <v>404</v>
      </c>
      <c r="B405">
        <f>TBL_Dati_OS[[#This Row],[VaR OS]]/2.33*SQRT(260)</f>
        <v>7.1322825788014113</v>
      </c>
      <c r="C405" s="12">
        <v>45869</v>
      </c>
      <c r="D405" s="14">
        <v>1.0306181548285516</v>
      </c>
      <c r="E405" t="b">
        <f t="shared" si="6"/>
        <v>1</v>
      </c>
      <c r="F405" s="12">
        <v>45869</v>
      </c>
      <c r="H405">
        <v>45867</v>
      </c>
    </row>
    <row r="406" spans="1:8">
      <c r="A406" s="17">
        <v>405</v>
      </c>
      <c r="B406">
        <f>TBL_Dati_OS[[#This Row],[VaR OS]]/2.33*SQRT(260)</f>
        <v>7.6103397678474698</v>
      </c>
      <c r="C406" s="12">
        <v>45870</v>
      </c>
      <c r="D406" s="14">
        <v>1.0996976413230382</v>
      </c>
      <c r="E406" t="b">
        <f t="shared" si="6"/>
        <v>1</v>
      </c>
      <c r="F406" s="12">
        <v>45870</v>
      </c>
      <c r="H406">
        <v>45868</v>
      </c>
    </row>
    <row r="407" spans="1:8">
      <c r="A407" s="17">
        <v>406</v>
      </c>
      <c r="B407">
        <f>TBL_Dati_OS[[#This Row],[VaR OS]]/2.33*SQRT(260)</f>
        <v>7.6467293770326155</v>
      </c>
      <c r="C407" s="12">
        <v>45873</v>
      </c>
      <c r="D407" s="14">
        <v>1.1049559568004417</v>
      </c>
      <c r="E407" t="b">
        <f t="shared" si="6"/>
        <v>1</v>
      </c>
      <c r="F407" s="12">
        <v>45873</v>
      </c>
      <c r="H407">
        <v>45869</v>
      </c>
    </row>
    <row r="408" spans="1:8">
      <c r="A408" s="17">
        <v>407</v>
      </c>
      <c r="B408">
        <f>TBL_Dati_OS[[#This Row],[VaR OS]]/2.33*SQRT(260)</f>
        <v>7.5638134523194065</v>
      </c>
      <c r="C408" s="12">
        <v>45874</v>
      </c>
      <c r="D408" s="14">
        <v>1.0929745670574413</v>
      </c>
      <c r="E408" t="b">
        <f t="shared" si="6"/>
        <v>1</v>
      </c>
      <c r="F408" s="12">
        <v>45874</v>
      </c>
      <c r="H408">
        <v>45870</v>
      </c>
    </row>
    <row r="409" spans="1:8">
      <c r="A409" s="17">
        <v>408</v>
      </c>
      <c r="B409">
        <f>TBL_Dati_OS[[#This Row],[VaR OS]]/2.33*SQRT(260)</f>
        <v>7.4905788068398538</v>
      </c>
      <c r="C409" s="12">
        <v>45875</v>
      </c>
      <c r="D409" s="14">
        <v>1.0823921266732097</v>
      </c>
      <c r="E409" t="b">
        <f t="shared" si="6"/>
        <v>1</v>
      </c>
      <c r="F409" s="12">
        <v>45875</v>
      </c>
      <c r="H409">
        <v>45873</v>
      </c>
    </row>
    <row r="410" spans="1:8">
      <c r="A410" s="17">
        <v>409</v>
      </c>
      <c r="B410">
        <f>TBL_Dati_OS[[#This Row],[VaR OS]]/2.33*SQRT(260)</f>
        <v>7.4923435031292591</v>
      </c>
      <c r="C410" s="12">
        <v>45876</v>
      </c>
      <c r="D410" s="14">
        <v>1.082647126109018</v>
      </c>
      <c r="E410" t="b">
        <f t="shared" si="6"/>
        <v>1</v>
      </c>
      <c r="F410" s="12">
        <v>45876</v>
      </c>
      <c r="H410">
        <v>45874</v>
      </c>
    </row>
    <row r="411" spans="1:8">
      <c r="A411" s="17">
        <v>410</v>
      </c>
      <c r="B411">
        <f>TBL_Dati_OS[[#This Row],[VaR OS]]/2.33*SQRT(260)</f>
        <v>7.5365657033702087</v>
      </c>
      <c r="C411" s="12">
        <v>45877</v>
      </c>
      <c r="D411" s="14">
        <v>1.0890372546423781</v>
      </c>
      <c r="E411" t="b">
        <f t="shared" si="6"/>
        <v>1</v>
      </c>
      <c r="F411" s="12">
        <v>45877</v>
      </c>
      <c r="H411">
        <v>45875</v>
      </c>
    </row>
    <row r="412" spans="1:8">
      <c r="A412" s="17">
        <v>411</v>
      </c>
      <c r="B412">
        <f>TBL_Dati_OS[[#This Row],[VaR OS]]/2.33*SQRT(260)</f>
        <v>7.5108288124322478</v>
      </c>
      <c r="C412" s="12">
        <v>45880</v>
      </c>
      <c r="D412" s="14">
        <v>1.085318261913691</v>
      </c>
      <c r="E412" t="b">
        <f t="shared" si="6"/>
        <v>1</v>
      </c>
      <c r="F412" s="12">
        <v>45880</v>
      </c>
      <c r="H412">
        <v>45876</v>
      </c>
    </row>
    <row r="413" spans="1:8">
      <c r="A413" s="17">
        <v>412</v>
      </c>
      <c r="B413">
        <f>TBL_Dati_OS[[#This Row],[VaR OS]]/2.33*SQRT(260)</f>
        <v>7.4515082065053191</v>
      </c>
      <c r="C413" s="12">
        <v>45881</v>
      </c>
      <c r="D413" s="14">
        <v>1.0767464067259234</v>
      </c>
      <c r="E413" t="b">
        <f t="shared" si="6"/>
        <v>1</v>
      </c>
      <c r="F413" s="12">
        <v>45881</v>
      </c>
      <c r="H413">
        <v>45877</v>
      </c>
    </row>
    <row r="414" spans="1:8">
      <c r="A414" s="17">
        <v>413</v>
      </c>
      <c r="B414">
        <f>TBL_Dati_OS[[#This Row],[VaR OS]]/2.33*SQRT(260)</f>
        <v>7.4019193235780394</v>
      </c>
      <c r="C414" s="12">
        <v>45882</v>
      </c>
      <c r="D414" s="14">
        <v>1.069580790044607</v>
      </c>
      <c r="E414" t="b">
        <f t="shared" si="6"/>
        <v>1</v>
      </c>
      <c r="F414" s="12">
        <v>45882</v>
      </c>
      <c r="H414">
        <v>45880</v>
      </c>
    </row>
    <row r="415" spans="1:8">
      <c r="A415" s="17">
        <v>414</v>
      </c>
      <c r="B415">
        <f>TBL_Dati_OS[[#This Row],[VaR OS]]/2.33*SQRT(260)</f>
        <v>7.4064625056013025</v>
      </c>
      <c r="C415" s="12">
        <v>45883</v>
      </c>
      <c r="D415" s="14">
        <v>1.0702372819631665</v>
      </c>
      <c r="E415" t="b">
        <f t="shared" si="6"/>
        <v>1</v>
      </c>
      <c r="F415" s="12">
        <v>45883</v>
      </c>
      <c r="H415">
        <v>45881</v>
      </c>
    </row>
    <row r="416" spans="1:8">
      <c r="A416" s="17">
        <v>415</v>
      </c>
      <c r="B416">
        <f>TBL_Dati_OS[[#This Row],[VaR OS]]/2.33*SQRT(260)</f>
        <v>7.4118936175636163</v>
      </c>
      <c r="C416" s="12">
        <v>45887</v>
      </c>
      <c r="D416" s="14">
        <v>1.0710220801715133</v>
      </c>
      <c r="E416" t="b">
        <f t="shared" si="6"/>
        <v>1</v>
      </c>
      <c r="F416" s="12">
        <v>45887</v>
      </c>
      <c r="H416">
        <v>45882</v>
      </c>
    </row>
    <row r="417" spans="1:8">
      <c r="A417" s="17">
        <v>416</v>
      </c>
      <c r="B417">
        <f>TBL_Dati_OS[[#This Row],[VaR OS]]/2.33*SQRT(260)</f>
        <v>7.3141084781585501</v>
      </c>
      <c r="C417" s="12">
        <v>45888</v>
      </c>
      <c r="D417" s="14">
        <v>1.0568920819795127</v>
      </c>
      <c r="E417" t="b">
        <f t="shared" si="6"/>
        <v>1</v>
      </c>
      <c r="F417" s="12">
        <v>45888</v>
      </c>
      <c r="H417">
        <v>45883</v>
      </c>
    </row>
    <row r="418" spans="1:8">
      <c r="A418" s="17">
        <v>417</v>
      </c>
      <c r="B418">
        <f>TBL_Dati_OS[[#This Row],[VaR OS]]/2.33*SQRT(260)</f>
        <v>7.282321733237505</v>
      </c>
      <c r="C418" s="12">
        <v>45889</v>
      </c>
      <c r="D418" s="14">
        <v>1.0522988825322694</v>
      </c>
      <c r="E418" t="b">
        <f t="shared" si="6"/>
        <v>1</v>
      </c>
      <c r="F418" s="12">
        <v>45889</v>
      </c>
      <c r="H418">
        <v>45887</v>
      </c>
    </row>
    <row r="419" spans="1:8">
      <c r="A419" s="17">
        <v>418</v>
      </c>
      <c r="B419">
        <f>TBL_Dati_OS[[#This Row],[VaR OS]]/2.33*SQRT(260)</f>
        <v>7.2773168343928258</v>
      </c>
      <c r="C419" s="12">
        <v>45890</v>
      </c>
      <c r="D419" s="14">
        <v>1.0515756723179492</v>
      </c>
      <c r="E419" t="b">
        <f t="shared" si="6"/>
        <v>1</v>
      </c>
      <c r="F419" s="12">
        <v>45890</v>
      </c>
      <c r="H419">
        <v>45888</v>
      </c>
    </row>
    <row r="420" spans="1:8">
      <c r="A420" s="17">
        <v>419</v>
      </c>
      <c r="B420">
        <f>TBL_Dati_OS[[#This Row],[VaR OS]]/2.33*SQRT(260)</f>
        <v>7.2688031216623177</v>
      </c>
      <c r="C420" s="12">
        <v>45891</v>
      </c>
      <c r="D420" s="14">
        <v>1.0503454368627338</v>
      </c>
      <c r="E420" t="b">
        <f t="shared" si="6"/>
        <v>1</v>
      </c>
      <c r="F420" s="12">
        <v>45891</v>
      </c>
      <c r="H420">
        <v>45889</v>
      </c>
    </row>
    <row r="421" spans="1:8">
      <c r="A421" s="17">
        <v>420</v>
      </c>
      <c r="B421">
        <f>TBL_Dati_OS[[#This Row],[VaR OS]]/2.33*SQRT(260)</f>
        <v>7.2797716851885079</v>
      </c>
      <c r="C421" s="12">
        <v>45894</v>
      </c>
      <c r="D421" s="14">
        <v>1.051930399401386</v>
      </c>
      <c r="E421" t="b">
        <f t="shared" si="6"/>
        <v>1</v>
      </c>
      <c r="F421" s="12">
        <v>45894</v>
      </c>
      <c r="H421">
        <v>45890</v>
      </c>
    </row>
    <row r="422" spans="1:8">
      <c r="A422" s="17">
        <v>421</v>
      </c>
      <c r="B422">
        <f>TBL_Dati_OS[[#This Row],[VaR OS]]/2.33*SQRT(260)</f>
        <v>7.3901983707021293</v>
      </c>
      <c r="C422" s="12">
        <v>45895</v>
      </c>
      <c r="D422" s="14">
        <v>1.06788710689446</v>
      </c>
      <c r="E422" t="b">
        <f t="shared" si="6"/>
        <v>1</v>
      </c>
      <c r="F422" s="12">
        <v>45895</v>
      </c>
      <c r="H422">
        <v>45891</v>
      </c>
    </row>
    <row r="423" spans="1:8">
      <c r="A423" s="17">
        <v>422</v>
      </c>
      <c r="B423">
        <f>TBL_Dati_OS[[#This Row],[VaR OS]]/2.33*SQRT(260)</f>
        <v>7.3684206820753939</v>
      </c>
      <c r="C423" s="12">
        <v>45896</v>
      </c>
      <c r="D423" s="14">
        <v>1.0647402207439272</v>
      </c>
      <c r="E423" t="b">
        <f t="shared" si="6"/>
        <v>1</v>
      </c>
      <c r="F423" s="12">
        <v>45896</v>
      </c>
      <c r="H423">
        <v>45894</v>
      </c>
    </row>
    <row r="424" spans="1:8">
      <c r="A424" s="17">
        <v>423</v>
      </c>
      <c r="B424">
        <f>TBL_Dati_OS[[#This Row],[VaR OS]]/2.33*SQRT(260)</f>
        <v>7.3323973646894416</v>
      </c>
      <c r="C424" s="12">
        <v>45897</v>
      </c>
      <c r="D424" s="14">
        <v>1.0595348346021245</v>
      </c>
      <c r="E424" t="b">
        <f t="shared" si="6"/>
        <v>1</v>
      </c>
      <c r="F424" s="12">
        <v>45897</v>
      </c>
      <c r="H424">
        <v>45895</v>
      </c>
    </row>
    <row r="425" spans="1:8">
      <c r="A425" s="17">
        <v>424</v>
      </c>
      <c r="B425">
        <f>TBL_Dati_OS[[#This Row],[VaR OS]]/2.33*SQRT(260)</f>
        <v>7.2378885951596006</v>
      </c>
      <c r="C425" s="12">
        <v>45898</v>
      </c>
      <c r="D425" s="14">
        <v>1.0458782733832153</v>
      </c>
      <c r="E425" t="b">
        <f t="shared" si="6"/>
        <v>1</v>
      </c>
      <c r="F425" s="12">
        <v>45898</v>
      </c>
      <c r="H425">
        <v>45896</v>
      </c>
    </row>
    <row r="426" spans="1:8">
      <c r="A426" s="17">
        <v>425</v>
      </c>
      <c r="B426">
        <f>TBL_Dati_OS[[#This Row],[VaR OS]]/2.33*SQRT(260)</f>
        <v>7.1413841931145008</v>
      </c>
      <c r="C426" s="12">
        <v>45901</v>
      </c>
      <c r="D426" s="14">
        <v>1.0319333423362926</v>
      </c>
      <c r="E426" t="b">
        <f t="shared" si="6"/>
        <v>1</v>
      </c>
      <c r="F426" s="12">
        <v>45901</v>
      </c>
      <c r="H426">
        <v>45897</v>
      </c>
    </row>
    <row r="427" spans="1:8">
      <c r="A427" s="17">
        <v>426</v>
      </c>
      <c r="B427">
        <f>TBL_Dati_OS[[#This Row],[VaR OS]]/2.33*SQRT(260)</f>
        <v>7.1172317915306991</v>
      </c>
      <c r="C427" s="12">
        <v>45902</v>
      </c>
      <c r="D427" s="14">
        <v>1.0284433090573308</v>
      </c>
      <c r="E427" t="b">
        <f t="shared" si="6"/>
        <v>1</v>
      </c>
      <c r="F427" s="12">
        <v>45902</v>
      </c>
      <c r="H427">
        <v>45898</v>
      </c>
    </row>
    <row r="428" spans="1:8">
      <c r="A428" s="17">
        <v>427</v>
      </c>
      <c r="B428">
        <f>TBL_Dati_OS[[#This Row],[VaR OS]]/2.33*SQRT(260)</f>
        <v>6.9172891999094581</v>
      </c>
      <c r="C428" s="12">
        <v>45903</v>
      </c>
      <c r="D428" s="14">
        <v>0.99955151143551646</v>
      </c>
      <c r="E428" t="b">
        <f t="shared" si="6"/>
        <v>1</v>
      </c>
      <c r="F428" s="12">
        <v>45903</v>
      </c>
      <c r="H428">
        <v>45901</v>
      </c>
    </row>
    <row r="429" spans="1:8">
      <c r="A429" s="17">
        <v>428</v>
      </c>
      <c r="B429">
        <f>TBL_Dati_OS[[#This Row],[VaR OS]]/2.33*SQRT(260)</f>
        <v>6.9701460887245936</v>
      </c>
      <c r="C429" s="12">
        <v>45904</v>
      </c>
      <c r="D429" s="14">
        <v>1.0071893564898535</v>
      </c>
      <c r="E429" t="b">
        <f t="shared" si="6"/>
        <v>1</v>
      </c>
      <c r="F429" s="12">
        <v>45904</v>
      </c>
      <c r="H429">
        <v>45902</v>
      </c>
    </row>
    <row r="430" spans="1:8">
      <c r="A430" s="17">
        <v>429</v>
      </c>
      <c r="B430">
        <f>TBL_Dati_OS[[#This Row],[VaR OS]]/2.33*SQRT(260)</f>
        <v>6.9478095996626044</v>
      </c>
      <c r="C430" s="12">
        <v>45905</v>
      </c>
      <c r="D430" s="14">
        <v>1.0039617234161393</v>
      </c>
      <c r="E430" t="b">
        <f t="shared" si="6"/>
        <v>1</v>
      </c>
      <c r="F430" s="12">
        <v>45905</v>
      </c>
      <c r="H430">
        <v>45903</v>
      </c>
    </row>
    <row r="431" spans="1:8">
      <c r="A431" s="17">
        <v>430</v>
      </c>
      <c r="B431">
        <f>TBL_Dati_OS[[#This Row],[VaR OS]]/2.33*SQRT(260)</f>
        <v>6.9654371260776351</v>
      </c>
      <c r="C431" s="12">
        <v>45908</v>
      </c>
      <c r="D431" s="14">
        <v>1.0065089091939501</v>
      </c>
      <c r="E431" t="b">
        <f t="shared" si="6"/>
        <v>1</v>
      </c>
      <c r="F431" s="12">
        <v>45908</v>
      </c>
      <c r="H431">
        <v>45904</v>
      </c>
    </row>
    <row r="432" spans="1:8">
      <c r="A432" s="17">
        <v>431</v>
      </c>
      <c r="B432">
        <f>TBL_Dati_OS[[#This Row],[VaR OS]]/2.33*SQRT(260)</f>
        <v>6.8452583427801263</v>
      </c>
      <c r="C432" s="12">
        <v>45909</v>
      </c>
      <c r="D432" s="14">
        <v>0.98914301902861212</v>
      </c>
      <c r="E432" t="b">
        <f t="shared" si="6"/>
        <v>1</v>
      </c>
      <c r="F432" s="12">
        <v>45909</v>
      </c>
      <c r="H432">
        <v>45905</v>
      </c>
    </row>
    <row r="433" spans="1:8">
      <c r="A433" s="17">
        <v>432</v>
      </c>
      <c r="B433">
        <f>TBL_Dati_OS[[#This Row],[VaR OS]]/2.33*SQRT(260)</f>
        <v>7.0387893986636625</v>
      </c>
      <c r="C433" s="12">
        <v>45910</v>
      </c>
      <c r="D433" s="14">
        <v>1.0171083467498576</v>
      </c>
      <c r="E433" t="b">
        <f t="shared" si="6"/>
        <v>1</v>
      </c>
      <c r="F433" s="12">
        <v>45910</v>
      </c>
      <c r="H433">
        <v>45908</v>
      </c>
    </row>
    <row r="434" spans="1:8">
      <c r="A434" s="17">
        <v>433</v>
      </c>
      <c r="B434">
        <f>TBL_Dati_OS[[#This Row],[VaR OS]]/2.33*SQRT(260)</f>
        <v>7.0246551739795651</v>
      </c>
      <c r="C434" s="12">
        <v>45911</v>
      </c>
      <c r="D434" s="14">
        <v>1.0150659446993342</v>
      </c>
      <c r="E434" t="b">
        <f t="shared" si="6"/>
        <v>1</v>
      </c>
      <c r="F434" s="12">
        <v>45911</v>
      </c>
      <c r="H434">
        <v>45909</v>
      </c>
    </row>
    <row r="435" spans="1:8">
      <c r="A435" s="17">
        <v>434</v>
      </c>
      <c r="B435">
        <f>TBL_Dati_OS[[#This Row],[VaR OS]]/2.33*SQRT(260)</f>
        <v>7.2413438800442886</v>
      </c>
      <c r="C435" s="12">
        <v>45912</v>
      </c>
      <c r="D435" s="14">
        <v>1.046377563658512</v>
      </c>
      <c r="E435" t="b">
        <f t="shared" si="6"/>
        <v>1</v>
      </c>
      <c r="F435" s="12">
        <v>45912</v>
      </c>
      <c r="H435">
        <v>45910</v>
      </c>
    </row>
    <row r="436" spans="1:8">
      <c r="A436" s="17">
        <v>435</v>
      </c>
      <c r="B436">
        <f>TBL_Dati_OS[[#This Row],[VaR OS]]/2.33*SQRT(260)</f>
        <v>7.2851964889604837</v>
      </c>
      <c r="C436" s="12">
        <v>45915</v>
      </c>
      <c r="D436" s="14">
        <v>1.0527142860732908</v>
      </c>
      <c r="E436" t="b">
        <f t="shared" si="6"/>
        <v>1</v>
      </c>
      <c r="F436" s="12">
        <v>45915</v>
      </c>
      <c r="H436">
        <v>45911</v>
      </c>
    </row>
    <row r="437" spans="1:8">
      <c r="B437">
        <f>TBL_Dati_OS[[#This Row],[VaR OS]]/2.33*SQRT(260)</f>
        <v>7.1190853949711697</v>
      </c>
      <c r="C437" s="12"/>
      <c r="D437" s="14">
        <v>1.0287111556178807</v>
      </c>
      <c r="E437" t="b">
        <f t="shared" si="6"/>
        <v>0</v>
      </c>
      <c r="F437" s="12">
        <v>45916</v>
      </c>
      <c r="H437">
        <v>45912</v>
      </c>
    </row>
    <row r="438" spans="1:8">
      <c r="B438">
        <f>TBL_Dati_OS[[#This Row],[VaR OS]]/2.33*SQRT(260)</f>
        <v>7.0846125233270474</v>
      </c>
      <c r="C438" s="43"/>
      <c r="D438" s="14">
        <v>1.0237298096079646</v>
      </c>
      <c r="E438" t="b">
        <f t="shared" si="6"/>
        <v>0</v>
      </c>
      <c r="F438" s="12">
        <v>45917</v>
      </c>
      <c r="H438">
        <v>45915</v>
      </c>
    </row>
    <row r="439" spans="1:8">
      <c r="B439">
        <f>TBL_Dati_OS[[#This Row],[VaR OS]]/2.33*SQRT(260)</f>
        <v>7.3721734021592971</v>
      </c>
      <c r="C439" s="43"/>
      <c r="D439" s="14">
        <v>1.0652824905440548</v>
      </c>
      <c r="E439" t="b">
        <f t="shared" si="6"/>
        <v>0</v>
      </c>
      <c r="F439" s="12">
        <v>45918</v>
      </c>
      <c r="H439">
        <v>45916</v>
      </c>
    </row>
    <row r="440" spans="1:8">
      <c r="B440">
        <f>TBL_Dati_OS[[#This Row],[VaR OS]]/2.33*SQRT(260)</f>
        <v>7.1091781803795042</v>
      </c>
      <c r="C440" s="43"/>
      <c r="D440" s="14">
        <v>1.0272795584946399</v>
      </c>
      <c r="E440" t="b">
        <f t="shared" si="6"/>
        <v>0</v>
      </c>
      <c r="F440" s="12">
        <v>45919</v>
      </c>
      <c r="H440">
        <v>45917</v>
      </c>
    </row>
    <row r="441" spans="1:8">
      <c r="B441">
        <f>TBL_Dati_OS[[#This Row],[VaR OS]]/2.33*SQRT(260)</f>
        <v>7.4043341561524105</v>
      </c>
      <c r="C441" s="43"/>
      <c r="D441" s="14">
        <v>1.069929734476424</v>
      </c>
      <c r="E441" t="b">
        <f t="shared" si="6"/>
        <v>0</v>
      </c>
      <c r="F441" s="12">
        <v>45922</v>
      </c>
      <c r="H441">
        <v>45918</v>
      </c>
    </row>
    <row r="442" spans="1:8">
      <c r="B442">
        <f>TBL_Dati_OS[[#This Row],[VaR OS]]/2.33*SQRT(260)</f>
        <v>7.3279064687337643</v>
      </c>
      <c r="C442" s="43"/>
      <c r="D442" s="14">
        <v>1.0588858980446858</v>
      </c>
      <c r="E442" t="b">
        <f t="shared" si="6"/>
        <v>0</v>
      </c>
      <c r="F442" s="12">
        <v>45923</v>
      </c>
      <c r="H442">
        <v>45919</v>
      </c>
    </row>
    <row r="443" spans="1:8">
      <c r="B443">
        <f>TBL_Dati_OS[[#This Row],[VaR OS]]/2.33*SQRT(260)</f>
        <v>7.2868354772161608</v>
      </c>
      <c r="C443" s="43"/>
      <c r="D443" s="14">
        <v>1.0529511206396709</v>
      </c>
      <c r="E443" t="b">
        <f t="shared" si="6"/>
        <v>0</v>
      </c>
      <c r="F443" s="12">
        <v>45924</v>
      </c>
      <c r="H443">
        <v>45922</v>
      </c>
    </row>
    <row r="444" spans="1:8">
      <c r="B444">
        <f>TBL_Dati_OS[[#This Row],[VaR OS]]/2.33*SQRT(260)</f>
        <v>7.3921617436367564</v>
      </c>
      <c r="C444" s="43"/>
      <c r="D444" s="14">
        <v>1.0681708151980456</v>
      </c>
      <c r="E444" t="b">
        <f t="shared" si="6"/>
        <v>0</v>
      </c>
      <c r="F444" s="12">
        <v>45925</v>
      </c>
      <c r="H444">
        <v>45923</v>
      </c>
    </row>
    <row r="445" spans="1:8">
      <c r="B445">
        <f>TBL_Dati_OS[[#This Row],[VaR OS]]/2.33*SQRT(260)</f>
        <v>7.3852579750648353</v>
      </c>
      <c r="C445" s="43"/>
      <c r="D445" s="14">
        <v>1.0671732174236523</v>
      </c>
      <c r="E445" t="b">
        <f t="shared" si="6"/>
        <v>0</v>
      </c>
      <c r="F445" s="12">
        <v>45926</v>
      </c>
      <c r="H445">
        <v>45924</v>
      </c>
    </row>
    <row r="446" spans="1:8">
      <c r="B446">
        <f>TBL_Dati_OS[[#This Row],[VaR OS]]/2.33*SQRT(260)</f>
        <v>7.2453964246667715</v>
      </c>
      <c r="C446" s="43"/>
      <c r="D446" s="14">
        <v>1.0469631582441217</v>
      </c>
      <c r="E446" t="b">
        <f t="shared" si="6"/>
        <v>0</v>
      </c>
      <c r="F446" s="12">
        <v>45929</v>
      </c>
      <c r="H446">
        <v>45925</v>
      </c>
    </row>
    <row r="447" spans="1:8">
      <c r="B447">
        <f>TBL_Dati_OS[[#This Row],[VaR OS]]/2.33*SQRT(260)</f>
        <v>7.367495355237736</v>
      </c>
      <c r="C447" s="43"/>
      <c r="D447" s="14">
        <v>1.0646065105848717</v>
      </c>
      <c r="E447" t="b">
        <f t="shared" si="6"/>
        <v>0</v>
      </c>
      <c r="F447" s="12">
        <v>45930</v>
      </c>
      <c r="H447">
        <v>45926</v>
      </c>
    </row>
    <row r="448" spans="1:8">
      <c r="B448">
        <f>TBL_Dati_OS[[#This Row],[VaR OS]]/2.33*SQRT(260)</f>
        <v>7.4913872182235792</v>
      </c>
      <c r="C448" s="43"/>
      <c r="D448" s="14">
        <v>1.0825089424947132</v>
      </c>
      <c r="E448" t="b">
        <f t="shared" si="6"/>
        <v>0</v>
      </c>
      <c r="F448" s="12">
        <v>45931</v>
      </c>
      <c r="H448">
        <v>45929</v>
      </c>
    </row>
    <row r="449" spans="2:8">
      <c r="B449">
        <f>TBL_Dati_OS[[#This Row],[VaR OS]]/2.33*SQRT(260)</f>
        <v>7.5279371744014778</v>
      </c>
      <c r="C449" s="43"/>
      <c r="D449" s="14">
        <v>1.0877904281872586</v>
      </c>
      <c r="E449" t="b">
        <f t="shared" si="6"/>
        <v>0</v>
      </c>
      <c r="F449" s="12">
        <v>45932</v>
      </c>
      <c r="H449">
        <v>45930</v>
      </c>
    </row>
    <row r="450" spans="2:8">
      <c r="B450">
        <f>TBL_Dati_OS[[#This Row],[VaR OS]]/2.33*SQRT(260)</f>
        <v>7.6217938927470783</v>
      </c>
      <c r="C450" s="43"/>
      <c r="D450" s="14">
        <v>1.101352767706322</v>
      </c>
      <c r="E450" t="b">
        <f t="shared" si="6"/>
        <v>0</v>
      </c>
      <c r="F450" s="12">
        <v>45933</v>
      </c>
      <c r="H450">
        <v>45931</v>
      </c>
    </row>
    <row r="451" spans="2:8">
      <c r="B451">
        <f>TBL_Dati_OS[[#This Row],[VaR OS]]/2.33*SQRT(260)</f>
        <v>7.6026596019173898</v>
      </c>
      <c r="C451" s="43"/>
      <c r="D451" s="14">
        <v>1.0985878537687477</v>
      </c>
      <c r="E451" t="b">
        <f t="shared" ref="E451:E514" si="7">F451=C451</f>
        <v>0</v>
      </c>
      <c r="F451" s="12">
        <v>45936</v>
      </c>
      <c r="H451">
        <v>45932</v>
      </c>
    </row>
    <row r="452" spans="2:8">
      <c r="B452">
        <f>TBL_Dati_OS[[#This Row],[VaR OS]]/2.33*SQRT(260)</f>
        <v>7.4090597644975746</v>
      </c>
      <c r="C452" s="43"/>
      <c r="D452" s="14">
        <v>1.0706125870834717</v>
      </c>
      <c r="E452" t="b">
        <f t="shared" si="7"/>
        <v>0</v>
      </c>
      <c r="F452" s="12">
        <v>45937</v>
      </c>
      <c r="H452">
        <v>45933</v>
      </c>
    </row>
    <row r="453" spans="2:8">
      <c r="B453">
        <f>TBL_Dati_OS[[#This Row],[VaR OS]]/2.33*SQRT(260)</f>
        <v>7.4481910293774112</v>
      </c>
      <c r="C453" s="43"/>
      <c r="D453" s="14">
        <v>1.0762670730858115</v>
      </c>
      <c r="E453" t="b">
        <f t="shared" si="7"/>
        <v>0</v>
      </c>
      <c r="F453" s="12">
        <v>45938</v>
      </c>
      <c r="H453">
        <v>45936</v>
      </c>
    </row>
    <row r="454" spans="2:8">
      <c r="B454">
        <f>TBL_Dati_OS[[#This Row],[VaR OS]]/2.33*SQRT(260)</f>
        <v>7.5359617435572943</v>
      </c>
      <c r="C454" s="43"/>
      <c r="D454" s="14">
        <v>1.0889499821680897</v>
      </c>
      <c r="E454" t="b">
        <f t="shared" si="7"/>
        <v>0</v>
      </c>
      <c r="F454" s="12">
        <v>45939</v>
      </c>
      <c r="H454">
        <v>45937</v>
      </c>
    </row>
    <row r="455" spans="2:8">
      <c r="B455">
        <f>TBL_Dati_OS[[#This Row],[VaR OS]]/2.33*SQRT(260)</f>
        <v>7.3342825442451698</v>
      </c>
      <c r="C455" s="43"/>
      <c r="D455" s="14">
        <v>1.0598072439260371</v>
      </c>
      <c r="E455" t="b">
        <f t="shared" si="7"/>
        <v>0</v>
      </c>
      <c r="F455" s="12">
        <v>45940</v>
      </c>
      <c r="H455">
        <v>45938</v>
      </c>
    </row>
    <row r="456" spans="2:8">
      <c r="B456">
        <f>TBL_Dati_OS[[#This Row],[VaR OS]]/2.33*SQRT(260)</f>
        <v>7.4098222253755841</v>
      </c>
      <c r="C456" s="43"/>
      <c r="D456" s="14">
        <v>1.0707227630354956</v>
      </c>
      <c r="E456" t="b">
        <f t="shared" si="7"/>
        <v>0</v>
      </c>
      <c r="F456" s="12">
        <v>45943</v>
      </c>
      <c r="H456">
        <v>45939</v>
      </c>
    </row>
    <row r="457" spans="2:8">
      <c r="B457">
        <f>TBL_Dati_OS[[#This Row],[VaR OS]]/2.33*SQRT(260)</f>
        <v>7.3060570895479504</v>
      </c>
      <c r="C457" s="43"/>
      <c r="D457" s="14">
        <v>1.0557286525749729</v>
      </c>
      <c r="E457" t="b">
        <f t="shared" si="7"/>
        <v>0</v>
      </c>
      <c r="F457" s="12">
        <v>45944</v>
      </c>
      <c r="H457">
        <v>45940</v>
      </c>
    </row>
    <row r="458" spans="2:8">
      <c r="B458">
        <f>TBL_Dati_OS[[#This Row],[VaR OS]]/2.33*SQRT(260)</f>
        <v>7.235909011030019</v>
      </c>
      <c r="C458" s="43"/>
      <c r="D458" s="14">
        <v>1.0455922225544074</v>
      </c>
      <c r="E458" t="b">
        <f t="shared" si="7"/>
        <v>0</v>
      </c>
      <c r="F458" s="12">
        <v>45945</v>
      </c>
      <c r="H458">
        <v>45943</v>
      </c>
    </row>
    <row r="459" spans="2:8">
      <c r="B459">
        <f>TBL_Dati_OS[[#This Row],[VaR OS]]/2.33*SQRT(260)</f>
        <v>7.2627647179210033</v>
      </c>
      <c r="C459" s="43"/>
      <c r="D459" s="14">
        <v>1.049472884709447</v>
      </c>
      <c r="E459" t="b">
        <f t="shared" si="7"/>
        <v>0</v>
      </c>
      <c r="F459" s="12">
        <v>45946</v>
      </c>
      <c r="H459">
        <v>45944</v>
      </c>
    </row>
    <row r="460" spans="2:8">
      <c r="B460">
        <f>TBL_Dati_OS[[#This Row],[VaR OS]]/2.33*SQRT(260)</f>
        <v>7.2825966427749584</v>
      </c>
      <c r="C460" s="43"/>
      <c r="D460" s="14">
        <v>1.0523386070884833</v>
      </c>
      <c r="E460" t="b">
        <f t="shared" si="7"/>
        <v>0</v>
      </c>
      <c r="F460" s="12">
        <v>45947</v>
      </c>
      <c r="H460">
        <v>45945</v>
      </c>
    </row>
    <row r="461" spans="2:8">
      <c r="B461">
        <f>TBL_Dati_OS[[#This Row],[VaR OS]]/2.33*SQRT(260)</f>
        <v>7.387293966801538</v>
      </c>
      <c r="C461" s="43"/>
      <c r="D461" s="14">
        <v>1.0674674191779636</v>
      </c>
      <c r="E461" t="b">
        <f t="shared" si="7"/>
        <v>0</v>
      </c>
      <c r="F461" s="12">
        <v>45950</v>
      </c>
      <c r="H461">
        <v>45946</v>
      </c>
    </row>
    <row r="462" spans="2:8">
      <c r="B462">
        <f>TBL_Dati_OS[[#This Row],[VaR OS]]/2.33*SQRT(260)</f>
        <v>7.304375227312887</v>
      </c>
      <c r="C462" s="43"/>
      <c r="D462" s="14">
        <v>1.0554856226986009</v>
      </c>
      <c r="E462" t="b">
        <f t="shared" si="7"/>
        <v>0</v>
      </c>
      <c r="F462" s="12">
        <v>45951</v>
      </c>
      <c r="H462">
        <v>45947</v>
      </c>
    </row>
    <row r="463" spans="2:8">
      <c r="B463">
        <f>TBL_Dati_OS[[#This Row],[VaR OS]]/2.33*SQRT(260)</f>
        <v>7.2904792151755631</v>
      </c>
      <c r="C463" s="43"/>
      <c r="D463" s="14">
        <v>1.0534776424720447</v>
      </c>
      <c r="E463" t="b">
        <f t="shared" si="7"/>
        <v>0</v>
      </c>
      <c r="F463" s="12">
        <v>45952</v>
      </c>
      <c r="H463">
        <v>45950</v>
      </c>
    </row>
    <row r="464" spans="2:8">
      <c r="B464">
        <f>TBL_Dati_OS[[#This Row],[VaR OS]]/2.33*SQRT(260)</f>
        <v>7.1972374251060147</v>
      </c>
      <c r="C464" s="43"/>
      <c r="D464" s="14">
        <v>1.0400041603753023</v>
      </c>
      <c r="E464" t="b">
        <f t="shared" si="7"/>
        <v>0</v>
      </c>
      <c r="F464" s="12">
        <v>45953</v>
      </c>
      <c r="H464">
        <v>45951</v>
      </c>
    </row>
    <row r="465" spans="2:8">
      <c r="B465">
        <f>TBL_Dati_OS[[#This Row],[VaR OS]]/2.33*SQRT(260)</f>
        <v>7.5440216918168908</v>
      </c>
      <c r="C465" s="43"/>
      <c r="D465" s="14">
        <v>1.0901146484458966</v>
      </c>
      <c r="E465" t="b">
        <f t="shared" si="7"/>
        <v>0</v>
      </c>
      <c r="F465" s="12">
        <v>45954</v>
      </c>
      <c r="H465">
        <v>45952</v>
      </c>
    </row>
    <row r="466" spans="2:8">
      <c r="B466">
        <f>TBL_Dati_OS[[#This Row],[VaR OS]]/2.33*SQRT(260)</f>
        <v>7.669953733798617</v>
      </c>
      <c r="C466" s="43"/>
      <c r="D466" s="14">
        <v>1.1083118871709512</v>
      </c>
      <c r="E466" t="b">
        <f t="shared" si="7"/>
        <v>0</v>
      </c>
      <c r="F466" s="12">
        <v>45957</v>
      </c>
      <c r="H466">
        <v>45953</v>
      </c>
    </row>
    <row r="467" spans="2:8">
      <c r="B467">
        <f>TBL_Dati_OS[[#This Row],[VaR OS]]/2.33*SQRT(260)</f>
        <v>7.7118155397262704</v>
      </c>
      <c r="C467" s="43"/>
      <c r="D467" s="14">
        <v>1.1143609376265768</v>
      </c>
      <c r="E467" t="b">
        <f t="shared" si="7"/>
        <v>0</v>
      </c>
      <c r="F467" s="12">
        <v>45958</v>
      </c>
      <c r="H467">
        <v>45954</v>
      </c>
    </row>
    <row r="468" spans="2:8">
      <c r="B468">
        <f>TBL_Dati_OS[[#This Row],[VaR OS]]/2.33*SQRT(260)</f>
        <v>7.5063141287664159</v>
      </c>
      <c r="C468" s="43"/>
      <c r="D468" s="14">
        <v>1.0846658880210547</v>
      </c>
      <c r="E468" t="b">
        <f t="shared" si="7"/>
        <v>0</v>
      </c>
      <c r="F468" s="12">
        <v>45959</v>
      </c>
      <c r="H468">
        <v>45957</v>
      </c>
    </row>
    <row r="469" spans="2:8">
      <c r="B469">
        <f>TBL_Dati_OS[[#This Row],[VaR OS]]/2.33*SQRT(260)</f>
        <v>7.4112472430800924</v>
      </c>
      <c r="C469" s="43"/>
      <c r="D469" s="14">
        <v>1.0709286787575651</v>
      </c>
      <c r="E469" t="b">
        <f t="shared" si="7"/>
        <v>0</v>
      </c>
      <c r="F469" s="12">
        <v>45960</v>
      </c>
      <c r="H469">
        <v>45958</v>
      </c>
    </row>
    <row r="470" spans="2:8">
      <c r="B470">
        <f>TBL_Dati_OS[[#This Row],[VaR OS]]/2.33*SQRT(260)</f>
        <v>7.5359521020168021</v>
      </c>
      <c r="C470" s="43"/>
      <c r="D470" s="14">
        <v>1.0889485889609976</v>
      </c>
      <c r="E470" t="b">
        <f t="shared" si="7"/>
        <v>0</v>
      </c>
      <c r="F470" s="12">
        <v>45961</v>
      </c>
      <c r="H470">
        <v>45959</v>
      </c>
    </row>
    <row r="471" spans="2:8">
      <c r="B471">
        <f>TBL_Dati_OS[[#This Row],[VaR OS]]/2.33*SQRT(260)</f>
        <v>7.5459071693320814</v>
      </c>
      <c r="C471" s="43"/>
      <c r="D471" s="14">
        <v>1.0903871008250903</v>
      </c>
      <c r="E471" t="b">
        <f t="shared" si="7"/>
        <v>0</v>
      </c>
      <c r="F471" s="12">
        <v>45964</v>
      </c>
      <c r="H471">
        <v>45960</v>
      </c>
    </row>
    <row r="472" spans="2:8">
      <c r="B472">
        <f>TBL_Dati_OS[[#This Row],[VaR OS]]/2.33*SQRT(260)</f>
        <v>7.5459071693320814</v>
      </c>
      <c r="C472" s="43"/>
      <c r="D472" s="14">
        <v>1.0903871008250903</v>
      </c>
      <c r="E472" t="b">
        <f t="shared" si="7"/>
        <v>0</v>
      </c>
      <c r="F472" s="12">
        <v>45965</v>
      </c>
      <c r="H472">
        <v>45961</v>
      </c>
    </row>
    <row r="473" spans="2:8">
      <c r="B473">
        <f>TBL_Dati_OS[[#This Row],[VaR OS]]/2.33*SQRT(260)</f>
        <v>7.5459071693320814</v>
      </c>
      <c r="C473" s="43"/>
      <c r="D473" s="14">
        <v>1.0903871008250903</v>
      </c>
      <c r="E473" t="b">
        <f t="shared" si="7"/>
        <v>0</v>
      </c>
      <c r="F473" s="12">
        <v>45966</v>
      </c>
      <c r="H473">
        <v>45964</v>
      </c>
    </row>
    <row r="474" spans="2:8">
      <c r="B474">
        <f>TBL_Dati_OS[[#This Row],[VaR OS]]/2.33*SQRT(260)</f>
        <v>7.5459071693320814</v>
      </c>
      <c r="C474" s="43"/>
      <c r="D474" s="14">
        <v>1.0903871008250903</v>
      </c>
      <c r="E474" t="b">
        <f t="shared" si="7"/>
        <v>0</v>
      </c>
      <c r="F474" s="12">
        <v>45967</v>
      </c>
      <c r="H474">
        <v>45965</v>
      </c>
    </row>
    <row r="475" spans="2:8">
      <c r="B475">
        <f>TBL_Dati_OS[[#This Row],[VaR OS]]/2.33*SQRT(260)</f>
        <v>7.5459071693320814</v>
      </c>
      <c r="C475" s="43"/>
      <c r="D475" s="14">
        <v>1.0903871008250903</v>
      </c>
      <c r="E475" t="b">
        <f t="shared" si="7"/>
        <v>0</v>
      </c>
      <c r="F475" s="12">
        <v>45968</v>
      </c>
      <c r="H475">
        <v>45966</v>
      </c>
    </row>
    <row r="476" spans="2:8">
      <c r="B476">
        <f>TBL_Dati_OS[[#This Row],[VaR OS]]/2.33*SQRT(260)</f>
        <v>7.3724681882319798</v>
      </c>
      <c r="C476" s="43"/>
      <c r="D476" s="14">
        <v>1.0653250872688678</v>
      </c>
      <c r="E476" t="b">
        <f t="shared" si="7"/>
        <v>0</v>
      </c>
      <c r="F476" s="12">
        <v>45971</v>
      </c>
      <c r="H476">
        <v>45967</v>
      </c>
    </row>
    <row r="477" spans="2:8">
      <c r="B477">
        <f>TBL_Dati_OS[[#This Row],[VaR OS]]/2.33*SQRT(260)</f>
        <v>7.1796115289589615</v>
      </c>
      <c r="C477" s="43"/>
      <c r="D477" s="14">
        <v>1.0374572101719737</v>
      </c>
      <c r="E477" t="b">
        <f t="shared" si="7"/>
        <v>0</v>
      </c>
      <c r="F477" s="12">
        <v>45972</v>
      </c>
      <c r="H477">
        <v>45968</v>
      </c>
    </row>
    <row r="478" spans="2:8">
      <c r="B478">
        <f>TBL_Dati_OS[[#This Row],[VaR OS]]/2.33*SQRT(260)</f>
        <v>7.1796115289589615</v>
      </c>
      <c r="C478" s="43"/>
      <c r="D478" s="14">
        <v>1.0374572101719737</v>
      </c>
      <c r="E478" t="b">
        <f t="shared" si="7"/>
        <v>0</v>
      </c>
      <c r="F478" s="12">
        <v>45973</v>
      </c>
      <c r="H478">
        <v>45971</v>
      </c>
    </row>
    <row r="479" spans="2:8">
      <c r="B479">
        <f>TBL_Dati_OS[[#This Row],[VaR OS]]/2.33*SQRT(260)</f>
        <v>7.01312907666986</v>
      </c>
      <c r="C479" s="43"/>
      <c r="D479" s="14">
        <v>1.0134004182692669</v>
      </c>
      <c r="E479" t="b">
        <f t="shared" si="7"/>
        <v>0</v>
      </c>
      <c r="F479" s="12">
        <v>45974</v>
      </c>
      <c r="H479">
        <v>45972</v>
      </c>
    </row>
    <row r="480" spans="2:8">
      <c r="B480">
        <f>TBL_Dati_OS[[#This Row],[VaR OS]]/2.33*SQRT(260)</f>
        <v>7.1925894604388407</v>
      </c>
      <c r="C480" s="43"/>
      <c r="D480" s="14">
        <v>1.0393325273158902</v>
      </c>
      <c r="E480" t="b">
        <f t="shared" si="7"/>
        <v>0</v>
      </c>
      <c r="F480" s="12">
        <v>45975</v>
      </c>
      <c r="H480">
        <v>45973</v>
      </c>
    </row>
    <row r="481" spans="2:8">
      <c r="B481">
        <f>TBL_Dati_OS[[#This Row],[VaR OS]]/2.33*SQRT(260)</f>
        <v>7.1925894604388407</v>
      </c>
      <c r="C481" s="43"/>
      <c r="D481" s="14">
        <v>1.0393325273158902</v>
      </c>
      <c r="E481" t="b">
        <f t="shared" si="7"/>
        <v>0</v>
      </c>
      <c r="F481" s="12">
        <v>45978</v>
      </c>
      <c r="H481">
        <v>45974</v>
      </c>
    </row>
    <row r="482" spans="2:8">
      <c r="B482">
        <f>TBL_Dati_OS[[#This Row],[VaR OS]]/2.33*SQRT(260)</f>
        <v>6.9820911669303776</v>
      </c>
      <c r="C482" s="43"/>
      <c r="D482" s="14">
        <v>1.0089154258545641</v>
      </c>
      <c r="E482" t="b">
        <f t="shared" si="7"/>
        <v>0</v>
      </c>
      <c r="F482" s="12">
        <v>45979</v>
      </c>
      <c r="H482">
        <v>45975</v>
      </c>
    </row>
    <row r="483" spans="2:8">
      <c r="B483">
        <f>TBL_Dati_OS[[#This Row],[VaR OS]]/2.33*SQRT(260)</f>
        <v>7.1578832430833623</v>
      </c>
      <c r="C483" s="43"/>
      <c r="D483" s="14">
        <v>1.0343174627419915</v>
      </c>
      <c r="E483" t="b">
        <f t="shared" si="7"/>
        <v>0</v>
      </c>
      <c r="F483" s="12">
        <v>45980</v>
      </c>
      <c r="H483">
        <v>45978</v>
      </c>
    </row>
    <row r="484" spans="2:8">
      <c r="B484">
        <f>TBL_Dati_OS[[#This Row],[VaR OS]]/2.33*SQRT(260)</f>
        <v>7.1465678491537705</v>
      </c>
      <c r="C484" s="43"/>
      <c r="D484" s="14">
        <v>1.0326823830484955</v>
      </c>
      <c r="E484" t="b">
        <f t="shared" si="7"/>
        <v>0</v>
      </c>
      <c r="F484" s="12">
        <v>45981</v>
      </c>
      <c r="H484">
        <v>45979</v>
      </c>
    </row>
    <row r="485" spans="2:8">
      <c r="B485">
        <f>TBL_Dati_OS[[#This Row],[VaR OS]]/2.33*SQRT(260)</f>
        <v>7.1103370734217464</v>
      </c>
      <c r="C485" s="43"/>
      <c r="D485" s="14">
        <v>1.0274470190790521</v>
      </c>
      <c r="E485" t="b">
        <f t="shared" si="7"/>
        <v>0</v>
      </c>
      <c r="F485" s="12">
        <v>45982</v>
      </c>
      <c r="H485">
        <v>45980</v>
      </c>
    </row>
    <row r="486" spans="2:8">
      <c r="B486">
        <f>TBL_Dati_OS[[#This Row],[VaR OS]]/2.33*SQRT(260)</f>
        <v>6.9611473161581188</v>
      </c>
      <c r="C486" s="43"/>
      <c r="D486" s="14">
        <v>1.0058890296624019</v>
      </c>
      <c r="E486" t="b">
        <f t="shared" si="7"/>
        <v>0</v>
      </c>
      <c r="F486" s="12">
        <v>45985</v>
      </c>
      <c r="H486">
        <v>45981</v>
      </c>
    </row>
    <row r="487" spans="2:8">
      <c r="B487">
        <f>TBL_Dati_OS[[#This Row],[VaR OS]]/2.33*SQRT(260)</f>
        <v>7.1215406662151031</v>
      </c>
      <c r="C487" s="43"/>
      <c r="D487" s="14">
        <v>1.0290659434562857</v>
      </c>
      <c r="E487" t="b">
        <f t="shared" si="7"/>
        <v>0</v>
      </c>
      <c r="F487" s="12">
        <v>45986</v>
      </c>
      <c r="H487">
        <v>45982</v>
      </c>
    </row>
    <row r="488" spans="2:8">
      <c r="B488">
        <f>TBL_Dati_OS[[#This Row],[VaR OS]]/2.33*SQRT(260)</f>
        <v>7.0049299878185867</v>
      </c>
      <c r="C488" s="43"/>
      <c r="D488" s="14">
        <v>1.0122156461111516</v>
      </c>
      <c r="E488" t="b">
        <f t="shared" si="7"/>
        <v>0</v>
      </c>
      <c r="F488" s="12">
        <v>45987</v>
      </c>
      <c r="H488">
        <v>45985</v>
      </c>
    </row>
    <row r="489" spans="2:8">
      <c r="B489">
        <f>TBL_Dati_OS[[#This Row],[VaR OS]]/2.33*SQRT(260)</f>
        <v>6.9388808435440161</v>
      </c>
      <c r="C489" s="43"/>
      <c r="D489" s="14">
        <v>1.0026715139980207</v>
      </c>
      <c r="E489" t="b">
        <f t="shared" si="7"/>
        <v>0</v>
      </c>
      <c r="F489" s="12">
        <v>45988</v>
      </c>
      <c r="H489">
        <v>45986</v>
      </c>
    </row>
    <row r="490" spans="2:8">
      <c r="B490">
        <f>TBL_Dati_OS[[#This Row],[VaR OS]]/2.33*SQRT(260)</f>
        <v>7.0150913743471968</v>
      </c>
      <c r="C490" s="43"/>
      <c r="D490" s="14">
        <v>1.0136839711976733</v>
      </c>
      <c r="E490" t="b">
        <f t="shared" si="7"/>
        <v>0</v>
      </c>
      <c r="F490" s="12">
        <v>45989</v>
      </c>
      <c r="H490">
        <v>45987</v>
      </c>
    </row>
    <row r="491" spans="2:8">
      <c r="B491">
        <f>TBL_Dati_OS[[#This Row],[VaR OS]]/2.33*SQRT(260)</f>
        <v>7.3767327670180478</v>
      </c>
      <c r="C491" s="43"/>
      <c r="D491" s="14">
        <v>1.06594132088988</v>
      </c>
      <c r="E491" t="b">
        <f t="shared" si="7"/>
        <v>0</v>
      </c>
      <c r="F491" s="12">
        <v>45992</v>
      </c>
      <c r="H491">
        <v>45988</v>
      </c>
    </row>
    <row r="492" spans="2:8">
      <c r="B492">
        <f>TBL_Dati_OS[[#This Row],[VaR OS]]/2.33*SQRT(260)</f>
        <v>7.5093494459848973</v>
      </c>
      <c r="C492" s="43"/>
      <c r="D492" s="14">
        <v>1.0851044927729652</v>
      </c>
      <c r="E492" t="b">
        <f t="shared" si="7"/>
        <v>0</v>
      </c>
      <c r="F492" s="12">
        <v>45993</v>
      </c>
      <c r="H492">
        <v>45989</v>
      </c>
    </row>
    <row r="493" spans="2:8">
      <c r="B493">
        <f>TBL_Dati_OS[[#This Row],[VaR OS]]/2.33*SQRT(260)</f>
        <v>7.5377455636904198</v>
      </c>
      <c r="C493" s="43"/>
      <c r="D493" s="14">
        <v>1.0892077450082234</v>
      </c>
      <c r="E493" t="b">
        <f t="shared" si="7"/>
        <v>0</v>
      </c>
      <c r="F493" s="12">
        <v>45994</v>
      </c>
      <c r="H493">
        <v>45992</v>
      </c>
    </row>
    <row r="494" spans="2:8">
      <c r="B494">
        <f>TBL_Dati_OS[[#This Row],[VaR OS]]/2.33*SQRT(260)</f>
        <v>7.3719087753384986</v>
      </c>
      <c r="C494" s="43"/>
      <c r="D494" s="14">
        <v>1.0652442518451872</v>
      </c>
      <c r="E494" t="b">
        <f t="shared" si="7"/>
        <v>0</v>
      </c>
      <c r="F494" s="12">
        <v>45995</v>
      </c>
      <c r="H494">
        <v>45993</v>
      </c>
    </row>
    <row r="495" spans="2:8">
      <c r="B495">
        <f>TBL_Dati_OS[[#This Row],[VaR OS]]/2.33*SQRT(260)</f>
        <v>7.3608076188302061</v>
      </c>
      <c r="C495" s="43"/>
      <c r="D495" s="14">
        <v>1.0636401295588598</v>
      </c>
      <c r="E495" t="b">
        <f t="shared" si="7"/>
        <v>0</v>
      </c>
      <c r="F495" s="12">
        <v>45996</v>
      </c>
      <c r="H495">
        <v>45994</v>
      </c>
    </row>
    <row r="496" spans="2:8">
      <c r="B496">
        <f>TBL_Dati_OS[[#This Row],[VaR OS]]/2.33*SQRT(260)</f>
        <v>7.2532542679357386</v>
      </c>
      <c r="C496" s="43"/>
      <c r="D496" s="14">
        <v>1.0480986202566427</v>
      </c>
      <c r="E496" t="b">
        <f t="shared" si="7"/>
        <v>0</v>
      </c>
      <c r="F496" s="12">
        <v>46000</v>
      </c>
      <c r="H496">
        <v>45995</v>
      </c>
    </row>
    <row r="497" spans="2:8">
      <c r="B497">
        <f>TBL_Dati_OS[[#This Row],[VaR OS]]/2.33*SQRT(260)</f>
        <v>7.3253427364069026</v>
      </c>
      <c r="C497" s="43"/>
      <c r="D497" s="14">
        <v>1.0585154375292769</v>
      </c>
      <c r="E497" t="b">
        <f t="shared" si="7"/>
        <v>0</v>
      </c>
      <c r="F497" s="12">
        <v>46001</v>
      </c>
      <c r="H497">
        <v>45996</v>
      </c>
    </row>
    <row r="498" spans="2:8">
      <c r="B498">
        <f>TBL_Dati_OS[[#This Row],[VaR OS]]/2.33*SQRT(260)</f>
        <v>7.3622720170478875</v>
      </c>
      <c r="C498" s="43"/>
      <c r="D498" s="14">
        <v>1.0638517357834263</v>
      </c>
      <c r="E498" t="b">
        <f t="shared" si="7"/>
        <v>0</v>
      </c>
      <c r="F498" s="12">
        <v>46002</v>
      </c>
      <c r="H498">
        <v>46000</v>
      </c>
    </row>
    <row r="499" spans="2:8">
      <c r="B499">
        <f>TBL_Dati_OS[[#This Row],[VaR OS]]/2.33*SQRT(260)</f>
        <v>7.3440380907744167</v>
      </c>
      <c r="C499" s="43"/>
      <c r="D499" s="14">
        <v>1.0612169249436121</v>
      </c>
      <c r="E499" t="b">
        <f t="shared" si="7"/>
        <v>0</v>
      </c>
      <c r="F499" s="12">
        <v>46003</v>
      </c>
      <c r="H499">
        <v>46001</v>
      </c>
    </row>
    <row r="500" spans="2:8">
      <c r="B500">
        <f>TBL_Dati_OS[[#This Row],[VaR OS]]/2.33*SQRT(260)</f>
        <v>7.2923526063073441</v>
      </c>
      <c r="C500" s="43"/>
      <c r="D500" s="14">
        <v>1.053748348363206</v>
      </c>
      <c r="E500" t="b">
        <f t="shared" si="7"/>
        <v>1</v>
      </c>
      <c r="F500" s="12">
        <v>0</v>
      </c>
      <c r="H500">
        <v>46002</v>
      </c>
    </row>
    <row r="501" spans="2:8">
      <c r="B501">
        <f>TBL_Dati_OS[[#This Row],[VaR OS]]/2.33*SQRT(260)</f>
        <v>7.2851249909776969</v>
      </c>
      <c r="C501" s="43"/>
      <c r="D501" s="14">
        <v>1.0527039545814745</v>
      </c>
      <c r="E501" t="b">
        <f t="shared" si="7"/>
        <v>1</v>
      </c>
      <c r="F501" s="12">
        <v>0</v>
      </c>
      <c r="H501">
        <v>46003</v>
      </c>
    </row>
    <row r="502" spans="2:8">
      <c r="B502">
        <f>TBL_Dati_OS[[#This Row],[VaR OS]]/2.33*SQRT(260)</f>
        <v>7.204698479434164</v>
      </c>
      <c r="C502" s="43"/>
      <c r="D502" s="14">
        <v>1.0410822862010523</v>
      </c>
      <c r="E502" t="b">
        <f t="shared" si="7"/>
        <v>1</v>
      </c>
      <c r="F502" s="12">
        <v>0</v>
      </c>
    </row>
    <row r="503" spans="2:8">
      <c r="B503">
        <f>TBL_Dati_OS[[#This Row],[VaR OS]]/2.33*SQRT(260)</f>
        <v>7.1390426590747778</v>
      </c>
      <c r="C503" s="43"/>
      <c r="D503" s="14">
        <v>1.0315949895768743</v>
      </c>
      <c r="E503" t="b">
        <f t="shared" si="7"/>
        <v>1</v>
      </c>
      <c r="F503" s="12">
        <v>0</v>
      </c>
    </row>
    <row r="504" spans="2:8">
      <c r="B504">
        <f>TBL_Dati_OS[[#This Row],[VaR OS]]/2.33*SQRT(260)</f>
        <v>7.117666225493311</v>
      </c>
      <c r="C504" s="43"/>
      <c r="D504" s="14">
        <v>1.028506084967286</v>
      </c>
      <c r="E504" t="b">
        <f t="shared" si="7"/>
        <v>1</v>
      </c>
      <c r="F504" s="12">
        <v>0</v>
      </c>
    </row>
    <row r="505" spans="2:8">
      <c r="B505" s="45">
        <f>TBL_Dati_OS[[#This Row],[VaR OS]]/2.33*SQRT(260)</f>
        <v>7.1693203767268061</v>
      </c>
      <c r="C505" s="43"/>
      <c r="D505" s="14">
        <v>1.0359701338808451</v>
      </c>
      <c r="E505" t="b">
        <f t="shared" si="7"/>
        <v>1</v>
      </c>
      <c r="F505" s="12">
        <v>0</v>
      </c>
    </row>
    <row r="506" spans="2:8">
      <c r="C506" s="12"/>
      <c r="D506" s="12"/>
      <c r="E506" t="b">
        <f t="shared" si="7"/>
        <v>1</v>
      </c>
      <c r="F506" s="12">
        <v>0</v>
      </c>
    </row>
    <row r="507" spans="2:8">
      <c r="C507" s="12"/>
      <c r="D507" s="12"/>
      <c r="E507" t="b">
        <f t="shared" si="7"/>
        <v>1</v>
      </c>
      <c r="F507" s="12">
        <v>0</v>
      </c>
    </row>
    <row r="508" spans="2:8">
      <c r="C508" s="12"/>
      <c r="D508" s="12"/>
      <c r="E508" t="b">
        <f t="shared" si="7"/>
        <v>1</v>
      </c>
      <c r="F508" s="12">
        <v>0</v>
      </c>
    </row>
    <row r="509" spans="2:8">
      <c r="C509" s="12"/>
      <c r="D509" s="12"/>
      <c r="E509" t="b">
        <f t="shared" si="7"/>
        <v>1</v>
      </c>
      <c r="F509" s="12">
        <v>0</v>
      </c>
    </row>
    <row r="510" spans="2:8">
      <c r="C510" s="12"/>
      <c r="D510" s="12"/>
      <c r="E510" t="b">
        <f t="shared" si="7"/>
        <v>1</v>
      </c>
      <c r="F510" s="12">
        <v>0</v>
      </c>
    </row>
    <row r="511" spans="2:8">
      <c r="C511" s="12"/>
      <c r="D511" s="12"/>
      <c r="E511" t="b">
        <f t="shared" si="7"/>
        <v>1</v>
      </c>
      <c r="F511" s="12">
        <v>0</v>
      </c>
    </row>
    <row r="512" spans="2:8">
      <c r="C512" s="12"/>
      <c r="D512" s="12"/>
      <c r="E512" t="b">
        <f t="shared" si="7"/>
        <v>1</v>
      </c>
      <c r="F512" s="12">
        <v>0</v>
      </c>
    </row>
    <row r="513" spans="3:6">
      <c r="C513" s="12"/>
      <c r="D513" s="12"/>
      <c r="E513" t="b">
        <f t="shared" si="7"/>
        <v>1</v>
      </c>
      <c r="F513" s="12">
        <v>0</v>
      </c>
    </row>
    <row r="514" spans="3:6">
      <c r="C514" s="12"/>
      <c r="D514" s="12"/>
      <c r="E514" t="b">
        <f t="shared" si="7"/>
        <v>1</v>
      </c>
      <c r="F514" s="12">
        <v>0</v>
      </c>
    </row>
    <row r="515" spans="3:6">
      <c r="C515" s="12"/>
      <c r="D515" s="12"/>
      <c r="E515" t="b">
        <f t="shared" ref="E515:E578" si="8">F515=C515</f>
        <v>1</v>
      </c>
      <c r="F515" s="12">
        <v>0</v>
      </c>
    </row>
    <row r="516" spans="3:6">
      <c r="C516" s="12"/>
      <c r="D516" s="12"/>
      <c r="E516" t="b">
        <f t="shared" si="8"/>
        <v>1</v>
      </c>
      <c r="F516" s="12">
        <v>0</v>
      </c>
    </row>
    <row r="517" spans="3:6">
      <c r="C517" s="12"/>
      <c r="D517" s="12"/>
      <c r="E517" t="b">
        <f t="shared" si="8"/>
        <v>1</v>
      </c>
      <c r="F517" s="12">
        <v>0</v>
      </c>
    </row>
    <row r="518" spans="3:6">
      <c r="C518" s="12"/>
      <c r="D518" s="12"/>
      <c r="E518" t="b">
        <f t="shared" si="8"/>
        <v>1</v>
      </c>
      <c r="F518" s="12">
        <v>0</v>
      </c>
    </row>
    <row r="519" spans="3:6">
      <c r="C519" s="12"/>
      <c r="D519" s="12"/>
      <c r="E519" t="b">
        <f t="shared" si="8"/>
        <v>1</v>
      </c>
      <c r="F519" s="12">
        <v>0</v>
      </c>
    </row>
    <row r="520" spans="3:6">
      <c r="C520" s="12"/>
      <c r="D520" s="12"/>
      <c r="E520" t="b">
        <f t="shared" si="8"/>
        <v>1</v>
      </c>
      <c r="F520" s="12">
        <v>0</v>
      </c>
    </row>
    <row r="521" spans="3:6">
      <c r="C521" s="12"/>
      <c r="D521" s="12"/>
      <c r="E521" t="b">
        <f t="shared" si="8"/>
        <v>1</v>
      </c>
      <c r="F521" s="12">
        <v>0</v>
      </c>
    </row>
    <row r="522" spans="3:6">
      <c r="C522" s="12"/>
      <c r="D522" s="12"/>
      <c r="E522" t="b">
        <f t="shared" si="8"/>
        <v>1</v>
      </c>
      <c r="F522" s="12">
        <v>0</v>
      </c>
    </row>
    <row r="523" spans="3:6">
      <c r="C523" s="12"/>
      <c r="D523" s="12"/>
      <c r="E523" t="b">
        <f t="shared" si="8"/>
        <v>1</v>
      </c>
      <c r="F523" s="12">
        <v>0</v>
      </c>
    </row>
    <row r="524" spans="3:6">
      <c r="C524" s="12"/>
      <c r="D524" s="12"/>
      <c r="E524" t="b">
        <f t="shared" si="8"/>
        <v>1</v>
      </c>
      <c r="F524" s="12">
        <v>0</v>
      </c>
    </row>
    <row r="525" spans="3:6">
      <c r="C525" s="12"/>
      <c r="D525" s="12"/>
      <c r="E525" t="b">
        <f t="shared" si="8"/>
        <v>1</v>
      </c>
      <c r="F525" s="12">
        <v>0</v>
      </c>
    </row>
    <row r="526" spans="3:6">
      <c r="C526" s="12"/>
      <c r="D526" s="12"/>
      <c r="E526" t="b">
        <f t="shared" si="8"/>
        <v>1</v>
      </c>
      <c r="F526" s="12">
        <v>0</v>
      </c>
    </row>
    <row r="527" spans="3:6">
      <c r="C527" s="12"/>
      <c r="D527" s="12"/>
      <c r="E527" t="b">
        <f t="shared" si="8"/>
        <v>1</v>
      </c>
      <c r="F527" s="12">
        <v>0</v>
      </c>
    </row>
    <row r="528" spans="3:6">
      <c r="C528" s="12"/>
      <c r="D528" s="12"/>
      <c r="E528" t="b">
        <f t="shared" si="8"/>
        <v>1</v>
      </c>
      <c r="F528" s="12">
        <v>0</v>
      </c>
    </row>
    <row r="529" spans="3:6">
      <c r="C529" s="12"/>
      <c r="D529" s="12"/>
      <c r="E529" t="b">
        <f t="shared" si="8"/>
        <v>1</v>
      </c>
      <c r="F529" s="12">
        <v>0</v>
      </c>
    </row>
    <row r="530" spans="3:6">
      <c r="C530" s="12"/>
      <c r="D530" s="12"/>
      <c r="E530" t="b">
        <f t="shared" si="8"/>
        <v>1</v>
      </c>
      <c r="F530" s="12">
        <v>0</v>
      </c>
    </row>
    <row r="531" spans="3:6">
      <c r="C531" s="12"/>
      <c r="D531" s="12"/>
      <c r="E531" t="b">
        <f t="shared" si="8"/>
        <v>1</v>
      </c>
      <c r="F531" s="12">
        <v>0</v>
      </c>
    </row>
    <row r="532" spans="3:6">
      <c r="C532" s="12"/>
      <c r="D532" s="12"/>
      <c r="E532" t="b">
        <f t="shared" si="8"/>
        <v>1</v>
      </c>
      <c r="F532" s="12">
        <v>0</v>
      </c>
    </row>
    <row r="533" spans="3:6">
      <c r="C533" s="12"/>
      <c r="D533" s="12"/>
      <c r="E533" t="b">
        <f t="shared" si="8"/>
        <v>1</v>
      </c>
      <c r="F533" s="12">
        <v>0</v>
      </c>
    </row>
    <row r="534" spans="3:6">
      <c r="C534" s="12"/>
      <c r="D534" s="12"/>
      <c r="E534" t="b">
        <f t="shared" si="8"/>
        <v>1</v>
      </c>
      <c r="F534" s="12">
        <v>0</v>
      </c>
    </row>
    <row r="535" spans="3:6">
      <c r="C535" s="12"/>
      <c r="D535" s="12"/>
      <c r="E535" t="b">
        <f t="shared" si="8"/>
        <v>1</v>
      </c>
      <c r="F535" s="12">
        <v>0</v>
      </c>
    </row>
    <row r="536" spans="3:6">
      <c r="C536" s="12"/>
      <c r="D536" s="12"/>
      <c r="E536" t="b">
        <f t="shared" si="8"/>
        <v>1</v>
      </c>
      <c r="F536" s="12">
        <v>0</v>
      </c>
    </row>
    <row r="537" spans="3:6">
      <c r="C537" s="12"/>
      <c r="D537" s="12"/>
      <c r="E537" t="b">
        <f t="shared" si="8"/>
        <v>1</v>
      </c>
      <c r="F537" s="12">
        <v>0</v>
      </c>
    </row>
    <row r="538" spans="3:6">
      <c r="C538" s="12"/>
      <c r="D538" s="12"/>
      <c r="E538" t="b">
        <f t="shared" si="8"/>
        <v>1</v>
      </c>
      <c r="F538" s="12">
        <v>0</v>
      </c>
    </row>
    <row r="539" spans="3:6">
      <c r="C539" s="12"/>
      <c r="D539" s="12"/>
      <c r="E539" t="b">
        <f t="shared" si="8"/>
        <v>1</v>
      </c>
      <c r="F539" s="12">
        <v>0</v>
      </c>
    </row>
    <row r="540" spans="3:6">
      <c r="C540" s="12"/>
      <c r="D540" s="12"/>
      <c r="E540" t="b">
        <f t="shared" si="8"/>
        <v>1</v>
      </c>
      <c r="F540" s="12">
        <v>0</v>
      </c>
    </row>
    <row r="541" spans="3:6">
      <c r="C541" s="12"/>
      <c r="D541" s="12"/>
      <c r="E541" t="b">
        <f t="shared" si="8"/>
        <v>1</v>
      </c>
      <c r="F541" s="12">
        <v>0</v>
      </c>
    </row>
    <row r="542" spans="3:6">
      <c r="C542" s="12"/>
      <c r="D542" s="12"/>
      <c r="E542" t="b">
        <f t="shared" si="8"/>
        <v>1</v>
      </c>
      <c r="F542" s="12">
        <v>0</v>
      </c>
    </row>
    <row r="543" spans="3:6">
      <c r="C543" s="12"/>
      <c r="D543" s="12"/>
      <c r="E543" t="b">
        <f t="shared" si="8"/>
        <v>1</v>
      </c>
      <c r="F543" s="12">
        <v>0</v>
      </c>
    </row>
    <row r="544" spans="3:6">
      <c r="C544" s="12"/>
      <c r="D544" s="12"/>
      <c r="E544" t="b">
        <f t="shared" si="8"/>
        <v>1</v>
      </c>
      <c r="F544" s="12">
        <v>0</v>
      </c>
    </row>
    <row r="545" spans="3:6">
      <c r="C545" s="12"/>
      <c r="D545" s="12"/>
      <c r="E545" t="b">
        <f t="shared" si="8"/>
        <v>1</v>
      </c>
      <c r="F545" s="12">
        <v>0</v>
      </c>
    </row>
    <row r="546" spans="3:6">
      <c r="C546" s="12"/>
      <c r="D546" s="12"/>
      <c r="E546" t="b">
        <f t="shared" si="8"/>
        <v>1</v>
      </c>
      <c r="F546" s="12">
        <v>0</v>
      </c>
    </row>
    <row r="547" spans="3:6">
      <c r="C547" s="12"/>
      <c r="D547" s="12"/>
      <c r="E547" t="b">
        <f t="shared" si="8"/>
        <v>1</v>
      </c>
      <c r="F547" s="12">
        <v>0</v>
      </c>
    </row>
    <row r="548" spans="3:6">
      <c r="C548" s="12"/>
      <c r="D548" s="12"/>
      <c r="E548" t="b">
        <f t="shared" si="8"/>
        <v>1</v>
      </c>
      <c r="F548" s="12">
        <v>0</v>
      </c>
    </row>
    <row r="549" spans="3:6">
      <c r="C549" s="12"/>
      <c r="D549" s="12"/>
      <c r="E549" t="b">
        <f t="shared" si="8"/>
        <v>1</v>
      </c>
      <c r="F549" s="12">
        <v>0</v>
      </c>
    </row>
    <row r="550" spans="3:6">
      <c r="C550" s="12"/>
      <c r="D550" s="12"/>
      <c r="E550" t="b">
        <f t="shared" si="8"/>
        <v>1</v>
      </c>
      <c r="F550" s="12">
        <v>0</v>
      </c>
    </row>
    <row r="551" spans="3:6">
      <c r="C551" s="12"/>
      <c r="D551" s="12"/>
      <c r="E551" t="b">
        <f t="shared" si="8"/>
        <v>1</v>
      </c>
      <c r="F551" s="12">
        <v>0</v>
      </c>
    </row>
    <row r="552" spans="3:6">
      <c r="C552" s="12"/>
      <c r="D552" s="12"/>
      <c r="E552" t="b">
        <f t="shared" si="8"/>
        <v>1</v>
      </c>
      <c r="F552" s="12">
        <v>0</v>
      </c>
    </row>
    <row r="553" spans="3:6">
      <c r="C553" s="12"/>
      <c r="D553" s="12"/>
      <c r="E553" t="b">
        <f t="shared" si="8"/>
        <v>1</v>
      </c>
      <c r="F553" s="12">
        <v>0</v>
      </c>
    </row>
    <row r="554" spans="3:6">
      <c r="C554" s="12"/>
      <c r="D554" s="12"/>
      <c r="E554" t="b">
        <f t="shared" si="8"/>
        <v>1</v>
      </c>
      <c r="F554" s="12">
        <v>0</v>
      </c>
    </row>
    <row r="555" spans="3:6">
      <c r="C555" s="12"/>
      <c r="D555" s="12"/>
      <c r="E555" t="b">
        <f t="shared" si="8"/>
        <v>1</v>
      </c>
      <c r="F555" s="12">
        <v>0</v>
      </c>
    </row>
    <row r="556" spans="3:6">
      <c r="C556" s="12"/>
      <c r="D556" s="12"/>
      <c r="E556" t="b">
        <f t="shared" si="8"/>
        <v>1</v>
      </c>
      <c r="F556" s="12">
        <v>0</v>
      </c>
    </row>
    <row r="557" spans="3:6">
      <c r="C557" s="12"/>
      <c r="D557" s="12"/>
      <c r="E557" t="b">
        <f t="shared" si="8"/>
        <v>1</v>
      </c>
      <c r="F557" s="12">
        <v>0</v>
      </c>
    </row>
    <row r="558" spans="3:6">
      <c r="C558" s="12"/>
      <c r="D558" s="12"/>
      <c r="E558" t="b">
        <f t="shared" si="8"/>
        <v>1</v>
      </c>
      <c r="F558" s="12">
        <v>0</v>
      </c>
    </row>
    <row r="559" spans="3:6">
      <c r="C559" s="12"/>
      <c r="D559" s="12"/>
      <c r="E559" t="b">
        <f t="shared" si="8"/>
        <v>1</v>
      </c>
      <c r="F559" s="12">
        <v>0</v>
      </c>
    </row>
    <row r="560" spans="3:6">
      <c r="C560" s="12"/>
      <c r="D560" s="12"/>
      <c r="E560" t="b">
        <f t="shared" si="8"/>
        <v>1</v>
      </c>
      <c r="F560" s="12">
        <v>0</v>
      </c>
    </row>
    <row r="561" spans="3:6">
      <c r="C561" s="12"/>
      <c r="D561" s="12"/>
      <c r="E561" t="b">
        <f t="shared" si="8"/>
        <v>1</v>
      </c>
      <c r="F561" s="12">
        <v>0</v>
      </c>
    </row>
    <row r="562" spans="3:6">
      <c r="C562" s="12"/>
      <c r="D562" s="12"/>
      <c r="E562" t="b">
        <f t="shared" si="8"/>
        <v>1</v>
      </c>
      <c r="F562" s="12">
        <v>0</v>
      </c>
    </row>
    <row r="563" spans="3:6">
      <c r="C563" s="12"/>
      <c r="D563" s="12"/>
      <c r="E563" t="b">
        <f t="shared" si="8"/>
        <v>1</v>
      </c>
      <c r="F563" s="12">
        <v>0</v>
      </c>
    </row>
    <row r="564" spans="3:6">
      <c r="C564" s="12"/>
      <c r="D564" s="12"/>
      <c r="E564" t="b">
        <f t="shared" si="8"/>
        <v>1</v>
      </c>
      <c r="F564" s="12">
        <v>0</v>
      </c>
    </row>
    <row r="565" spans="3:6">
      <c r="C565" s="12"/>
      <c r="D565" s="12"/>
      <c r="E565" t="b">
        <f t="shared" si="8"/>
        <v>1</v>
      </c>
      <c r="F565" s="12">
        <v>0</v>
      </c>
    </row>
    <row r="566" spans="3:6">
      <c r="C566" s="12"/>
      <c r="D566" s="12"/>
      <c r="E566" t="b">
        <f t="shared" si="8"/>
        <v>1</v>
      </c>
      <c r="F566" s="12">
        <v>0</v>
      </c>
    </row>
    <row r="567" spans="3:6">
      <c r="C567" s="12"/>
      <c r="D567" s="12"/>
      <c r="E567" t="b">
        <f t="shared" si="8"/>
        <v>1</v>
      </c>
      <c r="F567" s="12">
        <v>0</v>
      </c>
    </row>
    <row r="568" spans="3:6">
      <c r="C568" s="12"/>
      <c r="D568" s="12"/>
      <c r="E568" t="b">
        <f t="shared" si="8"/>
        <v>1</v>
      </c>
      <c r="F568" s="12">
        <v>0</v>
      </c>
    </row>
    <row r="569" spans="3:6">
      <c r="C569" s="12"/>
      <c r="D569" s="12"/>
      <c r="E569" t="b">
        <f t="shared" si="8"/>
        <v>1</v>
      </c>
      <c r="F569" s="12">
        <v>0</v>
      </c>
    </row>
    <row r="570" spans="3:6">
      <c r="C570" s="12"/>
      <c r="D570" s="12"/>
      <c r="E570" t="b">
        <f t="shared" si="8"/>
        <v>1</v>
      </c>
      <c r="F570" s="12">
        <v>0</v>
      </c>
    </row>
    <row r="571" spans="3:6">
      <c r="C571" s="12"/>
      <c r="D571" s="12"/>
      <c r="E571" t="b">
        <f t="shared" si="8"/>
        <v>1</v>
      </c>
      <c r="F571" s="12">
        <v>0</v>
      </c>
    </row>
    <row r="572" spans="3:6">
      <c r="C572" s="12"/>
      <c r="D572" s="12"/>
      <c r="E572" t="b">
        <f t="shared" si="8"/>
        <v>1</v>
      </c>
      <c r="F572" s="12">
        <v>0</v>
      </c>
    </row>
    <row r="573" spans="3:6">
      <c r="C573" s="12"/>
      <c r="D573" s="12"/>
      <c r="E573" t="b">
        <f t="shared" si="8"/>
        <v>1</v>
      </c>
      <c r="F573" s="12">
        <v>0</v>
      </c>
    </row>
    <row r="574" spans="3:6">
      <c r="C574" s="12"/>
      <c r="D574" s="12"/>
      <c r="E574" t="b">
        <f t="shared" si="8"/>
        <v>1</v>
      </c>
      <c r="F574" s="12">
        <v>0</v>
      </c>
    </row>
    <row r="575" spans="3:6">
      <c r="C575" s="12"/>
      <c r="D575" s="12"/>
      <c r="E575" t="b">
        <f t="shared" si="8"/>
        <v>1</v>
      </c>
      <c r="F575" s="12">
        <v>0</v>
      </c>
    </row>
    <row r="576" spans="3:6">
      <c r="C576" s="12"/>
      <c r="D576" s="12"/>
      <c r="E576" t="b">
        <f t="shared" si="8"/>
        <v>1</v>
      </c>
      <c r="F576" s="12">
        <v>0</v>
      </c>
    </row>
    <row r="577" spans="3:6">
      <c r="C577" s="12"/>
      <c r="D577" s="12"/>
      <c r="E577" t="b">
        <f t="shared" si="8"/>
        <v>1</v>
      </c>
      <c r="F577" s="12">
        <v>0</v>
      </c>
    </row>
    <row r="578" spans="3:6">
      <c r="C578" s="12"/>
      <c r="D578" s="12"/>
      <c r="E578" t="b">
        <f t="shared" si="8"/>
        <v>1</v>
      </c>
      <c r="F578" s="12">
        <v>0</v>
      </c>
    </row>
    <row r="579" spans="3:6">
      <c r="C579" s="12"/>
      <c r="D579" s="12"/>
      <c r="E579" t="b">
        <f t="shared" ref="E579:E642" si="9">F579=C579</f>
        <v>1</v>
      </c>
      <c r="F579" s="12">
        <v>0</v>
      </c>
    </row>
    <row r="580" spans="3:6">
      <c r="C580" s="12"/>
      <c r="D580" s="12"/>
      <c r="E580" t="b">
        <f t="shared" si="9"/>
        <v>1</v>
      </c>
      <c r="F580" s="12">
        <v>0</v>
      </c>
    </row>
    <row r="581" spans="3:6">
      <c r="C581" s="12"/>
      <c r="D581" s="12"/>
      <c r="E581" t="b">
        <f t="shared" si="9"/>
        <v>1</v>
      </c>
      <c r="F581" s="12">
        <v>0</v>
      </c>
    </row>
    <row r="582" spans="3:6">
      <c r="C582" s="12"/>
      <c r="D582" s="12"/>
      <c r="E582" t="b">
        <f t="shared" si="9"/>
        <v>1</v>
      </c>
      <c r="F582" s="12">
        <v>0</v>
      </c>
    </row>
    <row r="583" spans="3:6">
      <c r="C583" s="12"/>
      <c r="D583" s="12"/>
      <c r="E583" t="b">
        <f t="shared" si="9"/>
        <v>1</v>
      </c>
      <c r="F583" s="12">
        <v>0</v>
      </c>
    </row>
    <row r="584" spans="3:6">
      <c r="C584" s="12"/>
      <c r="D584" s="12"/>
      <c r="E584" t="b">
        <f t="shared" si="9"/>
        <v>1</v>
      </c>
      <c r="F584" s="12">
        <v>0</v>
      </c>
    </row>
    <row r="585" spans="3:6">
      <c r="C585" s="12"/>
      <c r="D585" s="12"/>
      <c r="E585" t="b">
        <f t="shared" si="9"/>
        <v>1</v>
      </c>
      <c r="F585" s="12">
        <v>0</v>
      </c>
    </row>
    <row r="586" spans="3:6">
      <c r="C586" s="12"/>
      <c r="D586" s="12"/>
      <c r="E586" t="b">
        <f t="shared" si="9"/>
        <v>1</v>
      </c>
      <c r="F586" s="12">
        <v>0</v>
      </c>
    </row>
    <row r="587" spans="3:6">
      <c r="C587" s="12"/>
      <c r="D587" s="12"/>
      <c r="E587" t="b">
        <f t="shared" si="9"/>
        <v>1</v>
      </c>
      <c r="F587" s="12">
        <v>0</v>
      </c>
    </row>
    <row r="588" spans="3:6">
      <c r="C588" s="12"/>
      <c r="D588" s="12"/>
      <c r="E588" t="b">
        <f t="shared" si="9"/>
        <v>1</v>
      </c>
      <c r="F588" s="12">
        <v>0</v>
      </c>
    </row>
    <row r="589" spans="3:6">
      <c r="C589" s="12"/>
      <c r="D589" s="12"/>
      <c r="E589" t="b">
        <f t="shared" si="9"/>
        <v>1</v>
      </c>
      <c r="F589" s="12">
        <v>0</v>
      </c>
    </row>
    <row r="590" spans="3:6">
      <c r="C590" s="12"/>
      <c r="D590" s="12"/>
      <c r="E590" t="b">
        <f t="shared" si="9"/>
        <v>1</v>
      </c>
      <c r="F590" s="12">
        <v>0</v>
      </c>
    </row>
    <row r="591" spans="3:6">
      <c r="C591" s="12"/>
      <c r="D591" s="12"/>
      <c r="E591" t="b">
        <f t="shared" si="9"/>
        <v>1</v>
      </c>
      <c r="F591" s="12">
        <v>0</v>
      </c>
    </row>
    <row r="592" spans="3:6">
      <c r="C592" s="12"/>
      <c r="D592" s="12"/>
      <c r="E592" t="b">
        <f t="shared" si="9"/>
        <v>1</v>
      </c>
      <c r="F592" s="12">
        <v>0</v>
      </c>
    </row>
    <row r="593" spans="3:6">
      <c r="C593" s="12"/>
      <c r="D593" s="12"/>
      <c r="E593" t="b">
        <f t="shared" si="9"/>
        <v>1</v>
      </c>
      <c r="F593" s="12">
        <v>0</v>
      </c>
    </row>
    <row r="594" spans="3:6">
      <c r="C594" s="12"/>
      <c r="D594" s="12"/>
      <c r="E594" t="b">
        <f t="shared" si="9"/>
        <v>1</v>
      </c>
      <c r="F594" s="12">
        <v>0</v>
      </c>
    </row>
    <row r="595" spans="3:6">
      <c r="C595" s="12"/>
      <c r="D595" s="12"/>
      <c r="E595" t="b">
        <f t="shared" si="9"/>
        <v>1</v>
      </c>
      <c r="F595" s="12">
        <v>0</v>
      </c>
    </row>
    <row r="596" spans="3:6">
      <c r="C596" s="12"/>
      <c r="D596" s="12"/>
      <c r="E596" t="b">
        <f t="shared" si="9"/>
        <v>1</v>
      </c>
      <c r="F596" s="12">
        <v>0</v>
      </c>
    </row>
    <row r="597" spans="3:6">
      <c r="C597" s="12"/>
      <c r="D597" s="12"/>
      <c r="E597" t="b">
        <f t="shared" si="9"/>
        <v>1</v>
      </c>
      <c r="F597" s="12">
        <v>0</v>
      </c>
    </row>
    <row r="598" spans="3:6">
      <c r="C598" s="12"/>
      <c r="D598" s="12"/>
      <c r="E598" t="b">
        <f t="shared" si="9"/>
        <v>1</v>
      </c>
      <c r="F598" s="12">
        <v>0</v>
      </c>
    </row>
    <row r="599" spans="3:6">
      <c r="C599" s="12"/>
      <c r="D599" s="12"/>
      <c r="E599" t="b">
        <f t="shared" si="9"/>
        <v>1</v>
      </c>
      <c r="F599" s="12">
        <v>0</v>
      </c>
    </row>
    <row r="600" spans="3:6">
      <c r="C600" s="12"/>
      <c r="D600" s="12"/>
      <c r="E600" t="b">
        <f t="shared" si="9"/>
        <v>1</v>
      </c>
      <c r="F600" s="12">
        <v>0</v>
      </c>
    </row>
    <row r="601" spans="3:6">
      <c r="C601" s="12"/>
      <c r="D601" s="12"/>
      <c r="E601" t="b">
        <f t="shared" si="9"/>
        <v>1</v>
      </c>
      <c r="F601" s="12">
        <v>0</v>
      </c>
    </row>
    <row r="602" spans="3:6">
      <c r="C602" s="12"/>
      <c r="D602" s="12"/>
      <c r="E602" t="b">
        <f t="shared" si="9"/>
        <v>1</v>
      </c>
      <c r="F602" s="12">
        <v>0</v>
      </c>
    </row>
    <row r="603" spans="3:6">
      <c r="C603" s="12"/>
      <c r="D603" s="12"/>
      <c r="E603" t="b">
        <f t="shared" si="9"/>
        <v>1</v>
      </c>
      <c r="F603" s="12">
        <v>0</v>
      </c>
    </row>
    <row r="604" spans="3:6">
      <c r="C604" s="12"/>
      <c r="D604" s="12"/>
      <c r="E604" t="b">
        <f t="shared" si="9"/>
        <v>1</v>
      </c>
      <c r="F604" s="12">
        <v>0</v>
      </c>
    </row>
    <row r="605" spans="3:6">
      <c r="C605" s="12"/>
      <c r="D605" s="12"/>
      <c r="E605" t="b">
        <f t="shared" si="9"/>
        <v>1</v>
      </c>
      <c r="F605" s="12">
        <v>0</v>
      </c>
    </row>
    <row r="606" spans="3:6">
      <c r="C606" s="12"/>
      <c r="D606" s="12"/>
      <c r="E606" t="b">
        <f t="shared" si="9"/>
        <v>1</v>
      </c>
      <c r="F606" s="12">
        <v>0</v>
      </c>
    </row>
    <row r="607" spans="3:6">
      <c r="C607" s="12"/>
      <c r="D607" s="12"/>
      <c r="E607" t="b">
        <f t="shared" si="9"/>
        <v>1</v>
      </c>
      <c r="F607" s="12">
        <v>0</v>
      </c>
    </row>
    <row r="608" spans="3:6">
      <c r="C608" s="12"/>
      <c r="D608" s="12"/>
      <c r="E608" t="b">
        <f t="shared" si="9"/>
        <v>1</v>
      </c>
      <c r="F608" s="12">
        <v>0</v>
      </c>
    </row>
    <row r="609" spans="3:6">
      <c r="C609" s="12"/>
      <c r="D609" s="12"/>
      <c r="E609" t="b">
        <f t="shared" si="9"/>
        <v>1</v>
      </c>
      <c r="F609" s="12">
        <v>0</v>
      </c>
    </row>
    <row r="610" spans="3:6">
      <c r="C610" s="12"/>
      <c r="D610" s="12"/>
      <c r="E610" t="b">
        <f t="shared" si="9"/>
        <v>1</v>
      </c>
      <c r="F610" s="12">
        <v>0</v>
      </c>
    </row>
    <row r="611" spans="3:6">
      <c r="C611" s="12"/>
      <c r="D611" s="12"/>
      <c r="E611" t="b">
        <f t="shared" si="9"/>
        <v>1</v>
      </c>
      <c r="F611" s="12">
        <v>0</v>
      </c>
    </row>
    <row r="612" spans="3:6">
      <c r="C612" s="12"/>
      <c r="D612" s="12"/>
      <c r="E612" t="b">
        <f t="shared" si="9"/>
        <v>1</v>
      </c>
      <c r="F612" s="12">
        <v>0</v>
      </c>
    </row>
    <row r="613" spans="3:6">
      <c r="C613" s="12"/>
      <c r="D613" s="12"/>
      <c r="E613" t="b">
        <f t="shared" si="9"/>
        <v>1</v>
      </c>
      <c r="F613" s="12">
        <v>0</v>
      </c>
    </row>
    <row r="614" spans="3:6">
      <c r="C614" s="12"/>
      <c r="D614" s="12"/>
      <c r="E614" t="b">
        <f t="shared" si="9"/>
        <v>1</v>
      </c>
      <c r="F614" s="12">
        <v>0</v>
      </c>
    </row>
    <row r="615" spans="3:6">
      <c r="C615" s="12"/>
      <c r="D615" s="12"/>
      <c r="E615" t="b">
        <f t="shared" si="9"/>
        <v>1</v>
      </c>
      <c r="F615" s="12">
        <v>0</v>
      </c>
    </row>
    <row r="616" spans="3:6">
      <c r="C616" s="12"/>
      <c r="D616" s="12"/>
      <c r="E616" t="b">
        <f t="shared" si="9"/>
        <v>1</v>
      </c>
      <c r="F616" s="12">
        <v>0</v>
      </c>
    </row>
    <row r="617" spans="3:6">
      <c r="C617" s="12"/>
      <c r="D617" s="12"/>
      <c r="E617" t="b">
        <f t="shared" si="9"/>
        <v>1</v>
      </c>
      <c r="F617" s="12">
        <v>0</v>
      </c>
    </row>
    <row r="618" spans="3:6">
      <c r="C618" s="12"/>
      <c r="D618" s="12"/>
      <c r="E618" t="b">
        <f t="shared" si="9"/>
        <v>1</v>
      </c>
      <c r="F618" s="12">
        <v>0</v>
      </c>
    </row>
    <row r="619" spans="3:6">
      <c r="C619" s="12"/>
      <c r="D619" s="12"/>
      <c r="E619" t="b">
        <f t="shared" si="9"/>
        <v>1</v>
      </c>
      <c r="F619" s="12">
        <v>0</v>
      </c>
    </row>
    <row r="620" spans="3:6">
      <c r="C620" s="12"/>
      <c r="D620" s="12"/>
      <c r="E620" t="b">
        <f t="shared" si="9"/>
        <v>1</v>
      </c>
      <c r="F620" s="12">
        <v>0</v>
      </c>
    </row>
    <row r="621" spans="3:6">
      <c r="C621" s="12"/>
      <c r="D621" s="12"/>
      <c r="E621" t="b">
        <f t="shared" si="9"/>
        <v>1</v>
      </c>
      <c r="F621" s="12">
        <v>0</v>
      </c>
    </row>
    <row r="622" spans="3:6">
      <c r="C622" s="12"/>
      <c r="D622" s="12"/>
      <c r="E622" t="b">
        <f t="shared" si="9"/>
        <v>1</v>
      </c>
      <c r="F622" s="12">
        <v>0</v>
      </c>
    </row>
    <row r="623" spans="3:6">
      <c r="C623" s="12"/>
      <c r="D623" s="12"/>
      <c r="E623" t="b">
        <f t="shared" si="9"/>
        <v>1</v>
      </c>
      <c r="F623" s="12">
        <v>0</v>
      </c>
    </row>
    <row r="624" spans="3:6">
      <c r="C624" s="12"/>
      <c r="D624" s="12"/>
      <c r="E624" t="b">
        <f t="shared" si="9"/>
        <v>1</v>
      </c>
      <c r="F624" s="12">
        <v>0</v>
      </c>
    </row>
    <row r="625" spans="3:6">
      <c r="C625" s="12"/>
      <c r="D625" s="12"/>
      <c r="E625" t="b">
        <f t="shared" si="9"/>
        <v>1</v>
      </c>
      <c r="F625" s="12">
        <v>0</v>
      </c>
    </row>
    <row r="626" spans="3:6">
      <c r="C626" s="12"/>
      <c r="D626" s="12"/>
      <c r="E626" t="b">
        <f t="shared" si="9"/>
        <v>1</v>
      </c>
      <c r="F626" s="12">
        <v>0</v>
      </c>
    </row>
    <row r="627" spans="3:6">
      <c r="C627" s="12"/>
      <c r="D627" s="12"/>
      <c r="E627" t="b">
        <f t="shared" si="9"/>
        <v>1</v>
      </c>
      <c r="F627" s="12">
        <v>0</v>
      </c>
    </row>
    <row r="628" spans="3:6">
      <c r="C628" s="12"/>
      <c r="D628" s="12"/>
      <c r="E628" t="b">
        <f t="shared" si="9"/>
        <v>1</v>
      </c>
      <c r="F628" s="12">
        <v>0</v>
      </c>
    </row>
    <row r="629" spans="3:6">
      <c r="C629" s="12"/>
      <c r="D629" s="12"/>
      <c r="E629" t="b">
        <f t="shared" si="9"/>
        <v>1</v>
      </c>
      <c r="F629" s="12">
        <v>0</v>
      </c>
    </row>
    <row r="630" spans="3:6">
      <c r="C630" s="12"/>
      <c r="D630" s="12"/>
      <c r="E630" t="b">
        <f t="shared" si="9"/>
        <v>1</v>
      </c>
      <c r="F630" s="12">
        <v>0</v>
      </c>
    </row>
    <row r="631" spans="3:6">
      <c r="C631" s="12"/>
      <c r="D631" s="12"/>
      <c r="E631" t="b">
        <f t="shared" si="9"/>
        <v>1</v>
      </c>
      <c r="F631" s="12">
        <v>0</v>
      </c>
    </row>
    <row r="632" spans="3:6">
      <c r="C632" s="12"/>
      <c r="D632" s="12"/>
      <c r="E632" t="b">
        <f t="shared" si="9"/>
        <v>1</v>
      </c>
      <c r="F632" s="12">
        <v>0</v>
      </c>
    </row>
    <row r="633" spans="3:6">
      <c r="C633" s="12"/>
      <c r="D633" s="12"/>
      <c r="E633" t="b">
        <f t="shared" si="9"/>
        <v>1</v>
      </c>
      <c r="F633" s="12">
        <v>0</v>
      </c>
    </row>
    <row r="634" spans="3:6">
      <c r="C634" s="12"/>
      <c r="D634" s="12"/>
      <c r="E634" t="b">
        <f t="shared" si="9"/>
        <v>1</v>
      </c>
      <c r="F634" s="12">
        <v>0</v>
      </c>
    </row>
    <row r="635" spans="3:6">
      <c r="C635" s="12"/>
      <c r="D635" s="12"/>
      <c r="E635" t="b">
        <f t="shared" si="9"/>
        <v>1</v>
      </c>
      <c r="F635" s="12">
        <v>0</v>
      </c>
    </row>
    <row r="636" spans="3:6">
      <c r="C636" s="12"/>
      <c r="D636" s="12"/>
      <c r="E636" t="b">
        <f t="shared" si="9"/>
        <v>1</v>
      </c>
      <c r="F636" s="12">
        <v>0</v>
      </c>
    </row>
    <row r="637" spans="3:6">
      <c r="C637" s="12"/>
      <c r="D637" s="12"/>
      <c r="E637" t="b">
        <f t="shared" si="9"/>
        <v>1</v>
      </c>
      <c r="F637" s="12">
        <v>0</v>
      </c>
    </row>
    <row r="638" spans="3:6">
      <c r="C638" s="12"/>
      <c r="D638" s="12"/>
      <c r="E638" t="b">
        <f t="shared" si="9"/>
        <v>1</v>
      </c>
      <c r="F638" s="12">
        <v>0</v>
      </c>
    </row>
    <row r="639" spans="3:6">
      <c r="C639" s="12"/>
      <c r="D639" s="12"/>
      <c r="E639" t="b">
        <f t="shared" si="9"/>
        <v>1</v>
      </c>
      <c r="F639" s="12">
        <v>0</v>
      </c>
    </row>
    <row r="640" spans="3:6">
      <c r="C640" s="12"/>
      <c r="D640" s="12"/>
      <c r="E640" t="b">
        <f t="shared" si="9"/>
        <v>1</v>
      </c>
      <c r="F640" s="12">
        <v>0</v>
      </c>
    </row>
    <row r="641" spans="3:6">
      <c r="C641" s="12"/>
      <c r="D641" s="12"/>
      <c r="E641" t="b">
        <f t="shared" si="9"/>
        <v>1</v>
      </c>
      <c r="F641" s="12">
        <v>0</v>
      </c>
    </row>
    <row r="642" spans="3:6">
      <c r="C642" s="12"/>
      <c r="D642" s="12"/>
      <c r="E642" t="b">
        <f t="shared" si="9"/>
        <v>1</v>
      </c>
      <c r="F642" s="12">
        <v>0</v>
      </c>
    </row>
    <row r="643" spans="3:6">
      <c r="C643" s="12"/>
      <c r="D643" s="12"/>
      <c r="E643" t="b">
        <f t="shared" ref="E643:E706" si="10">F643=C643</f>
        <v>1</v>
      </c>
      <c r="F643" s="12">
        <v>0</v>
      </c>
    </row>
    <row r="644" spans="3:6">
      <c r="C644" s="12"/>
      <c r="D644" s="12"/>
      <c r="E644" t="b">
        <f t="shared" si="10"/>
        <v>1</v>
      </c>
      <c r="F644" s="12">
        <v>0</v>
      </c>
    </row>
    <row r="645" spans="3:6">
      <c r="C645" s="12"/>
      <c r="D645" s="12"/>
      <c r="E645" t="b">
        <f t="shared" si="10"/>
        <v>1</v>
      </c>
      <c r="F645" s="12">
        <v>0</v>
      </c>
    </row>
    <row r="646" spans="3:6">
      <c r="C646" s="12"/>
      <c r="D646" s="12"/>
      <c r="E646" t="b">
        <f t="shared" si="10"/>
        <v>1</v>
      </c>
      <c r="F646" s="12">
        <v>0</v>
      </c>
    </row>
    <row r="647" spans="3:6">
      <c r="C647" s="12"/>
      <c r="D647" s="12"/>
      <c r="E647" t="b">
        <f t="shared" si="10"/>
        <v>1</v>
      </c>
      <c r="F647" s="12">
        <v>0</v>
      </c>
    </row>
    <row r="648" spans="3:6">
      <c r="C648" s="12"/>
      <c r="D648" s="12"/>
      <c r="E648" t="b">
        <f t="shared" si="10"/>
        <v>1</v>
      </c>
      <c r="F648" s="12">
        <v>0</v>
      </c>
    </row>
    <row r="649" spans="3:6">
      <c r="C649" s="12"/>
      <c r="D649" s="12"/>
      <c r="E649" t="b">
        <f t="shared" si="10"/>
        <v>1</v>
      </c>
      <c r="F649" s="12">
        <v>0</v>
      </c>
    </row>
    <row r="650" spans="3:6">
      <c r="C650" s="12"/>
      <c r="D650" s="12"/>
      <c r="E650" t="b">
        <f t="shared" si="10"/>
        <v>1</v>
      </c>
      <c r="F650" s="12">
        <v>0</v>
      </c>
    </row>
    <row r="651" spans="3:6">
      <c r="C651" s="12"/>
      <c r="D651" s="12"/>
      <c r="E651" t="b">
        <f t="shared" si="10"/>
        <v>1</v>
      </c>
      <c r="F651" s="12">
        <v>0</v>
      </c>
    </row>
    <row r="652" spans="3:6">
      <c r="C652" s="12"/>
      <c r="D652" s="12"/>
      <c r="E652" t="b">
        <f t="shared" si="10"/>
        <v>1</v>
      </c>
      <c r="F652" s="12">
        <v>0</v>
      </c>
    </row>
    <row r="653" spans="3:6">
      <c r="C653" s="12"/>
      <c r="D653" s="12"/>
      <c r="E653" t="b">
        <f t="shared" si="10"/>
        <v>1</v>
      </c>
      <c r="F653" s="12">
        <v>0</v>
      </c>
    </row>
    <row r="654" spans="3:6">
      <c r="C654" s="12"/>
      <c r="D654" s="12"/>
      <c r="E654" t="b">
        <f t="shared" si="10"/>
        <v>1</v>
      </c>
      <c r="F654" s="12">
        <v>0</v>
      </c>
    </row>
    <row r="655" spans="3:6">
      <c r="C655" s="12"/>
      <c r="D655" s="12"/>
      <c r="E655" t="b">
        <f t="shared" si="10"/>
        <v>1</v>
      </c>
      <c r="F655" s="12">
        <v>0</v>
      </c>
    </row>
    <row r="656" spans="3:6">
      <c r="C656" s="12"/>
      <c r="D656" s="12"/>
      <c r="E656" t="b">
        <f t="shared" si="10"/>
        <v>1</v>
      </c>
      <c r="F656" s="12">
        <v>0</v>
      </c>
    </row>
    <row r="657" spans="3:6">
      <c r="C657" s="12"/>
      <c r="D657" s="12"/>
      <c r="E657" t="b">
        <f t="shared" si="10"/>
        <v>1</v>
      </c>
      <c r="F657" s="12">
        <v>0</v>
      </c>
    </row>
    <row r="658" spans="3:6">
      <c r="C658" s="12"/>
      <c r="D658" s="12"/>
      <c r="E658" t="b">
        <f t="shared" si="10"/>
        <v>1</v>
      </c>
      <c r="F658" s="12">
        <v>0</v>
      </c>
    </row>
    <row r="659" spans="3:6">
      <c r="C659" s="12"/>
      <c r="D659" s="12"/>
      <c r="E659" t="b">
        <f t="shared" si="10"/>
        <v>1</v>
      </c>
      <c r="F659" s="12">
        <v>0</v>
      </c>
    </row>
    <row r="660" spans="3:6">
      <c r="C660" s="12"/>
      <c r="D660" s="12"/>
      <c r="E660" t="b">
        <f t="shared" si="10"/>
        <v>1</v>
      </c>
      <c r="F660" s="12">
        <v>0</v>
      </c>
    </row>
    <row r="661" spans="3:6">
      <c r="C661" s="12"/>
      <c r="D661" s="12"/>
      <c r="E661" t="b">
        <f t="shared" si="10"/>
        <v>1</v>
      </c>
      <c r="F661" s="12">
        <v>0</v>
      </c>
    </row>
    <row r="662" spans="3:6">
      <c r="C662" s="12"/>
      <c r="D662" s="12"/>
      <c r="E662" t="b">
        <f t="shared" si="10"/>
        <v>1</v>
      </c>
      <c r="F662" s="12">
        <v>0</v>
      </c>
    </row>
    <row r="663" spans="3:6">
      <c r="C663" s="12"/>
      <c r="D663" s="12"/>
      <c r="E663" t="b">
        <f t="shared" si="10"/>
        <v>1</v>
      </c>
      <c r="F663" s="12">
        <v>0</v>
      </c>
    </row>
    <row r="664" spans="3:6">
      <c r="C664" s="12"/>
      <c r="D664" s="12"/>
      <c r="E664" t="b">
        <f t="shared" si="10"/>
        <v>1</v>
      </c>
      <c r="F664" s="12">
        <v>0</v>
      </c>
    </row>
    <row r="665" spans="3:6">
      <c r="C665" s="12"/>
      <c r="D665" s="12"/>
      <c r="E665" t="b">
        <f t="shared" si="10"/>
        <v>1</v>
      </c>
      <c r="F665" s="12">
        <v>0</v>
      </c>
    </row>
    <row r="666" spans="3:6">
      <c r="C666" s="12"/>
      <c r="D666" s="12"/>
      <c r="E666" t="b">
        <f t="shared" si="10"/>
        <v>1</v>
      </c>
      <c r="F666" s="12">
        <v>0</v>
      </c>
    </row>
    <row r="667" spans="3:6">
      <c r="C667" s="12"/>
      <c r="D667" s="12"/>
      <c r="E667" t="b">
        <f t="shared" si="10"/>
        <v>1</v>
      </c>
      <c r="F667" s="12">
        <v>0</v>
      </c>
    </row>
    <row r="668" spans="3:6">
      <c r="C668" s="12"/>
      <c r="D668" s="12"/>
      <c r="E668" t="b">
        <f t="shared" si="10"/>
        <v>1</v>
      </c>
      <c r="F668" s="12">
        <v>0</v>
      </c>
    </row>
    <row r="669" spans="3:6">
      <c r="C669" s="12"/>
      <c r="D669" s="12"/>
      <c r="E669" t="b">
        <f t="shared" si="10"/>
        <v>1</v>
      </c>
      <c r="F669" s="12">
        <v>0</v>
      </c>
    </row>
    <row r="670" spans="3:6">
      <c r="C670" s="12"/>
      <c r="D670" s="12"/>
      <c r="E670" t="b">
        <f t="shared" si="10"/>
        <v>1</v>
      </c>
      <c r="F670" s="12">
        <v>0</v>
      </c>
    </row>
    <row r="671" spans="3:6">
      <c r="C671" s="12"/>
      <c r="D671" s="12"/>
      <c r="E671" t="b">
        <f t="shared" si="10"/>
        <v>1</v>
      </c>
      <c r="F671" s="12">
        <v>0</v>
      </c>
    </row>
    <row r="672" spans="3:6">
      <c r="C672" s="12"/>
      <c r="D672" s="12"/>
      <c r="E672" t="b">
        <f t="shared" si="10"/>
        <v>1</v>
      </c>
      <c r="F672" s="12">
        <v>0</v>
      </c>
    </row>
    <row r="673" spans="3:6">
      <c r="C673" s="12"/>
      <c r="D673" s="12"/>
      <c r="E673" t="b">
        <f t="shared" si="10"/>
        <v>1</v>
      </c>
      <c r="F673" s="12">
        <v>0</v>
      </c>
    </row>
    <row r="674" spans="3:6">
      <c r="C674" s="12"/>
      <c r="D674" s="12"/>
      <c r="E674" t="b">
        <f t="shared" si="10"/>
        <v>1</v>
      </c>
      <c r="F674" s="12">
        <v>0</v>
      </c>
    </row>
    <row r="675" spans="3:6">
      <c r="C675" s="12"/>
      <c r="D675" s="12"/>
      <c r="E675" t="b">
        <f t="shared" si="10"/>
        <v>1</v>
      </c>
      <c r="F675" s="12">
        <v>0</v>
      </c>
    </row>
    <row r="676" spans="3:6">
      <c r="C676" s="12"/>
      <c r="D676" s="12"/>
      <c r="E676" t="b">
        <f t="shared" si="10"/>
        <v>1</v>
      </c>
      <c r="F676" s="12">
        <v>0</v>
      </c>
    </row>
    <row r="677" spans="3:6">
      <c r="C677" s="12"/>
      <c r="D677" s="12"/>
      <c r="E677" t="b">
        <f t="shared" si="10"/>
        <v>1</v>
      </c>
      <c r="F677" s="12">
        <v>0</v>
      </c>
    </row>
    <row r="678" spans="3:6">
      <c r="C678" s="12"/>
      <c r="D678" s="12"/>
      <c r="E678" t="b">
        <f t="shared" si="10"/>
        <v>1</v>
      </c>
      <c r="F678" s="12">
        <v>0</v>
      </c>
    </row>
    <row r="679" spans="3:6">
      <c r="C679" s="12"/>
      <c r="D679" s="12"/>
      <c r="E679" t="b">
        <f t="shared" si="10"/>
        <v>1</v>
      </c>
      <c r="F679" s="12">
        <v>0</v>
      </c>
    </row>
    <row r="680" spans="3:6">
      <c r="C680" s="12"/>
      <c r="D680" s="12"/>
      <c r="E680" t="b">
        <f t="shared" si="10"/>
        <v>1</v>
      </c>
      <c r="F680" s="12">
        <v>0</v>
      </c>
    </row>
    <row r="681" spans="3:6">
      <c r="C681" s="12"/>
      <c r="D681" s="12"/>
      <c r="E681" t="b">
        <f t="shared" si="10"/>
        <v>1</v>
      </c>
      <c r="F681" s="12">
        <v>0</v>
      </c>
    </row>
    <row r="682" spans="3:6">
      <c r="C682" s="12"/>
      <c r="D682" s="12"/>
      <c r="E682" t="b">
        <f t="shared" si="10"/>
        <v>1</v>
      </c>
      <c r="F682" s="12">
        <v>0</v>
      </c>
    </row>
    <row r="683" spans="3:6">
      <c r="C683" s="12"/>
      <c r="D683" s="12"/>
      <c r="E683" t="b">
        <f t="shared" si="10"/>
        <v>1</v>
      </c>
      <c r="F683" s="12">
        <v>0</v>
      </c>
    </row>
    <row r="684" spans="3:6">
      <c r="C684" s="12"/>
      <c r="D684" s="12"/>
      <c r="E684" t="b">
        <f t="shared" si="10"/>
        <v>1</v>
      </c>
      <c r="F684" s="12">
        <v>0</v>
      </c>
    </row>
    <row r="685" spans="3:6">
      <c r="C685" s="12"/>
      <c r="D685" s="12"/>
      <c r="E685" t="b">
        <f t="shared" si="10"/>
        <v>1</v>
      </c>
      <c r="F685" s="12">
        <v>0</v>
      </c>
    </row>
    <row r="686" spans="3:6">
      <c r="C686" s="12"/>
      <c r="D686" s="12"/>
      <c r="E686" t="b">
        <f t="shared" si="10"/>
        <v>1</v>
      </c>
      <c r="F686" s="12">
        <v>0</v>
      </c>
    </row>
    <row r="687" spans="3:6">
      <c r="C687" s="12"/>
      <c r="D687" s="12"/>
      <c r="E687" t="b">
        <f t="shared" si="10"/>
        <v>1</v>
      </c>
      <c r="F687" s="12">
        <v>0</v>
      </c>
    </row>
    <row r="688" spans="3:6">
      <c r="C688" s="12"/>
      <c r="D688" s="12"/>
      <c r="E688" t="b">
        <f t="shared" si="10"/>
        <v>1</v>
      </c>
      <c r="F688" s="12">
        <v>0</v>
      </c>
    </row>
    <row r="689" spans="3:6">
      <c r="C689" s="12"/>
      <c r="D689" s="12"/>
      <c r="E689" t="b">
        <f t="shared" si="10"/>
        <v>1</v>
      </c>
      <c r="F689" s="12">
        <v>0</v>
      </c>
    </row>
    <row r="690" spans="3:6">
      <c r="C690" s="12"/>
      <c r="D690" s="12"/>
      <c r="E690" t="b">
        <f t="shared" si="10"/>
        <v>1</v>
      </c>
      <c r="F690" s="12">
        <v>0</v>
      </c>
    </row>
    <row r="691" spans="3:6">
      <c r="C691" s="12"/>
      <c r="D691" s="12"/>
      <c r="E691" t="b">
        <f t="shared" si="10"/>
        <v>1</v>
      </c>
      <c r="F691" s="12">
        <v>0</v>
      </c>
    </row>
    <row r="692" spans="3:6">
      <c r="C692" s="12"/>
      <c r="D692" s="12"/>
      <c r="E692" t="b">
        <f t="shared" si="10"/>
        <v>1</v>
      </c>
      <c r="F692" s="12">
        <v>0</v>
      </c>
    </row>
    <row r="693" spans="3:6">
      <c r="C693" s="12"/>
      <c r="D693" s="12"/>
      <c r="E693" t="b">
        <f t="shared" si="10"/>
        <v>1</v>
      </c>
      <c r="F693" s="12">
        <v>0</v>
      </c>
    </row>
    <row r="694" spans="3:6">
      <c r="C694" s="12"/>
      <c r="D694" s="12"/>
      <c r="E694" t="b">
        <f t="shared" si="10"/>
        <v>1</v>
      </c>
      <c r="F694" s="12">
        <v>0</v>
      </c>
    </row>
    <row r="695" spans="3:6">
      <c r="C695" s="12"/>
      <c r="D695" s="12"/>
      <c r="E695" t="b">
        <f t="shared" si="10"/>
        <v>1</v>
      </c>
      <c r="F695" s="12">
        <v>0</v>
      </c>
    </row>
    <row r="696" spans="3:6">
      <c r="C696" s="12"/>
      <c r="D696" s="12"/>
      <c r="E696" t="b">
        <f t="shared" si="10"/>
        <v>1</v>
      </c>
      <c r="F696" s="12">
        <v>0</v>
      </c>
    </row>
    <row r="697" spans="3:6">
      <c r="C697" s="12"/>
      <c r="D697" s="12"/>
      <c r="E697" t="b">
        <f t="shared" si="10"/>
        <v>1</v>
      </c>
      <c r="F697" s="12">
        <v>0</v>
      </c>
    </row>
    <row r="698" spans="3:6">
      <c r="C698" s="12"/>
      <c r="D698" s="12"/>
      <c r="E698" t="b">
        <f t="shared" si="10"/>
        <v>1</v>
      </c>
      <c r="F698" s="12">
        <v>0</v>
      </c>
    </row>
    <row r="699" spans="3:6">
      <c r="C699" s="12"/>
      <c r="D699" s="12"/>
      <c r="E699" t="b">
        <f t="shared" si="10"/>
        <v>1</v>
      </c>
      <c r="F699" s="12">
        <v>0</v>
      </c>
    </row>
    <row r="700" spans="3:6">
      <c r="C700" s="12"/>
      <c r="D700" s="12"/>
      <c r="E700" t="b">
        <f t="shared" si="10"/>
        <v>1</v>
      </c>
      <c r="F700" s="12">
        <v>0</v>
      </c>
    </row>
    <row r="701" spans="3:6">
      <c r="C701" s="12"/>
      <c r="D701" s="12"/>
      <c r="E701" t="b">
        <f t="shared" si="10"/>
        <v>1</v>
      </c>
      <c r="F701" s="12">
        <v>0</v>
      </c>
    </row>
    <row r="702" spans="3:6">
      <c r="C702" s="12"/>
      <c r="D702" s="12"/>
      <c r="E702" t="b">
        <f t="shared" si="10"/>
        <v>1</v>
      </c>
      <c r="F702" s="12">
        <v>0</v>
      </c>
    </row>
    <row r="703" spans="3:6">
      <c r="C703" s="12"/>
      <c r="D703" s="12"/>
      <c r="E703" t="b">
        <f t="shared" si="10"/>
        <v>1</v>
      </c>
      <c r="F703" s="12">
        <v>0</v>
      </c>
    </row>
    <row r="704" spans="3:6">
      <c r="C704" s="12"/>
      <c r="D704" s="12"/>
      <c r="E704" t="b">
        <f t="shared" si="10"/>
        <v>1</v>
      </c>
      <c r="F704" s="12">
        <v>0</v>
      </c>
    </row>
    <row r="705" spans="3:6">
      <c r="C705" s="12"/>
      <c r="D705" s="12"/>
      <c r="E705" t="b">
        <f t="shared" si="10"/>
        <v>1</v>
      </c>
      <c r="F705" s="12">
        <v>0</v>
      </c>
    </row>
    <row r="706" spans="3:6">
      <c r="C706" s="12"/>
      <c r="D706" s="12"/>
      <c r="E706" t="b">
        <f t="shared" si="10"/>
        <v>1</v>
      </c>
      <c r="F706" s="12">
        <v>0</v>
      </c>
    </row>
    <row r="707" spans="3:6">
      <c r="C707" s="12"/>
      <c r="D707" s="12"/>
      <c r="E707" t="b">
        <f t="shared" ref="E707:E770" si="11">F707=C707</f>
        <v>1</v>
      </c>
      <c r="F707" s="12">
        <v>0</v>
      </c>
    </row>
    <row r="708" spans="3:6">
      <c r="C708" s="12"/>
      <c r="D708" s="12"/>
      <c r="E708" t="b">
        <f t="shared" si="11"/>
        <v>1</v>
      </c>
      <c r="F708" s="12">
        <v>0</v>
      </c>
    </row>
    <row r="709" spans="3:6">
      <c r="C709" s="12"/>
      <c r="D709" s="12"/>
      <c r="E709" t="b">
        <f t="shared" si="11"/>
        <v>1</v>
      </c>
      <c r="F709" s="12">
        <v>0</v>
      </c>
    </row>
    <row r="710" spans="3:6">
      <c r="C710" s="12"/>
      <c r="D710" s="12"/>
      <c r="E710" t="b">
        <f t="shared" si="11"/>
        <v>1</v>
      </c>
      <c r="F710" s="12">
        <v>0</v>
      </c>
    </row>
    <row r="711" spans="3:6">
      <c r="C711" s="12"/>
      <c r="D711" s="12"/>
      <c r="E711" t="b">
        <f t="shared" si="11"/>
        <v>1</v>
      </c>
      <c r="F711" s="12">
        <v>0</v>
      </c>
    </row>
    <row r="712" spans="3:6">
      <c r="C712" s="12"/>
      <c r="D712" s="12"/>
      <c r="E712" t="b">
        <f t="shared" si="11"/>
        <v>1</v>
      </c>
      <c r="F712" s="12">
        <v>0</v>
      </c>
    </row>
    <row r="713" spans="3:6">
      <c r="C713" s="12"/>
      <c r="D713" s="12"/>
      <c r="E713" t="b">
        <f t="shared" si="11"/>
        <v>1</v>
      </c>
      <c r="F713" s="12">
        <v>0</v>
      </c>
    </row>
    <row r="714" spans="3:6">
      <c r="C714" s="12"/>
      <c r="D714" s="12"/>
      <c r="E714" t="b">
        <f t="shared" si="11"/>
        <v>1</v>
      </c>
      <c r="F714" s="12">
        <v>0</v>
      </c>
    </row>
    <row r="715" spans="3:6">
      <c r="C715" s="12"/>
      <c r="D715" s="12"/>
      <c r="E715" t="b">
        <f t="shared" si="11"/>
        <v>1</v>
      </c>
      <c r="F715" s="12">
        <v>0</v>
      </c>
    </row>
    <row r="716" spans="3:6">
      <c r="C716" s="12"/>
      <c r="D716" s="12"/>
      <c r="E716" t="b">
        <f t="shared" si="11"/>
        <v>1</v>
      </c>
      <c r="F716" s="12">
        <v>0</v>
      </c>
    </row>
    <row r="717" spans="3:6">
      <c r="C717" s="12"/>
      <c r="D717" s="12"/>
      <c r="E717" t="b">
        <f t="shared" si="11"/>
        <v>1</v>
      </c>
      <c r="F717" s="12">
        <v>0</v>
      </c>
    </row>
    <row r="718" spans="3:6">
      <c r="C718" s="12"/>
      <c r="D718" s="12"/>
      <c r="E718" t="b">
        <f t="shared" si="11"/>
        <v>1</v>
      </c>
      <c r="F718" s="12">
        <v>0</v>
      </c>
    </row>
    <row r="719" spans="3:6">
      <c r="C719" s="12"/>
      <c r="D719" s="12"/>
      <c r="E719" t="b">
        <f t="shared" si="11"/>
        <v>1</v>
      </c>
      <c r="F719" s="12">
        <v>0</v>
      </c>
    </row>
    <row r="720" spans="3:6">
      <c r="C720" s="12"/>
      <c r="D720" s="12"/>
      <c r="E720" t="b">
        <f t="shared" si="11"/>
        <v>1</v>
      </c>
      <c r="F720" s="12">
        <v>0</v>
      </c>
    </row>
    <row r="721" spans="3:6">
      <c r="C721" s="12"/>
      <c r="D721" s="12"/>
      <c r="E721" t="b">
        <f t="shared" si="11"/>
        <v>1</v>
      </c>
      <c r="F721" s="12">
        <v>0</v>
      </c>
    </row>
    <row r="722" spans="3:6">
      <c r="C722" s="12"/>
      <c r="D722" s="12"/>
      <c r="E722" t="b">
        <f t="shared" si="11"/>
        <v>1</v>
      </c>
      <c r="F722" s="12">
        <v>0</v>
      </c>
    </row>
    <row r="723" spans="3:6">
      <c r="C723" s="12"/>
      <c r="D723" s="12"/>
      <c r="E723" t="b">
        <f t="shared" si="11"/>
        <v>1</v>
      </c>
      <c r="F723" s="12">
        <v>0</v>
      </c>
    </row>
    <row r="724" spans="3:6">
      <c r="C724" s="12"/>
      <c r="D724" s="12"/>
      <c r="E724" t="b">
        <f t="shared" si="11"/>
        <v>1</v>
      </c>
      <c r="F724" s="12">
        <v>0</v>
      </c>
    </row>
    <row r="725" spans="3:6">
      <c r="C725" s="12"/>
      <c r="D725" s="12"/>
      <c r="E725" t="b">
        <f t="shared" si="11"/>
        <v>1</v>
      </c>
      <c r="F725" s="12">
        <v>0</v>
      </c>
    </row>
    <row r="726" spans="3:6">
      <c r="C726" s="12"/>
      <c r="D726" s="12"/>
      <c r="E726" t="b">
        <f t="shared" si="11"/>
        <v>1</v>
      </c>
      <c r="F726" s="12">
        <v>0</v>
      </c>
    </row>
    <row r="727" spans="3:6">
      <c r="C727" s="12"/>
      <c r="D727" s="12"/>
      <c r="E727" t="b">
        <f t="shared" si="11"/>
        <v>1</v>
      </c>
      <c r="F727" s="12">
        <v>0</v>
      </c>
    </row>
    <row r="728" spans="3:6">
      <c r="C728" s="12"/>
      <c r="D728" s="12"/>
      <c r="E728" t="b">
        <f t="shared" si="11"/>
        <v>1</v>
      </c>
      <c r="F728" s="12">
        <v>0</v>
      </c>
    </row>
    <row r="729" spans="3:6">
      <c r="C729" s="12"/>
      <c r="D729" s="12"/>
      <c r="E729" t="b">
        <f t="shared" si="11"/>
        <v>1</v>
      </c>
      <c r="F729" s="12">
        <v>0</v>
      </c>
    </row>
    <row r="730" spans="3:6">
      <c r="C730" s="12"/>
      <c r="D730" s="12"/>
      <c r="E730" t="b">
        <f t="shared" si="11"/>
        <v>1</v>
      </c>
      <c r="F730" s="12">
        <v>0</v>
      </c>
    </row>
    <row r="731" spans="3:6">
      <c r="C731" s="12"/>
      <c r="D731" s="12"/>
      <c r="E731" t="b">
        <f t="shared" si="11"/>
        <v>1</v>
      </c>
      <c r="F731" s="12">
        <v>0</v>
      </c>
    </row>
    <row r="732" spans="3:6">
      <c r="C732" s="12"/>
      <c r="D732" s="12"/>
      <c r="E732" t="b">
        <f t="shared" si="11"/>
        <v>1</v>
      </c>
      <c r="F732" s="12">
        <v>0</v>
      </c>
    </row>
    <row r="733" spans="3:6">
      <c r="C733" s="12"/>
      <c r="D733" s="12"/>
      <c r="E733" t="b">
        <f t="shared" si="11"/>
        <v>1</v>
      </c>
      <c r="F733" s="12">
        <v>0</v>
      </c>
    </row>
    <row r="734" spans="3:6">
      <c r="C734" s="12"/>
      <c r="D734" s="12"/>
      <c r="E734" t="b">
        <f t="shared" si="11"/>
        <v>1</v>
      </c>
      <c r="F734" s="12">
        <v>0</v>
      </c>
    </row>
    <row r="735" spans="3:6">
      <c r="C735" s="12"/>
      <c r="D735" s="12"/>
      <c r="E735" t="b">
        <f t="shared" si="11"/>
        <v>1</v>
      </c>
      <c r="F735" s="12">
        <v>0</v>
      </c>
    </row>
    <row r="736" spans="3:6">
      <c r="C736" s="12"/>
      <c r="D736" s="12"/>
      <c r="E736" t="b">
        <f t="shared" si="11"/>
        <v>1</v>
      </c>
      <c r="F736" s="12">
        <v>0</v>
      </c>
    </row>
    <row r="737" spans="3:6">
      <c r="C737" s="12"/>
      <c r="D737" s="12"/>
      <c r="E737" t="b">
        <f t="shared" si="11"/>
        <v>1</v>
      </c>
      <c r="F737" s="12">
        <v>0</v>
      </c>
    </row>
    <row r="738" spans="3:6">
      <c r="C738" s="12"/>
      <c r="D738" s="12"/>
      <c r="E738" t="b">
        <f t="shared" si="11"/>
        <v>1</v>
      </c>
      <c r="F738" s="12">
        <v>0</v>
      </c>
    </row>
    <row r="739" spans="3:6">
      <c r="C739" s="12"/>
      <c r="D739" s="12"/>
      <c r="E739" t="b">
        <f t="shared" si="11"/>
        <v>1</v>
      </c>
      <c r="F739" s="12">
        <v>0</v>
      </c>
    </row>
    <row r="740" spans="3:6">
      <c r="C740" s="12"/>
      <c r="D740" s="12"/>
      <c r="E740" t="b">
        <f t="shared" si="11"/>
        <v>1</v>
      </c>
      <c r="F740" s="12">
        <v>0</v>
      </c>
    </row>
    <row r="741" spans="3:6">
      <c r="C741" s="12"/>
      <c r="D741" s="12"/>
      <c r="E741" t="b">
        <f t="shared" si="11"/>
        <v>1</v>
      </c>
      <c r="F741" s="12">
        <v>0</v>
      </c>
    </row>
    <row r="742" spans="3:6">
      <c r="C742" s="12"/>
      <c r="D742" s="12"/>
      <c r="E742" t="b">
        <f t="shared" si="11"/>
        <v>1</v>
      </c>
      <c r="F742" s="12">
        <v>0</v>
      </c>
    </row>
    <row r="743" spans="3:6">
      <c r="C743" s="12"/>
      <c r="D743" s="12"/>
      <c r="E743" t="b">
        <f t="shared" si="11"/>
        <v>1</v>
      </c>
      <c r="F743" s="12">
        <v>0</v>
      </c>
    </row>
    <row r="744" spans="3:6">
      <c r="C744" s="12"/>
      <c r="D744" s="12"/>
      <c r="E744" t="b">
        <f t="shared" si="11"/>
        <v>1</v>
      </c>
      <c r="F744" s="12">
        <v>0</v>
      </c>
    </row>
    <row r="745" spans="3:6">
      <c r="C745" s="12"/>
      <c r="D745" s="12"/>
      <c r="E745" t="b">
        <f t="shared" si="11"/>
        <v>1</v>
      </c>
      <c r="F745" s="12">
        <v>0</v>
      </c>
    </row>
    <row r="746" spans="3:6">
      <c r="C746" s="12"/>
      <c r="D746" s="12"/>
      <c r="E746" t="b">
        <f t="shared" si="11"/>
        <v>1</v>
      </c>
      <c r="F746" s="12">
        <v>0</v>
      </c>
    </row>
    <row r="747" spans="3:6">
      <c r="C747" s="12"/>
      <c r="D747" s="12"/>
      <c r="E747" t="b">
        <f t="shared" si="11"/>
        <v>1</v>
      </c>
      <c r="F747" s="12">
        <v>0</v>
      </c>
    </row>
    <row r="748" spans="3:6">
      <c r="C748" s="12"/>
      <c r="D748" s="12"/>
      <c r="E748" t="b">
        <f t="shared" si="11"/>
        <v>1</v>
      </c>
      <c r="F748" s="12">
        <v>0</v>
      </c>
    </row>
    <row r="749" spans="3:6">
      <c r="C749" s="12"/>
      <c r="D749" s="12"/>
      <c r="E749" t="b">
        <f t="shared" si="11"/>
        <v>1</v>
      </c>
      <c r="F749" s="12">
        <v>0</v>
      </c>
    </row>
    <row r="750" spans="3:6">
      <c r="C750" s="12"/>
      <c r="D750" s="12"/>
      <c r="E750" t="b">
        <f t="shared" si="11"/>
        <v>1</v>
      </c>
      <c r="F750" s="12">
        <v>0</v>
      </c>
    </row>
    <row r="751" spans="3:6">
      <c r="C751" s="12"/>
      <c r="D751" s="12"/>
      <c r="E751" t="b">
        <f t="shared" si="11"/>
        <v>1</v>
      </c>
      <c r="F751" s="12">
        <v>0</v>
      </c>
    </row>
    <row r="752" spans="3:6">
      <c r="C752" s="12"/>
      <c r="D752" s="12"/>
      <c r="E752" t="b">
        <f t="shared" si="11"/>
        <v>1</v>
      </c>
      <c r="F752" s="12">
        <v>0</v>
      </c>
    </row>
    <row r="753" spans="3:6">
      <c r="C753" s="12"/>
      <c r="D753" s="12"/>
      <c r="E753" t="b">
        <f t="shared" si="11"/>
        <v>1</v>
      </c>
      <c r="F753" s="12">
        <v>0</v>
      </c>
    </row>
    <row r="754" spans="3:6">
      <c r="C754" s="12"/>
      <c r="D754" s="12"/>
      <c r="E754" t="b">
        <f t="shared" si="11"/>
        <v>1</v>
      </c>
      <c r="F754" s="12">
        <v>0</v>
      </c>
    </row>
    <row r="755" spans="3:6">
      <c r="C755" s="12"/>
      <c r="D755" s="12"/>
      <c r="E755" t="b">
        <f t="shared" si="11"/>
        <v>1</v>
      </c>
      <c r="F755" s="12">
        <v>0</v>
      </c>
    </row>
    <row r="756" spans="3:6">
      <c r="C756" s="12"/>
      <c r="D756" s="12"/>
      <c r="E756" t="b">
        <f t="shared" si="11"/>
        <v>1</v>
      </c>
      <c r="F756" s="12">
        <v>0</v>
      </c>
    </row>
    <row r="757" spans="3:6">
      <c r="C757" s="12"/>
      <c r="D757" s="12"/>
      <c r="E757" t="b">
        <f t="shared" si="11"/>
        <v>1</v>
      </c>
      <c r="F757" s="12">
        <v>0</v>
      </c>
    </row>
    <row r="758" spans="3:6">
      <c r="C758" s="12"/>
      <c r="D758" s="12"/>
      <c r="E758" t="b">
        <f t="shared" si="11"/>
        <v>1</v>
      </c>
      <c r="F758" s="12">
        <v>0</v>
      </c>
    </row>
    <row r="759" spans="3:6">
      <c r="C759" s="12"/>
      <c r="D759" s="12"/>
      <c r="E759" t="b">
        <f t="shared" si="11"/>
        <v>1</v>
      </c>
      <c r="F759" s="12">
        <v>0</v>
      </c>
    </row>
    <row r="760" spans="3:6">
      <c r="C760" s="12"/>
      <c r="D760" s="12"/>
      <c r="E760" t="b">
        <f t="shared" si="11"/>
        <v>1</v>
      </c>
      <c r="F760" s="12">
        <v>0</v>
      </c>
    </row>
    <row r="761" spans="3:6">
      <c r="C761" s="12"/>
      <c r="D761" s="12"/>
      <c r="E761" t="b">
        <f t="shared" si="11"/>
        <v>1</v>
      </c>
      <c r="F761" s="12">
        <v>0</v>
      </c>
    </row>
    <row r="762" spans="3:6">
      <c r="C762" s="12"/>
      <c r="D762" s="12"/>
      <c r="E762" t="b">
        <f t="shared" si="11"/>
        <v>1</v>
      </c>
      <c r="F762" s="12">
        <v>0</v>
      </c>
    </row>
    <row r="763" spans="3:6">
      <c r="C763" s="12"/>
      <c r="D763" s="12"/>
      <c r="E763" t="b">
        <f t="shared" si="11"/>
        <v>1</v>
      </c>
      <c r="F763" s="12">
        <v>0</v>
      </c>
    </row>
    <row r="764" spans="3:6">
      <c r="C764" s="12"/>
      <c r="D764" s="12"/>
      <c r="E764" t="b">
        <f t="shared" si="11"/>
        <v>1</v>
      </c>
      <c r="F764" s="12">
        <v>0</v>
      </c>
    </row>
    <row r="765" spans="3:6">
      <c r="C765" s="12"/>
      <c r="D765" s="12"/>
      <c r="E765" t="b">
        <f t="shared" si="11"/>
        <v>1</v>
      </c>
      <c r="F765" s="12">
        <v>0</v>
      </c>
    </row>
    <row r="766" spans="3:6">
      <c r="C766" s="12"/>
      <c r="D766" s="12"/>
      <c r="E766" t="b">
        <f t="shared" si="11"/>
        <v>1</v>
      </c>
      <c r="F766" s="12">
        <v>0</v>
      </c>
    </row>
    <row r="767" spans="3:6">
      <c r="C767" s="12"/>
      <c r="D767" s="12"/>
      <c r="E767" t="b">
        <f t="shared" si="11"/>
        <v>1</v>
      </c>
      <c r="F767" s="12">
        <v>0</v>
      </c>
    </row>
    <row r="768" spans="3:6">
      <c r="C768" s="12"/>
      <c r="D768" s="12"/>
      <c r="E768" t="b">
        <f t="shared" si="11"/>
        <v>1</v>
      </c>
      <c r="F768" s="12">
        <v>0</v>
      </c>
    </row>
    <row r="769" spans="3:6">
      <c r="C769" s="12"/>
      <c r="D769" s="12"/>
      <c r="E769" t="b">
        <f t="shared" si="11"/>
        <v>1</v>
      </c>
      <c r="F769" s="12">
        <v>0</v>
      </c>
    </row>
    <row r="770" spans="3:6">
      <c r="C770" s="12"/>
      <c r="D770" s="12"/>
      <c r="E770" t="b">
        <f t="shared" si="11"/>
        <v>1</v>
      </c>
      <c r="F770" s="12">
        <v>0</v>
      </c>
    </row>
    <row r="771" spans="3:6">
      <c r="C771" s="12"/>
      <c r="D771" s="12"/>
      <c r="E771" t="b">
        <f t="shared" ref="E771:E834" si="12">F771=C771</f>
        <v>1</v>
      </c>
      <c r="F771" s="12">
        <v>0</v>
      </c>
    </row>
    <row r="772" spans="3:6">
      <c r="C772" s="12"/>
      <c r="D772" s="12"/>
      <c r="E772" t="b">
        <f t="shared" si="12"/>
        <v>1</v>
      </c>
      <c r="F772" s="12">
        <v>0</v>
      </c>
    </row>
    <row r="773" spans="3:6">
      <c r="C773" s="12"/>
      <c r="D773" s="12"/>
      <c r="E773" t="b">
        <f t="shared" si="12"/>
        <v>1</v>
      </c>
      <c r="F773" s="12">
        <v>0</v>
      </c>
    </row>
    <row r="774" spans="3:6">
      <c r="C774" s="12"/>
      <c r="D774" s="12"/>
      <c r="E774" t="b">
        <f t="shared" si="12"/>
        <v>1</v>
      </c>
      <c r="F774" s="12">
        <v>0</v>
      </c>
    </row>
    <row r="775" spans="3:6">
      <c r="C775" s="12"/>
      <c r="D775" s="12"/>
      <c r="E775" t="b">
        <f t="shared" si="12"/>
        <v>1</v>
      </c>
      <c r="F775" s="12">
        <v>0</v>
      </c>
    </row>
    <row r="776" spans="3:6">
      <c r="C776" s="12"/>
      <c r="D776" s="12"/>
      <c r="E776" t="b">
        <f t="shared" si="12"/>
        <v>1</v>
      </c>
      <c r="F776" s="12">
        <v>0</v>
      </c>
    </row>
    <row r="777" spans="3:6">
      <c r="C777" s="12"/>
      <c r="D777" s="12"/>
      <c r="E777" t="b">
        <f t="shared" si="12"/>
        <v>1</v>
      </c>
      <c r="F777" s="12">
        <v>0</v>
      </c>
    </row>
    <row r="778" spans="3:6">
      <c r="C778" s="12"/>
      <c r="D778" s="12"/>
      <c r="E778" t="b">
        <f t="shared" si="12"/>
        <v>1</v>
      </c>
      <c r="F778" s="12">
        <v>0</v>
      </c>
    </row>
    <row r="779" spans="3:6">
      <c r="C779" s="12"/>
      <c r="D779" s="12"/>
      <c r="E779" t="b">
        <f t="shared" si="12"/>
        <v>1</v>
      </c>
      <c r="F779" s="12">
        <v>0</v>
      </c>
    </row>
    <row r="780" spans="3:6">
      <c r="C780" s="12"/>
      <c r="D780" s="12"/>
      <c r="E780" t="b">
        <f t="shared" si="12"/>
        <v>1</v>
      </c>
      <c r="F780" s="12">
        <v>0</v>
      </c>
    </row>
    <row r="781" spans="3:6">
      <c r="C781" s="12"/>
      <c r="D781" s="12"/>
      <c r="E781" t="b">
        <f t="shared" si="12"/>
        <v>1</v>
      </c>
      <c r="F781" s="12">
        <v>0</v>
      </c>
    </row>
    <row r="782" spans="3:6">
      <c r="C782" s="12"/>
      <c r="D782" s="12"/>
      <c r="E782" t="b">
        <f t="shared" si="12"/>
        <v>1</v>
      </c>
      <c r="F782" s="12">
        <v>0</v>
      </c>
    </row>
    <row r="783" spans="3:6">
      <c r="C783" s="12"/>
      <c r="D783" s="12"/>
      <c r="E783" t="b">
        <f t="shared" si="12"/>
        <v>1</v>
      </c>
      <c r="F783" s="12">
        <v>0</v>
      </c>
    </row>
    <row r="784" spans="3:6">
      <c r="C784" s="12"/>
      <c r="D784" s="12"/>
      <c r="E784" t="b">
        <f t="shared" si="12"/>
        <v>1</v>
      </c>
      <c r="F784" s="12">
        <v>0</v>
      </c>
    </row>
    <row r="785" spans="3:6">
      <c r="C785" s="12"/>
      <c r="D785" s="12"/>
      <c r="E785" t="b">
        <f t="shared" si="12"/>
        <v>1</v>
      </c>
      <c r="F785" s="12">
        <v>0</v>
      </c>
    </row>
    <row r="786" spans="3:6">
      <c r="C786" s="12"/>
      <c r="D786" s="12"/>
      <c r="E786" t="b">
        <f t="shared" si="12"/>
        <v>1</v>
      </c>
      <c r="F786" s="12">
        <v>0</v>
      </c>
    </row>
    <row r="787" spans="3:6">
      <c r="C787" s="12"/>
      <c r="D787" s="12"/>
      <c r="E787" t="b">
        <f t="shared" si="12"/>
        <v>1</v>
      </c>
      <c r="F787" s="12">
        <v>0</v>
      </c>
    </row>
    <row r="788" spans="3:6">
      <c r="C788" s="12"/>
      <c r="D788" s="12"/>
      <c r="E788" t="b">
        <f t="shared" si="12"/>
        <v>1</v>
      </c>
      <c r="F788" s="12">
        <v>0</v>
      </c>
    </row>
    <row r="789" spans="3:6">
      <c r="C789" s="12"/>
      <c r="D789" s="12"/>
      <c r="E789" t="b">
        <f t="shared" si="12"/>
        <v>1</v>
      </c>
      <c r="F789" s="12">
        <v>0</v>
      </c>
    </row>
    <row r="790" spans="3:6">
      <c r="C790" s="12"/>
      <c r="D790" s="12"/>
      <c r="E790" t="b">
        <f t="shared" si="12"/>
        <v>1</v>
      </c>
      <c r="F790" s="12">
        <v>0</v>
      </c>
    </row>
    <row r="791" spans="3:6">
      <c r="C791" s="12"/>
      <c r="D791" s="12"/>
      <c r="E791" t="b">
        <f t="shared" si="12"/>
        <v>1</v>
      </c>
      <c r="F791" s="12">
        <v>0</v>
      </c>
    </row>
    <row r="792" spans="3:6">
      <c r="C792" s="12"/>
      <c r="D792" s="12"/>
      <c r="E792" t="b">
        <f t="shared" si="12"/>
        <v>1</v>
      </c>
      <c r="F792" s="12">
        <v>0</v>
      </c>
    </row>
    <row r="793" spans="3:6">
      <c r="C793" s="12"/>
      <c r="D793" s="12"/>
      <c r="E793" t="b">
        <f t="shared" si="12"/>
        <v>1</v>
      </c>
      <c r="F793" s="12">
        <v>0</v>
      </c>
    </row>
    <row r="794" spans="3:6">
      <c r="C794" s="12"/>
      <c r="D794" s="12"/>
      <c r="E794" t="b">
        <f t="shared" si="12"/>
        <v>1</v>
      </c>
      <c r="F794" s="12">
        <v>0</v>
      </c>
    </row>
    <row r="795" spans="3:6">
      <c r="C795" s="12"/>
      <c r="D795" s="12"/>
      <c r="E795" t="b">
        <f t="shared" si="12"/>
        <v>1</v>
      </c>
      <c r="F795" s="12">
        <v>0</v>
      </c>
    </row>
    <row r="796" spans="3:6">
      <c r="C796" s="12"/>
      <c r="D796" s="12"/>
      <c r="E796" t="b">
        <f t="shared" si="12"/>
        <v>1</v>
      </c>
      <c r="F796" s="12">
        <v>0</v>
      </c>
    </row>
    <row r="797" spans="3:6">
      <c r="C797" s="12"/>
      <c r="D797" s="12"/>
      <c r="E797" t="b">
        <f t="shared" si="12"/>
        <v>1</v>
      </c>
      <c r="F797" s="12">
        <v>0</v>
      </c>
    </row>
    <row r="798" spans="3:6">
      <c r="C798" s="12"/>
      <c r="D798" s="12"/>
      <c r="E798" t="b">
        <f t="shared" si="12"/>
        <v>1</v>
      </c>
      <c r="F798" s="12">
        <v>0</v>
      </c>
    </row>
    <row r="799" spans="3:6">
      <c r="C799" s="12"/>
      <c r="D799" s="12"/>
      <c r="E799" t="b">
        <f t="shared" si="12"/>
        <v>1</v>
      </c>
      <c r="F799" s="12">
        <v>0</v>
      </c>
    </row>
    <row r="800" spans="3:6">
      <c r="C800" s="12"/>
      <c r="D800" s="12"/>
      <c r="E800" t="b">
        <f t="shared" si="12"/>
        <v>1</v>
      </c>
      <c r="F800" s="12">
        <v>0</v>
      </c>
    </row>
    <row r="801" spans="3:6">
      <c r="C801" s="12"/>
      <c r="D801" s="12"/>
      <c r="E801" t="b">
        <f t="shared" si="12"/>
        <v>1</v>
      </c>
      <c r="F801" s="12">
        <v>0</v>
      </c>
    </row>
    <row r="802" spans="3:6">
      <c r="C802" s="12"/>
      <c r="D802" s="12"/>
      <c r="E802" t="b">
        <f t="shared" si="12"/>
        <v>1</v>
      </c>
      <c r="F802" s="12">
        <v>0</v>
      </c>
    </row>
    <row r="803" spans="3:6">
      <c r="C803" s="12"/>
      <c r="D803" s="12"/>
      <c r="E803" t="b">
        <f t="shared" si="12"/>
        <v>1</v>
      </c>
      <c r="F803" s="12">
        <v>0</v>
      </c>
    </row>
    <row r="804" spans="3:6">
      <c r="C804" s="12"/>
      <c r="D804" s="12"/>
      <c r="E804" t="b">
        <f t="shared" si="12"/>
        <v>1</v>
      </c>
      <c r="F804" s="12">
        <v>0</v>
      </c>
    </row>
    <row r="805" spans="3:6">
      <c r="C805" s="12"/>
      <c r="D805" s="12"/>
      <c r="E805" t="b">
        <f t="shared" si="12"/>
        <v>1</v>
      </c>
      <c r="F805" s="12">
        <v>0</v>
      </c>
    </row>
    <row r="806" spans="3:6">
      <c r="C806" s="12"/>
      <c r="D806" s="12"/>
      <c r="E806" t="b">
        <f t="shared" si="12"/>
        <v>1</v>
      </c>
      <c r="F806" s="12">
        <v>0</v>
      </c>
    </row>
    <row r="807" spans="3:6">
      <c r="C807" s="12"/>
      <c r="D807" s="12"/>
      <c r="E807" t="b">
        <f t="shared" si="12"/>
        <v>1</v>
      </c>
      <c r="F807" s="12">
        <v>0</v>
      </c>
    </row>
    <row r="808" spans="3:6">
      <c r="C808" s="12"/>
      <c r="D808" s="12"/>
      <c r="E808" t="b">
        <f t="shared" si="12"/>
        <v>1</v>
      </c>
      <c r="F808" s="12">
        <v>0</v>
      </c>
    </row>
    <row r="809" spans="3:6">
      <c r="C809" s="12"/>
      <c r="D809" s="12"/>
      <c r="E809" t="b">
        <f t="shared" si="12"/>
        <v>1</v>
      </c>
      <c r="F809" s="12">
        <v>0</v>
      </c>
    </row>
    <row r="810" spans="3:6">
      <c r="C810" s="12"/>
      <c r="D810" s="12"/>
      <c r="E810" t="b">
        <f t="shared" si="12"/>
        <v>1</v>
      </c>
      <c r="F810" s="12">
        <v>0</v>
      </c>
    </row>
    <row r="811" spans="3:6">
      <c r="C811" s="12"/>
      <c r="D811" s="12"/>
      <c r="E811" t="b">
        <f t="shared" si="12"/>
        <v>1</v>
      </c>
      <c r="F811" s="12">
        <v>0</v>
      </c>
    </row>
    <row r="812" spans="3:6">
      <c r="C812" s="12"/>
      <c r="D812" s="12"/>
      <c r="E812" t="b">
        <f t="shared" si="12"/>
        <v>1</v>
      </c>
      <c r="F812" s="12">
        <v>0</v>
      </c>
    </row>
    <row r="813" spans="3:6">
      <c r="C813" s="12"/>
      <c r="D813" s="12"/>
      <c r="E813" t="b">
        <f t="shared" si="12"/>
        <v>1</v>
      </c>
      <c r="F813" s="12">
        <v>0</v>
      </c>
    </row>
    <row r="814" spans="3:6">
      <c r="C814" s="12"/>
      <c r="D814" s="12"/>
      <c r="E814" t="b">
        <f t="shared" si="12"/>
        <v>1</v>
      </c>
      <c r="F814" s="12">
        <v>0</v>
      </c>
    </row>
    <row r="815" spans="3:6">
      <c r="C815" s="12"/>
      <c r="D815" s="12"/>
      <c r="E815" t="b">
        <f t="shared" si="12"/>
        <v>1</v>
      </c>
      <c r="F815" s="12">
        <v>0</v>
      </c>
    </row>
    <row r="816" spans="3:6">
      <c r="C816" s="12"/>
      <c r="D816" s="12"/>
      <c r="E816" t="b">
        <f t="shared" si="12"/>
        <v>1</v>
      </c>
      <c r="F816" s="12">
        <v>0</v>
      </c>
    </row>
    <row r="817" spans="3:6">
      <c r="C817" s="12"/>
      <c r="D817" s="12"/>
      <c r="E817" t="b">
        <f t="shared" si="12"/>
        <v>1</v>
      </c>
      <c r="F817" s="12">
        <v>0</v>
      </c>
    </row>
    <row r="818" spans="3:6">
      <c r="C818" s="12"/>
      <c r="D818" s="12"/>
      <c r="E818" t="b">
        <f t="shared" si="12"/>
        <v>1</v>
      </c>
      <c r="F818" s="12">
        <v>0</v>
      </c>
    </row>
    <row r="819" spans="3:6">
      <c r="C819" s="12"/>
      <c r="D819" s="12"/>
      <c r="E819" t="b">
        <f t="shared" si="12"/>
        <v>1</v>
      </c>
      <c r="F819" s="12">
        <v>0</v>
      </c>
    </row>
    <row r="820" spans="3:6">
      <c r="C820" s="12"/>
      <c r="D820" s="12"/>
      <c r="E820" t="b">
        <f t="shared" si="12"/>
        <v>1</v>
      </c>
      <c r="F820" s="12">
        <v>0</v>
      </c>
    </row>
    <row r="821" spans="3:6">
      <c r="C821" s="12"/>
      <c r="D821" s="12"/>
      <c r="E821" t="b">
        <f t="shared" si="12"/>
        <v>1</v>
      </c>
      <c r="F821" s="12">
        <v>0</v>
      </c>
    </row>
    <row r="822" spans="3:6">
      <c r="C822" s="12"/>
      <c r="D822" s="12"/>
      <c r="E822" t="b">
        <f t="shared" si="12"/>
        <v>1</v>
      </c>
      <c r="F822" s="12">
        <v>0</v>
      </c>
    </row>
    <row r="823" spans="3:6">
      <c r="C823" s="12"/>
      <c r="D823" s="12"/>
      <c r="E823" t="b">
        <f t="shared" si="12"/>
        <v>1</v>
      </c>
      <c r="F823" s="12">
        <v>0</v>
      </c>
    </row>
    <row r="824" spans="3:6">
      <c r="C824" s="12"/>
      <c r="D824" s="12"/>
      <c r="E824" t="b">
        <f t="shared" si="12"/>
        <v>1</v>
      </c>
      <c r="F824" s="12">
        <v>0</v>
      </c>
    </row>
    <row r="825" spans="3:6">
      <c r="C825" s="12"/>
      <c r="D825" s="12"/>
      <c r="E825" t="b">
        <f t="shared" si="12"/>
        <v>1</v>
      </c>
      <c r="F825" s="12">
        <v>0</v>
      </c>
    </row>
    <row r="826" spans="3:6">
      <c r="C826" s="12"/>
      <c r="D826" s="12"/>
      <c r="E826" t="b">
        <f t="shared" si="12"/>
        <v>1</v>
      </c>
      <c r="F826" s="12">
        <v>0</v>
      </c>
    </row>
    <row r="827" spans="3:6">
      <c r="C827" s="12"/>
      <c r="D827" s="12"/>
      <c r="E827" t="b">
        <f t="shared" si="12"/>
        <v>1</v>
      </c>
      <c r="F827" s="12">
        <v>0</v>
      </c>
    </row>
    <row r="828" spans="3:6">
      <c r="C828" s="12"/>
      <c r="D828" s="12"/>
      <c r="E828" t="b">
        <f t="shared" si="12"/>
        <v>1</v>
      </c>
      <c r="F828" s="12">
        <v>0</v>
      </c>
    </row>
    <row r="829" spans="3:6">
      <c r="C829" s="12"/>
      <c r="D829" s="12"/>
      <c r="E829" t="b">
        <f t="shared" si="12"/>
        <v>1</v>
      </c>
      <c r="F829" s="12">
        <v>0</v>
      </c>
    </row>
    <row r="830" spans="3:6">
      <c r="C830" s="12"/>
      <c r="D830" s="12"/>
      <c r="E830" t="b">
        <f t="shared" si="12"/>
        <v>1</v>
      </c>
      <c r="F830" s="12">
        <v>0</v>
      </c>
    </row>
    <row r="831" spans="3:6">
      <c r="C831" s="12"/>
      <c r="D831" s="12"/>
      <c r="E831" t="b">
        <f t="shared" si="12"/>
        <v>1</v>
      </c>
      <c r="F831" s="12">
        <v>0</v>
      </c>
    </row>
    <row r="832" spans="3:6">
      <c r="C832" s="12"/>
      <c r="D832" s="12"/>
      <c r="E832" t="b">
        <f t="shared" si="12"/>
        <v>1</v>
      </c>
      <c r="F832" s="12">
        <v>0</v>
      </c>
    </row>
    <row r="833" spans="3:6">
      <c r="C833" s="12"/>
      <c r="D833" s="12"/>
      <c r="E833" t="b">
        <f t="shared" si="12"/>
        <v>1</v>
      </c>
      <c r="F833" s="12">
        <v>0</v>
      </c>
    </row>
    <row r="834" spans="3:6">
      <c r="C834" s="12"/>
      <c r="D834" s="12"/>
      <c r="E834" t="b">
        <f t="shared" si="12"/>
        <v>1</v>
      </c>
      <c r="F834" s="12">
        <v>0</v>
      </c>
    </row>
    <row r="835" spans="3:6">
      <c r="C835" s="12"/>
      <c r="D835" s="12"/>
      <c r="E835" t="b">
        <f t="shared" ref="E835:E898" si="13">F835=C835</f>
        <v>1</v>
      </c>
      <c r="F835" s="12">
        <v>0</v>
      </c>
    </row>
    <row r="836" spans="3:6">
      <c r="C836" s="12"/>
      <c r="D836" s="12"/>
      <c r="E836" t="b">
        <f t="shared" si="13"/>
        <v>1</v>
      </c>
      <c r="F836" s="12">
        <v>0</v>
      </c>
    </row>
    <row r="837" spans="3:6">
      <c r="C837" s="12"/>
      <c r="D837" s="12"/>
      <c r="E837" t="b">
        <f t="shared" si="13"/>
        <v>1</v>
      </c>
      <c r="F837" s="12">
        <v>0</v>
      </c>
    </row>
    <row r="838" spans="3:6">
      <c r="C838" s="12"/>
      <c r="D838" s="12"/>
      <c r="E838" t="b">
        <f t="shared" si="13"/>
        <v>1</v>
      </c>
      <c r="F838" s="12">
        <v>0</v>
      </c>
    </row>
    <row r="839" spans="3:6">
      <c r="C839" s="12"/>
      <c r="D839" s="12"/>
      <c r="E839" t="b">
        <f t="shared" si="13"/>
        <v>1</v>
      </c>
      <c r="F839" s="12">
        <v>0</v>
      </c>
    </row>
    <row r="840" spans="3:6">
      <c r="C840" s="12"/>
      <c r="D840" s="12"/>
      <c r="E840" t="b">
        <f t="shared" si="13"/>
        <v>1</v>
      </c>
      <c r="F840" s="12">
        <v>0</v>
      </c>
    </row>
    <row r="841" spans="3:6">
      <c r="C841" s="12"/>
      <c r="D841" s="12"/>
      <c r="E841" t="b">
        <f t="shared" si="13"/>
        <v>1</v>
      </c>
      <c r="F841" s="12">
        <v>0</v>
      </c>
    </row>
    <row r="842" spans="3:6">
      <c r="C842" s="12"/>
      <c r="D842" s="12"/>
      <c r="E842" t="b">
        <f t="shared" si="13"/>
        <v>1</v>
      </c>
      <c r="F842" s="12">
        <v>0</v>
      </c>
    </row>
    <row r="843" spans="3:6">
      <c r="C843" s="12"/>
      <c r="D843" s="12"/>
      <c r="E843" t="b">
        <f t="shared" si="13"/>
        <v>1</v>
      </c>
      <c r="F843" s="12">
        <v>0</v>
      </c>
    </row>
    <row r="844" spans="3:6">
      <c r="C844" s="12"/>
      <c r="D844" s="12"/>
      <c r="E844" t="b">
        <f t="shared" si="13"/>
        <v>1</v>
      </c>
      <c r="F844" s="12">
        <v>0</v>
      </c>
    </row>
    <row r="845" spans="3:6">
      <c r="C845" s="12"/>
      <c r="D845" s="12"/>
      <c r="E845" t="b">
        <f t="shared" si="13"/>
        <v>1</v>
      </c>
      <c r="F845" s="12">
        <v>0</v>
      </c>
    </row>
    <row r="846" spans="3:6">
      <c r="C846" s="12"/>
      <c r="D846" s="12"/>
      <c r="E846" t="b">
        <f t="shared" si="13"/>
        <v>1</v>
      </c>
      <c r="F846" s="12">
        <v>0</v>
      </c>
    </row>
    <row r="847" spans="3:6">
      <c r="C847" s="12"/>
      <c r="D847" s="12"/>
      <c r="E847" t="b">
        <f t="shared" si="13"/>
        <v>1</v>
      </c>
      <c r="F847" s="12">
        <v>0</v>
      </c>
    </row>
    <row r="848" spans="3:6">
      <c r="C848" s="12"/>
      <c r="D848" s="12"/>
      <c r="E848" t="b">
        <f t="shared" si="13"/>
        <v>1</v>
      </c>
      <c r="F848" s="12">
        <v>0</v>
      </c>
    </row>
    <row r="849" spans="3:6">
      <c r="C849" s="12"/>
      <c r="D849" s="12"/>
      <c r="E849" t="b">
        <f t="shared" si="13"/>
        <v>1</v>
      </c>
      <c r="F849" s="12">
        <v>0</v>
      </c>
    </row>
    <row r="850" spans="3:6">
      <c r="C850" s="12"/>
      <c r="D850" s="12"/>
      <c r="E850" t="b">
        <f t="shared" si="13"/>
        <v>1</v>
      </c>
      <c r="F850" s="12">
        <v>0</v>
      </c>
    </row>
    <row r="851" spans="3:6">
      <c r="C851" s="12"/>
      <c r="D851" s="12"/>
      <c r="E851" t="b">
        <f t="shared" si="13"/>
        <v>1</v>
      </c>
      <c r="F851" s="12">
        <v>0</v>
      </c>
    </row>
    <row r="852" spans="3:6">
      <c r="C852" s="12"/>
      <c r="D852" s="12"/>
      <c r="E852" t="b">
        <f t="shared" si="13"/>
        <v>1</v>
      </c>
      <c r="F852" s="12">
        <v>0</v>
      </c>
    </row>
    <row r="853" spans="3:6">
      <c r="C853" s="12"/>
      <c r="D853" s="12"/>
      <c r="E853" t="b">
        <f t="shared" si="13"/>
        <v>1</v>
      </c>
      <c r="F853" s="12">
        <v>0</v>
      </c>
    </row>
    <row r="854" spans="3:6">
      <c r="C854" s="12"/>
      <c r="D854" s="12"/>
      <c r="E854" t="b">
        <f t="shared" si="13"/>
        <v>1</v>
      </c>
      <c r="F854" s="12">
        <v>0</v>
      </c>
    </row>
    <row r="855" spans="3:6">
      <c r="C855" s="12"/>
      <c r="D855" s="12"/>
      <c r="E855" t="b">
        <f t="shared" si="13"/>
        <v>1</v>
      </c>
      <c r="F855" s="12">
        <v>0</v>
      </c>
    </row>
    <row r="856" spans="3:6">
      <c r="C856" s="12"/>
      <c r="D856" s="12"/>
      <c r="E856" t="b">
        <f t="shared" si="13"/>
        <v>1</v>
      </c>
      <c r="F856" s="12">
        <v>0</v>
      </c>
    </row>
    <row r="857" spans="3:6">
      <c r="C857" s="12"/>
      <c r="D857" s="12"/>
      <c r="E857" t="b">
        <f t="shared" si="13"/>
        <v>1</v>
      </c>
      <c r="F857" s="12">
        <v>0</v>
      </c>
    </row>
    <row r="858" spans="3:6">
      <c r="C858" s="12"/>
      <c r="D858" s="12"/>
      <c r="E858" t="b">
        <f t="shared" si="13"/>
        <v>1</v>
      </c>
      <c r="F858" s="12">
        <v>0</v>
      </c>
    </row>
    <row r="859" spans="3:6">
      <c r="C859" s="12"/>
      <c r="D859" s="12"/>
      <c r="E859" t="b">
        <f t="shared" si="13"/>
        <v>1</v>
      </c>
      <c r="F859" s="12">
        <v>0</v>
      </c>
    </row>
    <row r="860" spans="3:6">
      <c r="C860" s="12"/>
      <c r="D860" s="12"/>
      <c r="E860" t="b">
        <f t="shared" si="13"/>
        <v>1</v>
      </c>
      <c r="F860" s="12">
        <v>0</v>
      </c>
    </row>
    <row r="861" spans="3:6">
      <c r="C861" s="12"/>
      <c r="D861" s="12"/>
      <c r="E861" t="b">
        <f t="shared" si="13"/>
        <v>1</v>
      </c>
      <c r="F861" s="12">
        <v>0</v>
      </c>
    </row>
    <row r="862" spans="3:6">
      <c r="C862" s="12"/>
      <c r="D862" s="12"/>
      <c r="E862" t="b">
        <f t="shared" si="13"/>
        <v>1</v>
      </c>
      <c r="F862" s="12">
        <v>0</v>
      </c>
    </row>
    <row r="863" spans="3:6">
      <c r="C863" s="12"/>
      <c r="D863" s="12"/>
      <c r="E863" t="b">
        <f t="shared" si="13"/>
        <v>1</v>
      </c>
      <c r="F863" s="12">
        <v>0</v>
      </c>
    </row>
    <row r="864" spans="3:6">
      <c r="C864" s="12"/>
      <c r="D864" s="12"/>
      <c r="E864" t="b">
        <f t="shared" si="13"/>
        <v>1</v>
      </c>
      <c r="F864" s="12">
        <v>0</v>
      </c>
    </row>
    <row r="865" spans="3:6">
      <c r="C865" s="12"/>
      <c r="D865" s="12"/>
      <c r="E865" t="b">
        <f t="shared" si="13"/>
        <v>1</v>
      </c>
      <c r="F865" s="12">
        <v>0</v>
      </c>
    </row>
    <row r="866" spans="3:6">
      <c r="C866" s="12"/>
      <c r="D866" s="12"/>
      <c r="E866" t="b">
        <f t="shared" si="13"/>
        <v>1</v>
      </c>
      <c r="F866" s="12">
        <v>0</v>
      </c>
    </row>
    <row r="867" spans="3:6">
      <c r="C867" s="12"/>
      <c r="D867" s="12"/>
      <c r="E867" t="b">
        <f t="shared" si="13"/>
        <v>1</v>
      </c>
      <c r="F867" s="12">
        <v>0</v>
      </c>
    </row>
    <row r="868" spans="3:6">
      <c r="C868" s="12"/>
      <c r="D868" s="12"/>
      <c r="E868" t="b">
        <f t="shared" si="13"/>
        <v>1</v>
      </c>
      <c r="F868" s="12">
        <v>0</v>
      </c>
    </row>
    <row r="869" spans="3:6">
      <c r="C869" s="12"/>
      <c r="D869" s="12"/>
      <c r="E869" t="b">
        <f t="shared" si="13"/>
        <v>1</v>
      </c>
      <c r="F869" s="12">
        <v>0</v>
      </c>
    </row>
    <row r="870" spans="3:6">
      <c r="C870" s="12"/>
      <c r="D870" s="12"/>
      <c r="E870" t="b">
        <f t="shared" si="13"/>
        <v>1</v>
      </c>
      <c r="F870" s="12">
        <v>0</v>
      </c>
    </row>
    <row r="871" spans="3:6">
      <c r="C871" s="12"/>
      <c r="D871" s="12"/>
      <c r="E871" t="b">
        <f t="shared" si="13"/>
        <v>1</v>
      </c>
      <c r="F871" s="12">
        <v>0</v>
      </c>
    </row>
    <row r="872" spans="3:6">
      <c r="C872" s="12"/>
      <c r="D872" s="12"/>
      <c r="E872" t="b">
        <f t="shared" si="13"/>
        <v>1</v>
      </c>
      <c r="F872" s="12">
        <v>0</v>
      </c>
    </row>
    <row r="873" spans="3:6">
      <c r="C873" s="12"/>
      <c r="D873" s="12"/>
      <c r="E873" t="b">
        <f t="shared" si="13"/>
        <v>1</v>
      </c>
      <c r="F873" s="12">
        <v>0</v>
      </c>
    </row>
    <row r="874" spans="3:6">
      <c r="C874" s="12"/>
      <c r="D874" s="12"/>
      <c r="E874" t="b">
        <f t="shared" si="13"/>
        <v>1</v>
      </c>
      <c r="F874" s="12">
        <v>0</v>
      </c>
    </row>
    <row r="875" spans="3:6">
      <c r="C875" s="12"/>
      <c r="D875" s="12"/>
      <c r="E875" t="b">
        <f t="shared" si="13"/>
        <v>1</v>
      </c>
      <c r="F875" s="12">
        <v>0</v>
      </c>
    </row>
    <row r="876" spans="3:6">
      <c r="C876" s="12"/>
      <c r="D876" s="12"/>
      <c r="E876" t="b">
        <f t="shared" si="13"/>
        <v>1</v>
      </c>
      <c r="F876" s="12">
        <v>0</v>
      </c>
    </row>
    <row r="877" spans="3:6">
      <c r="C877" s="12"/>
      <c r="D877" s="12"/>
      <c r="E877" t="b">
        <f t="shared" si="13"/>
        <v>1</v>
      </c>
      <c r="F877" s="12">
        <v>0</v>
      </c>
    </row>
    <row r="878" spans="3:6">
      <c r="C878" s="12"/>
      <c r="D878" s="12"/>
      <c r="E878" t="b">
        <f t="shared" si="13"/>
        <v>1</v>
      </c>
      <c r="F878" s="12">
        <v>0</v>
      </c>
    </row>
    <row r="879" spans="3:6">
      <c r="C879" s="12"/>
      <c r="D879" s="12"/>
      <c r="E879" t="b">
        <f t="shared" si="13"/>
        <v>1</v>
      </c>
      <c r="F879" s="12">
        <v>0</v>
      </c>
    </row>
    <row r="880" spans="3:6">
      <c r="C880" s="12"/>
      <c r="D880" s="12"/>
      <c r="E880" t="b">
        <f t="shared" si="13"/>
        <v>1</v>
      </c>
      <c r="F880" s="12">
        <v>0</v>
      </c>
    </row>
    <row r="881" spans="3:6">
      <c r="C881" s="12"/>
      <c r="D881" s="12"/>
      <c r="E881" t="b">
        <f t="shared" si="13"/>
        <v>1</v>
      </c>
      <c r="F881" s="12">
        <v>0</v>
      </c>
    </row>
    <row r="882" spans="3:6">
      <c r="C882" s="12"/>
      <c r="D882" s="12"/>
      <c r="E882" t="b">
        <f t="shared" si="13"/>
        <v>1</v>
      </c>
      <c r="F882" s="12">
        <v>0</v>
      </c>
    </row>
    <row r="883" spans="3:6">
      <c r="C883" s="12"/>
      <c r="D883" s="12"/>
      <c r="E883" t="b">
        <f t="shared" si="13"/>
        <v>1</v>
      </c>
      <c r="F883" s="12">
        <v>0</v>
      </c>
    </row>
    <row r="884" spans="3:6">
      <c r="C884" s="12"/>
      <c r="D884" s="12"/>
      <c r="E884" t="b">
        <f t="shared" si="13"/>
        <v>1</v>
      </c>
      <c r="F884" s="12">
        <v>0</v>
      </c>
    </row>
    <row r="885" spans="3:6">
      <c r="C885" s="12"/>
      <c r="D885" s="12"/>
      <c r="E885" t="b">
        <f t="shared" si="13"/>
        <v>1</v>
      </c>
      <c r="F885" s="12">
        <v>0</v>
      </c>
    </row>
    <row r="886" spans="3:6">
      <c r="C886" s="12"/>
      <c r="D886" s="12"/>
      <c r="E886" t="b">
        <f t="shared" si="13"/>
        <v>1</v>
      </c>
      <c r="F886" s="12">
        <v>0</v>
      </c>
    </row>
    <row r="887" spans="3:6">
      <c r="C887" s="12"/>
      <c r="D887" s="12"/>
      <c r="E887" t="b">
        <f t="shared" si="13"/>
        <v>1</v>
      </c>
      <c r="F887" s="12">
        <v>0</v>
      </c>
    </row>
    <row r="888" spans="3:6">
      <c r="C888" s="12"/>
      <c r="D888" s="12"/>
      <c r="E888" t="b">
        <f t="shared" si="13"/>
        <v>1</v>
      </c>
      <c r="F888" s="12">
        <v>0</v>
      </c>
    </row>
    <row r="889" spans="3:6">
      <c r="C889" s="12"/>
      <c r="D889" s="12"/>
      <c r="E889" t="b">
        <f t="shared" si="13"/>
        <v>1</v>
      </c>
      <c r="F889" s="12">
        <v>0</v>
      </c>
    </row>
    <row r="890" spans="3:6">
      <c r="C890" s="12"/>
      <c r="D890" s="12"/>
      <c r="E890" t="b">
        <f t="shared" si="13"/>
        <v>1</v>
      </c>
      <c r="F890" s="12">
        <v>0</v>
      </c>
    </row>
    <row r="891" spans="3:6">
      <c r="C891" s="12"/>
      <c r="D891" s="12"/>
      <c r="E891" t="b">
        <f t="shared" si="13"/>
        <v>1</v>
      </c>
      <c r="F891" s="12">
        <v>0</v>
      </c>
    </row>
    <row r="892" spans="3:6">
      <c r="C892" s="12"/>
      <c r="D892" s="12"/>
      <c r="E892" t="b">
        <f t="shared" si="13"/>
        <v>1</v>
      </c>
      <c r="F892" s="12">
        <v>0</v>
      </c>
    </row>
    <row r="893" spans="3:6">
      <c r="C893" s="12"/>
      <c r="D893" s="12"/>
      <c r="E893" t="b">
        <f t="shared" si="13"/>
        <v>1</v>
      </c>
      <c r="F893" s="12">
        <v>0</v>
      </c>
    </row>
    <row r="894" spans="3:6">
      <c r="C894" s="12"/>
      <c r="D894" s="12"/>
      <c r="E894" t="b">
        <f t="shared" si="13"/>
        <v>1</v>
      </c>
      <c r="F894" s="12">
        <v>0</v>
      </c>
    </row>
    <row r="895" spans="3:6">
      <c r="C895" s="12"/>
      <c r="D895" s="12"/>
      <c r="E895" t="b">
        <f t="shared" si="13"/>
        <v>1</v>
      </c>
      <c r="F895" s="12">
        <v>0</v>
      </c>
    </row>
    <row r="896" spans="3:6">
      <c r="C896" s="12"/>
      <c r="D896" s="12"/>
      <c r="E896" t="b">
        <f t="shared" si="13"/>
        <v>1</v>
      </c>
      <c r="F896" s="12">
        <v>0</v>
      </c>
    </row>
    <row r="897" spans="3:6">
      <c r="C897" s="12"/>
      <c r="D897" s="12"/>
      <c r="E897" t="b">
        <f t="shared" si="13"/>
        <v>1</v>
      </c>
      <c r="F897" s="12">
        <v>0</v>
      </c>
    </row>
    <row r="898" spans="3:6">
      <c r="C898" s="12"/>
      <c r="D898" s="12"/>
      <c r="E898" t="b">
        <f t="shared" si="13"/>
        <v>1</v>
      </c>
      <c r="F898" s="12">
        <v>0</v>
      </c>
    </row>
    <row r="899" spans="3:6">
      <c r="C899" s="12"/>
      <c r="D899" s="12"/>
      <c r="E899" t="b">
        <f t="shared" ref="E899:E962" si="14">F899=C899</f>
        <v>1</v>
      </c>
      <c r="F899" s="12">
        <v>0</v>
      </c>
    </row>
    <row r="900" spans="3:6">
      <c r="C900" s="12"/>
      <c r="D900" s="12"/>
      <c r="E900" t="b">
        <f t="shared" si="14"/>
        <v>1</v>
      </c>
      <c r="F900" s="12">
        <v>0</v>
      </c>
    </row>
    <row r="901" spans="3:6">
      <c r="C901" s="12"/>
      <c r="D901" s="12"/>
      <c r="E901" t="b">
        <f t="shared" si="14"/>
        <v>1</v>
      </c>
      <c r="F901" s="12">
        <v>0</v>
      </c>
    </row>
    <row r="902" spans="3:6">
      <c r="C902" s="12"/>
      <c r="D902" s="12"/>
      <c r="E902" t="b">
        <f t="shared" si="14"/>
        <v>1</v>
      </c>
      <c r="F902" s="12">
        <v>0</v>
      </c>
    </row>
    <row r="903" spans="3:6">
      <c r="C903" s="12"/>
      <c r="D903" s="12"/>
      <c r="E903" t="b">
        <f t="shared" si="14"/>
        <v>1</v>
      </c>
      <c r="F903" s="12">
        <v>0</v>
      </c>
    </row>
    <row r="904" spans="3:6">
      <c r="C904" s="12"/>
      <c r="D904" s="12"/>
      <c r="E904" t="b">
        <f t="shared" si="14"/>
        <v>1</v>
      </c>
      <c r="F904" s="12">
        <v>0</v>
      </c>
    </row>
    <row r="905" spans="3:6">
      <c r="C905" s="12"/>
      <c r="D905" s="12"/>
      <c r="E905" t="b">
        <f t="shared" si="14"/>
        <v>1</v>
      </c>
      <c r="F905" s="12">
        <v>0</v>
      </c>
    </row>
    <row r="906" spans="3:6">
      <c r="C906" s="12"/>
      <c r="D906" s="12"/>
      <c r="E906" t="b">
        <f t="shared" si="14"/>
        <v>1</v>
      </c>
      <c r="F906" s="12">
        <v>0</v>
      </c>
    </row>
    <row r="907" spans="3:6">
      <c r="C907" s="12"/>
      <c r="D907" s="12"/>
      <c r="E907" t="b">
        <f t="shared" si="14"/>
        <v>1</v>
      </c>
      <c r="F907" s="12">
        <v>0</v>
      </c>
    </row>
    <row r="908" spans="3:6">
      <c r="C908" s="12"/>
      <c r="D908" s="12"/>
      <c r="E908" t="b">
        <f t="shared" si="14"/>
        <v>1</v>
      </c>
      <c r="F908" s="12">
        <v>0</v>
      </c>
    </row>
    <row r="909" spans="3:6">
      <c r="C909" s="12"/>
      <c r="D909" s="12"/>
      <c r="E909" t="b">
        <f t="shared" si="14"/>
        <v>1</v>
      </c>
      <c r="F909" s="12">
        <v>0</v>
      </c>
    </row>
    <row r="910" spans="3:6">
      <c r="C910" s="12"/>
      <c r="D910" s="12"/>
      <c r="E910" t="b">
        <f t="shared" si="14"/>
        <v>1</v>
      </c>
      <c r="F910" s="12">
        <v>0</v>
      </c>
    </row>
    <row r="911" spans="3:6">
      <c r="C911" s="12"/>
      <c r="D911" s="12"/>
      <c r="E911" t="b">
        <f t="shared" si="14"/>
        <v>1</v>
      </c>
      <c r="F911" s="12">
        <v>0</v>
      </c>
    </row>
    <row r="912" spans="3:6">
      <c r="C912" s="12"/>
      <c r="D912" s="12"/>
      <c r="E912" t="b">
        <f t="shared" si="14"/>
        <v>1</v>
      </c>
      <c r="F912" s="12">
        <v>0</v>
      </c>
    </row>
    <row r="913" spans="3:6">
      <c r="C913" s="12"/>
      <c r="D913" s="12"/>
      <c r="E913" t="b">
        <f t="shared" si="14"/>
        <v>1</v>
      </c>
      <c r="F913" s="12">
        <v>0</v>
      </c>
    </row>
    <row r="914" spans="3:6">
      <c r="C914" s="12"/>
      <c r="D914" s="12"/>
      <c r="E914" t="b">
        <f t="shared" si="14"/>
        <v>1</v>
      </c>
      <c r="F914" s="12">
        <v>0</v>
      </c>
    </row>
    <row r="915" spans="3:6">
      <c r="C915" s="12"/>
      <c r="D915" s="12"/>
      <c r="E915" t="b">
        <f t="shared" si="14"/>
        <v>1</v>
      </c>
      <c r="F915" s="12">
        <v>0</v>
      </c>
    </row>
    <row r="916" spans="3:6">
      <c r="C916" s="12"/>
      <c r="D916" s="12"/>
      <c r="E916" t="b">
        <f t="shared" si="14"/>
        <v>1</v>
      </c>
      <c r="F916" s="12">
        <v>0</v>
      </c>
    </row>
    <row r="917" spans="3:6">
      <c r="C917" s="12"/>
      <c r="D917" s="12"/>
      <c r="E917" t="b">
        <f t="shared" si="14"/>
        <v>1</v>
      </c>
      <c r="F917" s="12">
        <v>0</v>
      </c>
    </row>
    <row r="918" spans="3:6">
      <c r="C918" s="12"/>
      <c r="D918" s="12"/>
      <c r="E918" t="b">
        <f t="shared" si="14"/>
        <v>1</v>
      </c>
      <c r="F918" s="12">
        <v>0</v>
      </c>
    </row>
    <row r="919" spans="3:6">
      <c r="C919" s="12"/>
      <c r="D919" s="12"/>
      <c r="E919" t="b">
        <f t="shared" si="14"/>
        <v>1</v>
      </c>
      <c r="F919" s="12">
        <v>0</v>
      </c>
    </row>
    <row r="920" spans="3:6">
      <c r="C920" s="12"/>
      <c r="D920" s="12"/>
      <c r="E920" t="b">
        <f t="shared" si="14"/>
        <v>1</v>
      </c>
      <c r="F920" s="12">
        <v>0</v>
      </c>
    </row>
    <row r="921" spans="3:6">
      <c r="C921" s="12"/>
      <c r="D921" s="12"/>
      <c r="E921" t="b">
        <f t="shared" si="14"/>
        <v>1</v>
      </c>
      <c r="F921" s="12">
        <v>0</v>
      </c>
    </row>
    <row r="922" spans="3:6">
      <c r="C922" s="12"/>
      <c r="D922" s="12"/>
      <c r="E922" t="b">
        <f t="shared" si="14"/>
        <v>1</v>
      </c>
      <c r="F922" s="12">
        <v>0</v>
      </c>
    </row>
    <row r="923" spans="3:6">
      <c r="C923" s="12"/>
      <c r="D923" s="12"/>
      <c r="E923" t="b">
        <f t="shared" si="14"/>
        <v>1</v>
      </c>
      <c r="F923" s="12">
        <v>0</v>
      </c>
    </row>
    <row r="924" spans="3:6">
      <c r="C924" s="12"/>
      <c r="D924" s="12"/>
      <c r="E924" t="b">
        <f t="shared" si="14"/>
        <v>1</v>
      </c>
      <c r="F924" s="12">
        <v>0</v>
      </c>
    </row>
    <row r="925" spans="3:6">
      <c r="C925" s="12"/>
      <c r="D925" s="12"/>
      <c r="E925" t="b">
        <f t="shared" si="14"/>
        <v>1</v>
      </c>
      <c r="F925" s="12">
        <v>0</v>
      </c>
    </row>
    <row r="926" spans="3:6">
      <c r="C926" s="12"/>
      <c r="D926" s="12"/>
      <c r="E926" t="b">
        <f t="shared" si="14"/>
        <v>1</v>
      </c>
      <c r="F926" s="12">
        <v>0</v>
      </c>
    </row>
    <row r="927" spans="3:6">
      <c r="C927" s="12"/>
      <c r="D927" s="12"/>
      <c r="E927" t="b">
        <f t="shared" si="14"/>
        <v>1</v>
      </c>
      <c r="F927" s="12">
        <v>0</v>
      </c>
    </row>
    <row r="928" spans="3:6">
      <c r="C928" s="12"/>
      <c r="D928" s="12"/>
      <c r="E928" t="b">
        <f t="shared" si="14"/>
        <v>1</v>
      </c>
      <c r="F928" s="12">
        <v>0</v>
      </c>
    </row>
    <row r="929" spans="3:6">
      <c r="C929" s="12"/>
      <c r="D929" s="12"/>
      <c r="E929" t="b">
        <f t="shared" si="14"/>
        <v>1</v>
      </c>
      <c r="F929" s="12">
        <v>0</v>
      </c>
    </row>
    <row r="930" spans="3:6">
      <c r="C930" s="12"/>
      <c r="D930" s="12"/>
      <c r="E930" t="b">
        <f t="shared" si="14"/>
        <v>1</v>
      </c>
      <c r="F930" s="12">
        <v>0</v>
      </c>
    </row>
    <row r="931" spans="3:6">
      <c r="C931" s="12"/>
      <c r="D931" s="12"/>
      <c r="E931" t="b">
        <f t="shared" si="14"/>
        <v>1</v>
      </c>
      <c r="F931" s="12">
        <v>0</v>
      </c>
    </row>
    <row r="932" spans="3:6">
      <c r="C932" s="12"/>
      <c r="D932" s="12"/>
      <c r="E932" t="b">
        <f t="shared" si="14"/>
        <v>1</v>
      </c>
      <c r="F932" s="12">
        <v>0</v>
      </c>
    </row>
    <row r="933" spans="3:6">
      <c r="C933" s="12"/>
      <c r="D933" s="12"/>
      <c r="E933" t="b">
        <f t="shared" si="14"/>
        <v>1</v>
      </c>
      <c r="F933" s="12">
        <v>0</v>
      </c>
    </row>
    <row r="934" spans="3:6">
      <c r="C934" s="12"/>
      <c r="D934" s="12"/>
      <c r="E934" t="b">
        <f t="shared" si="14"/>
        <v>1</v>
      </c>
      <c r="F934" s="12">
        <v>0</v>
      </c>
    </row>
    <row r="935" spans="3:6">
      <c r="C935" s="12"/>
      <c r="D935" s="12"/>
      <c r="E935" t="b">
        <f t="shared" si="14"/>
        <v>1</v>
      </c>
      <c r="F935" s="12">
        <v>0</v>
      </c>
    </row>
    <row r="936" spans="3:6">
      <c r="C936" s="12"/>
      <c r="D936" s="12"/>
      <c r="E936" t="b">
        <f t="shared" si="14"/>
        <v>1</v>
      </c>
      <c r="F936" s="12">
        <v>0</v>
      </c>
    </row>
    <row r="937" spans="3:6">
      <c r="C937" s="12"/>
      <c r="D937" s="12"/>
      <c r="E937" t="b">
        <f t="shared" si="14"/>
        <v>1</v>
      </c>
      <c r="F937" s="12">
        <v>0</v>
      </c>
    </row>
    <row r="938" spans="3:6">
      <c r="C938" s="12"/>
      <c r="D938" s="12"/>
      <c r="E938" t="b">
        <f t="shared" si="14"/>
        <v>1</v>
      </c>
      <c r="F938" s="12">
        <v>0</v>
      </c>
    </row>
    <row r="939" spans="3:6">
      <c r="C939" s="12"/>
      <c r="D939" s="12"/>
      <c r="E939" t="b">
        <f t="shared" si="14"/>
        <v>1</v>
      </c>
      <c r="F939" s="12">
        <v>0</v>
      </c>
    </row>
    <row r="940" spans="3:6">
      <c r="C940" s="12"/>
      <c r="D940" s="12"/>
      <c r="E940" t="b">
        <f t="shared" si="14"/>
        <v>1</v>
      </c>
      <c r="F940" s="12">
        <v>0</v>
      </c>
    </row>
    <row r="941" spans="3:6">
      <c r="C941" s="12"/>
      <c r="D941" s="12"/>
      <c r="E941" t="b">
        <f t="shared" si="14"/>
        <v>1</v>
      </c>
      <c r="F941" s="12">
        <v>0</v>
      </c>
    </row>
    <row r="942" spans="3:6">
      <c r="C942" s="12"/>
      <c r="D942" s="12"/>
      <c r="E942" t="b">
        <f t="shared" si="14"/>
        <v>1</v>
      </c>
      <c r="F942" s="12">
        <v>0</v>
      </c>
    </row>
    <row r="943" spans="3:6">
      <c r="C943" s="12"/>
      <c r="D943" s="12"/>
      <c r="E943" t="b">
        <f t="shared" si="14"/>
        <v>1</v>
      </c>
      <c r="F943" s="12">
        <v>0</v>
      </c>
    </row>
    <row r="944" spans="3:6">
      <c r="C944" s="12"/>
      <c r="D944" s="12"/>
      <c r="E944" t="b">
        <f t="shared" si="14"/>
        <v>1</v>
      </c>
      <c r="F944" s="12">
        <v>0</v>
      </c>
    </row>
    <row r="945" spans="3:6">
      <c r="C945" s="12"/>
      <c r="D945" s="12"/>
      <c r="E945" t="b">
        <f t="shared" si="14"/>
        <v>1</v>
      </c>
      <c r="F945" s="12">
        <v>0</v>
      </c>
    </row>
    <row r="946" spans="3:6">
      <c r="C946" s="12"/>
      <c r="D946" s="12"/>
      <c r="E946" t="b">
        <f t="shared" si="14"/>
        <v>1</v>
      </c>
      <c r="F946" s="12">
        <v>0</v>
      </c>
    </row>
    <row r="947" spans="3:6">
      <c r="C947" s="12"/>
      <c r="D947" s="12"/>
      <c r="E947" t="b">
        <f t="shared" si="14"/>
        <v>1</v>
      </c>
      <c r="F947" s="12">
        <v>0</v>
      </c>
    </row>
    <row r="948" spans="3:6">
      <c r="C948" s="12"/>
      <c r="D948" s="12"/>
      <c r="E948" t="b">
        <f t="shared" si="14"/>
        <v>1</v>
      </c>
      <c r="F948" s="12">
        <v>0</v>
      </c>
    </row>
    <row r="949" spans="3:6">
      <c r="C949" s="12"/>
      <c r="D949" s="12"/>
      <c r="E949" t="b">
        <f t="shared" si="14"/>
        <v>1</v>
      </c>
      <c r="F949" s="12">
        <v>0</v>
      </c>
    </row>
    <row r="950" spans="3:6">
      <c r="C950" s="12"/>
      <c r="D950" s="12"/>
      <c r="E950" t="b">
        <f t="shared" si="14"/>
        <v>1</v>
      </c>
      <c r="F950" s="12">
        <v>0</v>
      </c>
    </row>
    <row r="951" spans="3:6">
      <c r="C951" s="12"/>
      <c r="D951" s="12"/>
      <c r="E951" t="b">
        <f t="shared" si="14"/>
        <v>1</v>
      </c>
      <c r="F951" s="12">
        <v>0</v>
      </c>
    </row>
    <row r="952" spans="3:6">
      <c r="C952" s="12"/>
      <c r="D952" s="12"/>
      <c r="E952" t="b">
        <f t="shared" si="14"/>
        <v>1</v>
      </c>
      <c r="F952" s="12">
        <v>0</v>
      </c>
    </row>
    <row r="953" spans="3:6">
      <c r="C953" s="12"/>
      <c r="D953" s="12"/>
      <c r="E953" t="b">
        <f t="shared" si="14"/>
        <v>1</v>
      </c>
      <c r="F953" s="12">
        <v>0</v>
      </c>
    </row>
    <row r="954" spans="3:6">
      <c r="C954" s="12"/>
      <c r="D954" s="12"/>
      <c r="E954" t="b">
        <f t="shared" si="14"/>
        <v>1</v>
      </c>
      <c r="F954" s="12">
        <v>0</v>
      </c>
    </row>
    <row r="955" spans="3:6">
      <c r="C955" s="12"/>
      <c r="D955" s="12"/>
      <c r="E955" t="b">
        <f t="shared" si="14"/>
        <v>1</v>
      </c>
      <c r="F955" s="12">
        <v>0</v>
      </c>
    </row>
    <row r="956" spans="3:6">
      <c r="C956" s="12"/>
      <c r="D956" s="12"/>
      <c r="E956" t="b">
        <f t="shared" si="14"/>
        <v>1</v>
      </c>
      <c r="F956" s="12">
        <v>0</v>
      </c>
    </row>
    <row r="957" spans="3:6">
      <c r="C957" s="12"/>
      <c r="D957" s="12"/>
      <c r="E957" t="b">
        <f t="shared" si="14"/>
        <v>1</v>
      </c>
      <c r="F957" s="12">
        <v>0</v>
      </c>
    </row>
    <row r="958" spans="3:6">
      <c r="C958" s="12"/>
      <c r="D958" s="12"/>
      <c r="E958" t="b">
        <f t="shared" si="14"/>
        <v>1</v>
      </c>
      <c r="F958" s="12">
        <v>0</v>
      </c>
    </row>
    <row r="959" spans="3:6">
      <c r="C959" s="12"/>
      <c r="D959" s="12"/>
      <c r="E959" t="b">
        <f t="shared" si="14"/>
        <v>1</v>
      </c>
      <c r="F959" s="12">
        <v>0</v>
      </c>
    </row>
    <row r="960" spans="3:6">
      <c r="C960" s="12"/>
      <c r="D960" s="12"/>
      <c r="E960" t="b">
        <f t="shared" si="14"/>
        <v>1</v>
      </c>
      <c r="F960" s="12">
        <v>0</v>
      </c>
    </row>
    <row r="961" spans="3:6">
      <c r="C961" s="12"/>
      <c r="D961" s="12"/>
      <c r="E961" t="b">
        <f t="shared" si="14"/>
        <v>1</v>
      </c>
      <c r="F961" s="12">
        <v>0</v>
      </c>
    </row>
    <row r="962" spans="3:6">
      <c r="C962" s="12"/>
      <c r="D962" s="12"/>
      <c r="E962" t="b">
        <f t="shared" si="14"/>
        <v>1</v>
      </c>
      <c r="F962" s="12">
        <v>0</v>
      </c>
    </row>
    <row r="963" spans="3:6">
      <c r="C963" s="12"/>
      <c r="D963" s="12"/>
      <c r="E963" t="b">
        <f t="shared" ref="E963:E1026" si="15">F963=C963</f>
        <v>1</v>
      </c>
      <c r="F963" s="12">
        <v>0</v>
      </c>
    </row>
    <row r="964" spans="3:6">
      <c r="C964" s="12"/>
      <c r="D964" s="12"/>
      <c r="E964" t="b">
        <f t="shared" si="15"/>
        <v>1</v>
      </c>
      <c r="F964" s="12">
        <v>0</v>
      </c>
    </row>
    <row r="965" spans="3:6">
      <c r="C965" s="12"/>
      <c r="D965" s="12"/>
      <c r="E965" t="b">
        <f t="shared" si="15"/>
        <v>1</v>
      </c>
      <c r="F965" s="12">
        <v>0</v>
      </c>
    </row>
    <row r="966" spans="3:6">
      <c r="C966" s="12"/>
      <c r="D966" s="12"/>
      <c r="E966" t="b">
        <f t="shared" si="15"/>
        <v>1</v>
      </c>
      <c r="F966" s="12">
        <v>0</v>
      </c>
    </row>
    <row r="967" spans="3:6">
      <c r="C967" s="12"/>
      <c r="D967" s="12"/>
      <c r="E967" t="b">
        <f t="shared" si="15"/>
        <v>1</v>
      </c>
      <c r="F967" s="12">
        <v>0</v>
      </c>
    </row>
    <row r="968" spans="3:6">
      <c r="C968" s="12"/>
      <c r="D968" s="12"/>
      <c r="E968" t="b">
        <f t="shared" si="15"/>
        <v>1</v>
      </c>
      <c r="F968" s="12">
        <v>0</v>
      </c>
    </row>
    <row r="969" spans="3:6">
      <c r="C969" s="12"/>
      <c r="D969" s="12"/>
      <c r="E969" t="b">
        <f t="shared" si="15"/>
        <v>1</v>
      </c>
      <c r="F969" s="12">
        <v>0</v>
      </c>
    </row>
    <row r="970" spans="3:6">
      <c r="C970" s="12"/>
      <c r="D970" s="12"/>
      <c r="E970" t="b">
        <f t="shared" si="15"/>
        <v>1</v>
      </c>
      <c r="F970" s="12">
        <v>0</v>
      </c>
    </row>
    <row r="971" spans="3:6">
      <c r="C971" s="12"/>
      <c r="D971" s="12"/>
      <c r="E971" t="b">
        <f t="shared" si="15"/>
        <v>1</v>
      </c>
      <c r="F971" s="12">
        <v>0</v>
      </c>
    </row>
    <row r="972" spans="3:6">
      <c r="C972" s="12"/>
      <c r="D972" s="12"/>
      <c r="E972" t="b">
        <f t="shared" si="15"/>
        <v>1</v>
      </c>
      <c r="F972" s="12">
        <v>0</v>
      </c>
    </row>
    <row r="973" spans="3:6">
      <c r="C973" s="12"/>
      <c r="D973" s="12"/>
      <c r="E973" t="b">
        <f t="shared" si="15"/>
        <v>1</v>
      </c>
      <c r="F973" s="12">
        <v>0</v>
      </c>
    </row>
    <row r="974" spans="3:6">
      <c r="C974" s="12"/>
      <c r="D974" s="12"/>
      <c r="E974" t="b">
        <f t="shared" si="15"/>
        <v>1</v>
      </c>
      <c r="F974" s="12">
        <v>0</v>
      </c>
    </row>
    <row r="975" spans="3:6">
      <c r="C975" s="12"/>
      <c r="D975" s="12"/>
      <c r="E975" t="b">
        <f t="shared" si="15"/>
        <v>1</v>
      </c>
      <c r="F975" s="12">
        <v>0</v>
      </c>
    </row>
    <row r="976" spans="3:6">
      <c r="C976" s="12"/>
      <c r="D976" s="12"/>
      <c r="E976" t="b">
        <f t="shared" si="15"/>
        <v>1</v>
      </c>
      <c r="F976" s="12">
        <v>0</v>
      </c>
    </row>
    <row r="977" spans="3:6">
      <c r="C977" s="12"/>
      <c r="D977" s="12"/>
      <c r="E977" t="b">
        <f t="shared" si="15"/>
        <v>1</v>
      </c>
      <c r="F977" s="12">
        <v>0</v>
      </c>
    </row>
    <row r="978" spans="3:6">
      <c r="C978" s="12"/>
      <c r="D978" s="12"/>
      <c r="E978" t="b">
        <f t="shared" si="15"/>
        <v>1</v>
      </c>
      <c r="F978" s="12">
        <v>0</v>
      </c>
    </row>
    <row r="979" spans="3:6">
      <c r="C979" s="12"/>
      <c r="D979" s="12"/>
      <c r="E979" t="b">
        <f t="shared" si="15"/>
        <v>1</v>
      </c>
      <c r="F979" s="12">
        <v>0</v>
      </c>
    </row>
    <row r="980" spans="3:6">
      <c r="C980" s="12"/>
      <c r="D980" s="12"/>
      <c r="E980" t="b">
        <f t="shared" si="15"/>
        <v>1</v>
      </c>
      <c r="F980" s="12">
        <v>0</v>
      </c>
    </row>
    <row r="981" spans="3:6">
      <c r="C981" s="12"/>
      <c r="D981" s="12"/>
      <c r="E981" t="b">
        <f t="shared" si="15"/>
        <v>1</v>
      </c>
      <c r="F981" s="12">
        <v>0</v>
      </c>
    </row>
    <row r="982" spans="3:6">
      <c r="C982" s="12"/>
      <c r="D982" s="12"/>
      <c r="E982" t="b">
        <f t="shared" si="15"/>
        <v>1</v>
      </c>
      <c r="F982" s="12">
        <v>0</v>
      </c>
    </row>
    <row r="983" spans="3:6">
      <c r="C983" s="12"/>
      <c r="D983" s="12"/>
      <c r="E983" t="b">
        <f t="shared" si="15"/>
        <v>1</v>
      </c>
      <c r="F983" s="12">
        <v>0</v>
      </c>
    </row>
    <row r="984" spans="3:6">
      <c r="C984" s="12"/>
      <c r="D984" s="12"/>
      <c r="E984" t="b">
        <f t="shared" si="15"/>
        <v>1</v>
      </c>
      <c r="F984" s="12">
        <v>0</v>
      </c>
    </row>
    <row r="985" spans="3:6">
      <c r="C985" s="12"/>
      <c r="D985" s="12"/>
      <c r="E985" t="b">
        <f t="shared" si="15"/>
        <v>1</v>
      </c>
      <c r="F985" s="12">
        <v>0</v>
      </c>
    </row>
    <row r="986" spans="3:6">
      <c r="C986" s="12"/>
      <c r="D986" s="12"/>
      <c r="E986" t="b">
        <f t="shared" si="15"/>
        <v>1</v>
      </c>
      <c r="F986" s="12">
        <v>0</v>
      </c>
    </row>
    <row r="987" spans="3:6">
      <c r="C987" s="12"/>
      <c r="D987" s="12"/>
      <c r="E987" t="b">
        <f t="shared" si="15"/>
        <v>1</v>
      </c>
      <c r="F987" s="12">
        <v>0</v>
      </c>
    </row>
    <row r="988" spans="3:6">
      <c r="C988" s="12"/>
      <c r="D988" s="12"/>
      <c r="E988" t="b">
        <f t="shared" si="15"/>
        <v>1</v>
      </c>
      <c r="F988" s="12">
        <v>0</v>
      </c>
    </row>
    <row r="989" spans="3:6">
      <c r="C989" s="12"/>
      <c r="D989" s="12"/>
      <c r="E989" t="b">
        <f t="shared" si="15"/>
        <v>1</v>
      </c>
      <c r="F989" s="12">
        <v>0</v>
      </c>
    </row>
    <row r="990" spans="3:6">
      <c r="C990" s="12"/>
      <c r="D990" s="12"/>
      <c r="E990" t="b">
        <f t="shared" si="15"/>
        <v>1</v>
      </c>
      <c r="F990" s="12">
        <v>0</v>
      </c>
    </row>
    <row r="991" spans="3:6">
      <c r="C991" s="12"/>
      <c r="D991" s="12"/>
      <c r="E991" t="b">
        <f t="shared" si="15"/>
        <v>1</v>
      </c>
      <c r="F991" s="12">
        <v>0</v>
      </c>
    </row>
    <row r="992" spans="3:6">
      <c r="C992" s="12"/>
      <c r="D992" s="12"/>
      <c r="E992" t="b">
        <f t="shared" si="15"/>
        <v>1</v>
      </c>
      <c r="F992" s="12">
        <v>0</v>
      </c>
    </row>
    <row r="993" spans="3:6">
      <c r="C993" s="12"/>
      <c r="D993" s="12"/>
      <c r="E993" t="b">
        <f t="shared" si="15"/>
        <v>1</v>
      </c>
      <c r="F993" s="12">
        <v>0</v>
      </c>
    </row>
    <row r="994" spans="3:6">
      <c r="C994" s="12"/>
      <c r="D994" s="12"/>
      <c r="E994" t="b">
        <f t="shared" si="15"/>
        <v>1</v>
      </c>
      <c r="F994" s="12">
        <v>0</v>
      </c>
    </row>
    <row r="995" spans="3:6">
      <c r="C995" s="12"/>
      <c r="D995" s="12"/>
      <c r="E995" t="b">
        <f t="shared" si="15"/>
        <v>1</v>
      </c>
      <c r="F995" s="12">
        <v>0</v>
      </c>
    </row>
    <row r="996" spans="3:6">
      <c r="C996" s="12"/>
      <c r="D996" s="12"/>
      <c r="E996" t="b">
        <f t="shared" si="15"/>
        <v>1</v>
      </c>
      <c r="F996" s="12">
        <v>0</v>
      </c>
    </row>
    <row r="997" spans="3:6">
      <c r="C997" s="12"/>
      <c r="D997" s="12"/>
      <c r="E997" t="b">
        <f t="shared" si="15"/>
        <v>1</v>
      </c>
      <c r="F997" s="12">
        <v>0</v>
      </c>
    </row>
    <row r="998" spans="3:6">
      <c r="C998" s="12"/>
      <c r="D998" s="12"/>
      <c r="E998" t="b">
        <f t="shared" si="15"/>
        <v>1</v>
      </c>
      <c r="F998" s="12">
        <v>0</v>
      </c>
    </row>
    <row r="999" spans="3:6">
      <c r="C999" s="12"/>
      <c r="D999" s="12"/>
      <c r="E999" t="b">
        <f t="shared" si="15"/>
        <v>1</v>
      </c>
      <c r="F999" s="12">
        <v>0</v>
      </c>
    </row>
    <row r="1000" spans="3:6">
      <c r="C1000" s="12"/>
      <c r="D1000" s="12"/>
      <c r="E1000" t="b">
        <f t="shared" si="15"/>
        <v>1</v>
      </c>
      <c r="F1000" s="12">
        <v>0</v>
      </c>
    </row>
    <row r="1001" spans="3:6">
      <c r="C1001" s="12"/>
      <c r="D1001" s="12"/>
      <c r="E1001" t="b">
        <f t="shared" si="15"/>
        <v>1</v>
      </c>
      <c r="F1001" s="12">
        <v>0</v>
      </c>
    </row>
    <row r="1002" spans="3:6">
      <c r="C1002" s="12"/>
      <c r="D1002" s="12"/>
      <c r="E1002" t="b">
        <f t="shared" si="15"/>
        <v>1</v>
      </c>
      <c r="F1002" s="12">
        <v>0</v>
      </c>
    </row>
    <row r="1003" spans="3:6">
      <c r="C1003" s="12"/>
      <c r="D1003" s="12"/>
      <c r="E1003" t="b">
        <f t="shared" si="15"/>
        <v>1</v>
      </c>
      <c r="F1003" s="12">
        <v>0</v>
      </c>
    </row>
    <row r="1004" spans="3:6">
      <c r="C1004" s="12"/>
      <c r="D1004" s="12"/>
      <c r="E1004" t="b">
        <f t="shared" si="15"/>
        <v>1</v>
      </c>
      <c r="F1004" s="12">
        <v>0</v>
      </c>
    </row>
    <row r="1005" spans="3:6">
      <c r="C1005" s="12"/>
      <c r="D1005" s="12"/>
      <c r="E1005" t="b">
        <f t="shared" si="15"/>
        <v>1</v>
      </c>
      <c r="F1005" s="12">
        <v>0</v>
      </c>
    </row>
    <row r="1006" spans="3:6">
      <c r="C1006" s="12"/>
      <c r="D1006" s="12"/>
      <c r="E1006" t="b">
        <f t="shared" si="15"/>
        <v>1</v>
      </c>
      <c r="F1006" s="12">
        <v>0</v>
      </c>
    </row>
    <row r="1007" spans="3:6">
      <c r="C1007" s="12"/>
      <c r="D1007" s="12"/>
      <c r="E1007" t="b">
        <f t="shared" si="15"/>
        <v>1</v>
      </c>
      <c r="F1007" s="12">
        <v>0</v>
      </c>
    </row>
    <row r="1008" spans="3:6">
      <c r="C1008" s="12"/>
      <c r="D1008" s="12"/>
      <c r="E1008" t="b">
        <f t="shared" si="15"/>
        <v>1</v>
      </c>
      <c r="F1008" s="12">
        <v>0</v>
      </c>
    </row>
    <row r="1009" spans="3:6">
      <c r="C1009" s="12"/>
      <c r="D1009" s="12"/>
      <c r="E1009" t="b">
        <f t="shared" si="15"/>
        <v>1</v>
      </c>
      <c r="F1009" s="12">
        <v>0</v>
      </c>
    </row>
    <row r="1010" spans="3:6">
      <c r="C1010" s="12"/>
      <c r="D1010" s="12"/>
      <c r="E1010" t="b">
        <f t="shared" si="15"/>
        <v>1</v>
      </c>
      <c r="F1010" s="12">
        <v>0</v>
      </c>
    </row>
    <row r="1011" spans="3:6">
      <c r="C1011" s="12"/>
      <c r="D1011" s="12"/>
      <c r="E1011" t="b">
        <f t="shared" si="15"/>
        <v>1</v>
      </c>
      <c r="F1011" s="12">
        <v>0</v>
      </c>
    </row>
    <row r="1012" spans="3:6">
      <c r="C1012" s="12"/>
      <c r="D1012" s="12"/>
      <c r="E1012" t="b">
        <f t="shared" si="15"/>
        <v>1</v>
      </c>
      <c r="F1012" s="12">
        <v>0</v>
      </c>
    </row>
    <row r="1013" spans="3:6">
      <c r="C1013" s="12"/>
      <c r="D1013" s="12"/>
      <c r="E1013" t="b">
        <f t="shared" si="15"/>
        <v>1</v>
      </c>
      <c r="F1013" s="12">
        <v>0</v>
      </c>
    </row>
    <row r="1014" spans="3:6">
      <c r="C1014" s="12"/>
      <c r="D1014" s="12"/>
      <c r="E1014" t="b">
        <f t="shared" si="15"/>
        <v>1</v>
      </c>
      <c r="F1014" s="12">
        <v>0</v>
      </c>
    </row>
    <row r="1015" spans="3:6">
      <c r="C1015" s="12"/>
      <c r="D1015" s="12"/>
      <c r="E1015" t="b">
        <f t="shared" si="15"/>
        <v>1</v>
      </c>
      <c r="F1015" s="12">
        <v>0</v>
      </c>
    </row>
    <row r="1016" spans="3:6">
      <c r="C1016" s="12"/>
      <c r="D1016" s="12"/>
      <c r="E1016" t="b">
        <f t="shared" si="15"/>
        <v>1</v>
      </c>
      <c r="F1016" s="12">
        <v>0</v>
      </c>
    </row>
    <row r="1017" spans="3:6">
      <c r="C1017" s="12"/>
      <c r="D1017" s="12"/>
      <c r="E1017" t="b">
        <f t="shared" si="15"/>
        <v>1</v>
      </c>
      <c r="F1017" s="12">
        <v>0</v>
      </c>
    </row>
    <row r="1018" spans="3:6">
      <c r="C1018" s="12"/>
      <c r="D1018" s="12"/>
      <c r="E1018" t="b">
        <f t="shared" si="15"/>
        <v>1</v>
      </c>
      <c r="F1018" s="12">
        <v>0</v>
      </c>
    </row>
    <row r="1019" spans="3:6">
      <c r="C1019" s="12"/>
      <c r="D1019" s="12"/>
      <c r="E1019" t="b">
        <f t="shared" si="15"/>
        <v>1</v>
      </c>
      <c r="F1019" s="12">
        <v>0</v>
      </c>
    </row>
    <row r="1020" spans="3:6">
      <c r="C1020" s="12"/>
      <c r="D1020" s="12"/>
      <c r="E1020" t="b">
        <f t="shared" si="15"/>
        <v>1</v>
      </c>
      <c r="F1020" s="12">
        <v>0</v>
      </c>
    </row>
    <row r="1021" spans="3:6">
      <c r="C1021" s="12"/>
      <c r="D1021" s="12"/>
      <c r="E1021" t="b">
        <f t="shared" si="15"/>
        <v>1</v>
      </c>
      <c r="F1021" s="12">
        <v>0</v>
      </c>
    </row>
    <row r="1022" spans="3:6">
      <c r="C1022" s="12"/>
      <c r="D1022" s="12"/>
      <c r="E1022" t="b">
        <f t="shared" si="15"/>
        <v>1</v>
      </c>
      <c r="F1022" s="12">
        <v>0</v>
      </c>
    </row>
    <row r="1023" spans="3:6">
      <c r="C1023" s="12"/>
      <c r="D1023" s="12"/>
      <c r="E1023" t="b">
        <f t="shared" si="15"/>
        <v>1</v>
      </c>
      <c r="F1023" s="12">
        <v>0</v>
      </c>
    </row>
    <row r="1024" spans="3:6">
      <c r="C1024" s="12"/>
      <c r="D1024" s="12"/>
      <c r="E1024" t="b">
        <f t="shared" si="15"/>
        <v>1</v>
      </c>
      <c r="F1024" s="12">
        <v>0</v>
      </c>
    </row>
    <row r="1025" spans="3:6">
      <c r="C1025" s="12"/>
      <c r="D1025" s="12"/>
      <c r="E1025" t="b">
        <f t="shared" si="15"/>
        <v>1</v>
      </c>
      <c r="F1025" s="12">
        <v>0</v>
      </c>
    </row>
    <row r="1026" spans="3:6">
      <c r="C1026" s="12"/>
      <c r="D1026" s="12"/>
      <c r="E1026" t="b">
        <f t="shared" si="15"/>
        <v>1</v>
      </c>
      <c r="F1026" s="12">
        <v>0</v>
      </c>
    </row>
    <row r="1027" spans="3:6">
      <c r="C1027" s="12"/>
      <c r="D1027" s="12"/>
      <c r="E1027" t="b">
        <f t="shared" ref="E1027:E1090" si="16">F1027=C1027</f>
        <v>1</v>
      </c>
      <c r="F1027" s="12">
        <v>0</v>
      </c>
    </row>
    <row r="1028" spans="3:6">
      <c r="C1028" s="12"/>
      <c r="D1028" s="12"/>
      <c r="E1028" t="b">
        <f t="shared" si="16"/>
        <v>1</v>
      </c>
      <c r="F1028" s="12">
        <v>0</v>
      </c>
    </row>
    <row r="1029" spans="3:6">
      <c r="C1029" s="12"/>
      <c r="D1029" s="12"/>
      <c r="E1029" t="b">
        <f t="shared" si="16"/>
        <v>1</v>
      </c>
      <c r="F1029" s="12">
        <v>0</v>
      </c>
    </row>
    <row r="1030" spans="3:6">
      <c r="C1030" s="12"/>
      <c r="D1030" s="12"/>
      <c r="E1030" t="b">
        <f t="shared" si="16"/>
        <v>1</v>
      </c>
      <c r="F1030" s="12">
        <v>0</v>
      </c>
    </row>
    <row r="1031" spans="3:6">
      <c r="C1031" s="12"/>
      <c r="D1031" s="12"/>
      <c r="E1031" t="b">
        <f t="shared" si="16"/>
        <v>1</v>
      </c>
      <c r="F1031" s="12">
        <v>0</v>
      </c>
    </row>
    <row r="1032" spans="3:6">
      <c r="C1032" s="12"/>
      <c r="D1032" s="12"/>
      <c r="E1032" t="b">
        <f t="shared" si="16"/>
        <v>1</v>
      </c>
      <c r="F1032" s="12">
        <v>0</v>
      </c>
    </row>
    <row r="1033" spans="3:6">
      <c r="C1033" s="12"/>
      <c r="D1033" s="12"/>
      <c r="E1033" t="b">
        <f t="shared" si="16"/>
        <v>1</v>
      </c>
      <c r="F1033" s="12">
        <v>0</v>
      </c>
    </row>
    <row r="1034" spans="3:6">
      <c r="C1034" s="12"/>
      <c r="D1034" s="12"/>
      <c r="E1034" t="b">
        <f t="shared" si="16"/>
        <v>1</v>
      </c>
      <c r="F1034" s="12">
        <v>0</v>
      </c>
    </row>
    <row r="1035" spans="3:6">
      <c r="C1035" s="12"/>
      <c r="D1035" s="12"/>
      <c r="E1035" t="b">
        <f t="shared" si="16"/>
        <v>1</v>
      </c>
      <c r="F1035" s="12">
        <v>0</v>
      </c>
    </row>
    <row r="1036" spans="3:6">
      <c r="C1036" s="12"/>
      <c r="D1036" s="12"/>
      <c r="E1036" t="b">
        <f t="shared" si="16"/>
        <v>1</v>
      </c>
      <c r="F1036" s="12">
        <v>0</v>
      </c>
    </row>
    <row r="1037" spans="3:6">
      <c r="C1037" s="12"/>
      <c r="D1037" s="12"/>
      <c r="E1037" t="b">
        <f t="shared" si="16"/>
        <v>1</v>
      </c>
      <c r="F1037" s="12">
        <v>0</v>
      </c>
    </row>
    <row r="1038" spans="3:6">
      <c r="C1038" s="12"/>
      <c r="D1038" s="12"/>
      <c r="E1038" t="b">
        <f t="shared" si="16"/>
        <v>1</v>
      </c>
      <c r="F1038" s="12">
        <v>0</v>
      </c>
    </row>
    <row r="1039" spans="3:6">
      <c r="C1039" s="12"/>
      <c r="D1039" s="12"/>
      <c r="E1039" t="b">
        <f t="shared" si="16"/>
        <v>1</v>
      </c>
      <c r="F1039" s="12">
        <v>0</v>
      </c>
    </row>
    <row r="1040" spans="3:6">
      <c r="C1040" s="12"/>
      <c r="D1040" s="12"/>
      <c r="E1040" t="b">
        <f t="shared" si="16"/>
        <v>1</v>
      </c>
      <c r="F1040" s="12">
        <v>0</v>
      </c>
    </row>
    <row r="1041" spans="3:6">
      <c r="C1041" s="12"/>
      <c r="D1041" s="12"/>
      <c r="E1041" t="b">
        <f t="shared" si="16"/>
        <v>1</v>
      </c>
      <c r="F1041" s="12">
        <v>0</v>
      </c>
    </row>
    <row r="1042" spans="3:6">
      <c r="C1042" s="12"/>
      <c r="D1042" s="12"/>
      <c r="E1042" t="b">
        <f t="shared" si="16"/>
        <v>1</v>
      </c>
      <c r="F1042" s="12">
        <v>0</v>
      </c>
    </row>
    <row r="1043" spans="3:6">
      <c r="C1043" s="12"/>
      <c r="D1043" s="12"/>
      <c r="E1043" t="b">
        <f t="shared" si="16"/>
        <v>1</v>
      </c>
      <c r="F1043" s="12">
        <v>0</v>
      </c>
    </row>
    <row r="1044" spans="3:6">
      <c r="C1044" s="12"/>
      <c r="D1044" s="12"/>
      <c r="E1044" t="b">
        <f t="shared" si="16"/>
        <v>1</v>
      </c>
      <c r="F1044" s="12">
        <v>0</v>
      </c>
    </row>
    <row r="1045" spans="3:6">
      <c r="C1045" s="12"/>
      <c r="D1045" s="12"/>
      <c r="E1045" t="b">
        <f t="shared" si="16"/>
        <v>1</v>
      </c>
      <c r="F1045" s="12">
        <v>0</v>
      </c>
    </row>
    <row r="1046" spans="3:6">
      <c r="C1046" s="12"/>
      <c r="D1046" s="12"/>
      <c r="E1046" t="b">
        <f t="shared" si="16"/>
        <v>1</v>
      </c>
      <c r="F1046" s="12">
        <v>0</v>
      </c>
    </row>
    <row r="1047" spans="3:6">
      <c r="C1047" s="12"/>
      <c r="D1047" s="12"/>
      <c r="E1047" t="b">
        <f t="shared" si="16"/>
        <v>1</v>
      </c>
      <c r="F1047" s="12">
        <v>0</v>
      </c>
    </row>
    <row r="1048" spans="3:6">
      <c r="C1048" s="12"/>
      <c r="D1048" s="12"/>
      <c r="E1048" t="b">
        <f t="shared" si="16"/>
        <v>1</v>
      </c>
      <c r="F1048" s="12">
        <v>0</v>
      </c>
    </row>
    <row r="1049" spans="3:6">
      <c r="C1049" s="12"/>
      <c r="D1049" s="12"/>
      <c r="E1049" t="b">
        <f t="shared" si="16"/>
        <v>1</v>
      </c>
      <c r="F1049" s="12">
        <v>0</v>
      </c>
    </row>
    <row r="1050" spans="3:6">
      <c r="C1050" s="12"/>
      <c r="D1050" s="12"/>
      <c r="E1050" t="b">
        <f t="shared" si="16"/>
        <v>1</v>
      </c>
      <c r="F1050" s="12">
        <v>0</v>
      </c>
    </row>
    <row r="1051" spans="3:6">
      <c r="C1051" s="12"/>
      <c r="D1051" s="12"/>
      <c r="E1051" t="b">
        <f t="shared" si="16"/>
        <v>1</v>
      </c>
      <c r="F1051" s="12">
        <v>0</v>
      </c>
    </row>
    <row r="1052" spans="3:6">
      <c r="C1052" s="12"/>
      <c r="D1052" s="12"/>
      <c r="E1052" t="b">
        <f t="shared" si="16"/>
        <v>1</v>
      </c>
      <c r="F1052" s="12">
        <v>0</v>
      </c>
    </row>
    <row r="1053" spans="3:6">
      <c r="C1053" s="12"/>
      <c r="D1053" s="12"/>
      <c r="E1053" t="b">
        <f t="shared" si="16"/>
        <v>1</v>
      </c>
      <c r="F1053" s="12">
        <v>0</v>
      </c>
    </row>
    <row r="1054" spans="3:6">
      <c r="C1054" s="12"/>
      <c r="D1054" s="12"/>
      <c r="E1054" t="b">
        <f t="shared" si="16"/>
        <v>1</v>
      </c>
      <c r="F1054" s="12">
        <v>0</v>
      </c>
    </row>
    <row r="1055" spans="3:6">
      <c r="C1055" s="12"/>
      <c r="D1055" s="12"/>
      <c r="E1055" t="b">
        <f t="shared" si="16"/>
        <v>1</v>
      </c>
      <c r="F1055" s="12">
        <v>0</v>
      </c>
    </row>
    <row r="1056" spans="3:6">
      <c r="C1056" s="12"/>
      <c r="D1056" s="12"/>
      <c r="E1056" t="b">
        <f t="shared" si="16"/>
        <v>1</v>
      </c>
      <c r="F1056" s="12">
        <v>0</v>
      </c>
    </row>
    <row r="1057" spans="3:6">
      <c r="C1057" s="12"/>
      <c r="D1057" s="12"/>
      <c r="E1057" t="b">
        <f t="shared" si="16"/>
        <v>1</v>
      </c>
      <c r="F1057" s="12">
        <v>0</v>
      </c>
    </row>
    <row r="1058" spans="3:6">
      <c r="C1058" s="12"/>
      <c r="D1058" s="12"/>
      <c r="E1058" t="b">
        <f t="shared" si="16"/>
        <v>1</v>
      </c>
      <c r="F1058" s="12">
        <v>0</v>
      </c>
    </row>
    <row r="1059" spans="3:6">
      <c r="C1059" s="12"/>
      <c r="D1059" s="12"/>
      <c r="E1059" t="b">
        <f t="shared" si="16"/>
        <v>1</v>
      </c>
      <c r="F1059" s="12">
        <v>0</v>
      </c>
    </row>
    <row r="1060" spans="3:6">
      <c r="C1060" s="12"/>
      <c r="D1060" s="12"/>
      <c r="E1060" t="b">
        <f t="shared" si="16"/>
        <v>1</v>
      </c>
      <c r="F1060" s="12">
        <v>0</v>
      </c>
    </row>
    <row r="1061" spans="3:6">
      <c r="C1061" s="12"/>
      <c r="D1061" s="12"/>
      <c r="E1061" t="b">
        <f t="shared" si="16"/>
        <v>1</v>
      </c>
      <c r="F1061" s="12">
        <v>0</v>
      </c>
    </row>
    <row r="1062" spans="3:6">
      <c r="C1062" s="12"/>
      <c r="D1062" s="12"/>
      <c r="E1062" t="b">
        <f t="shared" si="16"/>
        <v>1</v>
      </c>
      <c r="F1062" s="12">
        <v>0</v>
      </c>
    </row>
    <row r="1063" spans="3:6">
      <c r="C1063" s="12"/>
      <c r="D1063" s="12"/>
      <c r="E1063" t="b">
        <f t="shared" si="16"/>
        <v>1</v>
      </c>
      <c r="F1063" s="12">
        <v>0</v>
      </c>
    </row>
    <row r="1064" spans="3:6">
      <c r="C1064" s="12"/>
      <c r="D1064" s="12"/>
      <c r="E1064" t="b">
        <f t="shared" si="16"/>
        <v>1</v>
      </c>
      <c r="F1064" s="12">
        <v>0</v>
      </c>
    </row>
    <row r="1065" spans="3:6">
      <c r="C1065" s="12"/>
      <c r="D1065" s="12"/>
      <c r="E1065" t="b">
        <f t="shared" si="16"/>
        <v>1</v>
      </c>
      <c r="F1065" s="12">
        <v>0</v>
      </c>
    </row>
    <row r="1066" spans="3:6">
      <c r="C1066" s="12"/>
      <c r="D1066" s="12"/>
      <c r="E1066" t="b">
        <f t="shared" si="16"/>
        <v>1</v>
      </c>
      <c r="F1066" s="12">
        <v>0</v>
      </c>
    </row>
    <row r="1067" spans="3:6">
      <c r="C1067" s="12"/>
      <c r="D1067" s="12"/>
      <c r="E1067" t="b">
        <f t="shared" si="16"/>
        <v>1</v>
      </c>
      <c r="F1067" s="12">
        <v>0</v>
      </c>
    </row>
    <row r="1068" spans="3:6">
      <c r="C1068" s="12"/>
      <c r="D1068" s="12"/>
      <c r="E1068" t="b">
        <f t="shared" si="16"/>
        <v>1</v>
      </c>
      <c r="F1068" s="12">
        <v>0</v>
      </c>
    </row>
    <row r="1069" spans="3:6">
      <c r="C1069" s="12"/>
      <c r="D1069" s="12"/>
      <c r="E1069" t="b">
        <f t="shared" si="16"/>
        <v>1</v>
      </c>
      <c r="F1069" s="12">
        <v>0</v>
      </c>
    </row>
    <row r="1070" spans="3:6">
      <c r="C1070" s="12"/>
      <c r="D1070" s="12"/>
      <c r="E1070" t="b">
        <f t="shared" si="16"/>
        <v>1</v>
      </c>
      <c r="F1070" s="12">
        <v>0</v>
      </c>
    </row>
    <row r="1071" spans="3:6">
      <c r="C1071" s="12"/>
      <c r="D1071" s="12"/>
      <c r="E1071" t="b">
        <f t="shared" si="16"/>
        <v>1</v>
      </c>
      <c r="F1071" s="12">
        <v>0</v>
      </c>
    </row>
    <row r="1072" spans="3:6">
      <c r="C1072" s="12"/>
      <c r="D1072" s="12"/>
      <c r="E1072" t="b">
        <f t="shared" si="16"/>
        <v>1</v>
      </c>
      <c r="F1072" s="12">
        <v>0</v>
      </c>
    </row>
    <row r="1073" spans="3:6">
      <c r="C1073" s="12"/>
      <c r="D1073" s="12"/>
      <c r="E1073" t="b">
        <f t="shared" si="16"/>
        <v>1</v>
      </c>
      <c r="F1073" s="12">
        <v>0</v>
      </c>
    </row>
    <row r="1074" spans="3:6">
      <c r="C1074" s="12"/>
      <c r="D1074" s="12"/>
      <c r="E1074" t="b">
        <f t="shared" si="16"/>
        <v>1</v>
      </c>
      <c r="F1074" s="12">
        <v>0</v>
      </c>
    </row>
    <row r="1075" spans="3:6">
      <c r="C1075" s="12"/>
      <c r="D1075" s="12"/>
      <c r="E1075" t="b">
        <f t="shared" si="16"/>
        <v>1</v>
      </c>
      <c r="F1075" s="12">
        <v>0</v>
      </c>
    </row>
    <row r="1076" spans="3:6">
      <c r="C1076" s="12"/>
      <c r="D1076" s="12"/>
      <c r="E1076" t="b">
        <f t="shared" si="16"/>
        <v>1</v>
      </c>
      <c r="F1076" s="12">
        <v>0</v>
      </c>
    </row>
    <row r="1077" spans="3:6">
      <c r="C1077" s="12"/>
      <c r="D1077" s="12"/>
      <c r="E1077" t="b">
        <f t="shared" si="16"/>
        <v>1</v>
      </c>
      <c r="F1077" s="12">
        <v>0</v>
      </c>
    </row>
    <row r="1078" spans="3:6">
      <c r="C1078" s="12"/>
      <c r="D1078" s="12"/>
      <c r="E1078" t="b">
        <f t="shared" si="16"/>
        <v>1</v>
      </c>
      <c r="F1078" s="12">
        <v>0</v>
      </c>
    </row>
    <row r="1079" spans="3:6">
      <c r="C1079" s="12"/>
      <c r="D1079" s="12"/>
      <c r="E1079" t="b">
        <f t="shared" si="16"/>
        <v>1</v>
      </c>
      <c r="F1079" s="12">
        <v>0</v>
      </c>
    </row>
    <row r="1080" spans="3:6">
      <c r="C1080" s="12"/>
      <c r="D1080" s="12"/>
      <c r="E1080" t="b">
        <f t="shared" si="16"/>
        <v>1</v>
      </c>
      <c r="F1080" s="12">
        <v>0</v>
      </c>
    </row>
    <row r="1081" spans="3:6">
      <c r="C1081" s="12"/>
      <c r="D1081" s="12"/>
      <c r="E1081" t="b">
        <f t="shared" si="16"/>
        <v>1</v>
      </c>
      <c r="F1081" s="12">
        <v>0</v>
      </c>
    </row>
    <row r="1082" spans="3:6">
      <c r="C1082" s="12"/>
      <c r="D1082" s="12"/>
      <c r="E1082" t="b">
        <f t="shared" si="16"/>
        <v>1</v>
      </c>
      <c r="F1082" s="12">
        <v>0</v>
      </c>
    </row>
    <row r="1083" spans="3:6">
      <c r="C1083" s="12"/>
      <c r="D1083" s="12"/>
      <c r="E1083" t="b">
        <f t="shared" si="16"/>
        <v>1</v>
      </c>
      <c r="F1083" s="12">
        <v>0</v>
      </c>
    </row>
    <row r="1084" spans="3:6">
      <c r="C1084" s="12"/>
      <c r="D1084" s="12"/>
      <c r="E1084" t="b">
        <f t="shared" si="16"/>
        <v>1</v>
      </c>
      <c r="F1084" s="12">
        <v>0</v>
      </c>
    </row>
    <row r="1085" spans="3:6">
      <c r="C1085" s="12"/>
      <c r="D1085" s="12"/>
      <c r="E1085" t="b">
        <f t="shared" si="16"/>
        <v>1</v>
      </c>
      <c r="F1085" s="12">
        <v>0</v>
      </c>
    </row>
    <row r="1086" spans="3:6">
      <c r="C1086" s="12"/>
      <c r="D1086" s="12"/>
      <c r="E1086" t="b">
        <f t="shared" si="16"/>
        <v>1</v>
      </c>
      <c r="F1086" s="12">
        <v>0</v>
      </c>
    </row>
    <row r="1087" spans="3:6">
      <c r="C1087" s="12"/>
      <c r="D1087" s="12"/>
      <c r="E1087" t="b">
        <f t="shared" si="16"/>
        <v>1</v>
      </c>
      <c r="F1087" s="12">
        <v>0</v>
      </c>
    </row>
    <row r="1088" spans="3:6">
      <c r="C1088" s="12"/>
      <c r="D1088" s="12"/>
      <c r="E1088" t="b">
        <f t="shared" si="16"/>
        <v>1</v>
      </c>
      <c r="F1088" s="12">
        <v>0</v>
      </c>
    </row>
    <row r="1089" spans="3:6">
      <c r="C1089" s="12"/>
      <c r="D1089" s="12"/>
      <c r="E1089" t="b">
        <f t="shared" si="16"/>
        <v>1</v>
      </c>
      <c r="F1089" s="12">
        <v>0</v>
      </c>
    </row>
    <row r="1090" spans="3:6">
      <c r="C1090" s="12"/>
      <c r="D1090" s="12"/>
      <c r="E1090" t="b">
        <f t="shared" si="16"/>
        <v>1</v>
      </c>
      <c r="F1090" s="12">
        <v>0</v>
      </c>
    </row>
    <row r="1091" spans="3:6">
      <c r="C1091" s="12"/>
      <c r="D1091" s="12"/>
      <c r="E1091" t="b">
        <f t="shared" ref="E1091:E1154" si="17">F1091=C1091</f>
        <v>1</v>
      </c>
      <c r="F1091" s="12">
        <v>0</v>
      </c>
    </row>
    <row r="1092" spans="3:6">
      <c r="C1092" s="12"/>
      <c r="D1092" s="12"/>
      <c r="E1092" t="b">
        <f t="shared" si="17"/>
        <v>1</v>
      </c>
      <c r="F1092" s="12">
        <v>0</v>
      </c>
    </row>
    <row r="1093" spans="3:6">
      <c r="C1093" s="12"/>
      <c r="D1093" s="12"/>
      <c r="E1093" t="b">
        <f t="shared" si="17"/>
        <v>1</v>
      </c>
      <c r="F1093" s="12">
        <v>0</v>
      </c>
    </row>
    <row r="1094" spans="3:6">
      <c r="C1094" s="12"/>
      <c r="D1094" s="12"/>
      <c r="E1094" t="b">
        <f t="shared" si="17"/>
        <v>1</v>
      </c>
      <c r="F1094" s="12">
        <v>0</v>
      </c>
    </row>
    <row r="1095" spans="3:6">
      <c r="C1095" s="12"/>
      <c r="D1095" s="12"/>
      <c r="E1095" t="b">
        <f t="shared" si="17"/>
        <v>1</v>
      </c>
      <c r="F1095" s="12">
        <v>0</v>
      </c>
    </row>
    <row r="1096" spans="3:6">
      <c r="C1096" s="12"/>
      <c r="D1096" s="12"/>
      <c r="E1096" t="b">
        <f t="shared" si="17"/>
        <v>1</v>
      </c>
      <c r="F1096" s="12">
        <v>0</v>
      </c>
    </row>
    <row r="1097" spans="3:6">
      <c r="C1097" s="12"/>
      <c r="D1097" s="12"/>
      <c r="E1097" t="b">
        <f t="shared" si="17"/>
        <v>1</v>
      </c>
      <c r="F1097" s="12">
        <v>0</v>
      </c>
    </row>
    <row r="1098" spans="3:6">
      <c r="C1098" s="12"/>
      <c r="D1098" s="12"/>
      <c r="E1098" t="b">
        <f t="shared" si="17"/>
        <v>1</v>
      </c>
      <c r="F1098" s="12">
        <v>0</v>
      </c>
    </row>
    <row r="1099" spans="3:6">
      <c r="C1099" s="12"/>
      <c r="D1099" s="12"/>
      <c r="E1099" t="b">
        <f t="shared" si="17"/>
        <v>1</v>
      </c>
      <c r="F1099" s="12">
        <v>0</v>
      </c>
    </row>
    <row r="1100" spans="3:6">
      <c r="C1100" s="12"/>
      <c r="D1100" s="12"/>
      <c r="E1100" t="b">
        <f t="shared" si="17"/>
        <v>1</v>
      </c>
      <c r="F1100" s="12">
        <v>0</v>
      </c>
    </row>
    <row r="1101" spans="3:6">
      <c r="C1101" s="12"/>
      <c r="D1101" s="12"/>
      <c r="E1101" t="b">
        <f t="shared" si="17"/>
        <v>1</v>
      </c>
      <c r="F1101" s="12">
        <v>0</v>
      </c>
    </row>
    <row r="1102" spans="3:6">
      <c r="C1102" s="12"/>
      <c r="D1102" s="12"/>
      <c r="E1102" t="b">
        <f t="shared" si="17"/>
        <v>1</v>
      </c>
      <c r="F1102" s="12">
        <v>0</v>
      </c>
    </row>
    <row r="1103" spans="3:6">
      <c r="C1103" s="12"/>
      <c r="D1103" s="12"/>
      <c r="E1103" t="b">
        <f t="shared" si="17"/>
        <v>1</v>
      </c>
      <c r="F1103" s="12">
        <v>0</v>
      </c>
    </row>
    <row r="1104" spans="3:6">
      <c r="C1104" s="12"/>
      <c r="D1104" s="12"/>
      <c r="E1104" t="b">
        <f t="shared" si="17"/>
        <v>1</v>
      </c>
      <c r="F1104" s="12">
        <v>0</v>
      </c>
    </row>
    <row r="1105" spans="3:6">
      <c r="C1105" s="12"/>
      <c r="D1105" s="12"/>
      <c r="E1105" t="b">
        <f t="shared" si="17"/>
        <v>1</v>
      </c>
      <c r="F1105" s="12">
        <v>0</v>
      </c>
    </row>
    <row r="1106" spans="3:6">
      <c r="C1106" s="12"/>
      <c r="D1106" s="12"/>
      <c r="E1106" t="b">
        <f t="shared" si="17"/>
        <v>1</v>
      </c>
      <c r="F1106" s="12">
        <v>0</v>
      </c>
    </row>
    <row r="1107" spans="3:6">
      <c r="C1107" s="12"/>
      <c r="D1107" s="12"/>
      <c r="E1107" t="b">
        <f t="shared" si="17"/>
        <v>1</v>
      </c>
      <c r="F1107" s="12">
        <v>0</v>
      </c>
    </row>
    <row r="1108" spans="3:6">
      <c r="C1108" s="12"/>
      <c r="D1108" s="12"/>
      <c r="E1108" t="b">
        <f t="shared" si="17"/>
        <v>1</v>
      </c>
      <c r="F1108" s="12">
        <v>0</v>
      </c>
    </row>
    <row r="1109" spans="3:6">
      <c r="C1109" s="12"/>
      <c r="D1109" s="12"/>
      <c r="E1109" t="b">
        <f t="shared" si="17"/>
        <v>1</v>
      </c>
      <c r="F1109" s="12">
        <v>0</v>
      </c>
    </row>
    <row r="1110" spans="3:6">
      <c r="C1110" s="12"/>
      <c r="D1110" s="12"/>
      <c r="E1110" t="b">
        <f t="shared" si="17"/>
        <v>1</v>
      </c>
      <c r="F1110" s="12">
        <v>0</v>
      </c>
    </row>
    <row r="1111" spans="3:6">
      <c r="C1111" s="12"/>
      <c r="D1111" s="12"/>
      <c r="E1111" t="b">
        <f t="shared" si="17"/>
        <v>1</v>
      </c>
      <c r="F1111" s="12">
        <v>0</v>
      </c>
    </row>
    <row r="1112" spans="3:6">
      <c r="C1112" s="12"/>
      <c r="D1112" s="12"/>
      <c r="E1112" t="b">
        <f t="shared" si="17"/>
        <v>1</v>
      </c>
      <c r="F1112" s="12">
        <v>0</v>
      </c>
    </row>
    <row r="1113" spans="3:6">
      <c r="C1113" s="12"/>
      <c r="D1113" s="12"/>
      <c r="E1113" t="b">
        <f t="shared" si="17"/>
        <v>1</v>
      </c>
      <c r="F1113" s="12">
        <v>0</v>
      </c>
    </row>
    <row r="1114" spans="3:6">
      <c r="C1114" s="12"/>
      <c r="D1114" s="12"/>
      <c r="E1114" t="b">
        <f t="shared" si="17"/>
        <v>1</v>
      </c>
      <c r="F1114" s="12">
        <v>0</v>
      </c>
    </row>
    <row r="1115" spans="3:6">
      <c r="C1115" s="12"/>
      <c r="D1115" s="12"/>
      <c r="E1115" t="b">
        <f t="shared" si="17"/>
        <v>1</v>
      </c>
      <c r="F1115" s="12">
        <v>0</v>
      </c>
    </row>
    <row r="1116" spans="3:6">
      <c r="C1116" s="12"/>
      <c r="D1116" s="12"/>
      <c r="E1116" t="b">
        <f t="shared" si="17"/>
        <v>1</v>
      </c>
      <c r="F1116" s="12">
        <v>0</v>
      </c>
    </row>
    <row r="1117" spans="3:6">
      <c r="C1117" s="12"/>
      <c r="D1117" s="12"/>
      <c r="E1117" t="b">
        <f t="shared" si="17"/>
        <v>1</v>
      </c>
      <c r="F1117" s="12">
        <v>0</v>
      </c>
    </row>
    <row r="1118" spans="3:6">
      <c r="C1118" s="12"/>
      <c r="D1118" s="12"/>
      <c r="E1118" t="b">
        <f t="shared" si="17"/>
        <v>1</v>
      </c>
      <c r="F1118" s="12">
        <v>0</v>
      </c>
    </row>
    <row r="1119" spans="3:6">
      <c r="C1119" s="12"/>
      <c r="D1119" s="12"/>
      <c r="E1119" t="b">
        <f t="shared" si="17"/>
        <v>1</v>
      </c>
      <c r="F1119" s="12">
        <v>0</v>
      </c>
    </row>
    <row r="1120" spans="3:6">
      <c r="C1120" s="12"/>
      <c r="D1120" s="12"/>
      <c r="E1120" t="b">
        <f t="shared" si="17"/>
        <v>1</v>
      </c>
      <c r="F1120" s="12">
        <v>0</v>
      </c>
    </row>
    <row r="1121" spans="3:6">
      <c r="C1121" s="12"/>
      <c r="D1121" s="12"/>
      <c r="E1121" t="b">
        <f t="shared" si="17"/>
        <v>1</v>
      </c>
      <c r="F1121" s="12">
        <v>0</v>
      </c>
    </row>
    <row r="1122" spans="3:6">
      <c r="C1122" s="12"/>
      <c r="D1122" s="12"/>
      <c r="E1122" t="b">
        <f t="shared" si="17"/>
        <v>1</v>
      </c>
      <c r="F1122" s="12">
        <v>0</v>
      </c>
    </row>
    <row r="1123" spans="3:6">
      <c r="C1123" s="12"/>
      <c r="D1123" s="12"/>
      <c r="E1123" t="b">
        <f t="shared" si="17"/>
        <v>1</v>
      </c>
      <c r="F1123" s="12">
        <v>0</v>
      </c>
    </row>
    <row r="1124" spans="3:6">
      <c r="C1124" s="12"/>
      <c r="D1124" s="12"/>
      <c r="E1124" t="b">
        <f t="shared" si="17"/>
        <v>1</v>
      </c>
      <c r="F1124" s="12">
        <v>0</v>
      </c>
    </row>
    <row r="1125" spans="3:6">
      <c r="C1125" s="12"/>
      <c r="D1125" s="12"/>
      <c r="E1125" t="b">
        <f t="shared" si="17"/>
        <v>1</v>
      </c>
      <c r="F1125" s="12">
        <v>0</v>
      </c>
    </row>
    <row r="1126" spans="3:6">
      <c r="C1126" s="12"/>
      <c r="D1126" s="12"/>
      <c r="E1126" t="b">
        <f t="shared" si="17"/>
        <v>1</v>
      </c>
      <c r="F1126" s="12">
        <v>0</v>
      </c>
    </row>
    <row r="1127" spans="3:6">
      <c r="C1127" s="12"/>
      <c r="D1127" s="12"/>
      <c r="E1127" t="b">
        <f t="shared" si="17"/>
        <v>1</v>
      </c>
      <c r="F1127" s="12">
        <v>0</v>
      </c>
    </row>
    <row r="1128" spans="3:6">
      <c r="C1128" s="12"/>
      <c r="D1128" s="12"/>
      <c r="E1128" t="b">
        <f t="shared" si="17"/>
        <v>1</v>
      </c>
      <c r="F1128" s="12">
        <v>0</v>
      </c>
    </row>
    <row r="1129" spans="3:6">
      <c r="C1129" s="12"/>
      <c r="D1129" s="12"/>
      <c r="E1129" t="b">
        <f t="shared" si="17"/>
        <v>1</v>
      </c>
      <c r="F1129" s="12">
        <v>0</v>
      </c>
    </row>
    <row r="1130" spans="3:6">
      <c r="C1130" s="12"/>
      <c r="D1130" s="12"/>
      <c r="E1130" t="b">
        <f t="shared" si="17"/>
        <v>1</v>
      </c>
      <c r="F1130" s="12">
        <v>0</v>
      </c>
    </row>
    <row r="1131" spans="3:6">
      <c r="C1131" s="12"/>
      <c r="D1131" s="12"/>
      <c r="E1131" t="b">
        <f t="shared" si="17"/>
        <v>1</v>
      </c>
      <c r="F1131" s="12">
        <v>0</v>
      </c>
    </row>
    <row r="1132" spans="3:6">
      <c r="C1132" s="12"/>
      <c r="D1132" s="12"/>
      <c r="E1132" t="b">
        <f t="shared" si="17"/>
        <v>1</v>
      </c>
      <c r="F1132" s="12">
        <v>0</v>
      </c>
    </row>
    <row r="1133" spans="3:6">
      <c r="C1133" s="12"/>
      <c r="D1133" s="12"/>
      <c r="E1133" t="b">
        <f t="shared" si="17"/>
        <v>1</v>
      </c>
      <c r="F1133" s="12">
        <v>0</v>
      </c>
    </row>
    <row r="1134" spans="3:6">
      <c r="C1134" s="12"/>
      <c r="D1134" s="12"/>
      <c r="E1134" t="b">
        <f t="shared" si="17"/>
        <v>1</v>
      </c>
      <c r="F1134" s="12">
        <v>0</v>
      </c>
    </row>
    <row r="1135" spans="3:6">
      <c r="C1135" s="12"/>
      <c r="D1135" s="12"/>
      <c r="E1135" t="b">
        <f t="shared" si="17"/>
        <v>1</v>
      </c>
      <c r="F1135" s="12">
        <v>0</v>
      </c>
    </row>
    <row r="1136" spans="3:6">
      <c r="C1136" s="12"/>
      <c r="D1136" s="12"/>
      <c r="E1136" t="b">
        <f t="shared" si="17"/>
        <v>1</v>
      </c>
      <c r="F1136" s="12">
        <v>0</v>
      </c>
    </row>
    <row r="1137" spans="3:6">
      <c r="C1137" s="12"/>
      <c r="D1137" s="12"/>
      <c r="E1137" t="b">
        <f t="shared" si="17"/>
        <v>1</v>
      </c>
      <c r="F1137" s="12">
        <v>0</v>
      </c>
    </row>
    <row r="1138" spans="3:6">
      <c r="C1138" s="12"/>
      <c r="D1138" s="12"/>
      <c r="E1138" t="b">
        <f t="shared" si="17"/>
        <v>1</v>
      </c>
      <c r="F1138" s="12">
        <v>0</v>
      </c>
    </row>
    <row r="1139" spans="3:6">
      <c r="C1139" s="12"/>
      <c r="D1139" s="12"/>
      <c r="E1139" t="b">
        <f t="shared" si="17"/>
        <v>1</v>
      </c>
      <c r="F1139" s="12">
        <v>0</v>
      </c>
    </row>
    <row r="1140" spans="3:6">
      <c r="C1140" s="12"/>
      <c r="D1140" s="12"/>
      <c r="E1140" t="b">
        <f t="shared" si="17"/>
        <v>1</v>
      </c>
      <c r="F1140" s="12">
        <v>0</v>
      </c>
    </row>
    <row r="1141" spans="3:6">
      <c r="C1141" s="12"/>
      <c r="D1141" s="12"/>
      <c r="E1141" t="b">
        <f t="shared" si="17"/>
        <v>1</v>
      </c>
      <c r="F1141" s="12">
        <v>0</v>
      </c>
    </row>
    <row r="1142" spans="3:6">
      <c r="C1142" s="12"/>
      <c r="D1142" s="12"/>
      <c r="E1142" t="b">
        <f t="shared" si="17"/>
        <v>1</v>
      </c>
      <c r="F1142" s="12">
        <v>0</v>
      </c>
    </row>
    <row r="1143" spans="3:6">
      <c r="C1143" s="12"/>
      <c r="D1143" s="12"/>
      <c r="E1143" t="b">
        <f t="shared" si="17"/>
        <v>1</v>
      </c>
      <c r="F1143" s="12">
        <v>0</v>
      </c>
    </row>
    <row r="1144" spans="3:6">
      <c r="C1144" s="12"/>
      <c r="D1144" s="12"/>
      <c r="E1144" t="b">
        <f t="shared" si="17"/>
        <v>1</v>
      </c>
      <c r="F1144" s="12">
        <v>0</v>
      </c>
    </row>
    <row r="1145" spans="3:6">
      <c r="C1145" s="12"/>
      <c r="D1145" s="12"/>
      <c r="E1145" t="b">
        <f t="shared" si="17"/>
        <v>1</v>
      </c>
      <c r="F1145" s="12">
        <v>0</v>
      </c>
    </row>
    <row r="1146" spans="3:6">
      <c r="C1146" s="12"/>
      <c r="D1146" s="12"/>
      <c r="E1146" t="b">
        <f t="shared" si="17"/>
        <v>1</v>
      </c>
      <c r="F1146" s="12">
        <v>0</v>
      </c>
    </row>
    <row r="1147" spans="3:6">
      <c r="C1147" s="12"/>
      <c r="D1147" s="12"/>
      <c r="E1147" t="b">
        <f t="shared" si="17"/>
        <v>1</v>
      </c>
      <c r="F1147" s="12">
        <v>0</v>
      </c>
    </row>
    <row r="1148" spans="3:6">
      <c r="C1148" s="12"/>
      <c r="D1148" s="12"/>
      <c r="E1148" t="b">
        <f t="shared" si="17"/>
        <v>1</v>
      </c>
      <c r="F1148" s="12">
        <v>0</v>
      </c>
    </row>
    <row r="1149" spans="3:6">
      <c r="C1149" s="12"/>
      <c r="D1149" s="12"/>
      <c r="E1149" t="b">
        <f t="shared" si="17"/>
        <v>1</v>
      </c>
      <c r="F1149" s="12">
        <v>0</v>
      </c>
    </row>
    <row r="1150" spans="3:6">
      <c r="C1150" s="12"/>
      <c r="D1150" s="12"/>
      <c r="E1150" t="b">
        <f t="shared" si="17"/>
        <v>1</v>
      </c>
      <c r="F1150" s="12">
        <v>0</v>
      </c>
    </row>
    <row r="1151" spans="3:6">
      <c r="C1151" s="12"/>
      <c r="D1151" s="12"/>
      <c r="E1151" t="b">
        <f t="shared" si="17"/>
        <v>1</v>
      </c>
      <c r="F1151" s="12">
        <v>0</v>
      </c>
    </row>
    <row r="1152" spans="3:6">
      <c r="C1152" s="12"/>
      <c r="D1152" s="12"/>
      <c r="E1152" t="b">
        <f t="shared" si="17"/>
        <v>1</v>
      </c>
      <c r="F1152" s="12">
        <v>0</v>
      </c>
    </row>
    <row r="1153" spans="3:6">
      <c r="C1153" s="12"/>
      <c r="D1153" s="12"/>
      <c r="E1153" t="b">
        <f t="shared" si="17"/>
        <v>1</v>
      </c>
      <c r="F1153" s="12">
        <v>0</v>
      </c>
    </row>
    <row r="1154" spans="3:6">
      <c r="C1154" s="12"/>
      <c r="D1154" s="12"/>
      <c r="E1154" t="b">
        <f t="shared" si="17"/>
        <v>1</v>
      </c>
      <c r="F1154" s="12">
        <v>0</v>
      </c>
    </row>
    <row r="1155" spans="3:6">
      <c r="C1155" s="12"/>
      <c r="D1155" s="12"/>
      <c r="E1155" t="b">
        <f t="shared" ref="E1155:E1218" si="18">F1155=C1155</f>
        <v>1</v>
      </c>
      <c r="F1155" s="12">
        <v>0</v>
      </c>
    </row>
    <row r="1156" spans="3:6">
      <c r="C1156" s="12"/>
      <c r="D1156" s="12"/>
      <c r="E1156" t="b">
        <f t="shared" si="18"/>
        <v>1</v>
      </c>
      <c r="F1156" s="12">
        <v>0</v>
      </c>
    </row>
    <row r="1157" spans="3:6">
      <c r="C1157" s="12"/>
      <c r="D1157" s="12"/>
      <c r="E1157" t="b">
        <f t="shared" si="18"/>
        <v>1</v>
      </c>
      <c r="F1157" s="12">
        <v>0</v>
      </c>
    </row>
    <row r="1158" spans="3:6">
      <c r="C1158" s="12"/>
      <c r="D1158" s="12"/>
      <c r="E1158" t="b">
        <f t="shared" si="18"/>
        <v>1</v>
      </c>
      <c r="F1158" s="12">
        <v>0</v>
      </c>
    </row>
    <row r="1159" spans="3:6">
      <c r="C1159" s="12"/>
      <c r="D1159" s="12"/>
      <c r="E1159" t="b">
        <f t="shared" si="18"/>
        <v>1</v>
      </c>
      <c r="F1159" s="12">
        <v>0</v>
      </c>
    </row>
    <row r="1160" spans="3:6">
      <c r="C1160" s="12"/>
      <c r="D1160" s="12"/>
      <c r="E1160" t="b">
        <f t="shared" si="18"/>
        <v>1</v>
      </c>
      <c r="F1160" s="12">
        <v>0</v>
      </c>
    </row>
    <row r="1161" spans="3:6">
      <c r="C1161" s="12"/>
      <c r="D1161" s="12"/>
      <c r="E1161" t="b">
        <f t="shared" si="18"/>
        <v>1</v>
      </c>
      <c r="F1161" s="12">
        <v>0</v>
      </c>
    </row>
    <row r="1162" spans="3:6">
      <c r="C1162" s="12"/>
      <c r="D1162" s="12"/>
      <c r="E1162" t="b">
        <f t="shared" si="18"/>
        <v>1</v>
      </c>
      <c r="F1162" s="12">
        <v>0</v>
      </c>
    </row>
    <row r="1163" spans="3:6">
      <c r="C1163" s="12"/>
      <c r="D1163" s="12"/>
      <c r="E1163" t="b">
        <f t="shared" si="18"/>
        <v>1</v>
      </c>
      <c r="F1163" s="12">
        <v>0</v>
      </c>
    </row>
    <row r="1164" spans="3:6">
      <c r="C1164" s="12"/>
      <c r="D1164" s="12"/>
      <c r="E1164" t="b">
        <f t="shared" si="18"/>
        <v>1</v>
      </c>
      <c r="F1164" s="12">
        <v>0</v>
      </c>
    </row>
    <row r="1165" spans="3:6">
      <c r="C1165" s="12"/>
      <c r="D1165" s="12"/>
      <c r="E1165" t="b">
        <f t="shared" si="18"/>
        <v>1</v>
      </c>
      <c r="F1165" s="12">
        <v>0</v>
      </c>
    </row>
    <row r="1166" spans="3:6">
      <c r="C1166" s="12"/>
      <c r="D1166" s="12"/>
      <c r="E1166" t="b">
        <f t="shared" si="18"/>
        <v>1</v>
      </c>
      <c r="F1166" s="12">
        <v>0</v>
      </c>
    </row>
    <row r="1167" spans="3:6">
      <c r="C1167" s="12"/>
      <c r="D1167" s="12"/>
      <c r="E1167" t="b">
        <f t="shared" si="18"/>
        <v>1</v>
      </c>
      <c r="F1167" s="12">
        <v>0</v>
      </c>
    </row>
    <row r="1168" spans="3:6">
      <c r="C1168" s="12"/>
      <c r="D1168" s="12"/>
      <c r="E1168" t="b">
        <f t="shared" si="18"/>
        <v>1</v>
      </c>
      <c r="F1168" s="12">
        <v>0</v>
      </c>
    </row>
    <row r="1169" spans="3:6">
      <c r="C1169" s="12"/>
      <c r="D1169" s="12"/>
      <c r="E1169" t="b">
        <f t="shared" si="18"/>
        <v>1</v>
      </c>
      <c r="F1169" s="12">
        <v>0</v>
      </c>
    </row>
    <row r="1170" spans="3:6">
      <c r="C1170" s="12"/>
      <c r="D1170" s="12"/>
      <c r="E1170" t="b">
        <f t="shared" si="18"/>
        <v>1</v>
      </c>
      <c r="F1170" s="12">
        <v>0</v>
      </c>
    </row>
    <row r="1171" spans="3:6">
      <c r="C1171" s="12"/>
      <c r="D1171" s="12"/>
      <c r="E1171" t="b">
        <f t="shared" si="18"/>
        <v>1</v>
      </c>
      <c r="F1171" s="12">
        <v>0</v>
      </c>
    </row>
    <row r="1172" spans="3:6">
      <c r="C1172" s="12"/>
      <c r="D1172" s="12"/>
      <c r="E1172" t="b">
        <f t="shared" si="18"/>
        <v>1</v>
      </c>
      <c r="F1172" s="12">
        <v>0</v>
      </c>
    </row>
    <row r="1173" spans="3:6">
      <c r="C1173" s="12"/>
      <c r="D1173" s="12"/>
      <c r="E1173" t="b">
        <f t="shared" si="18"/>
        <v>1</v>
      </c>
      <c r="F1173" s="12">
        <v>0</v>
      </c>
    </row>
    <row r="1174" spans="3:6">
      <c r="C1174" s="12"/>
      <c r="D1174" s="12"/>
      <c r="E1174" t="b">
        <f t="shared" si="18"/>
        <v>1</v>
      </c>
      <c r="F1174" s="12">
        <v>0</v>
      </c>
    </row>
    <row r="1175" spans="3:6">
      <c r="C1175" s="12"/>
      <c r="D1175" s="12"/>
      <c r="E1175" t="b">
        <f t="shared" si="18"/>
        <v>1</v>
      </c>
      <c r="F1175" s="12">
        <v>0</v>
      </c>
    </row>
    <row r="1176" spans="3:6">
      <c r="C1176" s="12"/>
      <c r="D1176" s="12"/>
      <c r="E1176" t="b">
        <f t="shared" si="18"/>
        <v>1</v>
      </c>
      <c r="F1176" s="12">
        <v>0</v>
      </c>
    </row>
    <row r="1177" spans="3:6">
      <c r="C1177" s="12"/>
      <c r="D1177" s="12"/>
      <c r="E1177" t="b">
        <f t="shared" si="18"/>
        <v>1</v>
      </c>
      <c r="F1177" s="12">
        <v>0</v>
      </c>
    </row>
    <row r="1178" spans="3:6">
      <c r="C1178" s="12"/>
      <c r="D1178" s="12"/>
      <c r="E1178" t="b">
        <f t="shared" si="18"/>
        <v>1</v>
      </c>
      <c r="F1178" s="12">
        <v>0</v>
      </c>
    </row>
    <row r="1179" spans="3:6">
      <c r="C1179" s="12"/>
      <c r="D1179" s="12"/>
      <c r="E1179" t="b">
        <f t="shared" si="18"/>
        <v>1</v>
      </c>
      <c r="F1179" s="12">
        <v>0</v>
      </c>
    </row>
    <row r="1180" spans="3:6">
      <c r="C1180" s="12"/>
      <c r="D1180" s="12"/>
      <c r="E1180" t="b">
        <f t="shared" si="18"/>
        <v>1</v>
      </c>
      <c r="F1180" s="12">
        <v>0</v>
      </c>
    </row>
    <row r="1181" spans="3:6">
      <c r="C1181" s="12"/>
      <c r="D1181" s="12"/>
      <c r="E1181" t="b">
        <f t="shared" si="18"/>
        <v>1</v>
      </c>
      <c r="F1181" s="12">
        <v>0</v>
      </c>
    </row>
    <row r="1182" spans="3:6">
      <c r="C1182" s="12"/>
      <c r="D1182" s="12"/>
      <c r="E1182" t="b">
        <f t="shared" si="18"/>
        <v>1</v>
      </c>
      <c r="F1182" s="12">
        <v>0</v>
      </c>
    </row>
    <row r="1183" spans="3:6">
      <c r="C1183" s="12"/>
      <c r="D1183" s="12"/>
      <c r="E1183" t="b">
        <f t="shared" si="18"/>
        <v>1</v>
      </c>
      <c r="F1183" s="12">
        <v>0</v>
      </c>
    </row>
    <row r="1184" spans="3:6">
      <c r="C1184" s="12"/>
      <c r="D1184" s="12"/>
      <c r="E1184" t="b">
        <f t="shared" si="18"/>
        <v>1</v>
      </c>
      <c r="F1184" s="12">
        <v>0</v>
      </c>
    </row>
    <row r="1185" spans="3:6">
      <c r="C1185" s="12"/>
      <c r="D1185" s="12"/>
      <c r="E1185" t="b">
        <f t="shared" si="18"/>
        <v>1</v>
      </c>
      <c r="F1185" s="12">
        <v>0</v>
      </c>
    </row>
    <row r="1186" spans="3:6">
      <c r="C1186" s="12"/>
      <c r="D1186" s="12"/>
      <c r="E1186" t="b">
        <f t="shared" si="18"/>
        <v>1</v>
      </c>
      <c r="F1186" s="12">
        <v>0</v>
      </c>
    </row>
    <row r="1187" spans="3:6">
      <c r="C1187" s="12"/>
      <c r="D1187" s="12"/>
      <c r="E1187" t="b">
        <f t="shared" si="18"/>
        <v>1</v>
      </c>
      <c r="F1187" s="12">
        <v>0</v>
      </c>
    </row>
    <row r="1188" spans="3:6">
      <c r="C1188" s="12"/>
      <c r="D1188" s="12"/>
      <c r="E1188" t="b">
        <f t="shared" si="18"/>
        <v>1</v>
      </c>
      <c r="F1188" s="12">
        <v>0</v>
      </c>
    </row>
    <row r="1189" spans="3:6">
      <c r="C1189" s="12"/>
      <c r="D1189" s="12"/>
      <c r="E1189" t="b">
        <f t="shared" si="18"/>
        <v>1</v>
      </c>
      <c r="F1189" s="12">
        <v>0</v>
      </c>
    </row>
    <row r="1190" spans="3:6">
      <c r="C1190" s="12"/>
      <c r="D1190" s="12"/>
      <c r="E1190" t="b">
        <f t="shared" si="18"/>
        <v>1</v>
      </c>
      <c r="F1190" s="12">
        <v>0</v>
      </c>
    </row>
    <row r="1191" spans="3:6">
      <c r="C1191" s="12"/>
      <c r="D1191" s="12"/>
      <c r="E1191" t="b">
        <f t="shared" si="18"/>
        <v>1</v>
      </c>
      <c r="F1191" s="12">
        <v>0</v>
      </c>
    </row>
    <row r="1192" spans="3:6">
      <c r="C1192" s="12"/>
      <c r="D1192" s="12"/>
      <c r="E1192" t="b">
        <f t="shared" si="18"/>
        <v>1</v>
      </c>
      <c r="F1192" s="12">
        <v>0</v>
      </c>
    </row>
    <row r="1193" spans="3:6">
      <c r="C1193" s="12"/>
      <c r="D1193" s="12"/>
      <c r="E1193" t="b">
        <f t="shared" si="18"/>
        <v>1</v>
      </c>
      <c r="F1193" s="12">
        <v>0</v>
      </c>
    </row>
    <row r="1194" spans="3:6">
      <c r="C1194" s="12"/>
      <c r="D1194" s="12"/>
      <c r="E1194" t="b">
        <f t="shared" si="18"/>
        <v>1</v>
      </c>
      <c r="F1194" s="12">
        <v>0</v>
      </c>
    </row>
    <row r="1195" spans="3:6">
      <c r="C1195" s="12"/>
      <c r="D1195" s="12"/>
      <c r="E1195" t="b">
        <f t="shared" si="18"/>
        <v>1</v>
      </c>
      <c r="F1195" s="12">
        <v>0</v>
      </c>
    </row>
    <row r="1196" spans="3:6">
      <c r="C1196" s="12"/>
      <c r="D1196" s="12"/>
      <c r="E1196" t="b">
        <f t="shared" si="18"/>
        <v>1</v>
      </c>
      <c r="F1196" s="12">
        <v>0</v>
      </c>
    </row>
    <row r="1197" spans="3:6">
      <c r="C1197" s="12"/>
      <c r="D1197" s="12"/>
      <c r="E1197" t="b">
        <f t="shared" si="18"/>
        <v>1</v>
      </c>
      <c r="F1197" s="12">
        <v>0</v>
      </c>
    </row>
    <row r="1198" spans="3:6">
      <c r="C1198" s="12"/>
      <c r="D1198" s="12"/>
      <c r="E1198" t="b">
        <f t="shared" si="18"/>
        <v>1</v>
      </c>
      <c r="F1198" s="12">
        <v>0</v>
      </c>
    </row>
    <row r="1199" spans="3:6">
      <c r="C1199" s="12"/>
      <c r="D1199" s="12"/>
      <c r="E1199" t="b">
        <f t="shared" si="18"/>
        <v>1</v>
      </c>
      <c r="F1199" s="12">
        <v>0</v>
      </c>
    </row>
    <row r="1200" spans="3:6">
      <c r="C1200" s="12"/>
      <c r="D1200" s="12"/>
      <c r="E1200" t="b">
        <f t="shared" si="18"/>
        <v>1</v>
      </c>
      <c r="F1200" s="12">
        <v>0</v>
      </c>
    </row>
    <row r="1201" spans="3:6">
      <c r="C1201" s="12"/>
      <c r="D1201" s="12"/>
      <c r="E1201" t="b">
        <f t="shared" si="18"/>
        <v>1</v>
      </c>
      <c r="F1201" s="12">
        <v>0</v>
      </c>
    </row>
    <row r="1202" spans="3:6">
      <c r="C1202" s="12"/>
      <c r="D1202" s="12"/>
      <c r="E1202" t="b">
        <f t="shared" si="18"/>
        <v>1</v>
      </c>
      <c r="F1202" s="12">
        <v>0</v>
      </c>
    </row>
    <row r="1203" spans="3:6">
      <c r="C1203" s="12"/>
      <c r="D1203" s="12"/>
      <c r="E1203" t="b">
        <f t="shared" si="18"/>
        <v>1</v>
      </c>
      <c r="F1203" s="12">
        <v>0</v>
      </c>
    </row>
    <row r="1204" spans="3:6">
      <c r="C1204" s="12"/>
      <c r="D1204" s="12"/>
      <c r="E1204" t="b">
        <f t="shared" si="18"/>
        <v>1</v>
      </c>
      <c r="F1204" s="12">
        <v>0</v>
      </c>
    </row>
    <row r="1205" spans="3:6">
      <c r="C1205" s="12"/>
      <c r="D1205" s="12"/>
      <c r="E1205" t="b">
        <f t="shared" si="18"/>
        <v>1</v>
      </c>
      <c r="F1205" s="12">
        <v>0</v>
      </c>
    </row>
    <row r="1206" spans="3:6">
      <c r="C1206" s="12"/>
      <c r="D1206" s="12"/>
      <c r="E1206" t="b">
        <f t="shared" si="18"/>
        <v>1</v>
      </c>
      <c r="F1206" s="12">
        <v>0</v>
      </c>
    </row>
    <row r="1207" spans="3:6">
      <c r="C1207" s="12"/>
      <c r="D1207" s="12"/>
      <c r="E1207" t="b">
        <f t="shared" si="18"/>
        <v>1</v>
      </c>
      <c r="F1207" s="12">
        <v>0</v>
      </c>
    </row>
    <row r="1208" spans="3:6">
      <c r="C1208" s="12"/>
      <c r="D1208" s="12"/>
      <c r="E1208" t="b">
        <f t="shared" si="18"/>
        <v>1</v>
      </c>
      <c r="F1208" s="12">
        <v>0</v>
      </c>
    </row>
    <row r="1209" spans="3:6">
      <c r="C1209" s="12"/>
      <c r="D1209" s="12"/>
      <c r="E1209" t="b">
        <f t="shared" si="18"/>
        <v>1</v>
      </c>
      <c r="F1209" s="12">
        <v>0</v>
      </c>
    </row>
    <row r="1210" spans="3:6">
      <c r="C1210" s="12"/>
      <c r="D1210" s="12"/>
      <c r="E1210" t="b">
        <f t="shared" si="18"/>
        <v>1</v>
      </c>
      <c r="F1210" s="12">
        <v>0</v>
      </c>
    </row>
    <row r="1211" spans="3:6">
      <c r="C1211" s="12"/>
      <c r="D1211" s="12"/>
      <c r="E1211" t="b">
        <f t="shared" si="18"/>
        <v>1</v>
      </c>
      <c r="F1211" s="12">
        <v>0</v>
      </c>
    </row>
    <row r="1212" spans="3:6">
      <c r="C1212" s="12"/>
      <c r="D1212" s="12"/>
      <c r="E1212" t="b">
        <f t="shared" si="18"/>
        <v>1</v>
      </c>
      <c r="F1212" s="12">
        <v>0</v>
      </c>
    </row>
    <row r="1213" spans="3:6">
      <c r="C1213" s="12"/>
      <c r="D1213" s="12"/>
      <c r="E1213" t="b">
        <f t="shared" si="18"/>
        <v>1</v>
      </c>
      <c r="F1213" s="12">
        <v>0</v>
      </c>
    </row>
    <row r="1214" spans="3:6">
      <c r="C1214" s="12"/>
      <c r="D1214" s="12"/>
      <c r="E1214" t="b">
        <f t="shared" si="18"/>
        <v>1</v>
      </c>
      <c r="F1214" s="12">
        <v>0</v>
      </c>
    </row>
    <row r="1215" spans="3:6">
      <c r="C1215" s="12"/>
      <c r="D1215" s="12"/>
      <c r="E1215" t="b">
        <f t="shared" si="18"/>
        <v>1</v>
      </c>
      <c r="F1215" s="12">
        <v>0</v>
      </c>
    </row>
    <row r="1216" spans="3:6">
      <c r="C1216" s="12"/>
      <c r="D1216" s="12"/>
      <c r="E1216" t="b">
        <f t="shared" si="18"/>
        <v>1</v>
      </c>
      <c r="F1216" s="12">
        <v>0</v>
      </c>
    </row>
    <row r="1217" spans="3:6">
      <c r="C1217" s="12"/>
      <c r="D1217" s="12"/>
      <c r="E1217" t="b">
        <f t="shared" si="18"/>
        <v>1</v>
      </c>
      <c r="F1217" s="12">
        <v>0</v>
      </c>
    </row>
    <row r="1218" spans="3:6">
      <c r="C1218" s="12"/>
      <c r="D1218" s="12"/>
      <c r="E1218" t="b">
        <f t="shared" si="18"/>
        <v>1</v>
      </c>
      <c r="F1218" s="12">
        <v>0</v>
      </c>
    </row>
    <row r="1219" spans="3:6">
      <c r="C1219" s="12"/>
      <c r="D1219" s="12"/>
      <c r="E1219" t="b">
        <f t="shared" ref="E1219:E1282" si="19">F1219=C1219</f>
        <v>1</v>
      </c>
      <c r="F1219" s="12">
        <v>0</v>
      </c>
    </row>
    <row r="1220" spans="3:6">
      <c r="C1220" s="12"/>
      <c r="D1220" s="12"/>
      <c r="E1220" t="b">
        <f t="shared" si="19"/>
        <v>1</v>
      </c>
      <c r="F1220" s="12">
        <v>0</v>
      </c>
    </row>
    <row r="1221" spans="3:6">
      <c r="C1221" s="12"/>
      <c r="D1221" s="12"/>
      <c r="E1221" t="b">
        <f t="shared" si="19"/>
        <v>1</v>
      </c>
      <c r="F1221" s="12">
        <v>0</v>
      </c>
    </row>
    <row r="1222" spans="3:6">
      <c r="C1222" s="12"/>
      <c r="D1222" s="12"/>
      <c r="E1222" t="b">
        <f t="shared" si="19"/>
        <v>1</v>
      </c>
      <c r="F1222" s="12">
        <v>0</v>
      </c>
    </row>
    <row r="1223" spans="3:6">
      <c r="C1223" s="12"/>
      <c r="D1223" s="12"/>
      <c r="E1223" t="b">
        <f t="shared" si="19"/>
        <v>1</v>
      </c>
      <c r="F1223" s="12">
        <v>0</v>
      </c>
    </row>
    <row r="1224" spans="3:6">
      <c r="C1224" s="12"/>
      <c r="D1224" s="12"/>
      <c r="E1224" t="b">
        <f t="shared" si="19"/>
        <v>1</v>
      </c>
      <c r="F1224" s="12">
        <v>0</v>
      </c>
    </row>
    <row r="1225" spans="3:6">
      <c r="C1225" s="12"/>
      <c r="D1225" s="12"/>
      <c r="E1225" t="b">
        <f t="shared" si="19"/>
        <v>1</v>
      </c>
      <c r="F1225" s="12">
        <v>0</v>
      </c>
    </row>
    <row r="1226" spans="3:6">
      <c r="C1226" s="12"/>
      <c r="D1226" s="12"/>
      <c r="E1226" t="b">
        <f t="shared" si="19"/>
        <v>1</v>
      </c>
      <c r="F1226" s="12">
        <v>0</v>
      </c>
    </row>
    <row r="1227" spans="3:6">
      <c r="C1227" s="12"/>
      <c r="D1227" s="12"/>
      <c r="E1227" t="b">
        <f t="shared" si="19"/>
        <v>1</v>
      </c>
      <c r="F1227" s="12">
        <v>0</v>
      </c>
    </row>
    <row r="1228" spans="3:6">
      <c r="C1228" s="12"/>
      <c r="D1228" s="12"/>
      <c r="E1228" t="b">
        <f t="shared" si="19"/>
        <v>1</v>
      </c>
      <c r="F1228" s="12">
        <v>0</v>
      </c>
    </row>
    <row r="1229" spans="3:6">
      <c r="C1229" s="12"/>
      <c r="D1229" s="12"/>
      <c r="E1229" t="b">
        <f t="shared" si="19"/>
        <v>1</v>
      </c>
      <c r="F1229" s="12">
        <v>0</v>
      </c>
    </row>
    <row r="1230" spans="3:6">
      <c r="C1230" s="12"/>
      <c r="D1230" s="12"/>
      <c r="E1230" t="b">
        <f t="shared" si="19"/>
        <v>1</v>
      </c>
      <c r="F1230" s="12">
        <v>0</v>
      </c>
    </row>
    <row r="1231" spans="3:6">
      <c r="C1231" s="12"/>
      <c r="D1231" s="12"/>
      <c r="E1231" t="b">
        <f t="shared" si="19"/>
        <v>1</v>
      </c>
      <c r="F1231" s="12">
        <v>0</v>
      </c>
    </row>
    <row r="1232" spans="3:6">
      <c r="C1232" s="12"/>
      <c r="D1232" s="12"/>
      <c r="E1232" t="b">
        <f t="shared" si="19"/>
        <v>1</v>
      </c>
      <c r="F1232" s="12">
        <v>0</v>
      </c>
    </row>
    <row r="1233" spans="3:6">
      <c r="C1233" s="12"/>
      <c r="D1233" s="12"/>
      <c r="E1233" t="b">
        <f t="shared" si="19"/>
        <v>1</v>
      </c>
      <c r="F1233" s="12">
        <v>0</v>
      </c>
    </row>
    <row r="1234" spans="3:6">
      <c r="C1234" s="12"/>
      <c r="D1234" s="12"/>
      <c r="E1234" t="b">
        <f t="shared" si="19"/>
        <v>1</v>
      </c>
      <c r="F1234" s="12">
        <v>0</v>
      </c>
    </row>
    <row r="1235" spans="3:6">
      <c r="C1235" s="12"/>
      <c r="D1235" s="12"/>
      <c r="E1235" t="b">
        <f t="shared" si="19"/>
        <v>1</v>
      </c>
      <c r="F1235" s="12">
        <v>0</v>
      </c>
    </row>
    <row r="1236" spans="3:6">
      <c r="C1236" s="12"/>
      <c r="D1236" s="12"/>
      <c r="E1236" t="b">
        <f t="shared" si="19"/>
        <v>1</v>
      </c>
      <c r="F1236" s="12">
        <v>0</v>
      </c>
    </row>
    <row r="1237" spans="3:6">
      <c r="C1237" s="12"/>
      <c r="D1237" s="12"/>
      <c r="E1237" t="b">
        <f t="shared" si="19"/>
        <v>1</v>
      </c>
      <c r="F1237" s="12">
        <v>0</v>
      </c>
    </row>
    <row r="1238" spans="3:6">
      <c r="C1238" s="12"/>
      <c r="D1238" s="12"/>
      <c r="E1238" t="b">
        <f t="shared" si="19"/>
        <v>1</v>
      </c>
      <c r="F1238" s="12">
        <v>0</v>
      </c>
    </row>
    <row r="1239" spans="3:6">
      <c r="C1239" s="12"/>
      <c r="D1239" s="12"/>
      <c r="E1239" t="b">
        <f t="shared" si="19"/>
        <v>1</v>
      </c>
      <c r="F1239" s="12">
        <v>0</v>
      </c>
    </row>
    <row r="1240" spans="3:6">
      <c r="C1240" s="12"/>
      <c r="D1240" s="12"/>
      <c r="E1240" t="b">
        <f t="shared" si="19"/>
        <v>1</v>
      </c>
      <c r="F1240" s="12">
        <v>0</v>
      </c>
    </row>
    <row r="1241" spans="3:6">
      <c r="C1241" s="12"/>
      <c r="D1241" s="12"/>
      <c r="E1241" t="b">
        <f t="shared" si="19"/>
        <v>1</v>
      </c>
      <c r="F1241" s="12">
        <v>0</v>
      </c>
    </row>
    <row r="1242" spans="3:6">
      <c r="C1242" s="12"/>
      <c r="D1242" s="12"/>
      <c r="E1242" t="b">
        <f t="shared" si="19"/>
        <v>1</v>
      </c>
      <c r="F1242" s="12">
        <v>0</v>
      </c>
    </row>
    <row r="1243" spans="3:6">
      <c r="C1243" s="12"/>
      <c r="D1243" s="12"/>
      <c r="E1243" t="b">
        <f t="shared" si="19"/>
        <v>1</v>
      </c>
      <c r="F1243" s="12">
        <v>0</v>
      </c>
    </row>
    <row r="1244" spans="3:6">
      <c r="C1244" s="12"/>
      <c r="D1244" s="12"/>
      <c r="E1244" t="b">
        <f t="shared" si="19"/>
        <v>1</v>
      </c>
      <c r="F1244" s="12">
        <v>0</v>
      </c>
    </row>
    <row r="1245" spans="3:6">
      <c r="C1245" s="12"/>
      <c r="D1245" s="12"/>
      <c r="E1245" t="b">
        <f t="shared" si="19"/>
        <v>1</v>
      </c>
      <c r="F1245" s="12">
        <v>0</v>
      </c>
    </row>
    <row r="1246" spans="3:6">
      <c r="C1246" s="12"/>
      <c r="D1246" s="12"/>
      <c r="E1246" t="b">
        <f t="shared" si="19"/>
        <v>1</v>
      </c>
      <c r="F1246" s="12">
        <v>0</v>
      </c>
    </row>
    <row r="1247" spans="3:6">
      <c r="C1247" s="12"/>
      <c r="D1247" s="12"/>
      <c r="E1247" t="b">
        <f t="shared" si="19"/>
        <v>1</v>
      </c>
      <c r="F1247" s="12">
        <v>0</v>
      </c>
    </row>
    <row r="1248" spans="3:6">
      <c r="C1248" s="12"/>
      <c r="D1248" s="12"/>
      <c r="E1248" t="b">
        <f t="shared" si="19"/>
        <v>1</v>
      </c>
      <c r="F1248" s="12">
        <v>0</v>
      </c>
    </row>
    <row r="1249" spans="3:6">
      <c r="C1249" s="12"/>
      <c r="D1249" s="12"/>
      <c r="E1249" t="b">
        <f t="shared" si="19"/>
        <v>1</v>
      </c>
      <c r="F1249" s="12">
        <v>0</v>
      </c>
    </row>
    <row r="1250" spans="3:6">
      <c r="C1250" s="12"/>
      <c r="D1250" s="12"/>
      <c r="E1250" t="b">
        <f t="shared" si="19"/>
        <v>1</v>
      </c>
      <c r="F1250" s="12">
        <v>0</v>
      </c>
    </row>
    <row r="1251" spans="3:6">
      <c r="C1251" s="12"/>
      <c r="D1251" s="12"/>
      <c r="E1251" t="b">
        <f t="shared" si="19"/>
        <v>1</v>
      </c>
      <c r="F1251" s="12">
        <v>0</v>
      </c>
    </row>
    <row r="1252" spans="3:6">
      <c r="C1252" s="12"/>
      <c r="D1252" s="12"/>
      <c r="E1252" t="b">
        <f t="shared" si="19"/>
        <v>1</v>
      </c>
      <c r="F1252" s="12">
        <v>0</v>
      </c>
    </row>
    <row r="1253" spans="3:6">
      <c r="C1253" s="12"/>
      <c r="D1253" s="12"/>
      <c r="E1253" t="b">
        <f t="shared" si="19"/>
        <v>1</v>
      </c>
      <c r="F1253" s="12">
        <v>0</v>
      </c>
    </row>
    <row r="1254" spans="3:6">
      <c r="C1254" s="12"/>
      <c r="D1254" s="12"/>
      <c r="E1254" t="b">
        <f t="shared" si="19"/>
        <v>1</v>
      </c>
      <c r="F1254" s="12">
        <v>0</v>
      </c>
    </row>
    <row r="1255" spans="3:6">
      <c r="C1255" s="12"/>
      <c r="D1255" s="12"/>
      <c r="E1255" t="b">
        <f t="shared" si="19"/>
        <v>1</v>
      </c>
      <c r="F1255" s="12">
        <v>0</v>
      </c>
    </row>
    <row r="1256" spans="3:6">
      <c r="C1256" s="12"/>
      <c r="D1256" s="12"/>
      <c r="E1256" t="b">
        <f t="shared" si="19"/>
        <v>1</v>
      </c>
      <c r="F1256" s="12">
        <v>0</v>
      </c>
    </row>
    <row r="1257" spans="3:6">
      <c r="C1257" s="12"/>
      <c r="D1257" s="12"/>
      <c r="E1257" t="b">
        <f t="shared" si="19"/>
        <v>1</v>
      </c>
      <c r="F1257" s="12">
        <v>0</v>
      </c>
    </row>
    <row r="1258" spans="3:6">
      <c r="C1258" s="12"/>
      <c r="D1258" s="12"/>
      <c r="E1258" t="b">
        <f t="shared" si="19"/>
        <v>1</v>
      </c>
      <c r="F1258" s="12">
        <v>0</v>
      </c>
    </row>
    <row r="1259" spans="3:6">
      <c r="C1259" s="12"/>
      <c r="D1259" s="12"/>
      <c r="E1259" t="b">
        <f t="shared" si="19"/>
        <v>1</v>
      </c>
      <c r="F1259" s="12">
        <v>0</v>
      </c>
    </row>
    <row r="1260" spans="3:6">
      <c r="C1260" s="12"/>
      <c r="D1260" s="12"/>
      <c r="E1260" t="b">
        <f t="shared" si="19"/>
        <v>1</v>
      </c>
      <c r="F1260" s="12">
        <v>0</v>
      </c>
    </row>
    <row r="1261" spans="3:6">
      <c r="C1261" s="12"/>
      <c r="D1261" s="12"/>
      <c r="E1261" t="b">
        <f t="shared" si="19"/>
        <v>1</v>
      </c>
      <c r="F1261" s="12">
        <v>0</v>
      </c>
    </row>
    <row r="1262" spans="3:6">
      <c r="C1262" s="12"/>
      <c r="D1262" s="12"/>
      <c r="E1262" t="b">
        <f t="shared" si="19"/>
        <v>1</v>
      </c>
      <c r="F1262" s="12">
        <v>0</v>
      </c>
    </row>
    <row r="1263" spans="3:6">
      <c r="C1263" s="12"/>
      <c r="D1263" s="12"/>
      <c r="E1263" t="b">
        <f t="shared" si="19"/>
        <v>1</v>
      </c>
      <c r="F1263" s="12">
        <v>0</v>
      </c>
    </row>
    <row r="1264" spans="3:6">
      <c r="C1264" s="12"/>
      <c r="D1264" s="12"/>
      <c r="E1264" t="b">
        <f t="shared" si="19"/>
        <v>1</v>
      </c>
      <c r="F1264" s="12">
        <v>0</v>
      </c>
    </row>
    <row r="1265" spans="3:6">
      <c r="C1265" s="12"/>
      <c r="D1265" s="12"/>
      <c r="E1265" t="b">
        <f t="shared" si="19"/>
        <v>1</v>
      </c>
      <c r="F1265" s="12">
        <v>0</v>
      </c>
    </row>
    <row r="1266" spans="3:6">
      <c r="C1266" s="12"/>
      <c r="D1266" s="12"/>
      <c r="E1266" t="b">
        <f t="shared" si="19"/>
        <v>1</v>
      </c>
      <c r="F1266" s="12">
        <v>0</v>
      </c>
    </row>
    <row r="1267" spans="3:6">
      <c r="C1267" s="12"/>
      <c r="D1267" s="12"/>
      <c r="E1267" t="b">
        <f t="shared" si="19"/>
        <v>1</v>
      </c>
      <c r="F1267" s="12">
        <v>0</v>
      </c>
    </row>
    <row r="1268" spans="3:6">
      <c r="C1268" s="12"/>
      <c r="D1268" s="12"/>
      <c r="E1268" t="b">
        <f t="shared" si="19"/>
        <v>1</v>
      </c>
      <c r="F1268" s="12">
        <v>0</v>
      </c>
    </row>
    <row r="1269" spans="3:6">
      <c r="C1269" s="12"/>
      <c r="D1269" s="12"/>
      <c r="E1269" t="b">
        <f t="shared" si="19"/>
        <v>1</v>
      </c>
      <c r="F1269" s="12">
        <v>0</v>
      </c>
    </row>
    <row r="1270" spans="3:6">
      <c r="C1270" s="12"/>
      <c r="D1270" s="12"/>
      <c r="E1270" t="b">
        <f t="shared" si="19"/>
        <v>1</v>
      </c>
      <c r="F1270" s="12">
        <v>0</v>
      </c>
    </row>
    <row r="1271" spans="3:6">
      <c r="C1271" s="12"/>
      <c r="D1271" s="12"/>
      <c r="E1271" t="b">
        <f t="shared" si="19"/>
        <v>1</v>
      </c>
      <c r="F1271" s="12">
        <v>0</v>
      </c>
    </row>
    <row r="1272" spans="3:6">
      <c r="C1272" s="12"/>
      <c r="D1272" s="12"/>
      <c r="E1272" t="b">
        <f t="shared" si="19"/>
        <v>1</v>
      </c>
      <c r="F1272" s="12">
        <v>0</v>
      </c>
    </row>
    <row r="1273" spans="3:6">
      <c r="C1273" s="12"/>
      <c r="D1273" s="12"/>
      <c r="E1273" t="b">
        <f t="shared" si="19"/>
        <v>1</v>
      </c>
      <c r="F1273" s="12">
        <v>0</v>
      </c>
    </row>
    <row r="1274" spans="3:6">
      <c r="C1274" s="12"/>
      <c r="D1274" s="12"/>
      <c r="E1274" t="b">
        <f t="shared" si="19"/>
        <v>1</v>
      </c>
      <c r="F1274" s="12">
        <v>0</v>
      </c>
    </row>
    <row r="1275" spans="3:6">
      <c r="C1275" s="12"/>
      <c r="D1275" s="12"/>
      <c r="E1275" t="b">
        <f t="shared" si="19"/>
        <v>1</v>
      </c>
      <c r="F1275" s="12">
        <v>0</v>
      </c>
    </row>
    <row r="1276" spans="3:6">
      <c r="C1276" s="12"/>
      <c r="D1276" s="12"/>
      <c r="E1276" t="b">
        <f t="shared" si="19"/>
        <v>1</v>
      </c>
      <c r="F1276" s="12">
        <v>0</v>
      </c>
    </row>
    <row r="1277" spans="3:6">
      <c r="C1277" s="12"/>
      <c r="D1277" s="12"/>
      <c r="E1277" t="b">
        <f t="shared" si="19"/>
        <v>1</v>
      </c>
      <c r="F1277" s="12">
        <v>0</v>
      </c>
    </row>
    <row r="1278" spans="3:6">
      <c r="C1278" s="12"/>
      <c r="D1278" s="12"/>
      <c r="E1278" t="b">
        <f t="shared" si="19"/>
        <v>1</v>
      </c>
      <c r="F1278" s="12">
        <v>0</v>
      </c>
    </row>
    <row r="1279" spans="3:6">
      <c r="C1279" s="12"/>
      <c r="D1279" s="12"/>
      <c r="E1279" t="b">
        <f t="shared" si="19"/>
        <v>1</v>
      </c>
      <c r="F1279" s="12">
        <v>0</v>
      </c>
    </row>
    <row r="1280" spans="3:6">
      <c r="C1280" s="12"/>
      <c r="D1280" s="12"/>
      <c r="E1280" t="b">
        <f t="shared" si="19"/>
        <v>1</v>
      </c>
      <c r="F1280" s="12">
        <v>0</v>
      </c>
    </row>
    <row r="1281" spans="3:6">
      <c r="C1281" s="12"/>
      <c r="D1281" s="12"/>
      <c r="E1281" t="b">
        <f t="shared" si="19"/>
        <v>1</v>
      </c>
      <c r="F1281" s="12">
        <v>0</v>
      </c>
    </row>
    <row r="1282" spans="3:6">
      <c r="C1282" s="12"/>
      <c r="D1282" s="12"/>
      <c r="E1282" t="b">
        <f t="shared" si="19"/>
        <v>1</v>
      </c>
      <c r="F1282" s="12">
        <v>0</v>
      </c>
    </row>
    <row r="1283" spans="3:6">
      <c r="C1283" s="12"/>
      <c r="D1283" s="12"/>
      <c r="E1283" t="b">
        <f t="shared" ref="E1283:E1346" si="20">F1283=C1283</f>
        <v>1</v>
      </c>
      <c r="F1283" s="12">
        <v>0</v>
      </c>
    </row>
    <row r="1284" spans="3:6">
      <c r="C1284" s="12"/>
      <c r="D1284" s="12"/>
      <c r="E1284" t="b">
        <f t="shared" si="20"/>
        <v>1</v>
      </c>
      <c r="F1284" s="12">
        <v>0</v>
      </c>
    </row>
    <row r="1285" spans="3:6">
      <c r="C1285" s="12"/>
      <c r="D1285" s="12"/>
      <c r="E1285" t="b">
        <f t="shared" si="20"/>
        <v>1</v>
      </c>
      <c r="F1285" s="12">
        <v>0</v>
      </c>
    </row>
    <row r="1286" spans="3:6">
      <c r="C1286" s="12"/>
      <c r="D1286" s="12"/>
      <c r="E1286" t="b">
        <f t="shared" si="20"/>
        <v>1</v>
      </c>
      <c r="F1286" s="12">
        <v>0</v>
      </c>
    </row>
    <row r="1287" spans="3:6">
      <c r="C1287" s="12"/>
      <c r="D1287" s="12"/>
      <c r="E1287" t="b">
        <f t="shared" si="20"/>
        <v>1</v>
      </c>
      <c r="F1287" s="12">
        <v>0</v>
      </c>
    </row>
    <row r="1288" spans="3:6">
      <c r="C1288" s="12"/>
      <c r="D1288" s="12"/>
      <c r="E1288" t="b">
        <f t="shared" si="20"/>
        <v>1</v>
      </c>
      <c r="F1288" s="12">
        <v>0</v>
      </c>
    </row>
    <row r="1289" spans="3:6">
      <c r="C1289" s="12"/>
      <c r="D1289" s="12"/>
      <c r="E1289" t="b">
        <f t="shared" si="20"/>
        <v>1</v>
      </c>
      <c r="F1289" s="12">
        <v>0</v>
      </c>
    </row>
    <row r="1290" spans="3:6">
      <c r="C1290" s="12"/>
      <c r="D1290" s="12"/>
      <c r="E1290" t="b">
        <f t="shared" si="20"/>
        <v>1</v>
      </c>
      <c r="F1290" s="12">
        <v>0</v>
      </c>
    </row>
    <row r="1291" spans="3:6">
      <c r="C1291" s="12"/>
      <c r="D1291" s="12"/>
      <c r="E1291" t="b">
        <f t="shared" si="20"/>
        <v>1</v>
      </c>
      <c r="F1291" s="12">
        <v>0</v>
      </c>
    </row>
    <row r="1292" spans="3:6">
      <c r="C1292" s="12"/>
      <c r="D1292" s="12"/>
      <c r="E1292" t="b">
        <f t="shared" si="20"/>
        <v>1</v>
      </c>
      <c r="F1292" s="12">
        <v>0</v>
      </c>
    </row>
    <row r="1293" spans="3:6">
      <c r="C1293" s="12"/>
      <c r="D1293" s="12"/>
      <c r="E1293" t="b">
        <f t="shared" si="20"/>
        <v>1</v>
      </c>
      <c r="F1293" s="12">
        <v>0</v>
      </c>
    </row>
    <row r="1294" spans="3:6">
      <c r="C1294" s="12"/>
      <c r="D1294" s="12"/>
      <c r="E1294" t="b">
        <f t="shared" si="20"/>
        <v>1</v>
      </c>
      <c r="F1294" s="12">
        <v>0</v>
      </c>
    </row>
    <row r="1295" spans="3:6">
      <c r="C1295" s="12"/>
      <c r="D1295" s="12"/>
      <c r="E1295" t="b">
        <f t="shared" si="20"/>
        <v>1</v>
      </c>
      <c r="F1295" s="12">
        <v>0</v>
      </c>
    </row>
    <row r="1296" spans="3:6">
      <c r="C1296" s="12"/>
      <c r="D1296" s="12"/>
      <c r="E1296" t="b">
        <f t="shared" si="20"/>
        <v>1</v>
      </c>
      <c r="F1296" s="12">
        <v>0</v>
      </c>
    </row>
    <row r="1297" spans="3:6">
      <c r="C1297" s="12"/>
      <c r="D1297" s="12"/>
      <c r="E1297" t="b">
        <f t="shared" si="20"/>
        <v>1</v>
      </c>
      <c r="F1297" s="12">
        <v>0</v>
      </c>
    </row>
    <row r="1298" spans="3:6">
      <c r="C1298" s="12"/>
      <c r="D1298" s="12"/>
      <c r="E1298" t="b">
        <f t="shared" si="20"/>
        <v>1</v>
      </c>
      <c r="F1298" s="12">
        <v>0</v>
      </c>
    </row>
    <row r="1299" spans="3:6">
      <c r="C1299" s="12"/>
      <c r="D1299" s="12"/>
      <c r="E1299" t="b">
        <f t="shared" si="20"/>
        <v>1</v>
      </c>
      <c r="F1299" s="12">
        <v>0</v>
      </c>
    </row>
    <row r="1300" spans="3:6">
      <c r="C1300" s="12"/>
      <c r="D1300" s="12"/>
      <c r="E1300" t="b">
        <f t="shared" si="20"/>
        <v>1</v>
      </c>
      <c r="F1300" s="12">
        <v>0</v>
      </c>
    </row>
    <row r="1301" spans="3:6">
      <c r="C1301" s="12"/>
      <c r="D1301" s="12"/>
      <c r="E1301" t="b">
        <f t="shared" si="20"/>
        <v>1</v>
      </c>
      <c r="F1301" s="12">
        <v>0</v>
      </c>
    </row>
    <row r="1302" spans="3:6">
      <c r="C1302" s="12"/>
      <c r="D1302" s="12"/>
      <c r="E1302" t="b">
        <f t="shared" si="20"/>
        <v>1</v>
      </c>
      <c r="F1302" s="12">
        <v>0</v>
      </c>
    </row>
    <row r="1303" spans="3:6">
      <c r="C1303" s="12"/>
      <c r="D1303" s="12"/>
      <c r="E1303" t="b">
        <f t="shared" si="20"/>
        <v>1</v>
      </c>
      <c r="F1303" s="12">
        <v>0</v>
      </c>
    </row>
    <row r="1304" spans="3:6">
      <c r="C1304" s="12"/>
      <c r="D1304" s="12"/>
      <c r="E1304" t="b">
        <f t="shared" si="20"/>
        <v>1</v>
      </c>
      <c r="F1304" s="12">
        <v>0</v>
      </c>
    </row>
    <row r="1305" spans="3:6">
      <c r="C1305" s="12"/>
      <c r="D1305" s="12"/>
      <c r="E1305" t="b">
        <f t="shared" si="20"/>
        <v>1</v>
      </c>
      <c r="F1305" s="12">
        <v>0</v>
      </c>
    </row>
    <row r="1306" spans="3:6">
      <c r="C1306" s="12"/>
      <c r="D1306" s="12"/>
      <c r="E1306" t="b">
        <f t="shared" si="20"/>
        <v>1</v>
      </c>
      <c r="F1306" s="12">
        <v>0</v>
      </c>
    </row>
    <row r="1307" spans="3:6">
      <c r="C1307" s="12"/>
      <c r="D1307" s="12"/>
      <c r="E1307" t="b">
        <f t="shared" si="20"/>
        <v>1</v>
      </c>
      <c r="F1307" s="12">
        <v>0</v>
      </c>
    </row>
    <row r="1308" spans="3:6">
      <c r="C1308" s="12"/>
      <c r="D1308" s="12"/>
      <c r="E1308" t="b">
        <f t="shared" si="20"/>
        <v>1</v>
      </c>
      <c r="F1308" s="12">
        <v>0</v>
      </c>
    </row>
    <row r="1309" spans="3:6">
      <c r="C1309" s="12"/>
      <c r="D1309" s="12"/>
      <c r="E1309" t="b">
        <f t="shared" si="20"/>
        <v>1</v>
      </c>
      <c r="F1309" s="12">
        <v>0</v>
      </c>
    </row>
    <row r="1310" spans="3:6">
      <c r="C1310" s="12"/>
      <c r="D1310" s="12"/>
      <c r="E1310" t="b">
        <f t="shared" si="20"/>
        <v>1</v>
      </c>
      <c r="F1310" s="12">
        <v>0</v>
      </c>
    </row>
    <row r="1311" spans="3:6">
      <c r="C1311" s="12"/>
      <c r="D1311" s="12"/>
      <c r="E1311" t="b">
        <f t="shared" si="20"/>
        <v>1</v>
      </c>
      <c r="F1311" s="12">
        <v>0</v>
      </c>
    </row>
    <row r="1312" spans="3:6">
      <c r="C1312" s="12"/>
      <c r="D1312" s="12"/>
      <c r="E1312" t="b">
        <f t="shared" si="20"/>
        <v>1</v>
      </c>
      <c r="F1312" s="12">
        <v>0</v>
      </c>
    </row>
    <row r="1313" spans="3:6">
      <c r="C1313" s="12"/>
      <c r="D1313" s="12"/>
      <c r="E1313" t="b">
        <f t="shared" si="20"/>
        <v>1</v>
      </c>
      <c r="F1313" s="12">
        <v>0</v>
      </c>
    </row>
    <row r="1314" spans="3:6">
      <c r="C1314" s="12"/>
      <c r="D1314" s="12"/>
      <c r="E1314" t="b">
        <f t="shared" si="20"/>
        <v>1</v>
      </c>
      <c r="F1314" s="12">
        <v>0</v>
      </c>
    </row>
    <row r="1315" spans="3:6">
      <c r="C1315" s="12"/>
      <c r="D1315" s="12"/>
      <c r="E1315" t="b">
        <f t="shared" si="20"/>
        <v>1</v>
      </c>
      <c r="F1315" s="12">
        <v>0</v>
      </c>
    </row>
    <row r="1316" spans="3:6">
      <c r="C1316" s="12"/>
      <c r="D1316" s="12"/>
      <c r="E1316" t="b">
        <f t="shared" si="20"/>
        <v>1</v>
      </c>
      <c r="F1316" s="12">
        <v>0</v>
      </c>
    </row>
    <row r="1317" spans="3:6">
      <c r="C1317" s="12"/>
      <c r="D1317" s="12"/>
      <c r="E1317" t="b">
        <f t="shared" si="20"/>
        <v>1</v>
      </c>
      <c r="F1317" s="12">
        <v>0</v>
      </c>
    </row>
    <row r="1318" spans="3:6">
      <c r="C1318" s="12"/>
      <c r="D1318" s="12"/>
      <c r="E1318" t="b">
        <f t="shared" si="20"/>
        <v>1</v>
      </c>
      <c r="F1318" s="12">
        <v>0</v>
      </c>
    </row>
    <row r="1319" spans="3:6">
      <c r="C1319" s="12"/>
      <c r="D1319" s="12"/>
      <c r="E1319" t="b">
        <f t="shared" si="20"/>
        <v>1</v>
      </c>
      <c r="F1319" s="12">
        <v>0</v>
      </c>
    </row>
    <row r="1320" spans="3:6">
      <c r="C1320" s="12"/>
      <c r="D1320" s="12"/>
      <c r="E1320" t="b">
        <f t="shared" si="20"/>
        <v>1</v>
      </c>
      <c r="F1320" s="12">
        <v>0</v>
      </c>
    </row>
    <row r="1321" spans="3:6">
      <c r="C1321" s="12"/>
      <c r="D1321" s="12"/>
      <c r="E1321" t="b">
        <f t="shared" si="20"/>
        <v>1</v>
      </c>
      <c r="F1321" s="12">
        <v>0</v>
      </c>
    </row>
    <row r="1322" spans="3:6">
      <c r="C1322" s="12"/>
      <c r="D1322" s="12"/>
      <c r="E1322" t="b">
        <f t="shared" si="20"/>
        <v>1</v>
      </c>
      <c r="F1322" s="12">
        <v>0</v>
      </c>
    </row>
    <row r="1323" spans="3:6">
      <c r="C1323" s="12"/>
      <c r="D1323" s="12"/>
      <c r="E1323" t="b">
        <f t="shared" si="20"/>
        <v>1</v>
      </c>
      <c r="F1323" s="12">
        <v>0</v>
      </c>
    </row>
    <row r="1324" spans="3:6">
      <c r="C1324" s="12"/>
      <c r="D1324" s="12"/>
      <c r="E1324" t="b">
        <f t="shared" si="20"/>
        <v>1</v>
      </c>
      <c r="F1324" s="12">
        <v>0</v>
      </c>
    </row>
    <row r="1325" spans="3:6">
      <c r="C1325" s="12"/>
      <c r="D1325" s="12"/>
      <c r="E1325" t="b">
        <f t="shared" si="20"/>
        <v>1</v>
      </c>
      <c r="F1325" s="12">
        <v>0</v>
      </c>
    </row>
    <row r="1326" spans="3:6">
      <c r="C1326" s="12"/>
      <c r="D1326" s="12"/>
      <c r="E1326" t="b">
        <f t="shared" si="20"/>
        <v>1</v>
      </c>
      <c r="F1326" s="12">
        <v>0</v>
      </c>
    </row>
    <row r="1327" spans="3:6">
      <c r="C1327" s="12"/>
      <c r="D1327" s="12"/>
      <c r="E1327" t="b">
        <f t="shared" si="20"/>
        <v>1</v>
      </c>
      <c r="F1327" s="12">
        <v>0</v>
      </c>
    </row>
    <row r="1328" spans="3:6">
      <c r="C1328" s="12"/>
      <c r="D1328" s="12"/>
      <c r="E1328" t="b">
        <f t="shared" si="20"/>
        <v>1</v>
      </c>
      <c r="F1328" s="12">
        <v>0</v>
      </c>
    </row>
    <row r="1329" spans="3:6">
      <c r="C1329" s="12"/>
      <c r="D1329" s="12"/>
      <c r="E1329" t="b">
        <f t="shared" si="20"/>
        <v>1</v>
      </c>
      <c r="F1329" s="12">
        <v>0</v>
      </c>
    </row>
    <row r="1330" spans="3:6">
      <c r="C1330" s="12"/>
      <c r="D1330" s="12"/>
      <c r="E1330" t="b">
        <f t="shared" si="20"/>
        <v>1</v>
      </c>
      <c r="F1330" s="12">
        <v>0</v>
      </c>
    </row>
    <row r="1331" spans="3:6">
      <c r="C1331" s="12"/>
      <c r="D1331" s="12"/>
      <c r="E1331" t="b">
        <f t="shared" si="20"/>
        <v>1</v>
      </c>
      <c r="F1331" s="12">
        <v>0</v>
      </c>
    </row>
    <row r="1332" spans="3:6">
      <c r="C1332" s="12"/>
      <c r="D1332" s="12"/>
      <c r="E1332" t="b">
        <f t="shared" si="20"/>
        <v>1</v>
      </c>
      <c r="F1332" s="12">
        <v>0</v>
      </c>
    </row>
    <row r="1333" spans="3:6">
      <c r="C1333" s="12"/>
      <c r="D1333" s="12"/>
      <c r="E1333" t="b">
        <f t="shared" si="20"/>
        <v>1</v>
      </c>
      <c r="F1333" s="12">
        <v>0</v>
      </c>
    </row>
    <row r="1334" spans="3:6">
      <c r="C1334" s="12"/>
      <c r="D1334" s="12"/>
      <c r="E1334" t="b">
        <f t="shared" si="20"/>
        <v>1</v>
      </c>
      <c r="F1334" s="12">
        <v>0</v>
      </c>
    </row>
    <row r="1335" spans="3:6">
      <c r="C1335" s="12"/>
      <c r="D1335" s="12"/>
      <c r="E1335" t="b">
        <f t="shared" si="20"/>
        <v>1</v>
      </c>
      <c r="F1335" s="12">
        <v>0</v>
      </c>
    </row>
    <row r="1336" spans="3:6">
      <c r="C1336" s="12"/>
      <c r="D1336" s="12"/>
      <c r="E1336" t="b">
        <f t="shared" si="20"/>
        <v>1</v>
      </c>
      <c r="F1336" s="12">
        <v>0</v>
      </c>
    </row>
    <row r="1337" spans="3:6">
      <c r="C1337" s="12"/>
      <c r="D1337" s="12"/>
      <c r="E1337" t="b">
        <f t="shared" si="20"/>
        <v>1</v>
      </c>
      <c r="F1337" s="12">
        <v>0</v>
      </c>
    </row>
    <row r="1338" spans="3:6">
      <c r="C1338" s="12"/>
      <c r="D1338" s="12"/>
      <c r="E1338" t="b">
        <f t="shared" si="20"/>
        <v>1</v>
      </c>
      <c r="F1338" s="12">
        <v>0</v>
      </c>
    </row>
    <row r="1339" spans="3:6">
      <c r="C1339" s="12"/>
      <c r="D1339" s="12"/>
      <c r="E1339" t="b">
        <f t="shared" si="20"/>
        <v>1</v>
      </c>
      <c r="F1339" s="12">
        <v>0</v>
      </c>
    </row>
    <row r="1340" spans="3:6">
      <c r="C1340" s="12"/>
      <c r="D1340" s="12"/>
      <c r="E1340" t="b">
        <f t="shared" si="20"/>
        <v>1</v>
      </c>
      <c r="F1340" s="12">
        <v>0</v>
      </c>
    </row>
    <row r="1341" spans="3:6">
      <c r="C1341" s="12"/>
      <c r="D1341" s="12"/>
      <c r="E1341" t="b">
        <f t="shared" si="20"/>
        <v>1</v>
      </c>
      <c r="F1341" s="12">
        <v>0</v>
      </c>
    </row>
    <row r="1342" spans="3:6">
      <c r="C1342" s="12"/>
      <c r="D1342" s="12"/>
      <c r="E1342" t="b">
        <f t="shared" si="20"/>
        <v>1</v>
      </c>
      <c r="F1342" s="12">
        <v>0</v>
      </c>
    </row>
    <row r="1343" spans="3:6">
      <c r="C1343" s="12"/>
      <c r="D1343" s="12"/>
      <c r="E1343" t="b">
        <f t="shared" si="20"/>
        <v>1</v>
      </c>
      <c r="F1343" s="12">
        <v>0</v>
      </c>
    </row>
    <row r="1344" spans="3:6">
      <c r="C1344" s="12"/>
      <c r="D1344" s="12"/>
      <c r="E1344" t="b">
        <f t="shared" si="20"/>
        <v>1</v>
      </c>
      <c r="F1344" s="12">
        <v>0</v>
      </c>
    </row>
    <row r="1345" spans="3:6">
      <c r="C1345" s="12"/>
      <c r="D1345" s="12"/>
      <c r="E1345" t="b">
        <f t="shared" si="20"/>
        <v>1</v>
      </c>
      <c r="F1345" s="12">
        <v>0</v>
      </c>
    </row>
    <row r="1346" spans="3:6">
      <c r="C1346" s="12"/>
      <c r="D1346" s="12"/>
      <c r="E1346" t="b">
        <f t="shared" si="20"/>
        <v>1</v>
      </c>
      <c r="F1346" s="12">
        <v>0</v>
      </c>
    </row>
    <row r="1347" spans="3:6">
      <c r="C1347" s="12"/>
      <c r="D1347" s="12"/>
      <c r="E1347" t="b">
        <f t="shared" ref="E1347:E1410" si="21">F1347=C1347</f>
        <v>1</v>
      </c>
      <c r="F1347" s="12">
        <v>0</v>
      </c>
    </row>
    <row r="1348" spans="3:6">
      <c r="C1348" s="12"/>
      <c r="D1348" s="12"/>
      <c r="E1348" t="b">
        <f t="shared" si="21"/>
        <v>1</v>
      </c>
      <c r="F1348" s="12">
        <v>0</v>
      </c>
    </row>
    <row r="1349" spans="3:6">
      <c r="C1349" s="12"/>
      <c r="D1349" s="12"/>
      <c r="E1349" t="b">
        <f t="shared" si="21"/>
        <v>1</v>
      </c>
      <c r="F1349" s="12">
        <v>0</v>
      </c>
    </row>
    <row r="1350" spans="3:6">
      <c r="C1350" s="12"/>
      <c r="D1350" s="12"/>
      <c r="E1350" t="b">
        <f t="shared" si="21"/>
        <v>1</v>
      </c>
      <c r="F1350" s="12">
        <v>0</v>
      </c>
    </row>
    <row r="1351" spans="3:6">
      <c r="C1351" s="12"/>
      <c r="D1351" s="12"/>
      <c r="E1351" t="b">
        <f t="shared" si="21"/>
        <v>1</v>
      </c>
      <c r="F1351" s="12">
        <v>0</v>
      </c>
    </row>
    <row r="1352" spans="3:6">
      <c r="C1352" s="12"/>
      <c r="D1352" s="12"/>
      <c r="E1352" t="b">
        <f t="shared" si="21"/>
        <v>1</v>
      </c>
      <c r="F1352" s="12">
        <v>0</v>
      </c>
    </row>
    <row r="1353" spans="3:6">
      <c r="C1353" s="12"/>
      <c r="D1353" s="12"/>
      <c r="E1353" t="b">
        <f t="shared" si="21"/>
        <v>1</v>
      </c>
      <c r="F1353" s="12">
        <v>0</v>
      </c>
    </row>
    <row r="1354" spans="3:6">
      <c r="C1354" s="12"/>
      <c r="D1354" s="12"/>
      <c r="E1354" t="b">
        <f t="shared" si="21"/>
        <v>1</v>
      </c>
      <c r="F1354" s="12">
        <v>0</v>
      </c>
    </row>
    <row r="1355" spans="3:6">
      <c r="C1355" s="12"/>
      <c r="D1355" s="12"/>
      <c r="E1355" t="b">
        <f t="shared" si="21"/>
        <v>1</v>
      </c>
      <c r="F1355" s="12">
        <v>0</v>
      </c>
    </row>
    <row r="1356" spans="3:6">
      <c r="C1356" s="12"/>
      <c r="D1356" s="12"/>
      <c r="E1356" t="b">
        <f t="shared" si="21"/>
        <v>1</v>
      </c>
      <c r="F1356" s="12">
        <v>0</v>
      </c>
    </row>
    <row r="1357" spans="3:6">
      <c r="C1357" s="12"/>
      <c r="D1357" s="12"/>
      <c r="E1357" t="b">
        <f t="shared" si="21"/>
        <v>1</v>
      </c>
      <c r="F1357" s="12">
        <v>0</v>
      </c>
    </row>
    <row r="1358" spans="3:6">
      <c r="C1358" s="12"/>
      <c r="D1358" s="12"/>
      <c r="E1358" t="b">
        <f t="shared" si="21"/>
        <v>1</v>
      </c>
      <c r="F1358" s="12">
        <v>0</v>
      </c>
    </row>
    <row r="1359" spans="3:6">
      <c r="C1359" s="12"/>
      <c r="D1359" s="12"/>
      <c r="E1359" t="b">
        <f t="shared" si="21"/>
        <v>1</v>
      </c>
      <c r="F1359" s="12">
        <v>0</v>
      </c>
    </row>
    <row r="1360" spans="3:6">
      <c r="C1360" s="12"/>
      <c r="D1360" s="12"/>
      <c r="E1360" t="b">
        <f t="shared" si="21"/>
        <v>1</v>
      </c>
      <c r="F1360" s="12">
        <v>0</v>
      </c>
    </row>
    <row r="1361" spans="3:6">
      <c r="C1361" s="12"/>
      <c r="D1361" s="12"/>
      <c r="E1361" t="b">
        <f t="shared" si="21"/>
        <v>1</v>
      </c>
      <c r="F1361" s="12">
        <v>0</v>
      </c>
    </row>
    <row r="1362" spans="3:6">
      <c r="C1362" s="12"/>
      <c r="D1362" s="12"/>
      <c r="E1362" t="b">
        <f t="shared" si="21"/>
        <v>1</v>
      </c>
      <c r="F1362" s="12">
        <v>0</v>
      </c>
    </row>
    <row r="1363" spans="3:6">
      <c r="C1363" s="12"/>
      <c r="D1363" s="12"/>
      <c r="E1363" t="b">
        <f t="shared" si="21"/>
        <v>1</v>
      </c>
      <c r="F1363" s="12">
        <v>0</v>
      </c>
    </row>
    <row r="1364" spans="3:6">
      <c r="C1364" s="12"/>
      <c r="D1364" s="12"/>
      <c r="E1364" t="b">
        <f t="shared" si="21"/>
        <v>1</v>
      </c>
      <c r="F1364" s="12">
        <v>0</v>
      </c>
    </row>
    <row r="1365" spans="3:6">
      <c r="C1365" s="12"/>
      <c r="D1365" s="12"/>
      <c r="E1365" t="b">
        <f t="shared" si="21"/>
        <v>1</v>
      </c>
      <c r="F1365" s="12">
        <v>0</v>
      </c>
    </row>
    <row r="1366" spans="3:6">
      <c r="C1366" s="12"/>
      <c r="D1366" s="12"/>
      <c r="E1366" t="b">
        <f t="shared" si="21"/>
        <v>1</v>
      </c>
      <c r="F1366" s="12">
        <v>0</v>
      </c>
    </row>
    <row r="1367" spans="3:6">
      <c r="C1367" s="12"/>
      <c r="D1367" s="12"/>
      <c r="E1367" t="b">
        <f t="shared" si="21"/>
        <v>1</v>
      </c>
      <c r="F1367" s="12">
        <v>0</v>
      </c>
    </row>
    <row r="1368" spans="3:6">
      <c r="C1368" s="12"/>
      <c r="D1368" s="12"/>
      <c r="E1368" t="b">
        <f t="shared" si="21"/>
        <v>1</v>
      </c>
      <c r="F1368" s="12">
        <v>0</v>
      </c>
    </row>
    <row r="1369" spans="3:6">
      <c r="C1369" s="12"/>
      <c r="D1369" s="12"/>
      <c r="E1369" t="b">
        <f t="shared" si="21"/>
        <v>1</v>
      </c>
      <c r="F1369" s="12">
        <v>0</v>
      </c>
    </row>
    <row r="1370" spans="3:6">
      <c r="C1370" s="12"/>
      <c r="D1370" s="12"/>
      <c r="E1370" t="b">
        <f t="shared" si="21"/>
        <v>1</v>
      </c>
      <c r="F1370" s="12">
        <v>0</v>
      </c>
    </row>
    <row r="1371" spans="3:6">
      <c r="C1371" s="12"/>
      <c r="D1371" s="12"/>
      <c r="E1371" t="b">
        <f t="shared" si="21"/>
        <v>1</v>
      </c>
      <c r="F1371" s="12">
        <v>0</v>
      </c>
    </row>
    <row r="1372" spans="3:6">
      <c r="C1372" s="12"/>
      <c r="D1372" s="12"/>
      <c r="E1372" t="b">
        <f t="shared" si="21"/>
        <v>1</v>
      </c>
      <c r="F1372" s="12">
        <v>0</v>
      </c>
    </row>
    <row r="1373" spans="3:6">
      <c r="C1373" s="12"/>
      <c r="D1373" s="12"/>
      <c r="E1373" t="b">
        <f t="shared" si="21"/>
        <v>1</v>
      </c>
      <c r="F1373" s="12">
        <v>0</v>
      </c>
    </row>
    <row r="1374" spans="3:6">
      <c r="C1374" s="12"/>
      <c r="D1374" s="12"/>
      <c r="E1374" t="b">
        <f t="shared" si="21"/>
        <v>1</v>
      </c>
      <c r="F1374" s="12">
        <v>0</v>
      </c>
    </row>
    <row r="1375" spans="3:6">
      <c r="C1375" s="12"/>
      <c r="D1375" s="12"/>
      <c r="E1375" t="b">
        <f t="shared" si="21"/>
        <v>1</v>
      </c>
      <c r="F1375" s="12">
        <v>0</v>
      </c>
    </row>
    <row r="1376" spans="3:6">
      <c r="C1376" s="12"/>
      <c r="D1376" s="12"/>
      <c r="E1376" t="b">
        <f t="shared" si="21"/>
        <v>1</v>
      </c>
      <c r="F1376" s="12">
        <v>0</v>
      </c>
    </row>
    <row r="1377" spans="3:6">
      <c r="C1377" s="12"/>
      <c r="D1377" s="12"/>
      <c r="E1377" t="b">
        <f t="shared" si="21"/>
        <v>1</v>
      </c>
      <c r="F1377" s="12">
        <v>0</v>
      </c>
    </row>
    <row r="1378" spans="3:6">
      <c r="C1378" s="12"/>
      <c r="D1378" s="12"/>
      <c r="E1378" t="b">
        <f t="shared" si="21"/>
        <v>1</v>
      </c>
      <c r="F1378" s="12">
        <v>0</v>
      </c>
    </row>
    <row r="1379" spans="3:6">
      <c r="C1379" s="12"/>
      <c r="D1379" s="12"/>
      <c r="E1379" t="b">
        <f t="shared" si="21"/>
        <v>1</v>
      </c>
      <c r="F1379" s="12">
        <v>0</v>
      </c>
    </row>
    <row r="1380" spans="3:6">
      <c r="C1380" s="12"/>
      <c r="D1380" s="12"/>
      <c r="E1380" t="b">
        <f t="shared" si="21"/>
        <v>1</v>
      </c>
      <c r="F1380" s="12">
        <v>0</v>
      </c>
    </row>
    <row r="1381" spans="3:6">
      <c r="C1381" s="12"/>
      <c r="D1381" s="12"/>
      <c r="E1381" t="b">
        <f t="shared" si="21"/>
        <v>1</v>
      </c>
      <c r="F1381" s="12">
        <v>0</v>
      </c>
    </row>
    <row r="1382" spans="3:6">
      <c r="C1382" s="12"/>
      <c r="D1382" s="12"/>
      <c r="E1382" t="b">
        <f t="shared" si="21"/>
        <v>1</v>
      </c>
      <c r="F1382" s="12">
        <v>0</v>
      </c>
    </row>
    <row r="1383" spans="3:6">
      <c r="C1383" s="12"/>
      <c r="D1383" s="12"/>
      <c r="E1383" t="b">
        <f t="shared" si="21"/>
        <v>1</v>
      </c>
      <c r="F1383" s="12">
        <v>0</v>
      </c>
    </row>
    <row r="1384" spans="3:6">
      <c r="C1384" s="12"/>
      <c r="D1384" s="12"/>
      <c r="E1384" t="b">
        <f t="shared" si="21"/>
        <v>1</v>
      </c>
      <c r="F1384" s="12">
        <v>0</v>
      </c>
    </row>
    <row r="1385" spans="3:6">
      <c r="C1385" s="12"/>
      <c r="D1385" s="12"/>
      <c r="E1385" t="b">
        <f t="shared" si="21"/>
        <v>1</v>
      </c>
      <c r="F1385" s="12">
        <v>0</v>
      </c>
    </row>
    <row r="1386" spans="3:6">
      <c r="C1386" s="12"/>
      <c r="D1386" s="12"/>
      <c r="E1386" t="b">
        <f t="shared" si="21"/>
        <v>1</v>
      </c>
      <c r="F1386" s="12">
        <v>0</v>
      </c>
    </row>
    <row r="1387" spans="3:6">
      <c r="C1387" s="12"/>
      <c r="D1387" s="12"/>
      <c r="E1387" t="b">
        <f t="shared" si="21"/>
        <v>1</v>
      </c>
      <c r="F1387" s="12">
        <v>0</v>
      </c>
    </row>
    <row r="1388" spans="3:6">
      <c r="C1388" s="12"/>
      <c r="D1388" s="12"/>
      <c r="E1388" t="b">
        <f t="shared" si="21"/>
        <v>1</v>
      </c>
      <c r="F1388" s="12">
        <v>0</v>
      </c>
    </row>
    <row r="1389" spans="3:6">
      <c r="C1389" s="12"/>
      <c r="D1389" s="12"/>
      <c r="E1389" t="b">
        <f t="shared" si="21"/>
        <v>1</v>
      </c>
      <c r="F1389" s="12">
        <v>0</v>
      </c>
    </row>
    <row r="1390" spans="3:6">
      <c r="C1390" s="12"/>
      <c r="D1390" s="12"/>
      <c r="E1390" t="b">
        <f t="shared" si="21"/>
        <v>1</v>
      </c>
      <c r="F1390" s="12">
        <v>0</v>
      </c>
    </row>
    <row r="1391" spans="3:6">
      <c r="C1391" s="12"/>
      <c r="D1391" s="12"/>
      <c r="E1391" t="b">
        <f t="shared" si="21"/>
        <v>1</v>
      </c>
      <c r="F1391" s="12">
        <v>0</v>
      </c>
    </row>
    <row r="1392" spans="3:6">
      <c r="C1392" s="12"/>
      <c r="D1392" s="12"/>
      <c r="E1392" t="b">
        <f t="shared" si="21"/>
        <v>1</v>
      </c>
      <c r="F1392" s="12">
        <v>0</v>
      </c>
    </row>
    <row r="1393" spans="3:6">
      <c r="C1393" s="12"/>
      <c r="D1393" s="12"/>
      <c r="E1393" t="b">
        <f t="shared" si="21"/>
        <v>1</v>
      </c>
      <c r="F1393" s="12">
        <v>0</v>
      </c>
    </row>
    <row r="1394" spans="3:6">
      <c r="C1394" s="12"/>
      <c r="D1394" s="12"/>
      <c r="E1394" t="b">
        <f t="shared" si="21"/>
        <v>1</v>
      </c>
      <c r="F1394" s="12">
        <v>0</v>
      </c>
    </row>
    <row r="1395" spans="3:6">
      <c r="C1395" s="12"/>
      <c r="D1395" s="12"/>
      <c r="E1395" t="b">
        <f t="shared" si="21"/>
        <v>1</v>
      </c>
      <c r="F1395" s="12">
        <v>0</v>
      </c>
    </row>
    <row r="1396" spans="3:6">
      <c r="C1396" s="12"/>
      <c r="D1396" s="12"/>
      <c r="E1396" t="b">
        <f t="shared" si="21"/>
        <v>1</v>
      </c>
      <c r="F1396" s="12">
        <v>0</v>
      </c>
    </row>
    <row r="1397" spans="3:6">
      <c r="C1397" s="12"/>
      <c r="D1397" s="12"/>
      <c r="E1397" t="b">
        <f t="shared" si="21"/>
        <v>1</v>
      </c>
      <c r="F1397" s="12">
        <v>0</v>
      </c>
    </row>
    <row r="1398" spans="3:6">
      <c r="C1398" s="12"/>
      <c r="D1398" s="12"/>
      <c r="E1398" t="b">
        <f t="shared" si="21"/>
        <v>1</v>
      </c>
      <c r="F1398" s="12">
        <v>0</v>
      </c>
    </row>
    <row r="1399" spans="3:6">
      <c r="C1399" s="12"/>
      <c r="D1399" s="12"/>
      <c r="E1399" t="b">
        <f t="shared" si="21"/>
        <v>1</v>
      </c>
      <c r="F1399" s="12">
        <v>0</v>
      </c>
    </row>
    <row r="1400" spans="3:6">
      <c r="C1400" s="12"/>
      <c r="D1400" s="12"/>
      <c r="E1400" t="b">
        <f t="shared" si="21"/>
        <v>1</v>
      </c>
      <c r="F1400" s="12">
        <v>0</v>
      </c>
    </row>
    <row r="1401" spans="3:6">
      <c r="C1401" s="12"/>
      <c r="D1401" s="12"/>
      <c r="E1401" t="b">
        <f t="shared" si="21"/>
        <v>1</v>
      </c>
      <c r="F1401" s="12">
        <v>0</v>
      </c>
    </row>
    <row r="1402" spans="3:6">
      <c r="C1402" s="12"/>
      <c r="D1402" s="12"/>
      <c r="E1402" t="b">
        <f t="shared" si="21"/>
        <v>1</v>
      </c>
      <c r="F1402" s="12">
        <v>0</v>
      </c>
    </row>
    <row r="1403" spans="3:6">
      <c r="C1403" s="12"/>
      <c r="D1403" s="12"/>
      <c r="E1403" t="b">
        <f t="shared" si="21"/>
        <v>1</v>
      </c>
      <c r="F1403" s="12">
        <v>0</v>
      </c>
    </row>
    <row r="1404" spans="3:6">
      <c r="C1404" s="12"/>
      <c r="D1404" s="12"/>
      <c r="E1404" t="b">
        <f t="shared" si="21"/>
        <v>1</v>
      </c>
      <c r="F1404" s="12">
        <v>0</v>
      </c>
    </row>
    <row r="1405" spans="3:6">
      <c r="C1405" s="12"/>
      <c r="D1405" s="12"/>
      <c r="E1405" t="b">
        <f t="shared" si="21"/>
        <v>1</v>
      </c>
      <c r="F1405" s="12">
        <v>0</v>
      </c>
    </row>
    <row r="1406" spans="3:6">
      <c r="C1406" s="12"/>
      <c r="D1406" s="12"/>
      <c r="E1406" t="b">
        <f t="shared" si="21"/>
        <v>1</v>
      </c>
      <c r="F1406" s="12">
        <v>0</v>
      </c>
    </row>
    <row r="1407" spans="3:6">
      <c r="C1407" s="12"/>
      <c r="D1407" s="12"/>
      <c r="E1407" t="b">
        <f t="shared" si="21"/>
        <v>1</v>
      </c>
      <c r="F1407" s="12">
        <v>0</v>
      </c>
    </row>
    <row r="1408" spans="3:6">
      <c r="C1408" s="12"/>
      <c r="D1408" s="12"/>
      <c r="E1408" t="b">
        <f t="shared" si="21"/>
        <v>1</v>
      </c>
      <c r="F1408" s="12">
        <v>0</v>
      </c>
    </row>
    <row r="1409" spans="3:6">
      <c r="C1409" s="12"/>
      <c r="D1409" s="12"/>
      <c r="E1409" t="b">
        <f t="shared" si="21"/>
        <v>1</v>
      </c>
      <c r="F1409" s="12">
        <v>0</v>
      </c>
    </row>
    <row r="1410" spans="3:6">
      <c r="C1410" s="12"/>
      <c r="D1410" s="12"/>
      <c r="E1410" t="b">
        <f t="shared" si="21"/>
        <v>1</v>
      </c>
      <c r="F1410" s="12">
        <v>0</v>
      </c>
    </row>
    <row r="1411" spans="3:6">
      <c r="C1411" s="12"/>
      <c r="D1411" s="12"/>
      <c r="E1411" t="b">
        <f t="shared" ref="E1411:E1474" si="22">F1411=C1411</f>
        <v>1</v>
      </c>
      <c r="F1411" s="12">
        <v>0</v>
      </c>
    </row>
    <row r="1412" spans="3:6">
      <c r="C1412" s="12"/>
      <c r="D1412" s="12"/>
      <c r="E1412" t="b">
        <f t="shared" si="22"/>
        <v>1</v>
      </c>
      <c r="F1412" s="12">
        <v>0</v>
      </c>
    </row>
    <row r="1413" spans="3:6">
      <c r="C1413" s="12"/>
      <c r="D1413" s="12"/>
      <c r="E1413" t="b">
        <f t="shared" si="22"/>
        <v>1</v>
      </c>
      <c r="F1413" s="12">
        <v>0</v>
      </c>
    </row>
    <row r="1414" spans="3:6">
      <c r="C1414" s="12"/>
      <c r="D1414" s="12"/>
      <c r="E1414" t="b">
        <f t="shared" si="22"/>
        <v>1</v>
      </c>
      <c r="F1414" s="12">
        <v>0</v>
      </c>
    </row>
    <row r="1415" spans="3:6">
      <c r="C1415" s="12"/>
      <c r="D1415" s="12"/>
      <c r="E1415" t="b">
        <f t="shared" si="22"/>
        <v>1</v>
      </c>
      <c r="F1415" s="12">
        <v>0</v>
      </c>
    </row>
    <row r="1416" spans="3:6">
      <c r="C1416" s="12"/>
      <c r="D1416" s="12"/>
      <c r="E1416" t="b">
        <f t="shared" si="22"/>
        <v>1</v>
      </c>
      <c r="F1416" s="12">
        <v>0</v>
      </c>
    </row>
    <row r="1417" spans="3:6">
      <c r="C1417" s="12"/>
      <c r="D1417" s="12"/>
      <c r="E1417" t="b">
        <f t="shared" si="22"/>
        <v>1</v>
      </c>
      <c r="F1417" s="12">
        <v>0</v>
      </c>
    </row>
    <row r="1418" spans="3:6">
      <c r="C1418" s="12"/>
      <c r="D1418" s="12"/>
      <c r="E1418" t="b">
        <f t="shared" si="22"/>
        <v>1</v>
      </c>
      <c r="F1418" s="12">
        <v>0</v>
      </c>
    </row>
    <row r="1419" spans="3:6">
      <c r="C1419" s="12"/>
      <c r="D1419" s="12"/>
      <c r="E1419" t="b">
        <f t="shared" si="22"/>
        <v>1</v>
      </c>
      <c r="F1419" s="12">
        <v>0</v>
      </c>
    </row>
    <row r="1420" spans="3:6">
      <c r="C1420" s="12"/>
      <c r="D1420" s="12"/>
      <c r="E1420" t="b">
        <f t="shared" si="22"/>
        <v>1</v>
      </c>
      <c r="F1420" s="12">
        <v>0</v>
      </c>
    </row>
    <row r="1421" spans="3:6">
      <c r="C1421" s="12"/>
      <c r="D1421" s="12"/>
      <c r="E1421" t="b">
        <f t="shared" si="22"/>
        <v>1</v>
      </c>
      <c r="F1421" s="12">
        <v>0</v>
      </c>
    </row>
    <row r="1422" spans="3:6">
      <c r="C1422" s="12"/>
      <c r="D1422" s="12"/>
      <c r="E1422" t="b">
        <f t="shared" si="22"/>
        <v>1</v>
      </c>
      <c r="F1422" s="12">
        <v>0</v>
      </c>
    </row>
    <row r="1423" spans="3:6">
      <c r="C1423" s="12"/>
      <c r="D1423" s="12"/>
      <c r="E1423" t="b">
        <f t="shared" si="22"/>
        <v>1</v>
      </c>
      <c r="F1423" s="12">
        <v>0</v>
      </c>
    </row>
    <row r="1424" spans="3:6">
      <c r="C1424" s="12"/>
      <c r="D1424" s="12"/>
      <c r="E1424" t="b">
        <f t="shared" si="22"/>
        <v>1</v>
      </c>
      <c r="F1424" s="12">
        <v>0</v>
      </c>
    </row>
    <row r="1425" spans="3:6">
      <c r="C1425" s="12"/>
      <c r="D1425" s="12"/>
      <c r="E1425" t="b">
        <f t="shared" si="22"/>
        <v>1</v>
      </c>
      <c r="F1425" s="12">
        <v>0</v>
      </c>
    </row>
    <row r="1426" spans="3:6">
      <c r="C1426" s="12"/>
      <c r="D1426" s="12"/>
      <c r="E1426" t="b">
        <f t="shared" si="22"/>
        <v>1</v>
      </c>
      <c r="F1426" s="12">
        <v>0</v>
      </c>
    </row>
    <row r="1427" spans="3:6">
      <c r="C1427" s="12"/>
      <c r="D1427" s="12"/>
      <c r="E1427" t="b">
        <f t="shared" si="22"/>
        <v>1</v>
      </c>
      <c r="F1427" s="12">
        <v>0</v>
      </c>
    </row>
    <row r="1428" spans="3:6">
      <c r="C1428" s="12"/>
      <c r="D1428" s="12"/>
      <c r="E1428" t="b">
        <f t="shared" si="22"/>
        <v>1</v>
      </c>
      <c r="F1428" s="12">
        <v>0</v>
      </c>
    </row>
    <row r="1429" spans="3:6">
      <c r="C1429" s="12"/>
      <c r="D1429" s="12"/>
      <c r="E1429" t="b">
        <f t="shared" si="22"/>
        <v>1</v>
      </c>
      <c r="F1429" s="12">
        <v>0</v>
      </c>
    </row>
    <row r="1430" spans="3:6">
      <c r="C1430" s="12"/>
      <c r="D1430" s="12"/>
      <c r="E1430" t="b">
        <f t="shared" si="22"/>
        <v>1</v>
      </c>
      <c r="F1430" s="12">
        <v>0</v>
      </c>
    </row>
    <row r="1431" spans="3:6">
      <c r="C1431" s="12"/>
      <c r="D1431" s="12"/>
      <c r="E1431" t="b">
        <f t="shared" si="22"/>
        <v>1</v>
      </c>
      <c r="F1431" s="12">
        <v>0</v>
      </c>
    </row>
    <row r="1432" spans="3:6">
      <c r="C1432" s="12"/>
      <c r="D1432" s="12"/>
      <c r="E1432" t="b">
        <f t="shared" si="22"/>
        <v>1</v>
      </c>
      <c r="F1432" s="12">
        <v>0</v>
      </c>
    </row>
    <row r="1433" spans="3:6">
      <c r="C1433" s="12"/>
      <c r="D1433" s="12"/>
      <c r="E1433" t="b">
        <f t="shared" si="22"/>
        <v>1</v>
      </c>
      <c r="F1433" s="12">
        <v>0</v>
      </c>
    </row>
    <row r="1434" spans="3:6">
      <c r="C1434" s="12"/>
      <c r="D1434" s="12"/>
      <c r="E1434" t="b">
        <f t="shared" si="22"/>
        <v>1</v>
      </c>
      <c r="F1434" s="12">
        <v>0</v>
      </c>
    </row>
    <row r="1435" spans="3:6">
      <c r="C1435" s="12"/>
      <c r="D1435" s="12"/>
      <c r="E1435" t="b">
        <f t="shared" si="22"/>
        <v>1</v>
      </c>
      <c r="F1435" s="12">
        <v>0</v>
      </c>
    </row>
    <row r="1436" spans="3:6">
      <c r="C1436" s="12"/>
      <c r="D1436" s="12"/>
      <c r="E1436" t="b">
        <f t="shared" si="22"/>
        <v>1</v>
      </c>
      <c r="F1436" s="12">
        <v>0</v>
      </c>
    </row>
    <row r="1437" spans="3:6">
      <c r="C1437" s="12"/>
      <c r="D1437" s="12"/>
      <c r="E1437" t="b">
        <f t="shared" si="22"/>
        <v>1</v>
      </c>
      <c r="F1437" s="12">
        <v>0</v>
      </c>
    </row>
    <row r="1438" spans="3:6">
      <c r="C1438" s="12"/>
      <c r="D1438" s="12"/>
      <c r="E1438" t="b">
        <f t="shared" si="22"/>
        <v>1</v>
      </c>
      <c r="F1438" s="12">
        <v>0</v>
      </c>
    </row>
    <row r="1439" spans="3:6">
      <c r="C1439" s="12"/>
      <c r="D1439" s="12"/>
      <c r="E1439" t="b">
        <f t="shared" si="22"/>
        <v>1</v>
      </c>
      <c r="F1439" s="12">
        <v>0</v>
      </c>
    </row>
    <row r="1440" spans="3:6">
      <c r="C1440" s="12"/>
      <c r="D1440" s="12"/>
      <c r="E1440" t="b">
        <f t="shared" si="22"/>
        <v>1</v>
      </c>
      <c r="F1440" s="12">
        <v>0</v>
      </c>
    </row>
    <row r="1441" spans="3:6">
      <c r="C1441" s="12"/>
      <c r="D1441" s="12"/>
      <c r="E1441" t="b">
        <f t="shared" si="22"/>
        <v>1</v>
      </c>
      <c r="F1441" s="12">
        <v>0</v>
      </c>
    </row>
    <row r="1442" spans="3:6">
      <c r="C1442" s="12"/>
      <c r="D1442" s="12"/>
      <c r="E1442" t="b">
        <f t="shared" si="22"/>
        <v>1</v>
      </c>
      <c r="F1442" s="12">
        <v>0</v>
      </c>
    </row>
    <row r="1443" spans="3:6">
      <c r="C1443" s="12"/>
      <c r="D1443" s="12"/>
      <c r="E1443" t="b">
        <f t="shared" si="22"/>
        <v>1</v>
      </c>
      <c r="F1443" s="12">
        <v>0</v>
      </c>
    </row>
    <row r="1444" spans="3:6">
      <c r="C1444" s="12"/>
      <c r="D1444" s="12"/>
      <c r="E1444" t="b">
        <f t="shared" si="22"/>
        <v>1</v>
      </c>
      <c r="F1444" s="12">
        <v>0</v>
      </c>
    </row>
    <row r="1445" spans="3:6">
      <c r="C1445" s="12"/>
      <c r="D1445" s="12"/>
      <c r="E1445" t="b">
        <f t="shared" si="22"/>
        <v>1</v>
      </c>
      <c r="F1445" s="12">
        <v>0</v>
      </c>
    </row>
    <row r="1446" spans="3:6">
      <c r="C1446" s="12"/>
      <c r="D1446" s="12"/>
      <c r="E1446" t="b">
        <f t="shared" si="22"/>
        <v>1</v>
      </c>
      <c r="F1446" s="12">
        <v>0</v>
      </c>
    </row>
    <row r="1447" spans="3:6">
      <c r="C1447" s="12"/>
      <c r="D1447" s="12"/>
      <c r="E1447" t="b">
        <f t="shared" si="22"/>
        <v>1</v>
      </c>
      <c r="F1447" s="12">
        <v>0</v>
      </c>
    </row>
    <row r="1448" spans="3:6">
      <c r="C1448" s="12"/>
      <c r="D1448" s="12"/>
      <c r="E1448" t="b">
        <f t="shared" si="22"/>
        <v>1</v>
      </c>
      <c r="F1448" s="12">
        <v>0</v>
      </c>
    </row>
    <row r="1449" spans="3:6">
      <c r="C1449" s="12"/>
      <c r="D1449" s="12"/>
      <c r="E1449" t="b">
        <f t="shared" si="22"/>
        <v>1</v>
      </c>
      <c r="F1449" s="12">
        <v>0</v>
      </c>
    </row>
    <row r="1450" spans="3:6">
      <c r="C1450" s="12"/>
      <c r="D1450" s="12"/>
      <c r="E1450" t="b">
        <f t="shared" si="22"/>
        <v>1</v>
      </c>
      <c r="F1450" s="12">
        <v>0</v>
      </c>
    </row>
    <row r="1451" spans="3:6">
      <c r="C1451" s="12"/>
      <c r="D1451" s="12"/>
      <c r="E1451" t="b">
        <f t="shared" si="22"/>
        <v>1</v>
      </c>
      <c r="F1451" s="12">
        <v>0</v>
      </c>
    </row>
    <row r="1452" spans="3:6">
      <c r="C1452" s="12"/>
      <c r="D1452" s="12"/>
      <c r="E1452" t="b">
        <f t="shared" si="22"/>
        <v>1</v>
      </c>
      <c r="F1452" s="12">
        <v>0</v>
      </c>
    </row>
    <row r="1453" spans="3:6">
      <c r="C1453" s="12"/>
      <c r="D1453" s="12"/>
      <c r="E1453" t="b">
        <f t="shared" si="22"/>
        <v>1</v>
      </c>
      <c r="F1453" s="12">
        <v>0</v>
      </c>
    </row>
    <row r="1454" spans="3:6">
      <c r="C1454" s="12"/>
      <c r="D1454" s="12"/>
      <c r="E1454" t="b">
        <f t="shared" si="22"/>
        <v>1</v>
      </c>
      <c r="F1454" s="12">
        <v>0</v>
      </c>
    </row>
    <row r="1455" spans="3:6">
      <c r="C1455" s="12"/>
      <c r="D1455" s="12"/>
      <c r="E1455" t="b">
        <f t="shared" si="22"/>
        <v>1</v>
      </c>
      <c r="F1455" s="12">
        <v>0</v>
      </c>
    </row>
    <row r="1456" spans="3:6">
      <c r="C1456" s="12"/>
      <c r="D1456" s="12"/>
      <c r="E1456" t="b">
        <f t="shared" si="22"/>
        <v>1</v>
      </c>
      <c r="F1456" s="12">
        <v>0</v>
      </c>
    </row>
    <row r="1457" spans="3:6">
      <c r="C1457" s="12"/>
      <c r="D1457" s="12"/>
      <c r="E1457" t="b">
        <f t="shared" si="22"/>
        <v>1</v>
      </c>
      <c r="F1457" s="12">
        <v>0</v>
      </c>
    </row>
    <row r="1458" spans="3:6">
      <c r="C1458" s="12"/>
      <c r="D1458" s="12"/>
      <c r="E1458" t="b">
        <f t="shared" si="22"/>
        <v>1</v>
      </c>
      <c r="F1458" s="12">
        <v>0</v>
      </c>
    </row>
    <row r="1459" spans="3:6">
      <c r="C1459" s="12"/>
      <c r="D1459" s="12"/>
      <c r="E1459" t="b">
        <f t="shared" si="22"/>
        <v>1</v>
      </c>
      <c r="F1459" s="12">
        <v>0</v>
      </c>
    </row>
    <row r="1460" spans="3:6">
      <c r="C1460" s="12"/>
      <c r="D1460" s="12"/>
      <c r="E1460" t="b">
        <f t="shared" si="22"/>
        <v>1</v>
      </c>
      <c r="F1460" s="12">
        <v>0</v>
      </c>
    </row>
    <row r="1461" spans="3:6">
      <c r="C1461" s="12"/>
      <c r="D1461" s="12"/>
      <c r="E1461" t="b">
        <f t="shared" si="22"/>
        <v>1</v>
      </c>
      <c r="F1461" s="12">
        <v>0</v>
      </c>
    </row>
    <row r="1462" spans="3:6">
      <c r="C1462" s="12"/>
      <c r="D1462" s="12"/>
      <c r="E1462" t="b">
        <f t="shared" si="22"/>
        <v>1</v>
      </c>
      <c r="F1462" s="12">
        <v>0</v>
      </c>
    </row>
    <row r="1463" spans="3:6">
      <c r="C1463" s="12"/>
      <c r="D1463" s="12"/>
      <c r="E1463" t="b">
        <f t="shared" si="22"/>
        <v>1</v>
      </c>
      <c r="F1463" s="12">
        <v>0</v>
      </c>
    </row>
    <row r="1464" spans="3:6">
      <c r="C1464" s="12"/>
      <c r="D1464" s="12"/>
      <c r="E1464" t="b">
        <f t="shared" si="22"/>
        <v>1</v>
      </c>
      <c r="F1464" s="12">
        <v>0</v>
      </c>
    </row>
    <row r="1465" spans="3:6">
      <c r="C1465" s="12"/>
      <c r="D1465" s="12"/>
      <c r="E1465" t="b">
        <f t="shared" si="22"/>
        <v>1</v>
      </c>
      <c r="F1465" s="12">
        <v>0</v>
      </c>
    </row>
    <row r="1466" spans="3:6">
      <c r="C1466" s="12"/>
      <c r="D1466" s="12"/>
      <c r="E1466" t="b">
        <f t="shared" si="22"/>
        <v>1</v>
      </c>
      <c r="F1466" s="12">
        <v>0</v>
      </c>
    </row>
    <row r="1467" spans="3:6">
      <c r="C1467" s="12"/>
      <c r="D1467" s="12"/>
      <c r="E1467" t="b">
        <f t="shared" si="22"/>
        <v>1</v>
      </c>
      <c r="F1467" s="12">
        <v>0</v>
      </c>
    </row>
    <row r="1468" spans="3:6">
      <c r="C1468" s="12"/>
      <c r="D1468" s="12"/>
      <c r="E1468" t="b">
        <f t="shared" si="22"/>
        <v>1</v>
      </c>
      <c r="F1468" s="12">
        <v>0</v>
      </c>
    </row>
    <row r="1469" spans="3:6">
      <c r="C1469" s="12"/>
      <c r="D1469" s="12"/>
      <c r="E1469" t="b">
        <f t="shared" si="22"/>
        <v>1</v>
      </c>
      <c r="F1469" s="12">
        <v>0</v>
      </c>
    </row>
    <row r="1470" spans="3:6">
      <c r="C1470" s="12"/>
      <c r="D1470" s="12"/>
      <c r="E1470" t="b">
        <f t="shared" si="22"/>
        <v>1</v>
      </c>
      <c r="F1470" s="12">
        <v>0</v>
      </c>
    </row>
    <row r="1471" spans="3:6">
      <c r="C1471" s="12"/>
      <c r="D1471" s="12"/>
      <c r="E1471" t="b">
        <f t="shared" si="22"/>
        <v>1</v>
      </c>
      <c r="F1471" s="12">
        <v>0</v>
      </c>
    </row>
    <row r="1472" spans="3:6">
      <c r="C1472" s="12"/>
      <c r="D1472" s="12"/>
      <c r="E1472" t="b">
        <f t="shared" si="22"/>
        <v>1</v>
      </c>
      <c r="F1472" s="12">
        <v>0</v>
      </c>
    </row>
    <row r="1473" spans="3:6">
      <c r="C1473" s="12"/>
      <c r="D1473" s="12"/>
      <c r="E1473" t="b">
        <f t="shared" si="22"/>
        <v>1</v>
      </c>
      <c r="F1473" s="12">
        <v>0</v>
      </c>
    </row>
    <row r="1474" spans="3:6">
      <c r="C1474" s="12"/>
      <c r="D1474" s="12"/>
      <c r="E1474" t="b">
        <f t="shared" si="22"/>
        <v>1</v>
      </c>
      <c r="F1474" s="12">
        <v>0</v>
      </c>
    </row>
    <row r="1475" spans="3:6">
      <c r="C1475" s="12"/>
      <c r="D1475" s="12"/>
      <c r="E1475" t="b">
        <f t="shared" ref="E1475:E1538" si="23">F1475=C1475</f>
        <v>1</v>
      </c>
      <c r="F1475" s="12">
        <v>0</v>
      </c>
    </row>
    <row r="1476" spans="3:6">
      <c r="C1476" s="12"/>
      <c r="D1476" s="12"/>
      <c r="E1476" t="b">
        <f t="shared" si="23"/>
        <v>1</v>
      </c>
      <c r="F1476" s="12">
        <v>0</v>
      </c>
    </row>
    <row r="1477" spans="3:6">
      <c r="C1477" s="12"/>
      <c r="D1477" s="12"/>
      <c r="E1477" t="b">
        <f t="shared" si="23"/>
        <v>1</v>
      </c>
      <c r="F1477" s="12">
        <v>0</v>
      </c>
    </row>
    <row r="1478" spans="3:6">
      <c r="C1478" s="12"/>
      <c r="D1478" s="12"/>
      <c r="E1478" t="b">
        <f t="shared" si="23"/>
        <v>1</v>
      </c>
      <c r="F1478" s="12">
        <v>0</v>
      </c>
    </row>
    <row r="1479" spans="3:6">
      <c r="C1479" s="12"/>
      <c r="D1479" s="12"/>
      <c r="E1479" t="b">
        <f t="shared" si="23"/>
        <v>1</v>
      </c>
      <c r="F1479" s="12">
        <v>0</v>
      </c>
    </row>
    <row r="1480" spans="3:6">
      <c r="C1480" s="12"/>
      <c r="D1480" s="12"/>
      <c r="E1480" t="b">
        <f t="shared" si="23"/>
        <v>1</v>
      </c>
      <c r="F1480" s="12">
        <v>0</v>
      </c>
    </row>
    <row r="1481" spans="3:6">
      <c r="C1481" s="12"/>
      <c r="D1481" s="12"/>
      <c r="E1481" t="b">
        <f t="shared" si="23"/>
        <v>1</v>
      </c>
      <c r="F1481" s="12">
        <v>0</v>
      </c>
    </row>
    <row r="1482" spans="3:6">
      <c r="C1482" s="12"/>
      <c r="D1482" s="12"/>
      <c r="E1482" t="b">
        <f t="shared" si="23"/>
        <v>1</v>
      </c>
      <c r="F1482" s="12">
        <v>0</v>
      </c>
    </row>
    <row r="1483" spans="3:6">
      <c r="C1483" s="12"/>
      <c r="D1483" s="12"/>
      <c r="E1483" t="b">
        <f t="shared" si="23"/>
        <v>1</v>
      </c>
      <c r="F1483" s="12">
        <v>0</v>
      </c>
    </row>
    <row r="1484" spans="3:6">
      <c r="C1484" s="12"/>
      <c r="D1484" s="12"/>
      <c r="E1484" t="b">
        <f t="shared" si="23"/>
        <v>1</v>
      </c>
      <c r="F1484" s="12">
        <v>0</v>
      </c>
    </row>
    <row r="1485" spans="3:6">
      <c r="C1485" s="12"/>
      <c r="D1485" s="12"/>
      <c r="E1485" t="b">
        <f t="shared" si="23"/>
        <v>1</v>
      </c>
      <c r="F1485" s="12">
        <v>0</v>
      </c>
    </row>
    <row r="1486" spans="3:6">
      <c r="C1486" s="12"/>
      <c r="D1486" s="12"/>
      <c r="E1486" t="b">
        <f t="shared" si="23"/>
        <v>1</v>
      </c>
      <c r="F1486" s="12">
        <v>0</v>
      </c>
    </row>
    <row r="1487" spans="3:6">
      <c r="C1487" s="12"/>
      <c r="D1487" s="12"/>
      <c r="E1487" t="b">
        <f t="shared" si="23"/>
        <v>1</v>
      </c>
      <c r="F1487" s="12">
        <v>0</v>
      </c>
    </row>
    <row r="1488" spans="3:6">
      <c r="C1488" s="12"/>
      <c r="D1488" s="12"/>
      <c r="E1488" t="b">
        <f t="shared" si="23"/>
        <v>1</v>
      </c>
      <c r="F1488" s="12">
        <v>0</v>
      </c>
    </row>
    <row r="1489" spans="3:6">
      <c r="C1489" s="12"/>
      <c r="D1489" s="12"/>
      <c r="E1489" t="b">
        <f t="shared" si="23"/>
        <v>1</v>
      </c>
      <c r="F1489" s="12">
        <v>0</v>
      </c>
    </row>
    <row r="1490" spans="3:6">
      <c r="C1490" s="12"/>
      <c r="D1490" s="12"/>
      <c r="E1490" t="b">
        <f t="shared" si="23"/>
        <v>1</v>
      </c>
      <c r="F1490" s="12">
        <v>0</v>
      </c>
    </row>
    <row r="1491" spans="3:6">
      <c r="C1491" s="12"/>
      <c r="D1491" s="12"/>
      <c r="E1491" t="b">
        <f t="shared" si="23"/>
        <v>1</v>
      </c>
      <c r="F1491" s="12">
        <v>0</v>
      </c>
    </row>
    <row r="1492" spans="3:6">
      <c r="C1492" s="12"/>
      <c r="D1492" s="12"/>
      <c r="E1492" t="b">
        <f t="shared" si="23"/>
        <v>1</v>
      </c>
      <c r="F1492" s="12">
        <v>0</v>
      </c>
    </row>
    <row r="1493" spans="3:6">
      <c r="C1493" s="12"/>
      <c r="D1493" s="12"/>
      <c r="E1493" t="b">
        <f t="shared" si="23"/>
        <v>1</v>
      </c>
      <c r="F1493" s="12">
        <v>0</v>
      </c>
    </row>
    <row r="1494" spans="3:6">
      <c r="C1494" s="12"/>
      <c r="D1494" s="12"/>
      <c r="E1494" t="b">
        <f t="shared" si="23"/>
        <v>1</v>
      </c>
      <c r="F1494" s="12">
        <v>0</v>
      </c>
    </row>
    <row r="1495" spans="3:6">
      <c r="C1495" s="12"/>
      <c r="D1495" s="12"/>
      <c r="E1495" t="b">
        <f t="shared" si="23"/>
        <v>1</v>
      </c>
      <c r="F1495" s="12">
        <v>0</v>
      </c>
    </row>
    <row r="1496" spans="3:6">
      <c r="C1496" s="12"/>
      <c r="D1496" s="12"/>
      <c r="E1496" t="b">
        <f t="shared" si="23"/>
        <v>1</v>
      </c>
      <c r="F1496" s="12">
        <v>0</v>
      </c>
    </row>
    <row r="1497" spans="3:6">
      <c r="C1497" s="12"/>
      <c r="D1497" s="12"/>
      <c r="E1497" t="b">
        <f t="shared" si="23"/>
        <v>1</v>
      </c>
      <c r="F1497" s="12">
        <v>0</v>
      </c>
    </row>
    <row r="1498" spans="3:6">
      <c r="C1498" s="12"/>
      <c r="D1498" s="12"/>
      <c r="E1498" t="b">
        <f t="shared" si="23"/>
        <v>1</v>
      </c>
      <c r="F1498" s="12">
        <v>0</v>
      </c>
    </row>
    <row r="1499" spans="3:6">
      <c r="C1499" s="12"/>
      <c r="D1499" s="12"/>
      <c r="E1499" t="b">
        <f t="shared" si="23"/>
        <v>1</v>
      </c>
      <c r="F1499" s="12">
        <v>0</v>
      </c>
    </row>
    <row r="1500" spans="3:6">
      <c r="C1500" s="12"/>
      <c r="D1500" s="12"/>
      <c r="E1500" t="b">
        <f t="shared" si="23"/>
        <v>1</v>
      </c>
      <c r="F1500" s="12">
        <v>0</v>
      </c>
    </row>
    <row r="1501" spans="3:6">
      <c r="C1501" s="12"/>
      <c r="D1501" s="12"/>
      <c r="E1501" t="b">
        <f t="shared" si="23"/>
        <v>1</v>
      </c>
      <c r="F1501" s="12">
        <v>0</v>
      </c>
    </row>
    <row r="1502" spans="3:6">
      <c r="C1502" s="12"/>
      <c r="D1502" s="12"/>
      <c r="E1502" t="b">
        <f t="shared" si="23"/>
        <v>1</v>
      </c>
      <c r="F1502" s="12">
        <v>0</v>
      </c>
    </row>
    <row r="1503" spans="3:6">
      <c r="C1503" s="12"/>
      <c r="D1503" s="12"/>
      <c r="E1503" t="b">
        <f t="shared" si="23"/>
        <v>1</v>
      </c>
      <c r="F1503" s="12">
        <v>0</v>
      </c>
    </row>
    <row r="1504" spans="3:6">
      <c r="C1504" s="12"/>
      <c r="D1504" s="12"/>
      <c r="E1504" t="b">
        <f t="shared" si="23"/>
        <v>1</v>
      </c>
      <c r="F1504" s="12">
        <v>0</v>
      </c>
    </row>
    <row r="1505" spans="3:6">
      <c r="C1505" s="12"/>
      <c r="D1505" s="12"/>
      <c r="E1505" t="b">
        <f t="shared" si="23"/>
        <v>1</v>
      </c>
      <c r="F1505" s="12">
        <v>0</v>
      </c>
    </row>
    <row r="1506" spans="3:6">
      <c r="C1506" s="12"/>
      <c r="D1506" s="12"/>
      <c r="E1506" t="b">
        <f t="shared" si="23"/>
        <v>1</v>
      </c>
      <c r="F1506" s="12">
        <v>0</v>
      </c>
    </row>
    <row r="1507" spans="3:6">
      <c r="C1507" s="12"/>
      <c r="D1507" s="12"/>
      <c r="E1507" t="b">
        <f t="shared" si="23"/>
        <v>1</v>
      </c>
      <c r="F1507" s="12">
        <v>0</v>
      </c>
    </row>
    <row r="1508" spans="3:6">
      <c r="C1508" s="12"/>
      <c r="D1508" s="12"/>
      <c r="E1508" t="b">
        <f t="shared" si="23"/>
        <v>1</v>
      </c>
      <c r="F1508" s="12">
        <v>0</v>
      </c>
    </row>
    <row r="1509" spans="3:6">
      <c r="C1509" s="12"/>
      <c r="D1509" s="12"/>
      <c r="E1509" t="b">
        <f t="shared" si="23"/>
        <v>1</v>
      </c>
      <c r="F1509" s="12">
        <v>0</v>
      </c>
    </row>
    <row r="1510" spans="3:6">
      <c r="C1510" s="12"/>
      <c r="D1510" s="12"/>
      <c r="E1510" t="b">
        <f t="shared" si="23"/>
        <v>1</v>
      </c>
      <c r="F1510" s="12">
        <v>0</v>
      </c>
    </row>
    <row r="1511" spans="3:6">
      <c r="C1511" s="12"/>
      <c r="D1511" s="12"/>
      <c r="E1511" t="b">
        <f t="shared" si="23"/>
        <v>1</v>
      </c>
      <c r="F1511" s="12">
        <v>0</v>
      </c>
    </row>
    <row r="1512" spans="3:6">
      <c r="C1512" s="12"/>
      <c r="D1512" s="12"/>
      <c r="E1512" t="b">
        <f t="shared" si="23"/>
        <v>1</v>
      </c>
      <c r="F1512" s="12">
        <v>0</v>
      </c>
    </row>
    <row r="1513" spans="3:6">
      <c r="C1513" s="12"/>
      <c r="D1513" s="12"/>
      <c r="E1513" t="b">
        <f t="shared" si="23"/>
        <v>1</v>
      </c>
      <c r="F1513" s="12">
        <v>0</v>
      </c>
    </row>
    <row r="1514" spans="3:6">
      <c r="C1514" s="12"/>
      <c r="D1514" s="12"/>
      <c r="E1514" t="b">
        <f t="shared" si="23"/>
        <v>1</v>
      </c>
      <c r="F1514" s="12">
        <v>0</v>
      </c>
    </row>
    <row r="1515" spans="3:6">
      <c r="C1515" s="12"/>
      <c r="D1515" s="12"/>
      <c r="E1515" t="b">
        <f t="shared" si="23"/>
        <v>1</v>
      </c>
      <c r="F1515" s="12">
        <v>0</v>
      </c>
    </row>
    <row r="1516" spans="3:6">
      <c r="C1516" s="12"/>
      <c r="D1516" s="12"/>
      <c r="E1516" t="b">
        <f t="shared" si="23"/>
        <v>1</v>
      </c>
      <c r="F1516" s="12">
        <v>0</v>
      </c>
    </row>
    <row r="1517" spans="3:6">
      <c r="C1517" s="12"/>
      <c r="D1517" s="12"/>
      <c r="E1517" t="b">
        <f t="shared" si="23"/>
        <v>1</v>
      </c>
      <c r="F1517" s="12">
        <v>0</v>
      </c>
    </row>
    <row r="1518" spans="3:6">
      <c r="C1518" s="12"/>
      <c r="D1518" s="12"/>
      <c r="E1518" t="b">
        <f t="shared" si="23"/>
        <v>1</v>
      </c>
      <c r="F1518" s="12">
        <v>0</v>
      </c>
    </row>
    <row r="1519" spans="3:6">
      <c r="C1519" s="12"/>
      <c r="D1519" s="12"/>
      <c r="E1519" t="b">
        <f t="shared" si="23"/>
        <v>1</v>
      </c>
      <c r="F1519" s="12">
        <v>0</v>
      </c>
    </row>
    <row r="1520" spans="3:6">
      <c r="C1520" s="12"/>
      <c r="D1520" s="12"/>
      <c r="E1520" t="b">
        <f t="shared" si="23"/>
        <v>1</v>
      </c>
      <c r="F1520" s="12">
        <v>0</v>
      </c>
    </row>
    <row r="1521" spans="3:6">
      <c r="C1521" s="12"/>
      <c r="D1521" s="12"/>
      <c r="E1521" t="b">
        <f t="shared" si="23"/>
        <v>1</v>
      </c>
      <c r="F1521" s="12">
        <v>0</v>
      </c>
    </row>
    <row r="1522" spans="3:6">
      <c r="C1522" s="12"/>
      <c r="D1522" s="12"/>
      <c r="E1522" t="b">
        <f t="shared" si="23"/>
        <v>1</v>
      </c>
      <c r="F1522" s="12">
        <v>0</v>
      </c>
    </row>
    <row r="1523" spans="3:6">
      <c r="C1523" s="12"/>
      <c r="D1523" s="12"/>
      <c r="E1523" t="b">
        <f t="shared" si="23"/>
        <v>1</v>
      </c>
      <c r="F1523" s="12">
        <v>0</v>
      </c>
    </row>
    <row r="1524" spans="3:6">
      <c r="C1524" s="12"/>
      <c r="D1524" s="12"/>
      <c r="E1524" t="b">
        <f t="shared" si="23"/>
        <v>1</v>
      </c>
      <c r="F1524" s="12">
        <v>0</v>
      </c>
    </row>
    <row r="1525" spans="3:6">
      <c r="C1525" s="12"/>
      <c r="D1525" s="12"/>
      <c r="E1525" t="b">
        <f t="shared" si="23"/>
        <v>1</v>
      </c>
      <c r="F1525" s="12">
        <v>0</v>
      </c>
    </row>
    <row r="1526" spans="3:6">
      <c r="C1526" s="12"/>
      <c r="D1526" s="12"/>
      <c r="E1526" t="b">
        <f t="shared" si="23"/>
        <v>1</v>
      </c>
      <c r="F1526" s="12">
        <v>0</v>
      </c>
    </row>
    <row r="1527" spans="3:6">
      <c r="C1527" s="12"/>
      <c r="D1527" s="12"/>
      <c r="E1527" t="b">
        <f t="shared" si="23"/>
        <v>1</v>
      </c>
      <c r="F1527" s="12">
        <v>0</v>
      </c>
    </row>
    <row r="1528" spans="3:6">
      <c r="C1528" s="12"/>
      <c r="D1528" s="12"/>
      <c r="E1528" t="b">
        <f t="shared" si="23"/>
        <v>1</v>
      </c>
      <c r="F1528" s="12">
        <v>0</v>
      </c>
    </row>
    <row r="1529" spans="3:6">
      <c r="C1529" s="12"/>
      <c r="D1529" s="12"/>
      <c r="E1529" t="b">
        <f t="shared" si="23"/>
        <v>1</v>
      </c>
      <c r="F1529" s="12">
        <v>0</v>
      </c>
    </row>
    <row r="1530" spans="3:6">
      <c r="C1530" s="12"/>
      <c r="D1530" s="12"/>
      <c r="E1530" t="b">
        <f t="shared" si="23"/>
        <v>1</v>
      </c>
      <c r="F1530" s="12">
        <v>0</v>
      </c>
    </row>
    <row r="1531" spans="3:6">
      <c r="C1531" s="12"/>
      <c r="D1531" s="12"/>
      <c r="E1531" t="b">
        <f t="shared" si="23"/>
        <v>1</v>
      </c>
      <c r="F1531" s="12">
        <v>0</v>
      </c>
    </row>
    <row r="1532" spans="3:6">
      <c r="C1532" s="12"/>
      <c r="D1532" s="12"/>
      <c r="E1532" t="b">
        <f t="shared" si="23"/>
        <v>1</v>
      </c>
      <c r="F1532" s="12">
        <v>0</v>
      </c>
    </row>
    <row r="1533" spans="3:6">
      <c r="C1533" s="12"/>
      <c r="D1533" s="12"/>
      <c r="E1533" t="b">
        <f t="shared" si="23"/>
        <v>1</v>
      </c>
      <c r="F1533" s="12">
        <v>0</v>
      </c>
    </row>
    <row r="1534" spans="3:6">
      <c r="C1534" s="12"/>
      <c r="D1534" s="12"/>
      <c r="E1534" t="b">
        <f t="shared" si="23"/>
        <v>1</v>
      </c>
      <c r="F1534" s="12">
        <v>0</v>
      </c>
    </row>
    <row r="1535" spans="3:6">
      <c r="C1535" s="12"/>
      <c r="D1535" s="12"/>
      <c r="E1535" t="b">
        <f t="shared" si="23"/>
        <v>1</v>
      </c>
      <c r="F1535" s="12">
        <v>0</v>
      </c>
    </row>
    <row r="1536" spans="3:6">
      <c r="C1536" s="12"/>
      <c r="D1536" s="12"/>
      <c r="E1536" t="b">
        <f t="shared" si="23"/>
        <v>1</v>
      </c>
      <c r="F1536" s="12">
        <v>0</v>
      </c>
    </row>
    <row r="1537" spans="3:6">
      <c r="C1537" s="12"/>
      <c r="D1537" s="12"/>
      <c r="E1537" t="b">
        <f t="shared" si="23"/>
        <v>1</v>
      </c>
      <c r="F1537" s="12">
        <v>0</v>
      </c>
    </row>
    <row r="1538" spans="3:6">
      <c r="C1538" s="12"/>
      <c r="D1538" s="12"/>
      <c r="E1538" t="b">
        <f t="shared" si="23"/>
        <v>1</v>
      </c>
      <c r="F1538" s="12">
        <v>0</v>
      </c>
    </row>
    <row r="1539" spans="3:6">
      <c r="C1539" s="12"/>
      <c r="D1539" s="12"/>
      <c r="E1539" t="b">
        <f t="shared" ref="E1539:E1602" si="24">F1539=C1539</f>
        <v>1</v>
      </c>
      <c r="F1539" s="12">
        <v>0</v>
      </c>
    </row>
    <row r="1540" spans="3:6">
      <c r="C1540" s="12"/>
      <c r="D1540" s="12"/>
      <c r="E1540" t="b">
        <f t="shared" si="24"/>
        <v>1</v>
      </c>
      <c r="F1540" s="12">
        <v>0</v>
      </c>
    </row>
    <row r="1541" spans="3:6">
      <c r="C1541" s="12"/>
      <c r="D1541" s="12"/>
      <c r="E1541" t="b">
        <f t="shared" si="24"/>
        <v>1</v>
      </c>
      <c r="F1541" s="12">
        <v>0</v>
      </c>
    </row>
    <row r="1542" spans="3:6">
      <c r="C1542" s="12"/>
      <c r="D1542" s="12"/>
      <c r="E1542" t="b">
        <f t="shared" si="24"/>
        <v>1</v>
      </c>
      <c r="F1542" s="12">
        <v>0</v>
      </c>
    </row>
    <row r="1543" spans="3:6">
      <c r="C1543" s="12"/>
      <c r="D1543" s="12"/>
      <c r="E1543" t="b">
        <f t="shared" si="24"/>
        <v>1</v>
      </c>
      <c r="F1543" s="12">
        <v>0</v>
      </c>
    </row>
    <row r="1544" spans="3:6">
      <c r="C1544" s="12"/>
      <c r="D1544" s="12"/>
      <c r="E1544" t="b">
        <f t="shared" si="24"/>
        <v>1</v>
      </c>
      <c r="F1544" s="12">
        <v>0</v>
      </c>
    </row>
    <row r="1545" spans="3:6">
      <c r="C1545" s="12"/>
      <c r="D1545" s="12"/>
      <c r="E1545" t="b">
        <f t="shared" si="24"/>
        <v>1</v>
      </c>
      <c r="F1545" s="12">
        <v>0</v>
      </c>
    </row>
    <row r="1546" spans="3:6">
      <c r="C1546" s="12"/>
      <c r="D1546" s="12"/>
      <c r="E1546" t="b">
        <f t="shared" si="24"/>
        <v>1</v>
      </c>
      <c r="F1546" s="12">
        <v>0</v>
      </c>
    </row>
    <row r="1547" spans="3:6">
      <c r="C1547" s="12"/>
      <c r="D1547" s="12"/>
      <c r="E1547" t="b">
        <f t="shared" si="24"/>
        <v>1</v>
      </c>
      <c r="F1547" s="12">
        <v>0</v>
      </c>
    </row>
    <row r="1548" spans="3:6">
      <c r="C1548" s="12"/>
      <c r="D1548" s="12"/>
      <c r="E1548" t="b">
        <f t="shared" si="24"/>
        <v>1</v>
      </c>
      <c r="F1548" s="12">
        <v>0</v>
      </c>
    </row>
    <row r="1549" spans="3:6">
      <c r="C1549" s="12"/>
      <c r="D1549" s="12"/>
      <c r="E1549" t="b">
        <f t="shared" si="24"/>
        <v>1</v>
      </c>
      <c r="F1549" s="12">
        <v>0</v>
      </c>
    </row>
    <row r="1550" spans="3:6">
      <c r="C1550" s="12"/>
      <c r="D1550" s="12"/>
      <c r="E1550" t="b">
        <f t="shared" si="24"/>
        <v>1</v>
      </c>
      <c r="F1550" s="12">
        <v>0</v>
      </c>
    </row>
    <row r="1551" spans="3:6">
      <c r="C1551" s="12"/>
      <c r="D1551" s="12"/>
      <c r="E1551" t="b">
        <f t="shared" si="24"/>
        <v>1</v>
      </c>
      <c r="F1551" s="12">
        <v>0</v>
      </c>
    </row>
    <row r="1552" spans="3:6">
      <c r="C1552" s="12"/>
      <c r="D1552" s="12"/>
      <c r="E1552" t="b">
        <f t="shared" si="24"/>
        <v>1</v>
      </c>
      <c r="F1552" s="12">
        <v>0</v>
      </c>
    </row>
    <row r="1553" spans="3:6">
      <c r="C1553" s="12"/>
      <c r="D1553" s="12"/>
      <c r="E1553" t="b">
        <f t="shared" si="24"/>
        <v>1</v>
      </c>
      <c r="F1553" s="12">
        <v>0</v>
      </c>
    </row>
    <row r="1554" spans="3:6">
      <c r="C1554" s="12"/>
      <c r="D1554" s="12"/>
      <c r="E1554" t="b">
        <f t="shared" si="24"/>
        <v>1</v>
      </c>
      <c r="F1554" s="12">
        <v>0</v>
      </c>
    </row>
    <row r="1555" spans="3:6">
      <c r="C1555" s="12"/>
      <c r="D1555" s="12"/>
      <c r="E1555" t="b">
        <f t="shared" si="24"/>
        <v>1</v>
      </c>
      <c r="F1555" s="12">
        <v>0</v>
      </c>
    </row>
    <row r="1556" spans="3:6">
      <c r="C1556" s="12"/>
      <c r="D1556" s="12"/>
      <c r="E1556" t="b">
        <f t="shared" si="24"/>
        <v>1</v>
      </c>
      <c r="F1556" s="12">
        <v>0</v>
      </c>
    </row>
    <row r="1557" spans="3:6">
      <c r="C1557" s="12"/>
      <c r="D1557" s="12"/>
      <c r="E1557" t="b">
        <f t="shared" si="24"/>
        <v>1</v>
      </c>
      <c r="F1557" s="12">
        <v>0</v>
      </c>
    </row>
    <row r="1558" spans="3:6">
      <c r="C1558" s="12"/>
      <c r="D1558" s="12"/>
      <c r="E1558" t="b">
        <f t="shared" si="24"/>
        <v>1</v>
      </c>
      <c r="F1558" s="12">
        <v>0</v>
      </c>
    </row>
    <row r="1559" spans="3:6">
      <c r="C1559" s="12"/>
      <c r="D1559" s="12"/>
      <c r="E1559" t="b">
        <f t="shared" si="24"/>
        <v>1</v>
      </c>
      <c r="F1559" s="12">
        <v>0</v>
      </c>
    </row>
    <row r="1560" spans="3:6">
      <c r="C1560" s="12"/>
      <c r="D1560" s="12"/>
      <c r="E1560" t="b">
        <f t="shared" si="24"/>
        <v>1</v>
      </c>
      <c r="F1560" s="12">
        <v>0</v>
      </c>
    </row>
    <row r="1561" spans="3:6">
      <c r="C1561" s="12"/>
      <c r="D1561" s="12"/>
      <c r="E1561" t="b">
        <f t="shared" si="24"/>
        <v>1</v>
      </c>
      <c r="F1561" s="12">
        <v>0</v>
      </c>
    </row>
    <row r="1562" spans="3:6">
      <c r="C1562" s="12"/>
      <c r="D1562" s="12"/>
      <c r="E1562" t="b">
        <f t="shared" si="24"/>
        <v>1</v>
      </c>
      <c r="F1562" s="12">
        <v>0</v>
      </c>
    </row>
    <row r="1563" spans="3:6">
      <c r="C1563" s="12"/>
      <c r="D1563" s="12"/>
      <c r="E1563" t="b">
        <f t="shared" si="24"/>
        <v>1</v>
      </c>
      <c r="F1563" s="12">
        <v>0</v>
      </c>
    </row>
    <row r="1564" spans="3:6">
      <c r="C1564" s="12"/>
      <c r="D1564" s="12"/>
      <c r="E1564" t="b">
        <f t="shared" si="24"/>
        <v>1</v>
      </c>
      <c r="F1564" s="12">
        <v>0</v>
      </c>
    </row>
    <row r="1565" spans="3:6">
      <c r="C1565" s="12"/>
      <c r="D1565" s="12"/>
      <c r="E1565" t="b">
        <f t="shared" si="24"/>
        <v>1</v>
      </c>
      <c r="F1565" s="12">
        <v>0</v>
      </c>
    </row>
    <row r="1566" spans="3:6">
      <c r="C1566" s="12"/>
      <c r="D1566" s="12"/>
      <c r="E1566" t="b">
        <f t="shared" si="24"/>
        <v>1</v>
      </c>
      <c r="F1566" s="12">
        <v>0</v>
      </c>
    </row>
    <row r="1567" spans="3:6">
      <c r="C1567" s="12"/>
      <c r="D1567" s="12"/>
      <c r="E1567" t="b">
        <f t="shared" si="24"/>
        <v>1</v>
      </c>
      <c r="F1567" s="12">
        <v>0</v>
      </c>
    </row>
    <row r="1568" spans="3:6">
      <c r="C1568" s="12"/>
      <c r="D1568" s="12"/>
      <c r="E1568" t="b">
        <f t="shared" si="24"/>
        <v>1</v>
      </c>
      <c r="F1568" s="12">
        <v>0</v>
      </c>
    </row>
    <row r="1569" spans="3:6">
      <c r="C1569" s="12"/>
      <c r="D1569" s="12"/>
      <c r="E1569" t="b">
        <f t="shared" si="24"/>
        <v>1</v>
      </c>
      <c r="F1569" s="12">
        <v>0</v>
      </c>
    </row>
    <row r="1570" spans="3:6">
      <c r="C1570" s="12"/>
      <c r="D1570" s="12"/>
      <c r="E1570" t="b">
        <f t="shared" si="24"/>
        <v>1</v>
      </c>
      <c r="F1570" s="12">
        <v>0</v>
      </c>
    </row>
    <row r="1571" spans="3:6">
      <c r="C1571" s="12"/>
      <c r="D1571" s="12"/>
      <c r="E1571" t="b">
        <f t="shared" si="24"/>
        <v>1</v>
      </c>
      <c r="F1571" s="12">
        <v>0</v>
      </c>
    </row>
    <row r="1572" spans="3:6">
      <c r="C1572" s="12"/>
      <c r="D1572" s="12"/>
      <c r="E1572" t="b">
        <f t="shared" si="24"/>
        <v>1</v>
      </c>
      <c r="F1572" s="12">
        <v>0</v>
      </c>
    </row>
    <row r="1573" spans="3:6">
      <c r="C1573" s="12"/>
      <c r="D1573" s="12"/>
      <c r="E1573" t="b">
        <f t="shared" si="24"/>
        <v>1</v>
      </c>
      <c r="F1573" s="12">
        <v>0</v>
      </c>
    </row>
    <row r="1574" spans="3:6">
      <c r="C1574" s="12"/>
      <c r="D1574" s="12"/>
      <c r="E1574" t="b">
        <f t="shared" si="24"/>
        <v>1</v>
      </c>
      <c r="F1574" s="12">
        <v>0</v>
      </c>
    </row>
    <row r="1575" spans="3:6">
      <c r="C1575" s="12"/>
      <c r="D1575" s="12"/>
      <c r="E1575" t="b">
        <f t="shared" si="24"/>
        <v>1</v>
      </c>
      <c r="F1575" s="12">
        <v>0</v>
      </c>
    </row>
    <row r="1576" spans="3:6">
      <c r="C1576" s="12"/>
      <c r="D1576" s="12"/>
      <c r="E1576" t="b">
        <f t="shared" si="24"/>
        <v>1</v>
      </c>
      <c r="F1576" s="12">
        <v>0</v>
      </c>
    </row>
    <row r="1577" spans="3:6">
      <c r="C1577" s="12"/>
      <c r="D1577" s="12"/>
      <c r="E1577" t="b">
        <f t="shared" si="24"/>
        <v>1</v>
      </c>
      <c r="F1577" s="12">
        <v>0</v>
      </c>
    </row>
    <row r="1578" spans="3:6">
      <c r="C1578" s="12"/>
      <c r="D1578" s="12"/>
      <c r="E1578" t="b">
        <f t="shared" si="24"/>
        <v>1</v>
      </c>
      <c r="F1578" s="12">
        <v>0</v>
      </c>
    </row>
    <row r="1579" spans="3:6">
      <c r="C1579" s="12"/>
      <c r="D1579" s="12"/>
      <c r="E1579" t="b">
        <f t="shared" si="24"/>
        <v>1</v>
      </c>
      <c r="F1579" s="12">
        <v>0</v>
      </c>
    </row>
    <row r="1580" spans="3:6">
      <c r="C1580" s="12"/>
      <c r="D1580" s="12"/>
      <c r="E1580" t="b">
        <f t="shared" si="24"/>
        <v>1</v>
      </c>
      <c r="F1580" s="12">
        <v>0</v>
      </c>
    </row>
    <row r="1581" spans="3:6">
      <c r="C1581" s="12"/>
      <c r="D1581" s="12"/>
      <c r="E1581" t="b">
        <f t="shared" si="24"/>
        <v>1</v>
      </c>
      <c r="F1581" s="12">
        <v>0</v>
      </c>
    </row>
    <row r="1582" spans="3:6">
      <c r="C1582" s="12"/>
      <c r="D1582" s="12"/>
      <c r="E1582" t="b">
        <f t="shared" si="24"/>
        <v>1</v>
      </c>
      <c r="F1582" s="12">
        <v>0</v>
      </c>
    </row>
    <row r="1583" spans="3:6">
      <c r="C1583" s="12"/>
      <c r="D1583" s="12"/>
      <c r="E1583" t="b">
        <f t="shared" si="24"/>
        <v>1</v>
      </c>
      <c r="F1583" s="12">
        <v>0</v>
      </c>
    </row>
    <row r="1584" spans="3:6">
      <c r="C1584" s="12"/>
      <c r="D1584" s="12"/>
      <c r="E1584" t="b">
        <f t="shared" si="24"/>
        <v>1</v>
      </c>
      <c r="F1584" s="12">
        <v>0</v>
      </c>
    </row>
    <row r="1585" spans="3:6">
      <c r="C1585" s="12"/>
      <c r="D1585" s="12"/>
      <c r="E1585" t="b">
        <f t="shared" si="24"/>
        <v>1</v>
      </c>
      <c r="F1585" s="12">
        <v>0</v>
      </c>
    </row>
    <row r="1586" spans="3:6">
      <c r="C1586" s="12"/>
      <c r="D1586" s="12"/>
      <c r="E1586" t="b">
        <f t="shared" si="24"/>
        <v>1</v>
      </c>
      <c r="F1586" s="12">
        <v>0</v>
      </c>
    </row>
    <row r="1587" spans="3:6">
      <c r="C1587" s="12"/>
      <c r="D1587" s="12"/>
      <c r="E1587" t="b">
        <f t="shared" si="24"/>
        <v>1</v>
      </c>
      <c r="F1587" s="12">
        <v>0</v>
      </c>
    </row>
    <row r="1588" spans="3:6">
      <c r="C1588" s="12"/>
      <c r="D1588" s="12"/>
      <c r="E1588" t="b">
        <f t="shared" si="24"/>
        <v>1</v>
      </c>
      <c r="F1588" s="12">
        <v>0</v>
      </c>
    </row>
    <row r="1589" spans="3:6">
      <c r="C1589" s="12"/>
      <c r="D1589" s="12"/>
      <c r="E1589" t="b">
        <f t="shared" si="24"/>
        <v>1</v>
      </c>
      <c r="F1589" s="12">
        <v>0</v>
      </c>
    </row>
    <row r="1590" spans="3:6">
      <c r="C1590" s="12"/>
      <c r="D1590" s="12"/>
      <c r="E1590" t="b">
        <f t="shared" si="24"/>
        <v>1</v>
      </c>
      <c r="F1590" s="12">
        <v>0</v>
      </c>
    </row>
    <row r="1591" spans="3:6">
      <c r="C1591" s="12"/>
      <c r="D1591" s="12"/>
      <c r="E1591" t="b">
        <f t="shared" si="24"/>
        <v>1</v>
      </c>
      <c r="F1591" s="12">
        <v>0</v>
      </c>
    </row>
    <row r="1592" spans="3:6">
      <c r="C1592" s="12"/>
      <c r="D1592" s="12"/>
      <c r="E1592" t="b">
        <f t="shared" si="24"/>
        <v>1</v>
      </c>
      <c r="F1592" s="12">
        <v>0</v>
      </c>
    </row>
    <row r="1593" spans="3:6">
      <c r="C1593" s="12"/>
      <c r="D1593" s="12"/>
      <c r="E1593" t="b">
        <f t="shared" si="24"/>
        <v>1</v>
      </c>
      <c r="F1593" s="12">
        <v>0</v>
      </c>
    </row>
    <row r="1594" spans="3:6">
      <c r="C1594" s="12"/>
      <c r="D1594" s="12"/>
      <c r="E1594" t="b">
        <f t="shared" si="24"/>
        <v>1</v>
      </c>
      <c r="F1594" s="12">
        <v>0</v>
      </c>
    </row>
    <row r="1595" spans="3:6">
      <c r="C1595" s="12"/>
      <c r="D1595" s="12"/>
      <c r="E1595" t="b">
        <f t="shared" si="24"/>
        <v>1</v>
      </c>
      <c r="F1595" s="12">
        <v>0</v>
      </c>
    </row>
    <row r="1596" spans="3:6">
      <c r="C1596" s="12"/>
      <c r="D1596" s="12"/>
      <c r="E1596" t="b">
        <f t="shared" si="24"/>
        <v>1</v>
      </c>
      <c r="F1596" s="12">
        <v>0</v>
      </c>
    </row>
    <row r="1597" spans="3:6">
      <c r="C1597" s="12"/>
      <c r="D1597" s="12"/>
      <c r="E1597" t="b">
        <f t="shared" si="24"/>
        <v>1</v>
      </c>
      <c r="F1597" s="12">
        <v>0</v>
      </c>
    </row>
    <row r="1598" spans="3:6">
      <c r="C1598" s="12"/>
      <c r="D1598" s="12"/>
      <c r="E1598" t="b">
        <f t="shared" si="24"/>
        <v>1</v>
      </c>
      <c r="F1598" s="12">
        <v>0</v>
      </c>
    </row>
    <row r="1599" spans="3:6">
      <c r="C1599" s="12"/>
      <c r="D1599" s="12"/>
      <c r="E1599" t="b">
        <f t="shared" si="24"/>
        <v>1</v>
      </c>
      <c r="F1599" s="12">
        <v>0</v>
      </c>
    </row>
    <row r="1600" spans="3:6">
      <c r="C1600" s="12"/>
      <c r="D1600" s="12"/>
      <c r="E1600" t="b">
        <f t="shared" si="24"/>
        <v>1</v>
      </c>
      <c r="F1600" s="12">
        <v>0</v>
      </c>
    </row>
    <row r="1601" spans="3:6">
      <c r="C1601" s="12"/>
      <c r="D1601" s="12"/>
      <c r="E1601" t="b">
        <f t="shared" si="24"/>
        <v>1</v>
      </c>
      <c r="F1601" s="12">
        <v>0</v>
      </c>
    </row>
    <row r="1602" spans="3:6">
      <c r="C1602" s="12"/>
      <c r="D1602" s="12"/>
      <c r="E1602" t="b">
        <f t="shared" si="24"/>
        <v>1</v>
      </c>
      <c r="F1602" s="12">
        <v>0</v>
      </c>
    </row>
    <row r="1603" spans="3:6">
      <c r="C1603" s="12"/>
      <c r="D1603" s="12"/>
      <c r="E1603" t="b">
        <f t="shared" ref="E1603:E1666" si="25">F1603=C1603</f>
        <v>1</v>
      </c>
      <c r="F1603" s="12">
        <v>0</v>
      </c>
    </row>
    <row r="1604" spans="3:6">
      <c r="C1604" s="12"/>
      <c r="D1604" s="12"/>
      <c r="E1604" t="b">
        <f t="shared" si="25"/>
        <v>1</v>
      </c>
      <c r="F1604" s="12">
        <v>0</v>
      </c>
    </row>
    <row r="1605" spans="3:6">
      <c r="C1605" s="12"/>
      <c r="D1605" s="12"/>
      <c r="E1605" t="b">
        <f t="shared" si="25"/>
        <v>1</v>
      </c>
      <c r="F1605" s="12">
        <v>0</v>
      </c>
    </row>
    <row r="1606" spans="3:6">
      <c r="C1606" s="12"/>
      <c r="D1606" s="12"/>
      <c r="E1606" t="b">
        <f t="shared" si="25"/>
        <v>1</v>
      </c>
      <c r="F1606" s="12">
        <v>0</v>
      </c>
    </row>
    <row r="1607" spans="3:6">
      <c r="C1607" s="12"/>
      <c r="D1607" s="12"/>
      <c r="E1607" t="b">
        <f t="shared" si="25"/>
        <v>1</v>
      </c>
      <c r="F1607" s="12">
        <v>0</v>
      </c>
    </row>
    <row r="1608" spans="3:6">
      <c r="C1608" s="12"/>
      <c r="D1608" s="12"/>
      <c r="E1608" t="b">
        <f t="shared" si="25"/>
        <v>1</v>
      </c>
      <c r="F1608" s="12">
        <v>0</v>
      </c>
    </row>
    <row r="1609" spans="3:6">
      <c r="C1609" s="12"/>
      <c r="D1609" s="12"/>
      <c r="E1609" t="b">
        <f t="shared" si="25"/>
        <v>1</v>
      </c>
      <c r="F1609" s="12">
        <v>0</v>
      </c>
    </row>
    <row r="1610" spans="3:6">
      <c r="C1610" s="12"/>
      <c r="D1610" s="12"/>
      <c r="E1610" t="b">
        <f t="shared" si="25"/>
        <v>1</v>
      </c>
      <c r="F1610" s="12">
        <v>0</v>
      </c>
    </row>
    <row r="1611" spans="3:6">
      <c r="C1611" s="12"/>
      <c r="D1611" s="12"/>
      <c r="E1611" t="b">
        <f t="shared" si="25"/>
        <v>1</v>
      </c>
      <c r="F1611" s="12">
        <v>0</v>
      </c>
    </row>
    <row r="1612" spans="3:6">
      <c r="C1612" s="12"/>
      <c r="D1612" s="12"/>
      <c r="E1612" t="b">
        <f t="shared" si="25"/>
        <v>1</v>
      </c>
      <c r="F1612" s="12">
        <v>0</v>
      </c>
    </row>
    <row r="1613" spans="3:6">
      <c r="C1613" s="12"/>
      <c r="D1613" s="12"/>
      <c r="E1613" t="b">
        <f t="shared" si="25"/>
        <v>1</v>
      </c>
      <c r="F1613" s="12">
        <v>0</v>
      </c>
    </row>
    <row r="1614" spans="3:6">
      <c r="C1614" s="12"/>
      <c r="D1614" s="12"/>
      <c r="E1614" t="b">
        <f t="shared" si="25"/>
        <v>1</v>
      </c>
      <c r="F1614" s="12">
        <v>0</v>
      </c>
    </row>
    <row r="1615" spans="3:6">
      <c r="C1615" s="12"/>
      <c r="D1615" s="12"/>
      <c r="E1615" t="b">
        <f t="shared" si="25"/>
        <v>1</v>
      </c>
      <c r="F1615" s="12">
        <v>0</v>
      </c>
    </row>
    <row r="1616" spans="3:6">
      <c r="C1616" s="12"/>
      <c r="D1616" s="12"/>
      <c r="E1616" t="b">
        <f t="shared" si="25"/>
        <v>1</v>
      </c>
      <c r="F1616" s="12">
        <v>0</v>
      </c>
    </row>
    <row r="1617" spans="3:6">
      <c r="C1617" s="12"/>
      <c r="D1617" s="12"/>
      <c r="E1617" t="b">
        <f t="shared" si="25"/>
        <v>1</v>
      </c>
      <c r="F1617" s="12">
        <v>0</v>
      </c>
    </row>
    <row r="1618" spans="3:6">
      <c r="C1618" s="12"/>
      <c r="D1618" s="12"/>
      <c r="E1618" t="b">
        <f t="shared" si="25"/>
        <v>1</v>
      </c>
      <c r="F1618" s="12">
        <v>0</v>
      </c>
    </row>
    <row r="1619" spans="3:6">
      <c r="C1619" s="12"/>
      <c r="D1619" s="12"/>
      <c r="E1619" t="b">
        <f t="shared" si="25"/>
        <v>1</v>
      </c>
      <c r="F1619" s="12">
        <v>0</v>
      </c>
    </row>
    <row r="1620" spans="3:6">
      <c r="C1620" s="12"/>
      <c r="D1620" s="12"/>
      <c r="E1620" t="b">
        <f t="shared" si="25"/>
        <v>1</v>
      </c>
      <c r="F1620" s="12">
        <v>0</v>
      </c>
    </row>
    <row r="1621" spans="3:6">
      <c r="C1621" s="12"/>
      <c r="D1621" s="12"/>
      <c r="E1621" t="b">
        <f t="shared" si="25"/>
        <v>1</v>
      </c>
      <c r="F1621" s="12">
        <v>0</v>
      </c>
    </row>
    <row r="1622" spans="3:6">
      <c r="C1622" s="12"/>
      <c r="D1622" s="12"/>
      <c r="E1622" t="b">
        <f t="shared" si="25"/>
        <v>1</v>
      </c>
      <c r="F1622" s="12">
        <v>0</v>
      </c>
    </row>
    <row r="1623" spans="3:6">
      <c r="C1623" s="12"/>
      <c r="D1623" s="12"/>
      <c r="E1623" t="b">
        <f t="shared" si="25"/>
        <v>1</v>
      </c>
      <c r="F1623" s="12">
        <v>0</v>
      </c>
    </row>
    <row r="1624" spans="3:6">
      <c r="C1624" s="12"/>
      <c r="D1624" s="12"/>
      <c r="E1624" t="b">
        <f t="shared" si="25"/>
        <v>1</v>
      </c>
      <c r="F1624" s="12">
        <v>0</v>
      </c>
    </row>
    <row r="1625" spans="3:6">
      <c r="C1625" s="12"/>
      <c r="D1625" s="12"/>
      <c r="E1625" t="b">
        <f t="shared" si="25"/>
        <v>1</v>
      </c>
      <c r="F1625" s="12">
        <v>0</v>
      </c>
    </row>
    <row r="1626" spans="3:6">
      <c r="C1626" s="12"/>
      <c r="D1626" s="12"/>
      <c r="E1626" t="b">
        <f t="shared" si="25"/>
        <v>1</v>
      </c>
      <c r="F1626" s="12">
        <v>0</v>
      </c>
    </row>
    <row r="1627" spans="3:6">
      <c r="C1627" s="12"/>
      <c r="D1627" s="12"/>
      <c r="E1627" t="b">
        <f t="shared" si="25"/>
        <v>1</v>
      </c>
      <c r="F1627" s="12">
        <v>0</v>
      </c>
    </row>
    <row r="1628" spans="3:6">
      <c r="C1628" s="12"/>
      <c r="D1628" s="12"/>
      <c r="E1628" t="b">
        <f t="shared" si="25"/>
        <v>1</v>
      </c>
      <c r="F1628" s="12">
        <v>0</v>
      </c>
    </row>
    <row r="1629" spans="3:6">
      <c r="C1629" s="12"/>
      <c r="D1629" s="12"/>
      <c r="E1629" t="b">
        <f t="shared" si="25"/>
        <v>1</v>
      </c>
      <c r="F1629" s="12">
        <v>0</v>
      </c>
    </row>
    <row r="1630" spans="3:6">
      <c r="C1630" s="12"/>
      <c r="D1630" s="12"/>
      <c r="E1630" t="b">
        <f t="shared" si="25"/>
        <v>1</v>
      </c>
      <c r="F1630" s="12">
        <v>0</v>
      </c>
    </row>
    <row r="1631" spans="3:6">
      <c r="C1631" s="12"/>
      <c r="D1631" s="12"/>
      <c r="E1631" t="b">
        <f t="shared" si="25"/>
        <v>1</v>
      </c>
      <c r="F1631" s="12">
        <v>0</v>
      </c>
    </row>
    <row r="1632" spans="3:6">
      <c r="C1632" s="12"/>
      <c r="D1632" s="12"/>
      <c r="E1632" t="b">
        <f t="shared" si="25"/>
        <v>1</v>
      </c>
      <c r="F1632" s="12">
        <v>0</v>
      </c>
    </row>
    <row r="1633" spans="3:6">
      <c r="C1633" s="12"/>
      <c r="D1633" s="12"/>
      <c r="E1633" t="b">
        <f t="shared" si="25"/>
        <v>1</v>
      </c>
      <c r="F1633" s="12">
        <v>0</v>
      </c>
    </row>
    <row r="1634" spans="3:6">
      <c r="C1634" s="12"/>
      <c r="D1634" s="12"/>
      <c r="E1634" t="b">
        <f t="shared" si="25"/>
        <v>1</v>
      </c>
      <c r="F1634" s="12">
        <v>0</v>
      </c>
    </row>
    <row r="1635" spans="3:6">
      <c r="C1635" s="12"/>
      <c r="D1635" s="12"/>
      <c r="E1635" t="b">
        <f t="shared" si="25"/>
        <v>1</v>
      </c>
      <c r="F1635" s="12">
        <v>0</v>
      </c>
    </row>
    <row r="1636" spans="3:6">
      <c r="C1636" s="12"/>
      <c r="D1636" s="12"/>
      <c r="E1636" t="b">
        <f t="shared" si="25"/>
        <v>1</v>
      </c>
      <c r="F1636" s="12">
        <v>0</v>
      </c>
    </row>
    <row r="1637" spans="3:6">
      <c r="C1637" s="12"/>
      <c r="D1637" s="12"/>
      <c r="E1637" t="b">
        <f t="shared" si="25"/>
        <v>1</v>
      </c>
      <c r="F1637" s="12">
        <v>0</v>
      </c>
    </row>
    <row r="1638" spans="3:6">
      <c r="C1638" s="12"/>
      <c r="D1638" s="12"/>
      <c r="E1638" t="b">
        <f t="shared" si="25"/>
        <v>1</v>
      </c>
      <c r="F1638" s="12">
        <v>0</v>
      </c>
    </row>
    <row r="1639" spans="3:6">
      <c r="C1639" s="12"/>
      <c r="D1639" s="12"/>
      <c r="E1639" t="b">
        <f t="shared" si="25"/>
        <v>1</v>
      </c>
      <c r="F1639" s="12">
        <v>0</v>
      </c>
    </row>
    <row r="1640" spans="3:6">
      <c r="C1640" s="12"/>
      <c r="D1640" s="12"/>
      <c r="E1640" t="b">
        <f t="shared" si="25"/>
        <v>1</v>
      </c>
      <c r="F1640" s="12">
        <v>0</v>
      </c>
    </row>
    <row r="1641" spans="3:6">
      <c r="C1641" s="12"/>
      <c r="D1641" s="12"/>
      <c r="E1641" t="b">
        <f t="shared" si="25"/>
        <v>1</v>
      </c>
      <c r="F1641" s="12">
        <v>0</v>
      </c>
    </row>
    <row r="1642" spans="3:6">
      <c r="C1642" s="12"/>
      <c r="D1642" s="12"/>
      <c r="E1642" t="b">
        <f t="shared" si="25"/>
        <v>1</v>
      </c>
      <c r="F1642" s="12">
        <v>0</v>
      </c>
    </row>
    <row r="1643" spans="3:6">
      <c r="C1643" s="12"/>
      <c r="D1643" s="12"/>
      <c r="E1643" t="b">
        <f t="shared" si="25"/>
        <v>1</v>
      </c>
      <c r="F1643" s="12">
        <v>0</v>
      </c>
    </row>
    <row r="1644" spans="3:6">
      <c r="C1644" s="12"/>
      <c r="D1644" s="12"/>
      <c r="E1644" t="b">
        <f t="shared" si="25"/>
        <v>1</v>
      </c>
      <c r="F1644" s="12">
        <v>0</v>
      </c>
    </row>
    <row r="1645" spans="3:6">
      <c r="C1645" s="12"/>
      <c r="D1645" s="12"/>
      <c r="E1645" t="b">
        <f t="shared" si="25"/>
        <v>1</v>
      </c>
      <c r="F1645" s="12">
        <v>0</v>
      </c>
    </row>
    <row r="1646" spans="3:6">
      <c r="C1646" s="12"/>
      <c r="D1646" s="12"/>
      <c r="E1646" t="b">
        <f t="shared" si="25"/>
        <v>1</v>
      </c>
      <c r="F1646" s="12">
        <v>0</v>
      </c>
    </row>
    <row r="1647" spans="3:6">
      <c r="C1647" s="12"/>
      <c r="D1647" s="12"/>
      <c r="E1647" t="b">
        <f t="shared" si="25"/>
        <v>1</v>
      </c>
      <c r="F1647" s="12">
        <v>0</v>
      </c>
    </row>
    <row r="1648" spans="3:6">
      <c r="C1648" s="12"/>
      <c r="D1648" s="12"/>
      <c r="E1648" t="b">
        <f t="shared" si="25"/>
        <v>1</v>
      </c>
      <c r="F1648" s="12">
        <v>0</v>
      </c>
    </row>
    <row r="1649" spans="3:6">
      <c r="C1649" s="12"/>
      <c r="D1649" s="12"/>
      <c r="E1649" t="b">
        <f t="shared" si="25"/>
        <v>1</v>
      </c>
      <c r="F1649" s="12">
        <v>0</v>
      </c>
    </row>
    <row r="1650" spans="3:6">
      <c r="C1650" s="12"/>
      <c r="D1650" s="12"/>
      <c r="E1650" t="b">
        <f t="shared" si="25"/>
        <v>1</v>
      </c>
      <c r="F1650" s="12">
        <v>0</v>
      </c>
    </row>
    <row r="1651" spans="3:6">
      <c r="C1651" s="12"/>
      <c r="D1651" s="12"/>
      <c r="E1651" t="b">
        <f t="shared" si="25"/>
        <v>1</v>
      </c>
      <c r="F1651" s="12">
        <v>0</v>
      </c>
    </row>
    <row r="1652" spans="3:6">
      <c r="C1652" s="12"/>
      <c r="D1652" s="12"/>
      <c r="E1652" t="b">
        <f t="shared" si="25"/>
        <v>1</v>
      </c>
      <c r="F1652" s="12">
        <v>0</v>
      </c>
    </row>
    <row r="1653" spans="3:6">
      <c r="C1653" s="12"/>
      <c r="D1653" s="12"/>
      <c r="E1653" t="b">
        <f t="shared" si="25"/>
        <v>1</v>
      </c>
      <c r="F1653" s="12">
        <v>0</v>
      </c>
    </row>
    <row r="1654" spans="3:6">
      <c r="C1654" s="12"/>
      <c r="D1654" s="12"/>
      <c r="E1654" t="b">
        <f t="shared" si="25"/>
        <v>1</v>
      </c>
      <c r="F1654" s="12">
        <v>0</v>
      </c>
    </row>
    <row r="1655" spans="3:6">
      <c r="C1655" s="12"/>
      <c r="D1655" s="12"/>
      <c r="E1655" t="b">
        <f t="shared" si="25"/>
        <v>1</v>
      </c>
      <c r="F1655" s="12">
        <v>0</v>
      </c>
    </row>
    <row r="1656" spans="3:6">
      <c r="C1656" s="12"/>
      <c r="D1656" s="12"/>
      <c r="E1656" t="b">
        <f t="shared" si="25"/>
        <v>1</v>
      </c>
      <c r="F1656" s="12">
        <v>0</v>
      </c>
    </row>
    <row r="1657" spans="3:6">
      <c r="C1657" s="12"/>
      <c r="D1657" s="12"/>
      <c r="E1657" t="b">
        <f t="shared" si="25"/>
        <v>1</v>
      </c>
      <c r="F1657" s="12">
        <v>0</v>
      </c>
    </row>
    <row r="1658" spans="3:6">
      <c r="C1658" s="12"/>
      <c r="D1658" s="12"/>
      <c r="E1658" t="b">
        <f t="shared" si="25"/>
        <v>1</v>
      </c>
      <c r="F1658" s="12">
        <v>0</v>
      </c>
    </row>
    <row r="1659" spans="3:6">
      <c r="C1659" s="12"/>
      <c r="D1659" s="12"/>
      <c r="E1659" t="b">
        <f t="shared" si="25"/>
        <v>1</v>
      </c>
      <c r="F1659" s="12">
        <v>0</v>
      </c>
    </row>
    <row r="1660" spans="3:6">
      <c r="C1660" s="12"/>
      <c r="D1660" s="12"/>
      <c r="E1660" t="b">
        <f t="shared" si="25"/>
        <v>1</v>
      </c>
      <c r="F1660" s="12">
        <v>0</v>
      </c>
    </row>
    <row r="1661" spans="3:6">
      <c r="C1661" s="12"/>
      <c r="D1661" s="12"/>
      <c r="E1661" t="b">
        <f t="shared" si="25"/>
        <v>1</v>
      </c>
      <c r="F1661" s="12">
        <v>0</v>
      </c>
    </row>
    <row r="1662" spans="3:6">
      <c r="C1662" s="12"/>
      <c r="D1662" s="12"/>
      <c r="E1662" t="b">
        <f t="shared" si="25"/>
        <v>1</v>
      </c>
      <c r="F1662" s="12">
        <v>0</v>
      </c>
    </row>
    <row r="1663" spans="3:6">
      <c r="C1663" s="12"/>
      <c r="D1663" s="12"/>
      <c r="E1663" t="b">
        <f t="shared" si="25"/>
        <v>1</v>
      </c>
      <c r="F1663" s="12">
        <v>0</v>
      </c>
    </row>
    <row r="1664" spans="3:6">
      <c r="C1664" s="12"/>
      <c r="D1664" s="12"/>
      <c r="E1664" t="b">
        <f t="shared" si="25"/>
        <v>1</v>
      </c>
      <c r="F1664" s="12">
        <v>0</v>
      </c>
    </row>
    <row r="1665" spans="3:6">
      <c r="C1665" s="12"/>
      <c r="D1665" s="12"/>
      <c r="E1665" t="b">
        <f t="shared" si="25"/>
        <v>1</v>
      </c>
      <c r="F1665" s="12">
        <v>0</v>
      </c>
    </row>
    <row r="1666" spans="3:6">
      <c r="C1666" s="12"/>
      <c r="D1666" s="12"/>
      <c r="E1666" t="b">
        <f t="shared" si="25"/>
        <v>1</v>
      </c>
      <c r="F1666" s="12">
        <v>0</v>
      </c>
    </row>
    <row r="1667" spans="3:6">
      <c r="C1667" s="12"/>
      <c r="D1667" s="12"/>
      <c r="E1667" t="b">
        <f t="shared" ref="E1667:E1730" si="26">F1667=C1667</f>
        <v>1</v>
      </c>
      <c r="F1667" s="12">
        <v>0</v>
      </c>
    </row>
    <row r="1668" spans="3:6">
      <c r="C1668" s="12"/>
      <c r="D1668" s="12"/>
      <c r="E1668" t="b">
        <f t="shared" si="26"/>
        <v>1</v>
      </c>
      <c r="F1668" s="12">
        <v>0</v>
      </c>
    </row>
    <row r="1669" spans="3:6">
      <c r="C1669" s="12"/>
      <c r="D1669" s="12"/>
      <c r="E1669" t="b">
        <f t="shared" si="26"/>
        <v>1</v>
      </c>
      <c r="F1669" s="12">
        <v>0</v>
      </c>
    </row>
    <row r="1670" spans="3:6">
      <c r="C1670" s="12"/>
      <c r="D1670" s="12"/>
      <c r="E1670" t="b">
        <f t="shared" si="26"/>
        <v>1</v>
      </c>
      <c r="F1670" s="12">
        <v>0</v>
      </c>
    </row>
    <row r="1671" spans="3:6">
      <c r="C1671" s="12"/>
      <c r="D1671" s="12"/>
      <c r="E1671" t="b">
        <f t="shared" si="26"/>
        <v>1</v>
      </c>
      <c r="F1671" s="12">
        <v>0</v>
      </c>
    </row>
    <row r="1672" spans="3:6">
      <c r="C1672" s="12"/>
      <c r="D1672" s="12"/>
      <c r="E1672" t="b">
        <f t="shared" si="26"/>
        <v>1</v>
      </c>
      <c r="F1672" s="12">
        <v>0</v>
      </c>
    </row>
    <row r="1673" spans="3:6">
      <c r="C1673" s="12"/>
      <c r="D1673" s="12"/>
      <c r="E1673" t="b">
        <f t="shared" si="26"/>
        <v>1</v>
      </c>
      <c r="F1673" s="12">
        <v>0</v>
      </c>
    </row>
    <row r="1674" spans="3:6">
      <c r="C1674" s="12"/>
      <c r="D1674" s="12"/>
      <c r="E1674" t="b">
        <f t="shared" si="26"/>
        <v>1</v>
      </c>
      <c r="F1674" s="12">
        <v>0</v>
      </c>
    </row>
    <row r="1675" spans="3:6">
      <c r="C1675" s="12"/>
      <c r="D1675" s="12"/>
      <c r="E1675" t="b">
        <f t="shared" si="26"/>
        <v>1</v>
      </c>
      <c r="F1675" s="12">
        <v>0</v>
      </c>
    </row>
    <row r="1676" spans="3:6">
      <c r="C1676" s="12"/>
      <c r="D1676" s="12"/>
      <c r="E1676" t="b">
        <f t="shared" si="26"/>
        <v>1</v>
      </c>
      <c r="F1676" s="12">
        <v>0</v>
      </c>
    </row>
    <row r="1677" spans="3:6">
      <c r="C1677" s="12"/>
      <c r="D1677" s="12"/>
      <c r="E1677" t="b">
        <f t="shared" si="26"/>
        <v>1</v>
      </c>
      <c r="F1677" s="12">
        <v>0</v>
      </c>
    </row>
    <row r="1678" spans="3:6">
      <c r="C1678" s="12"/>
      <c r="D1678" s="12"/>
      <c r="E1678" t="b">
        <f t="shared" si="26"/>
        <v>1</v>
      </c>
      <c r="F1678" s="12">
        <v>0</v>
      </c>
    </row>
    <row r="1679" spans="3:6">
      <c r="C1679" s="12"/>
      <c r="D1679" s="12"/>
      <c r="E1679" t="b">
        <f t="shared" si="26"/>
        <v>1</v>
      </c>
      <c r="F1679" s="12">
        <v>0</v>
      </c>
    </row>
    <row r="1680" spans="3:6">
      <c r="C1680" s="12"/>
      <c r="D1680" s="12"/>
      <c r="E1680" t="b">
        <f t="shared" si="26"/>
        <v>1</v>
      </c>
      <c r="F1680" s="12">
        <v>0</v>
      </c>
    </row>
    <row r="1681" spans="3:6">
      <c r="C1681" s="12"/>
      <c r="D1681" s="12"/>
      <c r="E1681" t="b">
        <f t="shared" si="26"/>
        <v>1</v>
      </c>
      <c r="F1681" s="12">
        <v>0</v>
      </c>
    </row>
    <row r="1682" spans="3:6">
      <c r="C1682" s="12"/>
      <c r="D1682" s="12"/>
      <c r="E1682" t="b">
        <f t="shared" si="26"/>
        <v>1</v>
      </c>
      <c r="F1682" s="12">
        <v>0</v>
      </c>
    </row>
    <row r="1683" spans="3:6">
      <c r="C1683" s="12"/>
      <c r="D1683" s="12"/>
      <c r="E1683" t="b">
        <f t="shared" si="26"/>
        <v>1</v>
      </c>
      <c r="F1683" s="12">
        <v>0</v>
      </c>
    </row>
    <row r="1684" spans="3:6">
      <c r="C1684" s="12"/>
      <c r="D1684" s="12"/>
      <c r="E1684" t="b">
        <f t="shared" si="26"/>
        <v>1</v>
      </c>
      <c r="F1684" s="12">
        <v>0</v>
      </c>
    </row>
    <row r="1685" spans="3:6">
      <c r="C1685" s="12"/>
      <c r="D1685" s="12"/>
      <c r="E1685" t="b">
        <f t="shared" si="26"/>
        <v>1</v>
      </c>
      <c r="F1685" s="12">
        <v>0</v>
      </c>
    </row>
    <row r="1686" spans="3:6">
      <c r="C1686" s="12"/>
      <c r="D1686" s="12"/>
      <c r="E1686" t="b">
        <f t="shared" si="26"/>
        <v>1</v>
      </c>
      <c r="F1686" s="12">
        <v>0</v>
      </c>
    </row>
    <row r="1687" spans="3:6">
      <c r="C1687" s="12"/>
      <c r="D1687" s="12"/>
      <c r="E1687" t="b">
        <f t="shared" si="26"/>
        <v>1</v>
      </c>
      <c r="F1687" s="12">
        <v>0</v>
      </c>
    </row>
    <row r="1688" spans="3:6">
      <c r="C1688" s="12"/>
      <c r="D1688" s="12"/>
      <c r="E1688" t="b">
        <f t="shared" si="26"/>
        <v>1</v>
      </c>
      <c r="F1688" s="12">
        <v>0</v>
      </c>
    </row>
    <row r="1689" spans="3:6">
      <c r="C1689" s="12"/>
      <c r="D1689" s="12"/>
      <c r="E1689" t="b">
        <f t="shared" si="26"/>
        <v>1</v>
      </c>
      <c r="F1689" s="12">
        <v>0</v>
      </c>
    </row>
    <row r="1690" spans="3:6">
      <c r="C1690" s="12"/>
      <c r="D1690" s="12"/>
      <c r="E1690" t="b">
        <f t="shared" si="26"/>
        <v>1</v>
      </c>
      <c r="F1690" s="12">
        <v>0</v>
      </c>
    </row>
    <row r="1691" spans="3:6">
      <c r="C1691" s="12"/>
      <c r="D1691" s="12"/>
      <c r="E1691" t="b">
        <f t="shared" si="26"/>
        <v>1</v>
      </c>
      <c r="F1691" s="12">
        <v>0</v>
      </c>
    </row>
    <row r="1692" spans="3:6">
      <c r="C1692" s="12"/>
      <c r="D1692" s="12"/>
      <c r="E1692" t="b">
        <f t="shared" si="26"/>
        <v>1</v>
      </c>
      <c r="F1692" s="12">
        <v>0</v>
      </c>
    </row>
    <row r="1693" spans="3:6">
      <c r="C1693" s="12"/>
      <c r="D1693" s="12"/>
      <c r="E1693" t="b">
        <f t="shared" si="26"/>
        <v>1</v>
      </c>
      <c r="F1693" s="12">
        <v>0</v>
      </c>
    </row>
    <row r="1694" spans="3:6">
      <c r="C1694" s="12"/>
      <c r="D1694" s="12"/>
      <c r="E1694" t="b">
        <f t="shared" si="26"/>
        <v>1</v>
      </c>
      <c r="F1694" s="12">
        <v>0</v>
      </c>
    </row>
    <row r="1695" spans="3:6">
      <c r="C1695" s="12"/>
      <c r="D1695" s="12"/>
      <c r="E1695" t="b">
        <f t="shared" si="26"/>
        <v>1</v>
      </c>
      <c r="F1695" s="12">
        <v>0</v>
      </c>
    </row>
    <row r="1696" spans="3:6">
      <c r="C1696" s="12"/>
      <c r="D1696" s="12"/>
      <c r="E1696" t="b">
        <f t="shared" si="26"/>
        <v>1</v>
      </c>
      <c r="F1696" s="12">
        <v>0</v>
      </c>
    </row>
    <row r="1697" spans="3:6">
      <c r="C1697" s="12"/>
      <c r="D1697" s="12"/>
      <c r="E1697" t="b">
        <f t="shared" si="26"/>
        <v>1</v>
      </c>
      <c r="F1697" s="12">
        <v>0</v>
      </c>
    </row>
    <row r="1698" spans="3:6">
      <c r="C1698" s="12"/>
      <c r="D1698" s="12"/>
      <c r="E1698" t="b">
        <f t="shared" si="26"/>
        <v>1</v>
      </c>
      <c r="F1698" s="12">
        <v>0</v>
      </c>
    </row>
    <row r="1699" spans="3:6">
      <c r="C1699" s="12"/>
      <c r="D1699" s="12"/>
      <c r="E1699" t="b">
        <f t="shared" si="26"/>
        <v>1</v>
      </c>
      <c r="F1699" s="12">
        <v>0</v>
      </c>
    </row>
    <row r="1700" spans="3:6">
      <c r="C1700" s="12"/>
      <c r="D1700" s="12"/>
      <c r="E1700" t="b">
        <f t="shared" si="26"/>
        <v>1</v>
      </c>
      <c r="F1700" s="12">
        <v>0</v>
      </c>
    </row>
    <row r="1701" spans="3:6">
      <c r="C1701" s="12"/>
      <c r="D1701" s="12"/>
      <c r="E1701" t="b">
        <f t="shared" si="26"/>
        <v>1</v>
      </c>
      <c r="F1701" s="12">
        <v>0</v>
      </c>
    </row>
    <row r="1702" spans="3:6">
      <c r="C1702" s="12"/>
      <c r="D1702" s="12"/>
      <c r="E1702" t="b">
        <f t="shared" si="26"/>
        <v>1</v>
      </c>
      <c r="F1702" s="12">
        <v>0</v>
      </c>
    </row>
    <row r="1703" spans="3:6">
      <c r="C1703" s="12"/>
      <c r="D1703" s="12"/>
      <c r="E1703" t="b">
        <f t="shared" si="26"/>
        <v>1</v>
      </c>
      <c r="F1703" s="12">
        <v>0</v>
      </c>
    </row>
    <row r="1704" spans="3:6">
      <c r="C1704" s="12"/>
      <c r="D1704" s="12"/>
      <c r="E1704" t="b">
        <f t="shared" si="26"/>
        <v>1</v>
      </c>
      <c r="F1704" s="12">
        <v>0</v>
      </c>
    </row>
    <row r="1705" spans="3:6">
      <c r="C1705" s="12"/>
      <c r="D1705" s="12"/>
      <c r="E1705" t="b">
        <f t="shared" si="26"/>
        <v>1</v>
      </c>
      <c r="F1705" s="12">
        <v>0</v>
      </c>
    </row>
    <row r="1706" spans="3:6">
      <c r="C1706" s="12"/>
      <c r="D1706" s="12"/>
      <c r="E1706" t="b">
        <f t="shared" si="26"/>
        <v>1</v>
      </c>
      <c r="F1706" s="12">
        <v>0</v>
      </c>
    </row>
    <row r="1707" spans="3:6">
      <c r="C1707" s="12"/>
      <c r="D1707" s="12"/>
      <c r="E1707" t="b">
        <f t="shared" si="26"/>
        <v>1</v>
      </c>
      <c r="F1707" s="12">
        <v>0</v>
      </c>
    </row>
    <row r="1708" spans="3:6">
      <c r="C1708" s="12"/>
      <c r="D1708" s="12"/>
      <c r="E1708" t="b">
        <f t="shared" si="26"/>
        <v>1</v>
      </c>
      <c r="F1708" s="12">
        <v>0</v>
      </c>
    </row>
    <row r="1709" spans="3:6">
      <c r="C1709" s="12"/>
      <c r="D1709" s="12"/>
      <c r="E1709" t="b">
        <f t="shared" si="26"/>
        <v>1</v>
      </c>
      <c r="F1709" s="12">
        <v>0</v>
      </c>
    </row>
    <row r="1710" spans="3:6">
      <c r="C1710" s="12"/>
      <c r="D1710" s="12"/>
      <c r="E1710" t="b">
        <f t="shared" si="26"/>
        <v>1</v>
      </c>
      <c r="F1710" s="12">
        <v>0</v>
      </c>
    </row>
    <row r="1711" spans="3:6">
      <c r="C1711" s="12"/>
      <c r="D1711" s="12"/>
      <c r="E1711" t="b">
        <f t="shared" si="26"/>
        <v>1</v>
      </c>
      <c r="F1711" s="12">
        <v>0</v>
      </c>
    </row>
    <row r="1712" spans="3:6">
      <c r="C1712" s="12"/>
      <c r="D1712" s="12"/>
      <c r="E1712" t="b">
        <f t="shared" si="26"/>
        <v>1</v>
      </c>
      <c r="F1712" s="12">
        <v>0</v>
      </c>
    </row>
    <row r="1713" spans="3:6">
      <c r="C1713" s="12"/>
      <c r="D1713" s="12"/>
      <c r="E1713" t="b">
        <f t="shared" si="26"/>
        <v>1</v>
      </c>
      <c r="F1713" s="12">
        <v>0</v>
      </c>
    </row>
    <row r="1714" spans="3:6">
      <c r="C1714" s="12"/>
      <c r="D1714" s="12"/>
      <c r="E1714" t="b">
        <f t="shared" si="26"/>
        <v>1</v>
      </c>
      <c r="F1714" s="12">
        <v>0</v>
      </c>
    </row>
    <row r="1715" spans="3:6">
      <c r="C1715" s="12"/>
      <c r="D1715" s="12"/>
      <c r="E1715" t="b">
        <f t="shared" si="26"/>
        <v>1</v>
      </c>
      <c r="F1715" s="12">
        <v>0</v>
      </c>
    </row>
    <row r="1716" spans="3:6">
      <c r="C1716" s="12"/>
      <c r="D1716" s="12"/>
      <c r="E1716" t="b">
        <f t="shared" si="26"/>
        <v>1</v>
      </c>
      <c r="F1716" s="12">
        <v>0</v>
      </c>
    </row>
    <row r="1717" spans="3:6">
      <c r="C1717" s="12"/>
      <c r="D1717" s="12"/>
      <c r="E1717" t="b">
        <f t="shared" si="26"/>
        <v>1</v>
      </c>
      <c r="F1717" s="12">
        <v>0</v>
      </c>
    </row>
    <row r="1718" spans="3:6">
      <c r="C1718" s="12"/>
      <c r="D1718" s="12"/>
      <c r="E1718" t="b">
        <f t="shared" si="26"/>
        <v>1</v>
      </c>
      <c r="F1718" s="12">
        <v>0</v>
      </c>
    </row>
    <row r="1719" spans="3:6">
      <c r="C1719" s="12"/>
      <c r="D1719" s="12"/>
      <c r="E1719" t="b">
        <f t="shared" si="26"/>
        <v>1</v>
      </c>
      <c r="F1719" s="12">
        <v>0</v>
      </c>
    </row>
    <row r="1720" spans="3:6">
      <c r="C1720" s="12"/>
      <c r="D1720" s="12"/>
      <c r="E1720" t="b">
        <f t="shared" si="26"/>
        <v>1</v>
      </c>
      <c r="F1720" s="12">
        <v>0</v>
      </c>
    </row>
    <row r="1721" spans="3:6">
      <c r="C1721" s="12"/>
      <c r="D1721" s="12"/>
      <c r="E1721" t="b">
        <f t="shared" si="26"/>
        <v>1</v>
      </c>
      <c r="F1721" s="12">
        <v>0</v>
      </c>
    </row>
    <row r="1722" spans="3:6">
      <c r="C1722" s="12"/>
      <c r="D1722" s="12"/>
      <c r="E1722" t="b">
        <f t="shared" si="26"/>
        <v>1</v>
      </c>
      <c r="F1722" s="12">
        <v>0</v>
      </c>
    </row>
    <row r="1723" spans="3:6">
      <c r="C1723" s="12"/>
      <c r="D1723" s="12"/>
      <c r="E1723" t="b">
        <f t="shared" si="26"/>
        <v>1</v>
      </c>
      <c r="F1723" s="12">
        <v>0</v>
      </c>
    </row>
    <row r="1724" spans="3:6">
      <c r="C1724" s="12"/>
      <c r="D1724" s="12"/>
      <c r="E1724" t="b">
        <f t="shared" si="26"/>
        <v>1</v>
      </c>
      <c r="F1724" s="12">
        <v>0</v>
      </c>
    </row>
    <row r="1725" spans="3:6">
      <c r="C1725" s="12"/>
      <c r="D1725" s="12"/>
      <c r="E1725" t="b">
        <f t="shared" si="26"/>
        <v>1</v>
      </c>
      <c r="F1725" s="12">
        <v>0</v>
      </c>
    </row>
    <row r="1726" spans="3:6">
      <c r="C1726" s="12"/>
      <c r="D1726" s="12"/>
      <c r="E1726" t="b">
        <f t="shared" si="26"/>
        <v>1</v>
      </c>
      <c r="F1726" s="12">
        <v>0</v>
      </c>
    </row>
    <row r="1727" spans="3:6">
      <c r="C1727" s="12"/>
      <c r="D1727" s="12"/>
      <c r="E1727" t="b">
        <f t="shared" si="26"/>
        <v>1</v>
      </c>
      <c r="F1727" s="12">
        <v>0</v>
      </c>
    </row>
    <row r="1728" spans="3:6">
      <c r="C1728" s="12"/>
      <c r="D1728" s="12"/>
      <c r="E1728" t="b">
        <f t="shared" si="26"/>
        <v>1</v>
      </c>
      <c r="F1728" s="12">
        <v>0</v>
      </c>
    </row>
    <row r="1729" spans="3:6">
      <c r="C1729" s="12"/>
      <c r="D1729" s="12"/>
      <c r="E1729" t="b">
        <f t="shared" si="26"/>
        <v>1</v>
      </c>
      <c r="F1729" s="12">
        <v>0</v>
      </c>
    </row>
    <row r="1730" spans="3:6">
      <c r="C1730" s="12"/>
      <c r="D1730" s="12"/>
      <c r="E1730" t="b">
        <f t="shared" si="26"/>
        <v>1</v>
      </c>
      <c r="F1730" s="12">
        <v>0</v>
      </c>
    </row>
    <row r="1731" spans="3:6">
      <c r="C1731" s="12"/>
      <c r="D1731" s="12"/>
      <c r="E1731" t="b">
        <f t="shared" ref="E1731:E1794" si="27">F1731=C1731</f>
        <v>1</v>
      </c>
      <c r="F1731" s="12">
        <v>0</v>
      </c>
    </row>
    <row r="1732" spans="3:6">
      <c r="C1732" s="12"/>
      <c r="D1732" s="12"/>
      <c r="E1732" t="b">
        <f t="shared" si="27"/>
        <v>1</v>
      </c>
      <c r="F1732" s="12">
        <v>0</v>
      </c>
    </row>
    <row r="1733" spans="3:6">
      <c r="C1733" s="12"/>
      <c r="D1733" s="12"/>
      <c r="E1733" t="b">
        <f t="shared" si="27"/>
        <v>1</v>
      </c>
      <c r="F1733" s="12">
        <v>0</v>
      </c>
    </row>
    <row r="1734" spans="3:6">
      <c r="C1734" s="12"/>
      <c r="D1734" s="12"/>
      <c r="E1734" t="b">
        <f t="shared" si="27"/>
        <v>1</v>
      </c>
      <c r="F1734" s="12">
        <v>0</v>
      </c>
    </row>
    <row r="1735" spans="3:6">
      <c r="C1735" s="12"/>
      <c r="D1735" s="12"/>
      <c r="E1735" t="b">
        <f t="shared" si="27"/>
        <v>1</v>
      </c>
      <c r="F1735" s="12">
        <v>0</v>
      </c>
    </row>
    <row r="1736" spans="3:6">
      <c r="C1736" s="12"/>
      <c r="D1736" s="12"/>
      <c r="E1736" t="b">
        <f t="shared" si="27"/>
        <v>1</v>
      </c>
      <c r="F1736" s="12">
        <v>0</v>
      </c>
    </row>
    <row r="1737" spans="3:6">
      <c r="C1737" s="12"/>
      <c r="D1737" s="12"/>
      <c r="E1737" t="b">
        <f t="shared" si="27"/>
        <v>1</v>
      </c>
      <c r="F1737" s="12">
        <v>0</v>
      </c>
    </row>
    <row r="1738" spans="3:6">
      <c r="C1738" s="12"/>
      <c r="D1738" s="12"/>
      <c r="E1738" t="b">
        <f t="shared" si="27"/>
        <v>1</v>
      </c>
      <c r="F1738" s="12">
        <v>0</v>
      </c>
    </row>
    <row r="1739" spans="3:6">
      <c r="C1739" s="12"/>
      <c r="D1739" s="12"/>
      <c r="E1739" t="b">
        <f t="shared" si="27"/>
        <v>1</v>
      </c>
      <c r="F1739" s="12">
        <v>0</v>
      </c>
    </row>
    <row r="1740" spans="3:6">
      <c r="C1740" s="12"/>
      <c r="D1740" s="12"/>
      <c r="E1740" t="b">
        <f t="shared" si="27"/>
        <v>1</v>
      </c>
      <c r="F1740" s="12">
        <v>0</v>
      </c>
    </row>
    <row r="1741" spans="3:6">
      <c r="C1741" s="12"/>
      <c r="D1741" s="12"/>
      <c r="E1741" t="b">
        <f t="shared" si="27"/>
        <v>1</v>
      </c>
      <c r="F1741" s="12">
        <v>0</v>
      </c>
    </row>
    <row r="1742" spans="3:6">
      <c r="C1742" s="12"/>
      <c r="D1742" s="12"/>
      <c r="E1742" t="b">
        <f t="shared" si="27"/>
        <v>1</v>
      </c>
      <c r="F1742" s="12">
        <v>0</v>
      </c>
    </row>
    <row r="1743" spans="3:6">
      <c r="C1743" s="12"/>
      <c r="D1743" s="12"/>
      <c r="E1743" t="b">
        <f t="shared" si="27"/>
        <v>1</v>
      </c>
      <c r="F1743" s="12">
        <v>0</v>
      </c>
    </row>
    <row r="1744" spans="3:6">
      <c r="C1744" s="12"/>
      <c r="D1744" s="12"/>
      <c r="E1744" t="b">
        <f t="shared" si="27"/>
        <v>1</v>
      </c>
      <c r="F1744" s="12">
        <v>0</v>
      </c>
    </row>
    <row r="1745" spans="3:6">
      <c r="C1745" s="12"/>
      <c r="D1745" s="12"/>
      <c r="E1745" t="b">
        <f t="shared" si="27"/>
        <v>1</v>
      </c>
      <c r="F1745" s="12">
        <v>0</v>
      </c>
    </row>
    <row r="1746" spans="3:6">
      <c r="C1746" s="12"/>
      <c r="D1746" s="12"/>
      <c r="E1746" t="b">
        <f t="shared" si="27"/>
        <v>1</v>
      </c>
      <c r="F1746" s="12">
        <v>0</v>
      </c>
    </row>
    <row r="1747" spans="3:6">
      <c r="C1747" s="12"/>
      <c r="D1747" s="12"/>
      <c r="E1747" t="b">
        <f t="shared" si="27"/>
        <v>1</v>
      </c>
      <c r="F1747" s="12">
        <v>0</v>
      </c>
    </row>
    <row r="1748" spans="3:6">
      <c r="C1748" s="12"/>
      <c r="D1748" s="12"/>
      <c r="E1748" t="b">
        <f t="shared" si="27"/>
        <v>1</v>
      </c>
      <c r="F1748" s="12">
        <v>0</v>
      </c>
    </row>
    <row r="1749" spans="3:6">
      <c r="C1749" s="12"/>
      <c r="D1749" s="12"/>
      <c r="E1749" t="b">
        <f t="shared" si="27"/>
        <v>1</v>
      </c>
      <c r="F1749" s="12">
        <v>0</v>
      </c>
    </row>
    <row r="1750" spans="3:6">
      <c r="C1750" s="12"/>
      <c r="D1750" s="12"/>
      <c r="E1750" t="b">
        <f t="shared" si="27"/>
        <v>1</v>
      </c>
      <c r="F1750" s="12">
        <v>0</v>
      </c>
    </row>
    <row r="1751" spans="3:6">
      <c r="C1751" s="12"/>
      <c r="D1751" s="12"/>
      <c r="E1751" t="b">
        <f t="shared" si="27"/>
        <v>1</v>
      </c>
      <c r="F1751" s="12">
        <v>0</v>
      </c>
    </row>
    <row r="1752" spans="3:6">
      <c r="C1752" s="12"/>
      <c r="D1752" s="12"/>
      <c r="E1752" t="b">
        <f t="shared" si="27"/>
        <v>1</v>
      </c>
      <c r="F1752" s="12">
        <v>0</v>
      </c>
    </row>
    <row r="1753" spans="3:6">
      <c r="C1753" s="12"/>
      <c r="D1753" s="12"/>
      <c r="E1753" t="b">
        <f t="shared" si="27"/>
        <v>1</v>
      </c>
      <c r="F1753" s="12">
        <v>0</v>
      </c>
    </row>
    <row r="1754" spans="3:6">
      <c r="C1754" s="12"/>
      <c r="D1754" s="12"/>
      <c r="E1754" t="b">
        <f t="shared" si="27"/>
        <v>1</v>
      </c>
      <c r="F1754" s="12">
        <v>0</v>
      </c>
    </row>
    <row r="1755" spans="3:6">
      <c r="C1755" s="12"/>
      <c r="D1755" s="12"/>
      <c r="E1755" t="b">
        <f t="shared" si="27"/>
        <v>1</v>
      </c>
      <c r="F1755" s="12">
        <v>0</v>
      </c>
    </row>
    <row r="1756" spans="3:6">
      <c r="C1756" s="12"/>
      <c r="D1756" s="12"/>
      <c r="E1756" t="b">
        <f t="shared" si="27"/>
        <v>1</v>
      </c>
      <c r="F1756" s="12">
        <v>0</v>
      </c>
    </row>
    <row r="1757" spans="3:6">
      <c r="C1757" s="12"/>
      <c r="D1757" s="12"/>
      <c r="E1757" t="b">
        <f t="shared" si="27"/>
        <v>1</v>
      </c>
      <c r="F1757" s="12">
        <v>0</v>
      </c>
    </row>
    <row r="1758" spans="3:6">
      <c r="C1758" s="12"/>
      <c r="D1758" s="12"/>
      <c r="E1758" t="b">
        <f t="shared" si="27"/>
        <v>1</v>
      </c>
      <c r="F1758" s="12">
        <v>0</v>
      </c>
    </row>
    <row r="1759" spans="3:6">
      <c r="C1759" s="12"/>
      <c r="D1759" s="12"/>
      <c r="E1759" t="b">
        <f t="shared" si="27"/>
        <v>1</v>
      </c>
      <c r="F1759" s="12">
        <v>0</v>
      </c>
    </row>
    <row r="1760" spans="3:6">
      <c r="C1760" s="12"/>
      <c r="D1760" s="12"/>
      <c r="E1760" t="b">
        <f t="shared" si="27"/>
        <v>1</v>
      </c>
      <c r="F1760" s="12">
        <v>0</v>
      </c>
    </row>
    <row r="1761" spans="3:6">
      <c r="C1761" s="12"/>
      <c r="D1761" s="12"/>
      <c r="E1761" t="b">
        <f t="shared" si="27"/>
        <v>1</v>
      </c>
      <c r="F1761" s="12">
        <v>0</v>
      </c>
    </row>
    <row r="1762" spans="3:6">
      <c r="C1762" s="12"/>
      <c r="D1762" s="12"/>
      <c r="E1762" t="b">
        <f t="shared" si="27"/>
        <v>1</v>
      </c>
      <c r="F1762" s="12">
        <v>0</v>
      </c>
    </row>
    <row r="1763" spans="3:6">
      <c r="C1763" s="12"/>
      <c r="D1763" s="12"/>
      <c r="E1763" t="b">
        <f t="shared" si="27"/>
        <v>1</v>
      </c>
      <c r="F1763" s="12">
        <v>0</v>
      </c>
    </row>
    <row r="1764" spans="3:6">
      <c r="C1764" s="12"/>
      <c r="D1764" s="12"/>
      <c r="E1764" t="b">
        <f t="shared" si="27"/>
        <v>1</v>
      </c>
      <c r="F1764" s="12">
        <v>0</v>
      </c>
    </row>
    <row r="1765" spans="3:6">
      <c r="C1765" s="12"/>
      <c r="D1765" s="12"/>
      <c r="E1765" t="b">
        <f t="shared" si="27"/>
        <v>1</v>
      </c>
      <c r="F1765" s="12">
        <v>0</v>
      </c>
    </row>
    <row r="1766" spans="3:6">
      <c r="C1766" s="12"/>
      <c r="D1766" s="12"/>
      <c r="E1766" t="b">
        <f t="shared" si="27"/>
        <v>1</v>
      </c>
      <c r="F1766" s="12">
        <v>0</v>
      </c>
    </row>
    <row r="1767" spans="3:6">
      <c r="C1767" s="12"/>
      <c r="D1767" s="12"/>
      <c r="E1767" t="b">
        <f t="shared" si="27"/>
        <v>1</v>
      </c>
      <c r="F1767" s="12">
        <v>0</v>
      </c>
    </row>
    <row r="1768" spans="3:6">
      <c r="C1768" s="12"/>
      <c r="D1768" s="12"/>
      <c r="E1768" t="b">
        <f t="shared" si="27"/>
        <v>1</v>
      </c>
      <c r="F1768" s="12">
        <v>0</v>
      </c>
    </row>
    <row r="1769" spans="3:6">
      <c r="C1769" s="12"/>
      <c r="D1769" s="12"/>
      <c r="E1769" t="b">
        <f t="shared" si="27"/>
        <v>1</v>
      </c>
      <c r="F1769" s="12">
        <v>0</v>
      </c>
    </row>
    <row r="1770" spans="3:6">
      <c r="C1770" s="12"/>
      <c r="D1770" s="12"/>
      <c r="E1770" t="b">
        <f t="shared" si="27"/>
        <v>1</v>
      </c>
      <c r="F1770" s="12">
        <v>0</v>
      </c>
    </row>
    <row r="1771" spans="3:6">
      <c r="C1771" s="12"/>
      <c r="D1771" s="12"/>
      <c r="E1771" t="b">
        <f t="shared" si="27"/>
        <v>1</v>
      </c>
      <c r="F1771" s="12">
        <v>0</v>
      </c>
    </row>
    <row r="1772" spans="3:6">
      <c r="C1772" s="12"/>
      <c r="D1772" s="12"/>
      <c r="E1772" t="b">
        <f t="shared" si="27"/>
        <v>1</v>
      </c>
      <c r="F1772" s="12">
        <v>0</v>
      </c>
    </row>
    <row r="1773" spans="3:6">
      <c r="C1773" s="12"/>
      <c r="D1773" s="12"/>
      <c r="E1773" t="b">
        <f t="shared" si="27"/>
        <v>1</v>
      </c>
      <c r="F1773" s="12">
        <v>0</v>
      </c>
    </row>
    <row r="1774" spans="3:6">
      <c r="C1774" s="12"/>
      <c r="D1774" s="12"/>
      <c r="E1774" t="b">
        <f t="shared" si="27"/>
        <v>1</v>
      </c>
      <c r="F1774" s="12">
        <v>0</v>
      </c>
    </row>
    <row r="1775" spans="3:6">
      <c r="C1775" s="12"/>
      <c r="D1775" s="12"/>
      <c r="E1775" t="b">
        <f t="shared" si="27"/>
        <v>1</v>
      </c>
      <c r="F1775" s="12">
        <v>0</v>
      </c>
    </row>
    <row r="1776" spans="3:6">
      <c r="C1776" s="12"/>
      <c r="D1776" s="12"/>
      <c r="E1776" t="b">
        <f t="shared" si="27"/>
        <v>1</v>
      </c>
      <c r="F1776" s="12">
        <v>0</v>
      </c>
    </row>
    <row r="1777" spans="3:6">
      <c r="C1777" s="12"/>
      <c r="D1777" s="12"/>
      <c r="E1777" t="b">
        <f t="shared" si="27"/>
        <v>1</v>
      </c>
      <c r="F1777" s="12">
        <v>0</v>
      </c>
    </row>
    <row r="1778" spans="3:6">
      <c r="C1778" s="12"/>
      <c r="D1778" s="12"/>
      <c r="E1778" t="b">
        <f t="shared" si="27"/>
        <v>1</v>
      </c>
      <c r="F1778" s="12">
        <v>0</v>
      </c>
    </row>
    <row r="1779" spans="3:6">
      <c r="C1779" s="12"/>
      <c r="D1779" s="12"/>
      <c r="E1779" t="b">
        <f t="shared" si="27"/>
        <v>1</v>
      </c>
      <c r="F1779" s="12">
        <v>0</v>
      </c>
    </row>
    <row r="1780" spans="3:6">
      <c r="C1780" s="12"/>
      <c r="D1780" s="12"/>
      <c r="E1780" t="b">
        <f t="shared" si="27"/>
        <v>1</v>
      </c>
      <c r="F1780" s="12">
        <v>0</v>
      </c>
    </row>
    <row r="1781" spans="3:6">
      <c r="C1781" s="12"/>
      <c r="D1781" s="12"/>
      <c r="E1781" t="b">
        <f t="shared" si="27"/>
        <v>1</v>
      </c>
      <c r="F1781" s="12">
        <v>0</v>
      </c>
    </row>
    <row r="1782" spans="3:6">
      <c r="C1782" s="12"/>
      <c r="D1782" s="12"/>
      <c r="E1782" t="b">
        <f t="shared" si="27"/>
        <v>1</v>
      </c>
      <c r="F1782" s="12">
        <v>0</v>
      </c>
    </row>
    <row r="1783" spans="3:6">
      <c r="C1783" s="12"/>
      <c r="D1783" s="12"/>
      <c r="E1783" t="b">
        <f t="shared" si="27"/>
        <v>1</v>
      </c>
      <c r="F1783" s="12">
        <v>0</v>
      </c>
    </row>
    <row r="1784" spans="3:6">
      <c r="C1784" s="12"/>
      <c r="D1784" s="12"/>
      <c r="E1784" t="b">
        <f t="shared" si="27"/>
        <v>1</v>
      </c>
      <c r="F1784" s="12">
        <v>0</v>
      </c>
    </row>
    <row r="1785" spans="3:6">
      <c r="C1785" s="12"/>
      <c r="D1785" s="12"/>
      <c r="E1785" t="b">
        <f t="shared" si="27"/>
        <v>1</v>
      </c>
      <c r="F1785" s="12">
        <v>0</v>
      </c>
    </row>
    <row r="1786" spans="3:6">
      <c r="C1786" s="12"/>
      <c r="D1786" s="12"/>
      <c r="E1786" t="b">
        <f t="shared" si="27"/>
        <v>1</v>
      </c>
      <c r="F1786" s="12">
        <v>0</v>
      </c>
    </row>
    <row r="1787" spans="3:6">
      <c r="C1787" s="12"/>
      <c r="D1787" s="12"/>
      <c r="E1787" t="b">
        <f t="shared" si="27"/>
        <v>1</v>
      </c>
      <c r="F1787" s="12">
        <v>0</v>
      </c>
    </row>
    <row r="1788" spans="3:6">
      <c r="C1788" s="12"/>
      <c r="D1788" s="12"/>
      <c r="E1788" t="b">
        <f t="shared" si="27"/>
        <v>1</v>
      </c>
      <c r="F1788" s="12">
        <v>0</v>
      </c>
    </row>
    <row r="1789" spans="3:6">
      <c r="C1789" s="12"/>
      <c r="D1789" s="12"/>
      <c r="E1789" t="b">
        <f t="shared" si="27"/>
        <v>1</v>
      </c>
      <c r="F1789" s="12">
        <v>0</v>
      </c>
    </row>
    <row r="1790" spans="3:6">
      <c r="C1790" s="12"/>
      <c r="D1790" s="12"/>
      <c r="E1790" t="b">
        <f t="shared" si="27"/>
        <v>1</v>
      </c>
      <c r="F1790" s="12">
        <v>0</v>
      </c>
    </row>
    <row r="1791" spans="3:6">
      <c r="C1791" s="12"/>
      <c r="D1791" s="12"/>
      <c r="E1791" t="b">
        <f t="shared" si="27"/>
        <v>1</v>
      </c>
      <c r="F1791" s="12">
        <v>0</v>
      </c>
    </row>
    <row r="1792" spans="3:6">
      <c r="C1792" s="12"/>
      <c r="D1792" s="12"/>
      <c r="E1792" t="b">
        <f t="shared" si="27"/>
        <v>1</v>
      </c>
      <c r="F1792" s="12">
        <v>0</v>
      </c>
    </row>
    <row r="1793" spans="3:6">
      <c r="C1793" s="12"/>
      <c r="D1793" s="12"/>
      <c r="E1793" t="b">
        <f t="shared" si="27"/>
        <v>1</v>
      </c>
      <c r="F1793" s="12">
        <v>0</v>
      </c>
    </row>
    <row r="1794" spans="3:6">
      <c r="C1794" s="12"/>
      <c r="D1794" s="12"/>
      <c r="E1794" t="b">
        <f t="shared" si="27"/>
        <v>1</v>
      </c>
      <c r="F1794" s="12">
        <v>0</v>
      </c>
    </row>
    <row r="1795" spans="3:6">
      <c r="C1795" s="12"/>
      <c r="D1795" s="12"/>
      <c r="E1795" t="b">
        <f t="shared" ref="E1795:E1858" si="28">F1795=C1795</f>
        <v>1</v>
      </c>
      <c r="F1795" s="12">
        <v>0</v>
      </c>
    </row>
    <row r="1796" spans="3:6">
      <c r="C1796" s="12"/>
      <c r="D1796" s="12"/>
      <c r="E1796" t="b">
        <f t="shared" si="28"/>
        <v>1</v>
      </c>
      <c r="F1796" s="12">
        <v>0</v>
      </c>
    </row>
    <row r="1797" spans="3:6">
      <c r="C1797" s="12"/>
      <c r="D1797" s="12"/>
      <c r="E1797" t="b">
        <f t="shared" si="28"/>
        <v>1</v>
      </c>
      <c r="F1797" s="12">
        <v>0</v>
      </c>
    </row>
    <row r="1798" spans="3:6">
      <c r="C1798" s="12"/>
      <c r="D1798" s="12"/>
      <c r="E1798" t="b">
        <f t="shared" si="28"/>
        <v>1</v>
      </c>
      <c r="F1798" s="12">
        <v>0</v>
      </c>
    </row>
    <row r="1799" spans="3:6">
      <c r="C1799" s="12"/>
      <c r="D1799" s="12"/>
      <c r="E1799" t="b">
        <f t="shared" si="28"/>
        <v>1</v>
      </c>
      <c r="F1799" s="12">
        <v>0</v>
      </c>
    </row>
    <row r="1800" spans="3:6">
      <c r="C1800" s="12"/>
      <c r="D1800" s="12"/>
      <c r="E1800" t="b">
        <f t="shared" si="28"/>
        <v>1</v>
      </c>
      <c r="F1800" s="12">
        <v>0</v>
      </c>
    </row>
    <row r="1801" spans="3:6">
      <c r="C1801" s="12"/>
      <c r="D1801" s="12"/>
      <c r="E1801" t="b">
        <f t="shared" si="28"/>
        <v>1</v>
      </c>
      <c r="F1801" s="12">
        <v>0</v>
      </c>
    </row>
    <row r="1802" spans="3:6">
      <c r="C1802" s="12"/>
      <c r="D1802" s="12"/>
      <c r="E1802" t="b">
        <f t="shared" si="28"/>
        <v>1</v>
      </c>
      <c r="F1802" s="12">
        <v>0</v>
      </c>
    </row>
    <row r="1803" spans="3:6">
      <c r="C1803" s="12"/>
      <c r="D1803" s="12"/>
      <c r="E1803" t="b">
        <f t="shared" si="28"/>
        <v>1</v>
      </c>
      <c r="F1803" s="12">
        <v>0</v>
      </c>
    </row>
    <row r="1804" spans="3:6">
      <c r="C1804" s="12"/>
      <c r="D1804" s="12"/>
      <c r="E1804" t="b">
        <f t="shared" si="28"/>
        <v>1</v>
      </c>
      <c r="F1804" s="12">
        <v>0</v>
      </c>
    </row>
    <row r="1805" spans="3:6">
      <c r="C1805" s="12"/>
      <c r="D1805" s="12"/>
      <c r="E1805" t="b">
        <f t="shared" si="28"/>
        <v>1</v>
      </c>
      <c r="F1805" s="12">
        <v>0</v>
      </c>
    </row>
    <row r="1806" spans="3:6">
      <c r="C1806" s="12"/>
      <c r="D1806" s="12"/>
      <c r="E1806" t="b">
        <f t="shared" si="28"/>
        <v>1</v>
      </c>
      <c r="F1806" s="12">
        <v>0</v>
      </c>
    </row>
    <row r="1807" spans="3:6">
      <c r="C1807" s="12"/>
      <c r="D1807" s="12"/>
      <c r="E1807" t="b">
        <f t="shared" si="28"/>
        <v>1</v>
      </c>
      <c r="F1807" s="12">
        <v>0</v>
      </c>
    </row>
    <row r="1808" spans="3:6">
      <c r="C1808" s="12"/>
      <c r="D1808" s="12"/>
      <c r="E1808" t="b">
        <f t="shared" si="28"/>
        <v>1</v>
      </c>
      <c r="F1808" s="12">
        <v>0</v>
      </c>
    </row>
    <row r="1809" spans="3:6">
      <c r="C1809" s="12"/>
      <c r="D1809" s="12"/>
      <c r="E1809" t="b">
        <f t="shared" si="28"/>
        <v>1</v>
      </c>
      <c r="F1809" s="12">
        <v>0</v>
      </c>
    </row>
    <row r="1810" spans="3:6">
      <c r="C1810" s="12"/>
      <c r="D1810" s="12"/>
      <c r="E1810" t="b">
        <f t="shared" si="28"/>
        <v>1</v>
      </c>
      <c r="F1810" s="12">
        <v>0</v>
      </c>
    </row>
    <row r="1811" spans="3:6">
      <c r="C1811" s="12"/>
      <c r="D1811" s="12"/>
      <c r="E1811" t="b">
        <f t="shared" si="28"/>
        <v>1</v>
      </c>
      <c r="F1811" s="12">
        <v>0</v>
      </c>
    </row>
    <row r="1812" spans="3:6">
      <c r="C1812" s="12"/>
      <c r="D1812" s="12"/>
      <c r="E1812" t="b">
        <f t="shared" si="28"/>
        <v>1</v>
      </c>
      <c r="F1812" s="12">
        <v>0</v>
      </c>
    </row>
    <row r="1813" spans="3:6">
      <c r="C1813" s="12"/>
      <c r="D1813" s="12"/>
      <c r="E1813" t="b">
        <f t="shared" si="28"/>
        <v>1</v>
      </c>
      <c r="F1813" s="12">
        <v>0</v>
      </c>
    </row>
    <row r="1814" spans="3:6">
      <c r="C1814" s="12"/>
      <c r="D1814" s="12"/>
      <c r="E1814" t="b">
        <f t="shared" si="28"/>
        <v>1</v>
      </c>
      <c r="F1814" s="12">
        <v>0</v>
      </c>
    </row>
    <row r="1815" spans="3:6">
      <c r="C1815" s="12"/>
      <c r="D1815" s="12"/>
      <c r="E1815" t="b">
        <f t="shared" si="28"/>
        <v>1</v>
      </c>
      <c r="F1815" s="12">
        <v>0</v>
      </c>
    </row>
    <row r="1816" spans="3:6">
      <c r="C1816" s="12"/>
      <c r="D1816" s="12"/>
      <c r="E1816" t="b">
        <f t="shared" si="28"/>
        <v>1</v>
      </c>
      <c r="F1816" s="12">
        <v>0</v>
      </c>
    </row>
    <row r="1817" spans="3:6">
      <c r="C1817" s="12"/>
      <c r="D1817" s="12"/>
      <c r="E1817" t="b">
        <f t="shared" si="28"/>
        <v>1</v>
      </c>
      <c r="F1817" s="12">
        <v>0</v>
      </c>
    </row>
    <row r="1818" spans="3:6">
      <c r="C1818" s="12"/>
      <c r="D1818" s="12"/>
      <c r="E1818" t="b">
        <f t="shared" si="28"/>
        <v>1</v>
      </c>
      <c r="F1818" s="12">
        <v>0</v>
      </c>
    </row>
    <row r="1819" spans="3:6">
      <c r="C1819" s="12"/>
      <c r="D1819" s="12"/>
      <c r="E1819" t="b">
        <f t="shared" si="28"/>
        <v>1</v>
      </c>
      <c r="F1819" s="12">
        <v>0</v>
      </c>
    </row>
    <row r="1820" spans="3:6">
      <c r="C1820" s="12"/>
      <c r="D1820" s="12"/>
      <c r="E1820" t="b">
        <f t="shared" si="28"/>
        <v>1</v>
      </c>
      <c r="F1820" s="12">
        <v>0</v>
      </c>
    </row>
    <row r="1821" spans="3:6">
      <c r="C1821" s="12"/>
      <c r="D1821" s="12"/>
      <c r="E1821" t="b">
        <f t="shared" si="28"/>
        <v>1</v>
      </c>
      <c r="F1821" s="12">
        <v>0</v>
      </c>
    </row>
    <row r="1822" spans="3:6">
      <c r="C1822" s="12"/>
      <c r="D1822" s="12"/>
      <c r="E1822" t="b">
        <f t="shared" si="28"/>
        <v>1</v>
      </c>
      <c r="F1822" s="12">
        <v>0</v>
      </c>
    </row>
    <row r="1823" spans="3:6">
      <c r="C1823" s="12"/>
      <c r="D1823" s="12"/>
      <c r="E1823" t="b">
        <f t="shared" si="28"/>
        <v>1</v>
      </c>
      <c r="F1823" s="12">
        <v>0</v>
      </c>
    </row>
    <row r="1824" spans="3:6">
      <c r="C1824" s="12"/>
      <c r="D1824" s="12"/>
      <c r="E1824" t="b">
        <f t="shared" si="28"/>
        <v>1</v>
      </c>
      <c r="F1824" s="12">
        <v>0</v>
      </c>
    </row>
    <row r="1825" spans="3:6">
      <c r="C1825" s="12"/>
      <c r="D1825" s="12"/>
      <c r="E1825" t="b">
        <f t="shared" si="28"/>
        <v>1</v>
      </c>
      <c r="F1825" s="12">
        <v>0</v>
      </c>
    </row>
    <row r="1826" spans="3:6">
      <c r="C1826" s="12"/>
      <c r="D1826" s="12"/>
      <c r="E1826" t="b">
        <f t="shared" si="28"/>
        <v>1</v>
      </c>
      <c r="F1826" s="12">
        <v>0</v>
      </c>
    </row>
    <row r="1827" spans="3:6">
      <c r="C1827" s="12"/>
      <c r="D1827" s="12"/>
      <c r="E1827" t="b">
        <f t="shared" si="28"/>
        <v>1</v>
      </c>
      <c r="F1827" s="12">
        <v>0</v>
      </c>
    </row>
    <row r="1828" spans="3:6">
      <c r="C1828" s="12"/>
      <c r="D1828" s="12"/>
      <c r="E1828" t="b">
        <f t="shared" si="28"/>
        <v>1</v>
      </c>
      <c r="F1828" s="12">
        <v>0</v>
      </c>
    </row>
    <row r="1829" spans="3:6">
      <c r="C1829" s="12"/>
      <c r="D1829" s="12"/>
      <c r="E1829" t="b">
        <f t="shared" si="28"/>
        <v>1</v>
      </c>
      <c r="F1829" s="12">
        <v>0</v>
      </c>
    </row>
    <row r="1830" spans="3:6">
      <c r="C1830" s="12"/>
      <c r="D1830" s="12"/>
      <c r="E1830" t="b">
        <f t="shared" si="28"/>
        <v>1</v>
      </c>
      <c r="F1830" s="12">
        <v>0</v>
      </c>
    </row>
    <row r="1831" spans="3:6">
      <c r="C1831" s="12"/>
      <c r="D1831" s="12"/>
      <c r="E1831" t="b">
        <f t="shared" si="28"/>
        <v>1</v>
      </c>
      <c r="F1831" s="12">
        <v>0</v>
      </c>
    </row>
    <row r="1832" spans="3:6">
      <c r="C1832" s="12"/>
      <c r="D1832" s="12"/>
      <c r="E1832" t="b">
        <f t="shared" si="28"/>
        <v>1</v>
      </c>
      <c r="F1832" s="12">
        <v>0</v>
      </c>
    </row>
    <row r="1833" spans="3:6">
      <c r="C1833" s="12"/>
      <c r="D1833" s="12"/>
      <c r="E1833" t="b">
        <f t="shared" si="28"/>
        <v>1</v>
      </c>
      <c r="F1833" s="12">
        <v>0</v>
      </c>
    </row>
    <row r="1834" spans="3:6">
      <c r="C1834" s="12"/>
      <c r="D1834" s="12"/>
      <c r="E1834" t="b">
        <f t="shared" si="28"/>
        <v>1</v>
      </c>
      <c r="F1834" s="12">
        <v>0</v>
      </c>
    </row>
    <row r="1835" spans="3:6">
      <c r="C1835" s="12"/>
      <c r="D1835" s="12"/>
      <c r="E1835" t="b">
        <f t="shared" si="28"/>
        <v>1</v>
      </c>
      <c r="F1835" s="12">
        <v>0</v>
      </c>
    </row>
    <row r="1836" spans="3:6">
      <c r="C1836" s="12"/>
      <c r="D1836" s="12"/>
      <c r="E1836" t="b">
        <f t="shared" si="28"/>
        <v>1</v>
      </c>
      <c r="F1836" s="12">
        <v>0</v>
      </c>
    </row>
    <row r="1837" spans="3:6">
      <c r="C1837" s="12"/>
      <c r="D1837" s="12"/>
      <c r="E1837" t="b">
        <f t="shared" si="28"/>
        <v>1</v>
      </c>
      <c r="F1837" s="12">
        <v>0</v>
      </c>
    </row>
    <row r="1838" spans="3:6">
      <c r="C1838" s="12"/>
      <c r="D1838" s="12"/>
      <c r="E1838" t="b">
        <f t="shared" si="28"/>
        <v>1</v>
      </c>
      <c r="F1838" s="12">
        <v>0</v>
      </c>
    </row>
    <row r="1839" spans="3:6">
      <c r="C1839" s="12"/>
      <c r="D1839" s="12"/>
      <c r="E1839" t="b">
        <f t="shared" si="28"/>
        <v>1</v>
      </c>
      <c r="F1839" s="12">
        <v>0</v>
      </c>
    </row>
    <row r="1840" spans="3:6">
      <c r="C1840" s="12"/>
      <c r="D1840" s="12"/>
      <c r="E1840" t="b">
        <f t="shared" si="28"/>
        <v>1</v>
      </c>
      <c r="F1840" s="12">
        <v>0</v>
      </c>
    </row>
    <row r="1841" spans="3:6">
      <c r="C1841" s="12"/>
      <c r="D1841" s="12"/>
      <c r="E1841" t="b">
        <f t="shared" si="28"/>
        <v>1</v>
      </c>
      <c r="F1841" s="12">
        <v>0</v>
      </c>
    </row>
    <row r="1842" spans="3:6">
      <c r="C1842" s="12"/>
      <c r="D1842" s="12"/>
      <c r="E1842" t="b">
        <f t="shared" si="28"/>
        <v>1</v>
      </c>
      <c r="F1842" s="12">
        <v>0</v>
      </c>
    </row>
    <row r="1843" spans="3:6">
      <c r="C1843" s="12"/>
      <c r="D1843" s="12"/>
      <c r="E1843" t="b">
        <f t="shared" si="28"/>
        <v>1</v>
      </c>
      <c r="F1843" s="12">
        <v>0</v>
      </c>
    </row>
    <row r="1844" spans="3:6">
      <c r="C1844" s="12"/>
      <c r="D1844" s="12"/>
      <c r="E1844" t="b">
        <f t="shared" si="28"/>
        <v>1</v>
      </c>
      <c r="F1844" s="12">
        <v>0</v>
      </c>
    </row>
    <row r="1845" spans="3:6">
      <c r="C1845" s="12"/>
      <c r="D1845" s="12"/>
      <c r="E1845" t="b">
        <f t="shared" si="28"/>
        <v>1</v>
      </c>
      <c r="F1845" s="12">
        <v>0</v>
      </c>
    </row>
    <row r="1846" spans="3:6">
      <c r="C1846" s="12"/>
      <c r="D1846" s="12"/>
      <c r="E1846" t="b">
        <f t="shared" si="28"/>
        <v>1</v>
      </c>
      <c r="F1846" s="12">
        <v>0</v>
      </c>
    </row>
    <row r="1847" spans="3:6">
      <c r="C1847" s="12"/>
      <c r="D1847" s="12"/>
      <c r="E1847" t="b">
        <f t="shared" si="28"/>
        <v>1</v>
      </c>
      <c r="F1847" s="12">
        <v>0</v>
      </c>
    </row>
    <row r="1848" spans="3:6">
      <c r="C1848" s="12"/>
      <c r="D1848" s="12"/>
      <c r="E1848" t="b">
        <f t="shared" si="28"/>
        <v>1</v>
      </c>
      <c r="F1848" s="12">
        <v>0</v>
      </c>
    </row>
    <row r="1849" spans="3:6">
      <c r="C1849" s="12"/>
      <c r="D1849" s="12"/>
      <c r="E1849" t="b">
        <f t="shared" si="28"/>
        <v>1</v>
      </c>
      <c r="F1849" s="12">
        <v>0</v>
      </c>
    </row>
    <row r="1850" spans="3:6">
      <c r="C1850" s="12"/>
      <c r="D1850" s="12"/>
      <c r="E1850" t="b">
        <f t="shared" si="28"/>
        <v>1</v>
      </c>
      <c r="F1850" s="12">
        <v>0</v>
      </c>
    </row>
    <row r="1851" spans="3:6">
      <c r="C1851" s="12"/>
      <c r="D1851" s="12"/>
      <c r="E1851" t="b">
        <f t="shared" si="28"/>
        <v>1</v>
      </c>
      <c r="F1851" s="12">
        <v>0</v>
      </c>
    </row>
    <row r="1852" spans="3:6">
      <c r="C1852" s="12"/>
      <c r="D1852" s="12"/>
      <c r="E1852" t="b">
        <f t="shared" si="28"/>
        <v>1</v>
      </c>
      <c r="F1852" s="12">
        <v>0</v>
      </c>
    </row>
    <row r="1853" spans="3:6">
      <c r="C1853" s="12"/>
      <c r="D1853" s="12"/>
      <c r="E1853" t="b">
        <f t="shared" si="28"/>
        <v>1</v>
      </c>
      <c r="F1853" s="12">
        <v>0</v>
      </c>
    </row>
    <row r="1854" spans="3:6">
      <c r="C1854" s="12"/>
      <c r="D1854" s="12"/>
      <c r="E1854" t="b">
        <f t="shared" si="28"/>
        <v>1</v>
      </c>
      <c r="F1854" s="12">
        <v>0</v>
      </c>
    </row>
    <row r="1855" spans="3:6">
      <c r="C1855" s="12"/>
      <c r="D1855" s="12"/>
      <c r="E1855" t="b">
        <f t="shared" si="28"/>
        <v>1</v>
      </c>
      <c r="F1855" s="12">
        <v>0</v>
      </c>
    </row>
    <row r="1856" spans="3:6">
      <c r="C1856" s="12"/>
      <c r="D1856" s="12"/>
      <c r="E1856" t="b">
        <f t="shared" si="28"/>
        <v>1</v>
      </c>
      <c r="F1856" s="12">
        <v>0</v>
      </c>
    </row>
    <row r="1857" spans="3:6">
      <c r="C1857" s="12"/>
      <c r="D1857" s="12"/>
      <c r="E1857" t="b">
        <f t="shared" si="28"/>
        <v>1</v>
      </c>
      <c r="F1857" s="12">
        <v>0</v>
      </c>
    </row>
    <row r="1858" spans="3:6">
      <c r="C1858" s="12"/>
      <c r="D1858" s="12"/>
      <c r="E1858" t="b">
        <f t="shared" si="28"/>
        <v>1</v>
      </c>
      <c r="F1858" s="12">
        <v>0</v>
      </c>
    </row>
    <row r="1859" spans="3:6">
      <c r="C1859" s="12"/>
      <c r="D1859" s="12"/>
      <c r="E1859" t="b">
        <f t="shared" ref="E1859:E1922" si="29">F1859=C1859</f>
        <v>1</v>
      </c>
      <c r="F1859" s="12">
        <v>0</v>
      </c>
    </row>
    <row r="1860" spans="3:6">
      <c r="C1860" s="12"/>
      <c r="D1860" s="12"/>
      <c r="E1860" t="b">
        <f t="shared" si="29"/>
        <v>1</v>
      </c>
      <c r="F1860" s="12">
        <v>0</v>
      </c>
    </row>
    <row r="1861" spans="3:6">
      <c r="C1861" s="12"/>
      <c r="D1861" s="12"/>
      <c r="E1861" t="b">
        <f t="shared" si="29"/>
        <v>1</v>
      </c>
      <c r="F1861" s="12">
        <v>0</v>
      </c>
    </row>
    <row r="1862" spans="3:6">
      <c r="C1862" s="12"/>
      <c r="D1862" s="12"/>
      <c r="E1862" t="b">
        <f t="shared" si="29"/>
        <v>1</v>
      </c>
      <c r="F1862" s="12">
        <v>0</v>
      </c>
    </row>
    <row r="1863" spans="3:6">
      <c r="C1863" s="12"/>
      <c r="D1863" s="12"/>
      <c r="E1863" t="b">
        <f t="shared" si="29"/>
        <v>1</v>
      </c>
      <c r="F1863" s="12">
        <v>0</v>
      </c>
    </row>
    <row r="1864" spans="3:6">
      <c r="C1864" s="12"/>
      <c r="D1864" s="12"/>
      <c r="E1864" t="b">
        <f t="shared" si="29"/>
        <v>1</v>
      </c>
      <c r="F1864" s="12">
        <v>0</v>
      </c>
    </row>
    <row r="1865" spans="3:6">
      <c r="C1865" s="12"/>
      <c r="D1865" s="12"/>
      <c r="E1865" t="b">
        <f t="shared" si="29"/>
        <v>1</v>
      </c>
      <c r="F1865" s="12">
        <v>0</v>
      </c>
    </row>
    <row r="1866" spans="3:6">
      <c r="C1866" s="12"/>
      <c r="D1866" s="12"/>
      <c r="E1866" t="b">
        <f t="shared" si="29"/>
        <v>1</v>
      </c>
      <c r="F1866" s="12">
        <v>0</v>
      </c>
    </row>
    <row r="1867" spans="3:6">
      <c r="C1867" s="12"/>
      <c r="D1867" s="12"/>
      <c r="E1867" t="b">
        <f t="shared" si="29"/>
        <v>1</v>
      </c>
      <c r="F1867" s="12">
        <v>0</v>
      </c>
    </row>
    <row r="1868" spans="3:6">
      <c r="C1868" s="12"/>
      <c r="D1868" s="12"/>
      <c r="E1868" t="b">
        <f t="shared" si="29"/>
        <v>1</v>
      </c>
      <c r="F1868" s="12">
        <v>0</v>
      </c>
    </row>
    <row r="1869" spans="3:6">
      <c r="C1869" s="12"/>
      <c r="D1869" s="12"/>
      <c r="E1869" t="b">
        <f t="shared" si="29"/>
        <v>1</v>
      </c>
      <c r="F1869" s="12">
        <v>0</v>
      </c>
    </row>
    <row r="1870" spans="3:6">
      <c r="C1870" s="12"/>
      <c r="D1870" s="12"/>
      <c r="E1870" t="b">
        <f t="shared" si="29"/>
        <v>1</v>
      </c>
      <c r="F1870" s="12">
        <v>0</v>
      </c>
    </row>
    <row r="1871" spans="3:6">
      <c r="C1871" s="12"/>
      <c r="D1871" s="12"/>
      <c r="E1871" t="b">
        <f t="shared" si="29"/>
        <v>1</v>
      </c>
      <c r="F1871" s="12">
        <v>0</v>
      </c>
    </row>
    <row r="1872" spans="3:6">
      <c r="C1872" s="12"/>
      <c r="D1872" s="12"/>
      <c r="E1872" t="b">
        <f t="shared" si="29"/>
        <v>1</v>
      </c>
      <c r="F1872" s="12">
        <v>0</v>
      </c>
    </row>
    <row r="1873" spans="3:6">
      <c r="C1873" s="12"/>
      <c r="D1873" s="12"/>
      <c r="E1873" t="b">
        <f t="shared" si="29"/>
        <v>1</v>
      </c>
      <c r="F1873" s="12">
        <v>0</v>
      </c>
    </row>
    <row r="1874" spans="3:6">
      <c r="C1874" s="12"/>
      <c r="D1874" s="12"/>
      <c r="E1874" t="b">
        <f t="shared" si="29"/>
        <v>1</v>
      </c>
      <c r="F1874" s="12">
        <v>0</v>
      </c>
    </row>
    <row r="1875" spans="3:6">
      <c r="C1875" s="12"/>
      <c r="D1875" s="12"/>
      <c r="E1875" t="b">
        <f t="shared" si="29"/>
        <v>1</v>
      </c>
      <c r="F1875" s="12">
        <v>0</v>
      </c>
    </row>
    <row r="1876" spans="3:6">
      <c r="C1876" s="12"/>
      <c r="D1876" s="12"/>
      <c r="E1876" t="b">
        <f t="shared" si="29"/>
        <v>1</v>
      </c>
      <c r="F1876" s="12">
        <v>0</v>
      </c>
    </row>
    <row r="1877" spans="3:6">
      <c r="C1877" s="12"/>
      <c r="D1877" s="12"/>
      <c r="E1877" t="b">
        <f t="shared" si="29"/>
        <v>1</v>
      </c>
      <c r="F1877" s="12">
        <v>0</v>
      </c>
    </row>
    <row r="1878" spans="3:6">
      <c r="C1878" s="12"/>
      <c r="D1878" s="12"/>
      <c r="E1878" t="b">
        <f t="shared" si="29"/>
        <v>1</v>
      </c>
      <c r="F1878" s="12">
        <v>0</v>
      </c>
    </row>
    <row r="1879" spans="3:6">
      <c r="C1879" s="12"/>
      <c r="D1879" s="12"/>
      <c r="E1879" t="b">
        <f t="shared" si="29"/>
        <v>1</v>
      </c>
      <c r="F1879" s="12">
        <v>0</v>
      </c>
    </row>
    <row r="1880" spans="3:6">
      <c r="C1880" s="12"/>
      <c r="D1880" s="12"/>
      <c r="E1880" t="b">
        <f t="shared" si="29"/>
        <v>1</v>
      </c>
      <c r="F1880" s="12">
        <v>0</v>
      </c>
    </row>
    <row r="1881" spans="3:6">
      <c r="C1881" s="12"/>
      <c r="D1881" s="12"/>
      <c r="E1881" t="b">
        <f t="shared" si="29"/>
        <v>1</v>
      </c>
      <c r="F1881" s="12">
        <v>0</v>
      </c>
    </row>
    <row r="1882" spans="3:6">
      <c r="C1882" s="12"/>
      <c r="D1882" s="12"/>
      <c r="E1882" t="b">
        <f t="shared" si="29"/>
        <v>1</v>
      </c>
      <c r="F1882" s="12">
        <v>0</v>
      </c>
    </row>
    <row r="1883" spans="3:6">
      <c r="C1883" s="12"/>
      <c r="D1883" s="12"/>
      <c r="E1883" t="b">
        <f t="shared" si="29"/>
        <v>1</v>
      </c>
      <c r="F1883" s="12">
        <v>0</v>
      </c>
    </row>
    <row r="1884" spans="3:6">
      <c r="C1884" s="12"/>
      <c r="D1884" s="12"/>
      <c r="E1884" t="b">
        <f t="shared" si="29"/>
        <v>1</v>
      </c>
      <c r="F1884" s="12">
        <v>0</v>
      </c>
    </row>
    <row r="1885" spans="3:6">
      <c r="C1885" s="12"/>
      <c r="D1885" s="12"/>
      <c r="E1885" t="b">
        <f t="shared" si="29"/>
        <v>1</v>
      </c>
      <c r="F1885" s="12">
        <v>0</v>
      </c>
    </row>
    <row r="1886" spans="3:6">
      <c r="C1886" s="12"/>
      <c r="D1886" s="12"/>
      <c r="E1886" t="b">
        <f t="shared" si="29"/>
        <v>1</v>
      </c>
      <c r="F1886" s="12">
        <v>0</v>
      </c>
    </row>
    <row r="1887" spans="3:6">
      <c r="C1887" s="12"/>
      <c r="D1887" s="12"/>
      <c r="E1887" t="b">
        <f t="shared" si="29"/>
        <v>1</v>
      </c>
      <c r="F1887" s="12">
        <v>0</v>
      </c>
    </row>
    <row r="1888" spans="3:6">
      <c r="C1888" s="12"/>
      <c r="D1888" s="12"/>
      <c r="E1888" t="b">
        <f t="shared" si="29"/>
        <v>1</v>
      </c>
      <c r="F1888" s="12">
        <v>0</v>
      </c>
    </row>
    <row r="1889" spans="3:6">
      <c r="C1889" s="12"/>
      <c r="D1889" s="12"/>
      <c r="E1889" t="b">
        <f t="shared" si="29"/>
        <v>1</v>
      </c>
      <c r="F1889" s="12">
        <v>0</v>
      </c>
    </row>
    <row r="1890" spans="3:6">
      <c r="C1890" s="12"/>
      <c r="D1890" s="12"/>
      <c r="E1890" t="b">
        <f t="shared" si="29"/>
        <v>1</v>
      </c>
      <c r="F1890" s="12">
        <v>0</v>
      </c>
    </row>
    <row r="1891" spans="3:6">
      <c r="C1891" s="12"/>
      <c r="D1891" s="12"/>
      <c r="E1891" t="b">
        <f t="shared" si="29"/>
        <v>1</v>
      </c>
      <c r="F1891" s="12">
        <v>0</v>
      </c>
    </row>
    <row r="1892" spans="3:6">
      <c r="C1892" s="12"/>
      <c r="D1892" s="12"/>
      <c r="E1892" t="b">
        <f t="shared" si="29"/>
        <v>1</v>
      </c>
      <c r="F1892" s="12">
        <v>0</v>
      </c>
    </row>
    <row r="1893" spans="3:6">
      <c r="C1893" s="12"/>
      <c r="D1893" s="12"/>
      <c r="E1893" t="b">
        <f t="shared" si="29"/>
        <v>1</v>
      </c>
      <c r="F1893" s="12">
        <v>0</v>
      </c>
    </row>
    <row r="1894" spans="3:6">
      <c r="C1894" s="12"/>
      <c r="D1894" s="12"/>
      <c r="E1894" t="b">
        <f t="shared" si="29"/>
        <v>1</v>
      </c>
      <c r="F1894" s="12">
        <v>0</v>
      </c>
    </row>
    <row r="1895" spans="3:6">
      <c r="C1895" s="12"/>
      <c r="D1895" s="12"/>
      <c r="E1895" t="b">
        <f t="shared" si="29"/>
        <v>1</v>
      </c>
      <c r="F1895" s="12">
        <v>0</v>
      </c>
    </row>
    <row r="1896" spans="3:6">
      <c r="C1896" s="12"/>
      <c r="D1896" s="12"/>
      <c r="E1896" t="b">
        <f t="shared" si="29"/>
        <v>1</v>
      </c>
      <c r="F1896" s="12">
        <v>0</v>
      </c>
    </row>
    <row r="1897" spans="3:6">
      <c r="C1897" s="12"/>
      <c r="D1897" s="12"/>
      <c r="E1897" t="b">
        <f t="shared" si="29"/>
        <v>1</v>
      </c>
      <c r="F1897" s="12">
        <v>0</v>
      </c>
    </row>
    <row r="1898" spans="3:6">
      <c r="C1898" s="12"/>
      <c r="D1898" s="12"/>
      <c r="E1898" t="b">
        <f t="shared" si="29"/>
        <v>1</v>
      </c>
      <c r="F1898" s="12">
        <v>0</v>
      </c>
    </row>
    <row r="1899" spans="3:6">
      <c r="C1899" s="12"/>
      <c r="D1899" s="12"/>
      <c r="E1899" t="b">
        <f t="shared" si="29"/>
        <v>1</v>
      </c>
      <c r="F1899" s="12">
        <v>0</v>
      </c>
    </row>
    <row r="1900" spans="3:6">
      <c r="C1900" s="12"/>
      <c r="D1900" s="12"/>
      <c r="E1900" t="b">
        <f t="shared" si="29"/>
        <v>1</v>
      </c>
      <c r="F1900" s="12">
        <v>0</v>
      </c>
    </row>
    <row r="1901" spans="3:6">
      <c r="C1901" s="12"/>
      <c r="D1901" s="12"/>
      <c r="E1901" t="b">
        <f t="shared" si="29"/>
        <v>1</v>
      </c>
      <c r="F1901" s="12">
        <v>0</v>
      </c>
    </row>
    <row r="1902" spans="3:6">
      <c r="C1902" s="12"/>
      <c r="D1902" s="12"/>
      <c r="E1902" t="b">
        <f t="shared" si="29"/>
        <v>1</v>
      </c>
      <c r="F1902" s="12">
        <v>0</v>
      </c>
    </row>
    <row r="1903" spans="3:6">
      <c r="C1903" s="12"/>
      <c r="D1903" s="12"/>
      <c r="E1903" t="b">
        <f t="shared" si="29"/>
        <v>1</v>
      </c>
      <c r="F1903" s="12">
        <v>0</v>
      </c>
    </row>
    <row r="1904" spans="3:6">
      <c r="C1904" s="12"/>
      <c r="D1904" s="12"/>
      <c r="E1904" t="b">
        <f t="shared" si="29"/>
        <v>1</v>
      </c>
      <c r="F1904" s="12">
        <v>0</v>
      </c>
    </row>
    <row r="1905" spans="3:6">
      <c r="C1905" s="12"/>
      <c r="D1905" s="12"/>
      <c r="E1905" t="b">
        <f t="shared" si="29"/>
        <v>1</v>
      </c>
      <c r="F1905" s="12">
        <v>0</v>
      </c>
    </row>
    <row r="1906" spans="3:6">
      <c r="C1906" s="12"/>
      <c r="D1906" s="12"/>
      <c r="E1906" t="b">
        <f t="shared" si="29"/>
        <v>1</v>
      </c>
      <c r="F1906" s="12">
        <v>0</v>
      </c>
    </row>
    <row r="1907" spans="3:6">
      <c r="C1907" s="12"/>
      <c r="D1907" s="12"/>
      <c r="E1907" t="b">
        <f t="shared" si="29"/>
        <v>1</v>
      </c>
      <c r="F1907" s="12">
        <v>0</v>
      </c>
    </row>
    <row r="1908" spans="3:6">
      <c r="C1908" s="12"/>
      <c r="D1908" s="12"/>
      <c r="E1908" t="b">
        <f t="shared" si="29"/>
        <v>1</v>
      </c>
      <c r="F1908" s="12">
        <v>0</v>
      </c>
    </row>
    <row r="1909" spans="3:6">
      <c r="C1909" s="12"/>
      <c r="D1909" s="12"/>
      <c r="E1909" t="b">
        <f t="shared" si="29"/>
        <v>1</v>
      </c>
      <c r="F1909" s="12">
        <v>0</v>
      </c>
    </row>
    <row r="1910" spans="3:6">
      <c r="C1910" s="12"/>
      <c r="D1910" s="12"/>
      <c r="E1910" t="b">
        <f t="shared" si="29"/>
        <v>1</v>
      </c>
      <c r="F1910" s="12">
        <v>0</v>
      </c>
    </row>
    <row r="1911" spans="3:6">
      <c r="C1911" s="12"/>
      <c r="D1911" s="12"/>
      <c r="E1911" t="b">
        <f t="shared" si="29"/>
        <v>1</v>
      </c>
      <c r="F1911" s="12">
        <v>0</v>
      </c>
    </row>
    <row r="1912" spans="3:6">
      <c r="C1912" s="12"/>
      <c r="D1912" s="12"/>
      <c r="E1912" t="b">
        <f t="shared" si="29"/>
        <v>1</v>
      </c>
      <c r="F1912" s="12">
        <v>0</v>
      </c>
    </row>
    <row r="1913" spans="3:6">
      <c r="C1913" s="12"/>
      <c r="D1913" s="12"/>
      <c r="E1913" t="b">
        <f t="shared" si="29"/>
        <v>1</v>
      </c>
      <c r="F1913" s="12">
        <v>0</v>
      </c>
    </row>
    <row r="1914" spans="3:6">
      <c r="C1914" s="12"/>
      <c r="D1914" s="12"/>
      <c r="E1914" t="b">
        <f t="shared" si="29"/>
        <v>1</v>
      </c>
      <c r="F1914" s="12">
        <v>0</v>
      </c>
    </row>
    <row r="1915" spans="3:6">
      <c r="C1915" s="12"/>
      <c r="D1915" s="12"/>
      <c r="E1915" t="b">
        <f t="shared" si="29"/>
        <v>1</v>
      </c>
      <c r="F1915" s="12">
        <v>0</v>
      </c>
    </row>
    <row r="1916" spans="3:6">
      <c r="C1916" s="12"/>
      <c r="D1916" s="12"/>
      <c r="E1916" t="b">
        <f t="shared" si="29"/>
        <v>1</v>
      </c>
      <c r="F1916" s="12">
        <v>0</v>
      </c>
    </row>
    <row r="1917" spans="3:6">
      <c r="C1917" s="12"/>
      <c r="D1917" s="12"/>
      <c r="E1917" t="b">
        <f t="shared" si="29"/>
        <v>1</v>
      </c>
      <c r="F1917" s="12">
        <v>0</v>
      </c>
    </row>
    <row r="1918" spans="3:6">
      <c r="C1918" s="12"/>
      <c r="D1918" s="12"/>
      <c r="E1918" t="b">
        <f t="shared" si="29"/>
        <v>1</v>
      </c>
      <c r="F1918" s="12">
        <v>0</v>
      </c>
    </row>
    <row r="1919" spans="3:6">
      <c r="C1919" s="12"/>
      <c r="D1919" s="12"/>
      <c r="E1919" t="b">
        <f t="shared" si="29"/>
        <v>1</v>
      </c>
      <c r="F1919" s="12">
        <v>0</v>
      </c>
    </row>
    <row r="1920" spans="3:6">
      <c r="C1920" s="12"/>
      <c r="D1920" s="12"/>
      <c r="E1920" t="b">
        <f t="shared" si="29"/>
        <v>1</v>
      </c>
      <c r="F1920" s="12">
        <v>0</v>
      </c>
    </row>
    <row r="1921" spans="3:6">
      <c r="C1921" s="12"/>
      <c r="D1921" s="12"/>
      <c r="E1921" t="b">
        <f t="shared" si="29"/>
        <v>1</v>
      </c>
      <c r="F1921" s="12">
        <v>0</v>
      </c>
    </row>
    <row r="1922" spans="3:6">
      <c r="C1922" s="12"/>
      <c r="D1922" s="12"/>
      <c r="E1922" t="b">
        <f t="shared" si="29"/>
        <v>1</v>
      </c>
      <c r="F1922" s="12">
        <v>0</v>
      </c>
    </row>
    <row r="1923" spans="3:6">
      <c r="C1923" s="12"/>
      <c r="D1923" s="12"/>
      <c r="E1923" t="b">
        <f t="shared" ref="E1923:E1986" si="30">F1923=C1923</f>
        <v>1</v>
      </c>
      <c r="F1923" s="12">
        <v>0</v>
      </c>
    </row>
    <row r="1924" spans="3:6">
      <c r="C1924" s="12"/>
      <c r="D1924" s="12"/>
      <c r="E1924" t="b">
        <f t="shared" si="30"/>
        <v>1</v>
      </c>
      <c r="F1924" s="12">
        <v>0</v>
      </c>
    </row>
    <row r="1925" spans="3:6">
      <c r="C1925" s="12"/>
      <c r="D1925" s="12"/>
      <c r="E1925" t="b">
        <f t="shared" si="30"/>
        <v>1</v>
      </c>
      <c r="F1925" s="12">
        <v>0</v>
      </c>
    </row>
    <row r="1926" spans="3:6">
      <c r="C1926" s="12"/>
      <c r="D1926" s="12"/>
      <c r="E1926" t="b">
        <f t="shared" si="30"/>
        <v>1</v>
      </c>
      <c r="F1926" s="12">
        <v>0</v>
      </c>
    </row>
    <row r="1927" spans="3:6">
      <c r="C1927" s="12"/>
      <c r="D1927" s="12"/>
      <c r="E1927" t="b">
        <f t="shared" si="30"/>
        <v>1</v>
      </c>
      <c r="F1927" s="12">
        <v>0</v>
      </c>
    </row>
    <row r="1928" spans="3:6">
      <c r="C1928" s="12"/>
      <c r="D1928" s="12"/>
      <c r="E1928" t="b">
        <f t="shared" si="30"/>
        <v>1</v>
      </c>
      <c r="F1928" s="12">
        <v>0</v>
      </c>
    </row>
    <row r="1929" spans="3:6">
      <c r="C1929" s="12"/>
      <c r="D1929" s="12"/>
      <c r="E1929" t="b">
        <f t="shared" si="30"/>
        <v>1</v>
      </c>
      <c r="F1929" s="12">
        <v>0</v>
      </c>
    </row>
    <row r="1930" spans="3:6">
      <c r="C1930" s="12"/>
      <c r="D1930" s="12"/>
      <c r="E1930" t="b">
        <f t="shared" si="30"/>
        <v>1</v>
      </c>
      <c r="F1930" s="12">
        <v>0</v>
      </c>
    </row>
    <row r="1931" spans="3:6">
      <c r="C1931" s="12"/>
      <c r="D1931" s="12"/>
      <c r="E1931" t="b">
        <f t="shared" si="30"/>
        <v>1</v>
      </c>
      <c r="F1931" s="12">
        <v>0</v>
      </c>
    </row>
    <row r="1932" spans="3:6">
      <c r="C1932" s="12"/>
      <c r="D1932" s="12"/>
      <c r="E1932" t="b">
        <f t="shared" si="30"/>
        <v>1</v>
      </c>
      <c r="F1932" s="12">
        <v>0</v>
      </c>
    </row>
    <row r="1933" spans="3:6">
      <c r="C1933" s="12"/>
      <c r="D1933" s="12"/>
      <c r="E1933" t="b">
        <f t="shared" si="30"/>
        <v>1</v>
      </c>
      <c r="F1933" s="12">
        <v>0</v>
      </c>
    </row>
    <row r="1934" spans="3:6">
      <c r="C1934" s="12"/>
      <c r="D1934" s="12"/>
      <c r="E1934" t="b">
        <f t="shared" si="30"/>
        <v>1</v>
      </c>
      <c r="F1934" s="12">
        <v>0</v>
      </c>
    </row>
    <row r="1935" spans="3:6">
      <c r="C1935" s="12"/>
      <c r="D1935" s="12"/>
      <c r="E1935" t="b">
        <f t="shared" si="30"/>
        <v>1</v>
      </c>
      <c r="F1935" s="12">
        <v>0</v>
      </c>
    </row>
    <row r="1936" spans="3:6">
      <c r="C1936" s="12"/>
      <c r="D1936" s="12"/>
      <c r="E1936" t="b">
        <f t="shared" si="30"/>
        <v>1</v>
      </c>
      <c r="F1936" s="12">
        <v>0</v>
      </c>
    </row>
    <row r="1937" spans="3:6">
      <c r="C1937" s="12"/>
      <c r="D1937" s="12"/>
      <c r="E1937" t="b">
        <f t="shared" si="30"/>
        <v>1</v>
      </c>
      <c r="F1937" s="12">
        <v>0</v>
      </c>
    </row>
    <row r="1938" spans="3:6">
      <c r="C1938" s="12"/>
      <c r="D1938" s="12"/>
      <c r="E1938" t="b">
        <f t="shared" si="30"/>
        <v>1</v>
      </c>
      <c r="F1938" s="12">
        <v>0</v>
      </c>
    </row>
    <row r="1939" spans="3:6">
      <c r="C1939" s="12"/>
      <c r="D1939" s="12"/>
      <c r="E1939" t="b">
        <f t="shared" si="30"/>
        <v>1</v>
      </c>
      <c r="F1939" s="12">
        <v>0</v>
      </c>
    </row>
    <row r="1940" spans="3:6">
      <c r="C1940" s="12"/>
      <c r="D1940" s="12"/>
      <c r="E1940" t="b">
        <f t="shared" si="30"/>
        <v>1</v>
      </c>
      <c r="F1940" s="12">
        <v>0</v>
      </c>
    </row>
    <row r="1941" spans="3:6">
      <c r="C1941" s="12"/>
      <c r="D1941" s="12"/>
      <c r="E1941" t="b">
        <f t="shared" si="30"/>
        <v>1</v>
      </c>
      <c r="F1941" s="12">
        <v>0</v>
      </c>
    </row>
    <row r="1942" spans="3:6">
      <c r="C1942" s="12"/>
      <c r="D1942" s="12"/>
      <c r="E1942" t="b">
        <f t="shared" si="30"/>
        <v>1</v>
      </c>
      <c r="F1942" s="12">
        <v>0</v>
      </c>
    </row>
    <row r="1943" spans="3:6">
      <c r="C1943" s="12"/>
      <c r="D1943" s="12"/>
      <c r="E1943" t="b">
        <f t="shared" si="30"/>
        <v>1</v>
      </c>
      <c r="F1943" s="12">
        <v>0</v>
      </c>
    </row>
    <row r="1944" spans="3:6">
      <c r="C1944" s="12"/>
      <c r="D1944" s="12"/>
      <c r="E1944" t="b">
        <f t="shared" si="30"/>
        <v>1</v>
      </c>
      <c r="F1944" s="12">
        <v>0</v>
      </c>
    </row>
    <row r="1945" spans="3:6">
      <c r="C1945" s="12"/>
      <c r="D1945" s="12"/>
      <c r="E1945" t="b">
        <f t="shared" si="30"/>
        <v>1</v>
      </c>
      <c r="F1945" s="12">
        <v>0</v>
      </c>
    </row>
    <row r="1946" spans="3:6">
      <c r="C1946" s="12"/>
      <c r="D1946" s="12"/>
      <c r="E1946" t="b">
        <f t="shared" si="30"/>
        <v>1</v>
      </c>
      <c r="F1946" s="12">
        <v>0</v>
      </c>
    </row>
    <row r="1947" spans="3:6">
      <c r="C1947" s="12"/>
      <c r="D1947" s="12"/>
      <c r="E1947" t="b">
        <f t="shared" si="30"/>
        <v>1</v>
      </c>
      <c r="F1947" s="12">
        <v>0</v>
      </c>
    </row>
    <row r="1948" spans="3:6">
      <c r="C1948" s="12"/>
      <c r="D1948" s="12"/>
      <c r="E1948" t="b">
        <f t="shared" si="30"/>
        <v>1</v>
      </c>
      <c r="F1948" s="12">
        <v>0</v>
      </c>
    </row>
    <row r="1949" spans="3:6">
      <c r="C1949" s="12"/>
      <c r="D1949" s="12"/>
      <c r="E1949" t="b">
        <f t="shared" si="30"/>
        <v>1</v>
      </c>
      <c r="F1949" s="12">
        <v>0</v>
      </c>
    </row>
    <row r="1950" spans="3:6">
      <c r="C1950" s="12"/>
      <c r="D1950" s="12"/>
      <c r="E1950" t="b">
        <f t="shared" si="30"/>
        <v>1</v>
      </c>
      <c r="F1950" s="12">
        <v>0</v>
      </c>
    </row>
    <row r="1951" spans="3:6">
      <c r="C1951" s="12"/>
      <c r="D1951" s="12"/>
      <c r="E1951" t="b">
        <f t="shared" si="30"/>
        <v>1</v>
      </c>
      <c r="F1951" s="12">
        <v>0</v>
      </c>
    </row>
    <row r="1952" spans="3:6">
      <c r="C1952" s="12"/>
      <c r="D1952" s="12"/>
      <c r="E1952" t="b">
        <f t="shared" si="30"/>
        <v>1</v>
      </c>
      <c r="F1952" s="12">
        <v>0</v>
      </c>
    </row>
    <row r="1953" spans="3:6">
      <c r="C1953" s="12"/>
      <c r="D1953" s="12"/>
      <c r="E1953" t="b">
        <f t="shared" si="30"/>
        <v>1</v>
      </c>
      <c r="F1953" s="12">
        <v>0</v>
      </c>
    </row>
    <row r="1954" spans="3:6">
      <c r="C1954" s="12"/>
      <c r="D1954" s="12"/>
      <c r="E1954" t="b">
        <f t="shared" si="30"/>
        <v>1</v>
      </c>
      <c r="F1954" s="12">
        <v>0</v>
      </c>
    </row>
    <row r="1955" spans="3:6">
      <c r="C1955" s="12"/>
      <c r="D1955" s="12"/>
      <c r="E1955" t="b">
        <f t="shared" si="30"/>
        <v>1</v>
      </c>
      <c r="F1955" s="12">
        <v>0</v>
      </c>
    </row>
    <row r="1956" spans="3:6">
      <c r="C1956" s="12"/>
      <c r="D1956" s="12"/>
      <c r="E1956" t="b">
        <f t="shared" si="30"/>
        <v>1</v>
      </c>
      <c r="F1956" s="12">
        <v>0</v>
      </c>
    </row>
    <row r="1957" spans="3:6">
      <c r="C1957" s="12"/>
      <c r="D1957" s="12"/>
      <c r="E1957" t="b">
        <f t="shared" si="30"/>
        <v>1</v>
      </c>
      <c r="F1957" s="12">
        <v>0</v>
      </c>
    </row>
    <row r="1958" spans="3:6">
      <c r="C1958" s="12"/>
      <c r="D1958" s="12"/>
      <c r="E1958" t="b">
        <f t="shared" si="30"/>
        <v>1</v>
      </c>
      <c r="F1958" s="12">
        <v>0</v>
      </c>
    </row>
    <row r="1959" spans="3:6">
      <c r="C1959" s="12"/>
      <c r="D1959" s="12"/>
      <c r="E1959" t="b">
        <f t="shared" si="30"/>
        <v>1</v>
      </c>
      <c r="F1959" s="12">
        <v>0</v>
      </c>
    </row>
    <row r="1960" spans="3:6">
      <c r="C1960" s="12"/>
      <c r="D1960" s="12"/>
      <c r="E1960" t="b">
        <f t="shared" si="30"/>
        <v>1</v>
      </c>
      <c r="F1960" s="12">
        <v>0</v>
      </c>
    </row>
    <row r="1961" spans="3:6">
      <c r="C1961" s="12"/>
      <c r="D1961" s="12"/>
      <c r="E1961" t="b">
        <f t="shared" si="30"/>
        <v>1</v>
      </c>
      <c r="F1961" s="12">
        <v>0</v>
      </c>
    </row>
    <row r="1962" spans="3:6">
      <c r="C1962" s="12"/>
      <c r="D1962" s="12"/>
      <c r="E1962" t="b">
        <f t="shared" si="30"/>
        <v>1</v>
      </c>
      <c r="F1962" s="12">
        <v>0</v>
      </c>
    </row>
    <row r="1963" spans="3:6">
      <c r="C1963" s="12"/>
      <c r="D1963" s="12"/>
      <c r="E1963" t="b">
        <f t="shared" si="30"/>
        <v>1</v>
      </c>
      <c r="F1963" s="12">
        <v>0</v>
      </c>
    </row>
    <row r="1964" spans="3:6">
      <c r="C1964" s="12"/>
      <c r="D1964" s="12"/>
      <c r="E1964" t="b">
        <f t="shared" si="30"/>
        <v>1</v>
      </c>
      <c r="F1964" s="12">
        <v>0</v>
      </c>
    </row>
    <row r="1965" spans="3:6">
      <c r="C1965" s="12"/>
      <c r="D1965" s="12"/>
      <c r="E1965" t="b">
        <f t="shared" si="30"/>
        <v>1</v>
      </c>
      <c r="F1965" s="12">
        <v>0</v>
      </c>
    </row>
    <row r="1966" spans="3:6">
      <c r="C1966" s="12"/>
      <c r="D1966" s="12"/>
      <c r="E1966" t="b">
        <f t="shared" si="30"/>
        <v>1</v>
      </c>
      <c r="F1966" s="12">
        <v>0</v>
      </c>
    </row>
    <row r="1967" spans="3:6">
      <c r="C1967" s="12"/>
      <c r="D1967" s="12"/>
      <c r="E1967" t="b">
        <f t="shared" si="30"/>
        <v>1</v>
      </c>
      <c r="F1967" s="12">
        <v>0</v>
      </c>
    </row>
    <row r="1968" spans="3:6">
      <c r="C1968" s="12"/>
      <c r="D1968" s="12"/>
      <c r="E1968" t="b">
        <f t="shared" si="30"/>
        <v>1</v>
      </c>
      <c r="F1968" s="12">
        <v>0</v>
      </c>
    </row>
    <row r="1969" spans="3:6">
      <c r="C1969" s="12"/>
      <c r="D1969" s="12"/>
      <c r="E1969" t="b">
        <f t="shared" si="30"/>
        <v>1</v>
      </c>
      <c r="F1969" s="12">
        <v>0</v>
      </c>
    </row>
    <row r="1970" spans="3:6">
      <c r="C1970" s="12"/>
      <c r="D1970" s="12"/>
      <c r="E1970" t="b">
        <f t="shared" si="30"/>
        <v>1</v>
      </c>
      <c r="F1970" s="12">
        <v>0</v>
      </c>
    </row>
    <row r="1971" spans="3:6">
      <c r="C1971" s="12"/>
      <c r="D1971" s="12"/>
      <c r="E1971" t="b">
        <f t="shared" si="30"/>
        <v>1</v>
      </c>
      <c r="F1971" s="12">
        <v>0</v>
      </c>
    </row>
    <row r="1972" spans="3:6">
      <c r="C1972" s="12"/>
      <c r="D1972" s="12"/>
      <c r="E1972" t="b">
        <f t="shared" si="30"/>
        <v>1</v>
      </c>
      <c r="F1972" s="12">
        <v>0</v>
      </c>
    </row>
    <row r="1973" spans="3:6">
      <c r="C1973" s="12"/>
      <c r="D1973" s="12"/>
      <c r="E1973" t="b">
        <f t="shared" si="30"/>
        <v>1</v>
      </c>
      <c r="F1973" s="12">
        <v>0</v>
      </c>
    </row>
    <row r="1974" spans="3:6">
      <c r="C1974" s="12"/>
      <c r="D1974" s="12"/>
      <c r="E1974" t="b">
        <f t="shared" si="30"/>
        <v>1</v>
      </c>
      <c r="F1974" s="12">
        <v>0</v>
      </c>
    </row>
    <row r="1975" spans="3:6">
      <c r="C1975" s="12"/>
      <c r="D1975" s="12"/>
      <c r="E1975" t="b">
        <f t="shared" si="30"/>
        <v>1</v>
      </c>
      <c r="F1975" s="12">
        <v>0</v>
      </c>
    </row>
    <row r="1976" spans="3:6">
      <c r="C1976" s="12"/>
      <c r="D1976" s="12"/>
      <c r="E1976" t="b">
        <f t="shared" si="30"/>
        <v>1</v>
      </c>
      <c r="F1976" s="12">
        <v>0</v>
      </c>
    </row>
    <row r="1977" spans="3:6">
      <c r="C1977" s="12"/>
      <c r="D1977" s="12"/>
      <c r="E1977" t="b">
        <f t="shared" si="30"/>
        <v>1</v>
      </c>
      <c r="F1977" s="12">
        <v>0</v>
      </c>
    </row>
    <row r="1978" spans="3:6">
      <c r="C1978" s="12"/>
      <c r="D1978" s="12"/>
      <c r="E1978" t="b">
        <f t="shared" si="30"/>
        <v>1</v>
      </c>
      <c r="F1978" s="12">
        <v>0</v>
      </c>
    </row>
    <row r="1979" spans="3:6">
      <c r="C1979" s="12"/>
      <c r="D1979" s="12"/>
      <c r="E1979" t="b">
        <f t="shared" si="30"/>
        <v>1</v>
      </c>
      <c r="F1979" s="12">
        <v>0</v>
      </c>
    </row>
    <row r="1980" spans="3:6">
      <c r="C1980" s="12"/>
      <c r="D1980" s="12"/>
      <c r="E1980" t="b">
        <f t="shared" si="30"/>
        <v>1</v>
      </c>
      <c r="F1980" s="12">
        <v>0</v>
      </c>
    </row>
    <row r="1981" spans="3:6">
      <c r="C1981" s="12"/>
      <c r="D1981" s="12"/>
      <c r="E1981" t="b">
        <f t="shared" si="30"/>
        <v>1</v>
      </c>
      <c r="F1981" s="12">
        <v>0</v>
      </c>
    </row>
    <row r="1982" spans="3:6">
      <c r="C1982" s="12"/>
      <c r="D1982" s="12"/>
      <c r="E1982" t="b">
        <f t="shared" si="30"/>
        <v>1</v>
      </c>
      <c r="F1982" s="12">
        <v>0</v>
      </c>
    </row>
    <row r="1983" spans="3:6">
      <c r="C1983" s="12"/>
      <c r="D1983" s="12"/>
      <c r="E1983" t="b">
        <f t="shared" si="30"/>
        <v>1</v>
      </c>
      <c r="F1983" s="12">
        <v>0</v>
      </c>
    </row>
    <row r="1984" spans="3:6">
      <c r="C1984" s="12"/>
      <c r="D1984" s="12"/>
      <c r="E1984" t="b">
        <f t="shared" si="30"/>
        <v>1</v>
      </c>
      <c r="F1984" s="12">
        <v>0</v>
      </c>
    </row>
    <row r="1985" spans="3:6">
      <c r="C1985" s="12"/>
      <c r="D1985" s="12"/>
      <c r="E1985" t="b">
        <f t="shared" si="30"/>
        <v>1</v>
      </c>
      <c r="F1985" s="12">
        <v>0</v>
      </c>
    </row>
    <row r="1986" spans="3:6">
      <c r="C1986" s="12"/>
      <c r="D1986" s="12"/>
      <c r="E1986" t="b">
        <f t="shared" si="30"/>
        <v>1</v>
      </c>
      <c r="F1986" s="12">
        <v>0</v>
      </c>
    </row>
    <row r="1987" spans="3:6">
      <c r="C1987" s="12"/>
      <c r="D1987" s="12"/>
      <c r="E1987" t="b">
        <f t="shared" ref="E1987:E2050" si="31">F1987=C1987</f>
        <v>1</v>
      </c>
      <c r="F1987" s="12">
        <v>0</v>
      </c>
    </row>
    <row r="1988" spans="3:6">
      <c r="C1988" s="12"/>
      <c r="D1988" s="12"/>
      <c r="E1988" t="b">
        <f t="shared" si="31"/>
        <v>1</v>
      </c>
      <c r="F1988" s="12">
        <v>0</v>
      </c>
    </row>
    <row r="1989" spans="3:6">
      <c r="C1989" s="12"/>
      <c r="D1989" s="12"/>
      <c r="E1989" t="b">
        <f t="shared" si="31"/>
        <v>1</v>
      </c>
      <c r="F1989" s="12">
        <v>0</v>
      </c>
    </row>
    <row r="1990" spans="3:6">
      <c r="C1990" s="12"/>
      <c r="D1990" s="12"/>
      <c r="E1990" t="b">
        <f t="shared" si="31"/>
        <v>1</v>
      </c>
      <c r="F1990" s="12">
        <v>0</v>
      </c>
    </row>
    <row r="1991" spans="3:6">
      <c r="C1991" s="12"/>
      <c r="D1991" s="12"/>
      <c r="E1991" t="b">
        <f t="shared" si="31"/>
        <v>1</v>
      </c>
      <c r="F1991" s="12">
        <v>0</v>
      </c>
    </row>
    <row r="1992" spans="3:6">
      <c r="C1992" s="12"/>
      <c r="D1992" s="12"/>
      <c r="E1992" t="b">
        <f t="shared" si="31"/>
        <v>1</v>
      </c>
      <c r="F1992" s="12">
        <v>0</v>
      </c>
    </row>
    <row r="1993" spans="3:6">
      <c r="C1993" s="12"/>
      <c r="D1993" s="12"/>
      <c r="E1993" t="b">
        <f t="shared" si="31"/>
        <v>1</v>
      </c>
      <c r="F1993" s="12">
        <v>0</v>
      </c>
    </row>
    <row r="1994" spans="3:6">
      <c r="C1994" s="12"/>
      <c r="D1994" s="12"/>
      <c r="E1994" t="b">
        <f t="shared" si="31"/>
        <v>1</v>
      </c>
      <c r="F1994" s="12">
        <v>0</v>
      </c>
    </row>
    <row r="1995" spans="3:6">
      <c r="C1995" s="12"/>
      <c r="D1995" s="12"/>
      <c r="E1995" t="b">
        <f t="shared" si="31"/>
        <v>1</v>
      </c>
      <c r="F1995" s="12">
        <v>0</v>
      </c>
    </row>
    <row r="1996" spans="3:6">
      <c r="C1996" s="12"/>
      <c r="D1996" s="12"/>
      <c r="E1996" t="b">
        <f t="shared" si="31"/>
        <v>1</v>
      </c>
      <c r="F1996" s="12">
        <v>0</v>
      </c>
    </row>
    <row r="1997" spans="3:6">
      <c r="C1997" s="12"/>
      <c r="D1997" s="12"/>
      <c r="E1997" t="b">
        <f t="shared" si="31"/>
        <v>1</v>
      </c>
      <c r="F1997" s="12">
        <v>0</v>
      </c>
    </row>
    <row r="1998" spans="3:6">
      <c r="C1998" s="12"/>
      <c r="D1998" s="12"/>
      <c r="E1998" t="b">
        <f t="shared" si="31"/>
        <v>1</v>
      </c>
      <c r="F1998" s="12">
        <v>0</v>
      </c>
    </row>
    <row r="1999" spans="3:6">
      <c r="C1999" s="12"/>
      <c r="D1999" s="12"/>
      <c r="E1999" t="b">
        <f t="shared" si="31"/>
        <v>1</v>
      </c>
      <c r="F1999" s="12">
        <v>0</v>
      </c>
    </row>
    <row r="2000" spans="3:6">
      <c r="C2000" s="12"/>
      <c r="D2000" s="12"/>
      <c r="E2000" t="b">
        <f t="shared" si="31"/>
        <v>1</v>
      </c>
      <c r="F2000" s="12">
        <v>0</v>
      </c>
    </row>
    <row r="2001" spans="3:6">
      <c r="C2001" s="12"/>
      <c r="D2001" s="12"/>
      <c r="E2001" t="b">
        <f t="shared" si="31"/>
        <v>1</v>
      </c>
      <c r="F2001" s="12">
        <v>0</v>
      </c>
    </row>
    <row r="2002" spans="3:6">
      <c r="C2002" s="12"/>
      <c r="D2002" s="12"/>
      <c r="E2002" t="b">
        <f t="shared" si="31"/>
        <v>1</v>
      </c>
      <c r="F2002" s="12">
        <v>0</v>
      </c>
    </row>
    <row r="2003" spans="3:6">
      <c r="C2003" s="12"/>
      <c r="D2003" s="12"/>
      <c r="E2003" t="b">
        <f t="shared" si="31"/>
        <v>1</v>
      </c>
      <c r="F2003" s="12">
        <v>0</v>
      </c>
    </row>
    <row r="2004" spans="3:6">
      <c r="C2004" s="12"/>
      <c r="D2004" s="12"/>
      <c r="E2004" t="b">
        <f t="shared" si="31"/>
        <v>1</v>
      </c>
      <c r="F2004" s="12">
        <v>0</v>
      </c>
    </row>
    <row r="2005" spans="3:6">
      <c r="C2005" s="12"/>
      <c r="D2005" s="12"/>
      <c r="E2005" t="b">
        <f t="shared" si="31"/>
        <v>1</v>
      </c>
      <c r="F2005" s="12">
        <v>0</v>
      </c>
    </row>
    <row r="2006" spans="3:6">
      <c r="C2006" s="12"/>
      <c r="D2006" s="12"/>
      <c r="E2006" t="b">
        <f t="shared" si="31"/>
        <v>1</v>
      </c>
      <c r="F2006" s="12">
        <v>0</v>
      </c>
    </row>
    <row r="2007" spans="3:6">
      <c r="C2007" s="12"/>
      <c r="D2007" s="12"/>
      <c r="E2007" t="b">
        <f t="shared" si="31"/>
        <v>1</v>
      </c>
      <c r="F2007" s="12">
        <v>0</v>
      </c>
    </row>
    <row r="2008" spans="3:6">
      <c r="C2008" s="12"/>
      <c r="D2008" s="12"/>
      <c r="E2008" t="b">
        <f t="shared" si="31"/>
        <v>1</v>
      </c>
      <c r="F2008" s="12">
        <v>0</v>
      </c>
    </row>
    <row r="2009" spans="3:6">
      <c r="C2009" s="12"/>
      <c r="D2009" s="12"/>
      <c r="E2009" t="b">
        <f t="shared" si="31"/>
        <v>1</v>
      </c>
      <c r="F2009" s="12">
        <v>0</v>
      </c>
    </row>
    <row r="2010" spans="3:6">
      <c r="C2010" s="12"/>
      <c r="D2010" s="12"/>
      <c r="E2010" t="b">
        <f t="shared" si="31"/>
        <v>1</v>
      </c>
      <c r="F2010" s="12">
        <v>0</v>
      </c>
    </row>
    <row r="2011" spans="3:6">
      <c r="C2011" s="12"/>
      <c r="D2011" s="12"/>
      <c r="E2011" t="b">
        <f t="shared" si="31"/>
        <v>1</v>
      </c>
      <c r="F2011" s="12">
        <v>0</v>
      </c>
    </row>
    <row r="2012" spans="3:6">
      <c r="C2012" s="12"/>
      <c r="D2012" s="12"/>
      <c r="E2012" t="b">
        <f t="shared" si="31"/>
        <v>1</v>
      </c>
      <c r="F2012" s="12">
        <v>0</v>
      </c>
    </row>
    <row r="2013" spans="3:6">
      <c r="C2013" s="12"/>
      <c r="D2013" s="12"/>
      <c r="E2013" t="b">
        <f t="shared" si="31"/>
        <v>1</v>
      </c>
      <c r="F2013" s="12">
        <v>0</v>
      </c>
    </row>
    <row r="2014" spans="3:6">
      <c r="C2014" s="12"/>
      <c r="D2014" s="12"/>
      <c r="E2014" t="b">
        <f t="shared" si="31"/>
        <v>1</v>
      </c>
      <c r="F2014" s="12">
        <v>0</v>
      </c>
    </row>
    <row r="2015" spans="3:6">
      <c r="C2015" s="12"/>
      <c r="D2015" s="12"/>
      <c r="E2015" t="b">
        <f t="shared" si="31"/>
        <v>1</v>
      </c>
      <c r="F2015" s="12">
        <v>0</v>
      </c>
    </row>
    <row r="2016" spans="3:6">
      <c r="C2016" s="12"/>
      <c r="D2016" s="12"/>
      <c r="E2016" t="b">
        <f t="shared" si="31"/>
        <v>1</v>
      </c>
      <c r="F2016" s="12">
        <v>0</v>
      </c>
    </row>
    <row r="2017" spans="3:6">
      <c r="C2017" s="12"/>
      <c r="D2017" s="12"/>
      <c r="E2017" t="b">
        <f t="shared" si="31"/>
        <v>1</v>
      </c>
      <c r="F2017" s="12">
        <v>0</v>
      </c>
    </row>
    <row r="2018" spans="3:6">
      <c r="C2018" s="12"/>
      <c r="D2018" s="12"/>
      <c r="E2018" t="b">
        <f t="shared" si="31"/>
        <v>1</v>
      </c>
      <c r="F2018" s="12">
        <v>0</v>
      </c>
    </row>
    <row r="2019" spans="3:6">
      <c r="C2019" s="12"/>
      <c r="D2019" s="12"/>
      <c r="E2019" t="b">
        <f t="shared" si="31"/>
        <v>1</v>
      </c>
      <c r="F2019" s="12">
        <v>0</v>
      </c>
    </row>
    <row r="2020" spans="3:6">
      <c r="C2020" s="12"/>
      <c r="D2020" s="12"/>
      <c r="E2020" t="b">
        <f t="shared" si="31"/>
        <v>1</v>
      </c>
      <c r="F2020" s="12">
        <v>0</v>
      </c>
    </row>
    <row r="2021" spans="3:6">
      <c r="C2021" s="12"/>
      <c r="D2021" s="12"/>
      <c r="E2021" t="b">
        <f t="shared" si="31"/>
        <v>1</v>
      </c>
      <c r="F2021" s="12">
        <v>0</v>
      </c>
    </row>
    <row r="2022" spans="3:6">
      <c r="C2022" s="12"/>
      <c r="D2022" s="12"/>
      <c r="E2022" t="b">
        <f t="shared" si="31"/>
        <v>1</v>
      </c>
      <c r="F2022" s="12">
        <v>0</v>
      </c>
    </row>
    <row r="2023" spans="3:6">
      <c r="C2023" s="12"/>
      <c r="D2023" s="12"/>
      <c r="E2023" t="b">
        <f t="shared" si="31"/>
        <v>1</v>
      </c>
      <c r="F2023" s="12">
        <v>0</v>
      </c>
    </row>
    <row r="2024" spans="3:6">
      <c r="C2024" s="12"/>
      <c r="D2024" s="12"/>
      <c r="E2024" t="b">
        <f t="shared" si="31"/>
        <v>1</v>
      </c>
      <c r="F2024" s="12">
        <v>0</v>
      </c>
    </row>
    <row r="2025" spans="3:6">
      <c r="C2025" s="12"/>
      <c r="D2025" s="12"/>
      <c r="E2025" t="b">
        <f t="shared" si="31"/>
        <v>1</v>
      </c>
      <c r="F2025" s="12">
        <v>0</v>
      </c>
    </row>
    <row r="2026" spans="3:6">
      <c r="C2026" s="12"/>
      <c r="D2026" s="12"/>
      <c r="E2026" t="b">
        <f t="shared" si="31"/>
        <v>1</v>
      </c>
      <c r="F2026" s="12">
        <v>0</v>
      </c>
    </row>
    <row r="2027" spans="3:6">
      <c r="C2027" s="12"/>
      <c r="D2027" s="12"/>
      <c r="E2027" t="b">
        <f t="shared" si="31"/>
        <v>1</v>
      </c>
      <c r="F2027" s="12">
        <v>0</v>
      </c>
    </row>
    <row r="2028" spans="3:6">
      <c r="C2028" s="12"/>
      <c r="D2028" s="12"/>
      <c r="E2028" t="b">
        <f t="shared" si="31"/>
        <v>1</v>
      </c>
      <c r="F2028" s="12">
        <v>0</v>
      </c>
    </row>
    <row r="2029" spans="3:6">
      <c r="C2029" s="12"/>
      <c r="D2029" s="12"/>
      <c r="E2029" t="b">
        <f t="shared" si="31"/>
        <v>1</v>
      </c>
      <c r="F2029" s="12">
        <v>0</v>
      </c>
    </row>
    <row r="2030" spans="3:6">
      <c r="C2030" s="12"/>
      <c r="D2030" s="12"/>
      <c r="E2030" t="b">
        <f t="shared" si="31"/>
        <v>1</v>
      </c>
      <c r="F2030" s="12">
        <v>0</v>
      </c>
    </row>
    <row r="2031" spans="3:6">
      <c r="C2031" s="12"/>
      <c r="D2031" s="12"/>
      <c r="E2031" t="b">
        <f t="shared" si="31"/>
        <v>1</v>
      </c>
      <c r="F2031" s="12">
        <v>0</v>
      </c>
    </row>
    <row r="2032" spans="3:6">
      <c r="C2032" s="12"/>
      <c r="D2032" s="12"/>
      <c r="E2032" t="b">
        <f t="shared" si="31"/>
        <v>1</v>
      </c>
      <c r="F2032" s="12">
        <v>0</v>
      </c>
    </row>
    <row r="2033" spans="3:6">
      <c r="C2033" s="12"/>
      <c r="D2033" s="12"/>
      <c r="E2033" t="b">
        <f t="shared" si="31"/>
        <v>1</v>
      </c>
      <c r="F2033" s="12">
        <v>0</v>
      </c>
    </row>
    <row r="2034" spans="3:6">
      <c r="C2034" s="12"/>
      <c r="D2034" s="12"/>
      <c r="E2034" t="b">
        <f t="shared" si="31"/>
        <v>1</v>
      </c>
      <c r="F2034" s="12">
        <v>0</v>
      </c>
    </row>
    <row r="2035" spans="3:6">
      <c r="C2035" s="12"/>
      <c r="D2035" s="12"/>
      <c r="E2035" t="b">
        <f t="shared" si="31"/>
        <v>1</v>
      </c>
      <c r="F2035" s="12">
        <v>0</v>
      </c>
    </row>
    <row r="2036" spans="3:6">
      <c r="C2036" s="12"/>
      <c r="D2036" s="12"/>
      <c r="E2036" t="b">
        <f t="shared" si="31"/>
        <v>1</v>
      </c>
      <c r="F2036" s="12">
        <v>0</v>
      </c>
    </row>
    <row r="2037" spans="3:6">
      <c r="C2037" s="12"/>
      <c r="D2037" s="12"/>
      <c r="E2037" t="b">
        <f t="shared" si="31"/>
        <v>1</v>
      </c>
      <c r="F2037" s="12">
        <v>0</v>
      </c>
    </row>
    <row r="2038" spans="3:6">
      <c r="C2038" s="12"/>
      <c r="D2038" s="12"/>
      <c r="E2038" t="b">
        <f t="shared" si="31"/>
        <v>1</v>
      </c>
      <c r="F2038" s="12">
        <v>0</v>
      </c>
    </row>
    <row r="2039" spans="3:6">
      <c r="C2039" s="12"/>
      <c r="D2039" s="12"/>
      <c r="E2039" t="b">
        <f t="shared" si="31"/>
        <v>1</v>
      </c>
      <c r="F2039" s="12">
        <v>0</v>
      </c>
    </row>
    <row r="2040" spans="3:6">
      <c r="C2040" s="12"/>
      <c r="D2040" s="12"/>
      <c r="E2040" t="b">
        <f t="shared" si="31"/>
        <v>1</v>
      </c>
      <c r="F2040" s="12">
        <v>0</v>
      </c>
    </row>
    <row r="2041" spans="3:6">
      <c r="C2041" s="12"/>
      <c r="D2041" s="12"/>
      <c r="E2041" t="b">
        <f t="shared" si="31"/>
        <v>1</v>
      </c>
      <c r="F2041" s="12">
        <v>0</v>
      </c>
    </row>
    <row r="2042" spans="3:6">
      <c r="C2042" s="12"/>
      <c r="D2042" s="12"/>
      <c r="E2042" t="b">
        <f t="shared" si="31"/>
        <v>1</v>
      </c>
      <c r="F2042" s="12">
        <v>0</v>
      </c>
    </row>
    <row r="2043" spans="3:6">
      <c r="C2043" s="12"/>
      <c r="D2043" s="12"/>
      <c r="E2043" t="b">
        <f t="shared" si="31"/>
        <v>1</v>
      </c>
      <c r="F2043" s="12">
        <v>0</v>
      </c>
    </row>
    <row r="2044" spans="3:6">
      <c r="C2044" s="12"/>
      <c r="D2044" s="12"/>
      <c r="E2044" t="b">
        <f t="shared" si="31"/>
        <v>1</v>
      </c>
      <c r="F2044" s="12">
        <v>0</v>
      </c>
    </row>
    <row r="2045" spans="3:6">
      <c r="C2045" s="12"/>
      <c r="D2045" s="12"/>
      <c r="E2045" t="b">
        <f t="shared" si="31"/>
        <v>1</v>
      </c>
      <c r="F2045" s="12">
        <v>0</v>
      </c>
    </row>
    <row r="2046" spans="3:6">
      <c r="C2046" s="12"/>
      <c r="D2046" s="12"/>
      <c r="E2046" t="b">
        <f t="shared" si="31"/>
        <v>1</v>
      </c>
      <c r="F2046" s="12">
        <v>0</v>
      </c>
    </row>
    <row r="2047" spans="3:6">
      <c r="C2047" s="12"/>
      <c r="D2047" s="12"/>
      <c r="E2047" t="b">
        <f t="shared" si="31"/>
        <v>1</v>
      </c>
      <c r="F2047" s="12">
        <v>0</v>
      </c>
    </row>
    <row r="2048" spans="3:6">
      <c r="C2048" s="12"/>
      <c r="D2048" s="12"/>
      <c r="E2048" t="b">
        <f t="shared" si="31"/>
        <v>1</v>
      </c>
      <c r="F2048" s="12">
        <v>0</v>
      </c>
    </row>
    <row r="2049" spans="3:6">
      <c r="C2049" s="12"/>
      <c r="D2049" s="12"/>
      <c r="E2049" t="b">
        <f t="shared" si="31"/>
        <v>1</v>
      </c>
      <c r="F2049" s="12">
        <v>0</v>
      </c>
    </row>
    <row r="2050" spans="3:6">
      <c r="C2050" s="12"/>
      <c r="D2050" s="12"/>
      <c r="E2050" t="b">
        <f t="shared" si="31"/>
        <v>1</v>
      </c>
      <c r="F2050" s="12">
        <v>0</v>
      </c>
    </row>
    <row r="2051" spans="3:6">
      <c r="C2051" s="12"/>
      <c r="D2051" s="12"/>
      <c r="E2051" t="b">
        <f t="shared" ref="E2051:E2114" si="32">F2051=C2051</f>
        <v>1</v>
      </c>
      <c r="F2051" s="12">
        <v>0</v>
      </c>
    </row>
    <row r="2052" spans="3:6">
      <c r="C2052" s="12"/>
      <c r="D2052" s="12"/>
      <c r="E2052" t="b">
        <f t="shared" si="32"/>
        <v>1</v>
      </c>
      <c r="F2052" s="12">
        <v>0</v>
      </c>
    </row>
    <row r="2053" spans="3:6">
      <c r="C2053" s="12"/>
      <c r="D2053" s="12"/>
      <c r="E2053" t="b">
        <f t="shared" si="32"/>
        <v>1</v>
      </c>
      <c r="F2053" s="12">
        <v>0</v>
      </c>
    </row>
    <row r="2054" spans="3:6">
      <c r="C2054" s="12"/>
      <c r="D2054" s="12"/>
      <c r="E2054" t="b">
        <f t="shared" si="32"/>
        <v>1</v>
      </c>
      <c r="F2054" s="12">
        <v>0</v>
      </c>
    </row>
    <row r="2055" spans="3:6">
      <c r="C2055" s="12"/>
      <c r="D2055" s="12"/>
      <c r="E2055" t="b">
        <f t="shared" si="32"/>
        <v>1</v>
      </c>
      <c r="F2055" s="12">
        <v>0</v>
      </c>
    </row>
    <row r="2056" spans="3:6">
      <c r="C2056" s="12"/>
      <c r="D2056" s="12"/>
      <c r="E2056" t="b">
        <f t="shared" si="32"/>
        <v>1</v>
      </c>
      <c r="F2056" s="12">
        <v>0</v>
      </c>
    </row>
    <row r="2057" spans="3:6">
      <c r="C2057" s="12"/>
      <c r="D2057" s="12"/>
      <c r="E2057" t="b">
        <f t="shared" si="32"/>
        <v>1</v>
      </c>
      <c r="F2057" s="12">
        <v>0</v>
      </c>
    </row>
    <row r="2058" spans="3:6">
      <c r="C2058" s="12"/>
      <c r="D2058" s="12"/>
      <c r="E2058" t="b">
        <f t="shared" si="32"/>
        <v>1</v>
      </c>
      <c r="F2058" s="12">
        <v>0</v>
      </c>
    </row>
    <row r="2059" spans="3:6">
      <c r="C2059" s="12"/>
      <c r="D2059" s="12"/>
      <c r="E2059" t="b">
        <f t="shared" si="32"/>
        <v>1</v>
      </c>
      <c r="F2059" s="12">
        <v>0</v>
      </c>
    </row>
    <row r="2060" spans="3:6">
      <c r="C2060" s="12"/>
      <c r="D2060" s="12"/>
      <c r="E2060" t="b">
        <f t="shared" si="32"/>
        <v>1</v>
      </c>
      <c r="F2060" s="12">
        <v>0</v>
      </c>
    </row>
    <row r="2061" spans="3:6">
      <c r="C2061" s="12"/>
      <c r="D2061" s="12"/>
      <c r="E2061" t="b">
        <f t="shared" si="32"/>
        <v>1</v>
      </c>
      <c r="F2061" s="12">
        <v>0</v>
      </c>
    </row>
    <row r="2062" spans="3:6">
      <c r="C2062" s="12"/>
      <c r="D2062" s="12"/>
      <c r="E2062" t="b">
        <f t="shared" si="32"/>
        <v>1</v>
      </c>
      <c r="F2062" s="12">
        <v>0</v>
      </c>
    </row>
    <row r="2063" spans="3:6">
      <c r="C2063" s="12"/>
      <c r="D2063" s="12"/>
      <c r="E2063" t="b">
        <f t="shared" si="32"/>
        <v>1</v>
      </c>
      <c r="F2063" s="12">
        <v>0</v>
      </c>
    </row>
    <row r="2064" spans="3:6">
      <c r="C2064" s="12"/>
      <c r="D2064" s="12"/>
      <c r="E2064" t="b">
        <f t="shared" si="32"/>
        <v>1</v>
      </c>
      <c r="F2064" s="12">
        <v>0</v>
      </c>
    </row>
    <row r="2065" spans="3:6">
      <c r="C2065" s="12"/>
      <c r="D2065" s="12"/>
      <c r="E2065" t="b">
        <f t="shared" si="32"/>
        <v>1</v>
      </c>
      <c r="F2065" s="12">
        <v>0</v>
      </c>
    </row>
    <row r="2066" spans="3:6">
      <c r="C2066" s="12"/>
      <c r="D2066" s="12"/>
      <c r="E2066" t="b">
        <f t="shared" si="32"/>
        <v>1</v>
      </c>
      <c r="F2066" s="12">
        <v>0</v>
      </c>
    </row>
    <row r="2067" spans="3:6">
      <c r="C2067" s="12"/>
      <c r="D2067" s="12"/>
      <c r="E2067" t="b">
        <f t="shared" si="32"/>
        <v>1</v>
      </c>
      <c r="F2067" s="12">
        <v>0</v>
      </c>
    </row>
    <row r="2068" spans="3:6">
      <c r="C2068" s="12"/>
      <c r="D2068" s="12"/>
      <c r="E2068" t="b">
        <f t="shared" si="32"/>
        <v>1</v>
      </c>
      <c r="F2068" s="12">
        <v>0</v>
      </c>
    </row>
    <row r="2069" spans="3:6">
      <c r="C2069" s="12"/>
      <c r="D2069" s="12"/>
      <c r="E2069" t="b">
        <f t="shared" si="32"/>
        <v>1</v>
      </c>
      <c r="F2069" s="12">
        <v>0</v>
      </c>
    </row>
    <row r="2070" spans="3:6">
      <c r="C2070" s="12"/>
      <c r="D2070" s="12"/>
      <c r="E2070" t="b">
        <f t="shared" si="32"/>
        <v>1</v>
      </c>
      <c r="F2070" s="12">
        <v>0</v>
      </c>
    </row>
    <row r="2071" spans="3:6">
      <c r="C2071" s="12"/>
      <c r="D2071" s="12"/>
      <c r="E2071" t="b">
        <f t="shared" si="32"/>
        <v>1</v>
      </c>
      <c r="F2071" s="12">
        <v>0</v>
      </c>
    </row>
    <row r="2072" spans="3:6">
      <c r="C2072" s="12"/>
      <c r="D2072" s="12"/>
      <c r="E2072" t="b">
        <f t="shared" si="32"/>
        <v>1</v>
      </c>
      <c r="F2072" s="12">
        <v>0</v>
      </c>
    </row>
    <row r="2073" spans="3:6">
      <c r="C2073" s="12"/>
      <c r="D2073" s="12"/>
      <c r="E2073" t="b">
        <f t="shared" si="32"/>
        <v>1</v>
      </c>
      <c r="F2073" s="12">
        <v>0</v>
      </c>
    </row>
    <row r="2074" spans="3:6">
      <c r="C2074" s="12"/>
      <c r="D2074" s="12"/>
      <c r="E2074" t="b">
        <f t="shared" si="32"/>
        <v>1</v>
      </c>
      <c r="F2074" s="12">
        <v>0</v>
      </c>
    </row>
    <row r="2075" spans="3:6">
      <c r="C2075" s="12"/>
      <c r="D2075" s="12"/>
      <c r="E2075" t="b">
        <f t="shared" si="32"/>
        <v>1</v>
      </c>
      <c r="F2075" s="12">
        <v>0</v>
      </c>
    </row>
    <row r="2076" spans="3:6">
      <c r="C2076" s="12"/>
      <c r="D2076" s="12"/>
      <c r="E2076" t="b">
        <f t="shared" si="32"/>
        <v>1</v>
      </c>
      <c r="F2076" s="12">
        <v>0</v>
      </c>
    </row>
    <row r="2077" spans="3:6">
      <c r="C2077" s="12"/>
      <c r="D2077" s="12"/>
      <c r="E2077" t="b">
        <f t="shared" si="32"/>
        <v>1</v>
      </c>
      <c r="F2077" s="12">
        <v>0</v>
      </c>
    </row>
    <row r="2078" spans="3:6">
      <c r="C2078" s="12"/>
      <c r="D2078" s="12"/>
      <c r="E2078" t="b">
        <f t="shared" si="32"/>
        <v>1</v>
      </c>
      <c r="F2078" s="12">
        <v>0</v>
      </c>
    </row>
    <row r="2079" spans="3:6">
      <c r="C2079" s="12"/>
      <c r="D2079" s="12"/>
      <c r="E2079" t="b">
        <f t="shared" si="32"/>
        <v>1</v>
      </c>
      <c r="F2079" s="12">
        <v>0</v>
      </c>
    </row>
    <row r="2080" spans="3:6">
      <c r="C2080" s="12"/>
      <c r="D2080" s="12"/>
      <c r="E2080" t="b">
        <f t="shared" si="32"/>
        <v>1</v>
      </c>
      <c r="F2080" s="12">
        <v>0</v>
      </c>
    </row>
    <row r="2081" spans="3:6">
      <c r="C2081" s="12"/>
      <c r="D2081" s="12"/>
      <c r="E2081" t="b">
        <f t="shared" si="32"/>
        <v>1</v>
      </c>
      <c r="F2081" s="12">
        <v>0</v>
      </c>
    </row>
    <row r="2082" spans="3:6">
      <c r="C2082" s="12"/>
      <c r="D2082" s="12"/>
      <c r="E2082" t="b">
        <f t="shared" si="32"/>
        <v>1</v>
      </c>
      <c r="F2082" s="12">
        <v>0</v>
      </c>
    </row>
    <row r="2083" spans="3:6">
      <c r="C2083" s="12"/>
      <c r="D2083" s="12"/>
      <c r="E2083" t="b">
        <f t="shared" si="32"/>
        <v>1</v>
      </c>
      <c r="F2083" s="12">
        <v>0</v>
      </c>
    </row>
    <row r="2084" spans="3:6">
      <c r="C2084" s="12"/>
      <c r="D2084" s="12"/>
      <c r="E2084" t="b">
        <f t="shared" si="32"/>
        <v>1</v>
      </c>
      <c r="F2084" s="12">
        <v>0</v>
      </c>
    </row>
    <row r="2085" spans="3:6">
      <c r="C2085" s="12"/>
      <c r="D2085" s="12"/>
      <c r="E2085" t="b">
        <f t="shared" si="32"/>
        <v>1</v>
      </c>
      <c r="F2085" s="12">
        <v>0</v>
      </c>
    </row>
    <row r="2086" spans="3:6">
      <c r="C2086" s="12"/>
      <c r="D2086" s="12"/>
      <c r="E2086" t="b">
        <f t="shared" si="32"/>
        <v>1</v>
      </c>
      <c r="F2086" s="12">
        <v>0</v>
      </c>
    </row>
    <row r="2087" spans="3:6">
      <c r="C2087" s="12"/>
      <c r="D2087" s="12"/>
      <c r="E2087" t="b">
        <f t="shared" si="32"/>
        <v>1</v>
      </c>
      <c r="F2087" s="12">
        <v>0</v>
      </c>
    </row>
    <row r="2088" spans="3:6">
      <c r="C2088" s="12"/>
      <c r="D2088" s="12"/>
      <c r="E2088" t="b">
        <f t="shared" si="32"/>
        <v>1</v>
      </c>
      <c r="F2088" s="12">
        <v>0</v>
      </c>
    </row>
    <row r="2089" spans="3:6">
      <c r="C2089" s="12"/>
      <c r="D2089" s="12"/>
      <c r="E2089" t="b">
        <f t="shared" si="32"/>
        <v>1</v>
      </c>
      <c r="F2089" s="12">
        <v>0</v>
      </c>
    </row>
    <row r="2090" spans="3:6">
      <c r="C2090" s="12"/>
      <c r="D2090" s="12"/>
      <c r="E2090" t="b">
        <f t="shared" si="32"/>
        <v>1</v>
      </c>
      <c r="F2090" s="12">
        <v>0</v>
      </c>
    </row>
    <row r="2091" spans="3:6">
      <c r="C2091" s="12"/>
      <c r="D2091" s="12"/>
      <c r="E2091" t="b">
        <f t="shared" si="32"/>
        <v>1</v>
      </c>
      <c r="F2091" s="12">
        <v>0</v>
      </c>
    </row>
    <row r="2092" spans="3:6">
      <c r="C2092" s="12"/>
      <c r="D2092" s="12"/>
      <c r="E2092" t="b">
        <f t="shared" si="32"/>
        <v>1</v>
      </c>
      <c r="F2092" s="12">
        <v>0</v>
      </c>
    </row>
    <row r="2093" spans="3:6">
      <c r="C2093" s="12"/>
      <c r="D2093" s="12"/>
      <c r="E2093" t="b">
        <f t="shared" si="32"/>
        <v>1</v>
      </c>
      <c r="F2093" s="12">
        <v>0</v>
      </c>
    </row>
    <row r="2094" spans="3:6">
      <c r="C2094" s="12"/>
      <c r="D2094" s="12"/>
      <c r="E2094" t="b">
        <f t="shared" si="32"/>
        <v>1</v>
      </c>
      <c r="F2094" s="12">
        <v>0</v>
      </c>
    </row>
    <row r="2095" spans="3:6">
      <c r="C2095" s="12"/>
      <c r="D2095" s="12"/>
      <c r="E2095" t="b">
        <f t="shared" si="32"/>
        <v>1</v>
      </c>
      <c r="F2095" s="12">
        <v>0</v>
      </c>
    </row>
    <row r="2096" spans="3:6">
      <c r="C2096" s="12"/>
      <c r="D2096" s="12"/>
      <c r="E2096" t="b">
        <f t="shared" si="32"/>
        <v>1</v>
      </c>
      <c r="F2096" s="12">
        <v>0</v>
      </c>
    </row>
    <row r="2097" spans="3:6">
      <c r="C2097" s="12"/>
      <c r="D2097" s="12"/>
      <c r="E2097" t="b">
        <f t="shared" si="32"/>
        <v>1</v>
      </c>
      <c r="F2097" s="12">
        <v>0</v>
      </c>
    </row>
    <row r="2098" spans="3:6">
      <c r="C2098" s="12"/>
      <c r="D2098" s="12"/>
      <c r="E2098" t="b">
        <f t="shared" si="32"/>
        <v>1</v>
      </c>
      <c r="F2098" s="12">
        <v>0</v>
      </c>
    </row>
    <row r="2099" spans="3:6">
      <c r="C2099" s="12"/>
      <c r="D2099" s="12"/>
      <c r="E2099" t="b">
        <f t="shared" si="32"/>
        <v>1</v>
      </c>
      <c r="F2099" s="12">
        <v>0</v>
      </c>
    </row>
    <row r="2100" spans="3:6">
      <c r="C2100" s="12"/>
      <c r="D2100" s="12"/>
      <c r="E2100" t="b">
        <f t="shared" si="32"/>
        <v>1</v>
      </c>
      <c r="F2100" s="12">
        <v>0</v>
      </c>
    </row>
    <row r="2101" spans="3:6">
      <c r="C2101" s="12"/>
      <c r="D2101" s="12"/>
      <c r="E2101" t="b">
        <f t="shared" si="32"/>
        <v>1</v>
      </c>
      <c r="F2101" s="12">
        <v>0</v>
      </c>
    </row>
    <row r="2102" spans="3:6">
      <c r="C2102" s="12"/>
      <c r="D2102" s="12"/>
      <c r="E2102" t="b">
        <f t="shared" si="32"/>
        <v>1</v>
      </c>
      <c r="F2102" s="12">
        <v>0</v>
      </c>
    </row>
    <row r="2103" spans="3:6">
      <c r="C2103" s="12"/>
      <c r="D2103" s="12"/>
      <c r="E2103" t="b">
        <f t="shared" si="32"/>
        <v>1</v>
      </c>
      <c r="F2103" s="12">
        <v>0</v>
      </c>
    </row>
    <row r="2104" spans="3:6">
      <c r="C2104" s="12"/>
      <c r="D2104" s="12"/>
      <c r="E2104" t="b">
        <f t="shared" si="32"/>
        <v>1</v>
      </c>
      <c r="F2104" s="12">
        <v>0</v>
      </c>
    </row>
    <row r="2105" spans="3:6">
      <c r="C2105" s="12"/>
      <c r="D2105" s="12"/>
      <c r="E2105" t="b">
        <f t="shared" si="32"/>
        <v>1</v>
      </c>
      <c r="F2105" s="12">
        <v>0</v>
      </c>
    </row>
    <row r="2106" spans="3:6">
      <c r="C2106" s="12"/>
      <c r="D2106" s="12"/>
      <c r="E2106" t="b">
        <f t="shared" si="32"/>
        <v>1</v>
      </c>
      <c r="F2106" s="12">
        <v>0</v>
      </c>
    </row>
    <row r="2107" spans="3:6">
      <c r="C2107" s="12"/>
      <c r="D2107" s="12"/>
      <c r="E2107" t="b">
        <f t="shared" si="32"/>
        <v>1</v>
      </c>
      <c r="F2107" s="12">
        <v>0</v>
      </c>
    </row>
    <row r="2108" spans="3:6">
      <c r="C2108" s="12"/>
      <c r="D2108" s="12"/>
      <c r="E2108" t="b">
        <f t="shared" si="32"/>
        <v>1</v>
      </c>
      <c r="F2108" s="12">
        <v>0</v>
      </c>
    </row>
    <row r="2109" spans="3:6">
      <c r="C2109" s="12"/>
      <c r="D2109" s="12"/>
      <c r="E2109" t="b">
        <f t="shared" si="32"/>
        <v>1</v>
      </c>
      <c r="F2109" s="12">
        <v>0</v>
      </c>
    </row>
    <row r="2110" spans="3:6">
      <c r="C2110" s="12"/>
      <c r="D2110" s="12"/>
      <c r="E2110" t="b">
        <f t="shared" si="32"/>
        <v>1</v>
      </c>
      <c r="F2110" s="12">
        <v>0</v>
      </c>
    </row>
    <row r="2111" spans="3:6">
      <c r="C2111" s="12"/>
      <c r="D2111" s="12"/>
      <c r="E2111" t="b">
        <f t="shared" si="32"/>
        <v>1</v>
      </c>
      <c r="F2111" s="12">
        <v>0</v>
      </c>
    </row>
    <row r="2112" spans="3:6">
      <c r="C2112" s="12"/>
      <c r="D2112" s="12"/>
      <c r="E2112" t="b">
        <f t="shared" si="32"/>
        <v>1</v>
      </c>
      <c r="F2112" s="12">
        <v>0</v>
      </c>
    </row>
    <row r="2113" spans="3:6">
      <c r="C2113" s="12"/>
      <c r="D2113" s="12"/>
      <c r="E2113" t="b">
        <f t="shared" si="32"/>
        <v>1</v>
      </c>
      <c r="F2113" s="12">
        <v>0</v>
      </c>
    </row>
    <row r="2114" spans="3:6">
      <c r="C2114" s="12"/>
      <c r="D2114" s="12"/>
      <c r="E2114" t="b">
        <f t="shared" si="32"/>
        <v>1</v>
      </c>
      <c r="F2114" s="12">
        <v>0</v>
      </c>
    </row>
    <row r="2115" spans="3:6">
      <c r="C2115" s="12"/>
      <c r="D2115" s="12"/>
      <c r="E2115" t="b">
        <f t="shared" ref="E2115:E2178" si="33">F2115=C2115</f>
        <v>1</v>
      </c>
      <c r="F2115" s="12">
        <v>0</v>
      </c>
    </row>
    <row r="2116" spans="3:6">
      <c r="C2116" s="12"/>
      <c r="D2116" s="12"/>
      <c r="E2116" t="b">
        <f t="shared" si="33"/>
        <v>1</v>
      </c>
      <c r="F2116" s="12">
        <v>0</v>
      </c>
    </row>
    <row r="2117" spans="3:6">
      <c r="C2117" s="12"/>
      <c r="D2117" s="12"/>
      <c r="E2117" t="b">
        <f t="shared" si="33"/>
        <v>1</v>
      </c>
      <c r="F2117" s="12">
        <v>0</v>
      </c>
    </row>
    <row r="2118" spans="3:6">
      <c r="C2118" s="12"/>
      <c r="D2118" s="12"/>
      <c r="E2118" t="b">
        <f t="shared" si="33"/>
        <v>1</v>
      </c>
      <c r="F2118" s="12">
        <v>0</v>
      </c>
    </row>
    <row r="2119" spans="3:6">
      <c r="C2119" s="12"/>
      <c r="D2119" s="12"/>
      <c r="E2119" t="b">
        <f t="shared" si="33"/>
        <v>1</v>
      </c>
      <c r="F2119" s="12">
        <v>0</v>
      </c>
    </row>
    <row r="2120" spans="3:6">
      <c r="C2120" s="12"/>
      <c r="D2120" s="12"/>
      <c r="E2120" t="b">
        <f t="shared" si="33"/>
        <v>1</v>
      </c>
      <c r="F2120" s="12">
        <v>0</v>
      </c>
    </row>
    <row r="2121" spans="3:6">
      <c r="C2121" s="12"/>
      <c r="D2121" s="12"/>
      <c r="E2121" t="b">
        <f t="shared" si="33"/>
        <v>1</v>
      </c>
      <c r="F2121" s="12">
        <v>0</v>
      </c>
    </row>
    <row r="2122" spans="3:6">
      <c r="C2122" s="12"/>
      <c r="D2122" s="12"/>
      <c r="E2122" t="b">
        <f t="shared" si="33"/>
        <v>1</v>
      </c>
      <c r="F2122" s="12">
        <v>0</v>
      </c>
    </row>
    <row r="2123" spans="3:6">
      <c r="C2123" s="12"/>
      <c r="D2123" s="12"/>
      <c r="E2123" t="b">
        <f t="shared" si="33"/>
        <v>1</v>
      </c>
      <c r="F2123" s="12">
        <v>0</v>
      </c>
    </row>
    <row r="2124" spans="3:6">
      <c r="C2124" s="12"/>
      <c r="D2124" s="12"/>
      <c r="E2124" t="b">
        <f t="shared" si="33"/>
        <v>1</v>
      </c>
      <c r="F2124" s="12">
        <v>0</v>
      </c>
    </row>
    <row r="2125" spans="3:6">
      <c r="C2125" s="12"/>
      <c r="D2125" s="12"/>
      <c r="E2125" t="b">
        <f t="shared" si="33"/>
        <v>1</v>
      </c>
      <c r="F2125" s="12">
        <v>0</v>
      </c>
    </row>
    <row r="2126" spans="3:6">
      <c r="C2126" s="12"/>
      <c r="D2126" s="12"/>
      <c r="E2126" t="b">
        <f t="shared" si="33"/>
        <v>1</v>
      </c>
      <c r="F2126" s="12">
        <v>0</v>
      </c>
    </row>
    <row r="2127" spans="3:6">
      <c r="C2127" s="12"/>
      <c r="D2127" s="12"/>
      <c r="E2127" t="b">
        <f t="shared" si="33"/>
        <v>1</v>
      </c>
      <c r="F2127" s="12">
        <v>0</v>
      </c>
    </row>
    <row r="2128" spans="3:6">
      <c r="C2128" s="12"/>
      <c r="D2128" s="12"/>
      <c r="E2128" t="b">
        <f t="shared" si="33"/>
        <v>1</v>
      </c>
      <c r="F2128" s="12">
        <v>0</v>
      </c>
    </row>
    <row r="2129" spans="3:6">
      <c r="C2129" s="12"/>
      <c r="D2129" s="12"/>
      <c r="E2129" t="b">
        <f t="shared" si="33"/>
        <v>1</v>
      </c>
      <c r="F2129" s="12">
        <v>0</v>
      </c>
    </row>
    <row r="2130" spans="3:6">
      <c r="C2130" s="12"/>
      <c r="D2130" s="12"/>
      <c r="E2130" t="b">
        <f t="shared" si="33"/>
        <v>1</v>
      </c>
      <c r="F2130" s="12">
        <v>0</v>
      </c>
    </row>
    <row r="2131" spans="3:6">
      <c r="C2131" s="12"/>
      <c r="D2131" s="12"/>
      <c r="E2131" t="b">
        <f t="shared" si="33"/>
        <v>1</v>
      </c>
      <c r="F2131" s="12">
        <v>0</v>
      </c>
    </row>
    <row r="2132" spans="3:6">
      <c r="C2132" s="12"/>
      <c r="D2132" s="12"/>
      <c r="E2132" t="b">
        <f t="shared" si="33"/>
        <v>1</v>
      </c>
      <c r="F2132" s="12">
        <v>0</v>
      </c>
    </row>
    <row r="2133" spans="3:6">
      <c r="C2133" s="12"/>
      <c r="D2133" s="12"/>
      <c r="E2133" t="b">
        <f t="shared" si="33"/>
        <v>1</v>
      </c>
      <c r="F2133" s="12">
        <v>0</v>
      </c>
    </row>
    <row r="2134" spans="3:6">
      <c r="C2134" s="12"/>
      <c r="D2134" s="12"/>
      <c r="E2134" t="b">
        <f t="shared" si="33"/>
        <v>1</v>
      </c>
      <c r="F2134" s="12">
        <v>0</v>
      </c>
    </row>
    <row r="2135" spans="3:6">
      <c r="C2135" s="12"/>
      <c r="D2135" s="12"/>
      <c r="E2135" t="b">
        <f t="shared" si="33"/>
        <v>1</v>
      </c>
      <c r="F2135" s="12">
        <v>0</v>
      </c>
    </row>
    <row r="2136" spans="3:6">
      <c r="C2136" s="12"/>
      <c r="D2136" s="12"/>
      <c r="E2136" t="b">
        <f t="shared" si="33"/>
        <v>1</v>
      </c>
      <c r="F2136" s="12">
        <v>0</v>
      </c>
    </row>
    <row r="2137" spans="3:6">
      <c r="C2137" s="12"/>
      <c r="D2137" s="12"/>
      <c r="E2137" t="b">
        <f t="shared" si="33"/>
        <v>1</v>
      </c>
      <c r="F2137" s="12">
        <v>0</v>
      </c>
    </row>
    <row r="2138" spans="3:6">
      <c r="C2138" s="12"/>
      <c r="D2138" s="12"/>
      <c r="E2138" t="b">
        <f t="shared" si="33"/>
        <v>1</v>
      </c>
      <c r="F2138" s="12">
        <v>0</v>
      </c>
    </row>
    <row r="2139" spans="3:6">
      <c r="C2139" s="12"/>
      <c r="D2139" s="12"/>
      <c r="E2139" t="b">
        <f t="shared" si="33"/>
        <v>1</v>
      </c>
      <c r="F2139" s="12">
        <v>0</v>
      </c>
    </row>
    <row r="2140" spans="3:6">
      <c r="C2140" s="12"/>
      <c r="D2140" s="12"/>
      <c r="E2140" t="b">
        <f t="shared" si="33"/>
        <v>1</v>
      </c>
      <c r="F2140" s="12">
        <v>0</v>
      </c>
    </row>
    <row r="2141" spans="3:6">
      <c r="C2141" s="12"/>
      <c r="D2141" s="12"/>
      <c r="E2141" t="b">
        <f t="shared" si="33"/>
        <v>1</v>
      </c>
      <c r="F2141" s="12">
        <v>0</v>
      </c>
    </row>
    <row r="2142" spans="3:6">
      <c r="C2142" s="12"/>
      <c r="D2142" s="12"/>
      <c r="E2142" t="b">
        <f t="shared" si="33"/>
        <v>1</v>
      </c>
      <c r="F2142" s="12">
        <v>0</v>
      </c>
    </row>
    <row r="2143" spans="3:6">
      <c r="C2143" s="12"/>
      <c r="D2143" s="12"/>
      <c r="E2143" t="b">
        <f t="shared" si="33"/>
        <v>1</v>
      </c>
      <c r="F2143" s="12">
        <v>0</v>
      </c>
    </row>
    <row r="2144" spans="3:6">
      <c r="C2144" s="12"/>
      <c r="D2144" s="12"/>
      <c r="E2144" t="b">
        <f t="shared" si="33"/>
        <v>1</v>
      </c>
      <c r="F2144" s="12">
        <v>0</v>
      </c>
    </row>
    <row r="2145" spans="3:6">
      <c r="C2145" s="12"/>
      <c r="D2145" s="12"/>
      <c r="E2145" t="b">
        <f t="shared" si="33"/>
        <v>1</v>
      </c>
      <c r="F2145" s="12">
        <v>0</v>
      </c>
    </row>
    <row r="2146" spans="3:6">
      <c r="C2146" s="12"/>
      <c r="D2146" s="12"/>
      <c r="E2146" t="b">
        <f t="shared" si="33"/>
        <v>1</v>
      </c>
      <c r="F2146" s="12">
        <v>0</v>
      </c>
    </row>
    <row r="2147" spans="3:6">
      <c r="C2147" s="12"/>
      <c r="D2147" s="12"/>
      <c r="E2147" t="b">
        <f t="shared" si="33"/>
        <v>1</v>
      </c>
      <c r="F2147" s="12">
        <v>0</v>
      </c>
    </row>
    <row r="2148" spans="3:6">
      <c r="C2148" s="12"/>
      <c r="D2148" s="12"/>
      <c r="E2148" t="b">
        <f t="shared" si="33"/>
        <v>1</v>
      </c>
      <c r="F2148" s="12">
        <v>0</v>
      </c>
    </row>
    <row r="2149" spans="3:6">
      <c r="C2149" s="12"/>
      <c r="D2149" s="12"/>
      <c r="E2149" t="b">
        <f t="shared" si="33"/>
        <v>1</v>
      </c>
      <c r="F2149" s="12">
        <v>0</v>
      </c>
    </row>
    <row r="2150" spans="3:6">
      <c r="C2150" s="12"/>
      <c r="D2150" s="12"/>
      <c r="E2150" t="b">
        <f t="shared" si="33"/>
        <v>1</v>
      </c>
      <c r="F2150" s="12">
        <v>0</v>
      </c>
    </row>
    <row r="2151" spans="3:6">
      <c r="C2151" s="12"/>
      <c r="D2151" s="12"/>
      <c r="E2151" t="b">
        <f t="shared" si="33"/>
        <v>1</v>
      </c>
      <c r="F2151" s="12">
        <v>0</v>
      </c>
    </row>
    <row r="2152" spans="3:6">
      <c r="C2152" s="12"/>
      <c r="D2152" s="12"/>
      <c r="E2152" t="b">
        <f t="shared" si="33"/>
        <v>1</v>
      </c>
      <c r="F2152" s="12">
        <v>0</v>
      </c>
    </row>
    <row r="2153" spans="3:6">
      <c r="C2153" s="12"/>
      <c r="D2153" s="12"/>
      <c r="E2153" t="b">
        <f t="shared" si="33"/>
        <v>1</v>
      </c>
      <c r="F2153" s="12">
        <v>0</v>
      </c>
    </row>
    <row r="2154" spans="3:6">
      <c r="C2154" s="12"/>
      <c r="D2154" s="12"/>
      <c r="E2154" t="b">
        <f t="shared" si="33"/>
        <v>1</v>
      </c>
      <c r="F2154" s="12">
        <v>0</v>
      </c>
    </row>
    <row r="2155" spans="3:6">
      <c r="C2155" s="12"/>
      <c r="D2155" s="12"/>
      <c r="E2155" t="b">
        <f t="shared" si="33"/>
        <v>1</v>
      </c>
      <c r="F2155" s="12">
        <v>0</v>
      </c>
    </row>
    <row r="2156" spans="3:6">
      <c r="C2156" s="12"/>
      <c r="D2156" s="12"/>
      <c r="E2156" t="b">
        <f t="shared" si="33"/>
        <v>1</v>
      </c>
      <c r="F2156" s="12">
        <v>0</v>
      </c>
    </row>
    <row r="2157" spans="3:6">
      <c r="C2157" s="12"/>
      <c r="D2157" s="12"/>
      <c r="E2157" t="b">
        <f t="shared" si="33"/>
        <v>1</v>
      </c>
      <c r="F2157" s="12">
        <v>0</v>
      </c>
    </row>
    <row r="2158" spans="3:6">
      <c r="C2158" s="12"/>
      <c r="D2158" s="12"/>
      <c r="E2158" t="b">
        <f t="shared" si="33"/>
        <v>1</v>
      </c>
      <c r="F2158" s="12">
        <v>0</v>
      </c>
    </row>
    <row r="2159" spans="3:6">
      <c r="C2159" s="12"/>
      <c r="D2159" s="12"/>
      <c r="E2159" t="b">
        <f t="shared" si="33"/>
        <v>1</v>
      </c>
      <c r="F2159" s="12">
        <v>0</v>
      </c>
    </row>
    <row r="2160" spans="3:6">
      <c r="C2160" s="12"/>
      <c r="D2160" s="12"/>
      <c r="E2160" t="b">
        <f t="shared" si="33"/>
        <v>1</v>
      </c>
      <c r="F2160" s="12">
        <v>0</v>
      </c>
    </row>
    <row r="2161" spans="3:6">
      <c r="C2161" s="12"/>
      <c r="D2161" s="12"/>
      <c r="E2161" t="b">
        <f t="shared" si="33"/>
        <v>1</v>
      </c>
      <c r="F2161" s="12">
        <v>0</v>
      </c>
    </row>
    <row r="2162" spans="3:6">
      <c r="C2162" s="12"/>
      <c r="D2162" s="12"/>
      <c r="E2162" t="b">
        <f t="shared" si="33"/>
        <v>1</v>
      </c>
      <c r="F2162" s="12">
        <v>0</v>
      </c>
    </row>
    <row r="2163" spans="3:6">
      <c r="C2163" s="12"/>
      <c r="D2163" s="12"/>
      <c r="E2163" t="b">
        <f t="shared" si="33"/>
        <v>1</v>
      </c>
      <c r="F2163" s="12">
        <v>0</v>
      </c>
    </row>
    <row r="2164" spans="3:6">
      <c r="C2164" s="12"/>
      <c r="D2164" s="12"/>
      <c r="E2164" t="b">
        <f t="shared" si="33"/>
        <v>1</v>
      </c>
      <c r="F2164" s="12">
        <v>0</v>
      </c>
    </row>
    <row r="2165" spans="3:6">
      <c r="C2165" s="12"/>
      <c r="D2165" s="12"/>
      <c r="E2165" t="b">
        <f t="shared" si="33"/>
        <v>1</v>
      </c>
      <c r="F2165" s="12">
        <v>0</v>
      </c>
    </row>
    <row r="2166" spans="3:6">
      <c r="C2166" s="12"/>
      <c r="D2166" s="12"/>
      <c r="E2166" t="b">
        <f t="shared" si="33"/>
        <v>1</v>
      </c>
      <c r="F2166" s="12">
        <v>0</v>
      </c>
    </row>
    <row r="2167" spans="3:6">
      <c r="C2167" s="12"/>
      <c r="D2167" s="12"/>
      <c r="E2167" t="b">
        <f t="shared" si="33"/>
        <v>1</v>
      </c>
      <c r="F2167" s="12">
        <v>0</v>
      </c>
    </row>
    <row r="2168" spans="3:6">
      <c r="C2168" s="12"/>
      <c r="D2168" s="12"/>
      <c r="E2168" t="b">
        <f t="shared" si="33"/>
        <v>1</v>
      </c>
      <c r="F2168" s="12">
        <v>0</v>
      </c>
    </row>
    <row r="2169" spans="3:6">
      <c r="C2169" s="12"/>
      <c r="D2169" s="12"/>
      <c r="E2169" t="b">
        <f t="shared" si="33"/>
        <v>1</v>
      </c>
      <c r="F2169" s="12">
        <v>0</v>
      </c>
    </row>
    <row r="2170" spans="3:6">
      <c r="C2170" s="12"/>
      <c r="D2170" s="12"/>
      <c r="E2170" t="b">
        <f t="shared" si="33"/>
        <v>1</v>
      </c>
      <c r="F2170" s="12">
        <v>0</v>
      </c>
    </row>
    <row r="2171" spans="3:6">
      <c r="C2171" s="12"/>
      <c r="D2171" s="12"/>
      <c r="E2171" t="b">
        <f t="shared" si="33"/>
        <v>1</v>
      </c>
      <c r="F2171" s="12">
        <v>0</v>
      </c>
    </row>
    <row r="2172" spans="3:6">
      <c r="C2172" s="12"/>
      <c r="D2172" s="12"/>
      <c r="E2172" t="b">
        <f t="shared" si="33"/>
        <v>1</v>
      </c>
      <c r="F2172" s="12">
        <v>0</v>
      </c>
    </row>
    <row r="2173" spans="3:6">
      <c r="C2173" s="12"/>
      <c r="D2173" s="12"/>
      <c r="E2173" t="b">
        <f t="shared" si="33"/>
        <v>1</v>
      </c>
      <c r="F2173" s="12">
        <v>0</v>
      </c>
    </row>
    <row r="2174" spans="3:6">
      <c r="C2174" s="12"/>
      <c r="D2174" s="12"/>
      <c r="E2174" t="b">
        <f t="shared" si="33"/>
        <v>1</v>
      </c>
      <c r="F2174" s="12">
        <v>0</v>
      </c>
    </row>
    <row r="2175" spans="3:6">
      <c r="C2175" s="12"/>
      <c r="D2175" s="12"/>
      <c r="E2175" t="b">
        <f t="shared" si="33"/>
        <v>1</v>
      </c>
      <c r="F2175" s="12">
        <v>0</v>
      </c>
    </row>
    <row r="2176" spans="3:6">
      <c r="C2176" s="12"/>
      <c r="D2176" s="12"/>
      <c r="E2176" t="b">
        <f t="shared" si="33"/>
        <v>1</v>
      </c>
      <c r="F2176" s="12">
        <v>0</v>
      </c>
    </row>
    <row r="2177" spans="3:6">
      <c r="C2177" s="12"/>
      <c r="D2177" s="12"/>
      <c r="E2177" t="b">
        <f t="shared" si="33"/>
        <v>1</v>
      </c>
      <c r="F2177" s="12">
        <v>0</v>
      </c>
    </row>
    <row r="2178" spans="3:6">
      <c r="C2178" s="12"/>
      <c r="D2178" s="12"/>
      <c r="E2178" t="b">
        <f t="shared" si="33"/>
        <v>1</v>
      </c>
      <c r="F2178" s="12">
        <v>0</v>
      </c>
    </row>
    <row r="2179" spans="3:6">
      <c r="C2179" s="12"/>
      <c r="D2179" s="12"/>
      <c r="E2179" t="b">
        <f t="shared" ref="E2179:E2242" si="34">F2179=C2179</f>
        <v>1</v>
      </c>
      <c r="F2179" s="12">
        <v>0</v>
      </c>
    </row>
    <row r="2180" spans="3:6">
      <c r="C2180" s="12"/>
      <c r="D2180" s="12"/>
      <c r="E2180" t="b">
        <f t="shared" si="34"/>
        <v>1</v>
      </c>
      <c r="F2180" s="12">
        <v>0</v>
      </c>
    </row>
    <row r="2181" spans="3:6">
      <c r="C2181" s="12"/>
      <c r="D2181" s="12"/>
      <c r="E2181" t="b">
        <f t="shared" si="34"/>
        <v>1</v>
      </c>
      <c r="F2181" s="12">
        <v>0</v>
      </c>
    </row>
    <row r="2182" spans="3:6">
      <c r="C2182" s="12"/>
      <c r="D2182" s="12"/>
      <c r="E2182" t="b">
        <f t="shared" si="34"/>
        <v>1</v>
      </c>
      <c r="F2182" s="12">
        <v>0</v>
      </c>
    </row>
    <row r="2183" spans="3:6">
      <c r="C2183" s="12"/>
      <c r="D2183" s="12"/>
      <c r="E2183" t="b">
        <f t="shared" si="34"/>
        <v>1</v>
      </c>
      <c r="F2183" s="12">
        <v>0</v>
      </c>
    </row>
    <row r="2184" spans="3:6">
      <c r="C2184" s="12"/>
      <c r="D2184" s="12"/>
      <c r="E2184" t="b">
        <f t="shared" si="34"/>
        <v>1</v>
      </c>
      <c r="F2184" s="12">
        <v>0</v>
      </c>
    </row>
    <row r="2185" spans="3:6">
      <c r="C2185" s="12"/>
      <c r="D2185" s="12"/>
      <c r="E2185" t="b">
        <f t="shared" si="34"/>
        <v>1</v>
      </c>
      <c r="F2185" s="12">
        <v>0</v>
      </c>
    </row>
    <row r="2186" spans="3:6">
      <c r="C2186" s="12"/>
      <c r="D2186" s="12"/>
      <c r="E2186" t="b">
        <f t="shared" si="34"/>
        <v>1</v>
      </c>
      <c r="F2186" s="12">
        <v>0</v>
      </c>
    </row>
    <row r="2187" spans="3:6">
      <c r="C2187" s="12"/>
      <c r="D2187" s="12"/>
      <c r="E2187" t="b">
        <f t="shared" si="34"/>
        <v>1</v>
      </c>
      <c r="F2187" s="12">
        <v>0</v>
      </c>
    </row>
    <row r="2188" spans="3:6">
      <c r="C2188" s="12"/>
      <c r="D2188" s="12"/>
      <c r="E2188" t="b">
        <f t="shared" si="34"/>
        <v>1</v>
      </c>
      <c r="F2188" s="12">
        <v>0</v>
      </c>
    </row>
    <row r="2189" spans="3:6">
      <c r="C2189" s="12"/>
      <c r="D2189" s="12"/>
      <c r="E2189" t="b">
        <f t="shared" si="34"/>
        <v>1</v>
      </c>
      <c r="F2189" s="12">
        <v>0</v>
      </c>
    </row>
    <row r="2190" spans="3:6">
      <c r="C2190" s="12"/>
      <c r="D2190" s="12"/>
      <c r="E2190" t="b">
        <f t="shared" si="34"/>
        <v>1</v>
      </c>
      <c r="F2190" s="12">
        <v>0</v>
      </c>
    </row>
    <row r="2191" spans="3:6">
      <c r="C2191" s="12"/>
      <c r="D2191" s="12"/>
      <c r="E2191" t="b">
        <f t="shared" si="34"/>
        <v>1</v>
      </c>
      <c r="F2191" s="12">
        <v>0</v>
      </c>
    </row>
    <row r="2192" spans="3:6">
      <c r="C2192" s="12"/>
      <c r="D2192" s="12"/>
      <c r="E2192" t="b">
        <f t="shared" si="34"/>
        <v>1</v>
      </c>
      <c r="F2192" s="12">
        <v>0</v>
      </c>
    </row>
    <row r="2193" spans="3:6">
      <c r="C2193" s="12"/>
      <c r="D2193" s="12"/>
      <c r="E2193" t="b">
        <f t="shared" si="34"/>
        <v>1</v>
      </c>
      <c r="F2193" s="12">
        <v>0</v>
      </c>
    </row>
    <row r="2194" spans="3:6">
      <c r="C2194" s="12"/>
      <c r="D2194" s="12"/>
      <c r="E2194" t="b">
        <f t="shared" si="34"/>
        <v>1</v>
      </c>
      <c r="F2194" s="12">
        <v>0</v>
      </c>
    </row>
    <row r="2195" spans="3:6">
      <c r="C2195" s="12"/>
      <c r="D2195" s="12"/>
      <c r="E2195" t="b">
        <f t="shared" si="34"/>
        <v>1</v>
      </c>
      <c r="F2195" s="12">
        <v>0</v>
      </c>
    </row>
    <row r="2196" spans="3:6">
      <c r="C2196" s="12"/>
      <c r="D2196" s="12"/>
      <c r="E2196" t="b">
        <f t="shared" si="34"/>
        <v>1</v>
      </c>
      <c r="F2196" s="12">
        <v>0</v>
      </c>
    </row>
    <row r="2197" spans="3:6">
      <c r="C2197" s="12"/>
      <c r="D2197" s="12"/>
      <c r="E2197" t="b">
        <f t="shared" si="34"/>
        <v>1</v>
      </c>
      <c r="F2197" s="12">
        <v>0</v>
      </c>
    </row>
    <row r="2198" spans="3:6">
      <c r="C2198" s="12"/>
      <c r="D2198" s="12"/>
      <c r="E2198" t="b">
        <f t="shared" si="34"/>
        <v>1</v>
      </c>
      <c r="F2198" s="12">
        <v>0</v>
      </c>
    </row>
    <row r="2199" spans="3:6">
      <c r="C2199" s="12"/>
      <c r="D2199" s="12"/>
      <c r="E2199" t="b">
        <f t="shared" si="34"/>
        <v>1</v>
      </c>
      <c r="F2199" s="12">
        <v>0</v>
      </c>
    </row>
    <row r="2200" spans="3:6">
      <c r="C2200" s="12"/>
      <c r="D2200" s="12"/>
      <c r="E2200" t="b">
        <f t="shared" si="34"/>
        <v>1</v>
      </c>
      <c r="F2200" s="12">
        <v>0</v>
      </c>
    </row>
    <row r="2201" spans="3:6">
      <c r="C2201" s="12"/>
      <c r="D2201" s="12"/>
      <c r="E2201" t="b">
        <f t="shared" si="34"/>
        <v>1</v>
      </c>
      <c r="F2201" s="12">
        <v>0</v>
      </c>
    </row>
    <row r="2202" spans="3:6">
      <c r="C2202" s="12"/>
      <c r="D2202" s="12"/>
      <c r="E2202" t="b">
        <f t="shared" si="34"/>
        <v>1</v>
      </c>
      <c r="F2202" s="12">
        <v>0</v>
      </c>
    </row>
    <row r="2203" spans="3:6">
      <c r="C2203" s="12"/>
      <c r="D2203" s="12"/>
      <c r="E2203" t="b">
        <f t="shared" si="34"/>
        <v>1</v>
      </c>
      <c r="F2203" s="12">
        <v>0</v>
      </c>
    </row>
    <row r="2204" spans="3:6">
      <c r="C2204" s="12"/>
      <c r="D2204" s="12"/>
      <c r="E2204" t="b">
        <f t="shared" si="34"/>
        <v>1</v>
      </c>
      <c r="F2204" s="12">
        <v>0</v>
      </c>
    </row>
    <row r="2205" spans="3:6">
      <c r="C2205" s="12"/>
      <c r="D2205" s="12"/>
      <c r="E2205" t="b">
        <f t="shared" si="34"/>
        <v>1</v>
      </c>
      <c r="F2205" s="12">
        <v>0</v>
      </c>
    </row>
    <row r="2206" spans="3:6">
      <c r="C2206" s="12"/>
      <c r="D2206" s="12"/>
      <c r="E2206" t="b">
        <f t="shared" si="34"/>
        <v>1</v>
      </c>
      <c r="F2206" s="12">
        <v>0</v>
      </c>
    </row>
    <row r="2207" spans="3:6">
      <c r="C2207" s="12"/>
      <c r="D2207" s="12"/>
      <c r="E2207" t="b">
        <f t="shared" si="34"/>
        <v>1</v>
      </c>
      <c r="F2207" s="12">
        <v>0</v>
      </c>
    </row>
    <row r="2208" spans="3:6">
      <c r="C2208" s="12"/>
      <c r="D2208" s="12"/>
      <c r="E2208" t="b">
        <f t="shared" si="34"/>
        <v>1</v>
      </c>
      <c r="F2208" s="12">
        <v>0</v>
      </c>
    </row>
    <row r="2209" spans="3:6">
      <c r="C2209" s="12"/>
      <c r="D2209" s="12"/>
      <c r="E2209" t="b">
        <f t="shared" si="34"/>
        <v>1</v>
      </c>
      <c r="F2209" s="12">
        <v>0</v>
      </c>
    </row>
    <row r="2210" spans="3:6">
      <c r="C2210" s="12"/>
      <c r="D2210" s="12"/>
      <c r="E2210" t="b">
        <f t="shared" si="34"/>
        <v>1</v>
      </c>
      <c r="F2210" s="12">
        <v>0</v>
      </c>
    </row>
    <row r="2211" spans="3:6">
      <c r="C2211" s="12"/>
      <c r="D2211" s="12"/>
      <c r="E2211" t="b">
        <f t="shared" si="34"/>
        <v>1</v>
      </c>
      <c r="F2211" s="12">
        <v>0</v>
      </c>
    </row>
    <row r="2212" spans="3:6">
      <c r="C2212" s="12"/>
      <c r="D2212" s="12"/>
      <c r="E2212" t="b">
        <f t="shared" si="34"/>
        <v>1</v>
      </c>
      <c r="F2212" s="12">
        <v>0</v>
      </c>
    </row>
    <row r="2213" spans="3:6">
      <c r="C2213" s="12"/>
      <c r="D2213" s="12"/>
      <c r="E2213" t="b">
        <f t="shared" si="34"/>
        <v>1</v>
      </c>
      <c r="F2213" s="12">
        <v>0</v>
      </c>
    </row>
    <row r="2214" spans="3:6">
      <c r="C2214" s="12"/>
      <c r="D2214" s="12"/>
      <c r="E2214" t="b">
        <f t="shared" si="34"/>
        <v>1</v>
      </c>
      <c r="F2214" s="12">
        <v>0</v>
      </c>
    </row>
    <row r="2215" spans="3:6">
      <c r="C2215" s="12"/>
      <c r="D2215" s="12"/>
      <c r="E2215" t="b">
        <f t="shared" si="34"/>
        <v>1</v>
      </c>
      <c r="F2215" s="12">
        <v>0</v>
      </c>
    </row>
    <row r="2216" spans="3:6">
      <c r="C2216" s="12"/>
      <c r="D2216" s="12"/>
      <c r="E2216" t="b">
        <f t="shared" si="34"/>
        <v>1</v>
      </c>
      <c r="F2216" s="12">
        <v>0</v>
      </c>
    </row>
    <row r="2217" spans="3:6">
      <c r="C2217" s="12"/>
      <c r="D2217" s="12"/>
      <c r="E2217" t="b">
        <f t="shared" si="34"/>
        <v>1</v>
      </c>
      <c r="F2217" s="12">
        <v>0</v>
      </c>
    </row>
    <row r="2218" spans="3:6">
      <c r="C2218" s="12"/>
      <c r="D2218" s="12"/>
      <c r="E2218" t="b">
        <f t="shared" si="34"/>
        <v>1</v>
      </c>
      <c r="F2218" s="12">
        <v>0</v>
      </c>
    </row>
    <row r="2219" spans="3:6">
      <c r="C2219" s="12"/>
      <c r="D2219" s="12"/>
      <c r="E2219" t="b">
        <f t="shared" si="34"/>
        <v>1</v>
      </c>
      <c r="F2219" s="12">
        <v>0</v>
      </c>
    </row>
    <row r="2220" spans="3:6">
      <c r="C2220" s="12"/>
      <c r="D2220" s="12"/>
      <c r="E2220" t="b">
        <f t="shared" si="34"/>
        <v>1</v>
      </c>
      <c r="F2220" s="12">
        <v>0</v>
      </c>
    </row>
    <row r="2221" spans="3:6">
      <c r="C2221" s="12"/>
      <c r="D2221" s="12"/>
      <c r="E2221" t="b">
        <f t="shared" si="34"/>
        <v>1</v>
      </c>
      <c r="F2221" s="12">
        <v>0</v>
      </c>
    </row>
    <row r="2222" spans="3:6">
      <c r="C2222" s="12"/>
      <c r="D2222" s="12"/>
      <c r="E2222" t="b">
        <f t="shared" si="34"/>
        <v>1</v>
      </c>
      <c r="F2222" s="12">
        <v>0</v>
      </c>
    </row>
    <row r="2223" spans="3:6">
      <c r="C2223" s="12"/>
      <c r="D2223" s="12"/>
      <c r="E2223" t="b">
        <f t="shared" si="34"/>
        <v>1</v>
      </c>
      <c r="F2223" s="12">
        <v>0</v>
      </c>
    </row>
    <row r="2224" spans="3:6">
      <c r="C2224" s="12"/>
      <c r="D2224" s="12"/>
      <c r="E2224" t="b">
        <f t="shared" si="34"/>
        <v>1</v>
      </c>
      <c r="F2224" s="12">
        <v>0</v>
      </c>
    </row>
    <row r="2225" spans="3:6">
      <c r="C2225" s="12"/>
      <c r="D2225" s="12"/>
      <c r="E2225" t="b">
        <f t="shared" si="34"/>
        <v>1</v>
      </c>
      <c r="F2225" s="12">
        <v>0</v>
      </c>
    </row>
    <row r="2226" spans="3:6">
      <c r="C2226" s="12"/>
      <c r="D2226" s="12"/>
      <c r="E2226" t="b">
        <f t="shared" si="34"/>
        <v>1</v>
      </c>
      <c r="F2226" s="12">
        <v>0</v>
      </c>
    </row>
    <row r="2227" spans="3:6">
      <c r="C2227" s="12"/>
      <c r="D2227" s="12"/>
      <c r="E2227" t="b">
        <f t="shared" si="34"/>
        <v>1</v>
      </c>
      <c r="F2227" s="12">
        <v>0</v>
      </c>
    </row>
    <row r="2228" spans="3:6">
      <c r="C2228" s="12"/>
      <c r="D2228" s="12"/>
      <c r="E2228" t="b">
        <f t="shared" si="34"/>
        <v>1</v>
      </c>
      <c r="F2228" s="12">
        <v>0</v>
      </c>
    </row>
    <row r="2229" spans="3:6">
      <c r="C2229" s="12"/>
      <c r="D2229" s="12"/>
      <c r="E2229" t="b">
        <f t="shared" si="34"/>
        <v>1</v>
      </c>
      <c r="F2229" s="12">
        <v>0</v>
      </c>
    </row>
    <row r="2230" spans="3:6">
      <c r="C2230" s="12"/>
      <c r="D2230" s="12"/>
      <c r="E2230" t="b">
        <f t="shared" si="34"/>
        <v>1</v>
      </c>
      <c r="F2230" s="12">
        <v>0</v>
      </c>
    </row>
    <row r="2231" spans="3:6">
      <c r="C2231" s="12"/>
      <c r="D2231" s="12"/>
      <c r="E2231" t="b">
        <f t="shared" si="34"/>
        <v>1</v>
      </c>
      <c r="F2231" s="12">
        <v>0</v>
      </c>
    </row>
    <row r="2232" spans="3:6">
      <c r="C2232" s="12"/>
      <c r="D2232" s="12"/>
      <c r="E2232" t="b">
        <f t="shared" si="34"/>
        <v>1</v>
      </c>
      <c r="F2232" s="12">
        <v>0</v>
      </c>
    </row>
    <row r="2233" spans="3:6">
      <c r="C2233" s="12"/>
      <c r="D2233" s="12"/>
      <c r="E2233" t="b">
        <f t="shared" si="34"/>
        <v>1</v>
      </c>
      <c r="F2233" s="12">
        <v>0</v>
      </c>
    </row>
    <row r="2234" spans="3:6">
      <c r="C2234" s="12"/>
      <c r="D2234" s="12"/>
      <c r="E2234" t="b">
        <f t="shared" si="34"/>
        <v>1</v>
      </c>
      <c r="F2234" s="12">
        <v>0</v>
      </c>
    </row>
    <row r="2235" spans="3:6">
      <c r="C2235" s="12"/>
      <c r="D2235" s="12"/>
      <c r="E2235" t="b">
        <f t="shared" si="34"/>
        <v>1</v>
      </c>
      <c r="F2235" s="12">
        <v>0</v>
      </c>
    </row>
    <row r="2236" spans="3:6">
      <c r="C2236" s="12"/>
      <c r="D2236" s="12"/>
      <c r="E2236" t="b">
        <f t="shared" si="34"/>
        <v>1</v>
      </c>
      <c r="F2236" s="12">
        <v>0</v>
      </c>
    </row>
    <row r="2237" spans="3:6">
      <c r="C2237" s="12"/>
      <c r="D2237" s="12"/>
      <c r="E2237" t="b">
        <f t="shared" si="34"/>
        <v>1</v>
      </c>
      <c r="F2237" s="12">
        <v>0</v>
      </c>
    </row>
    <row r="2238" spans="3:6">
      <c r="C2238" s="12"/>
      <c r="D2238" s="12"/>
      <c r="E2238" t="b">
        <f t="shared" si="34"/>
        <v>1</v>
      </c>
      <c r="F2238" s="12">
        <v>0</v>
      </c>
    </row>
    <row r="2239" spans="3:6">
      <c r="C2239" s="12"/>
      <c r="D2239" s="12"/>
      <c r="E2239" t="b">
        <f t="shared" si="34"/>
        <v>1</v>
      </c>
      <c r="F2239" s="12">
        <v>0</v>
      </c>
    </row>
    <row r="2240" spans="3:6">
      <c r="C2240" s="12"/>
      <c r="D2240" s="12"/>
      <c r="E2240" t="b">
        <f t="shared" si="34"/>
        <v>1</v>
      </c>
      <c r="F2240" s="12">
        <v>0</v>
      </c>
    </row>
    <row r="2241" spans="3:6">
      <c r="C2241" s="12"/>
      <c r="D2241" s="12"/>
      <c r="E2241" t="b">
        <f t="shared" si="34"/>
        <v>1</v>
      </c>
      <c r="F2241" s="12">
        <v>0</v>
      </c>
    </row>
    <row r="2242" spans="3:6">
      <c r="C2242" s="12"/>
      <c r="D2242" s="12"/>
      <c r="E2242" t="b">
        <f t="shared" si="34"/>
        <v>1</v>
      </c>
      <c r="F2242" s="12">
        <v>0</v>
      </c>
    </row>
    <row r="2243" spans="3:6">
      <c r="C2243" s="12"/>
      <c r="D2243" s="12"/>
      <c r="E2243" t="b">
        <f t="shared" ref="E2243:E2306" si="35">F2243=C2243</f>
        <v>1</v>
      </c>
      <c r="F2243" s="12">
        <v>0</v>
      </c>
    </row>
    <row r="2244" spans="3:6">
      <c r="C2244" s="12"/>
      <c r="D2244" s="12"/>
      <c r="E2244" t="b">
        <f t="shared" si="35"/>
        <v>1</v>
      </c>
      <c r="F2244" s="12">
        <v>0</v>
      </c>
    </row>
    <row r="2245" spans="3:6">
      <c r="C2245" s="12"/>
      <c r="D2245" s="12"/>
      <c r="E2245" t="b">
        <f t="shared" si="35"/>
        <v>1</v>
      </c>
      <c r="F2245" s="12">
        <v>0</v>
      </c>
    </row>
    <row r="2246" spans="3:6">
      <c r="C2246" s="12"/>
      <c r="D2246" s="12"/>
      <c r="E2246" t="b">
        <f t="shared" si="35"/>
        <v>1</v>
      </c>
      <c r="F2246" s="12">
        <v>0</v>
      </c>
    </row>
    <row r="2247" spans="3:6">
      <c r="C2247" s="12"/>
      <c r="D2247" s="12"/>
      <c r="E2247" t="b">
        <f t="shared" si="35"/>
        <v>1</v>
      </c>
      <c r="F2247" s="12">
        <v>0</v>
      </c>
    </row>
    <row r="2248" spans="3:6">
      <c r="C2248" s="12"/>
      <c r="D2248" s="12"/>
      <c r="E2248" t="b">
        <f t="shared" si="35"/>
        <v>1</v>
      </c>
      <c r="F2248" s="12">
        <v>0</v>
      </c>
    </row>
    <row r="2249" spans="3:6">
      <c r="C2249" s="12"/>
      <c r="D2249" s="12"/>
      <c r="E2249" t="b">
        <f t="shared" si="35"/>
        <v>1</v>
      </c>
      <c r="F2249" s="12">
        <v>0</v>
      </c>
    </row>
    <row r="2250" spans="3:6">
      <c r="C2250" s="12"/>
      <c r="D2250" s="12"/>
      <c r="E2250" t="b">
        <f t="shared" si="35"/>
        <v>1</v>
      </c>
      <c r="F2250" s="12">
        <v>0</v>
      </c>
    </row>
    <row r="2251" spans="3:6">
      <c r="C2251" s="12"/>
      <c r="D2251" s="12"/>
      <c r="E2251" t="b">
        <f t="shared" si="35"/>
        <v>1</v>
      </c>
      <c r="F2251" s="12">
        <v>0</v>
      </c>
    </row>
    <row r="2252" spans="3:6">
      <c r="C2252" s="12"/>
      <c r="D2252" s="12"/>
      <c r="E2252" t="b">
        <f t="shared" si="35"/>
        <v>1</v>
      </c>
      <c r="F2252" s="12">
        <v>0</v>
      </c>
    </row>
    <row r="2253" spans="3:6">
      <c r="C2253" s="12"/>
      <c r="D2253" s="12"/>
      <c r="E2253" t="b">
        <f t="shared" si="35"/>
        <v>1</v>
      </c>
      <c r="F2253" s="12">
        <v>0</v>
      </c>
    </row>
    <row r="2254" spans="3:6">
      <c r="C2254" s="12"/>
      <c r="D2254" s="12"/>
      <c r="E2254" t="b">
        <f t="shared" si="35"/>
        <v>1</v>
      </c>
      <c r="F2254" s="12">
        <v>0</v>
      </c>
    </row>
    <row r="2255" spans="3:6">
      <c r="C2255" s="12"/>
      <c r="D2255" s="12"/>
      <c r="E2255" t="b">
        <f t="shared" si="35"/>
        <v>1</v>
      </c>
      <c r="F2255" s="12">
        <v>0</v>
      </c>
    </row>
    <row r="2256" spans="3:6">
      <c r="C2256" s="12"/>
      <c r="D2256" s="12"/>
      <c r="E2256" t="b">
        <f t="shared" si="35"/>
        <v>1</v>
      </c>
      <c r="F2256" s="12">
        <v>0</v>
      </c>
    </row>
    <row r="2257" spans="3:6">
      <c r="C2257" s="12"/>
      <c r="D2257" s="12"/>
      <c r="E2257" t="b">
        <f t="shared" si="35"/>
        <v>1</v>
      </c>
      <c r="F2257" s="12">
        <v>0</v>
      </c>
    </row>
    <row r="2258" spans="3:6">
      <c r="C2258" s="12"/>
      <c r="D2258" s="12"/>
      <c r="E2258" t="b">
        <f t="shared" si="35"/>
        <v>1</v>
      </c>
      <c r="F2258" s="12">
        <v>0</v>
      </c>
    </row>
    <row r="2259" spans="3:6">
      <c r="C2259" s="12"/>
      <c r="D2259" s="12"/>
      <c r="E2259" t="b">
        <f t="shared" si="35"/>
        <v>1</v>
      </c>
      <c r="F2259" s="12">
        <v>0</v>
      </c>
    </row>
    <row r="2260" spans="3:6">
      <c r="C2260" s="12"/>
      <c r="D2260" s="12"/>
      <c r="E2260" t="b">
        <f t="shared" si="35"/>
        <v>1</v>
      </c>
      <c r="F2260" s="12">
        <v>0</v>
      </c>
    </row>
    <row r="2261" spans="3:6">
      <c r="C2261" s="12"/>
      <c r="D2261" s="12"/>
      <c r="E2261" t="b">
        <f t="shared" si="35"/>
        <v>1</v>
      </c>
      <c r="F2261" s="12">
        <v>0</v>
      </c>
    </row>
    <row r="2262" spans="3:6">
      <c r="C2262" s="12"/>
      <c r="D2262" s="12"/>
      <c r="E2262" t="b">
        <f t="shared" si="35"/>
        <v>1</v>
      </c>
      <c r="F2262" s="12">
        <v>0</v>
      </c>
    </row>
    <row r="2263" spans="3:6">
      <c r="C2263" s="12"/>
      <c r="D2263" s="12"/>
      <c r="E2263" t="b">
        <f t="shared" si="35"/>
        <v>1</v>
      </c>
      <c r="F2263" s="12">
        <v>0</v>
      </c>
    </row>
    <row r="2264" spans="3:6">
      <c r="C2264" s="12"/>
      <c r="D2264" s="12"/>
      <c r="E2264" t="b">
        <f t="shared" si="35"/>
        <v>1</v>
      </c>
      <c r="F2264" s="12">
        <v>0</v>
      </c>
    </row>
    <row r="2265" spans="3:6">
      <c r="C2265" s="12"/>
      <c r="D2265" s="12"/>
      <c r="E2265" t="b">
        <f t="shared" si="35"/>
        <v>1</v>
      </c>
      <c r="F2265" s="12">
        <v>0</v>
      </c>
    </row>
    <row r="2266" spans="3:6">
      <c r="C2266" s="12"/>
      <c r="D2266" s="12"/>
      <c r="E2266" t="b">
        <f t="shared" si="35"/>
        <v>1</v>
      </c>
      <c r="F2266" s="12">
        <v>0</v>
      </c>
    </row>
    <row r="2267" spans="3:6">
      <c r="C2267" s="12"/>
      <c r="D2267" s="12"/>
      <c r="E2267" t="b">
        <f t="shared" si="35"/>
        <v>1</v>
      </c>
      <c r="F2267" s="12">
        <v>0</v>
      </c>
    </row>
    <row r="2268" spans="3:6">
      <c r="C2268" s="12"/>
      <c r="D2268" s="12"/>
      <c r="E2268" t="b">
        <f t="shared" si="35"/>
        <v>1</v>
      </c>
      <c r="F2268" s="12">
        <v>0</v>
      </c>
    </row>
    <row r="2269" spans="3:6">
      <c r="C2269" s="12"/>
      <c r="D2269" s="12"/>
      <c r="E2269" t="b">
        <f t="shared" si="35"/>
        <v>1</v>
      </c>
      <c r="F2269" s="12">
        <v>0</v>
      </c>
    </row>
    <row r="2270" spans="3:6">
      <c r="C2270" s="12"/>
      <c r="D2270" s="12"/>
      <c r="E2270" t="b">
        <f t="shared" si="35"/>
        <v>1</v>
      </c>
      <c r="F2270" s="12">
        <v>0</v>
      </c>
    </row>
    <row r="2271" spans="3:6">
      <c r="C2271" s="12"/>
      <c r="D2271" s="12"/>
      <c r="E2271" t="b">
        <f t="shared" si="35"/>
        <v>1</v>
      </c>
      <c r="F2271" s="12">
        <v>0</v>
      </c>
    </row>
    <row r="2272" spans="3:6">
      <c r="C2272" s="12"/>
      <c r="D2272" s="12"/>
      <c r="E2272" t="b">
        <f t="shared" si="35"/>
        <v>1</v>
      </c>
      <c r="F2272" s="12">
        <v>0</v>
      </c>
    </row>
    <row r="2273" spans="3:6">
      <c r="C2273" s="12"/>
      <c r="D2273" s="12"/>
      <c r="E2273" t="b">
        <f t="shared" si="35"/>
        <v>1</v>
      </c>
      <c r="F2273" s="12">
        <v>0</v>
      </c>
    </row>
    <row r="2274" spans="3:6">
      <c r="C2274" s="12"/>
      <c r="D2274" s="12"/>
      <c r="E2274" t="b">
        <f t="shared" si="35"/>
        <v>1</v>
      </c>
      <c r="F2274" s="12">
        <v>0</v>
      </c>
    </row>
    <row r="2275" spans="3:6">
      <c r="C2275" s="12"/>
      <c r="D2275" s="12"/>
      <c r="E2275" t="b">
        <f t="shared" si="35"/>
        <v>1</v>
      </c>
      <c r="F2275" s="12">
        <v>0</v>
      </c>
    </row>
    <row r="2276" spans="3:6">
      <c r="C2276" s="12"/>
      <c r="D2276" s="12"/>
      <c r="E2276" t="b">
        <f t="shared" si="35"/>
        <v>1</v>
      </c>
      <c r="F2276" s="12">
        <v>0</v>
      </c>
    </row>
    <row r="2277" spans="3:6">
      <c r="C2277" s="12"/>
      <c r="D2277" s="12"/>
      <c r="E2277" t="b">
        <f t="shared" si="35"/>
        <v>1</v>
      </c>
      <c r="F2277" s="12">
        <v>0</v>
      </c>
    </row>
    <row r="2278" spans="3:6">
      <c r="C2278" s="12"/>
      <c r="D2278" s="12"/>
      <c r="E2278" t="b">
        <f t="shared" si="35"/>
        <v>1</v>
      </c>
      <c r="F2278" s="12">
        <v>0</v>
      </c>
    </row>
    <row r="2279" spans="3:6">
      <c r="C2279" s="12"/>
      <c r="D2279" s="12"/>
      <c r="E2279" t="b">
        <f t="shared" si="35"/>
        <v>1</v>
      </c>
      <c r="F2279" s="12">
        <v>0</v>
      </c>
    </row>
    <row r="2280" spans="3:6">
      <c r="C2280" s="12"/>
      <c r="D2280" s="12"/>
      <c r="E2280" t="b">
        <f t="shared" si="35"/>
        <v>1</v>
      </c>
      <c r="F2280" s="12">
        <v>0</v>
      </c>
    </row>
    <row r="2281" spans="3:6">
      <c r="C2281" s="12"/>
      <c r="D2281" s="12"/>
      <c r="E2281" t="b">
        <f t="shared" si="35"/>
        <v>1</v>
      </c>
      <c r="F2281" s="12">
        <v>0</v>
      </c>
    </row>
    <row r="2282" spans="3:6">
      <c r="C2282" s="12"/>
      <c r="D2282" s="12"/>
      <c r="E2282" t="b">
        <f t="shared" si="35"/>
        <v>1</v>
      </c>
      <c r="F2282" s="12">
        <v>0</v>
      </c>
    </row>
    <row r="2283" spans="3:6">
      <c r="C2283" s="12"/>
      <c r="D2283" s="12"/>
      <c r="E2283" t="b">
        <f t="shared" si="35"/>
        <v>1</v>
      </c>
      <c r="F2283" s="12">
        <v>0</v>
      </c>
    </row>
    <row r="2284" spans="3:6">
      <c r="C2284" s="12"/>
      <c r="D2284" s="12"/>
      <c r="E2284" t="b">
        <f t="shared" si="35"/>
        <v>1</v>
      </c>
      <c r="F2284" s="12">
        <v>0</v>
      </c>
    </row>
    <row r="2285" spans="3:6">
      <c r="C2285" s="12"/>
      <c r="D2285" s="12"/>
      <c r="E2285" t="b">
        <f t="shared" si="35"/>
        <v>1</v>
      </c>
      <c r="F2285" s="12">
        <v>0</v>
      </c>
    </row>
    <row r="2286" spans="3:6">
      <c r="C2286" s="12"/>
      <c r="D2286" s="12"/>
      <c r="E2286" t="b">
        <f t="shared" si="35"/>
        <v>1</v>
      </c>
      <c r="F2286" s="12">
        <v>0</v>
      </c>
    </row>
    <row r="2287" spans="3:6">
      <c r="C2287" s="12"/>
      <c r="D2287" s="12"/>
      <c r="E2287" t="b">
        <f t="shared" si="35"/>
        <v>1</v>
      </c>
      <c r="F2287" s="12">
        <v>0</v>
      </c>
    </row>
    <row r="2288" spans="3:6">
      <c r="C2288" s="12"/>
      <c r="D2288" s="12"/>
      <c r="E2288" t="b">
        <f t="shared" si="35"/>
        <v>1</v>
      </c>
      <c r="F2288" s="12">
        <v>0</v>
      </c>
    </row>
    <row r="2289" spans="3:6">
      <c r="C2289" s="12"/>
      <c r="D2289" s="12"/>
      <c r="E2289" t="b">
        <f t="shared" si="35"/>
        <v>1</v>
      </c>
      <c r="F2289" s="12">
        <v>0</v>
      </c>
    </row>
    <row r="2290" spans="3:6">
      <c r="C2290" s="12"/>
      <c r="D2290" s="12"/>
      <c r="E2290" t="b">
        <f t="shared" si="35"/>
        <v>1</v>
      </c>
      <c r="F2290" s="12">
        <v>0</v>
      </c>
    </row>
    <row r="2291" spans="3:6">
      <c r="C2291" s="12"/>
      <c r="D2291" s="12"/>
      <c r="E2291" t="b">
        <f t="shared" si="35"/>
        <v>1</v>
      </c>
      <c r="F2291" s="12">
        <v>0</v>
      </c>
    </row>
    <row r="2292" spans="3:6">
      <c r="C2292" s="12"/>
      <c r="D2292" s="12"/>
      <c r="E2292" t="b">
        <f t="shared" si="35"/>
        <v>1</v>
      </c>
      <c r="F2292" s="12">
        <v>0</v>
      </c>
    </row>
    <row r="2293" spans="3:6">
      <c r="C2293" s="12"/>
      <c r="D2293" s="12"/>
      <c r="E2293" t="b">
        <f t="shared" si="35"/>
        <v>1</v>
      </c>
      <c r="F2293" s="12">
        <v>0</v>
      </c>
    </row>
    <row r="2294" spans="3:6">
      <c r="C2294" s="12"/>
      <c r="D2294" s="12"/>
      <c r="E2294" t="b">
        <f t="shared" si="35"/>
        <v>1</v>
      </c>
      <c r="F2294" s="12">
        <v>0</v>
      </c>
    </row>
    <row r="2295" spans="3:6">
      <c r="C2295" s="12"/>
      <c r="D2295" s="12"/>
      <c r="E2295" t="b">
        <f t="shared" si="35"/>
        <v>1</v>
      </c>
      <c r="F2295" s="12">
        <v>0</v>
      </c>
    </row>
    <row r="2296" spans="3:6">
      <c r="C2296" s="12"/>
      <c r="D2296" s="12"/>
      <c r="E2296" t="b">
        <f t="shared" si="35"/>
        <v>1</v>
      </c>
      <c r="F2296" s="12">
        <v>0</v>
      </c>
    </row>
    <row r="2297" spans="3:6">
      <c r="C2297" s="12"/>
      <c r="D2297" s="12"/>
      <c r="E2297" t="b">
        <f t="shared" si="35"/>
        <v>1</v>
      </c>
      <c r="F2297" s="12">
        <v>0</v>
      </c>
    </row>
    <row r="2298" spans="3:6">
      <c r="C2298" s="12"/>
      <c r="D2298" s="12"/>
      <c r="E2298" t="b">
        <f t="shared" si="35"/>
        <v>1</v>
      </c>
      <c r="F2298" s="12">
        <v>0</v>
      </c>
    </row>
    <row r="2299" spans="3:6">
      <c r="C2299" s="12"/>
      <c r="D2299" s="12"/>
      <c r="E2299" t="b">
        <f t="shared" si="35"/>
        <v>1</v>
      </c>
      <c r="F2299" s="12">
        <v>0</v>
      </c>
    </row>
    <row r="2300" spans="3:6">
      <c r="C2300" s="12"/>
      <c r="D2300" s="12"/>
      <c r="E2300" t="b">
        <f t="shared" si="35"/>
        <v>1</v>
      </c>
      <c r="F2300" s="12">
        <v>0</v>
      </c>
    </row>
    <row r="2301" spans="3:6">
      <c r="C2301" s="12"/>
      <c r="D2301" s="12"/>
      <c r="E2301" t="b">
        <f t="shared" si="35"/>
        <v>1</v>
      </c>
      <c r="F2301" s="12">
        <v>0</v>
      </c>
    </row>
    <row r="2302" spans="3:6">
      <c r="C2302" s="12"/>
      <c r="D2302" s="12"/>
      <c r="E2302" t="b">
        <f t="shared" si="35"/>
        <v>1</v>
      </c>
      <c r="F2302" s="12">
        <v>0</v>
      </c>
    </row>
    <row r="2303" spans="3:6">
      <c r="C2303" s="12"/>
      <c r="D2303" s="12"/>
      <c r="E2303" t="b">
        <f t="shared" si="35"/>
        <v>1</v>
      </c>
      <c r="F2303" s="12">
        <v>0</v>
      </c>
    </row>
    <row r="2304" spans="3:6">
      <c r="C2304" s="12"/>
      <c r="D2304" s="12"/>
      <c r="E2304" t="b">
        <f t="shared" si="35"/>
        <v>1</v>
      </c>
      <c r="F2304" s="12">
        <v>0</v>
      </c>
    </row>
    <row r="2305" spans="3:6">
      <c r="C2305" s="12"/>
      <c r="D2305" s="12"/>
      <c r="E2305" t="b">
        <f t="shared" si="35"/>
        <v>1</v>
      </c>
      <c r="F2305" s="12">
        <v>0</v>
      </c>
    </row>
    <row r="2306" spans="3:6">
      <c r="C2306" s="12"/>
      <c r="D2306" s="12"/>
      <c r="E2306" t="b">
        <f t="shared" si="35"/>
        <v>1</v>
      </c>
      <c r="F2306" s="12">
        <v>0</v>
      </c>
    </row>
    <row r="2307" spans="3:6">
      <c r="C2307" s="12"/>
      <c r="D2307" s="12"/>
      <c r="E2307" t="b">
        <f t="shared" ref="E2307:E2370" si="36">F2307=C2307</f>
        <v>1</v>
      </c>
      <c r="F2307" s="12">
        <v>0</v>
      </c>
    </row>
    <row r="2308" spans="3:6">
      <c r="C2308" s="12"/>
      <c r="D2308" s="12"/>
      <c r="E2308" t="b">
        <f t="shared" si="36"/>
        <v>1</v>
      </c>
      <c r="F2308" s="12">
        <v>0</v>
      </c>
    </row>
    <row r="2309" spans="3:6">
      <c r="C2309" s="12"/>
      <c r="D2309" s="12"/>
      <c r="E2309" t="b">
        <f t="shared" si="36"/>
        <v>1</v>
      </c>
      <c r="F2309" s="12">
        <v>0</v>
      </c>
    </row>
    <row r="2310" spans="3:6">
      <c r="C2310" s="12"/>
      <c r="D2310" s="12"/>
      <c r="E2310" t="b">
        <f t="shared" si="36"/>
        <v>1</v>
      </c>
      <c r="F2310" s="12">
        <v>0</v>
      </c>
    </row>
    <row r="2311" spans="3:6">
      <c r="C2311" s="12"/>
      <c r="D2311" s="12"/>
      <c r="E2311" t="b">
        <f t="shared" si="36"/>
        <v>1</v>
      </c>
      <c r="F2311" s="12">
        <v>0</v>
      </c>
    </row>
    <row r="2312" spans="3:6">
      <c r="C2312" s="12"/>
      <c r="D2312" s="12"/>
      <c r="E2312" t="b">
        <f t="shared" si="36"/>
        <v>1</v>
      </c>
      <c r="F2312" s="12">
        <v>0</v>
      </c>
    </row>
    <row r="2313" spans="3:6">
      <c r="C2313" s="12"/>
      <c r="D2313" s="12"/>
      <c r="E2313" t="b">
        <f t="shared" si="36"/>
        <v>1</v>
      </c>
      <c r="F2313" s="12">
        <v>0</v>
      </c>
    </row>
    <row r="2314" spans="3:6">
      <c r="C2314" s="12"/>
      <c r="D2314" s="12"/>
      <c r="E2314" t="b">
        <f t="shared" si="36"/>
        <v>1</v>
      </c>
      <c r="F2314" s="12">
        <v>0</v>
      </c>
    </row>
    <row r="2315" spans="3:6">
      <c r="C2315" s="12"/>
      <c r="D2315" s="12"/>
      <c r="E2315" t="b">
        <f t="shared" si="36"/>
        <v>1</v>
      </c>
      <c r="F2315" s="12">
        <v>0</v>
      </c>
    </row>
    <row r="2316" spans="3:6">
      <c r="C2316" s="12"/>
      <c r="D2316" s="12"/>
      <c r="E2316" t="b">
        <f t="shared" si="36"/>
        <v>1</v>
      </c>
      <c r="F2316" s="12">
        <v>0</v>
      </c>
    </row>
    <row r="2317" spans="3:6">
      <c r="C2317" s="12"/>
      <c r="D2317" s="12"/>
      <c r="E2317" t="b">
        <f t="shared" si="36"/>
        <v>1</v>
      </c>
      <c r="F2317" s="12">
        <v>0</v>
      </c>
    </row>
    <row r="2318" spans="3:6">
      <c r="C2318" s="12"/>
      <c r="D2318" s="12"/>
      <c r="E2318" t="b">
        <f t="shared" si="36"/>
        <v>1</v>
      </c>
      <c r="F2318" s="12">
        <v>0</v>
      </c>
    </row>
    <row r="2319" spans="3:6">
      <c r="C2319" s="12"/>
      <c r="D2319" s="12"/>
      <c r="E2319" t="b">
        <f t="shared" si="36"/>
        <v>1</v>
      </c>
      <c r="F2319" s="12">
        <v>0</v>
      </c>
    </row>
    <row r="2320" spans="3:6">
      <c r="C2320" s="12"/>
      <c r="D2320" s="12"/>
      <c r="E2320" t="b">
        <f t="shared" si="36"/>
        <v>1</v>
      </c>
      <c r="F2320" s="12">
        <v>0</v>
      </c>
    </row>
    <row r="2321" spans="3:6">
      <c r="C2321" s="12"/>
      <c r="D2321" s="12"/>
      <c r="E2321" t="b">
        <f t="shared" si="36"/>
        <v>1</v>
      </c>
      <c r="F2321" s="12">
        <v>0</v>
      </c>
    </row>
    <row r="2322" spans="3:6">
      <c r="C2322" s="12"/>
      <c r="D2322" s="12"/>
      <c r="E2322" t="b">
        <f t="shared" si="36"/>
        <v>1</v>
      </c>
      <c r="F2322" s="12">
        <v>0</v>
      </c>
    </row>
    <row r="2323" spans="3:6">
      <c r="C2323" s="12"/>
      <c r="D2323" s="12"/>
      <c r="E2323" t="b">
        <f t="shared" si="36"/>
        <v>1</v>
      </c>
      <c r="F2323" s="12">
        <v>0</v>
      </c>
    </row>
    <row r="2324" spans="3:6">
      <c r="C2324" s="12"/>
      <c r="D2324" s="12"/>
      <c r="E2324" t="b">
        <f t="shared" si="36"/>
        <v>1</v>
      </c>
      <c r="F2324" s="12">
        <v>0</v>
      </c>
    </row>
    <row r="2325" spans="3:6">
      <c r="C2325" s="12"/>
      <c r="D2325" s="12"/>
      <c r="E2325" t="b">
        <f t="shared" si="36"/>
        <v>1</v>
      </c>
      <c r="F2325" s="12">
        <v>0</v>
      </c>
    </row>
    <row r="2326" spans="3:6">
      <c r="C2326" s="12"/>
      <c r="D2326" s="12"/>
      <c r="E2326" t="b">
        <f t="shared" si="36"/>
        <v>1</v>
      </c>
      <c r="F2326" s="12">
        <v>0</v>
      </c>
    </row>
    <row r="2327" spans="3:6">
      <c r="C2327" s="12"/>
      <c r="D2327" s="12"/>
      <c r="E2327" t="b">
        <f t="shared" si="36"/>
        <v>1</v>
      </c>
      <c r="F2327" s="12">
        <v>0</v>
      </c>
    </row>
    <row r="2328" spans="3:6">
      <c r="C2328" s="12"/>
      <c r="D2328" s="12"/>
      <c r="E2328" t="b">
        <f t="shared" si="36"/>
        <v>1</v>
      </c>
      <c r="F2328" s="12">
        <v>0</v>
      </c>
    </row>
    <row r="2329" spans="3:6">
      <c r="C2329" s="12"/>
      <c r="D2329" s="12"/>
      <c r="E2329" t="b">
        <f t="shared" si="36"/>
        <v>1</v>
      </c>
      <c r="F2329" s="12">
        <v>0</v>
      </c>
    </row>
    <row r="2330" spans="3:6">
      <c r="C2330" s="12"/>
      <c r="D2330" s="12"/>
      <c r="E2330" t="b">
        <f t="shared" si="36"/>
        <v>1</v>
      </c>
      <c r="F2330" s="12">
        <v>0</v>
      </c>
    </row>
    <row r="2331" spans="3:6">
      <c r="C2331" s="12"/>
      <c r="D2331" s="12"/>
      <c r="E2331" t="b">
        <f t="shared" si="36"/>
        <v>1</v>
      </c>
      <c r="F2331" s="12">
        <v>0</v>
      </c>
    </row>
    <row r="2332" spans="3:6">
      <c r="C2332" s="12"/>
      <c r="D2332" s="12"/>
      <c r="E2332" t="b">
        <f t="shared" si="36"/>
        <v>1</v>
      </c>
      <c r="F2332" s="12">
        <v>0</v>
      </c>
    </row>
    <row r="2333" spans="3:6">
      <c r="C2333" s="12"/>
      <c r="D2333" s="12"/>
      <c r="E2333" t="b">
        <f t="shared" si="36"/>
        <v>1</v>
      </c>
      <c r="F2333" s="12">
        <v>0</v>
      </c>
    </row>
    <row r="2334" spans="3:6">
      <c r="C2334" s="12"/>
      <c r="D2334" s="12"/>
      <c r="E2334" t="b">
        <f t="shared" si="36"/>
        <v>1</v>
      </c>
      <c r="F2334" s="12">
        <v>0</v>
      </c>
    </row>
    <row r="2335" spans="3:6">
      <c r="C2335" s="12"/>
      <c r="D2335" s="12"/>
      <c r="E2335" t="b">
        <f t="shared" si="36"/>
        <v>1</v>
      </c>
      <c r="F2335" s="12">
        <v>0</v>
      </c>
    </row>
    <row r="2336" spans="3:6">
      <c r="C2336" s="12"/>
      <c r="D2336" s="12"/>
      <c r="E2336" t="b">
        <f t="shared" si="36"/>
        <v>1</v>
      </c>
      <c r="F2336" s="12">
        <v>0</v>
      </c>
    </row>
    <row r="2337" spans="3:6">
      <c r="C2337" s="12"/>
      <c r="D2337" s="12"/>
      <c r="E2337" t="b">
        <f t="shared" si="36"/>
        <v>1</v>
      </c>
      <c r="F2337" s="12">
        <v>0</v>
      </c>
    </row>
    <row r="2338" spans="3:6">
      <c r="C2338" s="12"/>
      <c r="D2338" s="12"/>
      <c r="E2338" t="b">
        <f t="shared" si="36"/>
        <v>1</v>
      </c>
      <c r="F2338" s="12">
        <v>0</v>
      </c>
    </row>
    <row r="2339" spans="3:6">
      <c r="C2339" s="12"/>
      <c r="D2339" s="12"/>
      <c r="E2339" t="b">
        <f t="shared" si="36"/>
        <v>1</v>
      </c>
      <c r="F2339" s="12">
        <v>0</v>
      </c>
    </row>
    <row r="2340" spans="3:6">
      <c r="C2340" s="12"/>
      <c r="D2340" s="12"/>
      <c r="E2340" t="b">
        <f t="shared" si="36"/>
        <v>1</v>
      </c>
      <c r="F2340" s="12">
        <v>0</v>
      </c>
    </row>
    <row r="2341" spans="3:6">
      <c r="C2341" s="12"/>
      <c r="D2341" s="12"/>
      <c r="E2341" t="b">
        <f t="shared" si="36"/>
        <v>1</v>
      </c>
      <c r="F2341" s="12">
        <v>0</v>
      </c>
    </row>
    <row r="2342" spans="3:6">
      <c r="C2342" s="12"/>
      <c r="D2342" s="12"/>
      <c r="E2342" t="b">
        <f t="shared" si="36"/>
        <v>1</v>
      </c>
      <c r="F2342" s="12">
        <v>0</v>
      </c>
    </row>
    <row r="2343" spans="3:6">
      <c r="C2343" s="12"/>
      <c r="D2343" s="12"/>
      <c r="E2343" t="b">
        <f t="shared" si="36"/>
        <v>1</v>
      </c>
      <c r="F2343" s="12">
        <v>0</v>
      </c>
    </row>
    <row r="2344" spans="3:6">
      <c r="C2344" s="12"/>
      <c r="D2344" s="12"/>
      <c r="E2344" t="b">
        <f t="shared" si="36"/>
        <v>1</v>
      </c>
      <c r="F2344" s="12">
        <v>0</v>
      </c>
    </row>
    <row r="2345" spans="3:6">
      <c r="C2345" s="12"/>
      <c r="D2345" s="12"/>
      <c r="E2345" t="b">
        <f t="shared" si="36"/>
        <v>1</v>
      </c>
      <c r="F2345" s="12">
        <v>0</v>
      </c>
    </row>
    <row r="2346" spans="3:6">
      <c r="C2346" s="12"/>
      <c r="D2346" s="12"/>
      <c r="E2346" t="b">
        <f t="shared" si="36"/>
        <v>1</v>
      </c>
      <c r="F2346" s="12">
        <v>0</v>
      </c>
    </row>
    <row r="2347" spans="3:6">
      <c r="C2347" s="12"/>
      <c r="D2347" s="12"/>
      <c r="E2347" t="b">
        <f t="shared" si="36"/>
        <v>1</v>
      </c>
      <c r="F2347" s="12">
        <v>0</v>
      </c>
    </row>
    <row r="2348" spans="3:6">
      <c r="C2348" s="12"/>
      <c r="D2348" s="12"/>
      <c r="E2348" t="b">
        <f t="shared" si="36"/>
        <v>1</v>
      </c>
      <c r="F2348" s="12">
        <v>0</v>
      </c>
    </row>
    <row r="2349" spans="3:6">
      <c r="C2349" s="12"/>
      <c r="D2349" s="12"/>
      <c r="E2349" t="b">
        <f t="shared" si="36"/>
        <v>1</v>
      </c>
      <c r="F2349" s="12">
        <v>0</v>
      </c>
    </row>
    <row r="2350" spans="3:6">
      <c r="C2350" s="12"/>
      <c r="D2350" s="12"/>
      <c r="E2350" t="b">
        <f t="shared" si="36"/>
        <v>1</v>
      </c>
      <c r="F2350" s="12">
        <v>0</v>
      </c>
    </row>
    <row r="2351" spans="3:6">
      <c r="C2351" s="12"/>
      <c r="D2351" s="12"/>
      <c r="E2351" t="b">
        <f t="shared" si="36"/>
        <v>1</v>
      </c>
      <c r="F2351" s="12">
        <v>0</v>
      </c>
    </row>
    <row r="2352" spans="3:6">
      <c r="C2352" s="12"/>
      <c r="D2352" s="12"/>
      <c r="E2352" t="b">
        <f t="shared" si="36"/>
        <v>1</v>
      </c>
      <c r="F2352" s="12">
        <v>0</v>
      </c>
    </row>
    <row r="2353" spans="3:6">
      <c r="C2353" s="12"/>
      <c r="D2353" s="12"/>
      <c r="E2353" t="b">
        <f t="shared" si="36"/>
        <v>1</v>
      </c>
      <c r="F2353" s="12">
        <v>0</v>
      </c>
    </row>
    <row r="2354" spans="3:6">
      <c r="C2354" s="12"/>
      <c r="D2354" s="12"/>
      <c r="E2354" t="b">
        <f t="shared" si="36"/>
        <v>1</v>
      </c>
      <c r="F2354" s="12">
        <v>0</v>
      </c>
    </row>
    <row r="2355" spans="3:6">
      <c r="C2355" s="12"/>
      <c r="D2355" s="12"/>
      <c r="E2355" t="b">
        <f t="shared" si="36"/>
        <v>1</v>
      </c>
      <c r="F2355" s="12">
        <v>0</v>
      </c>
    </row>
    <row r="2356" spans="3:6">
      <c r="C2356" s="12"/>
      <c r="D2356" s="12"/>
      <c r="E2356" t="b">
        <f t="shared" si="36"/>
        <v>1</v>
      </c>
      <c r="F2356" s="12">
        <v>0</v>
      </c>
    </row>
    <row r="2357" spans="3:6">
      <c r="C2357" s="12"/>
      <c r="D2357" s="12"/>
      <c r="E2357" t="b">
        <f t="shared" si="36"/>
        <v>1</v>
      </c>
      <c r="F2357" s="12">
        <v>0</v>
      </c>
    </row>
    <row r="2358" spans="3:6">
      <c r="C2358" s="12"/>
      <c r="D2358" s="12"/>
      <c r="E2358" t="b">
        <f t="shared" si="36"/>
        <v>1</v>
      </c>
      <c r="F2358" s="12">
        <v>0</v>
      </c>
    </row>
    <row r="2359" spans="3:6">
      <c r="C2359" s="12"/>
      <c r="D2359" s="12"/>
      <c r="E2359" t="b">
        <f t="shared" si="36"/>
        <v>1</v>
      </c>
      <c r="F2359" s="12">
        <v>0</v>
      </c>
    </row>
    <row r="2360" spans="3:6">
      <c r="C2360" s="12"/>
      <c r="D2360" s="12"/>
      <c r="E2360" t="b">
        <f t="shared" si="36"/>
        <v>1</v>
      </c>
      <c r="F2360" s="12">
        <v>0</v>
      </c>
    </row>
    <row r="2361" spans="3:6">
      <c r="C2361" s="12"/>
      <c r="D2361" s="12"/>
      <c r="E2361" t="b">
        <f t="shared" si="36"/>
        <v>1</v>
      </c>
      <c r="F2361" s="12">
        <v>0</v>
      </c>
    </row>
    <row r="2362" spans="3:6">
      <c r="C2362" s="12"/>
      <c r="D2362" s="12"/>
      <c r="E2362" t="b">
        <f t="shared" si="36"/>
        <v>1</v>
      </c>
      <c r="F2362" s="12">
        <v>0</v>
      </c>
    </row>
    <row r="2363" spans="3:6">
      <c r="C2363" s="12"/>
      <c r="D2363" s="12"/>
      <c r="E2363" t="b">
        <f t="shared" si="36"/>
        <v>1</v>
      </c>
      <c r="F2363" s="12">
        <v>0</v>
      </c>
    </row>
    <row r="2364" spans="3:6">
      <c r="C2364" s="12"/>
      <c r="D2364" s="12"/>
      <c r="E2364" t="b">
        <f t="shared" si="36"/>
        <v>1</v>
      </c>
      <c r="F2364" s="12">
        <v>0</v>
      </c>
    </row>
    <row r="2365" spans="3:6">
      <c r="C2365" s="12"/>
      <c r="D2365" s="12"/>
      <c r="E2365" t="b">
        <f t="shared" si="36"/>
        <v>1</v>
      </c>
      <c r="F2365" s="12">
        <v>0</v>
      </c>
    </row>
    <row r="2366" spans="3:6">
      <c r="C2366" s="12"/>
      <c r="D2366" s="12"/>
      <c r="E2366" t="b">
        <f t="shared" si="36"/>
        <v>1</v>
      </c>
      <c r="F2366" s="12">
        <v>0</v>
      </c>
    </row>
    <row r="2367" spans="3:6">
      <c r="C2367" s="12"/>
      <c r="D2367" s="12"/>
      <c r="E2367" t="b">
        <f t="shared" si="36"/>
        <v>1</v>
      </c>
      <c r="F2367" s="12">
        <v>0</v>
      </c>
    </row>
    <row r="2368" spans="3:6">
      <c r="C2368" s="12"/>
      <c r="D2368" s="12"/>
      <c r="E2368" t="b">
        <f t="shared" si="36"/>
        <v>1</v>
      </c>
      <c r="F2368" s="12">
        <v>0</v>
      </c>
    </row>
    <row r="2369" spans="3:6">
      <c r="C2369" s="12"/>
      <c r="D2369" s="12"/>
      <c r="E2369" t="b">
        <f t="shared" si="36"/>
        <v>1</v>
      </c>
      <c r="F2369" s="12">
        <v>0</v>
      </c>
    </row>
    <row r="2370" spans="3:6">
      <c r="C2370" s="12"/>
      <c r="D2370" s="12"/>
      <c r="E2370" t="b">
        <f t="shared" si="36"/>
        <v>1</v>
      </c>
      <c r="F2370" s="12">
        <v>0</v>
      </c>
    </row>
    <row r="2371" spans="3:6">
      <c r="C2371" s="12"/>
      <c r="D2371" s="12"/>
      <c r="E2371" t="b">
        <f t="shared" ref="E2371:E2434" si="37">F2371=C2371</f>
        <v>1</v>
      </c>
      <c r="F2371" s="12">
        <v>0</v>
      </c>
    </row>
    <row r="2372" spans="3:6">
      <c r="C2372" s="12"/>
      <c r="D2372" s="12"/>
      <c r="E2372" t="b">
        <f t="shared" si="37"/>
        <v>1</v>
      </c>
      <c r="F2372" s="12">
        <v>0</v>
      </c>
    </row>
    <row r="2373" spans="3:6">
      <c r="C2373" s="12"/>
      <c r="D2373" s="12"/>
      <c r="E2373" t="b">
        <f t="shared" si="37"/>
        <v>1</v>
      </c>
      <c r="F2373" s="12">
        <v>0</v>
      </c>
    </row>
    <row r="2374" spans="3:6">
      <c r="C2374" s="12"/>
      <c r="D2374" s="12"/>
      <c r="E2374" t="b">
        <f t="shared" si="37"/>
        <v>1</v>
      </c>
      <c r="F2374" s="12">
        <v>0</v>
      </c>
    </row>
    <row r="2375" spans="3:6">
      <c r="C2375" s="12"/>
      <c r="D2375" s="12"/>
      <c r="E2375" t="b">
        <f t="shared" si="37"/>
        <v>1</v>
      </c>
      <c r="F2375" s="12">
        <v>0</v>
      </c>
    </row>
    <row r="2376" spans="3:6">
      <c r="C2376" s="12"/>
      <c r="D2376" s="12"/>
      <c r="E2376" t="b">
        <f t="shared" si="37"/>
        <v>1</v>
      </c>
      <c r="F2376" s="12">
        <v>0</v>
      </c>
    </row>
    <row r="2377" spans="3:6">
      <c r="C2377" s="12"/>
      <c r="D2377" s="12"/>
      <c r="E2377" t="b">
        <f t="shared" si="37"/>
        <v>1</v>
      </c>
      <c r="F2377" s="12">
        <v>0</v>
      </c>
    </row>
    <row r="2378" spans="3:6">
      <c r="C2378" s="12"/>
      <c r="D2378" s="12"/>
      <c r="E2378" t="b">
        <f t="shared" si="37"/>
        <v>1</v>
      </c>
      <c r="F2378" s="12">
        <v>0</v>
      </c>
    </row>
    <row r="2379" spans="3:6">
      <c r="C2379" s="12"/>
      <c r="D2379" s="12"/>
      <c r="E2379" t="b">
        <f t="shared" si="37"/>
        <v>1</v>
      </c>
      <c r="F2379" s="12">
        <v>0</v>
      </c>
    </row>
    <row r="2380" spans="3:6">
      <c r="C2380" s="12"/>
      <c r="D2380" s="12"/>
      <c r="E2380" t="b">
        <f t="shared" si="37"/>
        <v>1</v>
      </c>
      <c r="F2380" s="12">
        <v>0</v>
      </c>
    </row>
    <row r="2381" spans="3:6">
      <c r="C2381" s="12"/>
      <c r="D2381" s="12"/>
      <c r="E2381" t="b">
        <f t="shared" si="37"/>
        <v>1</v>
      </c>
      <c r="F2381" s="12">
        <v>0</v>
      </c>
    </row>
    <row r="2382" spans="3:6">
      <c r="C2382" s="12"/>
      <c r="D2382" s="12"/>
      <c r="E2382" t="b">
        <f t="shared" si="37"/>
        <v>1</v>
      </c>
      <c r="F2382" s="12">
        <v>0</v>
      </c>
    </row>
    <row r="2383" spans="3:6">
      <c r="C2383" s="12"/>
      <c r="D2383" s="12"/>
      <c r="E2383" t="b">
        <f t="shared" si="37"/>
        <v>1</v>
      </c>
      <c r="F2383" s="12">
        <v>0</v>
      </c>
    </row>
    <row r="2384" spans="3:6">
      <c r="C2384" s="12"/>
      <c r="D2384" s="12"/>
      <c r="E2384" t="b">
        <f t="shared" si="37"/>
        <v>1</v>
      </c>
      <c r="F2384" s="12">
        <v>0</v>
      </c>
    </row>
    <row r="2385" spans="3:6">
      <c r="C2385" s="12"/>
      <c r="D2385" s="12"/>
      <c r="E2385" t="b">
        <f t="shared" si="37"/>
        <v>1</v>
      </c>
      <c r="F2385" s="12">
        <v>0</v>
      </c>
    </row>
    <row r="2386" spans="3:6">
      <c r="C2386" s="12"/>
      <c r="D2386" s="12"/>
      <c r="E2386" t="b">
        <f t="shared" si="37"/>
        <v>1</v>
      </c>
      <c r="F2386" s="12">
        <v>0</v>
      </c>
    </row>
    <row r="2387" spans="3:6">
      <c r="C2387" s="12"/>
      <c r="D2387" s="12"/>
      <c r="E2387" t="b">
        <f t="shared" si="37"/>
        <v>1</v>
      </c>
      <c r="F2387" s="12">
        <v>0</v>
      </c>
    </row>
    <row r="2388" spans="3:6">
      <c r="C2388" s="12"/>
      <c r="D2388" s="12"/>
      <c r="E2388" t="b">
        <f t="shared" si="37"/>
        <v>1</v>
      </c>
      <c r="F2388" s="12">
        <v>0</v>
      </c>
    </row>
    <row r="2389" spans="3:6">
      <c r="C2389" s="12"/>
      <c r="D2389" s="12"/>
      <c r="E2389" t="b">
        <f t="shared" si="37"/>
        <v>1</v>
      </c>
      <c r="F2389" s="12">
        <v>0</v>
      </c>
    </row>
    <row r="2390" spans="3:6">
      <c r="C2390" s="12"/>
      <c r="D2390" s="12"/>
      <c r="E2390" t="b">
        <f t="shared" si="37"/>
        <v>1</v>
      </c>
      <c r="F2390" s="12">
        <v>0</v>
      </c>
    </row>
    <row r="2391" spans="3:6">
      <c r="C2391" s="12"/>
      <c r="D2391" s="12"/>
      <c r="E2391" t="b">
        <f t="shared" si="37"/>
        <v>1</v>
      </c>
      <c r="F2391" s="12">
        <v>0</v>
      </c>
    </row>
    <row r="2392" spans="3:6">
      <c r="C2392" s="12"/>
      <c r="D2392" s="12"/>
      <c r="E2392" t="b">
        <f t="shared" si="37"/>
        <v>1</v>
      </c>
      <c r="F2392" s="12">
        <v>0</v>
      </c>
    </row>
    <row r="2393" spans="3:6">
      <c r="C2393" s="12"/>
      <c r="D2393" s="12"/>
      <c r="E2393" t="b">
        <f t="shared" si="37"/>
        <v>1</v>
      </c>
      <c r="F2393" s="12">
        <v>0</v>
      </c>
    </row>
    <row r="2394" spans="3:6">
      <c r="C2394" s="12"/>
      <c r="D2394" s="12"/>
      <c r="E2394" t="b">
        <f t="shared" si="37"/>
        <v>1</v>
      </c>
      <c r="F2394" s="12">
        <v>0</v>
      </c>
    </row>
    <row r="2395" spans="3:6">
      <c r="C2395" s="12"/>
      <c r="D2395" s="12"/>
      <c r="E2395" t="b">
        <f t="shared" si="37"/>
        <v>1</v>
      </c>
      <c r="F2395" s="12">
        <v>0</v>
      </c>
    </row>
    <row r="2396" spans="3:6">
      <c r="C2396" s="12"/>
      <c r="D2396" s="12"/>
      <c r="E2396" t="b">
        <f t="shared" si="37"/>
        <v>1</v>
      </c>
      <c r="F2396" s="12">
        <v>0</v>
      </c>
    </row>
    <row r="2397" spans="3:6">
      <c r="C2397" s="12"/>
      <c r="D2397" s="12"/>
      <c r="E2397" t="b">
        <f t="shared" si="37"/>
        <v>1</v>
      </c>
      <c r="F2397" s="12">
        <v>0</v>
      </c>
    </row>
    <row r="2398" spans="3:6">
      <c r="C2398" s="12"/>
      <c r="D2398" s="12"/>
      <c r="E2398" t="b">
        <f t="shared" si="37"/>
        <v>1</v>
      </c>
      <c r="F2398" s="12">
        <v>0</v>
      </c>
    </row>
    <row r="2399" spans="3:6">
      <c r="C2399" s="12"/>
      <c r="D2399" s="12"/>
      <c r="E2399" t="b">
        <f t="shared" si="37"/>
        <v>1</v>
      </c>
      <c r="F2399" s="12">
        <v>0</v>
      </c>
    </row>
    <row r="2400" spans="3:6">
      <c r="C2400" s="12"/>
      <c r="D2400" s="12"/>
      <c r="E2400" t="b">
        <f t="shared" si="37"/>
        <v>1</v>
      </c>
      <c r="F2400" s="12">
        <v>0</v>
      </c>
    </row>
    <row r="2401" spans="3:6">
      <c r="C2401" s="12"/>
      <c r="D2401" s="12"/>
      <c r="E2401" t="b">
        <f t="shared" si="37"/>
        <v>1</v>
      </c>
      <c r="F2401" s="12">
        <v>0</v>
      </c>
    </row>
    <row r="2402" spans="3:6">
      <c r="C2402" s="12"/>
      <c r="D2402" s="12"/>
      <c r="E2402" t="b">
        <f t="shared" si="37"/>
        <v>1</v>
      </c>
      <c r="F2402" s="12">
        <v>0</v>
      </c>
    </row>
    <row r="2403" spans="3:6">
      <c r="C2403" s="12"/>
      <c r="D2403" s="12"/>
      <c r="E2403" t="b">
        <f t="shared" si="37"/>
        <v>1</v>
      </c>
      <c r="F2403" s="12">
        <v>0</v>
      </c>
    </row>
    <row r="2404" spans="3:6">
      <c r="C2404" s="12"/>
      <c r="D2404" s="12"/>
      <c r="E2404" t="b">
        <f t="shared" si="37"/>
        <v>1</v>
      </c>
      <c r="F2404" s="12">
        <v>0</v>
      </c>
    </row>
    <row r="2405" spans="3:6">
      <c r="C2405" s="12"/>
      <c r="D2405" s="12"/>
      <c r="E2405" t="b">
        <f t="shared" si="37"/>
        <v>1</v>
      </c>
      <c r="F2405" s="12">
        <v>0</v>
      </c>
    </row>
    <row r="2406" spans="3:6">
      <c r="C2406" s="12"/>
      <c r="D2406" s="12"/>
      <c r="E2406" t="b">
        <f t="shared" si="37"/>
        <v>1</v>
      </c>
      <c r="F2406" s="12">
        <v>0</v>
      </c>
    </row>
    <row r="2407" spans="3:6">
      <c r="C2407" s="12"/>
      <c r="D2407" s="12"/>
      <c r="E2407" t="b">
        <f t="shared" si="37"/>
        <v>1</v>
      </c>
      <c r="F2407" s="12">
        <v>0</v>
      </c>
    </row>
    <row r="2408" spans="3:6">
      <c r="C2408" s="12"/>
      <c r="D2408" s="12"/>
      <c r="E2408" t="b">
        <f t="shared" si="37"/>
        <v>1</v>
      </c>
      <c r="F2408" s="12">
        <v>0</v>
      </c>
    </row>
    <row r="2409" spans="3:6">
      <c r="C2409" s="12"/>
      <c r="D2409" s="12"/>
      <c r="E2409" t="b">
        <f t="shared" si="37"/>
        <v>1</v>
      </c>
      <c r="F2409" s="12">
        <v>0</v>
      </c>
    </row>
    <row r="2410" spans="3:6">
      <c r="C2410" s="12"/>
      <c r="D2410" s="12"/>
      <c r="E2410" t="b">
        <f t="shared" si="37"/>
        <v>1</v>
      </c>
      <c r="F2410" s="12">
        <v>0</v>
      </c>
    </row>
    <row r="2411" spans="3:6">
      <c r="C2411" s="12"/>
      <c r="D2411" s="12"/>
      <c r="E2411" t="b">
        <f t="shared" si="37"/>
        <v>1</v>
      </c>
      <c r="F2411" s="12">
        <v>0</v>
      </c>
    </row>
    <row r="2412" spans="3:6">
      <c r="C2412" s="12"/>
      <c r="D2412" s="12"/>
      <c r="E2412" t="b">
        <f t="shared" si="37"/>
        <v>1</v>
      </c>
      <c r="F2412" s="12">
        <v>0</v>
      </c>
    </row>
    <row r="2413" spans="3:6">
      <c r="C2413" s="12"/>
      <c r="D2413" s="12"/>
      <c r="E2413" t="b">
        <f t="shared" si="37"/>
        <v>1</v>
      </c>
      <c r="F2413" s="12">
        <v>0</v>
      </c>
    </row>
    <row r="2414" spans="3:6">
      <c r="C2414" s="12"/>
      <c r="D2414" s="12"/>
      <c r="E2414" t="b">
        <f t="shared" si="37"/>
        <v>1</v>
      </c>
      <c r="F2414" s="12">
        <v>0</v>
      </c>
    </row>
    <row r="2415" spans="3:6">
      <c r="C2415" s="12"/>
      <c r="D2415" s="12"/>
      <c r="E2415" t="b">
        <f t="shared" si="37"/>
        <v>1</v>
      </c>
      <c r="F2415" s="12">
        <v>0</v>
      </c>
    </row>
    <row r="2416" spans="3:6">
      <c r="C2416" s="12"/>
      <c r="D2416" s="12"/>
      <c r="E2416" t="b">
        <f t="shared" si="37"/>
        <v>1</v>
      </c>
      <c r="F2416" s="12">
        <v>0</v>
      </c>
    </row>
    <row r="2417" spans="3:6">
      <c r="C2417" s="12"/>
      <c r="D2417" s="12"/>
      <c r="E2417" t="b">
        <f t="shared" si="37"/>
        <v>1</v>
      </c>
      <c r="F2417" s="12">
        <v>0</v>
      </c>
    </row>
    <row r="2418" spans="3:6">
      <c r="C2418" s="12"/>
      <c r="D2418" s="12"/>
      <c r="E2418" t="b">
        <f t="shared" si="37"/>
        <v>1</v>
      </c>
      <c r="F2418" s="12">
        <v>0</v>
      </c>
    </row>
    <row r="2419" spans="3:6">
      <c r="C2419" s="12"/>
      <c r="D2419" s="12"/>
      <c r="E2419" t="b">
        <f t="shared" si="37"/>
        <v>1</v>
      </c>
      <c r="F2419" s="12">
        <v>0</v>
      </c>
    </row>
    <row r="2420" spans="3:6">
      <c r="C2420" s="12"/>
      <c r="D2420" s="12"/>
      <c r="E2420" t="b">
        <f t="shared" si="37"/>
        <v>1</v>
      </c>
      <c r="F2420" s="12">
        <v>0</v>
      </c>
    </row>
    <row r="2421" spans="3:6">
      <c r="C2421" s="12"/>
      <c r="D2421" s="12"/>
      <c r="E2421" t="b">
        <f t="shared" si="37"/>
        <v>1</v>
      </c>
      <c r="F2421" s="12">
        <v>0</v>
      </c>
    </row>
    <row r="2422" spans="3:6">
      <c r="C2422" s="12"/>
      <c r="D2422" s="12"/>
      <c r="E2422" t="b">
        <f t="shared" si="37"/>
        <v>1</v>
      </c>
      <c r="F2422" s="12">
        <v>0</v>
      </c>
    </row>
    <row r="2423" spans="3:6">
      <c r="C2423" s="12"/>
      <c r="D2423" s="12"/>
      <c r="E2423" t="b">
        <f t="shared" si="37"/>
        <v>1</v>
      </c>
      <c r="F2423" s="12">
        <v>0</v>
      </c>
    </row>
    <row r="2424" spans="3:6">
      <c r="C2424" s="12"/>
      <c r="D2424" s="12"/>
      <c r="E2424" t="b">
        <f t="shared" si="37"/>
        <v>1</v>
      </c>
      <c r="F2424" s="12">
        <v>0</v>
      </c>
    </row>
    <row r="2425" spans="3:6">
      <c r="C2425" s="12"/>
      <c r="D2425" s="12"/>
      <c r="E2425" t="b">
        <f t="shared" si="37"/>
        <v>1</v>
      </c>
      <c r="F2425" s="12">
        <v>0</v>
      </c>
    </row>
    <row r="2426" spans="3:6">
      <c r="C2426" s="12"/>
      <c r="D2426" s="12"/>
      <c r="E2426" t="b">
        <f t="shared" si="37"/>
        <v>1</v>
      </c>
      <c r="F2426" s="12">
        <v>0</v>
      </c>
    </row>
    <row r="2427" spans="3:6">
      <c r="C2427" s="12"/>
      <c r="D2427" s="12"/>
      <c r="E2427" t="b">
        <f t="shared" si="37"/>
        <v>1</v>
      </c>
      <c r="F2427" s="12">
        <v>0</v>
      </c>
    </row>
    <row r="2428" spans="3:6">
      <c r="C2428" s="12"/>
      <c r="D2428" s="12"/>
      <c r="E2428" t="b">
        <f t="shared" si="37"/>
        <v>1</v>
      </c>
      <c r="F2428" s="12">
        <v>0</v>
      </c>
    </row>
    <row r="2429" spans="3:6">
      <c r="C2429" s="12"/>
      <c r="D2429" s="12"/>
      <c r="E2429" t="b">
        <f t="shared" si="37"/>
        <v>1</v>
      </c>
      <c r="F2429" s="12">
        <v>0</v>
      </c>
    </row>
    <row r="2430" spans="3:6">
      <c r="C2430" s="12"/>
      <c r="D2430" s="12"/>
      <c r="E2430" t="b">
        <f t="shared" si="37"/>
        <v>1</v>
      </c>
      <c r="F2430" s="12">
        <v>0</v>
      </c>
    </row>
    <row r="2431" spans="3:6">
      <c r="C2431" s="12"/>
      <c r="D2431" s="12"/>
      <c r="E2431" t="b">
        <f t="shared" si="37"/>
        <v>1</v>
      </c>
      <c r="F2431" s="12">
        <v>0</v>
      </c>
    </row>
    <row r="2432" spans="3:6">
      <c r="C2432" s="12"/>
      <c r="D2432" s="12"/>
      <c r="E2432" t="b">
        <f t="shared" si="37"/>
        <v>1</v>
      </c>
      <c r="F2432" s="12">
        <v>0</v>
      </c>
    </row>
    <row r="2433" spans="3:6">
      <c r="C2433" s="12"/>
      <c r="D2433" s="12"/>
      <c r="E2433" t="b">
        <f t="shared" si="37"/>
        <v>1</v>
      </c>
      <c r="F2433" s="12">
        <v>0</v>
      </c>
    </row>
    <row r="2434" spans="3:6">
      <c r="C2434" s="12"/>
      <c r="D2434" s="12"/>
      <c r="E2434" t="b">
        <f t="shared" si="37"/>
        <v>1</v>
      </c>
      <c r="F2434" s="12">
        <v>0</v>
      </c>
    </row>
    <row r="2435" spans="3:6">
      <c r="C2435" s="12"/>
      <c r="D2435" s="12"/>
      <c r="E2435" t="b">
        <f t="shared" ref="E2435:E2498" si="38">F2435=C2435</f>
        <v>1</v>
      </c>
      <c r="F2435" s="12">
        <v>0</v>
      </c>
    </row>
    <row r="2436" spans="3:6">
      <c r="C2436" s="12"/>
      <c r="D2436" s="12"/>
      <c r="E2436" t="b">
        <f t="shared" si="38"/>
        <v>1</v>
      </c>
      <c r="F2436" s="12">
        <v>0</v>
      </c>
    </row>
    <row r="2437" spans="3:6">
      <c r="C2437" s="12"/>
      <c r="D2437" s="12"/>
      <c r="E2437" t="b">
        <f t="shared" si="38"/>
        <v>1</v>
      </c>
      <c r="F2437" s="12">
        <v>0</v>
      </c>
    </row>
    <row r="2438" spans="3:6">
      <c r="C2438" s="12"/>
      <c r="D2438" s="12"/>
      <c r="E2438" t="b">
        <f t="shared" si="38"/>
        <v>1</v>
      </c>
      <c r="F2438" s="12">
        <v>0</v>
      </c>
    </row>
    <row r="2439" spans="3:6">
      <c r="C2439" s="12"/>
      <c r="D2439" s="12"/>
      <c r="E2439" t="b">
        <f t="shared" si="38"/>
        <v>1</v>
      </c>
      <c r="F2439" s="12">
        <v>0</v>
      </c>
    </row>
    <row r="2440" spans="3:6">
      <c r="C2440" s="12"/>
      <c r="D2440" s="12"/>
      <c r="E2440" t="b">
        <f t="shared" si="38"/>
        <v>1</v>
      </c>
      <c r="F2440" s="12">
        <v>0</v>
      </c>
    </row>
    <row r="2441" spans="3:6">
      <c r="C2441" s="12"/>
      <c r="D2441" s="12"/>
      <c r="E2441" t="b">
        <f t="shared" si="38"/>
        <v>1</v>
      </c>
      <c r="F2441" s="12">
        <v>0</v>
      </c>
    </row>
    <row r="2442" spans="3:6">
      <c r="C2442" s="12"/>
      <c r="D2442" s="12"/>
      <c r="E2442" t="b">
        <f t="shared" si="38"/>
        <v>1</v>
      </c>
      <c r="F2442" s="12">
        <v>0</v>
      </c>
    </row>
    <row r="2443" spans="3:6">
      <c r="C2443" s="12"/>
      <c r="D2443" s="12"/>
      <c r="E2443" t="b">
        <f t="shared" si="38"/>
        <v>1</v>
      </c>
      <c r="F2443" s="12">
        <v>0</v>
      </c>
    </row>
    <row r="2444" spans="3:6">
      <c r="C2444" s="12"/>
      <c r="D2444" s="12"/>
      <c r="E2444" t="b">
        <f t="shared" si="38"/>
        <v>1</v>
      </c>
      <c r="F2444" s="12">
        <v>0</v>
      </c>
    </row>
    <row r="2445" spans="3:6">
      <c r="C2445" s="12"/>
      <c r="D2445" s="12"/>
      <c r="E2445" t="b">
        <f t="shared" si="38"/>
        <v>1</v>
      </c>
      <c r="F2445" s="12">
        <v>0</v>
      </c>
    </row>
    <row r="2446" spans="3:6">
      <c r="C2446" s="12"/>
      <c r="D2446" s="12"/>
      <c r="E2446" t="b">
        <f t="shared" si="38"/>
        <v>1</v>
      </c>
      <c r="F2446" s="12">
        <v>0</v>
      </c>
    </row>
    <row r="2447" spans="3:6">
      <c r="C2447" s="12"/>
      <c r="D2447" s="12"/>
      <c r="E2447" t="b">
        <f t="shared" si="38"/>
        <v>1</v>
      </c>
      <c r="F2447" s="12">
        <v>0</v>
      </c>
    </row>
    <row r="2448" spans="3:6">
      <c r="C2448" s="12"/>
      <c r="D2448" s="12"/>
      <c r="E2448" t="b">
        <f t="shared" si="38"/>
        <v>1</v>
      </c>
      <c r="F2448" s="12">
        <v>0</v>
      </c>
    </row>
    <row r="2449" spans="3:6">
      <c r="C2449" s="12"/>
      <c r="D2449" s="12"/>
      <c r="E2449" t="b">
        <f t="shared" si="38"/>
        <v>1</v>
      </c>
      <c r="F2449" s="12">
        <v>0</v>
      </c>
    </row>
    <row r="2450" spans="3:6">
      <c r="C2450" s="12"/>
      <c r="D2450" s="12"/>
      <c r="E2450" t="b">
        <f t="shared" si="38"/>
        <v>1</v>
      </c>
      <c r="F2450" s="12">
        <v>0</v>
      </c>
    </row>
    <row r="2451" spans="3:6">
      <c r="C2451" s="12"/>
      <c r="D2451" s="12"/>
      <c r="E2451" t="b">
        <f t="shared" si="38"/>
        <v>1</v>
      </c>
      <c r="F2451" s="12">
        <v>0</v>
      </c>
    </row>
    <row r="2452" spans="3:6">
      <c r="C2452" s="12"/>
      <c r="D2452" s="12"/>
      <c r="E2452" t="b">
        <f t="shared" si="38"/>
        <v>1</v>
      </c>
      <c r="F2452" s="12">
        <v>0</v>
      </c>
    </row>
    <row r="2453" spans="3:6">
      <c r="C2453" s="12"/>
      <c r="D2453" s="12"/>
      <c r="E2453" t="b">
        <f t="shared" si="38"/>
        <v>1</v>
      </c>
      <c r="F2453" s="12">
        <v>0</v>
      </c>
    </row>
    <row r="2454" spans="3:6">
      <c r="C2454" s="12"/>
      <c r="D2454" s="12"/>
      <c r="E2454" t="b">
        <f t="shared" si="38"/>
        <v>1</v>
      </c>
      <c r="F2454" s="12">
        <v>0</v>
      </c>
    </row>
    <row r="2455" spans="3:6">
      <c r="C2455" s="12"/>
      <c r="D2455" s="12"/>
      <c r="E2455" t="b">
        <f t="shared" si="38"/>
        <v>1</v>
      </c>
      <c r="F2455" s="12">
        <v>0</v>
      </c>
    </row>
    <row r="2456" spans="3:6">
      <c r="C2456" s="12"/>
      <c r="D2456" s="12"/>
      <c r="E2456" t="b">
        <f t="shared" si="38"/>
        <v>1</v>
      </c>
      <c r="F2456" s="12">
        <v>0</v>
      </c>
    </row>
    <row r="2457" spans="3:6">
      <c r="C2457" s="12"/>
      <c r="D2457" s="12"/>
      <c r="E2457" t="b">
        <f t="shared" si="38"/>
        <v>1</v>
      </c>
      <c r="F2457" s="12">
        <v>0</v>
      </c>
    </row>
    <row r="2458" spans="3:6">
      <c r="C2458" s="12"/>
      <c r="D2458" s="12"/>
      <c r="E2458" t="b">
        <f t="shared" si="38"/>
        <v>1</v>
      </c>
      <c r="F2458" s="12">
        <v>0</v>
      </c>
    </row>
    <row r="2459" spans="3:6">
      <c r="C2459" s="12"/>
      <c r="D2459" s="12"/>
      <c r="E2459" t="b">
        <f t="shared" si="38"/>
        <v>1</v>
      </c>
      <c r="F2459" s="12">
        <v>0</v>
      </c>
    </row>
    <row r="2460" spans="3:6">
      <c r="C2460" s="12"/>
      <c r="D2460" s="12"/>
      <c r="E2460" t="b">
        <f t="shared" si="38"/>
        <v>1</v>
      </c>
      <c r="F2460" s="12">
        <v>0</v>
      </c>
    </row>
    <row r="2461" spans="3:6">
      <c r="C2461" s="12"/>
      <c r="D2461" s="12"/>
      <c r="E2461" t="b">
        <f t="shared" si="38"/>
        <v>1</v>
      </c>
      <c r="F2461" s="12">
        <v>0</v>
      </c>
    </row>
    <row r="2462" spans="3:6">
      <c r="C2462" s="12"/>
      <c r="D2462" s="12"/>
      <c r="E2462" t="b">
        <f t="shared" si="38"/>
        <v>1</v>
      </c>
      <c r="F2462" s="12">
        <v>0</v>
      </c>
    </row>
    <row r="2463" spans="3:6">
      <c r="C2463" s="12"/>
      <c r="D2463" s="12"/>
      <c r="E2463" t="b">
        <f t="shared" si="38"/>
        <v>1</v>
      </c>
      <c r="F2463" s="12">
        <v>0</v>
      </c>
    </row>
    <row r="2464" spans="3:6">
      <c r="C2464" s="12"/>
      <c r="D2464" s="12"/>
      <c r="E2464" t="b">
        <f t="shared" si="38"/>
        <v>1</v>
      </c>
      <c r="F2464" s="12">
        <v>0</v>
      </c>
    </row>
    <row r="2465" spans="3:6">
      <c r="C2465" s="12"/>
      <c r="D2465" s="12"/>
      <c r="E2465" t="b">
        <f t="shared" si="38"/>
        <v>1</v>
      </c>
      <c r="F2465" s="12">
        <v>0</v>
      </c>
    </row>
    <row r="2466" spans="3:6">
      <c r="C2466" s="12"/>
      <c r="D2466" s="12"/>
      <c r="E2466" t="b">
        <f t="shared" si="38"/>
        <v>1</v>
      </c>
      <c r="F2466" s="12">
        <v>0</v>
      </c>
    </row>
    <row r="2467" spans="3:6">
      <c r="C2467" s="12"/>
      <c r="D2467" s="12"/>
      <c r="E2467" t="b">
        <f t="shared" si="38"/>
        <v>1</v>
      </c>
      <c r="F2467" s="12">
        <v>0</v>
      </c>
    </row>
    <row r="2468" spans="3:6">
      <c r="C2468" s="12"/>
      <c r="D2468" s="12"/>
      <c r="E2468" t="b">
        <f t="shared" si="38"/>
        <v>1</v>
      </c>
      <c r="F2468" s="12">
        <v>0</v>
      </c>
    </row>
    <row r="2469" spans="3:6">
      <c r="C2469" s="12"/>
      <c r="D2469" s="12"/>
      <c r="E2469" t="b">
        <f t="shared" si="38"/>
        <v>1</v>
      </c>
      <c r="F2469" s="12">
        <v>0</v>
      </c>
    </row>
    <row r="2470" spans="3:6">
      <c r="C2470" s="12"/>
      <c r="D2470" s="12"/>
      <c r="E2470" t="b">
        <f t="shared" si="38"/>
        <v>1</v>
      </c>
      <c r="F2470" s="12">
        <v>0</v>
      </c>
    </row>
    <row r="2471" spans="3:6">
      <c r="C2471" s="12"/>
      <c r="D2471" s="12"/>
      <c r="E2471" t="b">
        <f t="shared" si="38"/>
        <v>1</v>
      </c>
      <c r="F2471" s="12">
        <v>0</v>
      </c>
    </row>
    <row r="2472" spans="3:6">
      <c r="C2472" s="12"/>
      <c r="D2472" s="12"/>
      <c r="E2472" t="b">
        <f t="shared" si="38"/>
        <v>1</v>
      </c>
      <c r="F2472" s="12">
        <v>0</v>
      </c>
    </row>
    <row r="2473" spans="3:6">
      <c r="C2473" s="12"/>
      <c r="D2473" s="12"/>
      <c r="E2473" t="b">
        <f t="shared" si="38"/>
        <v>1</v>
      </c>
      <c r="F2473" s="12">
        <v>0</v>
      </c>
    </row>
    <row r="2474" spans="3:6">
      <c r="C2474" s="12"/>
      <c r="D2474" s="12"/>
      <c r="E2474" t="b">
        <f t="shared" si="38"/>
        <v>1</v>
      </c>
      <c r="F2474" s="12">
        <v>0</v>
      </c>
    </row>
    <row r="2475" spans="3:6">
      <c r="C2475" s="12"/>
      <c r="D2475" s="12"/>
      <c r="E2475" t="b">
        <f t="shared" si="38"/>
        <v>1</v>
      </c>
      <c r="F2475" s="12">
        <v>0</v>
      </c>
    </row>
    <row r="2476" spans="3:6">
      <c r="C2476" s="12"/>
      <c r="D2476" s="12"/>
      <c r="E2476" t="b">
        <f t="shared" si="38"/>
        <v>1</v>
      </c>
      <c r="F2476" s="12">
        <v>0</v>
      </c>
    </row>
    <row r="2477" spans="3:6">
      <c r="C2477" s="12"/>
      <c r="D2477" s="12"/>
      <c r="E2477" t="b">
        <f t="shared" si="38"/>
        <v>1</v>
      </c>
      <c r="F2477" s="12">
        <v>0</v>
      </c>
    </row>
    <row r="2478" spans="3:6">
      <c r="C2478" s="12"/>
      <c r="D2478" s="12"/>
      <c r="E2478" t="b">
        <f t="shared" si="38"/>
        <v>1</v>
      </c>
      <c r="F2478" s="12">
        <v>0</v>
      </c>
    </row>
    <row r="2479" spans="3:6">
      <c r="C2479" s="12"/>
      <c r="D2479" s="12"/>
      <c r="E2479" t="b">
        <f t="shared" si="38"/>
        <v>1</v>
      </c>
      <c r="F2479" s="12">
        <v>0</v>
      </c>
    </row>
    <row r="2480" spans="3:6">
      <c r="C2480" s="12"/>
      <c r="D2480" s="12"/>
      <c r="E2480" t="b">
        <f t="shared" si="38"/>
        <v>1</v>
      </c>
      <c r="F2480" s="12">
        <v>0</v>
      </c>
    </row>
    <row r="2481" spans="3:6">
      <c r="C2481" s="12"/>
      <c r="D2481" s="12"/>
      <c r="E2481" t="b">
        <f t="shared" si="38"/>
        <v>1</v>
      </c>
      <c r="F2481" s="12">
        <v>0</v>
      </c>
    </row>
    <row r="2482" spans="3:6">
      <c r="C2482" s="12"/>
      <c r="D2482" s="12"/>
      <c r="E2482" t="b">
        <f t="shared" si="38"/>
        <v>1</v>
      </c>
      <c r="F2482" s="12">
        <v>0</v>
      </c>
    </row>
    <row r="2483" spans="3:6">
      <c r="C2483" s="12"/>
      <c r="D2483" s="12"/>
      <c r="E2483" t="b">
        <f t="shared" si="38"/>
        <v>1</v>
      </c>
      <c r="F2483" s="12">
        <v>0</v>
      </c>
    </row>
    <row r="2484" spans="3:6">
      <c r="C2484" s="12"/>
      <c r="D2484" s="12"/>
      <c r="E2484" t="b">
        <f t="shared" si="38"/>
        <v>1</v>
      </c>
      <c r="F2484" s="12">
        <v>0</v>
      </c>
    </row>
    <row r="2485" spans="3:6">
      <c r="C2485" s="12"/>
      <c r="D2485" s="12"/>
      <c r="E2485" t="b">
        <f t="shared" si="38"/>
        <v>1</v>
      </c>
      <c r="F2485" s="12">
        <v>0</v>
      </c>
    </row>
    <row r="2486" spans="3:6">
      <c r="C2486" s="12"/>
      <c r="D2486" s="12"/>
      <c r="E2486" t="b">
        <f t="shared" si="38"/>
        <v>1</v>
      </c>
      <c r="F2486" s="12">
        <v>0</v>
      </c>
    </row>
    <row r="2487" spans="3:6">
      <c r="C2487" s="12"/>
      <c r="D2487" s="12"/>
      <c r="E2487" t="b">
        <f t="shared" si="38"/>
        <v>1</v>
      </c>
      <c r="F2487" s="12">
        <v>0</v>
      </c>
    </row>
    <row r="2488" spans="3:6">
      <c r="C2488" s="12"/>
      <c r="D2488" s="12"/>
      <c r="E2488" t="b">
        <f t="shared" si="38"/>
        <v>1</v>
      </c>
      <c r="F2488" s="12">
        <v>0</v>
      </c>
    </row>
    <row r="2489" spans="3:6">
      <c r="C2489" s="12"/>
      <c r="D2489" s="12"/>
      <c r="E2489" t="b">
        <f t="shared" si="38"/>
        <v>1</v>
      </c>
      <c r="F2489" s="12">
        <v>0</v>
      </c>
    </row>
    <row r="2490" spans="3:6">
      <c r="C2490" s="12"/>
      <c r="D2490" s="12"/>
      <c r="E2490" t="b">
        <f t="shared" si="38"/>
        <v>1</v>
      </c>
      <c r="F2490" s="12">
        <v>0</v>
      </c>
    </row>
    <row r="2491" spans="3:6">
      <c r="C2491" s="12"/>
      <c r="D2491" s="12"/>
      <c r="E2491" t="b">
        <f t="shared" si="38"/>
        <v>1</v>
      </c>
      <c r="F2491" s="12">
        <v>0</v>
      </c>
    </row>
    <row r="2492" spans="3:6">
      <c r="C2492" s="12"/>
      <c r="D2492" s="12"/>
      <c r="E2492" t="b">
        <f t="shared" si="38"/>
        <v>1</v>
      </c>
      <c r="F2492" s="12">
        <v>0</v>
      </c>
    </row>
    <row r="2493" spans="3:6">
      <c r="C2493" s="12"/>
      <c r="D2493" s="12"/>
      <c r="E2493" t="b">
        <f t="shared" si="38"/>
        <v>1</v>
      </c>
      <c r="F2493" s="12">
        <v>0</v>
      </c>
    </row>
    <row r="2494" spans="3:6">
      <c r="C2494" s="12"/>
      <c r="D2494" s="12"/>
      <c r="E2494" t="b">
        <f t="shared" si="38"/>
        <v>1</v>
      </c>
      <c r="F2494" s="12">
        <v>0</v>
      </c>
    </row>
    <row r="2495" spans="3:6">
      <c r="C2495" s="12"/>
      <c r="D2495" s="12"/>
      <c r="E2495" t="b">
        <f t="shared" si="38"/>
        <v>1</v>
      </c>
      <c r="F2495" s="12">
        <v>0</v>
      </c>
    </row>
    <row r="2496" spans="3:6">
      <c r="C2496" s="12"/>
      <c r="D2496" s="12"/>
      <c r="E2496" t="b">
        <f t="shared" si="38"/>
        <v>1</v>
      </c>
      <c r="F2496" s="12">
        <v>0</v>
      </c>
    </row>
    <row r="2497" spans="3:6">
      <c r="C2497" s="12"/>
      <c r="D2497" s="12"/>
      <c r="E2497" t="b">
        <f t="shared" si="38"/>
        <v>1</v>
      </c>
      <c r="F2497" s="12">
        <v>0</v>
      </c>
    </row>
    <row r="2498" spans="3:6">
      <c r="C2498" s="12"/>
      <c r="D2498" s="12"/>
      <c r="E2498" t="b">
        <f t="shared" si="38"/>
        <v>1</v>
      </c>
      <c r="F2498" s="12">
        <v>0</v>
      </c>
    </row>
    <row r="2499" spans="3:6">
      <c r="C2499" s="12"/>
      <c r="D2499" s="12"/>
      <c r="E2499" t="b">
        <f t="shared" ref="E2499:E2562" si="39">F2499=C2499</f>
        <v>1</v>
      </c>
      <c r="F2499" s="12">
        <v>0</v>
      </c>
    </row>
    <row r="2500" spans="3:6">
      <c r="C2500" s="12"/>
      <c r="D2500" s="12"/>
      <c r="E2500" t="b">
        <f t="shared" si="39"/>
        <v>1</v>
      </c>
      <c r="F2500" s="12">
        <v>0</v>
      </c>
    </row>
    <row r="2501" spans="3:6">
      <c r="C2501" s="12"/>
      <c r="D2501" s="12"/>
      <c r="E2501" t="b">
        <f t="shared" si="39"/>
        <v>1</v>
      </c>
      <c r="F2501" s="12">
        <v>0</v>
      </c>
    </row>
    <row r="2502" spans="3:6">
      <c r="C2502" s="12"/>
      <c r="D2502" s="12"/>
      <c r="E2502" t="b">
        <f t="shared" si="39"/>
        <v>1</v>
      </c>
      <c r="F2502" s="12">
        <v>0</v>
      </c>
    </row>
    <row r="2503" spans="3:6">
      <c r="C2503" s="12"/>
      <c r="D2503" s="12"/>
      <c r="E2503" t="b">
        <f t="shared" si="39"/>
        <v>1</v>
      </c>
      <c r="F2503" s="12">
        <v>0</v>
      </c>
    </row>
    <row r="2504" spans="3:6">
      <c r="C2504" s="12"/>
      <c r="D2504" s="12"/>
      <c r="E2504" t="b">
        <f t="shared" si="39"/>
        <v>1</v>
      </c>
      <c r="F2504" s="12">
        <v>0</v>
      </c>
    </row>
    <row r="2505" spans="3:6">
      <c r="C2505" s="12"/>
      <c r="D2505" s="12"/>
      <c r="E2505" t="b">
        <f t="shared" si="39"/>
        <v>1</v>
      </c>
      <c r="F2505" s="12">
        <v>0</v>
      </c>
    </row>
    <row r="2506" spans="3:6">
      <c r="C2506" s="12"/>
      <c r="D2506" s="12"/>
      <c r="E2506" t="b">
        <f t="shared" si="39"/>
        <v>1</v>
      </c>
      <c r="F2506" s="12">
        <v>0</v>
      </c>
    </row>
    <row r="2507" spans="3:6">
      <c r="C2507" s="12"/>
      <c r="D2507" s="12"/>
      <c r="E2507" t="b">
        <f t="shared" si="39"/>
        <v>1</v>
      </c>
      <c r="F2507" s="12">
        <v>0</v>
      </c>
    </row>
    <row r="2508" spans="3:6">
      <c r="C2508" s="12"/>
      <c r="D2508" s="12"/>
      <c r="E2508" t="b">
        <f t="shared" si="39"/>
        <v>1</v>
      </c>
      <c r="F2508" s="12">
        <v>0</v>
      </c>
    </row>
    <row r="2509" spans="3:6">
      <c r="C2509" s="12"/>
      <c r="D2509" s="12"/>
      <c r="E2509" t="b">
        <f t="shared" si="39"/>
        <v>1</v>
      </c>
      <c r="F2509" s="12">
        <v>0</v>
      </c>
    </row>
    <row r="2510" spans="3:6">
      <c r="C2510" s="12"/>
      <c r="D2510" s="12"/>
      <c r="E2510" t="b">
        <f t="shared" si="39"/>
        <v>1</v>
      </c>
      <c r="F2510" s="12">
        <v>0</v>
      </c>
    </row>
    <row r="2511" spans="3:6">
      <c r="C2511" s="12"/>
      <c r="D2511" s="12"/>
      <c r="E2511" t="b">
        <f t="shared" si="39"/>
        <v>1</v>
      </c>
      <c r="F2511" s="12">
        <v>0</v>
      </c>
    </row>
    <row r="2512" spans="3:6">
      <c r="C2512" s="12"/>
      <c r="D2512" s="12"/>
      <c r="E2512" t="b">
        <f t="shared" si="39"/>
        <v>1</v>
      </c>
      <c r="F2512" s="12">
        <v>0</v>
      </c>
    </row>
    <row r="2513" spans="3:6">
      <c r="C2513" s="12"/>
      <c r="D2513" s="12"/>
      <c r="E2513" t="b">
        <f t="shared" si="39"/>
        <v>1</v>
      </c>
      <c r="F2513" s="12">
        <v>0</v>
      </c>
    </row>
    <row r="2514" spans="3:6">
      <c r="C2514" s="12"/>
      <c r="D2514" s="12"/>
      <c r="E2514" t="b">
        <f t="shared" si="39"/>
        <v>1</v>
      </c>
      <c r="F2514" s="12">
        <v>0</v>
      </c>
    </row>
    <row r="2515" spans="3:6">
      <c r="C2515" s="12"/>
      <c r="D2515" s="12"/>
      <c r="E2515" t="b">
        <f t="shared" si="39"/>
        <v>1</v>
      </c>
      <c r="F2515" s="12">
        <v>0</v>
      </c>
    </row>
    <row r="2516" spans="3:6">
      <c r="C2516" s="12"/>
      <c r="D2516" s="12"/>
      <c r="E2516" t="b">
        <f t="shared" si="39"/>
        <v>1</v>
      </c>
      <c r="F2516" s="12">
        <v>0</v>
      </c>
    </row>
    <row r="2517" spans="3:6">
      <c r="C2517" s="12"/>
      <c r="D2517" s="12"/>
      <c r="E2517" t="b">
        <f t="shared" si="39"/>
        <v>1</v>
      </c>
      <c r="F2517" s="12">
        <v>0</v>
      </c>
    </row>
    <row r="2518" spans="3:6">
      <c r="C2518" s="12"/>
      <c r="D2518" s="12"/>
      <c r="E2518" t="b">
        <f t="shared" si="39"/>
        <v>1</v>
      </c>
      <c r="F2518" s="12">
        <v>0</v>
      </c>
    </row>
    <row r="2519" spans="3:6">
      <c r="C2519" s="12"/>
      <c r="D2519" s="12"/>
      <c r="E2519" t="b">
        <f t="shared" si="39"/>
        <v>1</v>
      </c>
      <c r="F2519" s="12">
        <v>0</v>
      </c>
    </row>
    <row r="2520" spans="3:6">
      <c r="C2520" s="12"/>
      <c r="D2520" s="12"/>
      <c r="E2520" t="b">
        <f t="shared" si="39"/>
        <v>1</v>
      </c>
      <c r="F2520" s="12">
        <v>0</v>
      </c>
    </row>
    <row r="2521" spans="3:6">
      <c r="C2521" s="12"/>
      <c r="D2521" s="12"/>
      <c r="E2521" t="b">
        <f t="shared" si="39"/>
        <v>1</v>
      </c>
      <c r="F2521" s="12">
        <v>0</v>
      </c>
    </row>
    <row r="2522" spans="3:6">
      <c r="C2522" s="12"/>
      <c r="D2522" s="12"/>
      <c r="E2522" t="b">
        <f t="shared" si="39"/>
        <v>1</v>
      </c>
      <c r="F2522" s="12">
        <v>0</v>
      </c>
    </row>
    <row r="2523" spans="3:6">
      <c r="C2523" s="12"/>
      <c r="D2523" s="12"/>
      <c r="E2523" t="b">
        <f t="shared" si="39"/>
        <v>1</v>
      </c>
      <c r="F2523" s="12">
        <v>0</v>
      </c>
    </row>
    <row r="2524" spans="3:6">
      <c r="C2524" s="12"/>
      <c r="D2524" s="12"/>
      <c r="E2524" t="b">
        <f t="shared" si="39"/>
        <v>1</v>
      </c>
      <c r="F2524" s="12">
        <v>0</v>
      </c>
    </row>
    <row r="2525" spans="3:6">
      <c r="C2525" s="12"/>
      <c r="D2525" s="12"/>
      <c r="E2525" t="b">
        <f t="shared" si="39"/>
        <v>1</v>
      </c>
      <c r="F2525" s="12">
        <v>0</v>
      </c>
    </row>
    <row r="2526" spans="3:6">
      <c r="C2526" s="12"/>
      <c r="D2526" s="12"/>
      <c r="E2526" t="b">
        <f t="shared" si="39"/>
        <v>1</v>
      </c>
      <c r="F2526" s="12">
        <v>0</v>
      </c>
    </row>
    <row r="2527" spans="3:6">
      <c r="C2527" s="12"/>
      <c r="D2527" s="12"/>
      <c r="E2527" t="b">
        <f t="shared" si="39"/>
        <v>1</v>
      </c>
      <c r="F2527" s="12">
        <v>0</v>
      </c>
    </row>
    <row r="2528" spans="3:6">
      <c r="C2528" s="12"/>
      <c r="D2528" s="12"/>
      <c r="E2528" t="b">
        <f t="shared" si="39"/>
        <v>1</v>
      </c>
      <c r="F2528" s="12">
        <v>0</v>
      </c>
    </row>
    <row r="2529" spans="3:6">
      <c r="C2529" s="12"/>
      <c r="D2529" s="12"/>
      <c r="E2529" t="b">
        <f t="shared" si="39"/>
        <v>1</v>
      </c>
      <c r="F2529" s="12">
        <v>0</v>
      </c>
    </row>
    <row r="2530" spans="3:6">
      <c r="C2530" s="12"/>
      <c r="D2530" s="12"/>
      <c r="E2530" t="b">
        <f t="shared" si="39"/>
        <v>1</v>
      </c>
      <c r="F2530" s="12">
        <v>0</v>
      </c>
    </row>
    <row r="2531" spans="3:6">
      <c r="C2531" s="12"/>
      <c r="D2531" s="12"/>
      <c r="E2531" t="b">
        <f t="shared" si="39"/>
        <v>1</v>
      </c>
      <c r="F2531" s="12">
        <v>0</v>
      </c>
    </row>
    <row r="2532" spans="3:6">
      <c r="C2532" s="12"/>
      <c r="D2532" s="12"/>
      <c r="E2532" t="b">
        <f t="shared" si="39"/>
        <v>1</v>
      </c>
      <c r="F2532" s="12">
        <v>0</v>
      </c>
    </row>
    <row r="2533" spans="3:6">
      <c r="C2533" s="12"/>
      <c r="D2533" s="12"/>
      <c r="E2533" t="b">
        <f t="shared" si="39"/>
        <v>1</v>
      </c>
      <c r="F2533" s="12">
        <v>0</v>
      </c>
    </row>
    <row r="2534" spans="3:6">
      <c r="C2534" s="12"/>
      <c r="D2534" s="12"/>
      <c r="E2534" t="b">
        <f t="shared" si="39"/>
        <v>1</v>
      </c>
      <c r="F2534" s="12">
        <v>0</v>
      </c>
    </row>
    <row r="2535" spans="3:6">
      <c r="C2535" s="12"/>
      <c r="D2535" s="12"/>
      <c r="E2535" t="b">
        <f t="shared" si="39"/>
        <v>1</v>
      </c>
      <c r="F2535" s="12">
        <v>0</v>
      </c>
    </row>
    <row r="2536" spans="3:6">
      <c r="C2536" s="12"/>
      <c r="D2536" s="12"/>
      <c r="E2536" t="b">
        <f t="shared" si="39"/>
        <v>1</v>
      </c>
      <c r="F2536" s="12">
        <v>0</v>
      </c>
    </row>
    <row r="2537" spans="3:6">
      <c r="C2537" s="12"/>
      <c r="D2537" s="12"/>
      <c r="E2537" t="b">
        <f t="shared" si="39"/>
        <v>1</v>
      </c>
      <c r="F2537" s="12">
        <v>0</v>
      </c>
    </row>
    <row r="2538" spans="3:6">
      <c r="C2538" s="12"/>
      <c r="D2538" s="12"/>
      <c r="E2538" t="b">
        <f t="shared" si="39"/>
        <v>1</v>
      </c>
      <c r="F2538" s="12">
        <v>0</v>
      </c>
    </row>
    <row r="2539" spans="3:6">
      <c r="C2539" s="12"/>
      <c r="D2539" s="12"/>
      <c r="E2539" t="b">
        <f t="shared" si="39"/>
        <v>1</v>
      </c>
      <c r="F2539" s="12">
        <v>0</v>
      </c>
    </row>
    <row r="2540" spans="3:6">
      <c r="C2540" s="12"/>
      <c r="D2540" s="12"/>
      <c r="E2540" t="b">
        <f t="shared" si="39"/>
        <v>1</v>
      </c>
      <c r="F2540" s="12">
        <v>0</v>
      </c>
    </row>
    <row r="2541" spans="3:6">
      <c r="C2541" s="12"/>
      <c r="D2541" s="12"/>
      <c r="E2541" t="b">
        <f t="shared" si="39"/>
        <v>1</v>
      </c>
      <c r="F2541" s="12">
        <v>0</v>
      </c>
    </row>
    <row r="2542" spans="3:6">
      <c r="C2542" s="12"/>
      <c r="D2542" s="12"/>
      <c r="E2542" t="b">
        <f t="shared" si="39"/>
        <v>1</v>
      </c>
      <c r="F2542" s="12">
        <v>0</v>
      </c>
    </row>
    <row r="2543" spans="3:6">
      <c r="C2543" s="12"/>
      <c r="D2543" s="12"/>
      <c r="E2543" t="b">
        <f t="shared" si="39"/>
        <v>1</v>
      </c>
      <c r="F2543" s="12">
        <v>0</v>
      </c>
    </row>
    <row r="2544" spans="3:6">
      <c r="C2544" s="12"/>
      <c r="D2544" s="12"/>
      <c r="E2544" t="b">
        <f t="shared" si="39"/>
        <v>1</v>
      </c>
      <c r="F2544" s="12">
        <v>0</v>
      </c>
    </row>
    <row r="2545" spans="3:6">
      <c r="C2545" s="12"/>
      <c r="D2545" s="12"/>
      <c r="E2545" t="b">
        <f t="shared" si="39"/>
        <v>1</v>
      </c>
      <c r="F2545" s="12">
        <v>0</v>
      </c>
    </row>
    <row r="2546" spans="3:6">
      <c r="C2546" s="12"/>
      <c r="D2546" s="12"/>
      <c r="E2546" t="b">
        <f t="shared" si="39"/>
        <v>1</v>
      </c>
      <c r="F2546" s="12">
        <v>0</v>
      </c>
    </row>
    <row r="2547" spans="3:6">
      <c r="C2547" s="12"/>
      <c r="D2547" s="12"/>
      <c r="E2547" t="b">
        <f t="shared" si="39"/>
        <v>1</v>
      </c>
      <c r="F2547" s="12">
        <v>0</v>
      </c>
    </row>
    <row r="2548" spans="3:6">
      <c r="C2548" s="12"/>
      <c r="D2548" s="12"/>
      <c r="E2548" t="b">
        <f t="shared" si="39"/>
        <v>1</v>
      </c>
      <c r="F2548" s="12">
        <v>0</v>
      </c>
    </row>
    <row r="2549" spans="3:6">
      <c r="C2549" s="12"/>
      <c r="D2549" s="12"/>
      <c r="E2549" t="b">
        <f t="shared" si="39"/>
        <v>1</v>
      </c>
      <c r="F2549" s="12">
        <v>0</v>
      </c>
    </row>
    <row r="2550" spans="3:6">
      <c r="C2550" s="12"/>
      <c r="D2550" s="12"/>
      <c r="E2550" t="b">
        <f t="shared" si="39"/>
        <v>1</v>
      </c>
      <c r="F2550" s="12">
        <v>0</v>
      </c>
    </row>
    <row r="2551" spans="3:6">
      <c r="C2551" s="12"/>
      <c r="D2551" s="12"/>
      <c r="E2551" t="b">
        <f t="shared" si="39"/>
        <v>1</v>
      </c>
      <c r="F2551" s="12">
        <v>0</v>
      </c>
    </row>
    <row r="2552" spans="3:6">
      <c r="C2552" s="12"/>
      <c r="D2552" s="12"/>
      <c r="E2552" t="b">
        <f t="shared" si="39"/>
        <v>1</v>
      </c>
      <c r="F2552" s="12">
        <v>0</v>
      </c>
    </row>
    <row r="2553" spans="3:6">
      <c r="C2553" s="12"/>
      <c r="D2553" s="12"/>
      <c r="E2553" t="b">
        <f t="shared" si="39"/>
        <v>1</v>
      </c>
      <c r="F2553" s="12">
        <v>0</v>
      </c>
    </row>
    <row r="2554" spans="3:6">
      <c r="C2554" s="12"/>
      <c r="D2554" s="12"/>
      <c r="E2554" t="b">
        <f t="shared" si="39"/>
        <v>1</v>
      </c>
      <c r="F2554" s="12">
        <v>0</v>
      </c>
    </row>
    <row r="2555" spans="3:6">
      <c r="C2555" s="12"/>
      <c r="D2555" s="12"/>
      <c r="E2555" t="b">
        <f t="shared" si="39"/>
        <v>1</v>
      </c>
      <c r="F2555" s="12">
        <v>0</v>
      </c>
    </row>
    <row r="2556" spans="3:6">
      <c r="C2556" s="12"/>
      <c r="D2556" s="12"/>
      <c r="E2556" t="b">
        <f t="shared" si="39"/>
        <v>1</v>
      </c>
      <c r="F2556" s="12">
        <v>0</v>
      </c>
    </row>
    <row r="2557" spans="3:6">
      <c r="C2557" s="12"/>
      <c r="D2557" s="12"/>
      <c r="E2557" t="b">
        <f t="shared" si="39"/>
        <v>1</v>
      </c>
      <c r="F2557" s="12">
        <v>0</v>
      </c>
    </row>
    <row r="2558" spans="3:6">
      <c r="C2558" s="12"/>
      <c r="D2558" s="12"/>
      <c r="E2558" t="b">
        <f t="shared" si="39"/>
        <v>1</v>
      </c>
      <c r="F2558" s="12">
        <v>0</v>
      </c>
    </row>
    <row r="2559" spans="3:6">
      <c r="C2559" s="12"/>
      <c r="D2559" s="12"/>
      <c r="E2559" t="b">
        <f t="shared" si="39"/>
        <v>1</v>
      </c>
      <c r="F2559" s="12">
        <v>0</v>
      </c>
    </row>
    <row r="2560" spans="3:6">
      <c r="C2560" s="12"/>
      <c r="D2560" s="12"/>
      <c r="E2560" t="b">
        <f t="shared" si="39"/>
        <v>1</v>
      </c>
      <c r="F2560" s="12">
        <v>0</v>
      </c>
    </row>
    <row r="2561" spans="3:6">
      <c r="C2561" s="12"/>
      <c r="D2561" s="12"/>
      <c r="E2561" t="b">
        <f t="shared" si="39"/>
        <v>1</v>
      </c>
      <c r="F2561" s="12">
        <v>0</v>
      </c>
    </row>
    <row r="2562" spans="3:6">
      <c r="C2562" s="12"/>
      <c r="D2562" s="12"/>
      <c r="E2562" t="b">
        <f t="shared" si="39"/>
        <v>1</v>
      </c>
      <c r="F2562" s="12">
        <v>0</v>
      </c>
    </row>
    <row r="2563" spans="3:6">
      <c r="C2563" s="12"/>
      <c r="D2563" s="12"/>
      <c r="E2563" t="b">
        <f t="shared" ref="E2563:E2626" si="40">F2563=C2563</f>
        <v>1</v>
      </c>
      <c r="F2563" s="12">
        <v>0</v>
      </c>
    </row>
    <row r="2564" spans="3:6">
      <c r="C2564" s="12"/>
      <c r="D2564" s="12"/>
      <c r="E2564" t="b">
        <f t="shared" si="40"/>
        <v>1</v>
      </c>
      <c r="F2564" s="12">
        <v>0</v>
      </c>
    </row>
    <row r="2565" spans="3:6">
      <c r="C2565" s="12"/>
      <c r="D2565" s="12"/>
      <c r="E2565" t="b">
        <f t="shared" si="40"/>
        <v>1</v>
      </c>
      <c r="F2565" s="12">
        <v>0</v>
      </c>
    </row>
    <row r="2566" spans="3:6">
      <c r="C2566" s="12"/>
      <c r="D2566" s="12"/>
      <c r="E2566" t="b">
        <f t="shared" si="40"/>
        <v>1</v>
      </c>
      <c r="F2566" s="12">
        <v>0</v>
      </c>
    </row>
    <row r="2567" spans="3:6">
      <c r="C2567" s="12"/>
      <c r="D2567" s="12"/>
      <c r="E2567" t="b">
        <f t="shared" si="40"/>
        <v>1</v>
      </c>
      <c r="F2567" s="12">
        <v>0</v>
      </c>
    </row>
    <row r="2568" spans="3:6">
      <c r="C2568" s="12"/>
      <c r="D2568" s="12"/>
      <c r="E2568" t="b">
        <f t="shared" si="40"/>
        <v>1</v>
      </c>
      <c r="F2568" s="12">
        <v>0</v>
      </c>
    </row>
    <row r="2569" spans="3:6">
      <c r="C2569" s="12"/>
      <c r="D2569" s="12"/>
      <c r="E2569" t="b">
        <f t="shared" si="40"/>
        <v>1</v>
      </c>
      <c r="F2569" s="12">
        <v>0</v>
      </c>
    </row>
    <row r="2570" spans="3:6">
      <c r="C2570" s="12"/>
      <c r="D2570" s="12"/>
      <c r="E2570" t="b">
        <f t="shared" si="40"/>
        <v>1</v>
      </c>
      <c r="F2570" s="12">
        <v>0</v>
      </c>
    </row>
    <row r="2571" spans="3:6">
      <c r="C2571" s="12"/>
      <c r="D2571" s="12"/>
      <c r="E2571" t="b">
        <f t="shared" si="40"/>
        <v>1</v>
      </c>
      <c r="F2571" s="12">
        <v>0</v>
      </c>
    </row>
    <row r="2572" spans="3:6">
      <c r="C2572" s="12"/>
      <c r="D2572" s="12"/>
      <c r="E2572" t="b">
        <f t="shared" si="40"/>
        <v>1</v>
      </c>
      <c r="F2572" s="12">
        <v>0</v>
      </c>
    </row>
    <row r="2573" spans="3:6">
      <c r="C2573" s="12"/>
      <c r="D2573" s="12"/>
      <c r="E2573" t="b">
        <f t="shared" si="40"/>
        <v>1</v>
      </c>
      <c r="F2573" s="12">
        <v>0</v>
      </c>
    </row>
    <row r="2574" spans="3:6">
      <c r="C2574" s="12"/>
      <c r="D2574" s="12"/>
      <c r="E2574" t="b">
        <f t="shared" si="40"/>
        <v>1</v>
      </c>
      <c r="F2574" s="12">
        <v>0</v>
      </c>
    </row>
    <row r="2575" spans="3:6">
      <c r="C2575" s="12"/>
      <c r="D2575" s="12"/>
      <c r="E2575" t="b">
        <f t="shared" si="40"/>
        <v>1</v>
      </c>
      <c r="F2575" s="12">
        <v>0</v>
      </c>
    </row>
    <row r="2576" spans="3:6">
      <c r="C2576" s="12"/>
      <c r="D2576" s="12"/>
      <c r="E2576" t="b">
        <f t="shared" si="40"/>
        <v>1</v>
      </c>
      <c r="F2576" s="12">
        <v>0</v>
      </c>
    </row>
    <row r="2577" spans="3:6">
      <c r="C2577" s="12"/>
      <c r="D2577" s="12"/>
      <c r="E2577" t="b">
        <f t="shared" si="40"/>
        <v>1</v>
      </c>
      <c r="F2577" s="12">
        <v>0</v>
      </c>
    </row>
    <row r="2578" spans="3:6">
      <c r="C2578" s="12"/>
      <c r="D2578" s="12"/>
      <c r="E2578" t="b">
        <f t="shared" si="40"/>
        <v>1</v>
      </c>
      <c r="F2578" s="12">
        <v>0</v>
      </c>
    </row>
    <row r="2579" spans="3:6">
      <c r="C2579" s="12"/>
      <c r="D2579" s="12"/>
      <c r="E2579" t="b">
        <f t="shared" si="40"/>
        <v>1</v>
      </c>
      <c r="F2579" s="12">
        <v>0</v>
      </c>
    </row>
    <row r="2580" spans="3:6">
      <c r="C2580" s="12"/>
      <c r="D2580" s="12"/>
      <c r="E2580" t="b">
        <f t="shared" si="40"/>
        <v>1</v>
      </c>
      <c r="F2580" s="12">
        <v>0</v>
      </c>
    </row>
    <row r="2581" spans="3:6">
      <c r="C2581" s="12"/>
      <c r="D2581" s="12"/>
      <c r="E2581" t="b">
        <f t="shared" si="40"/>
        <v>1</v>
      </c>
      <c r="F2581" s="12">
        <v>0</v>
      </c>
    </row>
    <row r="2582" spans="3:6">
      <c r="C2582" s="12"/>
      <c r="D2582" s="12"/>
      <c r="E2582" t="b">
        <f t="shared" si="40"/>
        <v>1</v>
      </c>
      <c r="F2582" s="12">
        <v>0</v>
      </c>
    </row>
    <row r="2583" spans="3:6">
      <c r="C2583" s="12"/>
      <c r="D2583" s="12"/>
      <c r="E2583" t="b">
        <f t="shared" si="40"/>
        <v>1</v>
      </c>
      <c r="F2583" s="12">
        <v>0</v>
      </c>
    </row>
    <row r="2584" spans="3:6">
      <c r="C2584" s="12"/>
      <c r="D2584" s="12"/>
      <c r="E2584" t="b">
        <f t="shared" si="40"/>
        <v>1</v>
      </c>
      <c r="F2584" s="12">
        <v>0</v>
      </c>
    </row>
    <row r="2585" spans="3:6">
      <c r="C2585" s="12"/>
      <c r="D2585" s="12"/>
      <c r="E2585" t="b">
        <f t="shared" si="40"/>
        <v>1</v>
      </c>
      <c r="F2585" s="12">
        <v>0</v>
      </c>
    </row>
    <row r="2586" spans="3:6">
      <c r="C2586" s="12"/>
      <c r="D2586" s="12"/>
      <c r="E2586" t="b">
        <f t="shared" si="40"/>
        <v>1</v>
      </c>
      <c r="F2586" s="12">
        <v>0</v>
      </c>
    </row>
    <row r="2587" spans="3:6">
      <c r="C2587" s="12"/>
      <c r="D2587" s="12"/>
      <c r="E2587" t="b">
        <f t="shared" si="40"/>
        <v>1</v>
      </c>
      <c r="F2587" s="12">
        <v>0</v>
      </c>
    </row>
    <row r="2588" spans="3:6">
      <c r="C2588" s="12"/>
      <c r="D2588" s="12"/>
      <c r="E2588" t="b">
        <f t="shared" si="40"/>
        <v>1</v>
      </c>
      <c r="F2588" s="12">
        <v>0</v>
      </c>
    </row>
    <row r="2589" spans="3:6">
      <c r="C2589" s="12"/>
      <c r="D2589" s="12"/>
      <c r="E2589" t="b">
        <f t="shared" si="40"/>
        <v>1</v>
      </c>
      <c r="F2589" s="12">
        <v>0</v>
      </c>
    </row>
    <row r="2590" spans="3:6">
      <c r="C2590" s="12"/>
      <c r="D2590" s="12"/>
      <c r="E2590" t="b">
        <f t="shared" si="40"/>
        <v>1</v>
      </c>
      <c r="F2590" s="12">
        <v>0</v>
      </c>
    </row>
    <row r="2591" spans="3:6">
      <c r="C2591" s="12"/>
      <c r="D2591" s="12"/>
      <c r="E2591" t="b">
        <f t="shared" si="40"/>
        <v>1</v>
      </c>
      <c r="F2591" s="12">
        <v>0</v>
      </c>
    </row>
    <row r="2592" spans="3:6">
      <c r="C2592" s="12"/>
      <c r="D2592" s="12"/>
      <c r="E2592" t="b">
        <f t="shared" si="40"/>
        <v>1</v>
      </c>
      <c r="F2592" s="12">
        <v>0</v>
      </c>
    </row>
    <row r="2593" spans="3:6">
      <c r="C2593" s="12"/>
      <c r="D2593" s="12"/>
      <c r="E2593" t="b">
        <f t="shared" si="40"/>
        <v>1</v>
      </c>
      <c r="F2593" s="12">
        <v>0</v>
      </c>
    </row>
    <row r="2594" spans="3:6">
      <c r="C2594" s="12"/>
      <c r="D2594" s="12"/>
      <c r="E2594" t="b">
        <f t="shared" si="40"/>
        <v>1</v>
      </c>
      <c r="F2594" s="12">
        <v>0</v>
      </c>
    </row>
    <row r="2595" spans="3:6">
      <c r="C2595" s="12"/>
      <c r="D2595" s="12"/>
      <c r="E2595" t="b">
        <f t="shared" si="40"/>
        <v>1</v>
      </c>
      <c r="F2595" s="12">
        <v>0</v>
      </c>
    </row>
    <row r="2596" spans="3:6">
      <c r="C2596" s="12"/>
      <c r="D2596" s="12"/>
      <c r="E2596" t="b">
        <f t="shared" si="40"/>
        <v>1</v>
      </c>
      <c r="F2596" s="12">
        <v>0</v>
      </c>
    </row>
    <row r="2597" spans="3:6">
      <c r="C2597" s="12"/>
      <c r="D2597" s="12"/>
      <c r="E2597" t="b">
        <f t="shared" si="40"/>
        <v>1</v>
      </c>
      <c r="F2597" s="12">
        <v>0</v>
      </c>
    </row>
    <row r="2598" spans="3:6">
      <c r="C2598" s="12"/>
      <c r="D2598" s="12"/>
      <c r="E2598" t="b">
        <f t="shared" si="40"/>
        <v>1</v>
      </c>
      <c r="F2598" s="12">
        <v>0</v>
      </c>
    </row>
    <row r="2599" spans="3:6">
      <c r="C2599" s="12"/>
      <c r="D2599" s="12"/>
      <c r="E2599" t="b">
        <f t="shared" si="40"/>
        <v>1</v>
      </c>
      <c r="F2599" s="12">
        <v>0</v>
      </c>
    </row>
    <row r="2600" spans="3:6">
      <c r="C2600" s="12"/>
      <c r="D2600" s="12"/>
      <c r="E2600" t="b">
        <f t="shared" si="40"/>
        <v>1</v>
      </c>
      <c r="F2600" s="12">
        <v>0</v>
      </c>
    </row>
    <row r="2601" spans="3:6">
      <c r="C2601" s="12"/>
      <c r="D2601" s="12"/>
      <c r="E2601" t="b">
        <f t="shared" si="40"/>
        <v>1</v>
      </c>
      <c r="F2601" s="12">
        <v>0</v>
      </c>
    </row>
    <row r="2602" spans="3:6">
      <c r="C2602" s="12"/>
      <c r="D2602" s="12"/>
      <c r="E2602" t="b">
        <f t="shared" si="40"/>
        <v>1</v>
      </c>
      <c r="F2602" s="12">
        <v>0</v>
      </c>
    </row>
    <row r="2603" spans="3:6">
      <c r="C2603" s="12"/>
      <c r="D2603" s="12"/>
      <c r="E2603" t="b">
        <f t="shared" si="40"/>
        <v>1</v>
      </c>
      <c r="F2603" s="12">
        <v>0</v>
      </c>
    </row>
    <row r="2604" spans="3:6">
      <c r="C2604" s="12"/>
      <c r="D2604" s="12"/>
      <c r="E2604" t="b">
        <f t="shared" si="40"/>
        <v>1</v>
      </c>
      <c r="F2604" s="12">
        <v>0</v>
      </c>
    </row>
    <row r="2605" spans="3:6">
      <c r="C2605" s="12"/>
      <c r="D2605" s="12"/>
      <c r="E2605" t="b">
        <f t="shared" si="40"/>
        <v>1</v>
      </c>
      <c r="F2605" s="12">
        <v>0</v>
      </c>
    </row>
    <row r="2606" spans="3:6">
      <c r="C2606" s="12"/>
      <c r="D2606" s="12"/>
      <c r="E2606" t="b">
        <f t="shared" si="40"/>
        <v>1</v>
      </c>
      <c r="F2606" s="12">
        <v>0</v>
      </c>
    </row>
    <row r="2607" spans="3:6">
      <c r="C2607" s="12"/>
      <c r="D2607" s="12"/>
      <c r="E2607" t="b">
        <f t="shared" si="40"/>
        <v>1</v>
      </c>
      <c r="F2607" s="12">
        <v>0</v>
      </c>
    </row>
    <row r="2608" spans="3:6">
      <c r="C2608" s="12"/>
      <c r="D2608" s="12"/>
      <c r="E2608" t="b">
        <f t="shared" si="40"/>
        <v>1</v>
      </c>
      <c r="F2608" s="12">
        <v>0</v>
      </c>
    </row>
    <row r="2609" spans="3:6">
      <c r="C2609" s="12"/>
      <c r="D2609" s="12"/>
      <c r="E2609" t="b">
        <f t="shared" si="40"/>
        <v>1</v>
      </c>
      <c r="F2609" s="12">
        <v>0</v>
      </c>
    </row>
    <row r="2610" spans="3:6">
      <c r="C2610" s="12"/>
      <c r="D2610" s="12"/>
      <c r="E2610" t="b">
        <f t="shared" si="40"/>
        <v>1</v>
      </c>
      <c r="F2610" s="12">
        <v>0</v>
      </c>
    </row>
    <row r="2611" spans="3:6">
      <c r="C2611" s="12"/>
      <c r="D2611" s="12"/>
      <c r="E2611" t="b">
        <f t="shared" si="40"/>
        <v>1</v>
      </c>
      <c r="F2611" s="12">
        <v>0</v>
      </c>
    </row>
    <row r="2612" spans="3:6">
      <c r="C2612" s="12"/>
      <c r="D2612" s="12"/>
      <c r="E2612" t="b">
        <f t="shared" si="40"/>
        <v>1</v>
      </c>
      <c r="F2612" s="12">
        <v>0</v>
      </c>
    </row>
    <row r="2613" spans="3:6">
      <c r="C2613" s="12"/>
      <c r="D2613" s="12"/>
      <c r="E2613" t="b">
        <f t="shared" si="40"/>
        <v>1</v>
      </c>
      <c r="F2613" s="12">
        <v>0</v>
      </c>
    </row>
    <row r="2614" spans="3:6">
      <c r="C2614" s="12"/>
      <c r="D2614" s="12"/>
      <c r="E2614" t="b">
        <f t="shared" si="40"/>
        <v>1</v>
      </c>
      <c r="F2614" s="12">
        <v>0</v>
      </c>
    </row>
    <row r="2615" spans="3:6">
      <c r="C2615" s="12"/>
      <c r="D2615" s="12"/>
      <c r="E2615" t="b">
        <f t="shared" si="40"/>
        <v>1</v>
      </c>
      <c r="F2615" s="12">
        <v>0</v>
      </c>
    </row>
    <row r="2616" spans="3:6">
      <c r="C2616" s="12"/>
      <c r="D2616" s="12"/>
      <c r="E2616" t="b">
        <f t="shared" si="40"/>
        <v>1</v>
      </c>
      <c r="F2616" s="12">
        <v>0</v>
      </c>
    </row>
    <row r="2617" spans="3:6">
      <c r="C2617" s="12"/>
      <c r="D2617" s="12"/>
      <c r="E2617" t="b">
        <f t="shared" si="40"/>
        <v>1</v>
      </c>
      <c r="F2617" s="12">
        <v>0</v>
      </c>
    </row>
    <row r="2618" spans="3:6">
      <c r="C2618" s="12"/>
      <c r="D2618" s="12"/>
      <c r="E2618" t="b">
        <f t="shared" si="40"/>
        <v>1</v>
      </c>
      <c r="F2618" s="12">
        <v>0</v>
      </c>
    </row>
    <row r="2619" spans="3:6">
      <c r="C2619" s="12"/>
      <c r="D2619" s="12"/>
      <c r="E2619" t="b">
        <f t="shared" si="40"/>
        <v>1</v>
      </c>
      <c r="F2619" s="12">
        <v>0</v>
      </c>
    </row>
    <row r="2620" spans="3:6">
      <c r="C2620" s="12"/>
      <c r="D2620" s="12"/>
      <c r="E2620" t="b">
        <f t="shared" si="40"/>
        <v>1</v>
      </c>
      <c r="F2620" s="12">
        <v>0</v>
      </c>
    </row>
    <row r="2621" spans="3:6">
      <c r="C2621" s="12"/>
      <c r="D2621" s="12"/>
      <c r="E2621" t="b">
        <f t="shared" si="40"/>
        <v>1</v>
      </c>
      <c r="F2621" s="12">
        <v>0</v>
      </c>
    </row>
    <row r="2622" spans="3:6">
      <c r="C2622" s="12"/>
      <c r="D2622" s="12"/>
      <c r="E2622" t="b">
        <f t="shared" si="40"/>
        <v>1</v>
      </c>
      <c r="F2622" s="12">
        <v>0</v>
      </c>
    </row>
    <row r="2623" spans="3:6">
      <c r="C2623" s="12"/>
      <c r="D2623" s="12"/>
      <c r="E2623" t="b">
        <f t="shared" si="40"/>
        <v>1</v>
      </c>
      <c r="F2623" s="12">
        <v>0</v>
      </c>
    </row>
    <row r="2624" spans="3:6">
      <c r="C2624" s="12"/>
      <c r="D2624" s="12"/>
      <c r="E2624" t="b">
        <f t="shared" si="40"/>
        <v>1</v>
      </c>
      <c r="F2624" s="12">
        <v>0</v>
      </c>
    </row>
    <row r="2625" spans="3:6">
      <c r="C2625" s="12"/>
      <c r="D2625" s="12"/>
      <c r="E2625" t="b">
        <f t="shared" si="40"/>
        <v>1</v>
      </c>
      <c r="F2625" s="12">
        <v>0</v>
      </c>
    </row>
    <row r="2626" spans="3:6">
      <c r="C2626" s="12"/>
      <c r="D2626" s="12"/>
      <c r="E2626" t="b">
        <f t="shared" si="40"/>
        <v>1</v>
      </c>
      <c r="F2626" s="12">
        <v>0</v>
      </c>
    </row>
    <row r="2627" spans="3:6">
      <c r="C2627" s="12"/>
      <c r="D2627" s="12"/>
      <c r="E2627" t="b">
        <f t="shared" ref="E2627:E2690" si="41">F2627=C2627</f>
        <v>1</v>
      </c>
      <c r="F2627" s="12">
        <v>0</v>
      </c>
    </row>
    <row r="2628" spans="3:6">
      <c r="C2628" s="12"/>
      <c r="D2628" s="12"/>
      <c r="E2628" t="b">
        <f t="shared" si="41"/>
        <v>1</v>
      </c>
      <c r="F2628" s="12">
        <v>0</v>
      </c>
    </row>
    <row r="2629" spans="3:6">
      <c r="C2629" s="12"/>
      <c r="D2629" s="12"/>
      <c r="E2629" t="b">
        <f t="shared" si="41"/>
        <v>1</v>
      </c>
      <c r="F2629" s="12">
        <v>0</v>
      </c>
    </row>
    <row r="2630" spans="3:6">
      <c r="C2630" s="12"/>
      <c r="D2630" s="12"/>
      <c r="E2630" t="b">
        <f t="shared" si="41"/>
        <v>1</v>
      </c>
      <c r="F2630" s="12">
        <v>0</v>
      </c>
    </row>
    <row r="2631" spans="3:6">
      <c r="C2631" s="12"/>
      <c r="D2631" s="12"/>
      <c r="E2631" t="b">
        <f t="shared" si="41"/>
        <v>1</v>
      </c>
      <c r="F2631" s="12">
        <v>0</v>
      </c>
    </row>
    <row r="2632" spans="3:6">
      <c r="C2632" s="12"/>
      <c r="D2632" s="12"/>
      <c r="E2632" t="b">
        <f t="shared" si="41"/>
        <v>1</v>
      </c>
      <c r="F2632" s="12">
        <v>0</v>
      </c>
    </row>
    <row r="2633" spans="3:6">
      <c r="C2633" s="12"/>
      <c r="D2633" s="12"/>
      <c r="E2633" t="b">
        <f t="shared" si="41"/>
        <v>1</v>
      </c>
      <c r="F2633" s="12">
        <v>0</v>
      </c>
    </row>
    <row r="2634" spans="3:6">
      <c r="C2634" s="12"/>
      <c r="D2634" s="12"/>
      <c r="E2634" t="b">
        <f t="shared" si="41"/>
        <v>1</v>
      </c>
      <c r="F2634" s="12">
        <v>0</v>
      </c>
    </row>
    <row r="2635" spans="3:6">
      <c r="C2635" s="12"/>
      <c r="D2635" s="12"/>
      <c r="E2635" t="b">
        <f t="shared" si="41"/>
        <v>1</v>
      </c>
      <c r="F2635" s="12">
        <v>0</v>
      </c>
    </row>
    <row r="2636" spans="3:6">
      <c r="C2636" s="12"/>
      <c r="D2636" s="12"/>
      <c r="E2636" t="b">
        <f t="shared" si="41"/>
        <v>1</v>
      </c>
      <c r="F2636" s="12">
        <v>0</v>
      </c>
    </row>
    <row r="2637" spans="3:6">
      <c r="C2637" s="12"/>
      <c r="D2637" s="12"/>
      <c r="E2637" t="b">
        <f t="shared" si="41"/>
        <v>1</v>
      </c>
      <c r="F2637" s="12">
        <v>0</v>
      </c>
    </row>
    <row r="2638" spans="3:6">
      <c r="C2638" s="12"/>
      <c r="D2638" s="12"/>
      <c r="E2638" t="b">
        <f t="shared" si="41"/>
        <v>1</v>
      </c>
      <c r="F2638" s="12">
        <v>0</v>
      </c>
    </row>
    <row r="2639" spans="3:6">
      <c r="C2639" s="12"/>
      <c r="D2639" s="12"/>
      <c r="E2639" t="b">
        <f t="shared" si="41"/>
        <v>1</v>
      </c>
      <c r="F2639" s="12">
        <v>0</v>
      </c>
    </row>
    <row r="2640" spans="3:6">
      <c r="C2640" s="12"/>
      <c r="D2640" s="12"/>
      <c r="E2640" t="b">
        <f t="shared" si="41"/>
        <v>1</v>
      </c>
      <c r="F2640" s="12">
        <v>0</v>
      </c>
    </row>
    <row r="2641" spans="3:6">
      <c r="C2641" s="12"/>
      <c r="D2641" s="12"/>
      <c r="E2641" t="b">
        <f t="shared" si="41"/>
        <v>1</v>
      </c>
      <c r="F2641" s="12">
        <v>0</v>
      </c>
    </row>
    <row r="2642" spans="3:6">
      <c r="C2642" s="12"/>
      <c r="D2642" s="12"/>
      <c r="E2642" t="b">
        <f t="shared" si="41"/>
        <v>1</v>
      </c>
      <c r="F2642" s="12">
        <v>0</v>
      </c>
    </row>
    <row r="2643" spans="3:6">
      <c r="C2643" s="12"/>
      <c r="D2643" s="12"/>
      <c r="E2643" t="b">
        <f t="shared" si="41"/>
        <v>1</v>
      </c>
      <c r="F2643" s="12">
        <v>0</v>
      </c>
    </row>
    <row r="2644" spans="3:6">
      <c r="C2644" s="12"/>
      <c r="D2644" s="12"/>
      <c r="E2644" t="b">
        <f t="shared" si="41"/>
        <v>1</v>
      </c>
      <c r="F2644" s="12">
        <v>0</v>
      </c>
    </row>
    <row r="2645" spans="3:6">
      <c r="C2645" s="12"/>
      <c r="D2645" s="12"/>
      <c r="E2645" t="b">
        <f t="shared" si="41"/>
        <v>1</v>
      </c>
      <c r="F2645" s="12">
        <v>0</v>
      </c>
    </row>
    <row r="2646" spans="3:6">
      <c r="C2646" s="12"/>
      <c r="D2646" s="12"/>
      <c r="E2646" t="b">
        <f t="shared" si="41"/>
        <v>1</v>
      </c>
      <c r="F2646" s="12">
        <v>0</v>
      </c>
    </row>
    <row r="2647" spans="3:6">
      <c r="C2647" s="12"/>
      <c r="D2647" s="12"/>
      <c r="E2647" t="b">
        <f t="shared" si="41"/>
        <v>1</v>
      </c>
      <c r="F2647" s="12">
        <v>0</v>
      </c>
    </row>
    <row r="2648" spans="3:6">
      <c r="C2648" s="12"/>
      <c r="D2648" s="12"/>
      <c r="E2648" t="b">
        <f t="shared" si="41"/>
        <v>1</v>
      </c>
      <c r="F2648" s="12">
        <v>0</v>
      </c>
    </row>
    <row r="2649" spans="3:6">
      <c r="C2649" s="12"/>
      <c r="D2649" s="12"/>
      <c r="E2649" t="b">
        <f t="shared" si="41"/>
        <v>1</v>
      </c>
      <c r="F2649" s="12">
        <v>0</v>
      </c>
    </row>
    <row r="2650" spans="3:6">
      <c r="C2650" s="12"/>
      <c r="D2650" s="12"/>
      <c r="E2650" t="b">
        <f t="shared" si="41"/>
        <v>1</v>
      </c>
      <c r="F2650" s="12">
        <v>0</v>
      </c>
    </row>
    <row r="2651" spans="3:6">
      <c r="C2651" s="12"/>
      <c r="D2651" s="12"/>
      <c r="E2651" t="b">
        <f t="shared" si="41"/>
        <v>1</v>
      </c>
      <c r="F2651" s="12">
        <v>0</v>
      </c>
    </row>
    <row r="2652" spans="3:6">
      <c r="C2652" s="12"/>
      <c r="D2652" s="12"/>
      <c r="E2652" t="b">
        <f t="shared" si="41"/>
        <v>1</v>
      </c>
      <c r="F2652" s="12">
        <v>0</v>
      </c>
    </row>
    <row r="2653" spans="3:6">
      <c r="C2653" s="12"/>
      <c r="D2653" s="12"/>
      <c r="E2653" t="b">
        <f t="shared" si="41"/>
        <v>1</v>
      </c>
      <c r="F2653" s="12">
        <v>0</v>
      </c>
    </row>
    <row r="2654" spans="3:6">
      <c r="C2654" s="12"/>
      <c r="D2654" s="12"/>
      <c r="E2654" t="b">
        <f t="shared" si="41"/>
        <v>1</v>
      </c>
      <c r="F2654" s="12">
        <v>0</v>
      </c>
    </row>
    <row r="2655" spans="3:6">
      <c r="C2655" s="12"/>
      <c r="D2655" s="12"/>
      <c r="E2655" t="b">
        <f t="shared" si="41"/>
        <v>1</v>
      </c>
      <c r="F2655" s="12">
        <v>0</v>
      </c>
    </row>
    <row r="2656" spans="3:6">
      <c r="C2656" s="12"/>
      <c r="D2656" s="12"/>
      <c r="E2656" t="b">
        <f t="shared" si="41"/>
        <v>1</v>
      </c>
      <c r="F2656" s="12">
        <v>0</v>
      </c>
    </row>
    <row r="2657" spans="3:6">
      <c r="C2657" s="12"/>
      <c r="D2657" s="12"/>
      <c r="E2657" t="b">
        <f t="shared" si="41"/>
        <v>1</v>
      </c>
      <c r="F2657" s="12">
        <v>0</v>
      </c>
    </row>
    <row r="2658" spans="3:6">
      <c r="C2658" s="12"/>
      <c r="D2658" s="12"/>
      <c r="E2658" t="b">
        <f t="shared" si="41"/>
        <v>1</v>
      </c>
      <c r="F2658" s="12">
        <v>0</v>
      </c>
    </row>
    <row r="2659" spans="3:6">
      <c r="C2659" s="12"/>
      <c r="D2659" s="12"/>
      <c r="E2659" t="b">
        <f t="shared" si="41"/>
        <v>1</v>
      </c>
      <c r="F2659" s="12">
        <v>0</v>
      </c>
    </row>
    <row r="2660" spans="3:6">
      <c r="C2660" s="12"/>
      <c r="D2660" s="12"/>
      <c r="E2660" t="b">
        <f t="shared" si="41"/>
        <v>1</v>
      </c>
      <c r="F2660" s="12">
        <v>0</v>
      </c>
    </row>
    <row r="2661" spans="3:6">
      <c r="C2661" s="12"/>
      <c r="D2661" s="12"/>
      <c r="E2661" t="b">
        <f t="shared" si="41"/>
        <v>1</v>
      </c>
      <c r="F2661" s="12">
        <v>0</v>
      </c>
    </row>
    <row r="2662" spans="3:6">
      <c r="C2662" s="12"/>
      <c r="D2662" s="12"/>
      <c r="E2662" t="b">
        <f t="shared" si="41"/>
        <v>1</v>
      </c>
      <c r="F2662" s="12">
        <v>0</v>
      </c>
    </row>
    <row r="2663" spans="3:6">
      <c r="C2663" s="12"/>
      <c r="D2663" s="12"/>
      <c r="E2663" t="b">
        <f t="shared" si="41"/>
        <v>1</v>
      </c>
      <c r="F2663" s="12">
        <v>0</v>
      </c>
    </row>
    <row r="2664" spans="3:6">
      <c r="C2664" s="12"/>
      <c r="D2664" s="12"/>
      <c r="E2664" t="b">
        <f t="shared" si="41"/>
        <v>1</v>
      </c>
      <c r="F2664" s="12">
        <v>0</v>
      </c>
    </row>
    <row r="2665" spans="3:6">
      <c r="C2665" s="12"/>
      <c r="D2665" s="12"/>
      <c r="E2665" t="b">
        <f t="shared" si="41"/>
        <v>1</v>
      </c>
      <c r="F2665" s="12">
        <v>0</v>
      </c>
    </row>
    <row r="2666" spans="3:6">
      <c r="C2666" s="12"/>
      <c r="D2666" s="12"/>
      <c r="E2666" t="b">
        <f t="shared" si="41"/>
        <v>1</v>
      </c>
      <c r="F2666" s="12">
        <v>0</v>
      </c>
    </row>
    <row r="2667" spans="3:6">
      <c r="C2667" s="12"/>
      <c r="D2667" s="12"/>
      <c r="E2667" t="b">
        <f t="shared" si="41"/>
        <v>1</v>
      </c>
      <c r="F2667" s="12">
        <v>0</v>
      </c>
    </row>
    <row r="2668" spans="3:6">
      <c r="C2668" s="12"/>
      <c r="D2668" s="12"/>
      <c r="E2668" t="b">
        <f t="shared" si="41"/>
        <v>1</v>
      </c>
      <c r="F2668" s="12">
        <v>0</v>
      </c>
    </row>
    <row r="2669" spans="3:6">
      <c r="C2669" s="12"/>
      <c r="D2669" s="12"/>
      <c r="E2669" t="b">
        <f t="shared" si="41"/>
        <v>1</v>
      </c>
      <c r="F2669" s="12">
        <v>0</v>
      </c>
    </row>
    <row r="2670" spans="3:6">
      <c r="C2670" s="12"/>
      <c r="D2670" s="12"/>
      <c r="E2670" t="b">
        <f t="shared" si="41"/>
        <v>1</v>
      </c>
      <c r="F2670" s="12">
        <v>0</v>
      </c>
    </row>
    <row r="2671" spans="3:6">
      <c r="C2671" s="12"/>
      <c r="D2671" s="12"/>
      <c r="E2671" t="b">
        <f t="shared" si="41"/>
        <v>1</v>
      </c>
      <c r="F2671" s="12">
        <v>0</v>
      </c>
    </row>
    <row r="2672" spans="3:6">
      <c r="C2672" s="12"/>
      <c r="D2672" s="12"/>
      <c r="E2672" t="b">
        <f t="shared" si="41"/>
        <v>1</v>
      </c>
      <c r="F2672" s="12">
        <v>0</v>
      </c>
    </row>
    <row r="2673" spans="3:6">
      <c r="C2673" s="12"/>
      <c r="D2673" s="12"/>
      <c r="E2673" t="b">
        <f t="shared" si="41"/>
        <v>1</v>
      </c>
      <c r="F2673" s="12">
        <v>0</v>
      </c>
    </row>
    <row r="2674" spans="3:6">
      <c r="C2674" s="12"/>
      <c r="D2674" s="12"/>
      <c r="E2674" t="b">
        <f t="shared" si="41"/>
        <v>1</v>
      </c>
      <c r="F2674" s="12">
        <v>0</v>
      </c>
    </row>
    <row r="2675" spans="3:6">
      <c r="C2675" s="12"/>
      <c r="D2675" s="12"/>
      <c r="E2675" t="b">
        <f t="shared" si="41"/>
        <v>1</v>
      </c>
      <c r="F2675" s="12">
        <v>0</v>
      </c>
    </row>
    <row r="2676" spans="3:6">
      <c r="C2676" s="12"/>
      <c r="D2676" s="12"/>
      <c r="E2676" t="b">
        <f t="shared" si="41"/>
        <v>1</v>
      </c>
      <c r="F2676" s="12">
        <v>0</v>
      </c>
    </row>
    <row r="2677" spans="3:6">
      <c r="C2677" s="12"/>
      <c r="D2677" s="12"/>
      <c r="E2677" t="b">
        <f t="shared" si="41"/>
        <v>1</v>
      </c>
      <c r="F2677" s="12">
        <v>0</v>
      </c>
    </row>
    <row r="2678" spans="3:6">
      <c r="C2678" s="12"/>
      <c r="D2678" s="12"/>
      <c r="E2678" t="b">
        <f t="shared" si="41"/>
        <v>1</v>
      </c>
      <c r="F2678" s="12">
        <v>0</v>
      </c>
    </row>
    <row r="2679" spans="3:6">
      <c r="C2679" s="12"/>
      <c r="D2679" s="12"/>
      <c r="E2679" t="b">
        <f t="shared" si="41"/>
        <v>1</v>
      </c>
      <c r="F2679" s="12">
        <v>0</v>
      </c>
    </row>
    <row r="2680" spans="3:6">
      <c r="C2680" s="12"/>
      <c r="D2680" s="12"/>
      <c r="E2680" t="b">
        <f t="shared" si="41"/>
        <v>1</v>
      </c>
      <c r="F2680" s="12">
        <v>0</v>
      </c>
    </row>
    <row r="2681" spans="3:6">
      <c r="C2681" s="12"/>
      <c r="D2681" s="12"/>
      <c r="E2681" t="b">
        <f t="shared" si="41"/>
        <v>1</v>
      </c>
      <c r="F2681" s="12">
        <v>0</v>
      </c>
    </row>
    <row r="2682" spans="3:6">
      <c r="C2682" s="12"/>
      <c r="D2682" s="12"/>
      <c r="E2682" t="b">
        <f t="shared" si="41"/>
        <v>1</v>
      </c>
      <c r="F2682" s="12">
        <v>0</v>
      </c>
    </row>
    <row r="2683" spans="3:6">
      <c r="C2683" s="12"/>
      <c r="D2683" s="12"/>
      <c r="E2683" t="b">
        <f t="shared" si="41"/>
        <v>1</v>
      </c>
      <c r="F2683" s="12">
        <v>0</v>
      </c>
    </row>
    <row r="2684" spans="3:6">
      <c r="C2684" s="12"/>
      <c r="D2684" s="12"/>
      <c r="E2684" t="b">
        <f t="shared" si="41"/>
        <v>1</v>
      </c>
      <c r="F2684" s="12">
        <v>0</v>
      </c>
    </row>
    <row r="2685" spans="3:6">
      <c r="C2685" s="12"/>
      <c r="D2685" s="12"/>
      <c r="E2685" t="b">
        <f t="shared" si="41"/>
        <v>1</v>
      </c>
      <c r="F2685" s="12">
        <v>0</v>
      </c>
    </row>
    <row r="2686" spans="3:6">
      <c r="C2686" s="12"/>
      <c r="D2686" s="12"/>
      <c r="E2686" t="b">
        <f t="shared" si="41"/>
        <v>1</v>
      </c>
      <c r="F2686" s="12">
        <v>0</v>
      </c>
    </row>
    <row r="2687" spans="3:6">
      <c r="C2687" s="12"/>
      <c r="D2687" s="12"/>
      <c r="E2687" t="b">
        <f t="shared" si="41"/>
        <v>1</v>
      </c>
      <c r="F2687" s="12">
        <v>0</v>
      </c>
    </row>
    <row r="2688" spans="3:6">
      <c r="C2688" s="12"/>
      <c r="D2688" s="12"/>
      <c r="E2688" t="b">
        <f t="shared" si="41"/>
        <v>1</v>
      </c>
      <c r="F2688" s="12">
        <v>0</v>
      </c>
    </row>
    <row r="2689" spans="3:6">
      <c r="C2689" s="12"/>
      <c r="D2689" s="12"/>
      <c r="E2689" t="b">
        <f t="shared" si="41"/>
        <v>1</v>
      </c>
      <c r="F2689" s="12">
        <v>0</v>
      </c>
    </row>
    <row r="2690" spans="3:6">
      <c r="C2690" s="12"/>
      <c r="D2690" s="12"/>
      <c r="E2690" t="b">
        <f t="shared" si="41"/>
        <v>1</v>
      </c>
      <c r="F2690" s="12">
        <v>0</v>
      </c>
    </row>
    <row r="2691" spans="3:6">
      <c r="C2691" s="12"/>
      <c r="D2691" s="12"/>
      <c r="E2691" t="b">
        <f t="shared" ref="E2691:E2754" si="42">F2691=C2691</f>
        <v>1</v>
      </c>
      <c r="F2691" s="12">
        <v>0</v>
      </c>
    </row>
    <row r="2692" spans="3:6">
      <c r="C2692" s="12"/>
      <c r="D2692" s="12"/>
      <c r="E2692" t="b">
        <f t="shared" si="42"/>
        <v>1</v>
      </c>
      <c r="F2692" s="12">
        <v>0</v>
      </c>
    </row>
    <row r="2693" spans="3:6">
      <c r="C2693" s="12"/>
      <c r="D2693" s="12"/>
      <c r="E2693" t="b">
        <f t="shared" si="42"/>
        <v>1</v>
      </c>
      <c r="F2693" s="12">
        <v>0</v>
      </c>
    </row>
    <row r="2694" spans="3:6">
      <c r="C2694" s="12"/>
      <c r="D2694" s="12"/>
      <c r="E2694" t="b">
        <f t="shared" si="42"/>
        <v>1</v>
      </c>
      <c r="F2694" s="12">
        <v>0</v>
      </c>
    </row>
    <row r="2695" spans="3:6">
      <c r="C2695" s="12"/>
      <c r="D2695" s="12"/>
      <c r="E2695" t="b">
        <f t="shared" si="42"/>
        <v>1</v>
      </c>
      <c r="F2695" s="12">
        <v>0</v>
      </c>
    </row>
    <row r="2696" spans="3:6">
      <c r="C2696" s="12"/>
      <c r="D2696" s="12"/>
      <c r="E2696" t="b">
        <f t="shared" si="42"/>
        <v>1</v>
      </c>
      <c r="F2696" s="12">
        <v>0</v>
      </c>
    </row>
    <row r="2697" spans="3:6">
      <c r="C2697" s="12"/>
      <c r="D2697" s="12"/>
      <c r="E2697" t="b">
        <f t="shared" si="42"/>
        <v>1</v>
      </c>
      <c r="F2697" s="12">
        <v>0</v>
      </c>
    </row>
    <row r="2698" spans="3:6">
      <c r="C2698" s="12"/>
      <c r="D2698" s="12"/>
      <c r="E2698" t="b">
        <f t="shared" si="42"/>
        <v>1</v>
      </c>
      <c r="F2698" s="12">
        <v>0</v>
      </c>
    </row>
    <row r="2699" spans="3:6">
      <c r="C2699" s="12"/>
      <c r="D2699" s="12"/>
      <c r="E2699" t="b">
        <f t="shared" si="42"/>
        <v>1</v>
      </c>
      <c r="F2699" s="12">
        <v>0</v>
      </c>
    </row>
    <row r="2700" spans="3:6">
      <c r="C2700" s="12"/>
      <c r="D2700" s="12"/>
      <c r="E2700" t="b">
        <f t="shared" si="42"/>
        <v>1</v>
      </c>
      <c r="F2700" s="12">
        <v>0</v>
      </c>
    </row>
    <row r="2701" spans="3:6">
      <c r="C2701" s="12"/>
      <c r="D2701" s="12"/>
      <c r="E2701" t="b">
        <f t="shared" si="42"/>
        <v>1</v>
      </c>
      <c r="F2701" s="12">
        <v>0</v>
      </c>
    </row>
    <row r="2702" spans="3:6">
      <c r="C2702" s="12"/>
      <c r="D2702" s="12"/>
      <c r="E2702" t="b">
        <f t="shared" si="42"/>
        <v>1</v>
      </c>
      <c r="F2702" s="12">
        <v>0</v>
      </c>
    </row>
    <row r="2703" spans="3:6">
      <c r="C2703" s="12"/>
      <c r="D2703" s="12"/>
      <c r="E2703" t="b">
        <f t="shared" si="42"/>
        <v>1</v>
      </c>
      <c r="F2703" s="12">
        <v>0</v>
      </c>
    </row>
    <row r="2704" spans="3:6">
      <c r="C2704" s="12"/>
      <c r="D2704" s="12"/>
      <c r="E2704" t="b">
        <f t="shared" si="42"/>
        <v>1</v>
      </c>
      <c r="F2704" s="12">
        <v>0</v>
      </c>
    </row>
    <row r="2705" spans="3:6">
      <c r="C2705" s="12"/>
      <c r="D2705" s="12"/>
      <c r="E2705" t="b">
        <f t="shared" si="42"/>
        <v>1</v>
      </c>
      <c r="F2705" s="12">
        <v>0</v>
      </c>
    </row>
    <row r="2706" spans="3:6">
      <c r="C2706" s="12"/>
      <c r="D2706" s="12"/>
      <c r="E2706" t="b">
        <f t="shared" si="42"/>
        <v>1</v>
      </c>
      <c r="F2706" s="12">
        <v>0</v>
      </c>
    </row>
    <row r="2707" spans="3:6">
      <c r="C2707" s="12"/>
      <c r="D2707" s="12"/>
      <c r="E2707" t="b">
        <f t="shared" si="42"/>
        <v>1</v>
      </c>
      <c r="F2707" s="12">
        <v>0</v>
      </c>
    </row>
    <row r="2708" spans="3:6">
      <c r="C2708" s="12"/>
      <c r="D2708" s="12"/>
      <c r="E2708" t="b">
        <f t="shared" si="42"/>
        <v>1</v>
      </c>
      <c r="F2708" s="12">
        <v>0</v>
      </c>
    </row>
    <row r="2709" spans="3:6">
      <c r="C2709" s="12"/>
      <c r="D2709" s="12"/>
      <c r="E2709" t="b">
        <f t="shared" si="42"/>
        <v>1</v>
      </c>
      <c r="F2709" s="12">
        <v>0</v>
      </c>
    </row>
    <row r="2710" spans="3:6">
      <c r="C2710" s="12"/>
      <c r="D2710" s="12"/>
      <c r="E2710" t="b">
        <f t="shared" si="42"/>
        <v>1</v>
      </c>
      <c r="F2710" s="12">
        <v>0</v>
      </c>
    </row>
    <row r="2711" spans="3:6">
      <c r="C2711" s="12"/>
      <c r="D2711" s="12"/>
      <c r="E2711" t="b">
        <f t="shared" si="42"/>
        <v>1</v>
      </c>
      <c r="F2711" s="12">
        <v>0</v>
      </c>
    </row>
    <row r="2712" spans="3:6">
      <c r="C2712" s="12"/>
      <c r="D2712" s="12"/>
      <c r="E2712" t="b">
        <f t="shared" si="42"/>
        <v>1</v>
      </c>
      <c r="F2712" s="12">
        <v>0</v>
      </c>
    </row>
    <row r="2713" spans="3:6">
      <c r="C2713" s="12"/>
      <c r="D2713" s="12"/>
      <c r="E2713" t="b">
        <f t="shared" si="42"/>
        <v>1</v>
      </c>
      <c r="F2713" s="12">
        <v>0</v>
      </c>
    </row>
    <row r="2714" spans="3:6">
      <c r="C2714" s="12"/>
      <c r="D2714" s="12"/>
      <c r="E2714" t="b">
        <f t="shared" si="42"/>
        <v>1</v>
      </c>
      <c r="F2714" s="12">
        <v>0</v>
      </c>
    </row>
    <row r="2715" spans="3:6">
      <c r="C2715" s="12"/>
      <c r="D2715" s="12"/>
      <c r="E2715" t="b">
        <f t="shared" si="42"/>
        <v>1</v>
      </c>
      <c r="F2715" s="12">
        <v>0</v>
      </c>
    </row>
    <row r="2716" spans="3:6">
      <c r="C2716" s="12"/>
      <c r="D2716" s="12"/>
      <c r="E2716" t="b">
        <f t="shared" si="42"/>
        <v>1</v>
      </c>
      <c r="F2716" s="12">
        <v>0</v>
      </c>
    </row>
    <row r="2717" spans="3:6">
      <c r="C2717" s="12"/>
      <c r="D2717" s="12"/>
      <c r="E2717" t="b">
        <f t="shared" si="42"/>
        <v>1</v>
      </c>
      <c r="F2717" s="12">
        <v>0</v>
      </c>
    </row>
    <row r="2718" spans="3:6">
      <c r="C2718" s="12"/>
      <c r="D2718" s="12"/>
      <c r="E2718" t="b">
        <f t="shared" si="42"/>
        <v>1</v>
      </c>
      <c r="F2718" s="12">
        <v>0</v>
      </c>
    </row>
    <row r="2719" spans="3:6">
      <c r="C2719" s="12"/>
      <c r="D2719" s="12"/>
      <c r="E2719" t="b">
        <f t="shared" si="42"/>
        <v>1</v>
      </c>
      <c r="F2719" s="12">
        <v>0</v>
      </c>
    </row>
    <row r="2720" spans="3:6">
      <c r="C2720" s="12"/>
      <c r="D2720" s="12"/>
      <c r="E2720" t="b">
        <f t="shared" si="42"/>
        <v>1</v>
      </c>
      <c r="F2720" s="12">
        <v>0</v>
      </c>
    </row>
    <row r="2721" spans="3:6">
      <c r="C2721" s="12"/>
      <c r="D2721" s="12"/>
      <c r="E2721" t="b">
        <f t="shared" si="42"/>
        <v>1</v>
      </c>
      <c r="F2721" s="12">
        <v>0</v>
      </c>
    </row>
    <row r="2722" spans="3:6">
      <c r="C2722" s="12"/>
      <c r="D2722" s="12"/>
      <c r="E2722" t="b">
        <f t="shared" si="42"/>
        <v>1</v>
      </c>
      <c r="F2722" s="12">
        <v>0</v>
      </c>
    </row>
    <row r="2723" spans="3:6">
      <c r="C2723" s="12"/>
      <c r="D2723" s="12"/>
      <c r="E2723" t="b">
        <f t="shared" si="42"/>
        <v>1</v>
      </c>
      <c r="F2723" s="12">
        <v>0</v>
      </c>
    </row>
    <row r="2724" spans="3:6">
      <c r="C2724" s="12"/>
      <c r="D2724" s="12"/>
      <c r="E2724" t="b">
        <f t="shared" si="42"/>
        <v>1</v>
      </c>
      <c r="F2724" s="12">
        <v>0</v>
      </c>
    </row>
    <row r="2725" spans="3:6">
      <c r="C2725" s="12"/>
      <c r="D2725" s="12"/>
      <c r="E2725" t="b">
        <f t="shared" si="42"/>
        <v>1</v>
      </c>
      <c r="F2725" s="12">
        <v>0</v>
      </c>
    </row>
    <row r="2726" spans="3:6">
      <c r="C2726" s="12"/>
      <c r="D2726" s="12"/>
      <c r="E2726" t="b">
        <f t="shared" si="42"/>
        <v>1</v>
      </c>
      <c r="F2726" s="12">
        <v>0</v>
      </c>
    </row>
    <row r="2727" spans="3:6">
      <c r="C2727" s="12"/>
      <c r="D2727" s="12"/>
      <c r="E2727" t="b">
        <f t="shared" si="42"/>
        <v>1</v>
      </c>
      <c r="F2727" s="12">
        <v>0</v>
      </c>
    </row>
    <row r="2728" spans="3:6">
      <c r="C2728" s="12"/>
      <c r="D2728" s="12"/>
      <c r="E2728" t="b">
        <f t="shared" si="42"/>
        <v>1</v>
      </c>
      <c r="F2728" s="12">
        <v>0</v>
      </c>
    </row>
    <row r="2729" spans="3:6">
      <c r="C2729" s="12"/>
      <c r="D2729" s="12"/>
      <c r="E2729" t="b">
        <f t="shared" si="42"/>
        <v>1</v>
      </c>
      <c r="F2729" s="12">
        <v>0</v>
      </c>
    </row>
    <row r="2730" spans="3:6">
      <c r="C2730" s="12"/>
      <c r="D2730" s="12"/>
      <c r="E2730" t="b">
        <f t="shared" si="42"/>
        <v>1</v>
      </c>
      <c r="F2730" s="12">
        <v>0</v>
      </c>
    </row>
    <row r="2731" spans="3:6">
      <c r="C2731" s="12"/>
      <c r="D2731" s="12"/>
      <c r="E2731" t="b">
        <f t="shared" si="42"/>
        <v>1</v>
      </c>
      <c r="F2731" s="12">
        <v>0</v>
      </c>
    </row>
    <row r="2732" spans="3:6">
      <c r="C2732" s="12"/>
      <c r="D2732" s="12"/>
      <c r="E2732" t="b">
        <f t="shared" si="42"/>
        <v>1</v>
      </c>
      <c r="F2732" s="12">
        <v>0</v>
      </c>
    </row>
    <row r="2733" spans="3:6">
      <c r="C2733" s="12"/>
      <c r="D2733" s="12"/>
      <c r="E2733" t="b">
        <f t="shared" si="42"/>
        <v>1</v>
      </c>
      <c r="F2733" s="12">
        <v>0</v>
      </c>
    </row>
    <row r="2734" spans="3:6">
      <c r="C2734" s="12"/>
      <c r="D2734" s="12"/>
      <c r="E2734" t="b">
        <f t="shared" si="42"/>
        <v>1</v>
      </c>
      <c r="F2734" s="12">
        <v>0</v>
      </c>
    </row>
    <row r="2735" spans="3:6">
      <c r="C2735" s="12"/>
      <c r="D2735" s="12"/>
      <c r="E2735" t="b">
        <f t="shared" si="42"/>
        <v>1</v>
      </c>
      <c r="F2735" s="12">
        <v>0</v>
      </c>
    </row>
    <row r="2736" spans="3:6">
      <c r="C2736" s="12"/>
      <c r="D2736" s="12"/>
      <c r="E2736" t="b">
        <f t="shared" si="42"/>
        <v>1</v>
      </c>
      <c r="F2736" s="12">
        <v>0</v>
      </c>
    </row>
    <row r="2737" spans="3:6">
      <c r="C2737" s="12"/>
      <c r="D2737" s="12"/>
      <c r="E2737" t="b">
        <f t="shared" si="42"/>
        <v>1</v>
      </c>
      <c r="F2737" s="12">
        <v>0</v>
      </c>
    </row>
    <row r="2738" spans="3:6">
      <c r="C2738" s="12"/>
      <c r="D2738" s="12"/>
      <c r="E2738" t="b">
        <f t="shared" si="42"/>
        <v>1</v>
      </c>
      <c r="F2738" s="12">
        <v>0</v>
      </c>
    </row>
    <row r="2739" spans="3:6">
      <c r="C2739" s="12"/>
      <c r="D2739" s="12"/>
      <c r="E2739" t="b">
        <f t="shared" si="42"/>
        <v>1</v>
      </c>
      <c r="F2739" s="12">
        <v>0</v>
      </c>
    </row>
    <row r="2740" spans="3:6">
      <c r="C2740" s="12"/>
      <c r="D2740" s="12"/>
      <c r="E2740" t="b">
        <f t="shared" si="42"/>
        <v>1</v>
      </c>
      <c r="F2740" s="12">
        <v>0</v>
      </c>
    </row>
    <row r="2741" spans="3:6">
      <c r="C2741" s="12"/>
      <c r="D2741" s="12"/>
      <c r="E2741" t="b">
        <f t="shared" si="42"/>
        <v>1</v>
      </c>
      <c r="F2741" s="12">
        <v>0</v>
      </c>
    </row>
    <row r="2742" spans="3:6">
      <c r="C2742" s="12"/>
      <c r="D2742" s="12"/>
      <c r="E2742" t="b">
        <f t="shared" si="42"/>
        <v>1</v>
      </c>
      <c r="F2742" s="12">
        <v>0</v>
      </c>
    </row>
    <row r="2743" spans="3:6">
      <c r="C2743" s="12"/>
      <c r="D2743" s="12"/>
      <c r="E2743" t="b">
        <f t="shared" si="42"/>
        <v>1</v>
      </c>
      <c r="F2743" s="12">
        <v>0</v>
      </c>
    </row>
    <row r="2744" spans="3:6">
      <c r="C2744" s="12"/>
      <c r="D2744" s="12"/>
      <c r="E2744" t="b">
        <f t="shared" si="42"/>
        <v>1</v>
      </c>
      <c r="F2744" s="12">
        <v>0</v>
      </c>
    </row>
    <row r="2745" spans="3:6">
      <c r="C2745" s="12"/>
      <c r="D2745" s="12"/>
      <c r="E2745" t="b">
        <f t="shared" si="42"/>
        <v>1</v>
      </c>
      <c r="F2745" s="12">
        <v>0</v>
      </c>
    </row>
    <row r="2746" spans="3:6">
      <c r="C2746" s="12"/>
      <c r="D2746" s="12"/>
      <c r="E2746" t="b">
        <f t="shared" si="42"/>
        <v>1</v>
      </c>
      <c r="F2746" s="12">
        <v>0</v>
      </c>
    </row>
    <row r="2747" spans="3:6">
      <c r="C2747" s="12"/>
      <c r="D2747" s="12"/>
      <c r="E2747" t="b">
        <f t="shared" si="42"/>
        <v>1</v>
      </c>
      <c r="F2747" s="12">
        <v>0</v>
      </c>
    </row>
    <row r="2748" spans="3:6">
      <c r="C2748" s="12"/>
      <c r="D2748" s="12"/>
      <c r="E2748" t="b">
        <f t="shared" si="42"/>
        <v>1</v>
      </c>
      <c r="F2748" s="12">
        <v>0</v>
      </c>
    </row>
    <row r="2749" spans="3:6">
      <c r="C2749" s="12"/>
      <c r="D2749" s="12"/>
      <c r="E2749" t="b">
        <f t="shared" si="42"/>
        <v>1</v>
      </c>
      <c r="F2749" s="12">
        <v>0</v>
      </c>
    </row>
    <row r="2750" spans="3:6">
      <c r="C2750" s="12"/>
      <c r="D2750" s="12"/>
      <c r="E2750" t="b">
        <f t="shared" si="42"/>
        <v>1</v>
      </c>
      <c r="F2750" s="12">
        <v>0</v>
      </c>
    </row>
    <row r="2751" spans="3:6">
      <c r="C2751" s="12"/>
      <c r="D2751" s="12"/>
      <c r="E2751" t="b">
        <f t="shared" si="42"/>
        <v>1</v>
      </c>
      <c r="F2751" s="12">
        <v>0</v>
      </c>
    </row>
    <row r="2752" spans="3:6">
      <c r="C2752" s="12"/>
      <c r="D2752" s="12"/>
      <c r="E2752" t="b">
        <f t="shared" si="42"/>
        <v>1</v>
      </c>
      <c r="F2752" s="12">
        <v>0</v>
      </c>
    </row>
    <row r="2753" spans="3:6">
      <c r="C2753" s="12"/>
      <c r="D2753" s="12"/>
      <c r="E2753" t="b">
        <f t="shared" si="42"/>
        <v>1</v>
      </c>
      <c r="F2753" s="12">
        <v>0</v>
      </c>
    </row>
    <row r="2754" spans="3:6">
      <c r="C2754" s="12"/>
      <c r="D2754" s="12"/>
      <c r="E2754" t="b">
        <f t="shared" si="42"/>
        <v>1</v>
      </c>
      <c r="F2754" s="12">
        <v>0</v>
      </c>
    </row>
    <row r="2755" spans="3:6">
      <c r="C2755" s="12"/>
      <c r="D2755" s="12"/>
      <c r="E2755" t="b">
        <f t="shared" ref="E2755:E2818" si="43">F2755=C2755</f>
        <v>1</v>
      </c>
      <c r="F2755" s="12">
        <v>0</v>
      </c>
    </row>
    <row r="2756" spans="3:6">
      <c r="C2756" s="12"/>
      <c r="D2756" s="12"/>
      <c r="E2756" t="b">
        <f t="shared" si="43"/>
        <v>1</v>
      </c>
      <c r="F2756" s="12">
        <v>0</v>
      </c>
    </row>
    <row r="2757" spans="3:6">
      <c r="C2757" s="12"/>
      <c r="D2757" s="12"/>
      <c r="E2757" t="b">
        <f t="shared" si="43"/>
        <v>1</v>
      </c>
      <c r="F2757" s="12">
        <v>0</v>
      </c>
    </row>
    <row r="2758" spans="3:6">
      <c r="C2758" s="12"/>
      <c r="D2758" s="12"/>
      <c r="E2758" t="b">
        <f t="shared" si="43"/>
        <v>1</v>
      </c>
      <c r="F2758" s="12">
        <v>0</v>
      </c>
    </row>
    <row r="2759" spans="3:6">
      <c r="C2759" s="12"/>
      <c r="D2759" s="12"/>
      <c r="E2759" t="b">
        <f t="shared" si="43"/>
        <v>1</v>
      </c>
      <c r="F2759" s="12">
        <v>0</v>
      </c>
    </row>
    <row r="2760" spans="3:6">
      <c r="C2760" s="12"/>
      <c r="D2760" s="12"/>
      <c r="E2760" t="b">
        <f t="shared" si="43"/>
        <v>1</v>
      </c>
      <c r="F2760" s="12">
        <v>0</v>
      </c>
    </row>
    <row r="2761" spans="3:6">
      <c r="C2761" s="12"/>
      <c r="D2761" s="12"/>
      <c r="E2761" t="b">
        <f t="shared" si="43"/>
        <v>1</v>
      </c>
      <c r="F2761" s="12">
        <v>0</v>
      </c>
    </row>
    <row r="2762" spans="3:6">
      <c r="C2762" s="12"/>
      <c r="D2762" s="12"/>
      <c r="E2762" t="b">
        <f t="shared" si="43"/>
        <v>1</v>
      </c>
      <c r="F2762" s="12">
        <v>0</v>
      </c>
    </row>
    <row r="2763" spans="3:6">
      <c r="C2763" s="12"/>
      <c r="D2763" s="12"/>
      <c r="E2763" t="b">
        <f t="shared" si="43"/>
        <v>1</v>
      </c>
      <c r="F2763" s="12">
        <v>0</v>
      </c>
    </row>
    <row r="2764" spans="3:6">
      <c r="C2764" s="12"/>
      <c r="D2764" s="12"/>
      <c r="E2764" t="b">
        <f t="shared" si="43"/>
        <v>1</v>
      </c>
      <c r="F2764" s="12">
        <v>0</v>
      </c>
    </row>
    <row r="2765" spans="3:6">
      <c r="C2765" s="12"/>
      <c r="D2765" s="12"/>
      <c r="E2765" t="b">
        <f t="shared" si="43"/>
        <v>1</v>
      </c>
      <c r="F2765" s="12">
        <v>0</v>
      </c>
    </row>
    <row r="2766" spans="3:6">
      <c r="C2766" s="12"/>
      <c r="D2766" s="12"/>
      <c r="E2766" t="b">
        <f t="shared" si="43"/>
        <v>1</v>
      </c>
      <c r="F2766" s="12">
        <v>0</v>
      </c>
    </row>
    <row r="2767" spans="3:6">
      <c r="C2767" s="12"/>
      <c r="D2767" s="12"/>
      <c r="E2767" t="b">
        <f t="shared" si="43"/>
        <v>1</v>
      </c>
      <c r="F2767" s="12">
        <v>0</v>
      </c>
    </row>
    <row r="2768" spans="3:6">
      <c r="C2768" s="12"/>
      <c r="D2768" s="12"/>
      <c r="E2768" t="b">
        <f t="shared" si="43"/>
        <v>1</v>
      </c>
      <c r="F2768" s="12">
        <v>0</v>
      </c>
    </row>
    <row r="2769" spans="3:6">
      <c r="C2769" s="12"/>
      <c r="D2769" s="12"/>
      <c r="E2769" t="b">
        <f t="shared" si="43"/>
        <v>1</v>
      </c>
      <c r="F2769" s="12">
        <v>0</v>
      </c>
    </row>
    <row r="2770" spans="3:6">
      <c r="C2770" s="12"/>
      <c r="D2770" s="12"/>
      <c r="E2770" t="b">
        <f t="shared" si="43"/>
        <v>1</v>
      </c>
      <c r="F2770" s="12">
        <v>0</v>
      </c>
    </row>
    <row r="2771" spans="3:6">
      <c r="C2771" s="12"/>
      <c r="D2771" s="12"/>
      <c r="E2771" t="b">
        <f t="shared" si="43"/>
        <v>1</v>
      </c>
      <c r="F2771" s="12">
        <v>0</v>
      </c>
    </row>
    <row r="2772" spans="3:6">
      <c r="C2772" s="12"/>
      <c r="D2772" s="12"/>
      <c r="E2772" t="b">
        <f t="shared" si="43"/>
        <v>1</v>
      </c>
      <c r="F2772" s="12">
        <v>0</v>
      </c>
    </row>
    <row r="2773" spans="3:6">
      <c r="C2773" s="12"/>
      <c r="D2773" s="12"/>
      <c r="E2773" t="b">
        <f t="shared" si="43"/>
        <v>1</v>
      </c>
      <c r="F2773" s="12">
        <v>0</v>
      </c>
    </row>
    <row r="2774" spans="3:6">
      <c r="C2774" s="12"/>
      <c r="D2774" s="12"/>
      <c r="E2774" t="b">
        <f t="shared" si="43"/>
        <v>1</v>
      </c>
      <c r="F2774" s="12">
        <v>0</v>
      </c>
    </row>
    <row r="2775" spans="3:6">
      <c r="C2775" s="12"/>
      <c r="D2775" s="12"/>
      <c r="E2775" t="b">
        <f t="shared" si="43"/>
        <v>1</v>
      </c>
      <c r="F2775" s="12">
        <v>0</v>
      </c>
    </row>
    <row r="2776" spans="3:6">
      <c r="C2776" s="12"/>
      <c r="D2776" s="12"/>
      <c r="E2776" t="b">
        <f t="shared" si="43"/>
        <v>1</v>
      </c>
      <c r="F2776" s="12">
        <v>0</v>
      </c>
    </row>
    <row r="2777" spans="3:6">
      <c r="C2777" s="12"/>
      <c r="D2777" s="12"/>
      <c r="E2777" t="b">
        <f t="shared" si="43"/>
        <v>1</v>
      </c>
      <c r="F2777" s="12">
        <v>0</v>
      </c>
    </row>
    <row r="2778" spans="3:6">
      <c r="C2778" s="12"/>
      <c r="D2778" s="12"/>
      <c r="E2778" t="b">
        <f t="shared" si="43"/>
        <v>1</v>
      </c>
      <c r="F2778" s="12">
        <v>0</v>
      </c>
    </row>
    <row r="2779" spans="3:6">
      <c r="C2779" s="12"/>
      <c r="D2779" s="12"/>
      <c r="E2779" t="b">
        <f t="shared" si="43"/>
        <v>1</v>
      </c>
      <c r="F2779" s="12">
        <v>0</v>
      </c>
    </row>
    <row r="2780" spans="3:6">
      <c r="C2780" s="12"/>
      <c r="D2780" s="12"/>
      <c r="E2780" t="b">
        <f t="shared" si="43"/>
        <v>1</v>
      </c>
      <c r="F2780" s="12">
        <v>0</v>
      </c>
    </row>
    <row r="2781" spans="3:6">
      <c r="C2781" s="12"/>
      <c r="D2781" s="12"/>
      <c r="E2781" t="b">
        <f t="shared" si="43"/>
        <v>1</v>
      </c>
      <c r="F2781" s="12">
        <v>0</v>
      </c>
    </row>
    <row r="2782" spans="3:6">
      <c r="C2782" s="12"/>
      <c r="D2782" s="12"/>
      <c r="E2782" t="b">
        <f t="shared" si="43"/>
        <v>1</v>
      </c>
      <c r="F2782" s="12">
        <v>0</v>
      </c>
    </row>
    <row r="2783" spans="3:6">
      <c r="C2783" s="12"/>
      <c r="D2783" s="12"/>
      <c r="E2783" t="b">
        <f t="shared" si="43"/>
        <v>1</v>
      </c>
      <c r="F2783" s="12">
        <v>0</v>
      </c>
    </row>
    <row r="2784" spans="3:6">
      <c r="C2784" s="12"/>
      <c r="D2784" s="12"/>
      <c r="E2784" t="b">
        <f t="shared" si="43"/>
        <v>1</v>
      </c>
      <c r="F2784" s="12">
        <v>0</v>
      </c>
    </row>
    <row r="2785" spans="3:6">
      <c r="C2785" s="12"/>
      <c r="D2785" s="12"/>
      <c r="E2785" t="b">
        <f t="shared" si="43"/>
        <v>1</v>
      </c>
      <c r="F2785" s="12">
        <v>0</v>
      </c>
    </row>
    <row r="2786" spans="3:6">
      <c r="C2786" s="12"/>
      <c r="D2786" s="12"/>
      <c r="E2786" t="b">
        <f t="shared" si="43"/>
        <v>1</v>
      </c>
      <c r="F2786" s="12">
        <v>0</v>
      </c>
    </row>
    <row r="2787" spans="3:6">
      <c r="C2787" s="12"/>
      <c r="D2787" s="12"/>
      <c r="E2787" t="b">
        <f t="shared" si="43"/>
        <v>1</v>
      </c>
      <c r="F2787" s="12">
        <v>0</v>
      </c>
    </row>
    <row r="2788" spans="3:6">
      <c r="C2788" s="12"/>
      <c r="D2788" s="12"/>
      <c r="E2788" t="b">
        <f t="shared" si="43"/>
        <v>1</v>
      </c>
      <c r="F2788" s="12">
        <v>0</v>
      </c>
    </row>
    <row r="2789" spans="3:6">
      <c r="C2789" s="12"/>
      <c r="D2789" s="12"/>
      <c r="E2789" t="b">
        <f t="shared" si="43"/>
        <v>1</v>
      </c>
      <c r="F2789" s="12">
        <v>0</v>
      </c>
    </row>
    <row r="2790" spans="3:6">
      <c r="C2790" s="12"/>
      <c r="D2790" s="12"/>
      <c r="E2790" t="b">
        <f t="shared" si="43"/>
        <v>1</v>
      </c>
      <c r="F2790" s="12">
        <v>0</v>
      </c>
    </row>
    <row r="2791" spans="3:6">
      <c r="C2791" s="12"/>
      <c r="D2791" s="12"/>
      <c r="E2791" t="b">
        <f t="shared" si="43"/>
        <v>1</v>
      </c>
      <c r="F2791" s="12">
        <v>0</v>
      </c>
    </row>
    <row r="2792" spans="3:6">
      <c r="C2792" s="12"/>
      <c r="D2792" s="12"/>
      <c r="E2792" t="b">
        <f t="shared" si="43"/>
        <v>1</v>
      </c>
      <c r="F2792" s="12">
        <v>0</v>
      </c>
    </row>
    <row r="2793" spans="3:6">
      <c r="C2793" s="12"/>
      <c r="D2793" s="12"/>
      <c r="E2793" t="b">
        <f t="shared" si="43"/>
        <v>1</v>
      </c>
      <c r="F2793" s="12">
        <v>0</v>
      </c>
    </row>
    <row r="2794" spans="3:6">
      <c r="C2794" s="12"/>
      <c r="D2794" s="12"/>
      <c r="E2794" t="b">
        <f t="shared" si="43"/>
        <v>1</v>
      </c>
      <c r="F2794" s="12">
        <v>0</v>
      </c>
    </row>
    <row r="2795" spans="3:6">
      <c r="C2795" s="12"/>
      <c r="D2795" s="12"/>
      <c r="E2795" t="b">
        <f t="shared" si="43"/>
        <v>1</v>
      </c>
      <c r="F2795" s="12">
        <v>0</v>
      </c>
    </row>
    <row r="2796" spans="3:6">
      <c r="C2796" s="12"/>
      <c r="D2796" s="12"/>
      <c r="E2796" t="b">
        <f t="shared" si="43"/>
        <v>1</v>
      </c>
      <c r="F2796" s="12">
        <v>0</v>
      </c>
    </row>
    <row r="2797" spans="3:6">
      <c r="C2797" s="12"/>
      <c r="D2797" s="12"/>
      <c r="E2797" t="b">
        <f t="shared" si="43"/>
        <v>1</v>
      </c>
      <c r="F2797" s="12">
        <v>0</v>
      </c>
    </row>
    <row r="2798" spans="3:6">
      <c r="C2798" s="12"/>
      <c r="D2798" s="12"/>
      <c r="E2798" t="b">
        <f t="shared" si="43"/>
        <v>1</v>
      </c>
      <c r="F2798" s="12">
        <v>0</v>
      </c>
    </row>
    <row r="2799" spans="3:6">
      <c r="C2799" s="12"/>
      <c r="D2799" s="12"/>
      <c r="E2799" t="b">
        <f t="shared" si="43"/>
        <v>1</v>
      </c>
      <c r="F2799" s="12">
        <v>0</v>
      </c>
    </row>
    <row r="2800" spans="3:6">
      <c r="C2800" s="12"/>
      <c r="D2800" s="12"/>
      <c r="E2800" t="b">
        <f t="shared" si="43"/>
        <v>1</v>
      </c>
      <c r="F2800" s="12">
        <v>0</v>
      </c>
    </row>
    <row r="2801" spans="3:6">
      <c r="C2801" s="12"/>
      <c r="D2801" s="12"/>
      <c r="E2801" t="b">
        <f t="shared" si="43"/>
        <v>1</v>
      </c>
      <c r="F2801" s="12">
        <v>0</v>
      </c>
    </row>
    <row r="2802" spans="3:6">
      <c r="C2802" s="12"/>
      <c r="D2802" s="12"/>
      <c r="E2802" t="b">
        <f t="shared" si="43"/>
        <v>1</v>
      </c>
      <c r="F2802" s="12">
        <v>0</v>
      </c>
    </row>
    <row r="2803" spans="3:6">
      <c r="C2803" s="12"/>
      <c r="D2803" s="12"/>
      <c r="E2803" t="b">
        <f t="shared" si="43"/>
        <v>1</v>
      </c>
      <c r="F2803" s="12">
        <v>0</v>
      </c>
    </row>
    <row r="2804" spans="3:6">
      <c r="C2804" s="12"/>
      <c r="D2804" s="12"/>
      <c r="E2804" t="b">
        <f t="shared" si="43"/>
        <v>1</v>
      </c>
      <c r="F2804" s="12">
        <v>0</v>
      </c>
    </row>
    <row r="2805" spans="3:6">
      <c r="C2805" s="12"/>
      <c r="D2805" s="12"/>
      <c r="E2805" t="b">
        <f t="shared" si="43"/>
        <v>1</v>
      </c>
      <c r="F2805" s="12">
        <v>0</v>
      </c>
    </row>
    <row r="2806" spans="3:6">
      <c r="C2806" s="12"/>
      <c r="D2806" s="12"/>
      <c r="E2806" t="b">
        <f t="shared" si="43"/>
        <v>1</v>
      </c>
      <c r="F2806" s="12">
        <v>0</v>
      </c>
    </row>
    <row r="2807" spans="3:6">
      <c r="C2807" s="12"/>
      <c r="D2807" s="12"/>
      <c r="E2807" t="b">
        <f t="shared" si="43"/>
        <v>1</v>
      </c>
      <c r="F2807" s="12">
        <v>0</v>
      </c>
    </row>
    <row r="2808" spans="3:6">
      <c r="C2808" s="12"/>
      <c r="D2808" s="12"/>
      <c r="E2808" t="b">
        <f t="shared" si="43"/>
        <v>1</v>
      </c>
      <c r="F2808" s="12">
        <v>0</v>
      </c>
    </row>
    <row r="2809" spans="3:6">
      <c r="C2809" s="12"/>
      <c r="D2809" s="12"/>
      <c r="E2809" t="b">
        <f t="shared" si="43"/>
        <v>1</v>
      </c>
      <c r="F2809" s="12">
        <v>0</v>
      </c>
    </row>
    <row r="2810" spans="3:6">
      <c r="C2810" s="12"/>
      <c r="D2810" s="12"/>
      <c r="E2810" t="b">
        <f t="shared" si="43"/>
        <v>1</v>
      </c>
      <c r="F2810" s="12">
        <v>0</v>
      </c>
    </row>
    <row r="2811" spans="3:6">
      <c r="C2811" s="12"/>
      <c r="D2811" s="12"/>
      <c r="E2811" t="b">
        <f t="shared" si="43"/>
        <v>1</v>
      </c>
      <c r="F2811" s="12">
        <v>0</v>
      </c>
    </row>
    <row r="2812" spans="3:6">
      <c r="C2812" s="12"/>
      <c r="D2812" s="12"/>
      <c r="E2812" t="b">
        <f t="shared" si="43"/>
        <v>1</v>
      </c>
      <c r="F2812" s="12">
        <v>0</v>
      </c>
    </row>
    <row r="2813" spans="3:6">
      <c r="C2813" s="12"/>
      <c r="D2813" s="12"/>
      <c r="E2813" t="b">
        <f t="shared" si="43"/>
        <v>1</v>
      </c>
      <c r="F2813" s="12">
        <v>0</v>
      </c>
    </row>
    <row r="2814" spans="3:6">
      <c r="C2814" s="12"/>
      <c r="D2814" s="12"/>
      <c r="E2814" t="b">
        <f t="shared" si="43"/>
        <v>1</v>
      </c>
      <c r="F2814" s="12">
        <v>0</v>
      </c>
    </row>
    <row r="2815" spans="3:6">
      <c r="C2815" s="12"/>
      <c r="D2815" s="12"/>
      <c r="E2815" t="b">
        <f t="shared" si="43"/>
        <v>1</v>
      </c>
      <c r="F2815" s="12">
        <v>0</v>
      </c>
    </row>
    <row r="2816" spans="3:6">
      <c r="C2816" s="12"/>
      <c r="D2816" s="12"/>
      <c r="E2816" t="b">
        <f t="shared" si="43"/>
        <v>1</v>
      </c>
      <c r="F2816" s="12">
        <v>0</v>
      </c>
    </row>
    <row r="2817" spans="3:6">
      <c r="C2817" s="12"/>
      <c r="D2817" s="12"/>
      <c r="E2817" t="b">
        <f t="shared" si="43"/>
        <v>1</v>
      </c>
      <c r="F2817" s="12">
        <v>0</v>
      </c>
    </row>
    <row r="2818" spans="3:6">
      <c r="C2818" s="12"/>
      <c r="D2818" s="12"/>
      <c r="E2818" t="b">
        <f t="shared" si="43"/>
        <v>1</v>
      </c>
      <c r="F2818" s="12">
        <v>0</v>
      </c>
    </row>
    <row r="2819" spans="3:6">
      <c r="C2819" s="12"/>
      <c r="D2819" s="12"/>
      <c r="E2819" t="b">
        <f t="shared" ref="E2819:E2882" si="44">F2819=C2819</f>
        <v>1</v>
      </c>
      <c r="F2819" s="12">
        <v>0</v>
      </c>
    </row>
    <row r="2820" spans="3:6">
      <c r="C2820" s="12"/>
      <c r="D2820" s="12"/>
      <c r="E2820" t="b">
        <f t="shared" si="44"/>
        <v>1</v>
      </c>
      <c r="F2820" s="12">
        <v>0</v>
      </c>
    </row>
    <row r="2821" spans="3:6">
      <c r="C2821" s="12"/>
      <c r="D2821" s="12"/>
      <c r="E2821" t="b">
        <f t="shared" si="44"/>
        <v>1</v>
      </c>
      <c r="F2821" s="12">
        <v>0</v>
      </c>
    </row>
    <row r="2822" spans="3:6">
      <c r="C2822" s="12"/>
      <c r="D2822" s="12"/>
      <c r="E2822" t="b">
        <f t="shared" si="44"/>
        <v>1</v>
      </c>
      <c r="F2822" s="12">
        <v>0</v>
      </c>
    </row>
    <row r="2823" spans="3:6">
      <c r="C2823" s="12"/>
      <c r="D2823" s="12"/>
      <c r="E2823" t="b">
        <f t="shared" si="44"/>
        <v>1</v>
      </c>
      <c r="F2823" s="12">
        <v>0</v>
      </c>
    </row>
    <row r="2824" spans="3:6">
      <c r="C2824" s="12"/>
      <c r="D2824" s="12"/>
      <c r="E2824" t="b">
        <f t="shared" si="44"/>
        <v>1</v>
      </c>
      <c r="F2824" s="12">
        <v>0</v>
      </c>
    </row>
    <row r="2825" spans="3:6">
      <c r="C2825" s="12"/>
      <c r="D2825" s="12"/>
      <c r="E2825" t="b">
        <f t="shared" si="44"/>
        <v>1</v>
      </c>
      <c r="F2825" s="12">
        <v>0</v>
      </c>
    </row>
    <row r="2826" spans="3:6">
      <c r="C2826" s="12"/>
      <c r="D2826" s="12"/>
      <c r="E2826" t="b">
        <f t="shared" si="44"/>
        <v>1</v>
      </c>
      <c r="F2826" s="12">
        <v>0</v>
      </c>
    </row>
    <row r="2827" spans="3:6">
      <c r="C2827" s="12"/>
      <c r="D2827" s="12"/>
      <c r="E2827" t="b">
        <f t="shared" si="44"/>
        <v>1</v>
      </c>
      <c r="F2827" s="12">
        <v>0</v>
      </c>
    </row>
    <row r="2828" spans="3:6">
      <c r="C2828" s="12"/>
      <c r="D2828" s="12"/>
      <c r="E2828" t="b">
        <f t="shared" si="44"/>
        <v>1</v>
      </c>
      <c r="F2828" s="12">
        <v>0</v>
      </c>
    </row>
    <row r="2829" spans="3:6">
      <c r="C2829" s="12"/>
      <c r="D2829" s="12"/>
      <c r="E2829" t="b">
        <f t="shared" si="44"/>
        <v>1</v>
      </c>
      <c r="F2829" s="12">
        <v>0</v>
      </c>
    </row>
    <row r="2830" spans="3:6">
      <c r="C2830" s="12"/>
      <c r="D2830" s="12"/>
      <c r="E2830" t="b">
        <f t="shared" si="44"/>
        <v>1</v>
      </c>
      <c r="F2830" s="12">
        <v>0</v>
      </c>
    </row>
    <row r="2831" spans="3:6">
      <c r="C2831" s="12"/>
      <c r="D2831" s="12"/>
      <c r="E2831" t="b">
        <f t="shared" si="44"/>
        <v>1</v>
      </c>
      <c r="F2831" s="12">
        <v>0</v>
      </c>
    </row>
    <row r="2832" spans="3:6">
      <c r="C2832" s="12"/>
      <c r="D2832" s="12"/>
      <c r="E2832" t="b">
        <f t="shared" si="44"/>
        <v>1</v>
      </c>
      <c r="F2832" s="12">
        <v>0</v>
      </c>
    </row>
    <row r="2833" spans="3:6">
      <c r="C2833" s="12"/>
      <c r="D2833" s="12"/>
      <c r="E2833" t="b">
        <f t="shared" si="44"/>
        <v>1</v>
      </c>
      <c r="F2833" s="12">
        <v>0</v>
      </c>
    </row>
    <row r="2834" spans="3:6">
      <c r="C2834" s="12"/>
      <c r="D2834" s="12"/>
      <c r="E2834" t="b">
        <f t="shared" si="44"/>
        <v>1</v>
      </c>
      <c r="F2834" s="12">
        <v>0</v>
      </c>
    </row>
    <row r="2835" spans="3:6">
      <c r="C2835" s="12"/>
      <c r="D2835" s="12"/>
      <c r="E2835" t="b">
        <f t="shared" si="44"/>
        <v>1</v>
      </c>
      <c r="F2835" s="12">
        <v>0</v>
      </c>
    </row>
    <row r="2836" spans="3:6">
      <c r="C2836" s="12"/>
      <c r="D2836" s="12"/>
      <c r="E2836" t="b">
        <f t="shared" si="44"/>
        <v>1</v>
      </c>
      <c r="F2836" s="12">
        <v>0</v>
      </c>
    </row>
    <row r="2837" spans="3:6">
      <c r="C2837" s="12"/>
      <c r="D2837" s="12"/>
      <c r="E2837" t="b">
        <f t="shared" si="44"/>
        <v>1</v>
      </c>
      <c r="F2837" s="12">
        <v>0</v>
      </c>
    </row>
    <row r="2838" spans="3:6">
      <c r="C2838" s="12"/>
      <c r="D2838" s="12"/>
      <c r="E2838" t="b">
        <f t="shared" si="44"/>
        <v>1</v>
      </c>
      <c r="F2838" s="12">
        <v>0</v>
      </c>
    </row>
    <row r="2839" spans="3:6">
      <c r="C2839" s="12"/>
      <c r="D2839" s="12"/>
      <c r="E2839" t="b">
        <f t="shared" si="44"/>
        <v>1</v>
      </c>
      <c r="F2839" s="12">
        <v>0</v>
      </c>
    </row>
    <row r="2840" spans="3:6">
      <c r="C2840" s="12"/>
      <c r="D2840" s="12"/>
      <c r="E2840" t="b">
        <f t="shared" si="44"/>
        <v>1</v>
      </c>
      <c r="F2840" s="12">
        <v>0</v>
      </c>
    </row>
    <row r="2841" spans="3:6">
      <c r="C2841" s="12"/>
      <c r="D2841" s="12"/>
      <c r="E2841" t="b">
        <f t="shared" si="44"/>
        <v>1</v>
      </c>
      <c r="F2841" s="12">
        <v>0</v>
      </c>
    </row>
    <row r="2842" spans="3:6">
      <c r="C2842" s="12"/>
      <c r="D2842" s="12"/>
      <c r="E2842" t="b">
        <f t="shared" si="44"/>
        <v>1</v>
      </c>
      <c r="F2842" s="12">
        <v>0</v>
      </c>
    </row>
    <row r="2843" spans="3:6">
      <c r="C2843" s="12"/>
      <c r="D2843" s="12"/>
      <c r="E2843" t="b">
        <f t="shared" si="44"/>
        <v>1</v>
      </c>
      <c r="F2843" s="12">
        <v>0</v>
      </c>
    </row>
    <row r="2844" spans="3:6">
      <c r="C2844" s="12"/>
      <c r="D2844" s="12"/>
      <c r="E2844" t="b">
        <f t="shared" si="44"/>
        <v>1</v>
      </c>
      <c r="F2844" s="12">
        <v>0</v>
      </c>
    </row>
    <row r="2845" spans="3:6">
      <c r="C2845" s="12"/>
      <c r="D2845" s="12"/>
      <c r="E2845" t="b">
        <f t="shared" si="44"/>
        <v>1</v>
      </c>
      <c r="F2845" s="12">
        <v>0</v>
      </c>
    </row>
    <row r="2846" spans="3:6">
      <c r="C2846" s="12"/>
      <c r="D2846" s="12"/>
      <c r="E2846" t="b">
        <f t="shared" si="44"/>
        <v>1</v>
      </c>
      <c r="F2846" s="12">
        <v>0</v>
      </c>
    </row>
    <row r="2847" spans="3:6">
      <c r="C2847" s="12"/>
      <c r="D2847" s="12"/>
      <c r="E2847" t="b">
        <f t="shared" si="44"/>
        <v>1</v>
      </c>
      <c r="F2847" s="12">
        <v>0</v>
      </c>
    </row>
    <row r="2848" spans="3:6">
      <c r="C2848" s="12"/>
      <c r="D2848" s="12"/>
      <c r="E2848" t="b">
        <f t="shared" si="44"/>
        <v>1</v>
      </c>
      <c r="F2848" s="12">
        <v>0</v>
      </c>
    </row>
    <row r="2849" spans="3:6">
      <c r="C2849" s="12"/>
      <c r="D2849" s="12"/>
      <c r="E2849" t="b">
        <f t="shared" si="44"/>
        <v>1</v>
      </c>
      <c r="F2849" s="12">
        <v>0</v>
      </c>
    </row>
    <row r="2850" spans="3:6">
      <c r="C2850" s="12"/>
      <c r="D2850" s="12"/>
      <c r="E2850" t="b">
        <f t="shared" si="44"/>
        <v>1</v>
      </c>
      <c r="F2850" s="12">
        <v>0</v>
      </c>
    </row>
    <row r="2851" spans="3:6">
      <c r="C2851" s="12"/>
      <c r="D2851" s="12"/>
      <c r="E2851" t="b">
        <f t="shared" si="44"/>
        <v>1</v>
      </c>
      <c r="F2851" s="12">
        <v>0</v>
      </c>
    </row>
    <row r="2852" spans="3:6">
      <c r="C2852" s="12"/>
      <c r="D2852" s="12"/>
      <c r="E2852" t="b">
        <f t="shared" si="44"/>
        <v>1</v>
      </c>
      <c r="F2852" s="12">
        <v>0</v>
      </c>
    </row>
    <row r="2853" spans="3:6">
      <c r="C2853" s="12"/>
      <c r="D2853" s="12"/>
      <c r="E2853" t="b">
        <f t="shared" si="44"/>
        <v>1</v>
      </c>
      <c r="F2853" s="12">
        <v>0</v>
      </c>
    </row>
    <row r="2854" spans="3:6">
      <c r="C2854" s="12"/>
      <c r="D2854" s="12"/>
      <c r="E2854" t="b">
        <f t="shared" si="44"/>
        <v>1</v>
      </c>
      <c r="F2854" s="12">
        <v>0</v>
      </c>
    </row>
    <row r="2855" spans="3:6">
      <c r="C2855" s="12"/>
      <c r="D2855" s="12"/>
      <c r="E2855" t="b">
        <f t="shared" si="44"/>
        <v>1</v>
      </c>
      <c r="F2855" s="12">
        <v>0</v>
      </c>
    </row>
    <row r="2856" spans="3:6">
      <c r="C2856" s="12"/>
      <c r="D2856" s="12"/>
      <c r="E2856" t="b">
        <f t="shared" si="44"/>
        <v>1</v>
      </c>
      <c r="F2856" s="12">
        <v>0</v>
      </c>
    </row>
    <row r="2857" spans="3:6">
      <c r="C2857" s="12"/>
      <c r="D2857" s="12"/>
      <c r="E2857" t="b">
        <f t="shared" si="44"/>
        <v>1</v>
      </c>
      <c r="F2857" s="12">
        <v>0</v>
      </c>
    </row>
    <row r="2858" spans="3:6">
      <c r="C2858" s="12"/>
      <c r="D2858" s="12"/>
      <c r="E2858" t="b">
        <f t="shared" si="44"/>
        <v>1</v>
      </c>
      <c r="F2858" s="12">
        <v>0</v>
      </c>
    </row>
    <row r="2859" spans="3:6">
      <c r="C2859" s="12"/>
      <c r="D2859" s="12"/>
      <c r="E2859" t="b">
        <f t="shared" si="44"/>
        <v>1</v>
      </c>
      <c r="F2859" s="12">
        <v>0</v>
      </c>
    </row>
    <row r="2860" spans="3:6">
      <c r="C2860" s="12"/>
      <c r="D2860" s="12"/>
      <c r="E2860" t="b">
        <f t="shared" si="44"/>
        <v>1</v>
      </c>
      <c r="F2860" s="12">
        <v>0</v>
      </c>
    </row>
    <row r="2861" spans="3:6">
      <c r="C2861" s="12"/>
      <c r="D2861" s="12"/>
      <c r="E2861" t="b">
        <f t="shared" si="44"/>
        <v>1</v>
      </c>
      <c r="F2861" s="12">
        <v>0</v>
      </c>
    </row>
    <row r="2862" spans="3:6">
      <c r="C2862" s="12"/>
      <c r="D2862" s="12"/>
      <c r="E2862" t="b">
        <f t="shared" si="44"/>
        <v>1</v>
      </c>
      <c r="F2862" s="12">
        <v>0</v>
      </c>
    </row>
    <row r="2863" spans="3:6">
      <c r="C2863" s="12"/>
      <c r="D2863" s="12"/>
      <c r="E2863" t="b">
        <f t="shared" si="44"/>
        <v>1</v>
      </c>
      <c r="F2863" s="12">
        <v>0</v>
      </c>
    </row>
    <row r="2864" spans="3:6">
      <c r="C2864" s="12"/>
      <c r="D2864" s="12"/>
      <c r="E2864" t="b">
        <f t="shared" si="44"/>
        <v>1</v>
      </c>
      <c r="F2864" s="12">
        <v>0</v>
      </c>
    </row>
    <row r="2865" spans="3:6">
      <c r="C2865" s="12"/>
      <c r="D2865" s="12"/>
      <c r="E2865" t="b">
        <f t="shared" si="44"/>
        <v>1</v>
      </c>
      <c r="F2865" s="12">
        <v>0</v>
      </c>
    </row>
    <row r="2866" spans="3:6">
      <c r="C2866" s="12"/>
      <c r="D2866" s="12"/>
      <c r="E2866" t="b">
        <f t="shared" si="44"/>
        <v>1</v>
      </c>
      <c r="F2866" s="12">
        <v>0</v>
      </c>
    </row>
    <row r="2867" spans="3:6">
      <c r="C2867" s="12"/>
      <c r="D2867" s="12"/>
      <c r="E2867" t="b">
        <f t="shared" si="44"/>
        <v>1</v>
      </c>
      <c r="F2867" s="12">
        <v>0</v>
      </c>
    </row>
    <row r="2868" spans="3:6">
      <c r="C2868" s="12"/>
      <c r="D2868" s="12"/>
      <c r="E2868" t="b">
        <f t="shared" si="44"/>
        <v>1</v>
      </c>
      <c r="F2868" s="12">
        <v>0</v>
      </c>
    </row>
    <row r="2869" spans="3:6">
      <c r="C2869" s="12"/>
      <c r="D2869" s="12"/>
      <c r="E2869" t="b">
        <f t="shared" si="44"/>
        <v>1</v>
      </c>
      <c r="F2869" s="12">
        <v>0</v>
      </c>
    </row>
    <row r="2870" spans="3:6">
      <c r="C2870" s="12"/>
      <c r="D2870" s="12"/>
      <c r="E2870" t="b">
        <f t="shared" si="44"/>
        <v>1</v>
      </c>
      <c r="F2870" s="12">
        <v>0</v>
      </c>
    </row>
    <row r="2871" spans="3:6">
      <c r="C2871" s="12"/>
      <c r="D2871" s="12"/>
      <c r="E2871" t="b">
        <f t="shared" si="44"/>
        <v>1</v>
      </c>
      <c r="F2871" s="12">
        <v>0</v>
      </c>
    </row>
    <row r="2872" spans="3:6">
      <c r="C2872" s="12"/>
      <c r="D2872" s="12"/>
      <c r="E2872" t="b">
        <f t="shared" si="44"/>
        <v>1</v>
      </c>
      <c r="F2872" s="12">
        <v>0</v>
      </c>
    </row>
    <row r="2873" spans="3:6">
      <c r="C2873" s="12"/>
      <c r="D2873" s="12"/>
      <c r="E2873" t="b">
        <f t="shared" si="44"/>
        <v>1</v>
      </c>
      <c r="F2873" s="12">
        <v>0</v>
      </c>
    </row>
    <row r="2874" spans="3:6">
      <c r="C2874" s="12"/>
      <c r="D2874" s="12"/>
      <c r="E2874" t="b">
        <f t="shared" si="44"/>
        <v>1</v>
      </c>
      <c r="F2874" s="12">
        <v>0</v>
      </c>
    </row>
    <row r="2875" spans="3:6">
      <c r="C2875" s="12"/>
      <c r="D2875" s="12"/>
      <c r="E2875" t="b">
        <f t="shared" si="44"/>
        <v>1</v>
      </c>
      <c r="F2875" s="12">
        <v>0</v>
      </c>
    </row>
    <row r="2876" spans="3:6">
      <c r="C2876" s="12"/>
      <c r="D2876" s="12"/>
      <c r="E2876" t="b">
        <f t="shared" si="44"/>
        <v>1</v>
      </c>
      <c r="F2876" s="12">
        <v>0</v>
      </c>
    </row>
    <row r="2877" spans="3:6">
      <c r="C2877" s="12"/>
      <c r="D2877" s="12"/>
      <c r="E2877" t="b">
        <f t="shared" si="44"/>
        <v>1</v>
      </c>
      <c r="F2877" s="12">
        <v>0</v>
      </c>
    </row>
    <row r="2878" spans="3:6">
      <c r="C2878" s="12"/>
      <c r="D2878" s="12"/>
      <c r="E2878" t="b">
        <f t="shared" si="44"/>
        <v>1</v>
      </c>
      <c r="F2878" s="12">
        <v>0</v>
      </c>
    </row>
    <row r="2879" spans="3:6">
      <c r="C2879" s="12"/>
      <c r="D2879" s="12"/>
      <c r="E2879" t="b">
        <f t="shared" si="44"/>
        <v>1</v>
      </c>
      <c r="F2879" s="12">
        <v>0</v>
      </c>
    </row>
    <row r="2880" spans="3:6">
      <c r="C2880" s="12"/>
      <c r="D2880" s="12"/>
      <c r="E2880" t="b">
        <f t="shared" si="44"/>
        <v>1</v>
      </c>
      <c r="F2880" s="12">
        <v>0</v>
      </c>
    </row>
    <row r="2881" spans="3:6">
      <c r="C2881" s="12"/>
      <c r="D2881" s="12"/>
      <c r="E2881" t="b">
        <f t="shared" si="44"/>
        <v>1</v>
      </c>
      <c r="F2881" s="12">
        <v>0</v>
      </c>
    </row>
    <row r="2882" spans="3:6">
      <c r="C2882" s="12"/>
      <c r="D2882" s="12"/>
      <c r="E2882" t="b">
        <f t="shared" si="44"/>
        <v>1</v>
      </c>
      <c r="F2882" s="12">
        <v>0</v>
      </c>
    </row>
    <row r="2883" spans="3:6">
      <c r="C2883" s="12"/>
      <c r="D2883" s="12"/>
      <c r="E2883" t="b">
        <f t="shared" ref="E2883:E2946" si="45">F2883=C2883</f>
        <v>1</v>
      </c>
      <c r="F2883" s="12">
        <v>0</v>
      </c>
    </row>
    <row r="2884" spans="3:6">
      <c r="C2884" s="12"/>
      <c r="D2884" s="12"/>
      <c r="E2884" t="b">
        <f t="shared" si="45"/>
        <v>1</v>
      </c>
      <c r="F2884" s="12">
        <v>0</v>
      </c>
    </row>
    <row r="2885" spans="3:6">
      <c r="C2885" s="12"/>
      <c r="D2885" s="12"/>
      <c r="E2885" t="b">
        <f t="shared" si="45"/>
        <v>1</v>
      </c>
      <c r="F2885" s="12">
        <v>0</v>
      </c>
    </row>
    <row r="2886" spans="3:6">
      <c r="C2886" s="12"/>
      <c r="D2886" s="12"/>
      <c r="E2886" t="b">
        <f t="shared" si="45"/>
        <v>1</v>
      </c>
      <c r="F2886" s="12">
        <v>0</v>
      </c>
    </row>
    <row r="2887" spans="3:6">
      <c r="C2887" s="12"/>
      <c r="D2887" s="12"/>
      <c r="E2887" t="b">
        <f t="shared" si="45"/>
        <v>1</v>
      </c>
      <c r="F2887" s="12">
        <v>0</v>
      </c>
    </row>
    <row r="2888" spans="3:6">
      <c r="C2888" s="12"/>
      <c r="D2888" s="12"/>
      <c r="E2888" t="b">
        <f t="shared" si="45"/>
        <v>1</v>
      </c>
      <c r="F2888" s="12">
        <v>0</v>
      </c>
    </row>
    <row r="2889" spans="3:6">
      <c r="C2889" s="12"/>
      <c r="D2889" s="12"/>
      <c r="E2889" t="b">
        <f t="shared" si="45"/>
        <v>1</v>
      </c>
      <c r="F2889" s="12">
        <v>0</v>
      </c>
    </row>
    <row r="2890" spans="3:6">
      <c r="C2890" s="12"/>
      <c r="D2890" s="12"/>
      <c r="E2890" t="b">
        <f t="shared" si="45"/>
        <v>1</v>
      </c>
      <c r="F2890" s="12">
        <v>0</v>
      </c>
    </row>
    <row r="2891" spans="3:6">
      <c r="C2891" s="12"/>
      <c r="D2891" s="12"/>
      <c r="E2891" t="b">
        <f t="shared" si="45"/>
        <v>1</v>
      </c>
      <c r="F2891" s="12">
        <v>0</v>
      </c>
    </row>
    <row r="2892" spans="3:6">
      <c r="C2892" s="12"/>
      <c r="D2892" s="12"/>
      <c r="E2892" t="b">
        <f t="shared" si="45"/>
        <v>1</v>
      </c>
      <c r="F2892" s="12">
        <v>0</v>
      </c>
    </row>
    <row r="2893" spans="3:6">
      <c r="C2893" s="12"/>
      <c r="D2893" s="12"/>
      <c r="E2893" t="b">
        <f t="shared" si="45"/>
        <v>1</v>
      </c>
      <c r="F2893" s="12">
        <v>0</v>
      </c>
    </row>
    <row r="2894" spans="3:6">
      <c r="C2894" s="12"/>
      <c r="D2894" s="12"/>
      <c r="E2894" t="b">
        <f t="shared" si="45"/>
        <v>1</v>
      </c>
      <c r="F2894" s="12">
        <v>0</v>
      </c>
    </row>
    <row r="2895" spans="3:6">
      <c r="C2895" s="12"/>
      <c r="D2895" s="12"/>
      <c r="E2895" t="b">
        <f t="shared" si="45"/>
        <v>1</v>
      </c>
      <c r="F2895" s="12">
        <v>0</v>
      </c>
    </row>
    <row r="2896" spans="3:6">
      <c r="C2896" s="12"/>
      <c r="D2896" s="12"/>
      <c r="E2896" t="b">
        <f t="shared" si="45"/>
        <v>1</v>
      </c>
      <c r="F2896" s="12">
        <v>0</v>
      </c>
    </row>
    <row r="2897" spans="3:6">
      <c r="C2897" s="12"/>
      <c r="D2897" s="12"/>
      <c r="E2897" t="b">
        <f t="shared" si="45"/>
        <v>1</v>
      </c>
      <c r="F2897" s="12">
        <v>0</v>
      </c>
    </row>
    <row r="2898" spans="3:6">
      <c r="C2898" s="12"/>
      <c r="D2898" s="12"/>
      <c r="E2898" t="b">
        <f t="shared" si="45"/>
        <v>1</v>
      </c>
      <c r="F2898" s="12">
        <v>0</v>
      </c>
    </row>
    <row r="2899" spans="3:6">
      <c r="C2899" s="12"/>
      <c r="D2899" s="12"/>
      <c r="E2899" t="b">
        <f t="shared" si="45"/>
        <v>1</v>
      </c>
      <c r="F2899" s="12">
        <v>0</v>
      </c>
    </row>
    <row r="2900" spans="3:6">
      <c r="C2900" s="12"/>
      <c r="D2900" s="12"/>
      <c r="E2900" t="b">
        <f t="shared" si="45"/>
        <v>1</v>
      </c>
      <c r="F2900" s="12">
        <v>0</v>
      </c>
    </row>
    <row r="2901" spans="3:6">
      <c r="C2901" s="12"/>
      <c r="D2901" s="12"/>
      <c r="E2901" t="b">
        <f t="shared" si="45"/>
        <v>1</v>
      </c>
      <c r="F2901" s="12">
        <v>0</v>
      </c>
    </row>
    <row r="2902" spans="3:6">
      <c r="C2902" s="12"/>
      <c r="D2902" s="12"/>
      <c r="E2902" t="b">
        <f t="shared" si="45"/>
        <v>1</v>
      </c>
      <c r="F2902" s="12">
        <v>0</v>
      </c>
    </row>
    <row r="2903" spans="3:6">
      <c r="C2903" s="12"/>
      <c r="D2903" s="12"/>
      <c r="E2903" t="b">
        <f t="shared" si="45"/>
        <v>1</v>
      </c>
      <c r="F2903" s="12">
        <v>0</v>
      </c>
    </row>
    <row r="2904" spans="3:6">
      <c r="C2904" s="12"/>
      <c r="D2904" s="12"/>
      <c r="E2904" t="b">
        <f t="shared" si="45"/>
        <v>1</v>
      </c>
      <c r="F2904" s="12">
        <v>0</v>
      </c>
    </row>
    <row r="2905" spans="3:6">
      <c r="C2905" s="12"/>
      <c r="D2905" s="12"/>
      <c r="E2905" t="b">
        <f t="shared" si="45"/>
        <v>1</v>
      </c>
      <c r="F2905" s="12">
        <v>0</v>
      </c>
    </row>
    <row r="2906" spans="3:6">
      <c r="C2906" s="12"/>
      <c r="D2906" s="12"/>
      <c r="E2906" t="b">
        <f t="shared" si="45"/>
        <v>1</v>
      </c>
      <c r="F2906" s="12">
        <v>0</v>
      </c>
    </row>
    <row r="2907" spans="3:6">
      <c r="C2907" s="12"/>
      <c r="D2907" s="12"/>
      <c r="E2907" t="b">
        <f t="shared" si="45"/>
        <v>1</v>
      </c>
      <c r="F2907" s="12">
        <v>0</v>
      </c>
    </row>
    <row r="2908" spans="3:6">
      <c r="C2908" s="12"/>
      <c r="D2908" s="12"/>
      <c r="E2908" t="b">
        <f t="shared" si="45"/>
        <v>1</v>
      </c>
      <c r="F2908" s="12">
        <v>0</v>
      </c>
    </row>
    <row r="2909" spans="3:6">
      <c r="C2909" s="12"/>
      <c r="D2909" s="12"/>
      <c r="E2909" t="b">
        <f t="shared" si="45"/>
        <v>1</v>
      </c>
      <c r="F2909" s="12">
        <v>0</v>
      </c>
    </row>
    <row r="2910" spans="3:6">
      <c r="C2910" s="12"/>
      <c r="D2910" s="12"/>
      <c r="E2910" t="b">
        <f t="shared" si="45"/>
        <v>1</v>
      </c>
      <c r="F2910" s="12">
        <v>0</v>
      </c>
    </row>
    <row r="2911" spans="3:6">
      <c r="C2911" s="12"/>
      <c r="D2911" s="12"/>
      <c r="E2911" t="b">
        <f t="shared" si="45"/>
        <v>1</v>
      </c>
      <c r="F2911" s="12">
        <v>0</v>
      </c>
    </row>
    <row r="2912" spans="3:6">
      <c r="C2912" s="12"/>
      <c r="D2912" s="12"/>
      <c r="E2912" t="b">
        <f t="shared" si="45"/>
        <v>1</v>
      </c>
      <c r="F2912" s="12">
        <v>0</v>
      </c>
    </row>
    <row r="2913" spans="3:6">
      <c r="C2913" s="12"/>
      <c r="D2913" s="12"/>
      <c r="E2913" t="b">
        <f t="shared" si="45"/>
        <v>1</v>
      </c>
      <c r="F2913" s="12">
        <v>0</v>
      </c>
    </row>
    <row r="2914" spans="3:6">
      <c r="C2914" s="12"/>
      <c r="D2914" s="12"/>
      <c r="E2914" t="b">
        <f t="shared" si="45"/>
        <v>1</v>
      </c>
      <c r="F2914" s="12">
        <v>0</v>
      </c>
    </row>
    <row r="2915" spans="3:6">
      <c r="C2915" s="12"/>
      <c r="D2915" s="12"/>
      <c r="E2915" t="b">
        <f t="shared" si="45"/>
        <v>1</v>
      </c>
      <c r="F2915" s="12">
        <v>0</v>
      </c>
    </row>
    <row r="2916" spans="3:6">
      <c r="C2916" s="12"/>
      <c r="D2916" s="12"/>
      <c r="E2916" t="b">
        <f t="shared" si="45"/>
        <v>1</v>
      </c>
      <c r="F2916" s="12">
        <v>0</v>
      </c>
    </row>
    <row r="2917" spans="3:6">
      <c r="C2917" s="12"/>
      <c r="D2917" s="12"/>
      <c r="E2917" t="b">
        <f t="shared" si="45"/>
        <v>1</v>
      </c>
      <c r="F2917" s="12">
        <v>0</v>
      </c>
    </row>
    <row r="2918" spans="3:6">
      <c r="C2918" s="12"/>
      <c r="D2918" s="12"/>
      <c r="E2918" t="b">
        <f t="shared" si="45"/>
        <v>1</v>
      </c>
      <c r="F2918" s="12">
        <v>0</v>
      </c>
    </row>
    <row r="2919" spans="3:6">
      <c r="C2919" s="12"/>
      <c r="D2919" s="12"/>
      <c r="E2919" t="b">
        <f t="shared" si="45"/>
        <v>1</v>
      </c>
      <c r="F2919" s="12">
        <v>0</v>
      </c>
    </row>
    <row r="2920" spans="3:6">
      <c r="C2920" s="12"/>
      <c r="D2920" s="12"/>
      <c r="E2920" t="b">
        <f t="shared" si="45"/>
        <v>1</v>
      </c>
      <c r="F2920" s="12">
        <v>0</v>
      </c>
    </row>
    <row r="2921" spans="3:6">
      <c r="C2921" s="12"/>
      <c r="D2921" s="12"/>
      <c r="E2921" t="b">
        <f t="shared" si="45"/>
        <v>1</v>
      </c>
      <c r="F2921" s="12">
        <v>0</v>
      </c>
    </row>
    <row r="2922" spans="3:6">
      <c r="C2922" s="12"/>
      <c r="D2922" s="12"/>
      <c r="E2922" t="b">
        <f t="shared" si="45"/>
        <v>1</v>
      </c>
      <c r="F2922" s="12">
        <v>0</v>
      </c>
    </row>
    <row r="2923" spans="3:6">
      <c r="C2923" s="12"/>
      <c r="D2923" s="12"/>
      <c r="E2923" t="b">
        <f t="shared" si="45"/>
        <v>1</v>
      </c>
      <c r="F2923" s="12">
        <v>0</v>
      </c>
    </row>
    <row r="2924" spans="3:6">
      <c r="C2924" s="12"/>
      <c r="D2924" s="12"/>
      <c r="E2924" t="b">
        <f t="shared" si="45"/>
        <v>1</v>
      </c>
      <c r="F2924" s="12">
        <v>0</v>
      </c>
    </row>
    <row r="2925" spans="3:6">
      <c r="C2925" s="12"/>
      <c r="D2925" s="12"/>
      <c r="E2925" t="b">
        <f t="shared" si="45"/>
        <v>1</v>
      </c>
      <c r="F2925" s="12">
        <v>0</v>
      </c>
    </row>
    <row r="2926" spans="3:6">
      <c r="C2926" s="12"/>
      <c r="D2926" s="12"/>
      <c r="E2926" t="b">
        <f t="shared" si="45"/>
        <v>1</v>
      </c>
      <c r="F2926" s="12">
        <v>0</v>
      </c>
    </row>
    <row r="2927" spans="3:6">
      <c r="C2927" s="12"/>
      <c r="D2927" s="12"/>
      <c r="E2927" t="b">
        <f t="shared" si="45"/>
        <v>1</v>
      </c>
      <c r="F2927" s="12">
        <v>0</v>
      </c>
    </row>
    <row r="2928" spans="3:6">
      <c r="C2928" s="12"/>
      <c r="D2928" s="12"/>
      <c r="E2928" t="b">
        <f t="shared" si="45"/>
        <v>1</v>
      </c>
      <c r="F2928" s="12">
        <v>0</v>
      </c>
    </row>
    <row r="2929" spans="3:6">
      <c r="C2929" s="12"/>
      <c r="D2929" s="12"/>
      <c r="E2929" t="b">
        <f t="shared" si="45"/>
        <v>1</v>
      </c>
      <c r="F2929" s="12">
        <v>0</v>
      </c>
    </row>
    <row r="2930" spans="3:6">
      <c r="C2930" s="12"/>
      <c r="D2930" s="12"/>
      <c r="E2930" t="b">
        <f t="shared" si="45"/>
        <v>1</v>
      </c>
      <c r="F2930" s="12">
        <v>0</v>
      </c>
    </row>
    <row r="2931" spans="3:6">
      <c r="C2931" s="12"/>
      <c r="D2931" s="12"/>
      <c r="E2931" t="b">
        <f t="shared" si="45"/>
        <v>1</v>
      </c>
      <c r="F2931" s="12">
        <v>0</v>
      </c>
    </row>
    <row r="2932" spans="3:6">
      <c r="C2932" s="12"/>
      <c r="D2932" s="12"/>
      <c r="E2932" t="b">
        <f t="shared" si="45"/>
        <v>1</v>
      </c>
      <c r="F2932" s="12">
        <v>0</v>
      </c>
    </row>
    <row r="2933" spans="3:6">
      <c r="C2933" s="12"/>
      <c r="D2933" s="12"/>
      <c r="E2933" t="b">
        <f t="shared" si="45"/>
        <v>1</v>
      </c>
      <c r="F2933" s="12">
        <v>0</v>
      </c>
    </row>
    <row r="2934" spans="3:6">
      <c r="C2934" s="12"/>
      <c r="D2934" s="12"/>
      <c r="E2934" t="b">
        <f t="shared" si="45"/>
        <v>1</v>
      </c>
      <c r="F2934" s="12">
        <v>0</v>
      </c>
    </row>
    <row r="2935" spans="3:6">
      <c r="C2935" s="12"/>
      <c r="D2935" s="12"/>
      <c r="E2935" t="b">
        <f t="shared" si="45"/>
        <v>1</v>
      </c>
      <c r="F2935" s="12">
        <v>0</v>
      </c>
    </row>
    <row r="2936" spans="3:6">
      <c r="C2936" s="12"/>
      <c r="D2936" s="12"/>
      <c r="E2936" t="b">
        <f t="shared" si="45"/>
        <v>1</v>
      </c>
      <c r="F2936" s="12">
        <v>0</v>
      </c>
    </row>
    <row r="2937" spans="3:6">
      <c r="C2937" s="12"/>
      <c r="D2937" s="12"/>
      <c r="E2937" t="b">
        <f t="shared" si="45"/>
        <v>1</v>
      </c>
      <c r="F2937" s="12">
        <v>0</v>
      </c>
    </row>
    <row r="2938" spans="3:6">
      <c r="C2938" s="12"/>
      <c r="D2938" s="12"/>
      <c r="E2938" t="b">
        <f t="shared" si="45"/>
        <v>1</v>
      </c>
      <c r="F2938" s="12">
        <v>0</v>
      </c>
    </row>
    <row r="2939" spans="3:6">
      <c r="C2939" s="12"/>
      <c r="D2939" s="12"/>
      <c r="E2939" t="b">
        <f t="shared" si="45"/>
        <v>1</v>
      </c>
      <c r="F2939" s="12">
        <v>0</v>
      </c>
    </row>
    <row r="2940" spans="3:6">
      <c r="C2940" s="12"/>
      <c r="D2940" s="12"/>
      <c r="E2940" t="b">
        <f t="shared" si="45"/>
        <v>1</v>
      </c>
      <c r="F2940" s="12">
        <v>0</v>
      </c>
    </row>
    <row r="2941" spans="3:6">
      <c r="C2941" s="12"/>
      <c r="D2941" s="12"/>
      <c r="E2941" t="b">
        <f t="shared" si="45"/>
        <v>1</v>
      </c>
      <c r="F2941" s="12">
        <v>0</v>
      </c>
    </row>
    <row r="2942" spans="3:6">
      <c r="C2942" s="12"/>
      <c r="D2942" s="12"/>
      <c r="E2942" t="b">
        <f t="shared" si="45"/>
        <v>1</v>
      </c>
      <c r="F2942" s="12">
        <v>0</v>
      </c>
    </row>
    <row r="2943" spans="3:6">
      <c r="C2943" s="12"/>
      <c r="D2943" s="12"/>
      <c r="E2943" t="b">
        <f t="shared" si="45"/>
        <v>1</v>
      </c>
      <c r="F2943" s="12">
        <v>0</v>
      </c>
    </row>
    <row r="2944" spans="3:6">
      <c r="C2944" s="12"/>
      <c r="D2944" s="12"/>
      <c r="E2944" t="b">
        <f t="shared" si="45"/>
        <v>1</v>
      </c>
      <c r="F2944" s="12">
        <v>0</v>
      </c>
    </row>
    <row r="2945" spans="3:6">
      <c r="C2945" s="12"/>
      <c r="D2945" s="12"/>
      <c r="E2945" t="b">
        <f t="shared" si="45"/>
        <v>1</v>
      </c>
      <c r="F2945" s="12">
        <v>0</v>
      </c>
    </row>
    <row r="2946" spans="3:6">
      <c r="C2946" s="12"/>
      <c r="D2946" s="12"/>
      <c r="E2946" t="b">
        <f t="shared" si="45"/>
        <v>1</v>
      </c>
      <c r="F2946" s="12">
        <v>0</v>
      </c>
    </row>
    <row r="2947" spans="3:6">
      <c r="C2947" s="12"/>
      <c r="D2947" s="12"/>
      <c r="E2947" t="b">
        <f t="shared" ref="E2947:E3010" si="46">F2947=C2947</f>
        <v>1</v>
      </c>
      <c r="F2947" s="12">
        <v>0</v>
      </c>
    </row>
    <row r="2948" spans="3:6">
      <c r="C2948" s="12"/>
      <c r="D2948" s="12"/>
      <c r="E2948" t="b">
        <f t="shared" si="46"/>
        <v>1</v>
      </c>
      <c r="F2948" s="12">
        <v>0</v>
      </c>
    </row>
    <row r="2949" spans="3:6">
      <c r="C2949" s="12"/>
      <c r="D2949" s="12"/>
      <c r="E2949" t="b">
        <f t="shared" si="46"/>
        <v>1</v>
      </c>
      <c r="F2949" s="12">
        <v>0</v>
      </c>
    </row>
    <row r="2950" spans="3:6">
      <c r="C2950" s="12"/>
      <c r="D2950" s="12"/>
      <c r="E2950" t="b">
        <f t="shared" si="46"/>
        <v>1</v>
      </c>
      <c r="F2950" s="12">
        <v>0</v>
      </c>
    </row>
    <row r="2951" spans="3:6">
      <c r="C2951" s="12"/>
      <c r="D2951" s="12"/>
      <c r="E2951" t="b">
        <f t="shared" si="46"/>
        <v>1</v>
      </c>
      <c r="F2951" s="12">
        <v>0</v>
      </c>
    </row>
    <row r="2952" spans="3:6">
      <c r="C2952" s="12"/>
      <c r="D2952" s="12"/>
      <c r="E2952" t="b">
        <f t="shared" si="46"/>
        <v>1</v>
      </c>
      <c r="F2952" s="12">
        <v>0</v>
      </c>
    </row>
    <row r="2953" spans="3:6">
      <c r="C2953" s="12"/>
      <c r="D2953" s="12"/>
      <c r="E2953" t="b">
        <f t="shared" si="46"/>
        <v>1</v>
      </c>
      <c r="F2953" s="12">
        <v>0</v>
      </c>
    </row>
    <row r="2954" spans="3:6">
      <c r="C2954" s="12"/>
      <c r="D2954" s="12"/>
      <c r="E2954" t="b">
        <f t="shared" si="46"/>
        <v>1</v>
      </c>
      <c r="F2954" s="12">
        <v>0</v>
      </c>
    </row>
    <row r="2955" spans="3:6">
      <c r="C2955" s="12"/>
      <c r="D2955" s="12"/>
      <c r="E2955" t="b">
        <f t="shared" si="46"/>
        <v>1</v>
      </c>
      <c r="F2955" s="12">
        <v>0</v>
      </c>
    </row>
    <row r="2956" spans="3:6">
      <c r="C2956" s="12"/>
      <c r="D2956" s="12"/>
      <c r="E2956" t="b">
        <f t="shared" si="46"/>
        <v>1</v>
      </c>
      <c r="F2956" s="12">
        <v>0</v>
      </c>
    </row>
    <row r="2957" spans="3:6">
      <c r="C2957" s="12"/>
      <c r="D2957" s="12"/>
      <c r="E2957" t="b">
        <f t="shared" si="46"/>
        <v>1</v>
      </c>
      <c r="F2957" s="12">
        <v>0</v>
      </c>
    </row>
    <row r="2958" spans="3:6">
      <c r="C2958" s="12"/>
      <c r="D2958" s="12"/>
      <c r="E2958" t="b">
        <f t="shared" si="46"/>
        <v>1</v>
      </c>
      <c r="F2958" s="12">
        <v>0</v>
      </c>
    </row>
    <row r="2959" spans="3:6">
      <c r="C2959" s="12"/>
      <c r="D2959" s="12"/>
      <c r="E2959" t="b">
        <f t="shared" si="46"/>
        <v>1</v>
      </c>
      <c r="F2959" s="12">
        <v>0</v>
      </c>
    </row>
    <row r="2960" spans="3:6">
      <c r="C2960" s="12"/>
      <c r="D2960" s="12"/>
      <c r="E2960" t="b">
        <f t="shared" si="46"/>
        <v>1</v>
      </c>
      <c r="F2960" s="12">
        <v>0</v>
      </c>
    </row>
    <row r="2961" spans="3:6">
      <c r="C2961" s="12"/>
      <c r="D2961" s="12"/>
      <c r="E2961" t="b">
        <f t="shared" si="46"/>
        <v>1</v>
      </c>
      <c r="F2961" s="12">
        <v>0</v>
      </c>
    </row>
    <row r="2962" spans="3:6">
      <c r="C2962" s="12"/>
      <c r="D2962" s="12"/>
      <c r="E2962" t="b">
        <f t="shared" si="46"/>
        <v>1</v>
      </c>
      <c r="F2962" s="12">
        <v>0</v>
      </c>
    </row>
    <row r="2963" spans="3:6">
      <c r="C2963" s="12"/>
      <c r="D2963" s="12"/>
      <c r="E2963" t="b">
        <f t="shared" si="46"/>
        <v>1</v>
      </c>
      <c r="F2963" s="12">
        <v>0</v>
      </c>
    </row>
    <row r="2964" spans="3:6">
      <c r="C2964" s="12"/>
      <c r="D2964" s="12"/>
      <c r="E2964" t="b">
        <f t="shared" si="46"/>
        <v>1</v>
      </c>
      <c r="F2964" s="12">
        <v>0</v>
      </c>
    </row>
    <row r="2965" spans="3:6">
      <c r="C2965" s="12"/>
      <c r="D2965" s="12"/>
      <c r="E2965" t="b">
        <f t="shared" si="46"/>
        <v>1</v>
      </c>
      <c r="F2965" s="12">
        <v>0</v>
      </c>
    </row>
    <row r="2966" spans="3:6">
      <c r="C2966" s="12"/>
      <c r="D2966" s="12"/>
      <c r="E2966" t="b">
        <f t="shared" si="46"/>
        <v>1</v>
      </c>
      <c r="F2966" s="12">
        <v>0</v>
      </c>
    </row>
    <row r="2967" spans="3:6">
      <c r="C2967" s="12"/>
      <c r="D2967" s="12"/>
      <c r="E2967" t="b">
        <f t="shared" si="46"/>
        <v>1</v>
      </c>
      <c r="F2967" s="12">
        <v>0</v>
      </c>
    </row>
    <row r="2968" spans="3:6">
      <c r="C2968" s="12"/>
      <c r="D2968" s="12"/>
      <c r="E2968" t="b">
        <f t="shared" si="46"/>
        <v>1</v>
      </c>
      <c r="F2968" s="12">
        <v>0</v>
      </c>
    </row>
    <row r="2969" spans="3:6">
      <c r="C2969" s="12"/>
      <c r="D2969" s="12"/>
      <c r="E2969" t="b">
        <f t="shared" si="46"/>
        <v>1</v>
      </c>
      <c r="F2969" s="12">
        <v>0</v>
      </c>
    </row>
    <row r="2970" spans="3:6">
      <c r="C2970" s="12"/>
      <c r="D2970" s="12"/>
      <c r="E2970" t="b">
        <f t="shared" si="46"/>
        <v>1</v>
      </c>
      <c r="F2970" s="12">
        <v>0</v>
      </c>
    </row>
    <row r="2971" spans="3:6">
      <c r="C2971" s="12"/>
      <c r="D2971" s="12"/>
      <c r="E2971" t="b">
        <f t="shared" si="46"/>
        <v>1</v>
      </c>
      <c r="F2971" s="12">
        <v>0</v>
      </c>
    </row>
    <row r="2972" spans="3:6">
      <c r="C2972" s="12"/>
      <c r="D2972" s="12"/>
      <c r="E2972" t="b">
        <f t="shared" si="46"/>
        <v>1</v>
      </c>
      <c r="F2972" s="12">
        <v>0</v>
      </c>
    </row>
    <row r="2973" spans="3:6">
      <c r="C2973" s="12"/>
      <c r="D2973" s="12"/>
      <c r="E2973" t="b">
        <f t="shared" si="46"/>
        <v>1</v>
      </c>
      <c r="F2973" s="12">
        <v>0</v>
      </c>
    </row>
    <row r="2974" spans="3:6">
      <c r="C2974" s="12"/>
      <c r="D2974" s="12"/>
      <c r="E2974" t="b">
        <f t="shared" si="46"/>
        <v>1</v>
      </c>
      <c r="F2974" s="12">
        <v>0</v>
      </c>
    </row>
    <row r="2975" spans="3:6">
      <c r="C2975" s="12"/>
      <c r="D2975" s="12"/>
      <c r="E2975" t="b">
        <f t="shared" si="46"/>
        <v>1</v>
      </c>
      <c r="F2975" s="12">
        <v>0</v>
      </c>
    </row>
    <row r="2976" spans="3:6">
      <c r="C2976" s="12"/>
      <c r="D2976" s="12"/>
      <c r="E2976" t="b">
        <f t="shared" si="46"/>
        <v>1</v>
      </c>
      <c r="F2976" s="12">
        <v>0</v>
      </c>
    </row>
    <row r="2977" spans="3:6">
      <c r="C2977" s="12"/>
      <c r="D2977" s="12"/>
      <c r="E2977" t="b">
        <f t="shared" si="46"/>
        <v>1</v>
      </c>
      <c r="F2977" s="12">
        <v>0</v>
      </c>
    </row>
    <row r="2978" spans="3:6">
      <c r="C2978" s="12"/>
      <c r="D2978" s="12"/>
      <c r="E2978" t="b">
        <f t="shared" si="46"/>
        <v>1</v>
      </c>
      <c r="F2978" s="12">
        <v>0</v>
      </c>
    </row>
    <row r="2979" spans="3:6">
      <c r="C2979" s="12"/>
      <c r="D2979" s="12"/>
      <c r="E2979" t="b">
        <f t="shared" si="46"/>
        <v>1</v>
      </c>
      <c r="F2979" s="12">
        <v>0</v>
      </c>
    </row>
    <row r="2980" spans="3:6">
      <c r="C2980" s="12"/>
      <c r="D2980" s="12"/>
      <c r="E2980" t="b">
        <f t="shared" si="46"/>
        <v>1</v>
      </c>
      <c r="F2980" s="12">
        <v>0</v>
      </c>
    </row>
    <row r="2981" spans="3:6">
      <c r="C2981" s="12"/>
      <c r="D2981" s="12"/>
      <c r="E2981" t="b">
        <f t="shared" si="46"/>
        <v>1</v>
      </c>
      <c r="F2981" s="12">
        <v>0</v>
      </c>
    </row>
    <row r="2982" spans="3:6">
      <c r="C2982" s="12"/>
      <c r="D2982" s="12"/>
      <c r="E2982" t="b">
        <f t="shared" si="46"/>
        <v>1</v>
      </c>
      <c r="F2982" s="12">
        <v>0</v>
      </c>
    </row>
    <row r="2983" spans="3:6">
      <c r="C2983" s="12"/>
      <c r="D2983" s="12"/>
      <c r="E2983" t="b">
        <f t="shared" si="46"/>
        <v>1</v>
      </c>
      <c r="F2983" s="12">
        <v>0</v>
      </c>
    </row>
    <row r="2984" spans="3:6">
      <c r="C2984" s="12"/>
      <c r="D2984" s="12"/>
      <c r="E2984" t="b">
        <f t="shared" si="46"/>
        <v>1</v>
      </c>
      <c r="F2984" s="12">
        <v>0</v>
      </c>
    </row>
    <row r="2985" spans="3:6">
      <c r="C2985" s="12"/>
      <c r="D2985" s="12"/>
      <c r="E2985" t="b">
        <f t="shared" si="46"/>
        <v>1</v>
      </c>
      <c r="F2985" s="12">
        <v>0</v>
      </c>
    </row>
    <row r="2986" spans="3:6">
      <c r="C2986" s="12"/>
      <c r="D2986" s="12"/>
      <c r="E2986" t="b">
        <f t="shared" si="46"/>
        <v>1</v>
      </c>
      <c r="F2986" s="12">
        <v>0</v>
      </c>
    </row>
    <row r="2987" spans="3:6">
      <c r="C2987" s="12"/>
      <c r="D2987" s="12"/>
      <c r="E2987" t="b">
        <f t="shared" si="46"/>
        <v>1</v>
      </c>
      <c r="F2987" s="12">
        <v>0</v>
      </c>
    </row>
    <row r="2988" spans="3:6">
      <c r="C2988" s="12"/>
      <c r="D2988" s="12"/>
      <c r="E2988" t="b">
        <f t="shared" si="46"/>
        <v>1</v>
      </c>
      <c r="F2988" s="12">
        <v>0</v>
      </c>
    </row>
    <row r="2989" spans="3:6">
      <c r="C2989" s="12"/>
      <c r="D2989" s="12"/>
      <c r="E2989" t="b">
        <f t="shared" si="46"/>
        <v>1</v>
      </c>
      <c r="F2989" s="12">
        <v>0</v>
      </c>
    </row>
    <row r="2990" spans="3:6">
      <c r="C2990" s="12"/>
      <c r="D2990" s="12"/>
      <c r="E2990" t="b">
        <f t="shared" si="46"/>
        <v>1</v>
      </c>
      <c r="F2990" s="12">
        <v>0</v>
      </c>
    </row>
    <row r="2991" spans="3:6">
      <c r="C2991" s="12"/>
      <c r="D2991" s="12"/>
      <c r="E2991" t="b">
        <f t="shared" si="46"/>
        <v>1</v>
      </c>
      <c r="F2991" s="12">
        <v>0</v>
      </c>
    </row>
    <row r="2992" spans="3:6">
      <c r="C2992" s="12"/>
      <c r="D2992" s="12"/>
      <c r="E2992" t="b">
        <f t="shared" si="46"/>
        <v>1</v>
      </c>
      <c r="F2992" s="12">
        <v>0</v>
      </c>
    </row>
    <row r="2993" spans="3:6">
      <c r="C2993" s="12"/>
      <c r="D2993" s="12"/>
      <c r="E2993" t="b">
        <f t="shared" si="46"/>
        <v>1</v>
      </c>
      <c r="F2993" s="12">
        <v>0</v>
      </c>
    </row>
    <row r="2994" spans="3:6">
      <c r="C2994" s="12"/>
      <c r="D2994" s="12"/>
      <c r="E2994" t="b">
        <f t="shared" si="46"/>
        <v>1</v>
      </c>
      <c r="F2994" s="12">
        <v>0</v>
      </c>
    </row>
    <row r="2995" spans="3:6">
      <c r="C2995" s="12"/>
      <c r="D2995" s="12"/>
      <c r="E2995" t="b">
        <f t="shared" si="46"/>
        <v>1</v>
      </c>
      <c r="F2995" s="12">
        <v>0</v>
      </c>
    </row>
    <row r="2996" spans="3:6">
      <c r="C2996" s="12"/>
      <c r="D2996" s="12"/>
      <c r="E2996" t="b">
        <f t="shared" si="46"/>
        <v>1</v>
      </c>
      <c r="F2996" s="12">
        <v>0</v>
      </c>
    </row>
    <row r="2997" spans="3:6">
      <c r="C2997" s="12"/>
      <c r="D2997" s="12"/>
      <c r="E2997" t="b">
        <f t="shared" si="46"/>
        <v>1</v>
      </c>
      <c r="F2997" s="12">
        <v>0</v>
      </c>
    </row>
    <row r="2998" spans="3:6">
      <c r="C2998" s="12"/>
      <c r="D2998" s="12"/>
      <c r="E2998" t="b">
        <f t="shared" si="46"/>
        <v>1</v>
      </c>
      <c r="F2998" s="12">
        <v>0</v>
      </c>
    </row>
    <row r="2999" spans="3:6">
      <c r="C2999" s="12"/>
      <c r="D2999" s="12"/>
      <c r="E2999" t="b">
        <f t="shared" si="46"/>
        <v>1</v>
      </c>
      <c r="F2999" s="12">
        <v>0</v>
      </c>
    </row>
    <row r="3000" spans="3:6">
      <c r="C3000" s="12"/>
      <c r="D3000" s="12"/>
      <c r="E3000" t="b">
        <f t="shared" si="46"/>
        <v>1</v>
      </c>
      <c r="F3000" s="12">
        <v>0</v>
      </c>
    </row>
    <row r="3001" spans="3:6">
      <c r="C3001" s="12"/>
      <c r="D3001" s="12"/>
      <c r="E3001" t="b">
        <f t="shared" si="46"/>
        <v>1</v>
      </c>
      <c r="F3001" s="12">
        <v>0</v>
      </c>
    </row>
    <row r="3002" spans="3:6">
      <c r="C3002" s="12"/>
      <c r="D3002" s="12"/>
      <c r="E3002" t="b">
        <f t="shared" si="46"/>
        <v>1</v>
      </c>
      <c r="F3002" s="12">
        <v>0</v>
      </c>
    </row>
    <row r="3003" spans="3:6">
      <c r="C3003" s="12"/>
      <c r="D3003" s="12"/>
      <c r="E3003" t="b">
        <f t="shared" si="46"/>
        <v>1</v>
      </c>
      <c r="F3003" s="12">
        <v>0</v>
      </c>
    </row>
    <row r="3004" spans="3:6">
      <c r="C3004" s="12"/>
      <c r="D3004" s="12"/>
      <c r="E3004" t="b">
        <f t="shared" si="46"/>
        <v>1</v>
      </c>
      <c r="F3004" s="12">
        <v>0</v>
      </c>
    </row>
    <row r="3005" spans="3:6">
      <c r="C3005" s="12"/>
      <c r="D3005" s="12"/>
      <c r="E3005" t="b">
        <f t="shared" si="46"/>
        <v>1</v>
      </c>
      <c r="F3005" s="12">
        <v>0</v>
      </c>
    </row>
    <row r="3006" spans="3:6">
      <c r="C3006" s="12"/>
      <c r="D3006" s="12"/>
      <c r="E3006" t="b">
        <f t="shared" si="46"/>
        <v>1</v>
      </c>
      <c r="F3006" s="12">
        <v>0</v>
      </c>
    </row>
    <row r="3007" spans="3:6">
      <c r="C3007" s="12"/>
      <c r="D3007" s="12"/>
      <c r="E3007" t="b">
        <f t="shared" si="46"/>
        <v>1</v>
      </c>
      <c r="F3007" s="12">
        <v>0</v>
      </c>
    </row>
    <row r="3008" spans="3:6">
      <c r="C3008" s="12"/>
      <c r="D3008" s="12"/>
      <c r="E3008" t="b">
        <f t="shared" si="46"/>
        <v>1</v>
      </c>
      <c r="F3008" s="12">
        <v>0</v>
      </c>
    </row>
    <row r="3009" spans="3:6">
      <c r="C3009" s="12"/>
      <c r="D3009" s="12"/>
      <c r="E3009" t="b">
        <f t="shared" si="46"/>
        <v>1</v>
      </c>
      <c r="F3009" s="12">
        <v>0</v>
      </c>
    </row>
    <row r="3010" spans="3:6">
      <c r="C3010" s="12"/>
      <c r="D3010" s="12"/>
      <c r="E3010" t="b">
        <f t="shared" si="46"/>
        <v>1</v>
      </c>
      <c r="F3010" s="12">
        <v>0</v>
      </c>
    </row>
    <row r="3011" spans="3:6">
      <c r="C3011" s="12"/>
      <c r="D3011" s="12"/>
      <c r="E3011" t="b">
        <f t="shared" ref="E3011:E3074" si="47">F3011=C3011</f>
        <v>1</v>
      </c>
      <c r="F3011" s="12">
        <v>0</v>
      </c>
    </row>
    <row r="3012" spans="3:6">
      <c r="C3012" s="12"/>
      <c r="D3012" s="12"/>
      <c r="E3012" t="b">
        <f t="shared" si="47"/>
        <v>1</v>
      </c>
      <c r="F3012" s="12">
        <v>0</v>
      </c>
    </row>
    <row r="3013" spans="3:6">
      <c r="C3013" s="12"/>
      <c r="D3013" s="12"/>
      <c r="E3013" t="b">
        <f t="shared" si="47"/>
        <v>1</v>
      </c>
      <c r="F3013" s="12">
        <v>0</v>
      </c>
    </row>
    <row r="3014" spans="3:6">
      <c r="C3014" s="12"/>
      <c r="D3014" s="12"/>
      <c r="E3014" t="b">
        <f t="shared" si="47"/>
        <v>1</v>
      </c>
      <c r="F3014" s="12">
        <v>0</v>
      </c>
    </row>
    <row r="3015" spans="3:6">
      <c r="C3015" s="12"/>
      <c r="D3015" s="12"/>
      <c r="E3015" t="b">
        <f t="shared" si="47"/>
        <v>1</v>
      </c>
      <c r="F3015" s="12">
        <v>0</v>
      </c>
    </row>
    <row r="3016" spans="3:6">
      <c r="C3016" s="12"/>
      <c r="D3016" s="12"/>
      <c r="E3016" t="b">
        <f t="shared" si="47"/>
        <v>1</v>
      </c>
      <c r="F3016" s="12">
        <v>0</v>
      </c>
    </row>
    <row r="3017" spans="3:6">
      <c r="C3017" s="12"/>
      <c r="D3017" s="12"/>
      <c r="E3017" t="b">
        <f t="shared" si="47"/>
        <v>1</v>
      </c>
      <c r="F3017" s="12">
        <v>0</v>
      </c>
    </row>
    <row r="3018" spans="3:6">
      <c r="C3018" s="12"/>
      <c r="D3018" s="12"/>
      <c r="E3018" t="b">
        <f t="shared" si="47"/>
        <v>1</v>
      </c>
      <c r="F3018" s="12">
        <v>0</v>
      </c>
    </row>
    <row r="3019" spans="3:6">
      <c r="C3019" s="12"/>
      <c r="D3019" s="12"/>
      <c r="E3019" t="b">
        <f t="shared" si="47"/>
        <v>1</v>
      </c>
      <c r="F3019" s="12">
        <v>0</v>
      </c>
    </row>
    <row r="3020" spans="3:6">
      <c r="C3020" s="12"/>
      <c r="D3020" s="12"/>
      <c r="E3020" t="b">
        <f t="shared" si="47"/>
        <v>1</v>
      </c>
      <c r="F3020" s="12">
        <v>0</v>
      </c>
    </row>
    <row r="3021" spans="3:6">
      <c r="C3021" s="12"/>
      <c r="D3021" s="12"/>
      <c r="E3021" t="b">
        <f t="shared" si="47"/>
        <v>1</v>
      </c>
      <c r="F3021" s="12">
        <v>0</v>
      </c>
    </row>
    <row r="3022" spans="3:6">
      <c r="C3022" s="12"/>
      <c r="D3022" s="12"/>
      <c r="E3022" t="b">
        <f t="shared" si="47"/>
        <v>1</v>
      </c>
      <c r="F3022" s="12">
        <v>0</v>
      </c>
    </row>
    <row r="3023" spans="3:6">
      <c r="C3023" s="12"/>
      <c r="D3023" s="12"/>
      <c r="E3023" t="b">
        <f t="shared" si="47"/>
        <v>1</v>
      </c>
      <c r="F3023" s="12">
        <v>0</v>
      </c>
    </row>
    <row r="3024" spans="3:6">
      <c r="C3024" s="12"/>
      <c r="D3024" s="12"/>
      <c r="E3024" t="b">
        <f t="shared" si="47"/>
        <v>1</v>
      </c>
      <c r="F3024" s="12">
        <v>0</v>
      </c>
    </row>
    <row r="3025" spans="3:6">
      <c r="C3025" s="12"/>
      <c r="D3025" s="12"/>
      <c r="E3025" t="b">
        <f t="shared" si="47"/>
        <v>1</v>
      </c>
      <c r="F3025" s="12">
        <v>0</v>
      </c>
    </row>
    <row r="3026" spans="3:6">
      <c r="C3026" s="12"/>
      <c r="D3026" s="12"/>
      <c r="E3026" t="b">
        <f t="shared" si="47"/>
        <v>1</v>
      </c>
      <c r="F3026" s="12">
        <v>0</v>
      </c>
    </row>
    <row r="3027" spans="3:6">
      <c r="C3027" s="12"/>
      <c r="D3027" s="12"/>
      <c r="E3027" t="b">
        <f t="shared" si="47"/>
        <v>1</v>
      </c>
      <c r="F3027" s="12">
        <v>0</v>
      </c>
    </row>
    <row r="3028" spans="3:6">
      <c r="C3028" s="12"/>
      <c r="D3028" s="12"/>
      <c r="E3028" t="b">
        <f t="shared" si="47"/>
        <v>1</v>
      </c>
      <c r="F3028" s="12">
        <v>0</v>
      </c>
    </row>
    <row r="3029" spans="3:6">
      <c r="C3029" s="12"/>
      <c r="D3029" s="12"/>
      <c r="E3029" t="b">
        <f t="shared" si="47"/>
        <v>1</v>
      </c>
      <c r="F3029" s="12">
        <v>0</v>
      </c>
    </row>
    <row r="3030" spans="3:6">
      <c r="C3030" s="12"/>
      <c r="D3030" s="12"/>
      <c r="E3030" t="b">
        <f t="shared" si="47"/>
        <v>1</v>
      </c>
      <c r="F3030" s="12">
        <v>0</v>
      </c>
    </row>
    <row r="3031" spans="3:6">
      <c r="C3031" s="12"/>
      <c r="D3031" s="12"/>
      <c r="E3031" t="b">
        <f t="shared" si="47"/>
        <v>1</v>
      </c>
      <c r="F3031" s="12">
        <v>0</v>
      </c>
    </row>
    <row r="3032" spans="3:6">
      <c r="C3032" s="12"/>
      <c r="D3032" s="12"/>
      <c r="E3032" t="b">
        <f t="shared" si="47"/>
        <v>1</v>
      </c>
      <c r="F3032" s="12">
        <v>0</v>
      </c>
    </row>
    <row r="3033" spans="3:6">
      <c r="C3033" s="12"/>
      <c r="D3033" s="12"/>
      <c r="E3033" t="b">
        <f t="shared" si="47"/>
        <v>1</v>
      </c>
      <c r="F3033" s="12">
        <v>0</v>
      </c>
    </row>
    <row r="3034" spans="3:6">
      <c r="C3034" s="12"/>
      <c r="D3034" s="12"/>
      <c r="E3034" t="b">
        <f t="shared" si="47"/>
        <v>1</v>
      </c>
      <c r="F3034" s="12">
        <v>0</v>
      </c>
    </row>
    <row r="3035" spans="3:6">
      <c r="C3035" s="12"/>
      <c r="D3035" s="12"/>
      <c r="E3035" t="b">
        <f t="shared" si="47"/>
        <v>1</v>
      </c>
      <c r="F3035" s="12">
        <v>0</v>
      </c>
    </row>
    <row r="3036" spans="3:6">
      <c r="C3036" s="12"/>
      <c r="D3036" s="12"/>
      <c r="E3036" t="b">
        <f t="shared" si="47"/>
        <v>1</v>
      </c>
      <c r="F3036" s="12">
        <v>0</v>
      </c>
    </row>
    <row r="3037" spans="3:6">
      <c r="C3037" s="12"/>
      <c r="D3037" s="12"/>
      <c r="E3037" t="b">
        <f t="shared" si="47"/>
        <v>1</v>
      </c>
      <c r="F3037" s="12">
        <v>0</v>
      </c>
    </row>
    <row r="3038" spans="3:6">
      <c r="C3038" s="12"/>
      <c r="D3038" s="12"/>
      <c r="E3038" t="b">
        <f t="shared" si="47"/>
        <v>1</v>
      </c>
      <c r="F3038" s="12">
        <v>0</v>
      </c>
    </row>
    <row r="3039" spans="3:6">
      <c r="C3039" s="12"/>
      <c r="D3039" s="12"/>
      <c r="E3039" t="b">
        <f t="shared" si="47"/>
        <v>1</v>
      </c>
      <c r="F3039" s="12">
        <v>0</v>
      </c>
    </row>
    <row r="3040" spans="3:6">
      <c r="C3040" s="12"/>
      <c r="D3040" s="12"/>
      <c r="E3040" t="b">
        <f t="shared" si="47"/>
        <v>1</v>
      </c>
      <c r="F3040" s="12">
        <v>0</v>
      </c>
    </row>
    <row r="3041" spans="3:6">
      <c r="C3041" s="12"/>
      <c r="D3041" s="12"/>
      <c r="E3041" t="b">
        <f t="shared" si="47"/>
        <v>1</v>
      </c>
      <c r="F3041" s="12">
        <v>0</v>
      </c>
    </row>
    <row r="3042" spans="3:6">
      <c r="C3042" s="12"/>
      <c r="D3042" s="12"/>
      <c r="E3042" t="b">
        <f t="shared" si="47"/>
        <v>1</v>
      </c>
      <c r="F3042" s="12">
        <v>0</v>
      </c>
    </row>
    <row r="3043" spans="3:6">
      <c r="C3043" s="12"/>
      <c r="D3043" s="12"/>
      <c r="E3043" t="b">
        <f t="shared" si="47"/>
        <v>1</v>
      </c>
      <c r="F3043" s="12">
        <v>0</v>
      </c>
    </row>
    <row r="3044" spans="3:6">
      <c r="C3044" s="12"/>
      <c r="D3044" s="12"/>
      <c r="E3044" t="b">
        <f t="shared" si="47"/>
        <v>1</v>
      </c>
      <c r="F3044" s="12">
        <v>0</v>
      </c>
    </row>
    <row r="3045" spans="3:6">
      <c r="C3045" s="12"/>
      <c r="D3045" s="12"/>
      <c r="E3045" t="b">
        <f t="shared" si="47"/>
        <v>1</v>
      </c>
      <c r="F3045" s="12">
        <v>0</v>
      </c>
    </row>
    <row r="3046" spans="3:6">
      <c r="C3046" s="12"/>
      <c r="D3046" s="12"/>
      <c r="E3046" t="b">
        <f t="shared" si="47"/>
        <v>1</v>
      </c>
      <c r="F3046" s="12">
        <v>0</v>
      </c>
    </row>
    <row r="3047" spans="3:6">
      <c r="C3047" s="12"/>
      <c r="D3047" s="12"/>
      <c r="E3047" t="b">
        <f t="shared" si="47"/>
        <v>1</v>
      </c>
      <c r="F3047" s="12">
        <v>0</v>
      </c>
    </row>
    <row r="3048" spans="3:6">
      <c r="C3048" s="12"/>
      <c r="D3048" s="12"/>
      <c r="E3048" t="b">
        <f t="shared" si="47"/>
        <v>1</v>
      </c>
      <c r="F3048" s="12">
        <v>0</v>
      </c>
    </row>
    <row r="3049" spans="3:6">
      <c r="C3049" s="12"/>
      <c r="D3049" s="12"/>
      <c r="E3049" t="b">
        <f t="shared" si="47"/>
        <v>1</v>
      </c>
      <c r="F3049" s="12">
        <v>0</v>
      </c>
    </row>
    <row r="3050" spans="3:6">
      <c r="C3050" s="12"/>
      <c r="D3050" s="12"/>
      <c r="E3050" t="b">
        <f t="shared" si="47"/>
        <v>1</v>
      </c>
      <c r="F3050" s="12">
        <v>0</v>
      </c>
    </row>
    <row r="3051" spans="3:6">
      <c r="C3051" s="12"/>
      <c r="D3051" s="12"/>
      <c r="E3051" t="b">
        <f t="shared" si="47"/>
        <v>1</v>
      </c>
      <c r="F3051" s="12">
        <v>0</v>
      </c>
    </row>
    <row r="3052" spans="3:6">
      <c r="C3052" s="12"/>
      <c r="D3052" s="12"/>
      <c r="E3052" t="b">
        <f t="shared" si="47"/>
        <v>1</v>
      </c>
      <c r="F3052" s="12">
        <v>0</v>
      </c>
    </row>
    <row r="3053" spans="3:6">
      <c r="C3053" s="12"/>
      <c r="D3053" s="12"/>
      <c r="E3053" t="b">
        <f t="shared" si="47"/>
        <v>1</v>
      </c>
      <c r="F3053" s="12">
        <v>0</v>
      </c>
    </row>
    <row r="3054" spans="3:6">
      <c r="C3054" s="12"/>
      <c r="D3054" s="12"/>
      <c r="E3054" t="b">
        <f t="shared" si="47"/>
        <v>1</v>
      </c>
      <c r="F3054" s="12">
        <v>0</v>
      </c>
    </row>
    <row r="3055" spans="3:6">
      <c r="C3055" s="12"/>
      <c r="D3055" s="12"/>
      <c r="E3055" t="b">
        <f t="shared" si="47"/>
        <v>1</v>
      </c>
      <c r="F3055" s="12">
        <v>0</v>
      </c>
    </row>
    <row r="3056" spans="3:6">
      <c r="C3056" s="12"/>
      <c r="D3056" s="12"/>
      <c r="E3056" t="b">
        <f t="shared" si="47"/>
        <v>1</v>
      </c>
      <c r="F3056" s="12">
        <v>0</v>
      </c>
    </row>
    <row r="3057" spans="3:6">
      <c r="C3057" s="12"/>
      <c r="D3057" s="12"/>
      <c r="E3057" t="b">
        <f t="shared" si="47"/>
        <v>1</v>
      </c>
      <c r="F3057" s="12">
        <v>0</v>
      </c>
    </row>
    <row r="3058" spans="3:6">
      <c r="C3058" s="12"/>
      <c r="D3058" s="12"/>
      <c r="E3058" t="b">
        <f t="shared" si="47"/>
        <v>1</v>
      </c>
      <c r="F3058" s="12">
        <v>0</v>
      </c>
    </row>
    <row r="3059" spans="3:6">
      <c r="C3059" s="12"/>
      <c r="D3059" s="12"/>
      <c r="E3059" t="b">
        <f t="shared" si="47"/>
        <v>1</v>
      </c>
      <c r="F3059" s="12">
        <v>0</v>
      </c>
    </row>
    <row r="3060" spans="3:6">
      <c r="C3060" s="12"/>
      <c r="D3060" s="12"/>
      <c r="E3060" t="b">
        <f t="shared" si="47"/>
        <v>1</v>
      </c>
      <c r="F3060" s="12">
        <v>0</v>
      </c>
    </row>
    <row r="3061" spans="3:6">
      <c r="C3061" s="12"/>
      <c r="D3061" s="12"/>
      <c r="E3061" t="b">
        <f t="shared" si="47"/>
        <v>1</v>
      </c>
      <c r="F3061" s="12">
        <v>0</v>
      </c>
    </row>
    <row r="3062" spans="3:6">
      <c r="C3062" s="12"/>
      <c r="D3062" s="12"/>
      <c r="E3062" t="b">
        <f t="shared" si="47"/>
        <v>1</v>
      </c>
      <c r="F3062" s="12">
        <v>0</v>
      </c>
    </row>
    <row r="3063" spans="3:6">
      <c r="C3063" s="12"/>
      <c r="D3063" s="12"/>
      <c r="E3063" t="b">
        <f t="shared" si="47"/>
        <v>1</v>
      </c>
      <c r="F3063" s="12">
        <v>0</v>
      </c>
    </row>
    <row r="3064" spans="3:6">
      <c r="C3064" s="12"/>
      <c r="D3064" s="12"/>
      <c r="E3064" t="b">
        <f t="shared" si="47"/>
        <v>1</v>
      </c>
      <c r="F3064" s="12">
        <v>0</v>
      </c>
    </row>
    <row r="3065" spans="3:6">
      <c r="C3065" s="12"/>
      <c r="D3065" s="12"/>
      <c r="E3065" t="b">
        <f t="shared" si="47"/>
        <v>1</v>
      </c>
      <c r="F3065" s="12">
        <v>0</v>
      </c>
    </row>
    <row r="3066" spans="3:6">
      <c r="C3066" s="12"/>
      <c r="D3066" s="12"/>
      <c r="E3066" t="b">
        <f t="shared" si="47"/>
        <v>1</v>
      </c>
      <c r="F3066" s="12">
        <v>0</v>
      </c>
    </row>
    <row r="3067" spans="3:6">
      <c r="C3067" s="12"/>
      <c r="D3067" s="12"/>
      <c r="E3067" t="b">
        <f t="shared" si="47"/>
        <v>1</v>
      </c>
      <c r="F3067" s="12">
        <v>0</v>
      </c>
    </row>
    <row r="3068" spans="3:6">
      <c r="C3068" s="12"/>
      <c r="D3068" s="12"/>
      <c r="E3068" t="b">
        <f t="shared" si="47"/>
        <v>1</v>
      </c>
      <c r="F3068" s="12">
        <v>0</v>
      </c>
    </row>
    <row r="3069" spans="3:6">
      <c r="C3069" s="12"/>
      <c r="D3069" s="12"/>
      <c r="E3069" t="b">
        <f t="shared" si="47"/>
        <v>1</v>
      </c>
      <c r="F3069" s="12">
        <v>0</v>
      </c>
    </row>
    <row r="3070" spans="3:6">
      <c r="C3070" s="12"/>
      <c r="D3070" s="12"/>
      <c r="E3070" t="b">
        <f t="shared" si="47"/>
        <v>1</v>
      </c>
      <c r="F3070" s="12">
        <v>0</v>
      </c>
    </row>
    <row r="3071" spans="3:6">
      <c r="C3071" s="12"/>
      <c r="D3071" s="12"/>
      <c r="E3071" t="b">
        <f t="shared" si="47"/>
        <v>1</v>
      </c>
      <c r="F3071" s="12">
        <v>0</v>
      </c>
    </row>
    <row r="3072" spans="3:6">
      <c r="C3072" s="12"/>
      <c r="D3072" s="12"/>
      <c r="E3072" t="b">
        <f t="shared" si="47"/>
        <v>1</v>
      </c>
      <c r="F3072" s="12">
        <v>0</v>
      </c>
    </row>
    <row r="3073" spans="3:6">
      <c r="C3073" s="12"/>
      <c r="D3073" s="12"/>
      <c r="E3073" t="b">
        <f t="shared" si="47"/>
        <v>1</v>
      </c>
      <c r="F3073" s="12">
        <v>0</v>
      </c>
    </row>
    <row r="3074" spans="3:6">
      <c r="C3074" s="12"/>
      <c r="D3074" s="12"/>
      <c r="E3074" t="b">
        <f t="shared" si="47"/>
        <v>1</v>
      </c>
      <c r="F3074" s="12">
        <v>0</v>
      </c>
    </row>
    <row r="3075" spans="3:6">
      <c r="C3075" s="12"/>
      <c r="D3075" s="12"/>
      <c r="E3075" t="b">
        <f t="shared" ref="E3075:E3138" si="48">F3075=C3075</f>
        <v>1</v>
      </c>
      <c r="F3075" s="12">
        <v>0</v>
      </c>
    </row>
    <row r="3076" spans="3:6">
      <c r="C3076" s="12"/>
      <c r="D3076" s="12"/>
      <c r="E3076" t="b">
        <f t="shared" si="48"/>
        <v>1</v>
      </c>
      <c r="F3076" s="12">
        <v>0</v>
      </c>
    </row>
    <row r="3077" spans="3:6">
      <c r="C3077" s="12"/>
      <c r="D3077" s="12"/>
      <c r="E3077" t="b">
        <f t="shared" si="48"/>
        <v>1</v>
      </c>
      <c r="F3077" s="12">
        <v>0</v>
      </c>
    </row>
    <row r="3078" spans="3:6">
      <c r="C3078" s="12"/>
      <c r="D3078" s="12"/>
      <c r="E3078" t="b">
        <f t="shared" si="48"/>
        <v>1</v>
      </c>
      <c r="F3078" s="12">
        <v>0</v>
      </c>
    </row>
    <row r="3079" spans="3:6">
      <c r="C3079" s="12"/>
      <c r="D3079" s="12"/>
      <c r="E3079" t="b">
        <f t="shared" si="48"/>
        <v>1</v>
      </c>
      <c r="F3079" s="12">
        <v>0</v>
      </c>
    </row>
    <row r="3080" spans="3:6">
      <c r="C3080" s="12"/>
      <c r="D3080" s="12"/>
      <c r="E3080" t="b">
        <f t="shared" si="48"/>
        <v>1</v>
      </c>
      <c r="F3080" s="12">
        <v>0</v>
      </c>
    </row>
    <row r="3081" spans="3:6">
      <c r="C3081" s="12"/>
      <c r="D3081" s="12"/>
      <c r="E3081" t="b">
        <f t="shared" si="48"/>
        <v>1</v>
      </c>
      <c r="F3081" s="12">
        <v>0</v>
      </c>
    </row>
    <row r="3082" spans="3:6">
      <c r="C3082" s="12"/>
      <c r="D3082" s="12"/>
      <c r="E3082" t="b">
        <f t="shared" si="48"/>
        <v>1</v>
      </c>
      <c r="F3082" s="12">
        <v>0</v>
      </c>
    </row>
    <row r="3083" spans="3:6">
      <c r="C3083" s="12"/>
      <c r="D3083" s="12"/>
      <c r="E3083" t="b">
        <f t="shared" si="48"/>
        <v>1</v>
      </c>
      <c r="F3083" s="12">
        <v>0</v>
      </c>
    </row>
    <row r="3084" spans="3:6">
      <c r="C3084" s="12"/>
      <c r="D3084" s="12"/>
      <c r="E3084" t="b">
        <f t="shared" si="48"/>
        <v>1</v>
      </c>
      <c r="F3084" s="12">
        <v>0</v>
      </c>
    </row>
    <row r="3085" spans="3:6">
      <c r="C3085" s="12"/>
      <c r="D3085" s="12"/>
      <c r="E3085" t="b">
        <f t="shared" si="48"/>
        <v>1</v>
      </c>
      <c r="F3085" s="12">
        <v>0</v>
      </c>
    </row>
    <row r="3086" spans="3:6">
      <c r="C3086" s="12"/>
      <c r="D3086" s="12"/>
      <c r="E3086" t="b">
        <f t="shared" si="48"/>
        <v>1</v>
      </c>
      <c r="F3086" s="12">
        <v>0</v>
      </c>
    </row>
    <row r="3087" spans="3:6">
      <c r="C3087" s="12"/>
      <c r="D3087" s="12"/>
      <c r="E3087" t="b">
        <f t="shared" si="48"/>
        <v>1</v>
      </c>
      <c r="F3087" s="12">
        <v>0</v>
      </c>
    </row>
    <row r="3088" spans="3:6">
      <c r="C3088" s="12"/>
      <c r="D3088" s="12"/>
      <c r="E3088" t="b">
        <f t="shared" si="48"/>
        <v>1</v>
      </c>
      <c r="F3088" s="12">
        <v>0</v>
      </c>
    </row>
    <row r="3089" spans="3:6">
      <c r="C3089" s="12"/>
      <c r="D3089" s="12"/>
      <c r="E3089" t="b">
        <f t="shared" si="48"/>
        <v>1</v>
      </c>
      <c r="F3089" s="12">
        <v>0</v>
      </c>
    </row>
    <row r="3090" spans="3:6">
      <c r="C3090" s="12"/>
      <c r="D3090" s="12"/>
      <c r="E3090" t="b">
        <f t="shared" si="48"/>
        <v>1</v>
      </c>
      <c r="F3090" s="12">
        <v>0</v>
      </c>
    </row>
    <row r="3091" spans="3:6">
      <c r="C3091" s="12"/>
      <c r="D3091" s="12"/>
      <c r="E3091" t="b">
        <f t="shared" si="48"/>
        <v>1</v>
      </c>
      <c r="F3091" s="12">
        <v>0</v>
      </c>
    </row>
    <row r="3092" spans="3:6">
      <c r="C3092" s="12"/>
      <c r="D3092" s="12"/>
      <c r="E3092" t="b">
        <f t="shared" si="48"/>
        <v>1</v>
      </c>
      <c r="F3092" s="12">
        <v>0</v>
      </c>
    </row>
    <row r="3093" spans="3:6">
      <c r="C3093" s="12"/>
      <c r="D3093" s="12"/>
      <c r="E3093" t="b">
        <f t="shared" si="48"/>
        <v>1</v>
      </c>
      <c r="F3093" s="12">
        <v>0</v>
      </c>
    </row>
    <row r="3094" spans="3:6">
      <c r="C3094" s="12"/>
      <c r="D3094" s="12"/>
      <c r="E3094" t="b">
        <f t="shared" si="48"/>
        <v>1</v>
      </c>
      <c r="F3094" s="12">
        <v>0</v>
      </c>
    </row>
    <row r="3095" spans="3:6">
      <c r="C3095" s="12"/>
      <c r="D3095" s="12"/>
      <c r="E3095" t="b">
        <f t="shared" si="48"/>
        <v>1</v>
      </c>
      <c r="F3095" s="12">
        <v>0</v>
      </c>
    </row>
    <row r="3096" spans="3:6">
      <c r="C3096" s="12"/>
      <c r="D3096" s="12"/>
      <c r="E3096" t="b">
        <f t="shared" si="48"/>
        <v>1</v>
      </c>
      <c r="F3096" s="12">
        <v>0</v>
      </c>
    </row>
    <row r="3097" spans="3:6">
      <c r="C3097" s="12"/>
      <c r="D3097" s="12"/>
      <c r="E3097" t="b">
        <f t="shared" si="48"/>
        <v>1</v>
      </c>
      <c r="F3097" s="12">
        <v>0</v>
      </c>
    </row>
    <row r="3098" spans="3:6">
      <c r="C3098" s="12"/>
      <c r="D3098" s="12"/>
      <c r="E3098" t="b">
        <f t="shared" si="48"/>
        <v>1</v>
      </c>
      <c r="F3098" s="12">
        <v>0</v>
      </c>
    </row>
    <row r="3099" spans="3:6">
      <c r="C3099" s="12"/>
      <c r="D3099" s="12"/>
      <c r="E3099" t="b">
        <f t="shared" si="48"/>
        <v>1</v>
      </c>
      <c r="F3099" s="12">
        <v>0</v>
      </c>
    </row>
    <row r="3100" spans="3:6">
      <c r="C3100" s="12"/>
      <c r="D3100" s="12"/>
      <c r="E3100" t="b">
        <f t="shared" si="48"/>
        <v>1</v>
      </c>
      <c r="F3100" s="12">
        <v>0</v>
      </c>
    </row>
    <row r="3101" spans="3:6">
      <c r="C3101" s="12"/>
      <c r="D3101" s="12"/>
      <c r="E3101" t="b">
        <f t="shared" si="48"/>
        <v>1</v>
      </c>
      <c r="F3101" s="12">
        <v>0</v>
      </c>
    </row>
    <row r="3102" spans="3:6">
      <c r="C3102" s="12"/>
      <c r="D3102" s="12"/>
      <c r="E3102" t="b">
        <f t="shared" si="48"/>
        <v>1</v>
      </c>
      <c r="F3102" s="12">
        <v>0</v>
      </c>
    </row>
    <row r="3103" spans="3:6">
      <c r="C3103" s="12"/>
      <c r="D3103" s="12"/>
      <c r="E3103" t="b">
        <f t="shared" si="48"/>
        <v>1</v>
      </c>
      <c r="F3103" s="12">
        <v>0</v>
      </c>
    </row>
    <row r="3104" spans="3:6">
      <c r="C3104" s="12"/>
      <c r="D3104" s="12"/>
      <c r="E3104" t="b">
        <f t="shared" si="48"/>
        <v>1</v>
      </c>
      <c r="F3104" s="12">
        <v>0</v>
      </c>
    </row>
    <row r="3105" spans="3:6">
      <c r="C3105" s="12"/>
      <c r="D3105" s="12"/>
      <c r="E3105" t="b">
        <f t="shared" si="48"/>
        <v>1</v>
      </c>
      <c r="F3105" s="12">
        <v>0</v>
      </c>
    </row>
    <row r="3106" spans="3:6">
      <c r="C3106" s="12"/>
      <c r="D3106" s="12"/>
      <c r="E3106" t="b">
        <f t="shared" si="48"/>
        <v>1</v>
      </c>
      <c r="F3106" s="12">
        <v>0</v>
      </c>
    </row>
    <row r="3107" spans="3:6">
      <c r="C3107" s="12"/>
      <c r="D3107" s="12"/>
      <c r="E3107" t="b">
        <f t="shared" si="48"/>
        <v>1</v>
      </c>
      <c r="F3107" s="12">
        <v>0</v>
      </c>
    </row>
    <row r="3108" spans="3:6">
      <c r="C3108" s="12"/>
      <c r="D3108" s="12"/>
      <c r="E3108" t="b">
        <f t="shared" si="48"/>
        <v>1</v>
      </c>
      <c r="F3108" s="12">
        <v>0</v>
      </c>
    </row>
    <row r="3109" spans="3:6">
      <c r="C3109" s="12"/>
      <c r="D3109" s="12"/>
      <c r="E3109" t="b">
        <f t="shared" si="48"/>
        <v>1</v>
      </c>
      <c r="F3109" s="12">
        <v>0</v>
      </c>
    </row>
    <row r="3110" spans="3:6">
      <c r="C3110" s="12"/>
      <c r="D3110" s="12"/>
      <c r="E3110" t="b">
        <f t="shared" si="48"/>
        <v>1</v>
      </c>
      <c r="F3110" s="12">
        <v>0</v>
      </c>
    </row>
    <row r="3111" spans="3:6">
      <c r="C3111" s="12"/>
      <c r="D3111" s="12"/>
      <c r="E3111" t="b">
        <f t="shared" si="48"/>
        <v>1</v>
      </c>
      <c r="F3111" s="12">
        <v>0</v>
      </c>
    </row>
    <row r="3112" spans="3:6">
      <c r="C3112" s="12"/>
      <c r="D3112" s="12"/>
      <c r="E3112" t="b">
        <f t="shared" si="48"/>
        <v>1</v>
      </c>
      <c r="F3112" s="12">
        <v>0</v>
      </c>
    </row>
    <row r="3113" spans="3:6">
      <c r="C3113" s="12"/>
      <c r="D3113" s="12"/>
      <c r="E3113" t="b">
        <f t="shared" si="48"/>
        <v>1</v>
      </c>
      <c r="F3113" s="12">
        <v>0</v>
      </c>
    </row>
    <row r="3114" spans="3:6">
      <c r="C3114" s="12"/>
      <c r="D3114" s="12"/>
      <c r="E3114" t="b">
        <f t="shared" si="48"/>
        <v>1</v>
      </c>
      <c r="F3114" s="12">
        <v>0</v>
      </c>
    </row>
    <row r="3115" spans="3:6">
      <c r="C3115" s="12"/>
      <c r="D3115" s="12"/>
      <c r="E3115" t="b">
        <f t="shared" si="48"/>
        <v>1</v>
      </c>
      <c r="F3115" s="12">
        <v>0</v>
      </c>
    </row>
    <row r="3116" spans="3:6">
      <c r="C3116" s="12"/>
      <c r="D3116" s="12"/>
      <c r="E3116" t="b">
        <f t="shared" si="48"/>
        <v>1</v>
      </c>
      <c r="F3116" s="12">
        <v>0</v>
      </c>
    </row>
    <row r="3117" spans="3:6">
      <c r="C3117" s="12"/>
      <c r="D3117" s="12"/>
      <c r="E3117" t="b">
        <f t="shared" si="48"/>
        <v>1</v>
      </c>
      <c r="F3117" s="12">
        <v>0</v>
      </c>
    </row>
    <row r="3118" spans="3:6">
      <c r="C3118" s="12"/>
      <c r="D3118" s="12"/>
      <c r="E3118" t="b">
        <f t="shared" si="48"/>
        <v>1</v>
      </c>
      <c r="F3118" s="12">
        <v>0</v>
      </c>
    </row>
    <row r="3119" spans="3:6">
      <c r="C3119" s="12"/>
      <c r="D3119" s="12"/>
      <c r="E3119" t="b">
        <f t="shared" si="48"/>
        <v>1</v>
      </c>
      <c r="F3119" s="12">
        <v>0</v>
      </c>
    </row>
    <row r="3120" spans="3:6">
      <c r="C3120" s="12"/>
      <c r="D3120" s="12"/>
      <c r="E3120" t="b">
        <f t="shared" si="48"/>
        <v>1</v>
      </c>
      <c r="F3120" s="12">
        <v>0</v>
      </c>
    </row>
    <row r="3121" spans="3:6">
      <c r="C3121" s="12"/>
      <c r="D3121" s="12"/>
      <c r="E3121" t="b">
        <f t="shared" si="48"/>
        <v>1</v>
      </c>
      <c r="F3121" s="12">
        <v>0</v>
      </c>
    </row>
    <row r="3122" spans="3:6">
      <c r="C3122" s="12"/>
      <c r="D3122" s="12"/>
      <c r="E3122" t="b">
        <f t="shared" si="48"/>
        <v>1</v>
      </c>
      <c r="F3122" s="12">
        <v>0</v>
      </c>
    </row>
    <row r="3123" spans="3:6">
      <c r="C3123" s="12"/>
      <c r="D3123" s="12"/>
      <c r="E3123" t="b">
        <f t="shared" si="48"/>
        <v>1</v>
      </c>
      <c r="F3123" s="12">
        <v>0</v>
      </c>
    </row>
    <row r="3124" spans="3:6">
      <c r="C3124" s="12"/>
      <c r="D3124" s="12"/>
      <c r="E3124" t="b">
        <f t="shared" si="48"/>
        <v>1</v>
      </c>
      <c r="F3124" s="12">
        <v>0</v>
      </c>
    </row>
    <row r="3125" spans="3:6">
      <c r="C3125" s="12"/>
      <c r="D3125" s="12"/>
      <c r="E3125" t="b">
        <f t="shared" si="48"/>
        <v>1</v>
      </c>
      <c r="F3125" s="12">
        <v>0</v>
      </c>
    </row>
    <row r="3126" spans="3:6">
      <c r="C3126" s="12"/>
      <c r="D3126" s="12"/>
      <c r="E3126" t="b">
        <f t="shared" si="48"/>
        <v>1</v>
      </c>
      <c r="F3126" s="12">
        <v>0</v>
      </c>
    </row>
    <row r="3127" spans="3:6">
      <c r="C3127" s="12"/>
      <c r="D3127" s="12"/>
      <c r="E3127" t="b">
        <f t="shared" si="48"/>
        <v>1</v>
      </c>
      <c r="F3127" s="12">
        <v>0</v>
      </c>
    </row>
    <row r="3128" spans="3:6">
      <c r="C3128" s="12"/>
      <c r="D3128" s="12"/>
      <c r="E3128" t="b">
        <f t="shared" si="48"/>
        <v>1</v>
      </c>
      <c r="F3128" s="12">
        <v>0</v>
      </c>
    </row>
    <row r="3129" spans="3:6">
      <c r="C3129" s="12"/>
      <c r="D3129" s="12"/>
      <c r="E3129" t="b">
        <f t="shared" si="48"/>
        <v>1</v>
      </c>
      <c r="F3129" s="12">
        <v>0</v>
      </c>
    </row>
    <row r="3130" spans="3:6">
      <c r="C3130" s="12"/>
      <c r="D3130" s="12"/>
      <c r="E3130" t="b">
        <f t="shared" si="48"/>
        <v>1</v>
      </c>
      <c r="F3130" s="12">
        <v>0</v>
      </c>
    </row>
    <row r="3131" spans="3:6">
      <c r="C3131" s="12"/>
      <c r="D3131" s="12"/>
      <c r="E3131" t="b">
        <f t="shared" si="48"/>
        <v>1</v>
      </c>
      <c r="F3131" s="12">
        <v>0</v>
      </c>
    </row>
    <row r="3132" spans="3:6">
      <c r="C3132" s="12"/>
      <c r="D3132" s="12"/>
      <c r="E3132" t="b">
        <f t="shared" si="48"/>
        <v>1</v>
      </c>
      <c r="F3132" s="12">
        <v>0</v>
      </c>
    </row>
    <row r="3133" spans="3:6">
      <c r="C3133" s="12"/>
      <c r="D3133" s="12"/>
      <c r="E3133" t="b">
        <f t="shared" si="48"/>
        <v>1</v>
      </c>
      <c r="F3133" s="12">
        <v>0</v>
      </c>
    </row>
    <row r="3134" spans="3:6">
      <c r="C3134" s="12"/>
      <c r="D3134" s="12"/>
      <c r="E3134" t="b">
        <f t="shared" si="48"/>
        <v>1</v>
      </c>
      <c r="F3134" s="12">
        <v>0</v>
      </c>
    </row>
    <row r="3135" spans="3:6">
      <c r="C3135" s="12"/>
      <c r="D3135" s="12"/>
      <c r="E3135" t="b">
        <f t="shared" si="48"/>
        <v>1</v>
      </c>
      <c r="F3135" s="12">
        <v>0</v>
      </c>
    </row>
    <row r="3136" spans="3:6">
      <c r="C3136" s="12"/>
      <c r="D3136" s="12"/>
      <c r="E3136" t="b">
        <f t="shared" si="48"/>
        <v>1</v>
      </c>
      <c r="F3136" s="12">
        <v>0</v>
      </c>
    </row>
    <row r="3137" spans="3:6">
      <c r="C3137" s="12"/>
      <c r="D3137" s="12"/>
      <c r="E3137" t="b">
        <f t="shared" si="48"/>
        <v>1</v>
      </c>
      <c r="F3137" s="12">
        <v>0</v>
      </c>
    </row>
    <row r="3138" spans="3:6">
      <c r="C3138" s="12"/>
      <c r="D3138" s="12"/>
      <c r="E3138" t="b">
        <f t="shared" si="48"/>
        <v>1</v>
      </c>
      <c r="F3138" s="12">
        <v>0</v>
      </c>
    </row>
    <row r="3139" spans="3:6">
      <c r="C3139" s="12"/>
      <c r="D3139" s="12"/>
      <c r="E3139" t="b">
        <f t="shared" ref="E3139:E3202" si="49">F3139=C3139</f>
        <v>1</v>
      </c>
      <c r="F3139" s="12">
        <v>0</v>
      </c>
    </row>
    <row r="3140" spans="3:6">
      <c r="C3140" s="12"/>
      <c r="D3140" s="12"/>
      <c r="E3140" t="b">
        <f t="shared" si="49"/>
        <v>1</v>
      </c>
      <c r="F3140" s="12">
        <v>0</v>
      </c>
    </row>
    <row r="3141" spans="3:6">
      <c r="C3141" s="12"/>
      <c r="D3141" s="12"/>
      <c r="E3141" t="b">
        <f t="shared" si="49"/>
        <v>1</v>
      </c>
      <c r="F3141" s="12">
        <v>0</v>
      </c>
    </row>
    <row r="3142" spans="3:6">
      <c r="C3142" s="12"/>
      <c r="D3142" s="12"/>
      <c r="E3142" t="b">
        <f t="shared" si="49"/>
        <v>1</v>
      </c>
      <c r="F3142" s="12">
        <v>0</v>
      </c>
    </row>
    <row r="3143" spans="3:6">
      <c r="C3143" s="12"/>
      <c r="D3143" s="12"/>
      <c r="E3143" t="b">
        <f t="shared" si="49"/>
        <v>1</v>
      </c>
      <c r="F3143" s="12">
        <v>0</v>
      </c>
    </row>
    <row r="3144" spans="3:6">
      <c r="C3144" s="12"/>
      <c r="D3144" s="12"/>
      <c r="E3144" t="b">
        <f t="shared" si="49"/>
        <v>1</v>
      </c>
      <c r="F3144" s="12">
        <v>0</v>
      </c>
    </row>
    <row r="3145" spans="3:6">
      <c r="C3145" s="12"/>
      <c r="D3145" s="12"/>
      <c r="E3145" t="b">
        <f t="shared" si="49"/>
        <v>1</v>
      </c>
      <c r="F3145" s="12">
        <v>0</v>
      </c>
    </row>
    <row r="3146" spans="3:6">
      <c r="C3146" s="12"/>
      <c r="D3146" s="12"/>
      <c r="E3146" t="b">
        <f t="shared" si="49"/>
        <v>1</v>
      </c>
      <c r="F3146" s="12">
        <v>0</v>
      </c>
    </row>
    <row r="3147" spans="3:6">
      <c r="C3147" s="12"/>
      <c r="D3147" s="12"/>
      <c r="E3147" t="b">
        <f t="shared" si="49"/>
        <v>1</v>
      </c>
      <c r="F3147" s="12">
        <v>0</v>
      </c>
    </row>
    <row r="3148" spans="3:6">
      <c r="C3148" s="12"/>
      <c r="D3148" s="12"/>
      <c r="E3148" t="b">
        <f t="shared" si="49"/>
        <v>1</v>
      </c>
      <c r="F3148" s="12">
        <v>0</v>
      </c>
    </row>
    <row r="3149" spans="3:6">
      <c r="C3149" s="12"/>
      <c r="D3149" s="12"/>
      <c r="E3149" t="b">
        <f t="shared" si="49"/>
        <v>1</v>
      </c>
      <c r="F3149" s="12">
        <v>0</v>
      </c>
    </row>
    <row r="3150" spans="3:6">
      <c r="C3150" s="12"/>
      <c r="D3150" s="12"/>
      <c r="E3150" t="b">
        <f t="shared" si="49"/>
        <v>1</v>
      </c>
      <c r="F3150" s="12">
        <v>0</v>
      </c>
    </row>
    <row r="3151" spans="3:6">
      <c r="C3151" s="12"/>
      <c r="D3151" s="12"/>
      <c r="E3151" t="b">
        <f t="shared" si="49"/>
        <v>1</v>
      </c>
      <c r="F3151" s="12">
        <v>0</v>
      </c>
    </row>
    <row r="3152" spans="3:6">
      <c r="C3152" s="12"/>
      <c r="D3152" s="12"/>
      <c r="E3152" t="b">
        <f t="shared" si="49"/>
        <v>1</v>
      </c>
      <c r="F3152" s="12">
        <v>0</v>
      </c>
    </row>
    <row r="3153" spans="3:6">
      <c r="C3153" s="12"/>
      <c r="D3153" s="12"/>
      <c r="E3153" t="b">
        <f t="shared" si="49"/>
        <v>1</v>
      </c>
      <c r="F3153" s="12">
        <v>0</v>
      </c>
    </row>
    <row r="3154" spans="3:6">
      <c r="C3154" s="12"/>
      <c r="D3154" s="12"/>
      <c r="E3154" t="b">
        <f t="shared" si="49"/>
        <v>1</v>
      </c>
      <c r="F3154" s="12">
        <v>0</v>
      </c>
    </row>
    <row r="3155" spans="3:6">
      <c r="C3155" s="12"/>
      <c r="D3155" s="12"/>
      <c r="E3155" t="b">
        <f t="shared" si="49"/>
        <v>1</v>
      </c>
      <c r="F3155" s="12">
        <v>0</v>
      </c>
    </row>
    <row r="3156" spans="3:6">
      <c r="C3156" s="12"/>
      <c r="D3156" s="12"/>
      <c r="E3156" t="b">
        <f t="shared" si="49"/>
        <v>1</v>
      </c>
      <c r="F3156" s="12">
        <v>0</v>
      </c>
    </row>
    <row r="3157" spans="3:6">
      <c r="C3157" s="12"/>
      <c r="D3157" s="12"/>
      <c r="E3157" t="b">
        <f t="shared" si="49"/>
        <v>1</v>
      </c>
      <c r="F3157" s="12">
        <v>0</v>
      </c>
    </row>
    <row r="3158" spans="3:6">
      <c r="C3158" s="12"/>
      <c r="D3158" s="12"/>
      <c r="E3158" t="b">
        <f t="shared" si="49"/>
        <v>1</v>
      </c>
      <c r="F3158" s="12">
        <v>0</v>
      </c>
    </row>
    <row r="3159" spans="3:6">
      <c r="C3159" s="12"/>
      <c r="D3159" s="12"/>
      <c r="E3159" t="b">
        <f t="shared" si="49"/>
        <v>1</v>
      </c>
      <c r="F3159" s="12">
        <v>0</v>
      </c>
    </row>
    <row r="3160" spans="3:6">
      <c r="C3160" s="12"/>
      <c r="D3160" s="12"/>
      <c r="E3160" t="b">
        <f t="shared" si="49"/>
        <v>1</v>
      </c>
      <c r="F3160" s="12">
        <v>0</v>
      </c>
    </row>
    <row r="3161" spans="3:6">
      <c r="C3161" s="12"/>
      <c r="D3161" s="12"/>
      <c r="E3161" t="b">
        <f t="shared" si="49"/>
        <v>1</v>
      </c>
      <c r="F3161" s="12">
        <v>0</v>
      </c>
    </row>
    <row r="3162" spans="3:6">
      <c r="C3162" s="12"/>
      <c r="D3162" s="12"/>
      <c r="E3162" t="b">
        <f t="shared" si="49"/>
        <v>1</v>
      </c>
      <c r="F3162" s="12">
        <v>0</v>
      </c>
    </row>
    <row r="3163" spans="3:6">
      <c r="C3163" s="12"/>
      <c r="D3163" s="12"/>
      <c r="E3163" t="b">
        <f t="shared" si="49"/>
        <v>1</v>
      </c>
      <c r="F3163" s="12">
        <v>0</v>
      </c>
    </row>
    <row r="3164" spans="3:6">
      <c r="C3164" s="12"/>
      <c r="D3164" s="12"/>
      <c r="E3164" t="b">
        <f t="shared" si="49"/>
        <v>1</v>
      </c>
      <c r="F3164" s="12">
        <v>0</v>
      </c>
    </row>
    <row r="3165" spans="3:6">
      <c r="C3165" s="12"/>
      <c r="D3165" s="12"/>
      <c r="E3165" t="b">
        <f t="shared" si="49"/>
        <v>1</v>
      </c>
      <c r="F3165" s="12">
        <v>0</v>
      </c>
    </row>
    <row r="3166" spans="3:6">
      <c r="C3166" s="12"/>
      <c r="D3166" s="12"/>
      <c r="E3166" t="b">
        <f t="shared" si="49"/>
        <v>1</v>
      </c>
      <c r="F3166" s="12">
        <v>0</v>
      </c>
    </row>
    <row r="3167" spans="3:6">
      <c r="C3167" s="12"/>
      <c r="D3167" s="12"/>
      <c r="E3167" t="b">
        <f t="shared" si="49"/>
        <v>1</v>
      </c>
      <c r="F3167" s="12">
        <v>0</v>
      </c>
    </row>
    <row r="3168" spans="3:6">
      <c r="C3168" s="12"/>
      <c r="D3168" s="12"/>
      <c r="E3168" t="b">
        <f t="shared" si="49"/>
        <v>1</v>
      </c>
      <c r="F3168" s="12">
        <v>0</v>
      </c>
    </row>
    <row r="3169" spans="3:6">
      <c r="C3169" s="12"/>
      <c r="D3169" s="12"/>
      <c r="E3169" t="b">
        <f t="shared" si="49"/>
        <v>1</v>
      </c>
      <c r="F3169" s="12">
        <v>0</v>
      </c>
    </row>
    <row r="3170" spans="3:6">
      <c r="C3170" s="12"/>
      <c r="D3170" s="12"/>
      <c r="E3170" t="b">
        <f t="shared" si="49"/>
        <v>1</v>
      </c>
      <c r="F3170" s="12">
        <v>0</v>
      </c>
    </row>
    <row r="3171" spans="3:6">
      <c r="C3171" s="12"/>
      <c r="D3171" s="12"/>
      <c r="E3171" t="b">
        <f t="shared" si="49"/>
        <v>1</v>
      </c>
      <c r="F3171" s="12">
        <v>0</v>
      </c>
    </row>
    <row r="3172" spans="3:6">
      <c r="C3172" s="12"/>
      <c r="D3172" s="12"/>
      <c r="E3172" t="b">
        <f t="shared" si="49"/>
        <v>1</v>
      </c>
      <c r="F3172" s="12">
        <v>0</v>
      </c>
    </row>
    <row r="3173" spans="3:6">
      <c r="C3173" s="12"/>
      <c r="D3173" s="12"/>
      <c r="E3173" t="b">
        <f t="shared" si="49"/>
        <v>1</v>
      </c>
      <c r="F3173" s="12">
        <v>0</v>
      </c>
    </row>
    <row r="3174" spans="3:6">
      <c r="C3174" s="12"/>
      <c r="D3174" s="12"/>
      <c r="E3174" t="b">
        <f t="shared" si="49"/>
        <v>1</v>
      </c>
      <c r="F3174" s="12">
        <v>0</v>
      </c>
    </row>
    <row r="3175" spans="3:6">
      <c r="C3175" s="12"/>
      <c r="D3175" s="12"/>
      <c r="E3175" t="b">
        <f t="shared" si="49"/>
        <v>1</v>
      </c>
      <c r="F3175" s="12">
        <v>0</v>
      </c>
    </row>
    <row r="3176" spans="3:6">
      <c r="C3176" s="12"/>
      <c r="D3176" s="12"/>
      <c r="E3176" t="b">
        <f t="shared" si="49"/>
        <v>1</v>
      </c>
      <c r="F3176" s="12">
        <v>0</v>
      </c>
    </row>
    <row r="3177" spans="3:6">
      <c r="C3177" s="12"/>
      <c r="D3177" s="12"/>
      <c r="E3177" t="b">
        <f t="shared" si="49"/>
        <v>1</v>
      </c>
      <c r="F3177" s="12">
        <v>0</v>
      </c>
    </row>
    <row r="3178" spans="3:6">
      <c r="C3178" s="12"/>
      <c r="D3178" s="12"/>
      <c r="E3178" t="b">
        <f t="shared" si="49"/>
        <v>1</v>
      </c>
      <c r="F3178" s="12">
        <v>0</v>
      </c>
    </row>
    <row r="3179" spans="3:6">
      <c r="C3179" s="12"/>
      <c r="D3179" s="12"/>
      <c r="E3179" t="b">
        <f t="shared" si="49"/>
        <v>1</v>
      </c>
      <c r="F3179" s="12">
        <v>0</v>
      </c>
    </row>
    <row r="3180" spans="3:6">
      <c r="C3180" s="12"/>
      <c r="D3180" s="12"/>
      <c r="E3180" t="b">
        <f t="shared" si="49"/>
        <v>1</v>
      </c>
      <c r="F3180" s="12">
        <v>0</v>
      </c>
    </row>
    <row r="3181" spans="3:6">
      <c r="C3181" s="12"/>
      <c r="D3181" s="12"/>
      <c r="E3181" t="b">
        <f t="shared" si="49"/>
        <v>1</v>
      </c>
      <c r="F3181" s="12">
        <v>0</v>
      </c>
    </row>
    <row r="3182" spans="3:6">
      <c r="C3182" s="12"/>
      <c r="D3182" s="12"/>
      <c r="E3182" t="b">
        <f t="shared" si="49"/>
        <v>1</v>
      </c>
      <c r="F3182" s="12">
        <v>0</v>
      </c>
    </row>
    <row r="3183" spans="3:6">
      <c r="C3183" s="12"/>
      <c r="D3183" s="12"/>
      <c r="E3183" t="b">
        <f t="shared" si="49"/>
        <v>1</v>
      </c>
      <c r="F3183" s="12">
        <v>0</v>
      </c>
    </row>
    <row r="3184" spans="3:6">
      <c r="C3184" s="12"/>
      <c r="D3184" s="12"/>
      <c r="E3184" t="b">
        <f t="shared" si="49"/>
        <v>1</v>
      </c>
      <c r="F3184" s="12">
        <v>0</v>
      </c>
    </row>
    <row r="3185" spans="3:6">
      <c r="C3185" s="12"/>
      <c r="D3185" s="12"/>
      <c r="E3185" t="b">
        <f t="shared" si="49"/>
        <v>1</v>
      </c>
      <c r="F3185" s="12">
        <v>0</v>
      </c>
    </row>
    <row r="3186" spans="3:6">
      <c r="C3186" s="12"/>
      <c r="D3186" s="12"/>
      <c r="E3186" t="b">
        <f t="shared" si="49"/>
        <v>1</v>
      </c>
      <c r="F3186" s="12">
        <v>0</v>
      </c>
    </row>
    <row r="3187" spans="3:6">
      <c r="C3187" s="12"/>
      <c r="D3187" s="12"/>
      <c r="E3187" t="b">
        <f t="shared" si="49"/>
        <v>1</v>
      </c>
      <c r="F3187" s="12">
        <v>0</v>
      </c>
    </row>
    <row r="3188" spans="3:6">
      <c r="C3188" s="12"/>
      <c r="D3188" s="12"/>
      <c r="E3188" t="b">
        <f t="shared" si="49"/>
        <v>1</v>
      </c>
      <c r="F3188" s="12">
        <v>0</v>
      </c>
    </row>
    <row r="3189" spans="3:6">
      <c r="C3189" s="12"/>
      <c r="D3189" s="12"/>
      <c r="E3189" t="b">
        <f t="shared" si="49"/>
        <v>1</v>
      </c>
      <c r="F3189" s="12">
        <v>0</v>
      </c>
    </row>
    <row r="3190" spans="3:6">
      <c r="C3190" s="12"/>
      <c r="D3190" s="12"/>
      <c r="E3190" t="b">
        <f t="shared" si="49"/>
        <v>1</v>
      </c>
      <c r="F3190" s="12">
        <v>0</v>
      </c>
    </row>
    <row r="3191" spans="3:6">
      <c r="C3191" s="12"/>
      <c r="D3191" s="12"/>
      <c r="E3191" t="b">
        <f t="shared" si="49"/>
        <v>1</v>
      </c>
      <c r="F3191" s="12">
        <v>0</v>
      </c>
    </row>
    <row r="3192" spans="3:6">
      <c r="C3192" s="12"/>
      <c r="D3192" s="12"/>
      <c r="E3192" t="b">
        <f t="shared" si="49"/>
        <v>1</v>
      </c>
      <c r="F3192" s="12">
        <v>0</v>
      </c>
    </row>
    <row r="3193" spans="3:6">
      <c r="C3193" s="12"/>
      <c r="D3193" s="12"/>
      <c r="E3193" t="b">
        <f t="shared" si="49"/>
        <v>1</v>
      </c>
      <c r="F3193" s="12">
        <v>0</v>
      </c>
    </row>
    <row r="3194" spans="3:6">
      <c r="C3194" s="12"/>
      <c r="D3194" s="12"/>
      <c r="E3194" t="b">
        <f t="shared" si="49"/>
        <v>1</v>
      </c>
      <c r="F3194" s="12">
        <v>0</v>
      </c>
    </row>
    <row r="3195" spans="3:6">
      <c r="C3195" s="12"/>
      <c r="D3195" s="12"/>
      <c r="E3195" t="b">
        <f t="shared" si="49"/>
        <v>1</v>
      </c>
      <c r="F3195" s="12">
        <v>0</v>
      </c>
    </row>
    <row r="3196" spans="3:6">
      <c r="C3196" s="12"/>
      <c r="D3196" s="12"/>
      <c r="E3196" t="b">
        <f t="shared" si="49"/>
        <v>1</v>
      </c>
      <c r="F3196" s="12">
        <v>0</v>
      </c>
    </row>
    <row r="3197" spans="3:6">
      <c r="C3197" s="12"/>
      <c r="D3197" s="12"/>
      <c r="E3197" t="b">
        <f t="shared" si="49"/>
        <v>1</v>
      </c>
      <c r="F3197" s="12">
        <v>0</v>
      </c>
    </row>
    <row r="3198" spans="3:6">
      <c r="C3198" s="12"/>
      <c r="D3198" s="12"/>
      <c r="E3198" t="b">
        <f t="shared" si="49"/>
        <v>1</v>
      </c>
      <c r="F3198" s="12">
        <v>0</v>
      </c>
    </row>
    <row r="3199" spans="3:6">
      <c r="C3199" s="12"/>
      <c r="D3199" s="12"/>
      <c r="E3199" t="b">
        <f t="shared" si="49"/>
        <v>1</v>
      </c>
      <c r="F3199" s="12">
        <v>0</v>
      </c>
    </row>
    <row r="3200" spans="3:6">
      <c r="C3200" s="12"/>
      <c r="D3200" s="12"/>
      <c r="E3200" t="b">
        <f t="shared" si="49"/>
        <v>1</v>
      </c>
      <c r="F3200" s="12">
        <v>0</v>
      </c>
    </row>
    <row r="3201" spans="3:6">
      <c r="C3201" s="12"/>
      <c r="D3201" s="12"/>
      <c r="E3201" t="b">
        <f t="shared" si="49"/>
        <v>1</v>
      </c>
      <c r="F3201" s="12">
        <v>0</v>
      </c>
    </row>
    <row r="3202" spans="3:6">
      <c r="C3202" s="12"/>
      <c r="D3202" s="12"/>
      <c r="E3202" t="b">
        <f t="shared" si="49"/>
        <v>1</v>
      </c>
      <c r="F3202" s="12">
        <v>0</v>
      </c>
    </row>
    <row r="3203" spans="3:6">
      <c r="C3203" s="12"/>
      <c r="D3203" s="12"/>
      <c r="E3203" t="b">
        <f t="shared" ref="E3203:E3266" si="50">F3203=C3203</f>
        <v>1</v>
      </c>
      <c r="F3203" s="12">
        <v>0</v>
      </c>
    </row>
    <row r="3204" spans="3:6">
      <c r="C3204" s="12"/>
      <c r="D3204" s="12"/>
      <c r="E3204" t="b">
        <f t="shared" si="50"/>
        <v>1</v>
      </c>
      <c r="F3204" s="12">
        <v>0</v>
      </c>
    </row>
    <row r="3205" spans="3:6">
      <c r="C3205" s="12"/>
      <c r="D3205" s="12"/>
      <c r="E3205" t="b">
        <f t="shared" si="50"/>
        <v>1</v>
      </c>
      <c r="F3205" s="12">
        <v>0</v>
      </c>
    </row>
    <row r="3206" spans="3:6">
      <c r="C3206" s="12"/>
      <c r="D3206" s="12"/>
      <c r="E3206" t="b">
        <f t="shared" si="50"/>
        <v>1</v>
      </c>
      <c r="F3206" s="12">
        <v>0</v>
      </c>
    </row>
    <row r="3207" spans="3:6">
      <c r="C3207" s="12"/>
      <c r="D3207" s="12"/>
      <c r="E3207" t="b">
        <f t="shared" si="50"/>
        <v>1</v>
      </c>
      <c r="F3207" s="12">
        <v>0</v>
      </c>
    </row>
    <row r="3208" spans="3:6">
      <c r="C3208" s="12"/>
      <c r="D3208" s="12"/>
      <c r="E3208" t="b">
        <f t="shared" si="50"/>
        <v>1</v>
      </c>
      <c r="F3208" s="12">
        <v>0</v>
      </c>
    </row>
    <row r="3209" spans="3:6">
      <c r="C3209" s="12"/>
      <c r="D3209" s="12"/>
      <c r="E3209" t="b">
        <f t="shared" si="50"/>
        <v>1</v>
      </c>
      <c r="F3209" s="12">
        <v>0</v>
      </c>
    </row>
    <row r="3210" spans="3:6">
      <c r="C3210" s="12"/>
      <c r="D3210" s="12"/>
      <c r="E3210" t="b">
        <f t="shared" si="50"/>
        <v>1</v>
      </c>
      <c r="F3210" s="12">
        <v>0</v>
      </c>
    </row>
    <row r="3211" spans="3:6">
      <c r="C3211" s="12"/>
      <c r="D3211" s="12"/>
      <c r="E3211" t="b">
        <f t="shared" si="50"/>
        <v>1</v>
      </c>
      <c r="F3211" s="12">
        <v>0</v>
      </c>
    </row>
    <row r="3212" spans="3:6">
      <c r="C3212" s="12"/>
      <c r="D3212" s="12"/>
      <c r="E3212" t="b">
        <f t="shared" si="50"/>
        <v>1</v>
      </c>
      <c r="F3212" s="12">
        <v>0</v>
      </c>
    </row>
    <row r="3213" spans="3:6">
      <c r="C3213" s="12"/>
      <c r="D3213" s="12"/>
      <c r="E3213" t="b">
        <f t="shared" si="50"/>
        <v>1</v>
      </c>
      <c r="F3213" s="12">
        <v>0</v>
      </c>
    </row>
    <row r="3214" spans="3:6">
      <c r="C3214" s="12"/>
      <c r="D3214" s="12"/>
      <c r="E3214" t="b">
        <f t="shared" si="50"/>
        <v>1</v>
      </c>
      <c r="F3214" s="12">
        <v>0</v>
      </c>
    </row>
    <row r="3215" spans="3:6">
      <c r="C3215" s="12"/>
      <c r="D3215" s="12"/>
      <c r="E3215" t="b">
        <f t="shared" si="50"/>
        <v>1</v>
      </c>
      <c r="F3215" s="12">
        <v>0</v>
      </c>
    </row>
    <row r="3216" spans="3:6">
      <c r="C3216" s="12"/>
      <c r="D3216" s="12"/>
      <c r="E3216" t="b">
        <f t="shared" si="50"/>
        <v>1</v>
      </c>
      <c r="F3216" s="12">
        <v>0</v>
      </c>
    </row>
    <row r="3217" spans="3:6">
      <c r="C3217" s="12"/>
      <c r="D3217" s="12"/>
      <c r="E3217" t="b">
        <f t="shared" si="50"/>
        <v>1</v>
      </c>
      <c r="F3217" s="12">
        <v>0</v>
      </c>
    </row>
    <row r="3218" spans="3:6">
      <c r="C3218" s="12"/>
      <c r="D3218" s="12"/>
      <c r="E3218" t="b">
        <f t="shared" si="50"/>
        <v>1</v>
      </c>
      <c r="F3218" s="12">
        <v>0</v>
      </c>
    </row>
    <row r="3219" spans="3:6">
      <c r="C3219" s="12"/>
      <c r="D3219" s="12"/>
      <c r="E3219" t="b">
        <f t="shared" si="50"/>
        <v>1</v>
      </c>
      <c r="F3219" s="12">
        <v>0</v>
      </c>
    </row>
    <row r="3220" spans="3:6">
      <c r="C3220" s="12"/>
      <c r="D3220" s="12"/>
      <c r="E3220" t="b">
        <f t="shared" si="50"/>
        <v>1</v>
      </c>
      <c r="F3220" s="12">
        <v>0</v>
      </c>
    </row>
    <row r="3221" spans="3:6">
      <c r="C3221" s="12"/>
      <c r="D3221" s="12"/>
      <c r="E3221" t="b">
        <f t="shared" si="50"/>
        <v>1</v>
      </c>
      <c r="F3221" s="12">
        <v>0</v>
      </c>
    </row>
    <row r="3222" spans="3:6">
      <c r="C3222" s="12"/>
      <c r="D3222" s="12"/>
      <c r="E3222" t="b">
        <f t="shared" si="50"/>
        <v>1</v>
      </c>
      <c r="F3222" s="12">
        <v>0</v>
      </c>
    </row>
    <row r="3223" spans="3:6">
      <c r="C3223" s="12"/>
      <c r="D3223" s="12"/>
      <c r="E3223" t="b">
        <f t="shared" si="50"/>
        <v>1</v>
      </c>
      <c r="F3223" s="12">
        <v>0</v>
      </c>
    </row>
    <row r="3224" spans="3:6">
      <c r="C3224" s="12"/>
      <c r="D3224" s="12"/>
      <c r="E3224" t="b">
        <f t="shared" si="50"/>
        <v>1</v>
      </c>
      <c r="F3224" s="12">
        <v>0</v>
      </c>
    </row>
    <row r="3225" spans="3:6">
      <c r="C3225" s="12"/>
      <c r="D3225" s="12"/>
      <c r="E3225" t="b">
        <f t="shared" si="50"/>
        <v>1</v>
      </c>
      <c r="F3225" s="12">
        <v>0</v>
      </c>
    </row>
    <row r="3226" spans="3:6">
      <c r="C3226" s="12"/>
      <c r="D3226" s="12"/>
      <c r="E3226" t="b">
        <f t="shared" si="50"/>
        <v>1</v>
      </c>
      <c r="F3226" s="12">
        <v>0</v>
      </c>
    </row>
    <row r="3227" spans="3:6">
      <c r="C3227" s="12"/>
      <c r="D3227" s="12"/>
      <c r="E3227" t="b">
        <f t="shared" si="50"/>
        <v>1</v>
      </c>
      <c r="F3227" s="12">
        <v>0</v>
      </c>
    </row>
    <row r="3228" spans="3:6">
      <c r="C3228" s="12"/>
      <c r="D3228" s="12"/>
      <c r="E3228" t="b">
        <f t="shared" si="50"/>
        <v>1</v>
      </c>
      <c r="F3228" s="12">
        <v>0</v>
      </c>
    </row>
    <row r="3229" spans="3:6">
      <c r="C3229" s="12"/>
      <c r="D3229" s="12"/>
      <c r="E3229" t="b">
        <f t="shared" si="50"/>
        <v>1</v>
      </c>
      <c r="F3229" s="12">
        <v>0</v>
      </c>
    </row>
    <row r="3230" spans="3:6">
      <c r="C3230" s="12"/>
      <c r="D3230" s="12"/>
      <c r="E3230" t="b">
        <f t="shared" si="50"/>
        <v>1</v>
      </c>
      <c r="F3230" s="12">
        <v>0</v>
      </c>
    </row>
    <row r="3231" spans="3:6">
      <c r="C3231" s="12"/>
      <c r="D3231" s="12"/>
      <c r="E3231" t="b">
        <f t="shared" si="50"/>
        <v>1</v>
      </c>
      <c r="F3231" s="12">
        <v>0</v>
      </c>
    </row>
    <row r="3232" spans="3:6">
      <c r="C3232" s="12"/>
      <c r="D3232" s="12"/>
      <c r="E3232" t="b">
        <f t="shared" si="50"/>
        <v>1</v>
      </c>
      <c r="F3232" s="12">
        <v>0</v>
      </c>
    </row>
    <row r="3233" spans="3:6">
      <c r="C3233" s="12"/>
      <c r="D3233" s="12"/>
      <c r="E3233" t="b">
        <f t="shared" si="50"/>
        <v>1</v>
      </c>
      <c r="F3233" s="12">
        <v>0</v>
      </c>
    </row>
    <row r="3234" spans="3:6">
      <c r="C3234" s="12"/>
      <c r="D3234" s="12"/>
      <c r="E3234" t="b">
        <f t="shared" si="50"/>
        <v>1</v>
      </c>
      <c r="F3234" s="12">
        <v>0</v>
      </c>
    </row>
    <row r="3235" spans="3:6">
      <c r="C3235" s="12"/>
      <c r="D3235" s="12"/>
      <c r="E3235" t="b">
        <f t="shared" si="50"/>
        <v>1</v>
      </c>
      <c r="F3235" s="12">
        <v>0</v>
      </c>
    </row>
    <row r="3236" spans="3:6">
      <c r="C3236" s="12"/>
      <c r="D3236" s="12"/>
      <c r="E3236" t="b">
        <f t="shared" si="50"/>
        <v>1</v>
      </c>
      <c r="F3236" s="12">
        <v>0</v>
      </c>
    </row>
    <row r="3237" spans="3:6">
      <c r="C3237" s="12"/>
      <c r="D3237" s="12"/>
      <c r="E3237" t="b">
        <f t="shared" si="50"/>
        <v>1</v>
      </c>
      <c r="F3237" s="12">
        <v>0</v>
      </c>
    </row>
    <row r="3238" spans="3:6">
      <c r="C3238" s="12"/>
      <c r="D3238" s="12"/>
      <c r="E3238" t="b">
        <f t="shared" si="50"/>
        <v>1</v>
      </c>
      <c r="F3238" s="12">
        <v>0</v>
      </c>
    </row>
    <row r="3239" spans="3:6">
      <c r="C3239" s="12"/>
      <c r="D3239" s="12"/>
      <c r="E3239" t="b">
        <f t="shared" si="50"/>
        <v>1</v>
      </c>
      <c r="F3239" s="12">
        <v>0</v>
      </c>
    </row>
    <row r="3240" spans="3:6">
      <c r="C3240" s="12"/>
      <c r="D3240" s="12"/>
      <c r="E3240" t="b">
        <f t="shared" si="50"/>
        <v>1</v>
      </c>
      <c r="F3240" s="12">
        <v>0</v>
      </c>
    </row>
    <row r="3241" spans="3:6">
      <c r="C3241" s="12"/>
      <c r="D3241" s="12"/>
      <c r="E3241" t="b">
        <f t="shared" si="50"/>
        <v>1</v>
      </c>
      <c r="F3241" s="12">
        <v>0</v>
      </c>
    </row>
    <row r="3242" spans="3:6">
      <c r="C3242" s="12"/>
      <c r="D3242" s="12"/>
      <c r="E3242" t="b">
        <f t="shared" si="50"/>
        <v>1</v>
      </c>
      <c r="F3242" s="12">
        <v>0</v>
      </c>
    </row>
    <row r="3243" spans="3:6">
      <c r="C3243" s="12"/>
      <c r="D3243" s="12"/>
      <c r="E3243" t="b">
        <f t="shared" si="50"/>
        <v>1</v>
      </c>
      <c r="F3243" s="12">
        <v>0</v>
      </c>
    </row>
    <row r="3244" spans="3:6">
      <c r="C3244" s="12"/>
      <c r="D3244" s="12"/>
      <c r="E3244" t="b">
        <f t="shared" si="50"/>
        <v>1</v>
      </c>
      <c r="F3244" s="12">
        <v>0</v>
      </c>
    </row>
    <row r="3245" spans="3:6">
      <c r="C3245" s="12"/>
      <c r="D3245" s="12"/>
      <c r="E3245" t="b">
        <f t="shared" si="50"/>
        <v>1</v>
      </c>
      <c r="F3245" s="12">
        <v>0</v>
      </c>
    </row>
    <row r="3246" spans="3:6">
      <c r="C3246" s="12"/>
      <c r="D3246" s="12"/>
      <c r="E3246" t="b">
        <f t="shared" si="50"/>
        <v>1</v>
      </c>
      <c r="F3246" s="12">
        <v>0</v>
      </c>
    </row>
    <row r="3247" spans="3:6">
      <c r="C3247" s="12"/>
      <c r="D3247" s="12"/>
      <c r="E3247" t="b">
        <f t="shared" si="50"/>
        <v>1</v>
      </c>
      <c r="F3247" s="12">
        <v>0</v>
      </c>
    </row>
    <row r="3248" spans="3:6">
      <c r="C3248" s="12"/>
      <c r="D3248" s="12"/>
      <c r="E3248" t="b">
        <f t="shared" si="50"/>
        <v>1</v>
      </c>
      <c r="F3248" s="12">
        <v>0</v>
      </c>
    </row>
    <row r="3249" spans="3:6">
      <c r="C3249" s="12"/>
      <c r="D3249" s="12"/>
      <c r="E3249" t="b">
        <f t="shared" si="50"/>
        <v>1</v>
      </c>
      <c r="F3249" s="12">
        <v>0</v>
      </c>
    </row>
    <row r="3250" spans="3:6">
      <c r="C3250" s="12"/>
      <c r="D3250" s="12"/>
      <c r="E3250" t="b">
        <f t="shared" si="50"/>
        <v>1</v>
      </c>
      <c r="F3250" s="12">
        <v>0</v>
      </c>
    </row>
    <row r="3251" spans="3:6">
      <c r="C3251" s="12"/>
      <c r="D3251" s="12"/>
      <c r="E3251" t="b">
        <f t="shared" si="50"/>
        <v>1</v>
      </c>
      <c r="F3251" s="12">
        <v>0</v>
      </c>
    </row>
    <row r="3252" spans="3:6">
      <c r="C3252" s="12"/>
      <c r="D3252" s="12"/>
      <c r="E3252" t="b">
        <f t="shared" si="50"/>
        <v>1</v>
      </c>
      <c r="F3252" s="12">
        <v>0</v>
      </c>
    </row>
    <row r="3253" spans="3:6">
      <c r="C3253" s="12"/>
      <c r="D3253" s="12"/>
      <c r="E3253" t="b">
        <f t="shared" si="50"/>
        <v>1</v>
      </c>
      <c r="F3253" s="12">
        <v>0</v>
      </c>
    </row>
    <row r="3254" spans="3:6">
      <c r="C3254" s="12"/>
      <c r="D3254" s="12"/>
      <c r="E3254" t="b">
        <f t="shared" si="50"/>
        <v>1</v>
      </c>
      <c r="F3254" s="12">
        <v>0</v>
      </c>
    </row>
    <row r="3255" spans="3:6">
      <c r="C3255" s="12"/>
      <c r="D3255" s="12"/>
      <c r="E3255" t="b">
        <f t="shared" si="50"/>
        <v>1</v>
      </c>
      <c r="F3255" s="12">
        <v>0</v>
      </c>
    </row>
    <row r="3256" spans="3:6">
      <c r="C3256" s="12"/>
      <c r="D3256" s="12"/>
      <c r="E3256" t="b">
        <f t="shared" si="50"/>
        <v>1</v>
      </c>
      <c r="F3256" s="12">
        <v>0</v>
      </c>
    </row>
    <row r="3257" spans="3:6">
      <c r="C3257" s="12"/>
      <c r="D3257" s="12"/>
      <c r="E3257" t="b">
        <f t="shared" si="50"/>
        <v>1</v>
      </c>
      <c r="F3257" s="12">
        <v>0</v>
      </c>
    </row>
    <row r="3258" spans="3:6">
      <c r="C3258" s="12"/>
      <c r="D3258" s="12"/>
      <c r="E3258" t="b">
        <f t="shared" si="50"/>
        <v>1</v>
      </c>
      <c r="F3258" s="12">
        <v>0</v>
      </c>
    </row>
    <row r="3259" spans="3:6">
      <c r="C3259" s="12"/>
      <c r="D3259" s="12"/>
      <c r="E3259" t="b">
        <f t="shared" si="50"/>
        <v>1</v>
      </c>
      <c r="F3259" s="12">
        <v>0</v>
      </c>
    </row>
    <row r="3260" spans="3:6">
      <c r="C3260" s="12"/>
      <c r="D3260" s="12"/>
      <c r="E3260" t="b">
        <f t="shared" si="50"/>
        <v>1</v>
      </c>
      <c r="F3260" s="12">
        <v>0</v>
      </c>
    </row>
    <row r="3261" spans="3:6">
      <c r="C3261" s="12"/>
      <c r="D3261" s="12"/>
      <c r="E3261" t="b">
        <f t="shared" si="50"/>
        <v>1</v>
      </c>
      <c r="F3261" s="12">
        <v>0</v>
      </c>
    </row>
    <row r="3262" spans="3:6">
      <c r="C3262" s="12"/>
      <c r="D3262" s="12"/>
      <c r="E3262" t="b">
        <f t="shared" si="50"/>
        <v>1</v>
      </c>
      <c r="F3262" s="12">
        <v>0</v>
      </c>
    </row>
    <row r="3263" spans="3:6">
      <c r="C3263" s="12"/>
      <c r="D3263" s="12"/>
      <c r="E3263" t="b">
        <f t="shared" si="50"/>
        <v>1</v>
      </c>
      <c r="F3263" s="12">
        <v>0</v>
      </c>
    </row>
    <row r="3264" spans="3:6">
      <c r="C3264" s="12"/>
      <c r="D3264" s="12"/>
      <c r="E3264" t="b">
        <f t="shared" si="50"/>
        <v>1</v>
      </c>
      <c r="F3264" s="12">
        <v>0</v>
      </c>
    </row>
    <row r="3265" spans="3:6">
      <c r="C3265" s="12"/>
      <c r="D3265" s="12"/>
      <c r="E3265" t="b">
        <f t="shared" si="50"/>
        <v>1</v>
      </c>
      <c r="F3265" s="12">
        <v>0</v>
      </c>
    </row>
    <row r="3266" spans="3:6">
      <c r="C3266" s="12"/>
      <c r="D3266" s="12"/>
      <c r="E3266" t="b">
        <f t="shared" si="50"/>
        <v>1</v>
      </c>
      <c r="F3266" s="12">
        <v>0</v>
      </c>
    </row>
    <row r="3267" spans="3:6">
      <c r="C3267" s="12"/>
      <c r="D3267" s="12"/>
      <c r="E3267" t="b">
        <f t="shared" ref="E3267:E3330" si="51">F3267=C3267</f>
        <v>1</v>
      </c>
      <c r="F3267" s="12">
        <v>0</v>
      </c>
    </row>
    <row r="3268" spans="3:6">
      <c r="C3268" s="12"/>
      <c r="D3268" s="12"/>
      <c r="E3268" t="b">
        <f t="shared" si="51"/>
        <v>1</v>
      </c>
      <c r="F3268" s="12">
        <v>0</v>
      </c>
    </row>
    <row r="3269" spans="3:6">
      <c r="C3269" s="12"/>
      <c r="D3269" s="12"/>
      <c r="E3269" t="b">
        <f t="shared" si="51"/>
        <v>1</v>
      </c>
      <c r="F3269" s="12">
        <v>0</v>
      </c>
    </row>
    <row r="3270" spans="3:6">
      <c r="C3270" s="12"/>
      <c r="D3270" s="12"/>
      <c r="E3270" t="b">
        <f t="shared" si="51"/>
        <v>1</v>
      </c>
      <c r="F3270" s="12">
        <v>0</v>
      </c>
    </row>
    <row r="3271" spans="3:6">
      <c r="C3271" s="12"/>
      <c r="D3271" s="12"/>
      <c r="E3271" t="b">
        <f t="shared" si="51"/>
        <v>1</v>
      </c>
      <c r="F3271" s="12">
        <v>0</v>
      </c>
    </row>
    <row r="3272" spans="3:6">
      <c r="C3272" s="12"/>
      <c r="D3272" s="12"/>
      <c r="E3272" t="b">
        <f t="shared" si="51"/>
        <v>1</v>
      </c>
      <c r="F3272" s="12">
        <v>0</v>
      </c>
    </row>
    <row r="3273" spans="3:6">
      <c r="C3273" s="12"/>
      <c r="D3273" s="12"/>
      <c r="E3273" t="b">
        <f t="shared" si="51"/>
        <v>1</v>
      </c>
      <c r="F3273" s="12">
        <v>0</v>
      </c>
    </row>
    <row r="3274" spans="3:6">
      <c r="C3274" s="12"/>
      <c r="D3274" s="12"/>
      <c r="E3274" t="b">
        <f t="shared" si="51"/>
        <v>1</v>
      </c>
      <c r="F3274" s="12">
        <v>0</v>
      </c>
    </row>
    <row r="3275" spans="3:6">
      <c r="C3275" s="12"/>
      <c r="D3275" s="12"/>
      <c r="E3275" t="b">
        <f t="shared" si="51"/>
        <v>1</v>
      </c>
      <c r="F3275" s="12">
        <v>0</v>
      </c>
    </row>
    <row r="3276" spans="3:6">
      <c r="C3276" s="12"/>
      <c r="D3276" s="12"/>
      <c r="E3276" t="b">
        <f t="shared" si="51"/>
        <v>1</v>
      </c>
      <c r="F3276" s="12">
        <v>0</v>
      </c>
    </row>
    <row r="3277" spans="3:6">
      <c r="C3277" s="12"/>
      <c r="D3277" s="12"/>
      <c r="E3277" t="b">
        <f t="shared" si="51"/>
        <v>1</v>
      </c>
      <c r="F3277" s="12">
        <v>0</v>
      </c>
    </row>
    <row r="3278" spans="3:6">
      <c r="C3278" s="12"/>
      <c r="D3278" s="12"/>
      <c r="E3278" t="b">
        <f t="shared" si="51"/>
        <v>1</v>
      </c>
      <c r="F3278" s="12">
        <v>0</v>
      </c>
    </row>
    <row r="3279" spans="3:6">
      <c r="C3279" s="12"/>
      <c r="D3279" s="12"/>
      <c r="E3279" t="b">
        <f t="shared" si="51"/>
        <v>1</v>
      </c>
      <c r="F3279" s="12">
        <v>0</v>
      </c>
    </row>
    <row r="3280" spans="3:6">
      <c r="C3280" s="12"/>
      <c r="D3280" s="12"/>
      <c r="E3280" t="b">
        <f t="shared" si="51"/>
        <v>1</v>
      </c>
      <c r="F3280" s="12">
        <v>0</v>
      </c>
    </row>
    <row r="3281" spans="3:6">
      <c r="C3281" s="12"/>
      <c r="D3281" s="12"/>
      <c r="E3281" t="b">
        <f t="shared" si="51"/>
        <v>1</v>
      </c>
      <c r="F3281" s="12">
        <v>0</v>
      </c>
    </row>
    <row r="3282" spans="3:6">
      <c r="C3282" s="12"/>
      <c r="D3282" s="12"/>
      <c r="E3282" t="b">
        <f t="shared" si="51"/>
        <v>1</v>
      </c>
      <c r="F3282" s="12">
        <v>0</v>
      </c>
    </row>
    <row r="3283" spans="3:6">
      <c r="C3283" s="12"/>
      <c r="D3283" s="12"/>
      <c r="E3283" t="b">
        <f t="shared" si="51"/>
        <v>1</v>
      </c>
      <c r="F3283" s="12">
        <v>0</v>
      </c>
    </row>
    <row r="3284" spans="3:6">
      <c r="C3284" s="12"/>
      <c r="D3284" s="12"/>
      <c r="E3284" t="b">
        <f t="shared" si="51"/>
        <v>1</v>
      </c>
      <c r="F3284" s="12">
        <v>0</v>
      </c>
    </row>
    <row r="3285" spans="3:6">
      <c r="C3285" s="12"/>
      <c r="D3285" s="12"/>
      <c r="E3285" t="b">
        <f t="shared" si="51"/>
        <v>1</v>
      </c>
      <c r="F3285" s="12">
        <v>0</v>
      </c>
    </row>
    <row r="3286" spans="3:6">
      <c r="C3286" s="12"/>
      <c r="D3286" s="12"/>
      <c r="E3286" t="b">
        <f t="shared" si="51"/>
        <v>1</v>
      </c>
      <c r="F3286" s="12">
        <v>0</v>
      </c>
    </row>
    <row r="3287" spans="3:6">
      <c r="C3287" s="12"/>
      <c r="D3287" s="12"/>
      <c r="E3287" t="b">
        <f t="shared" si="51"/>
        <v>1</v>
      </c>
      <c r="F3287" s="12">
        <v>0</v>
      </c>
    </row>
    <row r="3288" spans="3:6">
      <c r="C3288" s="12"/>
      <c r="D3288" s="12"/>
      <c r="E3288" t="b">
        <f t="shared" si="51"/>
        <v>1</v>
      </c>
      <c r="F3288" s="12">
        <v>0</v>
      </c>
    </row>
    <row r="3289" spans="3:6">
      <c r="C3289" s="12"/>
      <c r="D3289" s="12"/>
      <c r="E3289" t="b">
        <f t="shared" si="51"/>
        <v>1</v>
      </c>
      <c r="F3289" s="12">
        <v>0</v>
      </c>
    </row>
    <row r="3290" spans="3:6">
      <c r="C3290" s="12"/>
      <c r="D3290" s="12"/>
      <c r="E3290" t="b">
        <f t="shared" si="51"/>
        <v>1</v>
      </c>
      <c r="F3290" s="12">
        <v>0</v>
      </c>
    </row>
    <row r="3291" spans="3:6">
      <c r="C3291" s="12"/>
      <c r="D3291" s="12"/>
      <c r="E3291" t="b">
        <f t="shared" si="51"/>
        <v>1</v>
      </c>
      <c r="F3291" s="12">
        <v>0</v>
      </c>
    </row>
    <row r="3292" spans="3:6">
      <c r="C3292" s="12"/>
      <c r="D3292" s="12"/>
      <c r="E3292" t="b">
        <f t="shared" si="51"/>
        <v>1</v>
      </c>
      <c r="F3292" s="12">
        <v>0</v>
      </c>
    </row>
    <row r="3293" spans="3:6">
      <c r="C3293" s="12"/>
      <c r="D3293" s="12"/>
      <c r="E3293" t="b">
        <f t="shared" si="51"/>
        <v>1</v>
      </c>
      <c r="F3293" s="12">
        <v>0</v>
      </c>
    </row>
    <row r="3294" spans="3:6">
      <c r="C3294" s="12"/>
      <c r="D3294" s="12"/>
      <c r="E3294" t="b">
        <f t="shared" si="51"/>
        <v>1</v>
      </c>
      <c r="F3294" s="12">
        <v>0</v>
      </c>
    </row>
    <row r="3295" spans="3:6">
      <c r="C3295" s="12"/>
      <c r="D3295" s="12"/>
      <c r="E3295" t="b">
        <f t="shared" si="51"/>
        <v>1</v>
      </c>
      <c r="F3295" s="12">
        <v>0</v>
      </c>
    </row>
    <row r="3296" spans="3:6">
      <c r="C3296" s="12"/>
      <c r="D3296" s="12"/>
      <c r="E3296" t="b">
        <f t="shared" si="51"/>
        <v>1</v>
      </c>
      <c r="F3296" s="12">
        <v>0</v>
      </c>
    </row>
    <row r="3297" spans="3:6">
      <c r="C3297" s="12"/>
      <c r="D3297" s="12"/>
      <c r="E3297" t="b">
        <f t="shared" si="51"/>
        <v>1</v>
      </c>
      <c r="F3297" s="12">
        <v>0</v>
      </c>
    </row>
    <row r="3298" spans="3:6">
      <c r="C3298" s="12"/>
      <c r="D3298" s="12"/>
      <c r="E3298" t="b">
        <f t="shared" si="51"/>
        <v>1</v>
      </c>
      <c r="F3298" s="12">
        <v>0</v>
      </c>
    </row>
    <row r="3299" spans="3:6">
      <c r="C3299" s="12"/>
      <c r="D3299" s="12"/>
      <c r="E3299" t="b">
        <f t="shared" si="51"/>
        <v>1</v>
      </c>
      <c r="F3299" s="12">
        <v>0</v>
      </c>
    </row>
    <row r="3300" spans="3:6">
      <c r="C3300" s="12"/>
      <c r="D3300" s="12"/>
      <c r="E3300" t="b">
        <f t="shared" si="51"/>
        <v>1</v>
      </c>
      <c r="F3300" s="12">
        <v>0</v>
      </c>
    </row>
    <row r="3301" spans="3:6">
      <c r="C3301" s="12"/>
      <c r="D3301" s="12"/>
      <c r="E3301" t="b">
        <f t="shared" si="51"/>
        <v>1</v>
      </c>
      <c r="F3301" s="12">
        <v>0</v>
      </c>
    </row>
    <row r="3302" spans="3:6">
      <c r="C3302" s="12"/>
      <c r="D3302" s="12"/>
      <c r="E3302" t="b">
        <f t="shared" si="51"/>
        <v>1</v>
      </c>
      <c r="F3302" s="12">
        <v>0</v>
      </c>
    </row>
    <row r="3303" spans="3:6">
      <c r="C3303" s="12"/>
      <c r="D3303" s="12"/>
      <c r="E3303" t="b">
        <f t="shared" si="51"/>
        <v>1</v>
      </c>
      <c r="F3303" s="12">
        <v>0</v>
      </c>
    </row>
    <row r="3304" spans="3:6">
      <c r="C3304" s="12"/>
      <c r="D3304" s="12"/>
      <c r="E3304" t="b">
        <f t="shared" si="51"/>
        <v>1</v>
      </c>
      <c r="F3304" s="12">
        <v>0</v>
      </c>
    </row>
    <row r="3305" spans="3:6">
      <c r="C3305" s="12"/>
      <c r="D3305" s="12"/>
      <c r="E3305" t="b">
        <f t="shared" si="51"/>
        <v>1</v>
      </c>
      <c r="F3305" s="12">
        <v>0</v>
      </c>
    </row>
    <row r="3306" spans="3:6">
      <c r="C3306" s="12"/>
      <c r="D3306" s="12"/>
      <c r="E3306" t="b">
        <f t="shared" si="51"/>
        <v>1</v>
      </c>
      <c r="F3306" s="12">
        <v>0</v>
      </c>
    </row>
    <row r="3307" spans="3:6">
      <c r="C3307" s="12"/>
      <c r="D3307" s="12"/>
      <c r="E3307" t="b">
        <f t="shared" si="51"/>
        <v>1</v>
      </c>
      <c r="F3307" s="12">
        <v>0</v>
      </c>
    </row>
    <row r="3308" spans="3:6">
      <c r="C3308" s="12"/>
      <c r="D3308" s="12"/>
      <c r="E3308" t="b">
        <f t="shared" si="51"/>
        <v>1</v>
      </c>
      <c r="F3308" s="12">
        <v>0</v>
      </c>
    </row>
    <row r="3309" spans="3:6">
      <c r="C3309" s="12"/>
      <c r="D3309" s="12"/>
      <c r="E3309" t="b">
        <f t="shared" si="51"/>
        <v>1</v>
      </c>
      <c r="F3309" s="12">
        <v>0</v>
      </c>
    </row>
    <row r="3310" spans="3:6">
      <c r="C3310" s="12"/>
      <c r="D3310" s="12"/>
      <c r="E3310" t="b">
        <f t="shared" si="51"/>
        <v>1</v>
      </c>
      <c r="F3310" s="12">
        <v>0</v>
      </c>
    </row>
    <row r="3311" spans="3:6">
      <c r="C3311" s="12"/>
      <c r="D3311" s="12"/>
      <c r="E3311" t="b">
        <f t="shared" si="51"/>
        <v>1</v>
      </c>
      <c r="F3311" s="12">
        <v>0</v>
      </c>
    </row>
    <row r="3312" spans="3:6">
      <c r="C3312" s="12"/>
      <c r="D3312" s="12"/>
      <c r="E3312" t="b">
        <f t="shared" si="51"/>
        <v>1</v>
      </c>
      <c r="F3312" s="12">
        <v>0</v>
      </c>
    </row>
    <row r="3313" spans="3:6">
      <c r="C3313" s="12"/>
      <c r="D3313" s="12"/>
      <c r="E3313" t="b">
        <f t="shared" si="51"/>
        <v>1</v>
      </c>
      <c r="F3313" s="12">
        <v>0</v>
      </c>
    </row>
    <row r="3314" spans="3:6">
      <c r="C3314" s="12"/>
      <c r="D3314" s="12"/>
      <c r="E3314" t="b">
        <f t="shared" si="51"/>
        <v>1</v>
      </c>
      <c r="F3314" s="12">
        <v>0</v>
      </c>
    </row>
    <row r="3315" spans="3:6">
      <c r="C3315" s="12"/>
      <c r="D3315" s="12"/>
      <c r="E3315" t="b">
        <f t="shared" si="51"/>
        <v>1</v>
      </c>
      <c r="F3315" s="12">
        <v>0</v>
      </c>
    </row>
    <row r="3316" spans="3:6">
      <c r="C3316" s="12"/>
      <c r="D3316" s="12"/>
      <c r="E3316" t="b">
        <f t="shared" si="51"/>
        <v>1</v>
      </c>
      <c r="F3316" s="12">
        <v>0</v>
      </c>
    </row>
    <row r="3317" spans="3:6">
      <c r="C3317" s="12"/>
      <c r="D3317" s="12"/>
      <c r="E3317" t="b">
        <f t="shared" si="51"/>
        <v>1</v>
      </c>
      <c r="F3317" s="12">
        <v>0</v>
      </c>
    </row>
    <row r="3318" spans="3:6">
      <c r="C3318" s="12"/>
      <c r="D3318" s="12"/>
      <c r="E3318" t="b">
        <f t="shared" si="51"/>
        <v>1</v>
      </c>
      <c r="F3318" s="12">
        <v>0</v>
      </c>
    </row>
    <row r="3319" spans="3:6">
      <c r="C3319" s="12"/>
      <c r="D3319" s="12"/>
      <c r="E3319" t="b">
        <f t="shared" si="51"/>
        <v>1</v>
      </c>
      <c r="F3319" s="12">
        <v>0</v>
      </c>
    </row>
    <row r="3320" spans="3:6">
      <c r="C3320" s="12"/>
      <c r="D3320" s="12"/>
      <c r="E3320" t="b">
        <f t="shared" si="51"/>
        <v>1</v>
      </c>
      <c r="F3320" s="12">
        <v>0</v>
      </c>
    </row>
    <row r="3321" spans="3:6">
      <c r="C3321" s="12"/>
      <c r="D3321" s="12"/>
      <c r="E3321" t="b">
        <f t="shared" si="51"/>
        <v>1</v>
      </c>
      <c r="F3321" s="12">
        <v>0</v>
      </c>
    </row>
    <row r="3322" spans="3:6">
      <c r="C3322" s="12"/>
      <c r="D3322" s="12"/>
      <c r="E3322" t="b">
        <f t="shared" si="51"/>
        <v>1</v>
      </c>
      <c r="F3322" s="12">
        <v>0</v>
      </c>
    </row>
    <row r="3323" spans="3:6">
      <c r="C3323" s="12"/>
      <c r="D3323" s="12"/>
      <c r="E3323" t="b">
        <f t="shared" si="51"/>
        <v>1</v>
      </c>
      <c r="F3323" s="12">
        <v>0</v>
      </c>
    </row>
    <row r="3324" spans="3:6">
      <c r="C3324" s="12"/>
      <c r="D3324" s="12"/>
      <c r="E3324" t="b">
        <f t="shared" si="51"/>
        <v>1</v>
      </c>
      <c r="F3324" s="12">
        <v>0</v>
      </c>
    </row>
    <row r="3325" spans="3:6">
      <c r="C3325" s="12"/>
      <c r="D3325" s="12"/>
      <c r="E3325" t="b">
        <f t="shared" si="51"/>
        <v>1</v>
      </c>
      <c r="F3325" s="12">
        <v>0</v>
      </c>
    </row>
    <row r="3326" spans="3:6">
      <c r="C3326" s="12"/>
      <c r="D3326" s="12"/>
      <c r="E3326" t="b">
        <f t="shared" si="51"/>
        <v>1</v>
      </c>
      <c r="F3326" s="12">
        <v>0</v>
      </c>
    </row>
    <row r="3327" spans="3:6">
      <c r="C3327" s="12"/>
      <c r="D3327" s="12"/>
      <c r="E3327" t="b">
        <f t="shared" si="51"/>
        <v>1</v>
      </c>
      <c r="F3327" s="12">
        <v>0</v>
      </c>
    </row>
    <row r="3328" spans="3:6">
      <c r="C3328" s="12"/>
      <c r="D3328" s="12"/>
      <c r="E3328" t="b">
        <f t="shared" si="51"/>
        <v>1</v>
      </c>
      <c r="F3328" s="12">
        <v>0</v>
      </c>
    </row>
    <row r="3329" spans="3:6">
      <c r="C3329" s="12"/>
      <c r="D3329" s="12"/>
      <c r="E3329" t="b">
        <f t="shared" si="51"/>
        <v>1</v>
      </c>
      <c r="F3329" s="12">
        <v>0</v>
      </c>
    </row>
    <row r="3330" spans="3:6">
      <c r="C3330" s="12"/>
      <c r="D3330" s="12"/>
      <c r="E3330" t="b">
        <f t="shared" si="51"/>
        <v>1</v>
      </c>
      <c r="F3330" s="12">
        <v>0</v>
      </c>
    </row>
    <row r="3331" spans="3:6">
      <c r="C3331" s="12"/>
      <c r="D3331" s="12"/>
      <c r="E3331" t="b">
        <f t="shared" ref="E3331:E3394" si="52">F3331=C3331</f>
        <v>1</v>
      </c>
      <c r="F3331" s="12">
        <v>0</v>
      </c>
    </row>
    <row r="3332" spans="3:6">
      <c r="C3332" s="12"/>
      <c r="D3332" s="12"/>
      <c r="E3332" t="b">
        <f t="shared" si="52"/>
        <v>1</v>
      </c>
      <c r="F3332" s="12">
        <v>0</v>
      </c>
    </row>
    <row r="3333" spans="3:6">
      <c r="C3333" s="12"/>
      <c r="D3333" s="12"/>
      <c r="E3333" t="b">
        <f t="shared" si="52"/>
        <v>1</v>
      </c>
      <c r="F3333" s="12">
        <v>0</v>
      </c>
    </row>
    <row r="3334" spans="3:6">
      <c r="C3334" s="12"/>
      <c r="D3334" s="12"/>
      <c r="E3334" t="b">
        <f t="shared" si="52"/>
        <v>1</v>
      </c>
      <c r="F3334" s="12">
        <v>0</v>
      </c>
    </row>
    <row r="3335" spans="3:6">
      <c r="C3335" s="12"/>
      <c r="D3335" s="12"/>
      <c r="E3335" t="b">
        <f t="shared" si="52"/>
        <v>1</v>
      </c>
      <c r="F3335" s="12">
        <v>0</v>
      </c>
    </row>
    <row r="3336" spans="3:6">
      <c r="C3336" s="12"/>
      <c r="D3336" s="12"/>
      <c r="E3336" t="b">
        <f t="shared" si="52"/>
        <v>1</v>
      </c>
      <c r="F3336" s="12">
        <v>0</v>
      </c>
    </row>
    <row r="3337" spans="3:6">
      <c r="C3337" s="12"/>
      <c r="D3337" s="12"/>
      <c r="E3337" t="b">
        <f t="shared" si="52"/>
        <v>1</v>
      </c>
      <c r="F3337" s="12">
        <v>0</v>
      </c>
    </row>
    <row r="3338" spans="3:6">
      <c r="C3338" s="12"/>
      <c r="D3338" s="12"/>
      <c r="E3338" t="b">
        <f t="shared" si="52"/>
        <v>1</v>
      </c>
      <c r="F3338" s="12">
        <v>0</v>
      </c>
    </row>
    <row r="3339" spans="3:6">
      <c r="C3339" s="12"/>
      <c r="D3339" s="12"/>
      <c r="E3339" t="b">
        <f t="shared" si="52"/>
        <v>1</v>
      </c>
      <c r="F3339" s="12">
        <v>0</v>
      </c>
    </row>
    <row r="3340" spans="3:6">
      <c r="C3340" s="12"/>
      <c r="D3340" s="12"/>
      <c r="E3340" t="b">
        <f t="shared" si="52"/>
        <v>1</v>
      </c>
      <c r="F3340" s="12">
        <v>0</v>
      </c>
    </row>
    <row r="3341" spans="3:6">
      <c r="C3341" s="12"/>
      <c r="D3341" s="12"/>
      <c r="E3341" t="b">
        <f t="shared" si="52"/>
        <v>1</v>
      </c>
      <c r="F3341" s="12">
        <v>0</v>
      </c>
    </row>
    <row r="3342" spans="3:6">
      <c r="C3342" s="12"/>
      <c r="D3342" s="12"/>
      <c r="E3342" t="b">
        <f t="shared" si="52"/>
        <v>1</v>
      </c>
      <c r="F3342" s="12">
        <v>0</v>
      </c>
    </row>
    <row r="3343" spans="3:6">
      <c r="C3343" s="12"/>
      <c r="D3343" s="12"/>
      <c r="E3343" t="b">
        <f t="shared" si="52"/>
        <v>1</v>
      </c>
      <c r="F3343" s="12">
        <v>0</v>
      </c>
    </row>
    <row r="3344" spans="3:6">
      <c r="C3344" s="12"/>
      <c r="D3344" s="12"/>
      <c r="E3344" t="b">
        <f t="shared" si="52"/>
        <v>1</v>
      </c>
      <c r="F3344" s="12">
        <v>0</v>
      </c>
    </row>
    <row r="3345" spans="3:6">
      <c r="C3345" s="12"/>
      <c r="D3345" s="12"/>
      <c r="E3345" t="b">
        <f t="shared" si="52"/>
        <v>1</v>
      </c>
      <c r="F3345" s="12">
        <v>0</v>
      </c>
    </row>
    <row r="3346" spans="3:6">
      <c r="C3346" s="12"/>
      <c r="D3346" s="12"/>
      <c r="E3346" t="b">
        <f t="shared" si="52"/>
        <v>1</v>
      </c>
      <c r="F3346" s="12">
        <v>0</v>
      </c>
    </row>
    <row r="3347" spans="3:6">
      <c r="C3347" s="12"/>
      <c r="D3347" s="12"/>
      <c r="E3347" t="b">
        <f t="shared" si="52"/>
        <v>1</v>
      </c>
      <c r="F3347" s="12">
        <v>0</v>
      </c>
    </row>
    <row r="3348" spans="3:6">
      <c r="C3348" s="12"/>
      <c r="D3348" s="12"/>
      <c r="E3348" t="b">
        <f t="shared" si="52"/>
        <v>1</v>
      </c>
      <c r="F3348" s="12">
        <v>0</v>
      </c>
    </row>
    <row r="3349" spans="3:6">
      <c r="C3349" s="12"/>
      <c r="D3349" s="12"/>
      <c r="E3349" t="b">
        <f t="shared" si="52"/>
        <v>1</v>
      </c>
      <c r="F3349" s="12">
        <v>0</v>
      </c>
    </row>
    <row r="3350" spans="3:6">
      <c r="C3350" s="12"/>
      <c r="D3350" s="12"/>
      <c r="E3350" t="b">
        <f t="shared" si="52"/>
        <v>1</v>
      </c>
      <c r="F3350" s="12">
        <v>0</v>
      </c>
    </row>
    <row r="3351" spans="3:6">
      <c r="C3351" s="12"/>
      <c r="D3351" s="12"/>
      <c r="E3351" t="b">
        <f t="shared" si="52"/>
        <v>1</v>
      </c>
      <c r="F3351" s="12">
        <v>0</v>
      </c>
    </row>
    <row r="3352" spans="3:6">
      <c r="C3352" s="12"/>
      <c r="D3352" s="12"/>
      <c r="E3352" t="b">
        <f t="shared" si="52"/>
        <v>1</v>
      </c>
      <c r="F3352" s="12">
        <v>0</v>
      </c>
    </row>
    <row r="3353" spans="3:6">
      <c r="C3353" s="12"/>
      <c r="D3353" s="12"/>
      <c r="E3353" t="b">
        <f t="shared" si="52"/>
        <v>1</v>
      </c>
      <c r="F3353" s="12">
        <v>0</v>
      </c>
    </row>
    <row r="3354" spans="3:6">
      <c r="C3354" s="12"/>
      <c r="D3354" s="12"/>
      <c r="E3354" t="b">
        <f t="shared" si="52"/>
        <v>1</v>
      </c>
      <c r="F3354" s="12">
        <v>0</v>
      </c>
    </row>
    <row r="3355" spans="3:6">
      <c r="C3355" s="12"/>
      <c r="D3355" s="12"/>
      <c r="E3355" t="b">
        <f t="shared" si="52"/>
        <v>1</v>
      </c>
      <c r="F3355" s="12">
        <v>0</v>
      </c>
    </row>
    <row r="3356" spans="3:6">
      <c r="C3356" s="12"/>
      <c r="D3356" s="12"/>
      <c r="E3356" t="b">
        <f t="shared" si="52"/>
        <v>1</v>
      </c>
      <c r="F3356" s="12">
        <v>0</v>
      </c>
    </row>
    <row r="3357" spans="3:6">
      <c r="C3357" s="12"/>
      <c r="D3357" s="12"/>
      <c r="E3357" t="b">
        <f t="shared" si="52"/>
        <v>1</v>
      </c>
      <c r="F3357" s="12">
        <v>0</v>
      </c>
    </row>
    <row r="3358" spans="3:6">
      <c r="C3358" s="12"/>
      <c r="D3358" s="12"/>
      <c r="E3358" t="b">
        <f t="shared" si="52"/>
        <v>1</v>
      </c>
      <c r="F3358" s="12">
        <v>0</v>
      </c>
    </row>
    <row r="3359" spans="3:6">
      <c r="C3359" s="12"/>
      <c r="D3359" s="12"/>
      <c r="E3359" t="b">
        <f t="shared" si="52"/>
        <v>1</v>
      </c>
      <c r="F3359" s="12">
        <v>0</v>
      </c>
    </row>
    <row r="3360" spans="3:6">
      <c r="C3360" s="12"/>
      <c r="D3360" s="12"/>
      <c r="E3360" t="b">
        <f t="shared" si="52"/>
        <v>1</v>
      </c>
      <c r="F3360" s="12">
        <v>0</v>
      </c>
    </row>
    <row r="3361" spans="3:6">
      <c r="C3361" s="12"/>
      <c r="D3361" s="12"/>
      <c r="E3361" t="b">
        <f t="shared" si="52"/>
        <v>1</v>
      </c>
      <c r="F3361" s="12">
        <v>0</v>
      </c>
    </row>
    <row r="3362" spans="3:6">
      <c r="C3362" s="12"/>
      <c r="D3362" s="12"/>
      <c r="E3362" t="b">
        <f t="shared" si="52"/>
        <v>1</v>
      </c>
      <c r="F3362" s="12">
        <v>0</v>
      </c>
    </row>
    <row r="3363" spans="3:6">
      <c r="C3363" s="12"/>
      <c r="D3363" s="12"/>
      <c r="E3363" t="b">
        <f t="shared" si="52"/>
        <v>1</v>
      </c>
      <c r="F3363" s="12">
        <v>0</v>
      </c>
    </row>
    <row r="3364" spans="3:6">
      <c r="C3364" s="12"/>
      <c r="D3364" s="12"/>
      <c r="E3364" t="b">
        <f t="shared" si="52"/>
        <v>1</v>
      </c>
      <c r="F3364" s="12">
        <v>0</v>
      </c>
    </row>
    <row r="3365" spans="3:6">
      <c r="C3365" s="12"/>
      <c r="D3365" s="12"/>
      <c r="E3365" t="b">
        <f t="shared" si="52"/>
        <v>1</v>
      </c>
      <c r="F3365" s="12">
        <v>0</v>
      </c>
    </row>
    <row r="3366" spans="3:6">
      <c r="C3366" s="12"/>
      <c r="D3366" s="12"/>
      <c r="E3366" t="b">
        <f t="shared" si="52"/>
        <v>1</v>
      </c>
      <c r="F3366" s="12">
        <v>0</v>
      </c>
    </row>
    <row r="3367" spans="3:6">
      <c r="C3367" s="12"/>
      <c r="D3367" s="12"/>
      <c r="E3367" t="b">
        <f t="shared" si="52"/>
        <v>1</v>
      </c>
      <c r="F3367" s="12">
        <v>0</v>
      </c>
    </row>
    <row r="3368" spans="3:6">
      <c r="C3368" s="12"/>
      <c r="D3368" s="12"/>
      <c r="E3368" t="b">
        <f t="shared" si="52"/>
        <v>1</v>
      </c>
      <c r="F3368" s="12">
        <v>0</v>
      </c>
    </row>
    <row r="3369" spans="3:6">
      <c r="C3369" s="12"/>
      <c r="D3369" s="12"/>
      <c r="E3369" t="b">
        <f t="shared" si="52"/>
        <v>1</v>
      </c>
      <c r="F3369" s="12">
        <v>0</v>
      </c>
    </row>
    <row r="3370" spans="3:6">
      <c r="C3370" s="12"/>
      <c r="D3370" s="12"/>
      <c r="E3370" t="b">
        <f t="shared" si="52"/>
        <v>1</v>
      </c>
      <c r="F3370" s="12">
        <v>0</v>
      </c>
    </row>
    <row r="3371" spans="3:6">
      <c r="C3371" s="12"/>
      <c r="D3371" s="12"/>
      <c r="E3371" t="b">
        <f t="shared" si="52"/>
        <v>1</v>
      </c>
      <c r="F3371" s="12">
        <v>0</v>
      </c>
    </row>
    <row r="3372" spans="3:6">
      <c r="C3372" s="12"/>
      <c r="D3372" s="12"/>
      <c r="E3372" t="b">
        <f t="shared" si="52"/>
        <v>1</v>
      </c>
      <c r="F3372" s="12">
        <v>0</v>
      </c>
    </row>
    <row r="3373" spans="3:6">
      <c r="C3373" s="12"/>
      <c r="D3373" s="12"/>
      <c r="E3373" t="b">
        <f t="shared" si="52"/>
        <v>1</v>
      </c>
      <c r="F3373" s="12">
        <v>0</v>
      </c>
    </row>
    <row r="3374" spans="3:6">
      <c r="C3374" s="12"/>
      <c r="D3374" s="12"/>
      <c r="E3374" t="b">
        <f t="shared" si="52"/>
        <v>1</v>
      </c>
      <c r="F3374" s="12">
        <v>0</v>
      </c>
    </row>
    <row r="3375" spans="3:6">
      <c r="C3375" s="12"/>
      <c r="D3375" s="12"/>
      <c r="E3375" t="b">
        <f t="shared" si="52"/>
        <v>1</v>
      </c>
      <c r="F3375" s="12">
        <v>0</v>
      </c>
    </row>
    <row r="3376" spans="3:6">
      <c r="C3376" s="12"/>
      <c r="D3376" s="12"/>
      <c r="E3376" t="b">
        <f t="shared" si="52"/>
        <v>1</v>
      </c>
      <c r="F3376" s="12">
        <v>0</v>
      </c>
    </row>
    <row r="3377" spans="3:6">
      <c r="C3377" s="12"/>
      <c r="D3377" s="12"/>
      <c r="E3377" t="b">
        <f t="shared" si="52"/>
        <v>1</v>
      </c>
      <c r="F3377" s="12">
        <v>0</v>
      </c>
    </row>
    <row r="3378" spans="3:6">
      <c r="C3378" s="12"/>
      <c r="D3378" s="12"/>
      <c r="E3378" t="b">
        <f t="shared" si="52"/>
        <v>1</v>
      </c>
      <c r="F3378" s="12">
        <v>0</v>
      </c>
    </row>
    <row r="3379" spans="3:6">
      <c r="C3379" s="12"/>
      <c r="D3379" s="12"/>
      <c r="E3379" t="b">
        <f t="shared" si="52"/>
        <v>1</v>
      </c>
      <c r="F3379" s="12">
        <v>0</v>
      </c>
    </row>
    <row r="3380" spans="3:6">
      <c r="C3380" s="12"/>
      <c r="D3380" s="12"/>
      <c r="E3380" t="b">
        <f t="shared" si="52"/>
        <v>1</v>
      </c>
      <c r="F3380" s="12">
        <v>0</v>
      </c>
    </row>
    <row r="3381" spans="3:6">
      <c r="C3381" s="12"/>
      <c r="D3381" s="12"/>
      <c r="E3381" t="b">
        <f t="shared" si="52"/>
        <v>1</v>
      </c>
      <c r="F3381" s="12">
        <v>0</v>
      </c>
    </row>
    <row r="3382" spans="3:6">
      <c r="C3382" s="12"/>
      <c r="D3382" s="12"/>
      <c r="E3382" t="b">
        <f t="shared" si="52"/>
        <v>1</v>
      </c>
      <c r="F3382" s="12">
        <v>0</v>
      </c>
    </row>
    <row r="3383" spans="3:6">
      <c r="C3383" s="12"/>
      <c r="D3383" s="12"/>
      <c r="E3383" t="b">
        <f t="shared" si="52"/>
        <v>1</v>
      </c>
      <c r="F3383" s="12">
        <v>0</v>
      </c>
    </row>
    <row r="3384" spans="3:6">
      <c r="C3384" s="12"/>
      <c r="D3384" s="12"/>
      <c r="E3384" t="b">
        <f t="shared" si="52"/>
        <v>1</v>
      </c>
      <c r="F3384" s="12">
        <v>0</v>
      </c>
    </row>
    <row r="3385" spans="3:6">
      <c r="C3385" s="12"/>
      <c r="D3385" s="12"/>
      <c r="E3385" t="b">
        <f t="shared" si="52"/>
        <v>1</v>
      </c>
      <c r="F3385" s="12">
        <v>0</v>
      </c>
    </row>
    <row r="3386" spans="3:6">
      <c r="C3386" s="12"/>
      <c r="D3386" s="12"/>
      <c r="E3386" t="b">
        <f t="shared" si="52"/>
        <v>1</v>
      </c>
      <c r="F3386" s="12">
        <v>0</v>
      </c>
    </row>
    <row r="3387" spans="3:6">
      <c r="C3387" s="12"/>
      <c r="D3387" s="12"/>
      <c r="E3387" t="b">
        <f t="shared" si="52"/>
        <v>1</v>
      </c>
      <c r="F3387" s="12">
        <v>0</v>
      </c>
    </row>
    <row r="3388" spans="3:6">
      <c r="C3388" s="12"/>
      <c r="D3388" s="12"/>
      <c r="E3388" t="b">
        <f t="shared" si="52"/>
        <v>1</v>
      </c>
      <c r="F3388" s="12">
        <v>0</v>
      </c>
    </row>
    <row r="3389" spans="3:6">
      <c r="C3389" s="12"/>
      <c r="D3389" s="12"/>
      <c r="E3389" t="b">
        <f t="shared" si="52"/>
        <v>1</v>
      </c>
      <c r="F3389" s="12">
        <v>0</v>
      </c>
    </row>
    <row r="3390" spans="3:6">
      <c r="C3390" s="12"/>
      <c r="D3390" s="12"/>
      <c r="E3390" t="b">
        <f t="shared" si="52"/>
        <v>1</v>
      </c>
      <c r="F3390" s="12">
        <v>0</v>
      </c>
    </row>
    <row r="3391" spans="3:6">
      <c r="C3391" s="12"/>
      <c r="D3391" s="12"/>
      <c r="E3391" t="b">
        <f t="shared" si="52"/>
        <v>1</v>
      </c>
      <c r="F3391" s="12">
        <v>0</v>
      </c>
    </row>
    <row r="3392" spans="3:6">
      <c r="C3392" s="12"/>
      <c r="D3392" s="12"/>
      <c r="E3392" t="b">
        <f t="shared" si="52"/>
        <v>1</v>
      </c>
      <c r="F3392" s="12">
        <v>0</v>
      </c>
    </row>
    <row r="3393" spans="3:6">
      <c r="C3393" s="12"/>
      <c r="D3393" s="12"/>
      <c r="E3393" t="b">
        <f t="shared" si="52"/>
        <v>1</v>
      </c>
      <c r="F3393" s="12">
        <v>0</v>
      </c>
    </row>
    <row r="3394" spans="3:6">
      <c r="C3394" s="12"/>
      <c r="D3394" s="12"/>
      <c r="E3394" t="b">
        <f t="shared" si="52"/>
        <v>1</v>
      </c>
      <c r="F3394" s="12">
        <v>0</v>
      </c>
    </row>
    <row r="3395" spans="3:6">
      <c r="C3395" s="12"/>
      <c r="D3395" s="12"/>
      <c r="E3395" t="b">
        <f t="shared" ref="E3395:E3458" si="53">F3395=C3395</f>
        <v>1</v>
      </c>
      <c r="F3395" s="12">
        <v>0</v>
      </c>
    </row>
    <row r="3396" spans="3:6">
      <c r="C3396" s="12"/>
      <c r="D3396" s="12"/>
      <c r="E3396" t="b">
        <f t="shared" si="53"/>
        <v>1</v>
      </c>
      <c r="F3396" s="12">
        <v>0</v>
      </c>
    </row>
    <row r="3397" spans="3:6">
      <c r="C3397" s="12"/>
      <c r="D3397" s="12"/>
      <c r="E3397" t="b">
        <f t="shared" si="53"/>
        <v>1</v>
      </c>
      <c r="F3397" s="12">
        <v>0</v>
      </c>
    </row>
    <row r="3398" spans="3:6">
      <c r="C3398" s="12"/>
      <c r="D3398" s="12"/>
      <c r="E3398" t="b">
        <f t="shared" si="53"/>
        <v>1</v>
      </c>
      <c r="F3398" s="12">
        <v>0</v>
      </c>
    </row>
    <row r="3399" spans="3:6">
      <c r="C3399" s="12"/>
      <c r="D3399" s="12"/>
      <c r="E3399" t="b">
        <f t="shared" si="53"/>
        <v>1</v>
      </c>
      <c r="F3399" s="12">
        <v>0</v>
      </c>
    </row>
    <row r="3400" spans="3:6">
      <c r="C3400" s="12"/>
      <c r="D3400" s="12"/>
      <c r="E3400" t="b">
        <f t="shared" si="53"/>
        <v>1</v>
      </c>
      <c r="F3400" s="12">
        <v>0</v>
      </c>
    </row>
    <row r="3401" spans="3:6">
      <c r="C3401" s="12"/>
      <c r="D3401" s="12"/>
      <c r="E3401" t="b">
        <f t="shared" si="53"/>
        <v>1</v>
      </c>
      <c r="F3401" s="12">
        <v>0</v>
      </c>
    </row>
    <row r="3402" spans="3:6">
      <c r="C3402" s="12"/>
      <c r="D3402" s="12"/>
      <c r="E3402" t="b">
        <f t="shared" si="53"/>
        <v>1</v>
      </c>
      <c r="F3402" s="12">
        <v>0</v>
      </c>
    </row>
    <row r="3403" spans="3:6">
      <c r="C3403" s="12"/>
      <c r="D3403" s="12"/>
      <c r="E3403" t="b">
        <f t="shared" si="53"/>
        <v>1</v>
      </c>
      <c r="F3403" s="12">
        <v>0</v>
      </c>
    </row>
    <row r="3404" spans="3:6">
      <c r="C3404" s="12"/>
      <c r="D3404" s="12"/>
      <c r="E3404" t="b">
        <f t="shared" si="53"/>
        <v>1</v>
      </c>
      <c r="F3404" s="12">
        <v>0</v>
      </c>
    </row>
    <row r="3405" spans="3:6">
      <c r="C3405" s="12"/>
      <c r="D3405" s="12"/>
      <c r="E3405" t="b">
        <f t="shared" si="53"/>
        <v>1</v>
      </c>
      <c r="F3405" s="12">
        <v>0</v>
      </c>
    </row>
    <row r="3406" spans="3:6">
      <c r="C3406" s="12"/>
      <c r="D3406" s="12"/>
      <c r="E3406" t="b">
        <f t="shared" si="53"/>
        <v>1</v>
      </c>
      <c r="F3406" s="12">
        <v>0</v>
      </c>
    </row>
    <row r="3407" spans="3:6">
      <c r="C3407" s="12"/>
      <c r="D3407" s="12"/>
      <c r="E3407" t="b">
        <f t="shared" si="53"/>
        <v>1</v>
      </c>
      <c r="F3407" s="12">
        <v>0</v>
      </c>
    </row>
    <row r="3408" spans="3:6">
      <c r="C3408" s="12"/>
      <c r="D3408" s="12"/>
      <c r="E3408" t="b">
        <f t="shared" si="53"/>
        <v>1</v>
      </c>
      <c r="F3408" s="12">
        <v>0</v>
      </c>
    </row>
    <row r="3409" spans="3:6">
      <c r="C3409" s="12"/>
      <c r="D3409" s="12"/>
      <c r="E3409" t="b">
        <f t="shared" si="53"/>
        <v>1</v>
      </c>
      <c r="F3409" s="12">
        <v>0</v>
      </c>
    </row>
    <row r="3410" spans="3:6">
      <c r="C3410" s="12"/>
      <c r="D3410" s="12"/>
      <c r="E3410" t="b">
        <f t="shared" si="53"/>
        <v>1</v>
      </c>
      <c r="F3410" s="12">
        <v>0</v>
      </c>
    </row>
    <row r="3411" spans="3:6">
      <c r="C3411" s="12"/>
      <c r="D3411" s="12"/>
      <c r="E3411" t="b">
        <f t="shared" si="53"/>
        <v>1</v>
      </c>
      <c r="F3411" s="12">
        <v>0</v>
      </c>
    </row>
    <row r="3412" spans="3:6">
      <c r="C3412" s="12"/>
      <c r="D3412" s="12"/>
      <c r="E3412" t="b">
        <f t="shared" si="53"/>
        <v>1</v>
      </c>
      <c r="F3412" s="12">
        <v>0</v>
      </c>
    </row>
    <row r="3413" spans="3:6">
      <c r="C3413" s="12"/>
      <c r="D3413" s="12"/>
      <c r="E3413" t="b">
        <f t="shared" si="53"/>
        <v>1</v>
      </c>
      <c r="F3413" s="12">
        <v>0</v>
      </c>
    </row>
    <row r="3414" spans="3:6">
      <c r="C3414" s="12"/>
      <c r="D3414" s="12"/>
      <c r="E3414" t="b">
        <f t="shared" si="53"/>
        <v>1</v>
      </c>
      <c r="F3414" s="12">
        <v>0</v>
      </c>
    </row>
    <row r="3415" spans="3:6">
      <c r="C3415" s="12"/>
      <c r="D3415" s="12"/>
      <c r="E3415" t="b">
        <f t="shared" si="53"/>
        <v>1</v>
      </c>
      <c r="F3415" s="12">
        <v>0</v>
      </c>
    </row>
    <row r="3416" spans="3:6">
      <c r="C3416" s="12"/>
      <c r="D3416" s="12"/>
      <c r="E3416" t="b">
        <f t="shared" si="53"/>
        <v>1</v>
      </c>
      <c r="F3416" s="12">
        <v>0</v>
      </c>
    </row>
    <row r="3417" spans="3:6">
      <c r="C3417" s="12"/>
      <c r="D3417" s="12"/>
      <c r="E3417" t="b">
        <f t="shared" si="53"/>
        <v>1</v>
      </c>
      <c r="F3417" s="12">
        <v>0</v>
      </c>
    </row>
    <row r="3418" spans="3:6">
      <c r="C3418" s="12"/>
      <c r="D3418" s="12"/>
      <c r="E3418" t="b">
        <f t="shared" si="53"/>
        <v>1</v>
      </c>
      <c r="F3418" s="12">
        <v>0</v>
      </c>
    </row>
    <row r="3419" spans="3:6">
      <c r="C3419" s="12"/>
      <c r="D3419" s="12"/>
      <c r="E3419" t="b">
        <f t="shared" si="53"/>
        <v>1</v>
      </c>
      <c r="F3419" s="12">
        <v>0</v>
      </c>
    </row>
    <row r="3420" spans="3:6">
      <c r="C3420" s="12"/>
      <c r="D3420" s="12"/>
      <c r="E3420" t="b">
        <f t="shared" si="53"/>
        <v>1</v>
      </c>
      <c r="F3420" s="12">
        <v>0</v>
      </c>
    </row>
    <row r="3421" spans="3:6">
      <c r="C3421" s="12"/>
      <c r="D3421" s="12"/>
      <c r="E3421" t="b">
        <f t="shared" si="53"/>
        <v>1</v>
      </c>
      <c r="F3421" s="12">
        <v>0</v>
      </c>
    </row>
    <row r="3422" spans="3:6">
      <c r="C3422" s="12"/>
      <c r="D3422" s="12"/>
      <c r="E3422" t="b">
        <f t="shared" si="53"/>
        <v>1</v>
      </c>
      <c r="F3422" s="12">
        <v>0</v>
      </c>
    </row>
    <row r="3423" spans="3:6">
      <c r="C3423" s="12"/>
      <c r="D3423" s="12"/>
      <c r="E3423" t="b">
        <f t="shared" si="53"/>
        <v>1</v>
      </c>
      <c r="F3423" s="12">
        <v>0</v>
      </c>
    </row>
    <row r="3424" spans="3:6">
      <c r="C3424" s="12"/>
      <c r="D3424" s="12"/>
      <c r="E3424" t="b">
        <f t="shared" si="53"/>
        <v>1</v>
      </c>
      <c r="F3424" s="12">
        <v>0</v>
      </c>
    </row>
    <row r="3425" spans="3:6">
      <c r="C3425" s="12"/>
      <c r="D3425" s="12"/>
      <c r="E3425" t="b">
        <f t="shared" si="53"/>
        <v>1</v>
      </c>
      <c r="F3425" s="12">
        <v>0</v>
      </c>
    </row>
    <row r="3426" spans="3:6">
      <c r="C3426" s="12"/>
      <c r="D3426" s="12"/>
      <c r="E3426" t="b">
        <f t="shared" si="53"/>
        <v>1</v>
      </c>
      <c r="F3426" s="12">
        <v>0</v>
      </c>
    </row>
    <row r="3427" spans="3:6">
      <c r="C3427" s="12"/>
      <c r="D3427" s="12"/>
      <c r="E3427" t="b">
        <f t="shared" si="53"/>
        <v>1</v>
      </c>
      <c r="F3427" s="12">
        <v>0</v>
      </c>
    </row>
    <row r="3428" spans="3:6">
      <c r="C3428" s="12"/>
      <c r="D3428" s="12"/>
      <c r="E3428" t="b">
        <f t="shared" si="53"/>
        <v>1</v>
      </c>
      <c r="F3428" s="12">
        <v>0</v>
      </c>
    </row>
    <row r="3429" spans="3:6">
      <c r="C3429" s="12"/>
      <c r="D3429" s="12"/>
      <c r="E3429" t="b">
        <f t="shared" si="53"/>
        <v>1</v>
      </c>
      <c r="F3429" s="12">
        <v>0</v>
      </c>
    </row>
    <row r="3430" spans="3:6">
      <c r="C3430" s="12"/>
      <c r="D3430" s="12"/>
      <c r="E3430" t="b">
        <f t="shared" si="53"/>
        <v>1</v>
      </c>
      <c r="F3430" s="12">
        <v>0</v>
      </c>
    </row>
    <row r="3431" spans="3:6">
      <c r="C3431" s="12"/>
      <c r="D3431" s="12"/>
      <c r="E3431" t="b">
        <f t="shared" si="53"/>
        <v>1</v>
      </c>
      <c r="F3431" s="12">
        <v>0</v>
      </c>
    </row>
    <row r="3432" spans="3:6">
      <c r="C3432" s="12"/>
      <c r="D3432" s="12"/>
      <c r="E3432" t="b">
        <f t="shared" si="53"/>
        <v>1</v>
      </c>
      <c r="F3432" s="12">
        <v>0</v>
      </c>
    </row>
    <row r="3433" spans="3:6">
      <c r="C3433" s="12"/>
      <c r="D3433" s="12"/>
      <c r="E3433" t="b">
        <f t="shared" si="53"/>
        <v>1</v>
      </c>
      <c r="F3433" s="12">
        <v>0</v>
      </c>
    </row>
    <row r="3434" spans="3:6">
      <c r="C3434" s="12"/>
      <c r="D3434" s="12"/>
      <c r="E3434" t="b">
        <f t="shared" si="53"/>
        <v>1</v>
      </c>
      <c r="F3434" s="12">
        <v>0</v>
      </c>
    </row>
    <row r="3435" spans="3:6">
      <c r="C3435" s="12"/>
      <c r="D3435" s="12"/>
      <c r="E3435" t="b">
        <f t="shared" si="53"/>
        <v>1</v>
      </c>
      <c r="F3435" s="12">
        <v>0</v>
      </c>
    </row>
    <row r="3436" spans="3:6">
      <c r="C3436" s="12"/>
      <c r="D3436" s="12"/>
      <c r="E3436" t="b">
        <f t="shared" si="53"/>
        <v>1</v>
      </c>
      <c r="F3436" s="12">
        <v>0</v>
      </c>
    </row>
    <row r="3437" spans="3:6">
      <c r="C3437" s="12"/>
      <c r="D3437" s="12"/>
      <c r="E3437" t="b">
        <f t="shared" si="53"/>
        <v>1</v>
      </c>
      <c r="F3437" s="12">
        <v>0</v>
      </c>
    </row>
    <row r="3438" spans="3:6">
      <c r="C3438" s="12"/>
      <c r="D3438" s="12"/>
      <c r="E3438" t="b">
        <f t="shared" si="53"/>
        <v>1</v>
      </c>
      <c r="F3438" s="12">
        <v>0</v>
      </c>
    </row>
    <row r="3439" spans="3:6">
      <c r="C3439" s="12"/>
      <c r="D3439" s="12"/>
      <c r="E3439" t="b">
        <f t="shared" si="53"/>
        <v>1</v>
      </c>
      <c r="F3439" s="12">
        <v>0</v>
      </c>
    </row>
    <row r="3440" spans="3:6">
      <c r="C3440" s="12"/>
      <c r="D3440" s="12"/>
      <c r="E3440" t="b">
        <f t="shared" si="53"/>
        <v>1</v>
      </c>
      <c r="F3440" s="12">
        <v>0</v>
      </c>
    </row>
    <row r="3441" spans="3:6">
      <c r="C3441" s="12"/>
      <c r="D3441" s="12"/>
      <c r="E3441" t="b">
        <f t="shared" si="53"/>
        <v>1</v>
      </c>
      <c r="F3441" s="12">
        <v>0</v>
      </c>
    </row>
    <row r="3442" spans="3:6">
      <c r="C3442" s="12"/>
      <c r="D3442" s="12"/>
      <c r="E3442" t="b">
        <f t="shared" si="53"/>
        <v>1</v>
      </c>
      <c r="F3442" s="12">
        <v>0</v>
      </c>
    </row>
    <row r="3443" spans="3:6">
      <c r="C3443" s="12"/>
      <c r="D3443" s="12"/>
      <c r="E3443" t="b">
        <f t="shared" si="53"/>
        <v>1</v>
      </c>
      <c r="F3443" s="12">
        <v>0</v>
      </c>
    </row>
    <row r="3444" spans="3:6">
      <c r="C3444" s="12"/>
      <c r="D3444" s="12"/>
      <c r="E3444" t="b">
        <f t="shared" si="53"/>
        <v>1</v>
      </c>
      <c r="F3444" s="12">
        <v>0</v>
      </c>
    </row>
    <row r="3445" spans="3:6">
      <c r="C3445" s="12"/>
      <c r="D3445" s="12"/>
      <c r="E3445" t="b">
        <f t="shared" si="53"/>
        <v>1</v>
      </c>
      <c r="F3445" s="12">
        <v>0</v>
      </c>
    </row>
    <row r="3446" spans="3:6">
      <c r="C3446" s="12"/>
      <c r="D3446" s="12"/>
      <c r="E3446" t="b">
        <f t="shared" si="53"/>
        <v>1</v>
      </c>
      <c r="F3446" s="12">
        <v>0</v>
      </c>
    </row>
    <row r="3447" spans="3:6">
      <c r="C3447" s="12"/>
      <c r="D3447" s="12"/>
      <c r="E3447" t="b">
        <f t="shared" si="53"/>
        <v>1</v>
      </c>
      <c r="F3447" s="12">
        <v>0</v>
      </c>
    </row>
    <row r="3448" spans="3:6">
      <c r="C3448" s="12"/>
      <c r="D3448" s="12"/>
      <c r="E3448" t="b">
        <f t="shared" si="53"/>
        <v>1</v>
      </c>
      <c r="F3448" s="12">
        <v>0</v>
      </c>
    </row>
    <row r="3449" spans="3:6">
      <c r="C3449" s="12"/>
      <c r="D3449" s="12"/>
      <c r="E3449" t="b">
        <f t="shared" si="53"/>
        <v>1</v>
      </c>
      <c r="F3449" s="12">
        <v>0</v>
      </c>
    </row>
    <row r="3450" spans="3:6">
      <c r="C3450" s="12"/>
      <c r="D3450" s="12"/>
      <c r="E3450" t="b">
        <f t="shared" si="53"/>
        <v>1</v>
      </c>
      <c r="F3450" s="12">
        <v>0</v>
      </c>
    </row>
    <row r="3451" spans="3:6">
      <c r="C3451" s="12"/>
      <c r="D3451" s="12"/>
      <c r="E3451" t="b">
        <f t="shared" si="53"/>
        <v>1</v>
      </c>
      <c r="F3451" s="12">
        <v>0</v>
      </c>
    </row>
    <row r="3452" spans="3:6">
      <c r="C3452" s="12"/>
      <c r="D3452" s="12"/>
      <c r="E3452" t="b">
        <f t="shared" si="53"/>
        <v>1</v>
      </c>
      <c r="F3452" s="12">
        <v>0</v>
      </c>
    </row>
    <row r="3453" spans="3:6">
      <c r="C3453" s="12"/>
      <c r="D3453" s="12"/>
      <c r="E3453" t="b">
        <f t="shared" si="53"/>
        <v>1</v>
      </c>
      <c r="F3453" s="12">
        <v>0</v>
      </c>
    </row>
    <row r="3454" spans="3:6">
      <c r="C3454" s="12"/>
      <c r="D3454" s="12"/>
      <c r="E3454" t="b">
        <f t="shared" si="53"/>
        <v>1</v>
      </c>
      <c r="F3454" s="12">
        <v>0</v>
      </c>
    </row>
    <row r="3455" spans="3:6">
      <c r="C3455" s="12"/>
      <c r="D3455" s="12"/>
      <c r="E3455" t="b">
        <f t="shared" si="53"/>
        <v>1</v>
      </c>
      <c r="F3455" s="12">
        <v>0</v>
      </c>
    </row>
    <row r="3456" spans="3:6">
      <c r="C3456" s="12"/>
      <c r="D3456" s="12"/>
      <c r="E3456" t="b">
        <f t="shared" si="53"/>
        <v>1</v>
      </c>
      <c r="F3456" s="12">
        <v>0</v>
      </c>
    </row>
    <row r="3457" spans="3:6">
      <c r="C3457" s="12"/>
      <c r="D3457" s="12"/>
      <c r="E3457" t="b">
        <f t="shared" si="53"/>
        <v>1</v>
      </c>
      <c r="F3457" s="12">
        <v>0</v>
      </c>
    </row>
    <row r="3458" spans="3:6">
      <c r="C3458" s="12"/>
      <c r="D3458" s="12"/>
      <c r="E3458" t="b">
        <f t="shared" si="53"/>
        <v>1</v>
      </c>
      <c r="F3458" s="12">
        <v>0</v>
      </c>
    </row>
    <row r="3459" spans="3:6">
      <c r="C3459" s="12"/>
      <c r="D3459" s="12"/>
      <c r="E3459" t="b">
        <f t="shared" ref="E3459:E3522" si="54">F3459=C3459</f>
        <v>1</v>
      </c>
      <c r="F3459" s="12">
        <v>0</v>
      </c>
    </row>
    <row r="3460" spans="3:6">
      <c r="C3460" s="12"/>
      <c r="D3460" s="12"/>
      <c r="E3460" t="b">
        <f t="shared" si="54"/>
        <v>1</v>
      </c>
      <c r="F3460" s="12">
        <v>0</v>
      </c>
    </row>
    <row r="3461" spans="3:6">
      <c r="C3461" s="12"/>
      <c r="D3461" s="12"/>
      <c r="E3461" t="b">
        <f t="shared" si="54"/>
        <v>1</v>
      </c>
      <c r="F3461" s="12">
        <v>0</v>
      </c>
    </row>
    <row r="3462" spans="3:6">
      <c r="C3462" s="12"/>
      <c r="D3462" s="12"/>
      <c r="E3462" t="b">
        <f t="shared" si="54"/>
        <v>1</v>
      </c>
      <c r="F3462" s="12">
        <v>0</v>
      </c>
    </row>
    <row r="3463" spans="3:6">
      <c r="C3463" s="12"/>
      <c r="D3463" s="12"/>
      <c r="E3463" t="b">
        <f t="shared" si="54"/>
        <v>1</v>
      </c>
      <c r="F3463" s="12">
        <v>0</v>
      </c>
    </row>
    <row r="3464" spans="3:6">
      <c r="C3464" s="12"/>
      <c r="D3464" s="12"/>
      <c r="E3464" t="b">
        <f t="shared" si="54"/>
        <v>1</v>
      </c>
      <c r="F3464" s="12">
        <v>0</v>
      </c>
    </row>
    <row r="3465" spans="3:6">
      <c r="C3465" s="12"/>
      <c r="D3465" s="12"/>
      <c r="E3465" t="b">
        <f t="shared" si="54"/>
        <v>1</v>
      </c>
      <c r="F3465" s="12">
        <v>0</v>
      </c>
    </row>
    <row r="3466" spans="3:6">
      <c r="C3466" s="12"/>
      <c r="D3466" s="12"/>
      <c r="E3466" t="b">
        <f t="shared" si="54"/>
        <v>1</v>
      </c>
      <c r="F3466" s="12">
        <v>0</v>
      </c>
    </row>
    <row r="3467" spans="3:6">
      <c r="C3467" s="12"/>
      <c r="D3467" s="12"/>
      <c r="E3467" t="b">
        <f t="shared" si="54"/>
        <v>1</v>
      </c>
      <c r="F3467" s="12">
        <v>0</v>
      </c>
    </row>
    <row r="3468" spans="3:6">
      <c r="C3468" s="12"/>
      <c r="D3468" s="12"/>
      <c r="E3468" t="b">
        <f t="shared" si="54"/>
        <v>1</v>
      </c>
      <c r="F3468" s="12">
        <v>0</v>
      </c>
    </row>
    <row r="3469" spans="3:6">
      <c r="C3469" s="12"/>
      <c r="D3469" s="12"/>
      <c r="E3469" t="b">
        <f t="shared" si="54"/>
        <v>1</v>
      </c>
      <c r="F3469" s="12">
        <v>0</v>
      </c>
    </row>
    <row r="3470" spans="3:6">
      <c r="C3470" s="12"/>
      <c r="D3470" s="12"/>
      <c r="E3470" t="b">
        <f t="shared" si="54"/>
        <v>1</v>
      </c>
      <c r="F3470" s="12">
        <v>0</v>
      </c>
    </row>
    <row r="3471" spans="3:6">
      <c r="C3471" s="12"/>
      <c r="D3471" s="12"/>
      <c r="E3471" t="b">
        <f t="shared" si="54"/>
        <v>1</v>
      </c>
      <c r="F3471" s="12">
        <v>0</v>
      </c>
    </row>
    <row r="3472" spans="3:6">
      <c r="C3472" s="12"/>
      <c r="D3472" s="12"/>
      <c r="E3472" t="b">
        <f t="shared" si="54"/>
        <v>1</v>
      </c>
      <c r="F3472" s="12">
        <v>0</v>
      </c>
    </row>
    <row r="3473" spans="3:6">
      <c r="C3473" s="12"/>
      <c r="D3473" s="12"/>
      <c r="E3473" t="b">
        <f t="shared" si="54"/>
        <v>1</v>
      </c>
      <c r="F3473" s="12">
        <v>0</v>
      </c>
    </row>
    <row r="3474" spans="3:6">
      <c r="C3474" s="12"/>
      <c r="D3474" s="12"/>
      <c r="E3474" t="b">
        <f t="shared" si="54"/>
        <v>1</v>
      </c>
      <c r="F3474" s="12">
        <v>0</v>
      </c>
    </row>
    <row r="3475" spans="3:6">
      <c r="C3475" s="12"/>
      <c r="D3475" s="12"/>
      <c r="E3475" t="b">
        <f t="shared" si="54"/>
        <v>1</v>
      </c>
      <c r="F3475" s="12">
        <v>0</v>
      </c>
    </row>
    <row r="3476" spans="3:6">
      <c r="C3476" s="12"/>
      <c r="D3476" s="12"/>
      <c r="E3476" t="b">
        <f t="shared" si="54"/>
        <v>1</v>
      </c>
      <c r="F3476" s="12">
        <v>0</v>
      </c>
    </row>
    <row r="3477" spans="3:6">
      <c r="C3477" s="12"/>
      <c r="D3477" s="12"/>
      <c r="E3477" t="b">
        <f t="shared" si="54"/>
        <v>1</v>
      </c>
      <c r="F3477" s="12">
        <v>0</v>
      </c>
    </row>
    <row r="3478" spans="3:6">
      <c r="C3478" s="12"/>
      <c r="D3478" s="12"/>
      <c r="E3478" t="b">
        <f t="shared" si="54"/>
        <v>1</v>
      </c>
      <c r="F3478" s="12">
        <v>0</v>
      </c>
    </row>
    <row r="3479" spans="3:6">
      <c r="C3479" s="12"/>
      <c r="D3479" s="12"/>
      <c r="E3479" t="b">
        <f t="shared" si="54"/>
        <v>1</v>
      </c>
      <c r="F3479" s="12">
        <v>0</v>
      </c>
    </row>
    <row r="3480" spans="3:6">
      <c r="C3480" s="12"/>
      <c r="D3480" s="12"/>
      <c r="E3480" t="b">
        <f t="shared" si="54"/>
        <v>1</v>
      </c>
      <c r="F3480" s="12">
        <v>0</v>
      </c>
    </row>
    <row r="3481" spans="3:6">
      <c r="C3481" s="12"/>
      <c r="D3481" s="12"/>
      <c r="E3481" t="b">
        <f t="shared" si="54"/>
        <v>1</v>
      </c>
      <c r="F3481" s="12">
        <v>0</v>
      </c>
    </row>
    <row r="3482" spans="3:6">
      <c r="C3482" s="12"/>
      <c r="D3482" s="12"/>
      <c r="E3482" t="b">
        <f t="shared" si="54"/>
        <v>1</v>
      </c>
      <c r="F3482" s="12">
        <v>0</v>
      </c>
    </row>
    <row r="3483" spans="3:6">
      <c r="C3483" s="12"/>
      <c r="D3483" s="12"/>
      <c r="E3483" t="b">
        <f t="shared" si="54"/>
        <v>1</v>
      </c>
      <c r="F3483" s="12">
        <v>0</v>
      </c>
    </row>
    <row r="3484" spans="3:6">
      <c r="C3484" s="12"/>
      <c r="D3484" s="12"/>
      <c r="E3484" t="b">
        <f t="shared" si="54"/>
        <v>1</v>
      </c>
      <c r="F3484" s="12">
        <v>0</v>
      </c>
    </row>
    <row r="3485" spans="3:6">
      <c r="C3485" s="12"/>
      <c r="D3485" s="12"/>
      <c r="E3485" t="b">
        <f t="shared" si="54"/>
        <v>1</v>
      </c>
      <c r="F3485" s="12">
        <v>0</v>
      </c>
    </row>
    <row r="3486" spans="3:6">
      <c r="C3486" s="12"/>
      <c r="D3486" s="12"/>
      <c r="E3486" t="b">
        <f t="shared" si="54"/>
        <v>1</v>
      </c>
      <c r="F3486" s="12">
        <v>0</v>
      </c>
    </row>
    <row r="3487" spans="3:6">
      <c r="C3487" s="12"/>
      <c r="D3487" s="12"/>
      <c r="E3487" t="b">
        <f t="shared" si="54"/>
        <v>1</v>
      </c>
      <c r="F3487" s="12">
        <v>0</v>
      </c>
    </row>
    <row r="3488" spans="3:6">
      <c r="C3488" s="12"/>
      <c r="D3488" s="12"/>
      <c r="E3488" t="b">
        <f t="shared" si="54"/>
        <v>1</v>
      </c>
      <c r="F3488" s="12">
        <v>0</v>
      </c>
    </row>
    <row r="3489" spans="3:6">
      <c r="C3489" s="12"/>
      <c r="D3489" s="12"/>
      <c r="E3489" t="b">
        <f t="shared" si="54"/>
        <v>1</v>
      </c>
      <c r="F3489" s="12">
        <v>0</v>
      </c>
    </row>
    <row r="3490" spans="3:6">
      <c r="C3490" s="12"/>
      <c r="D3490" s="12"/>
      <c r="E3490" t="b">
        <f t="shared" si="54"/>
        <v>1</v>
      </c>
      <c r="F3490" s="12">
        <v>0</v>
      </c>
    </row>
    <row r="3491" spans="3:6">
      <c r="C3491" s="12"/>
      <c r="D3491" s="12"/>
      <c r="E3491" t="b">
        <f t="shared" si="54"/>
        <v>1</v>
      </c>
      <c r="F3491" s="12">
        <v>0</v>
      </c>
    </row>
    <row r="3492" spans="3:6">
      <c r="C3492" s="12"/>
      <c r="D3492" s="12"/>
      <c r="E3492" t="b">
        <f t="shared" si="54"/>
        <v>1</v>
      </c>
      <c r="F3492" s="12">
        <v>0</v>
      </c>
    </row>
    <row r="3493" spans="3:6">
      <c r="C3493" s="12"/>
      <c r="D3493" s="12"/>
      <c r="E3493" t="b">
        <f t="shared" si="54"/>
        <v>1</v>
      </c>
      <c r="F3493" s="12">
        <v>0</v>
      </c>
    </row>
    <row r="3494" spans="3:6">
      <c r="C3494" s="12"/>
      <c r="D3494" s="12"/>
      <c r="E3494" t="b">
        <f t="shared" si="54"/>
        <v>1</v>
      </c>
      <c r="F3494" s="12">
        <v>0</v>
      </c>
    </row>
    <row r="3495" spans="3:6">
      <c r="C3495" s="12"/>
      <c r="D3495" s="12"/>
      <c r="E3495" t="b">
        <f t="shared" si="54"/>
        <v>1</v>
      </c>
      <c r="F3495" s="12">
        <v>0</v>
      </c>
    </row>
    <row r="3496" spans="3:6">
      <c r="C3496" s="12"/>
      <c r="D3496" s="12"/>
      <c r="E3496" t="b">
        <f t="shared" si="54"/>
        <v>1</v>
      </c>
      <c r="F3496" s="12">
        <v>0</v>
      </c>
    </row>
    <row r="3497" spans="3:6">
      <c r="C3497" s="12"/>
      <c r="D3497" s="12"/>
      <c r="E3497" t="b">
        <f t="shared" si="54"/>
        <v>1</v>
      </c>
      <c r="F3497" s="12">
        <v>0</v>
      </c>
    </row>
    <row r="3498" spans="3:6">
      <c r="C3498" s="12"/>
      <c r="D3498" s="12"/>
      <c r="E3498" t="b">
        <f t="shared" si="54"/>
        <v>1</v>
      </c>
      <c r="F3498" s="12">
        <v>0</v>
      </c>
    </row>
    <row r="3499" spans="3:6">
      <c r="C3499" s="12"/>
      <c r="D3499" s="12"/>
      <c r="E3499" t="b">
        <f t="shared" si="54"/>
        <v>1</v>
      </c>
      <c r="F3499" s="12">
        <v>0</v>
      </c>
    </row>
    <row r="3500" spans="3:6">
      <c r="C3500" s="12"/>
      <c r="D3500" s="12"/>
      <c r="E3500" t="b">
        <f t="shared" si="54"/>
        <v>1</v>
      </c>
      <c r="F3500" s="12">
        <v>0</v>
      </c>
    </row>
    <row r="3501" spans="3:6">
      <c r="C3501" s="12"/>
      <c r="D3501" s="12"/>
      <c r="E3501" t="b">
        <f t="shared" si="54"/>
        <v>1</v>
      </c>
      <c r="F3501" s="12">
        <v>0</v>
      </c>
    </row>
    <row r="3502" spans="3:6">
      <c r="C3502" s="12"/>
      <c r="D3502" s="12"/>
      <c r="E3502" t="b">
        <f t="shared" si="54"/>
        <v>1</v>
      </c>
      <c r="F3502" s="12">
        <v>0</v>
      </c>
    </row>
    <row r="3503" spans="3:6">
      <c r="C3503" s="12"/>
      <c r="D3503" s="12"/>
      <c r="E3503" t="b">
        <f t="shared" si="54"/>
        <v>1</v>
      </c>
      <c r="F3503" s="12">
        <v>0</v>
      </c>
    </row>
    <row r="3504" spans="3:6">
      <c r="C3504" s="12"/>
      <c r="D3504" s="12"/>
      <c r="E3504" t="b">
        <f t="shared" si="54"/>
        <v>1</v>
      </c>
      <c r="F3504" s="12">
        <v>0</v>
      </c>
    </row>
    <row r="3505" spans="3:6">
      <c r="C3505" s="12"/>
      <c r="D3505" s="12"/>
      <c r="E3505" t="b">
        <f t="shared" si="54"/>
        <v>1</v>
      </c>
      <c r="F3505" s="12">
        <v>0</v>
      </c>
    </row>
    <row r="3506" spans="3:6">
      <c r="C3506" s="12"/>
      <c r="D3506" s="12"/>
      <c r="E3506" t="b">
        <f t="shared" si="54"/>
        <v>1</v>
      </c>
      <c r="F3506" s="12">
        <v>0</v>
      </c>
    </row>
    <row r="3507" spans="3:6">
      <c r="C3507" s="12"/>
      <c r="D3507" s="12"/>
      <c r="E3507" t="b">
        <f t="shared" si="54"/>
        <v>1</v>
      </c>
      <c r="F3507" s="12">
        <v>0</v>
      </c>
    </row>
    <row r="3508" spans="3:6">
      <c r="C3508" s="12"/>
      <c r="D3508" s="12"/>
      <c r="E3508" t="b">
        <f t="shared" si="54"/>
        <v>1</v>
      </c>
      <c r="F3508" s="12">
        <v>0</v>
      </c>
    </row>
    <row r="3509" spans="3:6">
      <c r="C3509" s="12"/>
      <c r="D3509" s="12"/>
      <c r="E3509" t="b">
        <f t="shared" si="54"/>
        <v>1</v>
      </c>
      <c r="F3509" s="12">
        <v>0</v>
      </c>
    </row>
    <row r="3510" spans="3:6">
      <c r="C3510" s="12"/>
      <c r="D3510" s="12"/>
      <c r="E3510" t="b">
        <f t="shared" si="54"/>
        <v>1</v>
      </c>
      <c r="F3510" s="12">
        <v>0</v>
      </c>
    </row>
    <row r="3511" spans="3:6">
      <c r="C3511" s="12"/>
      <c r="D3511" s="12"/>
      <c r="E3511" t="b">
        <f t="shared" si="54"/>
        <v>1</v>
      </c>
      <c r="F3511" s="12">
        <v>0</v>
      </c>
    </row>
    <row r="3512" spans="3:6">
      <c r="C3512" s="12"/>
      <c r="D3512" s="12"/>
      <c r="E3512" t="b">
        <f t="shared" si="54"/>
        <v>1</v>
      </c>
      <c r="F3512" s="12">
        <v>0</v>
      </c>
    </row>
    <row r="3513" spans="3:6">
      <c r="C3513" s="12"/>
      <c r="D3513" s="12"/>
      <c r="E3513" t="b">
        <f t="shared" si="54"/>
        <v>1</v>
      </c>
      <c r="F3513" s="12">
        <v>0</v>
      </c>
    </row>
    <row r="3514" spans="3:6">
      <c r="C3514" s="12"/>
      <c r="D3514" s="12"/>
      <c r="E3514" t="b">
        <f t="shared" si="54"/>
        <v>1</v>
      </c>
      <c r="F3514" s="12">
        <v>0</v>
      </c>
    </row>
    <row r="3515" spans="3:6">
      <c r="C3515" s="12"/>
      <c r="D3515" s="12"/>
      <c r="E3515" t="b">
        <f t="shared" si="54"/>
        <v>1</v>
      </c>
      <c r="F3515" s="12">
        <v>0</v>
      </c>
    </row>
    <row r="3516" spans="3:6">
      <c r="C3516" s="12"/>
      <c r="D3516" s="12"/>
      <c r="E3516" t="b">
        <f t="shared" si="54"/>
        <v>1</v>
      </c>
      <c r="F3516" s="12">
        <v>0</v>
      </c>
    </row>
    <row r="3517" spans="3:6">
      <c r="C3517" s="12"/>
      <c r="D3517" s="12"/>
      <c r="E3517" t="b">
        <f t="shared" si="54"/>
        <v>1</v>
      </c>
      <c r="F3517" s="12">
        <v>0</v>
      </c>
    </row>
    <row r="3518" spans="3:6">
      <c r="C3518" s="12"/>
      <c r="D3518" s="12"/>
      <c r="E3518" t="b">
        <f t="shared" si="54"/>
        <v>1</v>
      </c>
      <c r="F3518" s="12">
        <v>0</v>
      </c>
    </row>
    <row r="3519" spans="3:6">
      <c r="C3519" s="12"/>
      <c r="D3519" s="12"/>
      <c r="E3519" t="b">
        <f t="shared" si="54"/>
        <v>1</v>
      </c>
      <c r="F3519" s="12">
        <v>0</v>
      </c>
    </row>
    <row r="3520" spans="3:6">
      <c r="C3520" s="12"/>
      <c r="D3520" s="12"/>
      <c r="E3520" t="b">
        <f t="shared" si="54"/>
        <v>1</v>
      </c>
      <c r="F3520" s="12">
        <v>0</v>
      </c>
    </row>
    <row r="3521" spans="3:6">
      <c r="C3521" s="12"/>
      <c r="D3521" s="12"/>
      <c r="E3521" t="b">
        <f t="shared" si="54"/>
        <v>1</v>
      </c>
      <c r="F3521" s="12">
        <v>0</v>
      </c>
    </row>
    <row r="3522" spans="3:6">
      <c r="C3522" s="12"/>
      <c r="D3522" s="12"/>
      <c r="E3522" t="b">
        <f t="shared" si="54"/>
        <v>1</v>
      </c>
      <c r="F3522" s="12">
        <v>0</v>
      </c>
    </row>
    <row r="3523" spans="3:6">
      <c r="C3523" s="12"/>
      <c r="D3523" s="12"/>
      <c r="E3523" t="b">
        <f t="shared" ref="E3523:E3586" si="55">F3523=C3523</f>
        <v>1</v>
      </c>
      <c r="F3523" s="12">
        <v>0</v>
      </c>
    </row>
    <row r="3524" spans="3:6">
      <c r="C3524" s="12"/>
      <c r="D3524" s="12"/>
      <c r="E3524" t="b">
        <f t="shared" si="55"/>
        <v>1</v>
      </c>
      <c r="F3524" s="12">
        <v>0</v>
      </c>
    </row>
    <row r="3525" spans="3:6">
      <c r="C3525" s="12"/>
      <c r="D3525" s="12"/>
      <c r="E3525" t="b">
        <f t="shared" si="55"/>
        <v>1</v>
      </c>
      <c r="F3525" s="12">
        <v>0</v>
      </c>
    </row>
    <row r="3526" spans="3:6">
      <c r="C3526" s="12"/>
      <c r="D3526" s="12"/>
      <c r="E3526" t="b">
        <f t="shared" si="55"/>
        <v>1</v>
      </c>
      <c r="F3526" s="12">
        <v>0</v>
      </c>
    </row>
    <row r="3527" spans="3:6">
      <c r="C3527" s="12"/>
      <c r="D3527" s="12"/>
      <c r="E3527" t="b">
        <f t="shared" si="55"/>
        <v>1</v>
      </c>
      <c r="F3527" s="12">
        <v>0</v>
      </c>
    </row>
    <row r="3528" spans="3:6">
      <c r="C3528" s="12"/>
      <c r="D3528" s="12"/>
      <c r="E3528" t="b">
        <f t="shared" si="55"/>
        <v>1</v>
      </c>
      <c r="F3528" s="12">
        <v>0</v>
      </c>
    </row>
    <row r="3529" spans="3:6">
      <c r="C3529" s="12"/>
      <c r="D3529" s="12"/>
      <c r="E3529" t="b">
        <f t="shared" si="55"/>
        <v>1</v>
      </c>
      <c r="F3529" s="12">
        <v>0</v>
      </c>
    </row>
    <row r="3530" spans="3:6">
      <c r="C3530" s="12"/>
      <c r="D3530" s="12"/>
      <c r="E3530" t="b">
        <f t="shared" si="55"/>
        <v>1</v>
      </c>
      <c r="F3530" s="12">
        <v>0</v>
      </c>
    </row>
    <row r="3531" spans="3:6">
      <c r="C3531" s="12"/>
      <c r="D3531" s="12"/>
      <c r="E3531" t="b">
        <f t="shared" si="55"/>
        <v>1</v>
      </c>
      <c r="F3531" s="12">
        <v>0</v>
      </c>
    </row>
    <row r="3532" spans="3:6">
      <c r="C3532" s="12"/>
      <c r="D3532" s="12"/>
      <c r="E3532" t="b">
        <f t="shared" si="55"/>
        <v>1</v>
      </c>
      <c r="F3532" s="12">
        <v>0</v>
      </c>
    </row>
    <row r="3533" spans="3:6">
      <c r="C3533" s="12"/>
      <c r="D3533" s="12"/>
      <c r="E3533" t="b">
        <f t="shared" si="55"/>
        <v>1</v>
      </c>
      <c r="F3533" s="12">
        <v>0</v>
      </c>
    </row>
    <row r="3534" spans="3:6">
      <c r="C3534" s="12"/>
      <c r="D3534" s="12"/>
      <c r="E3534" t="b">
        <f t="shared" si="55"/>
        <v>1</v>
      </c>
      <c r="F3534" s="12">
        <v>0</v>
      </c>
    </row>
    <row r="3535" spans="3:6">
      <c r="C3535" s="12"/>
      <c r="D3535" s="12"/>
      <c r="E3535" t="b">
        <f t="shared" si="55"/>
        <v>1</v>
      </c>
      <c r="F3535" s="12">
        <v>0</v>
      </c>
    </row>
    <row r="3536" spans="3:6">
      <c r="C3536" s="12"/>
      <c r="D3536" s="12"/>
      <c r="E3536" t="b">
        <f t="shared" si="55"/>
        <v>1</v>
      </c>
      <c r="F3536" s="12">
        <v>0</v>
      </c>
    </row>
    <row r="3537" spans="3:6">
      <c r="C3537" s="12"/>
      <c r="D3537" s="12"/>
      <c r="E3537" t="b">
        <f t="shared" si="55"/>
        <v>1</v>
      </c>
      <c r="F3537" s="12">
        <v>0</v>
      </c>
    </row>
    <row r="3538" spans="3:6">
      <c r="C3538" s="12"/>
      <c r="D3538" s="12"/>
      <c r="E3538" t="b">
        <f t="shared" si="55"/>
        <v>1</v>
      </c>
      <c r="F3538" s="12">
        <v>0</v>
      </c>
    </row>
    <row r="3539" spans="3:6">
      <c r="C3539" s="12"/>
      <c r="D3539" s="12"/>
      <c r="E3539" t="b">
        <f t="shared" si="55"/>
        <v>1</v>
      </c>
      <c r="F3539" s="12">
        <v>0</v>
      </c>
    </row>
    <row r="3540" spans="3:6">
      <c r="C3540" s="12"/>
      <c r="D3540" s="12"/>
      <c r="E3540" t="b">
        <f t="shared" si="55"/>
        <v>1</v>
      </c>
      <c r="F3540" s="12">
        <v>0</v>
      </c>
    </row>
    <row r="3541" spans="3:6">
      <c r="C3541" s="12"/>
      <c r="D3541" s="12"/>
      <c r="E3541" t="b">
        <f t="shared" si="55"/>
        <v>1</v>
      </c>
      <c r="F3541" s="12">
        <v>0</v>
      </c>
    </row>
    <row r="3542" spans="3:6">
      <c r="C3542" s="12"/>
      <c r="D3542" s="12"/>
      <c r="E3542" t="b">
        <f t="shared" si="55"/>
        <v>1</v>
      </c>
      <c r="F3542" s="12">
        <v>0</v>
      </c>
    </row>
    <row r="3543" spans="3:6">
      <c r="C3543" s="12"/>
      <c r="D3543" s="12"/>
      <c r="E3543" t="b">
        <f t="shared" si="55"/>
        <v>1</v>
      </c>
      <c r="F3543" s="12">
        <v>0</v>
      </c>
    </row>
    <row r="3544" spans="3:6">
      <c r="C3544" s="12"/>
      <c r="D3544" s="12"/>
      <c r="E3544" t="b">
        <f t="shared" si="55"/>
        <v>1</v>
      </c>
      <c r="F3544" s="12">
        <v>0</v>
      </c>
    </row>
    <row r="3545" spans="3:6">
      <c r="C3545" s="12"/>
      <c r="D3545" s="12"/>
      <c r="E3545" t="b">
        <f t="shared" si="55"/>
        <v>1</v>
      </c>
      <c r="F3545" s="12">
        <v>0</v>
      </c>
    </row>
    <row r="3546" spans="3:6">
      <c r="C3546" s="12"/>
      <c r="D3546" s="12"/>
      <c r="E3546" t="b">
        <f t="shared" si="55"/>
        <v>1</v>
      </c>
      <c r="F3546" s="12">
        <v>0</v>
      </c>
    </row>
    <row r="3547" spans="3:6">
      <c r="C3547" s="12"/>
      <c r="D3547" s="12"/>
      <c r="E3547" t="b">
        <f t="shared" si="55"/>
        <v>1</v>
      </c>
      <c r="F3547" s="12">
        <v>0</v>
      </c>
    </row>
    <row r="3548" spans="3:6">
      <c r="C3548" s="12"/>
      <c r="D3548" s="12"/>
      <c r="E3548" t="b">
        <f t="shared" si="55"/>
        <v>1</v>
      </c>
      <c r="F3548" s="12">
        <v>0</v>
      </c>
    </row>
    <row r="3549" spans="3:6">
      <c r="C3549" s="12"/>
      <c r="D3549" s="12"/>
      <c r="E3549" t="b">
        <f t="shared" si="55"/>
        <v>1</v>
      </c>
      <c r="F3549" s="12">
        <v>0</v>
      </c>
    </row>
    <row r="3550" spans="3:6">
      <c r="C3550" s="12"/>
      <c r="D3550" s="12"/>
      <c r="E3550" t="b">
        <f t="shared" si="55"/>
        <v>1</v>
      </c>
      <c r="F3550" s="12">
        <v>0</v>
      </c>
    </row>
    <row r="3551" spans="3:6">
      <c r="C3551" s="12"/>
      <c r="D3551" s="12"/>
      <c r="E3551" t="b">
        <f t="shared" si="55"/>
        <v>1</v>
      </c>
      <c r="F3551" s="12">
        <v>0</v>
      </c>
    </row>
    <row r="3552" spans="3:6">
      <c r="C3552" s="12"/>
      <c r="D3552" s="12"/>
      <c r="E3552" t="b">
        <f t="shared" si="55"/>
        <v>1</v>
      </c>
      <c r="F3552" s="12">
        <v>0</v>
      </c>
    </row>
    <row r="3553" spans="3:6">
      <c r="C3553" s="12"/>
      <c r="D3553" s="12"/>
      <c r="E3553" t="b">
        <f t="shared" si="55"/>
        <v>1</v>
      </c>
      <c r="F3553" s="12">
        <v>0</v>
      </c>
    </row>
    <row r="3554" spans="3:6">
      <c r="C3554" s="12"/>
      <c r="D3554" s="12"/>
      <c r="E3554" t="b">
        <f t="shared" si="55"/>
        <v>1</v>
      </c>
      <c r="F3554" s="12">
        <v>0</v>
      </c>
    </row>
    <row r="3555" spans="3:6">
      <c r="C3555" s="12"/>
      <c r="D3555" s="12"/>
      <c r="E3555" t="b">
        <f t="shared" si="55"/>
        <v>1</v>
      </c>
      <c r="F3555" s="12">
        <v>0</v>
      </c>
    </row>
    <row r="3556" spans="3:6">
      <c r="C3556" s="12"/>
      <c r="D3556" s="12"/>
      <c r="E3556" t="b">
        <f t="shared" si="55"/>
        <v>1</v>
      </c>
      <c r="F3556" s="12">
        <v>0</v>
      </c>
    </row>
    <row r="3557" spans="3:6">
      <c r="C3557" s="12"/>
      <c r="D3557" s="12"/>
      <c r="E3557" t="b">
        <f t="shared" si="55"/>
        <v>1</v>
      </c>
      <c r="F3557" s="12">
        <v>0</v>
      </c>
    </row>
    <row r="3558" spans="3:6">
      <c r="C3558" s="12"/>
      <c r="D3558" s="12"/>
      <c r="E3558" t="b">
        <f t="shared" si="55"/>
        <v>1</v>
      </c>
      <c r="F3558" s="12">
        <v>0</v>
      </c>
    </row>
    <row r="3559" spans="3:6">
      <c r="C3559" s="12"/>
      <c r="D3559" s="12"/>
      <c r="E3559" t="b">
        <f t="shared" si="55"/>
        <v>1</v>
      </c>
      <c r="F3559" s="12">
        <v>0</v>
      </c>
    </row>
    <row r="3560" spans="3:6">
      <c r="C3560" s="12"/>
      <c r="D3560" s="12"/>
      <c r="E3560" t="b">
        <f t="shared" si="55"/>
        <v>1</v>
      </c>
      <c r="F3560" s="12">
        <v>0</v>
      </c>
    </row>
    <row r="3561" spans="3:6">
      <c r="C3561" s="12"/>
      <c r="D3561" s="12"/>
      <c r="E3561" t="b">
        <f t="shared" si="55"/>
        <v>1</v>
      </c>
      <c r="F3561" s="12">
        <v>0</v>
      </c>
    </row>
    <row r="3562" spans="3:6">
      <c r="C3562" s="12"/>
      <c r="D3562" s="12"/>
      <c r="E3562" t="b">
        <f t="shared" si="55"/>
        <v>1</v>
      </c>
      <c r="F3562" s="12">
        <v>0</v>
      </c>
    </row>
    <row r="3563" spans="3:6">
      <c r="C3563" s="12"/>
      <c r="D3563" s="12"/>
      <c r="E3563" t="b">
        <f t="shared" si="55"/>
        <v>1</v>
      </c>
      <c r="F3563" s="12">
        <v>0</v>
      </c>
    </row>
    <row r="3564" spans="3:6">
      <c r="C3564" s="12"/>
      <c r="D3564" s="12"/>
      <c r="E3564" t="b">
        <f t="shared" si="55"/>
        <v>1</v>
      </c>
      <c r="F3564" s="12">
        <v>0</v>
      </c>
    </row>
    <row r="3565" spans="3:6">
      <c r="C3565" s="12"/>
      <c r="D3565" s="12"/>
      <c r="E3565" t="b">
        <f t="shared" si="55"/>
        <v>1</v>
      </c>
      <c r="F3565" s="12">
        <v>0</v>
      </c>
    </row>
    <row r="3566" spans="3:6">
      <c r="C3566" s="12"/>
      <c r="D3566" s="12"/>
      <c r="E3566" t="b">
        <f t="shared" si="55"/>
        <v>1</v>
      </c>
      <c r="F3566" s="12">
        <v>0</v>
      </c>
    </row>
    <row r="3567" spans="3:6">
      <c r="C3567" s="12"/>
      <c r="D3567" s="12"/>
      <c r="E3567" t="b">
        <f t="shared" si="55"/>
        <v>1</v>
      </c>
      <c r="F3567" s="12">
        <v>0</v>
      </c>
    </row>
    <row r="3568" spans="3:6">
      <c r="C3568" s="12"/>
      <c r="D3568" s="12"/>
      <c r="E3568" t="b">
        <f t="shared" si="55"/>
        <v>1</v>
      </c>
      <c r="F3568" s="12">
        <v>0</v>
      </c>
    </row>
    <row r="3569" spans="3:6">
      <c r="C3569" s="12"/>
      <c r="D3569" s="12"/>
      <c r="E3569" t="b">
        <f t="shared" si="55"/>
        <v>1</v>
      </c>
      <c r="F3569" s="12">
        <v>0</v>
      </c>
    </row>
    <row r="3570" spans="3:6">
      <c r="C3570" s="12"/>
      <c r="D3570" s="12"/>
      <c r="E3570" t="b">
        <f t="shared" si="55"/>
        <v>1</v>
      </c>
      <c r="F3570" s="12">
        <v>0</v>
      </c>
    </row>
    <row r="3571" spans="3:6">
      <c r="C3571" s="12"/>
      <c r="D3571" s="12"/>
      <c r="E3571" t="b">
        <f t="shared" si="55"/>
        <v>1</v>
      </c>
      <c r="F3571" s="12">
        <v>0</v>
      </c>
    </row>
    <row r="3572" spans="3:6">
      <c r="C3572" s="12"/>
      <c r="D3572" s="12"/>
      <c r="E3572" t="b">
        <f t="shared" si="55"/>
        <v>1</v>
      </c>
      <c r="F3572" s="12">
        <v>0</v>
      </c>
    </row>
    <row r="3573" spans="3:6">
      <c r="C3573" s="12"/>
      <c r="D3573" s="12"/>
      <c r="E3573" t="b">
        <f t="shared" si="55"/>
        <v>1</v>
      </c>
      <c r="F3573" s="12">
        <v>0</v>
      </c>
    </row>
    <row r="3574" spans="3:6">
      <c r="C3574" s="12"/>
      <c r="D3574" s="12"/>
      <c r="E3574" t="b">
        <f t="shared" si="55"/>
        <v>1</v>
      </c>
      <c r="F3574" s="12">
        <v>0</v>
      </c>
    </row>
    <row r="3575" spans="3:6">
      <c r="C3575" s="12"/>
      <c r="D3575" s="12"/>
      <c r="E3575" t="b">
        <f t="shared" si="55"/>
        <v>1</v>
      </c>
      <c r="F3575" s="12">
        <v>0</v>
      </c>
    </row>
    <row r="3576" spans="3:6">
      <c r="C3576" s="12"/>
      <c r="D3576" s="12"/>
      <c r="E3576" t="b">
        <f t="shared" si="55"/>
        <v>1</v>
      </c>
      <c r="F3576" s="12">
        <v>0</v>
      </c>
    </row>
    <row r="3577" spans="3:6">
      <c r="C3577" s="12"/>
      <c r="D3577" s="12"/>
      <c r="E3577" t="b">
        <f t="shared" si="55"/>
        <v>1</v>
      </c>
      <c r="F3577" s="12">
        <v>0</v>
      </c>
    </row>
    <row r="3578" spans="3:6">
      <c r="C3578" s="12"/>
      <c r="D3578" s="12"/>
      <c r="E3578" t="b">
        <f t="shared" si="55"/>
        <v>1</v>
      </c>
      <c r="F3578" s="12">
        <v>0</v>
      </c>
    </row>
    <row r="3579" spans="3:6">
      <c r="C3579" s="12"/>
      <c r="D3579" s="12"/>
      <c r="E3579" t="b">
        <f t="shared" si="55"/>
        <v>1</v>
      </c>
      <c r="F3579" s="12">
        <v>0</v>
      </c>
    </row>
    <row r="3580" spans="3:6">
      <c r="C3580" s="12"/>
      <c r="D3580" s="12"/>
      <c r="E3580" t="b">
        <f t="shared" si="55"/>
        <v>1</v>
      </c>
      <c r="F3580" s="12">
        <v>0</v>
      </c>
    </row>
    <row r="3581" spans="3:6">
      <c r="C3581" s="12"/>
      <c r="D3581" s="12"/>
      <c r="E3581" t="b">
        <f t="shared" si="55"/>
        <v>1</v>
      </c>
      <c r="F3581" s="12">
        <v>0</v>
      </c>
    </row>
    <row r="3582" spans="3:6">
      <c r="C3582" s="12"/>
      <c r="D3582" s="12"/>
      <c r="E3582" t="b">
        <f t="shared" si="55"/>
        <v>1</v>
      </c>
      <c r="F3582" s="12">
        <v>0</v>
      </c>
    </row>
    <row r="3583" spans="3:6">
      <c r="C3583" s="12"/>
      <c r="D3583" s="12"/>
      <c r="E3583" t="b">
        <f t="shared" si="55"/>
        <v>1</v>
      </c>
      <c r="F3583" s="12">
        <v>0</v>
      </c>
    </row>
    <row r="3584" spans="3:6">
      <c r="C3584" s="12"/>
      <c r="D3584" s="12"/>
      <c r="E3584" t="b">
        <f t="shared" si="55"/>
        <v>1</v>
      </c>
      <c r="F3584" s="12">
        <v>0</v>
      </c>
    </row>
    <row r="3585" spans="3:6">
      <c r="C3585" s="12"/>
      <c r="D3585" s="12"/>
      <c r="E3585" t="b">
        <f t="shared" si="55"/>
        <v>1</v>
      </c>
      <c r="F3585" s="12">
        <v>0</v>
      </c>
    </row>
    <row r="3586" spans="3:6">
      <c r="C3586" s="12"/>
      <c r="D3586" s="12"/>
      <c r="E3586" t="b">
        <f t="shared" si="55"/>
        <v>1</v>
      </c>
      <c r="F3586" s="12">
        <v>0</v>
      </c>
    </row>
    <row r="3587" spans="3:6">
      <c r="C3587" s="12"/>
      <c r="D3587" s="12"/>
      <c r="E3587" t="b">
        <f t="shared" ref="E3587:E3650" si="56">F3587=C3587</f>
        <v>1</v>
      </c>
      <c r="F3587" s="12">
        <v>0</v>
      </c>
    </row>
    <row r="3588" spans="3:6">
      <c r="C3588" s="12"/>
      <c r="D3588" s="12"/>
      <c r="E3588" t="b">
        <f t="shared" si="56"/>
        <v>1</v>
      </c>
      <c r="F3588" s="12">
        <v>0</v>
      </c>
    </row>
    <row r="3589" spans="3:6">
      <c r="C3589" s="12"/>
      <c r="D3589" s="12"/>
      <c r="E3589" t="b">
        <f t="shared" si="56"/>
        <v>1</v>
      </c>
      <c r="F3589" s="12">
        <v>0</v>
      </c>
    </row>
    <row r="3590" spans="3:6">
      <c r="C3590" s="12"/>
      <c r="D3590" s="12"/>
      <c r="E3590" t="b">
        <f t="shared" si="56"/>
        <v>1</v>
      </c>
      <c r="F3590" s="12">
        <v>0</v>
      </c>
    </row>
    <row r="3591" spans="3:6">
      <c r="C3591" s="12"/>
      <c r="D3591" s="12"/>
      <c r="E3591" t="b">
        <f t="shared" si="56"/>
        <v>1</v>
      </c>
      <c r="F3591" s="12">
        <v>0</v>
      </c>
    </row>
    <row r="3592" spans="3:6">
      <c r="C3592" s="12"/>
      <c r="D3592" s="12"/>
      <c r="E3592" t="b">
        <f t="shared" si="56"/>
        <v>1</v>
      </c>
      <c r="F3592" s="12">
        <v>0</v>
      </c>
    </row>
    <row r="3593" spans="3:6">
      <c r="C3593" s="12"/>
      <c r="D3593" s="12"/>
      <c r="E3593" t="b">
        <f t="shared" si="56"/>
        <v>1</v>
      </c>
      <c r="F3593" s="12">
        <v>0</v>
      </c>
    </row>
    <row r="3594" spans="3:6">
      <c r="C3594" s="12"/>
      <c r="D3594" s="12"/>
      <c r="E3594" t="b">
        <f t="shared" si="56"/>
        <v>1</v>
      </c>
      <c r="F3594" s="12">
        <v>0</v>
      </c>
    </row>
    <row r="3595" spans="3:6">
      <c r="C3595" s="12"/>
      <c r="D3595" s="12"/>
      <c r="E3595" t="b">
        <f t="shared" si="56"/>
        <v>1</v>
      </c>
      <c r="F3595" s="12">
        <v>0</v>
      </c>
    </row>
    <row r="3596" spans="3:6">
      <c r="C3596" s="12"/>
      <c r="D3596" s="12"/>
      <c r="E3596" t="b">
        <f t="shared" si="56"/>
        <v>1</v>
      </c>
      <c r="F3596" s="12">
        <v>0</v>
      </c>
    </row>
    <row r="3597" spans="3:6">
      <c r="C3597" s="12"/>
      <c r="D3597" s="12"/>
      <c r="E3597" t="b">
        <f t="shared" si="56"/>
        <v>1</v>
      </c>
      <c r="F3597" s="12">
        <v>0</v>
      </c>
    </row>
    <row r="3598" spans="3:6">
      <c r="C3598" s="12"/>
      <c r="D3598" s="12"/>
      <c r="E3598" t="b">
        <f t="shared" si="56"/>
        <v>1</v>
      </c>
      <c r="F3598" s="12">
        <v>0</v>
      </c>
    </row>
    <row r="3599" spans="3:6">
      <c r="C3599" s="12"/>
      <c r="D3599" s="12"/>
      <c r="E3599" t="b">
        <f t="shared" si="56"/>
        <v>1</v>
      </c>
      <c r="F3599" s="12">
        <v>0</v>
      </c>
    </row>
    <row r="3600" spans="3:6">
      <c r="C3600" s="12"/>
      <c r="D3600" s="12"/>
      <c r="E3600" t="b">
        <f t="shared" si="56"/>
        <v>1</v>
      </c>
      <c r="F3600" s="12">
        <v>0</v>
      </c>
    </row>
    <row r="3601" spans="3:6">
      <c r="C3601" s="12"/>
      <c r="D3601" s="12"/>
      <c r="E3601" t="b">
        <f t="shared" si="56"/>
        <v>1</v>
      </c>
      <c r="F3601" s="12">
        <v>0</v>
      </c>
    </row>
    <row r="3602" spans="3:6">
      <c r="C3602" s="12"/>
      <c r="D3602" s="12"/>
      <c r="E3602" t="b">
        <f t="shared" si="56"/>
        <v>1</v>
      </c>
      <c r="F3602" s="12">
        <v>0</v>
      </c>
    </row>
    <row r="3603" spans="3:6">
      <c r="C3603" s="12"/>
      <c r="D3603" s="12"/>
      <c r="E3603" t="b">
        <f t="shared" si="56"/>
        <v>1</v>
      </c>
      <c r="F3603" s="12">
        <v>0</v>
      </c>
    </row>
    <row r="3604" spans="3:6">
      <c r="C3604" s="12"/>
      <c r="D3604" s="12"/>
      <c r="E3604" t="b">
        <f t="shared" si="56"/>
        <v>1</v>
      </c>
      <c r="F3604" s="12">
        <v>0</v>
      </c>
    </row>
    <row r="3605" spans="3:6">
      <c r="C3605" s="12"/>
      <c r="D3605" s="12"/>
      <c r="E3605" t="b">
        <f t="shared" si="56"/>
        <v>1</v>
      </c>
      <c r="F3605" s="12">
        <v>0</v>
      </c>
    </row>
    <row r="3606" spans="3:6">
      <c r="C3606" s="12"/>
      <c r="D3606" s="12"/>
      <c r="E3606" t="b">
        <f t="shared" si="56"/>
        <v>1</v>
      </c>
      <c r="F3606" s="12">
        <v>0</v>
      </c>
    </row>
    <row r="3607" spans="3:6">
      <c r="C3607" s="12"/>
      <c r="D3607" s="12"/>
      <c r="E3607" t="b">
        <f t="shared" si="56"/>
        <v>1</v>
      </c>
      <c r="F3607" s="12">
        <v>0</v>
      </c>
    </row>
    <row r="3608" spans="3:6">
      <c r="C3608" s="12"/>
      <c r="D3608" s="12"/>
      <c r="E3608" t="b">
        <f t="shared" si="56"/>
        <v>1</v>
      </c>
      <c r="F3608" s="12">
        <v>0</v>
      </c>
    </row>
    <row r="3609" spans="3:6">
      <c r="C3609" s="12"/>
      <c r="D3609" s="12"/>
      <c r="E3609" t="b">
        <f t="shared" si="56"/>
        <v>1</v>
      </c>
      <c r="F3609" s="12">
        <v>0</v>
      </c>
    </row>
    <row r="3610" spans="3:6">
      <c r="C3610" s="12"/>
      <c r="D3610" s="12"/>
      <c r="E3610" t="b">
        <f t="shared" si="56"/>
        <v>1</v>
      </c>
      <c r="F3610" s="12">
        <v>0</v>
      </c>
    </row>
    <row r="3611" spans="3:6">
      <c r="C3611" s="12"/>
      <c r="D3611" s="12"/>
      <c r="E3611" t="b">
        <f t="shared" si="56"/>
        <v>1</v>
      </c>
      <c r="F3611" s="12">
        <v>0</v>
      </c>
    </row>
    <row r="3612" spans="3:6">
      <c r="C3612" s="12"/>
      <c r="D3612" s="12"/>
      <c r="E3612" t="b">
        <f t="shared" si="56"/>
        <v>1</v>
      </c>
      <c r="F3612" s="12">
        <v>0</v>
      </c>
    </row>
    <row r="3613" spans="3:6">
      <c r="C3613" s="12"/>
      <c r="D3613" s="12"/>
      <c r="E3613" t="b">
        <f t="shared" si="56"/>
        <v>1</v>
      </c>
      <c r="F3613" s="12">
        <v>0</v>
      </c>
    </row>
    <row r="3614" spans="3:6">
      <c r="C3614" s="12"/>
      <c r="D3614" s="12"/>
      <c r="E3614" t="b">
        <f t="shared" si="56"/>
        <v>1</v>
      </c>
      <c r="F3614" s="12">
        <v>0</v>
      </c>
    </row>
    <row r="3615" spans="3:6">
      <c r="C3615" s="12"/>
      <c r="D3615" s="12"/>
      <c r="E3615" t="b">
        <f t="shared" si="56"/>
        <v>1</v>
      </c>
      <c r="F3615" s="12">
        <v>0</v>
      </c>
    </row>
    <row r="3616" spans="3:6">
      <c r="C3616" s="12"/>
      <c r="D3616" s="12"/>
      <c r="E3616" t="b">
        <f t="shared" si="56"/>
        <v>1</v>
      </c>
      <c r="F3616" s="12">
        <v>0</v>
      </c>
    </row>
    <row r="3617" spans="3:6">
      <c r="C3617" s="12"/>
      <c r="D3617" s="12"/>
      <c r="E3617" t="b">
        <f t="shared" si="56"/>
        <v>1</v>
      </c>
      <c r="F3617" s="12">
        <v>0</v>
      </c>
    </row>
    <row r="3618" spans="3:6">
      <c r="C3618" s="12"/>
      <c r="D3618" s="12"/>
      <c r="E3618" t="b">
        <f t="shared" si="56"/>
        <v>1</v>
      </c>
      <c r="F3618" s="12">
        <v>0</v>
      </c>
    </row>
    <row r="3619" spans="3:6">
      <c r="C3619" s="12"/>
      <c r="D3619" s="12"/>
      <c r="E3619" t="b">
        <f t="shared" si="56"/>
        <v>1</v>
      </c>
      <c r="F3619" s="12">
        <v>0</v>
      </c>
    </row>
    <row r="3620" spans="3:6">
      <c r="C3620" s="12"/>
      <c r="D3620" s="12"/>
      <c r="E3620" t="b">
        <f t="shared" si="56"/>
        <v>1</v>
      </c>
      <c r="F3620" s="12">
        <v>0</v>
      </c>
    </row>
    <row r="3621" spans="3:6">
      <c r="C3621" s="12"/>
      <c r="D3621" s="12"/>
      <c r="E3621" t="b">
        <f t="shared" si="56"/>
        <v>1</v>
      </c>
      <c r="F3621" s="12">
        <v>0</v>
      </c>
    </row>
    <row r="3622" spans="3:6">
      <c r="C3622" s="12"/>
      <c r="D3622" s="12"/>
      <c r="E3622" t="b">
        <f t="shared" si="56"/>
        <v>1</v>
      </c>
      <c r="F3622" s="12">
        <v>0</v>
      </c>
    </row>
    <row r="3623" spans="3:6">
      <c r="C3623" s="12"/>
      <c r="D3623" s="12"/>
      <c r="E3623" t="b">
        <f t="shared" si="56"/>
        <v>1</v>
      </c>
      <c r="F3623" s="12">
        <v>0</v>
      </c>
    </row>
    <row r="3624" spans="3:6">
      <c r="C3624" s="12"/>
      <c r="D3624" s="12"/>
      <c r="E3624" t="b">
        <f t="shared" si="56"/>
        <v>1</v>
      </c>
      <c r="F3624" s="12">
        <v>0</v>
      </c>
    </row>
    <row r="3625" spans="3:6">
      <c r="C3625" s="12"/>
      <c r="D3625" s="12"/>
      <c r="E3625" t="b">
        <f t="shared" si="56"/>
        <v>1</v>
      </c>
      <c r="F3625" s="12">
        <v>0</v>
      </c>
    </row>
    <row r="3626" spans="3:6">
      <c r="C3626" s="12"/>
      <c r="D3626" s="12"/>
      <c r="E3626" t="b">
        <f t="shared" si="56"/>
        <v>1</v>
      </c>
      <c r="F3626" s="12">
        <v>0</v>
      </c>
    </row>
    <row r="3627" spans="3:6">
      <c r="C3627" s="12"/>
      <c r="D3627" s="12"/>
      <c r="E3627" t="b">
        <f t="shared" si="56"/>
        <v>1</v>
      </c>
      <c r="F3627" s="12">
        <v>0</v>
      </c>
    </row>
    <row r="3628" spans="3:6">
      <c r="C3628" s="12"/>
      <c r="D3628" s="12"/>
      <c r="E3628" t="b">
        <f t="shared" si="56"/>
        <v>1</v>
      </c>
      <c r="F3628" s="12">
        <v>0</v>
      </c>
    </row>
    <row r="3629" spans="3:6">
      <c r="C3629" s="12"/>
      <c r="D3629" s="12"/>
      <c r="E3629" t="b">
        <f t="shared" si="56"/>
        <v>1</v>
      </c>
      <c r="F3629" s="12">
        <v>0</v>
      </c>
    </row>
    <row r="3630" spans="3:6">
      <c r="C3630" s="12"/>
      <c r="D3630" s="12"/>
      <c r="E3630" t="b">
        <f t="shared" si="56"/>
        <v>1</v>
      </c>
      <c r="F3630" s="12">
        <v>0</v>
      </c>
    </row>
    <row r="3631" spans="3:6">
      <c r="C3631" s="12"/>
      <c r="D3631" s="12"/>
      <c r="E3631" t="b">
        <f t="shared" si="56"/>
        <v>1</v>
      </c>
      <c r="F3631" s="12">
        <v>0</v>
      </c>
    </row>
    <row r="3632" spans="3:6">
      <c r="C3632" s="12"/>
      <c r="D3632" s="12"/>
      <c r="E3632" t="b">
        <f t="shared" si="56"/>
        <v>1</v>
      </c>
      <c r="F3632" s="12">
        <v>0</v>
      </c>
    </row>
    <row r="3633" spans="3:6">
      <c r="C3633" s="12"/>
      <c r="D3633" s="12"/>
      <c r="E3633" t="b">
        <f t="shared" si="56"/>
        <v>1</v>
      </c>
      <c r="F3633" s="12">
        <v>0</v>
      </c>
    </row>
    <row r="3634" spans="3:6">
      <c r="C3634" s="12"/>
      <c r="D3634" s="12"/>
      <c r="E3634" t="b">
        <f t="shared" si="56"/>
        <v>1</v>
      </c>
      <c r="F3634" s="12">
        <v>0</v>
      </c>
    </row>
    <row r="3635" spans="3:6">
      <c r="C3635" s="12"/>
      <c r="D3635" s="12"/>
      <c r="E3635" t="b">
        <f t="shared" si="56"/>
        <v>1</v>
      </c>
      <c r="F3635" s="12">
        <v>0</v>
      </c>
    </row>
    <row r="3636" spans="3:6">
      <c r="C3636" s="12"/>
      <c r="D3636" s="12"/>
      <c r="E3636" t="b">
        <f t="shared" si="56"/>
        <v>1</v>
      </c>
      <c r="F3636" s="12">
        <v>0</v>
      </c>
    </row>
    <row r="3637" spans="3:6">
      <c r="C3637" s="12"/>
      <c r="D3637" s="12"/>
      <c r="E3637" t="b">
        <f t="shared" si="56"/>
        <v>1</v>
      </c>
      <c r="F3637" s="12">
        <v>0</v>
      </c>
    </row>
    <row r="3638" spans="3:6">
      <c r="C3638" s="12"/>
      <c r="D3638" s="12"/>
      <c r="E3638" t="b">
        <f t="shared" si="56"/>
        <v>1</v>
      </c>
      <c r="F3638" s="12">
        <v>0</v>
      </c>
    </row>
    <row r="3639" spans="3:6">
      <c r="C3639" s="12"/>
      <c r="D3639" s="12"/>
      <c r="E3639" t="b">
        <f t="shared" si="56"/>
        <v>1</v>
      </c>
      <c r="F3639" s="12">
        <v>0</v>
      </c>
    </row>
    <row r="3640" spans="3:6">
      <c r="C3640" s="12"/>
      <c r="D3640" s="12"/>
      <c r="E3640" t="b">
        <f t="shared" si="56"/>
        <v>1</v>
      </c>
      <c r="F3640" s="12">
        <v>0</v>
      </c>
    </row>
    <row r="3641" spans="3:6">
      <c r="C3641" s="12"/>
      <c r="D3641" s="12"/>
      <c r="E3641" t="b">
        <f t="shared" si="56"/>
        <v>1</v>
      </c>
      <c r="F3641" s="12">
        <v>0</v>
      </c>
    </row>
    <row r="3642" spans="3:6">
      <c r="C3642" s="12"/>
      <c r="D3642" s="12"/>
      <c r="E3642" t="b">
        <f t="shared" si="56"/>
        <v>1</v>
      </c>
      <c r="F3642" s="12">
        <v>0</v>
      </c>
    </row>
    <row r="3643" spans="3:6">
      <c r="C3643" s="12"/>
      <c r="D3643" s="12"/>
      <c r="E3643" t="b">
        <f t="shared" si="56"/>
        <v>1</v>
      </c>
      <c r="F3643" s="12">
        <v>0</v>
      </c>
    </row>
    <row r="3644" spans="3:6">
      <c r="C3644" s="12"/>
      <c r="D3644" s="12"/>
      <c r="E3644" t="b">
        <f t="shared" si="56"/>
        <v>1</v>
      </c>
      <c r="F3644" s="12">
        <v>0</v>
      </c>
    </row>
    <row r="3645" spans="3:6">
      <c r="C3645" s="12"/>
      <c r="D3645" s="12"/>
      <c r="E3645" t="b">
        <f t="shared" si="56"/>
        <v>1</v>
      </c>
      <c r="F3645" s="12">
        <v>0</v>
      </c>
    </row>
    <row r="3646" spans="3:6">
      <c r="C3646" s="12"/>
      <c r="D3646" s="12"/>
      <c r="E3646" t="b">
        <f t="shared" si="56"/>
        <v>1</v>
      </c>
      <c r="F3646" s="12">
        <v>0</v>
      </c>
    </row>
    <row r="3647" spans="3:6">
      <c r="C3647" s="12"/>
      <c r="D3647" s="12"/>
      <c r="E3647" t="b">
        <f t="shared" si="56"/>
        <v>1</v>
      </c>
      <c r="F3647" s="12">
        <v>0</v>
      </c>
    </row>
    <row r="3648" spans="3:6">
      <c r="C3648" s="12"/>
      <c r="D3648" s="12"/>
      <c r="E3648" t="b">
        <f t="shared" si="56"/>
        <v>1</v>
      </c>
      <c r="F3648" s="12">
        <v>0</v>
      </c>
    </row>
    <row r="3649" spans="3:6">
      <c r="C3649" s="12"/>
      <c r="D3649" s="12"/>
      <c r="E3649" t="b">
        <f t="shared" si="56"/>
        <v>1</v>
      </c>
      <c r="F3649" s="12">
        <v>0</v>
      </c>
    </row>
    <row r="3650" spans="3:6">
      <c r="C3650" s="12"/>
      <c r="D3650" s="12"/>
      <c r="E3650" t="b">
        <f t="shared" si="56"/>
        <v>1</v>
      </c>
      <c r="F3650" s="12">
        <v>0</v>
      </c>
    </row>
    <row r="3651" spans="3:6">
      <c r="C3651" s="12"/>
      <c r="D3651" s="12"/>
      <c r="E3651" t="b">
        <f t="shared" ref="E3651:E3714" si="57">F3651=C3651</f>
        <v>1</v>
      </c>
      <c r="F3651" s="12">
        <v>0</v>
      </c>
    </row>
    <row r="3652" spans="3:6">
      <c r="C3652" s="12"/>
      <c r="D3652" s="12"/>
      <c r="E3652" t="b">
        <f t="shared" si="57"/>
        <v>1</v>
      </c>
      <c r="F3652" s="12">
        <v>0</v>
      </c>
    </row>
    <row r="3653" spans="3:6">
      <c r="C3653" s="12"/>
      <c r="D3653" s="12"/>
      <c r="E3653" t="b">
        <f t="shared" si="57"/>
        <v>1</v>
      </c>
      <c r="F3653" s="12">
        <v>0</v>
      </c>
    </row>
    <row r="3654" spans="3:6">
      <c r="C3654" s="12"/>
      <c r="D3654" s="12"/>
      <c r="E3654" t="b">
        <f t="shared" si="57"/>
        <v>1</v>
      </c>
      <c r="F3654" s="12">
        <v>0</v>
      </c>
    </row>
    <row r="3655" spans="3:6">
      <c r="C3655" s="12"/>
      <c r="D3655" s="12"/>
      <c r="E3655" t="b">
        <f t="shared" si="57"/>
        <v>1</v>
      </c>
      <c r="F3655" s="12">
        <v>0</v>
      </c>
    </row>
    <row r="3656" spans="3:6">
      <c r="C3656" s="12"/>
      <c r="D3656" s="12"/>
      <c r="E3656" t="b">
        <f t="shared" si="57"/>
        <v>1</v>
      </c>
      <c r="F3656" s="12">
        <v>0</v>
      </c>
    </row>
    <row r="3657" spans="3:6">
      <c r="C3657" s="12"/>
      <c r="D3657" s="12"/>
      <c r="E3657" t="b">
        <f t="shared" si="57"/>
        <v>1</v>
      </c>
      <c r="F3657" s="12">
        <v>0</v>
      </c>
    </row>
    <row r="3658" spans="3:6">
      <c r="C3658" s="12"/>
      <c r="D3658" s="12"/>
      <c r="E3658" t="b">
        <f t="shared" si="57"/>
        <v>1</v>
      </c>
      <c r="F3658" s="12">
        <v>0</v>
      </c>
    </row>
    <row r="3659" spans="3:6">
      <c r="C3659" s="12"/>
      <c r="D3659" s="12"/>
      <c r="E3659" t="b">
        <f t="shared" si="57"/>
        <v>1</v>
      </c>
      <c r="F3659" s="12">
        <v>0</v>
      </c>
    </row>
    <row r="3660" spans="3:6">
      <c r="C3660" s="12"/>
      <c r="D3660" s="12"/>
      <c r="E3660" t="b">
        <f t="shared" si="57"/>
        <v>1</v>
      </c>
      <c r="F3660" s="12">
        <v>0</v>
      </c>
    </row>
    <row r="3661" spans="3:6">
      <c r="C3661" s="12"/>
      <c r="D3661" s="12"/>
      <c r="E3661" t="b">
        <f t="shared" si="57"/>
        <v>1</v>
      </c>
      <c r="F3661" s="12">
        <v>0</v>
      </c>
    </row>
    <row r="3662" spans="3:6">
      <c r="C3662" s="12"/>
      <c r="D3662" s="12"/>
      <c r="E3662" t="b">
        <f t="shared" si="57"/>
        <v>1</v>
      </c>
      <c r="F3662" s="12">
        <v>0</v>
      </c>
    </row>
    <row r="3663" spans="3:6">
      <c r="C3663" s="12"/>
      <c r="D3663" s="12"/>
      <c r="E3663" t="b">
        <f t="shared" si="57"/>
        <v>1</v>
      </c>
      <c r="F3663" s="12">
        <v>0</v>
      </c>
    </row>
    <row r="3664" spans="3:6">
      <c r="C3664" s="12"/>
      <c r="D3664" s="12"/>
      <c r="E3664" t="b">
        <f t="shared" si="57"/>
        <v>1</v>
      </c>
      <c r="F3664" s="12">
        <v>0</v>
      </c>
    </row>
    <row r="3665" spans="3:6">
      <c r="C3665" s="12"/>
      <c r="D3665" s="12"/>
      <c r="E3665" t="b">
        <f t="shared" si="57"/>
        <v>1</v>
      </c>
      <c r="F3665" s="12">
        <v>0</v>
      </c>
    </row>
    <row r="3666" spans="3:6">
      <c r="C3666" s="12"/>
      <c r="D3666" s="12"/>
      <c r="E3666" t="b">
        <f t="shared" si="57"/>
        <v>1</v>
      </c>
      <c r="F3666" s="12">
        <v>0</v>
      </c>
    </row>
    <row r="3667" spans="3:6">
      <c r="C3667" s="12"/>
      <c r="D3667" s="12"/>
      <c r="E3667" t="b">
        <f t="shared" si="57"/>
        <v>1</v>
      </c>
      <c r="F3667" s="12">
        <v>0</v>
      </c>
    </row>
    <row r="3668" spans="3:6">
      <c r="C3668" s="12"/>
      <c r="D3668" s="12"/>
      <c r="E3668" t="b">
        <f t="shared" si="57"/>
        <v>1</v>
      </c>
      <c r="F3668" s="12">
        <v>0</v>
      </c>
    </row>
    <row r="3669" spans="3:6">
      <c r="C3669" s="12"/>
      <c r="D3669" s="12"/>
      <c r="E3669" t="b">
        <f t="shared" si="57"/>
        <v>1</v>
      </c>
      <c r="F3669" s="12">
        <v>0</v>
      </c>
    </row>
    <row r="3670" spans="3:6">
      <c r="C3670" s="12"/>
      <c r="D3670" s="12"/>
      <c r="E3670" t="b">
        <f t="shared" si="57"/>
        <v>1</v>
      </c>
      <c r="F3670" s="12">
        <v>0</v>
      </c>
    </row>
    <row r="3671" spans="3:6">
      <c r="C3671" s="12"/>
      <c r="D3671" s="12"/>
      <c r="E3671" t="b">
        <f t="shared" si="57"/>
        <v>1</v>
      </c>
      <c r="F3671" s="12">
        <v>0</v>
      </c>
    </row>
    <row r="3672" spans="3:6">
      <c r="C3672" s="12"/>
      <c r="D3672" s="12"/>
      <c r="E3672" t="b">
        <f t="shared" si="57"/>
        <v>1</v>
      </c>
      <c r="F3672" s="12">
        <v>0</v>
      </c>
    </row>
    <row r="3673" spans="3:6">
      <c r="C3673" s="12"/>
      <c r="D3673" s="12"/>
      <c r="E3673" t="b">
        <f t="shared" si="57"/>
        <v>1</v>
      </c>
      <c r="F3673" s="12">
        <v>0</v>
      </c>
    </row>
    <row r="3674" spans="3:6">
      <c r="C3674" s="12"/>
      <c r="D3674" s="12"/>
      <c r="E3674" t="b">
        <f t="shared" si="57"/>
        <v>1</v>
      </c>
      <c r="F3674" s="12">
        <v>0</v>
      </c>
    </row>
    <row r="3675" spans="3:6">
      <c r="C3675" s="12"/>
      <c r="D3675" s="12"/>
      <c r="E3675" t="b">
        <f t="shared" si="57"/>
        <v>1</v>
      </c>
      <c r="F3675" s="12">
        <v>0</v>
      </c>
    </row>
    <row r="3676" spans="3:6">
      <c r="C3676" s="12"/>
      <c r="D3676" s="12"/>
      <c r="E3676" t="b">
        <f t="shared" si="57"/>
        <v>1</v>
      </c>
      <c r="F3676" s="12">
        <v>0</v>
      </c>
    </row>
    <row r="3677" spans="3:6">
      <c r="C3677" s="12"/>
      <c r="D3677" s="12"/>
      <c r="E3677" t="b">
        <f t="shared" si="57"/>
        <v>1</v>
      </c>
      <c r="F3677" s="12">
        <v>0</v>
      </c>
    </row>
    <row r="3678" spans="3:6">
      <c r="C3678" s="12"/>
      <c r="D3678" s="12"/>
      <c r="E3678" t="b">
        <f t="shared" si="57"/>
        <v>1</v>
      </c>
      <c r="F3678" s="12">
        <v>0</v>
      </c>
    </row>
    <row r="3679" spans="3:6">
      <c r="C3679" s="12"/>
      <c r="D3679" s="12"/>
      <c r="E3679" t="b">
        <f t="shared" si="57"/>
        <v>1</v>
      </c>
      <c r="F3679" s="12">
        <v>0</v>
      </c>
    </row>
    <row r="3680" spans="3:6">
      <c r="C3680" s="12"/>
      <c r="D3680" s="12"/>
      <c r="E3680" t="b">
        <f t="shared" si="57"/>
        <v>1</v>
      </c>
      <c r="F3680" s="12">
        <v>0</v>
      </c>
    </row>
    <row r="3681" spans="3:6">
      <c r="C3681" s="12"/>
      <c r="D3681" s="12"/>
      <c r="E3681" t="b">
        <f t="shared" si="57"/>
        <v>1</v>
      </c>
      <c r="F3681" s="12">
        <v>0</v>
      </c>
    </row>
    <row r="3682" spans="3:6">
      <c r="C3682" s="12"/>
      <c r="D3682" s="12"/>
      <c r="E3682" t="b">
        <f t="shared" si="57"/>
        <v>1</v>
      </c>
      <c r="F3682" s="12">
        <v>0</v>
      </c>
    </row>
    <row r="3683" spans="3:6">
      <c r="C3683" s="12"/>
      <c r="D3683" s="12"/>
      <c r="E3683" t="b">
        <f t="shared" si="57"/>
        <v>1</v>
      </c>
      <c r="F3683" s="12">
        <v>0</v>
      </c>
    </row>
    <row r="3684" spans="3:6">
      <c r="C3684" s="12"/>
      <c r="D3684" s="12"/>
      <c r="E3684" t="b">
        <f t="shared" si="57"/>
        <v>1</v>
      </c>
      <c r="F3684" s="12">
        <v>0</v>
      </c>
    </row>
    <row r="3685" spans="3:6">
      <c r="C3685" s="12"/>
      <c r="D3685" s="12"/>
      <c r="E3685" t="b">
        <f t="shared" si="57"/>
        <v>1</v>
      </c>
      <c r="F3685" s="12">
        <v>0</v>
      </c>
    </row>
    <row r="3686" spans="3:6">
      <c r="C3686" s="12"/>
      <c r="D3686" s="12"/>
      <c r="E3686" t="b">
        <f t="shared" si="57"/>
        <v>1</v>
      </c>
      <c r="F3686" s="12">
        <v>0</v>
      </c>
    </row>
    <row r="3687" spans="3:6">
      <c r="C3687" s="12"/>
      <c r="D3687" s="12"/>
      <c r="E3687" t="b">
        <f t="shared" si="57"/>
        <v>1</v>
      </c>
      <c r="F3687" s="12">
        <v>0</v>
      </c>
    </row>
    <row r="3688" spans="3:6">
      <c r="C3688" s="12"/>
      <c r="D3688" s="12"/>
      <c r="E3688" t="b">
        <f t="shared" si="57"/>
        <v>1</v>
      </c>
      <c r="F3688" s="12">
        <v>0</v>
      </c>
    </row>
    <row r="3689" spans="3:6">
      <c r="C3689" s="12"/>
      <c r="D3689" s="12"/>
      <c r="E3689" t="b">
        <f t="shared" si="57"/>
        <v>1</v>
      </c>
      <c r="F3689" s="12">
        <v>0</v>
      </c>
    </row>
    <row r="3690" spans="3:6">
      <c r="C3690" s="12"/>
      <c r="D3690" s="12"/>
      <c r="E3690" t="b">
        <f t="shared" si="57"/>
        <v>1</v>
      </c>
      <c r="F3690" s="12">
        <v>0</v>
      </c>
    </row>
    <row r="3691" spans="3:6">
      <c r="C3691" s="12"/>
      <c r="D3691" s="12"/>
      <c r="E3691" t="b">
        <f t="shared" si="57"/>
        <v>1</v>
      </c>
      <c r="F3691" s="12">
        <v>0</v>
      </c>
    </row>
    <row r="3692" spans="3:6">
      <c r="C3692" s="12"/>
      <c r="D3692" s="12"/>
      <c r="E3692" t="b">
        <f t="shared" si="57"/>
        <v>1</v>
      </c>
      <c r="F3692" s="12">
        <v>0</v>
      </c>
    </row>
    <row r="3693" spans="3:6">
      <c r="C3693" s="12"/>
      <c r="D3693" s="12"/>
      <c r="E3693" t="b">
        <f t="shared" si="57"/>
        <v>1</v>
      </c>
      <c r="F3693" s="12">
        <v>0</v>
      </c>
    </row>
    <row r="3694" spans="3:6">
      <c r="C3694" s="12"/>
      <c r="D3694" s="12"/>
      <c r="E3694" t="b">
        <f t="shared" si="57"/>
        <v>1</v>
      </c>
      <c r="F3694" s="12">
        <v>0</v>
      </c>
    </row>
    <row r="3695" spans="3:6">
      <c r="C3695" s="12"/>
      <c r="D3695" s="12"/>
      <c r="E3695" t="b">
        <f t="shared" si="57"/>
        <v>1</v>
      </c>
      <c r="F3695" s="12">
        <v>0</v>
      </c>
    </row>
    <row r="3696" spans="3:6">
      <c r="C3696" s="12"/>
      <c r="D3696" s="12"/>
      <c r="E3696" t="b">
        <f t="shared" si="57"/>
        <v>1</v>
      </c>
      <c r="F3696" s="12">
        <v>0</v>
      </c>
    </row>
    <row r="3697" spans="3:6">
      <c r="C3697" s="12"/>
      <c r="D3697" s="12"/>
      <c r="E3697" t="b">
        <f t="shared" si="57"/>
        <v>1</v>
      </c>
      <c r="F3697" s="12">
        <v>0</v>
      </c>
    </row>
    <row r="3698" spans="3:6">
      <c r="C3698" s="12"/>
      <c r="D3698" s="12"/>
      <c r="E3698" t="b">
        <f t="shared" si="57"/>
        <v>1</v>
      </c>
      <c r="F3698" s="12">
        <v>0</v>
      </c>
    </row>
    <row r="3699" spans="3:6">
      <c r="C3699" s="12"/>
      <c r="D3699" s="12"/>
      <c r="E3699" t="b">
        <f t="shared" si="57"/>
        <v>1</v>
      </c>
      <c r="F3699" s="12">
        <v>0</v>
      </c>
    </row>
    <row r="3700" spans="3:6">
      <c r="C3700" s="12"/>
      <c r="D3700" s="12"/>
      <c r="E3700" t="b">
        <f t="shared" si="57"/>
        <v>1</v>
      </c>
      <c r="F3700" s="12">
        <v>0</v>
      </c>
    </row>
    <row r="3701" spans="3:6">
      <c r="C3701" s="12"/>
      <c r="D3701" s="12"/>
      <c r="E3701" t="b">
        <f t="shared" si="57"/>
        <v>1</v>
      </c>
      <c r="F3701" s="12">
        <v>0</v>
      </c>
    </row>
    <row r="3702" spans="3:6">
      <c r="C3702" s="12"/>
      <c r="D3702" s="12"/>
      <c r="E3702" t="b">
        <f t="shared" si="57"/>
        <v>1</v>
      </c>
      <c r="F3702" s="12">
        <v>0</v>
      </c>
    </row>
    <row r="3703" spans="3:6">
      <c r="C3703" s="12"/>
      <c r="D3703" s="12"/>
      <c r="E3703" t="b">
        <f t="shared" si="57"/>
        <v>1</v>
      </c>
      <c r="F3703" s="12">
        <v>0</v>
      </c>
    </row>
    <row r="3704" spans="3:6">
      <c r="C3704" s="12"/>
      <c r="D3704" s="12"/>
      <c r="E3704" t="b">
        <f t="shared" si="57"/>
        <v>1</v>
      </c>
      <c r="F3704" s="12">
        <v>0</v>
      </c>
    </row>
    <row r="3705" spans="3:6">
      <c r="C3705" s="12"/>
      <c r="D3705" s="12"/>
      <c r="E3705" t="b">
        <f t="shared" si="57"/>
        <v>1</v>
      </c>
      <c r="F3705" s="12">
        <v>0</v>
      </c>
    </row>
    <row r="3706" spans="3:6">
      <c r="C3706" s="12"/>
      <c r="D3706" s="12"/>
      <c r="E3706" t="b">
        <f t="shared" si="57"/>
        <v>1</v>
      </c>
      <c r="F3706" s="12">
        <v>0</v>
      </c>
    </row>
    <row r="3707" spans="3:6">
      <c r="C3707" s="12"/>
      <c r="D3707" s="12"/>
      <c r="E3707" t="b">
        <f t="shared" si="57"/>
        <v>1</v>
      </c>
      <c r="F3707" s="12">
        <v>0</v>
      </c>
    </row>
    <row r="3708" spans="3:6">
      <c r="C3708" s="12"/>
      <c r="D3708" s="12"/>
      <c r="E3708" t="b">
        <f t="shared" si="57"/>
        <v>1</v>
      </c>
      <c r="F3708" s="12">
        <v>0</v>
      </c>
    </row>
    <row r="3709" spans="3:6">
      <c r="C3709" s="12"/>
      <c r="D3709" s="12"/>
      <c r="E3709" t="b">
        <f t="shared" si="57"/>
        <v>1</v>
      </c>
      <c r="F3709" s="12">
        <v>0</v>
      </c>
    </row>
    <row r="3710" spans="3:6">
      <c r="C3710" s="12"/>
      <c r="D3710" s="12"/>
      <c r="E3710" t="b">
        <f t="shared" si="57"/>
        <v>1</v>
      </c>
      <c r="F3710" s="12">
        <v>0</v>
      </c>
    </row>
    <row r="3711" spans="3:6">
      <c r="C3711" s="12"/>
      <c r="D3711" s="12"/>
      <c r="E3711" t="b">
        <f t="shared" si="57"/>
        <v>1</v>
      </c>
      <c r="F3711" s="12">
        <v>0</v>
      </c>
    </row>
    <row r="3712" spans="3:6">
      <c r="C3712" s="12"/>
      <c r="D3712" s="12"/>
      <c r="E3712" t="b">
        <f t="shared" si="57"/>
        <v>1</v>
      </c>
      <c r="F3712" s="12">
        <v>0</v>
      </c>
    </row>
    <row r="3713" spans="3:6">
      <c r="C3713" s="12"/>
      <c r="D3713" s="12"/>
      <c r="E3713" t="b">
        <f t="shared" si="57"/>
        <v>1</v>
      </c>
      <c r="F3713" s="12">
        <v>0</v>
      </c>
    </row>
    <row r="3714" spans="3:6">
      <c r="C3714" s="12"/>
      <c r="D3714" s="12"/>
      <c r="E3714" t="b">
        <f t="shared" si="57"/>
        <v>1</v>
      </c>
      <c r="F3714" s="12">
        <v>0</v>
      </c>
    </row>
    <row r="3715" spans="3:6">
      <c r="C3715" s="12"/>
      <c r="D3715" s="12"/>
      <c r="E3715" t="b">
        <f t="shared" ref="E3715:E3778" si="58">F3715=C3715</f>
        <v>1</v>
      </c>
      <c r="F3715" s="12">
        <v>0</v>
      </c>
    </row>
    <row r="3716" spans="3:6">
      <c r="C3716" s="12"/>
      <c r="D3716" s="12"/>
      <c r="E3716" t="b">
        <f t="shared" si="58"/>
        <v>1</v>
      </c>
      <c r="F3716" s="12">
        <v>0</v>
      </c>
    </row>
    <row r="3717" spans="3:6">
      <c r="C3717" s="12"/>
      <c r="D3717" s="12"/>
      <c r="E3717" t="b">
        <f t="shared" si="58"/>
        <v>1</v>
      </c>
      <c r="F3717" s="12">
        <v>0</v>
      </c>
    </row>
    <row r="3718" spans="3:6">
      <c r="C3718" s="12"/>
      <c r="D3718" s="12"/>
      <c r="E3718" t="b">
        <f t="shared" si="58"/>
        <v>1</v>
      </c>
      <c r="F3718" s="12">
        <v>0</v>
      </c>
    </row>
    <row r="3719" spans="3:6">
      <c r="C3719" s="12"/>
      <c r="D3719" s="12"/>
      <c r="E3719" t="b">
        <f t="shared" si="58"/>
        <v>1</v>
      </c>
      <c r="F3719" s="12">
        <v>0</v>
      </c>
    </row>
    <row r="3720" spans="3:6">
      <c r="C3720" s="12"/>
      <c r="D3720" s="12"/>
      <c r="E3720" t="b">
        <f t="shared" si="58"/>
        <v>1</v>
      </c>
      <c r="F3720" s="12">
        <v>0</v>
      </c>
    </row>
    <row r="3721" spans="3:6">
      <c r="C3721" s="12"/>
      <c r="D3721" s="12"/>
      <c r="E3721" t="b">
        <f t="shared" si="58"/>
        <v>1</v>
      </c>
      <c r="F3721" s="12">
        <v>0</v>
      </c>
    </row>
    <row r="3722" spans="3:6">
      <c r="C3722" s="12"/>
      <c r="D3722" s="12"/>
      <c r="E3722" t="b">
        <f t="shared" si="58"/>
        <v>1</v>
      </c>
      <c r="F3722" s="12">
        <v>0</v>
      </c>
    </row>
    <row r="3723" spans="3:6">
      <c r="C3723" s="12"/>
      <c r="D3723" s="12"/>
      <c r="E3723" t="b">
        <f t="shared" si="58"/>
        <v>1</v>
      </c>
      <c r="F3723" s="12">
        <v>0</v>
      </c>
    </row>
    <row r="3724" spans="3:6">
      <c r="C3724" s="12"/>
      <c r="D3724" s="12"/>
      <c r="E3724" t="b">
        <f t="shared" si="58"/>
        <v>1</v>
      </c>
      <c r="F3724" s="12">
        <v>0</v>
      </c>
    </row>
    <row r="3725" spans="3:6">
      <c r="C3725" s="12"/>
      <c r="D3725" s="12"/>
      <c r="E3725" t="b">
        <f t="shared" si="58"/>
        <v>1</v>
      </c>
      <c r="F3725" s="12">
        <v>0</v>
      </c>
    </row>
    <row r="3726" spans="3:6">
      <c r="C3726" s="12"/>
      <c r="D3726" s="12"/>
      <c r="E3726" t="b">
        <f t="shared" si="58"/>
        <v>1</v>
      </c>
      <c r="F3726" s="12">
        <v>0</v>
      </c>
    </row>
    <row r="3727" spans="3:6">
      <c r="C3727" s="12"/>
      <c r="D3727" s="12"/>
      <c r="E3727" t="b">
        <f t="shared" si="58"/>
        <v>1</v>
      </c>
      <c r="F3727" s="12">
        <v>0</v>
      </c>
    </row>
    <row r="3728" spans="3:6">
      <c r="C3728" s="12"/>
      <c r="D3728" s="12"/>
      <c r="E3728" t="b">
        <f t="shared" si="58"/>
        <v>1</v>
      </c>
      <c r="F3728" s="12">
        <v>0</v>
      </c>
    </row>
    <row r="3729" spans="3:6">
      <c r="C3729" s="12"/>
      <c r="D3729" s="12"/>
      <c r="E3729" t="b">
        <f t="shared" si="58"/>
        <v>1</v>
      </c>
      <c r="F3729" s="12">
        <v>0</v>
      </c>
    </row>
    <row r="3730" spans="3:6">
      <c r="C3730" s="12"/>
      <c r="D3730" s="12"/>
      <c r="E3730" t="b">
        <f t="shared" si="58"/>
        <v>1</v>
      </c>
      <c r="F3730" s="12">
        <v>0</v>
      </c>
    </row>
    <row r="3731" spans="3:6">
      <c r="C3731" s="12"/>
      <c r="D3731" s="12"/>
      <c r="E3731" t="b">
        <f t="shared" si="58"/>
        <v>1</v>
      </c>
      <c r="F3731" s="12">
        <v>0</v>
      </c>
    </row>
    <row r="3732" spans="3:6">
      <c r="C3732" s="12"/>
      <c r="D3732" s="12"/>
      <c r="E3732" t="b">
        <f t="shared" si="58"/>
        <v>1</v>
      </c>
      <c r="F3732" s="12">
        <v>0</v>
      </c>
    </row>
    <row r="3733" spans="3:6">
      <c r="C3733" s="12"/>
      <c r="D3733" s="12"/>
      <c r="E3733" t="b">
        <f t="shared" si="58"/>
        <v>1</v>
      </c>
      <c r="F3733" s="12">
        <v>0</v>
      </c>
    </row>
    <row r="3734" spans="3:6">
      <c r="C3734" s="12"/>
      <c r="D3734" s="12"/>
      <c r="E3734" t="b">
        <f t="shared" si="58"/>
        <v>1</v>
      </c>
      <c r="F3734" s="12">
        <v>0</v>
      </c>
    </row>
    <row r="3735" spans="3:6">
      <c r="C3735" s="12"/>
      <c r="D3735" s="12"/>
      <c r="E3735" t="b">
        <f t="shared" si="58"/>
        <v>1</v>
      </c>
      <c r="F3735" s="12">
        <v>0</v>
      </c>
    </row>
    <row r="3736" spans="3:6">
      <c r="C3736" s="12"/>
      <c r="D3736" s="12"/>
      <c r="E3736" t="b">
        <f t="shared" si="58"/>
        <v>1</v>
      </c>
      <c r="F3736" s="12">
        <v>0</v>
      </c>
    </row>
    <row r="3737" spans="3:6">
      <c r="C3737" s="12"/>
      <c r="D3737" s="12"/>
      <c r="E3737" t="b">
        <f t="shared" si="58"/>
        <v>1</v>
      </c>
      <c r="F3737" s="12">
        <v>0</v>
      </c>
    </row>
    <row r="3738" spans="3:6">
      <c r="C3738" s="12"/>
      <c r="D3738" s="12"/>
      <c r="E3738" t="b">
        <f t="shared" si="58"/>
        <v>1</v>
      </c>
      <c r="F3738" s="12">
        <v>0</v>
      </c>
    </row>
    <row r="3739" spans="3:6">
      <c r="C3739" s="12"/>
      <c r="D3739" s="12"/>
      <c r="E3739" t="b">
        <f t="shared" si="58"/>
        <v>1</v>
      </c>
      <c r="F3739" s="12">
        <v>0</v>
      </c>
    </row>
    <row r="3740" spans="3:6">
      <c r="C3740" s="12"/>
      <c r="D3740" s="12"/>
      <c r="E3740" t="b">
        <f t="shared" si="58"/>
        <v>1</v>
      </c>
      <c r="F3740" s="12">
        <v>0</v>
      </c>
    </row>
    <row r="3741" spans="3:6">
      <c r="C3741" s="12"/>
      <c r="D3741" s="12"/>
      <c r="E3741" t="b">
        <f t="shared" si="58"/>
        <v>1</v>
      </c>
      <c r="F3741" s="12">
        <v>0</v>
      </c>
    </row>
    <row r="3742" spans="3:6">
      <c r="C3742" s="12"/>
      <c r="D3742" s="12"/>
      <c r="E3742" t="b">
        <f t="shared" si="58"/>
        <v>1</v>
      </c>
      <c r="F3742" s="12">
        <v>0</v>
      </c>
    </row>
    <row r="3743" spans="3:6">
      <c r="C3743" s="12"/>
      <c r="D3743" s="12"/>
      <c r="E3743" t="b">
        <f t="shared" si="58"/>
        <v>1</v>
      </c>
      <c r="F3743" s="12">
        <v>0</v>
      </c>
    </row>
    <row r="3744" spans="3:6">
      <c r="C3744" s="12"/>
      <c r="D3744" s="12"/>
      <c r="E3744" t="b">
        <f t="shared" si="58"/>
        <v>1</v>
      </c>
      <c r="F3744" s="12">
        <v>0</v>
      </c>
    </row>
    <row r="3745" spans="3:6">
      <c r="C3745" s="12"/>
      <c r="D3745" s="12"/>
      <c r="E3745" t="b">
        <f t="shared" si="58"/>
        <v>1</v>
      </c>
      <c r="F3745" s="12">
        <v>0</v>
      </c>
    </row>
    <row r="3746" spans="3:6">
      <c r="C3746" s="12"/>
      <c r="D3746" s="12"/>
      <c r="E3746" t="b">
        <f t="shared" si="58"/>
        <v>1</v>
      </c>
      <c r="F3746" s="12">
        <v>0</v>
      </c>
    </row>
    <row r="3747" spans="3:6">
      <c r="C3747" s="12"/>
      <c r="D3747" s="12"/>
      <c r="E3747" t="b">
        <f t="shared" si="58"/>
        <v>1</v>
      </c>
      <c r="F3747" s="12">
        <v>0</v>
      </c>
    </row>
    <row r="3748" spans="3:6">
      <c r="C3748" s="12"/>
      <c r="D3748" s="12"/>
      <c r="E3748" t="b">
        <f t="shared" si="58"/>
        <v>1</v>
      </c>
      <c r="F3748" s="12">
        <v>0</v>
      </c>
    </row>
    <row r="3749" spans="3:6">
      <c r="C3749" s="12"/>
      <c r="D3749" s="12"/>
      <c r="E3749" t="b">
        <f t="shared" si="58"/>
        <v>1</v>
      </c>
      <c r="F3749" s="12">
        <v>0</v>
      </c>
    </row>
    <row r="3750" spans="3:6">
      <c r="C3750" s="12"/>
      <c r="D3750" s="12"/>
      <c r="E3750" t="b">
        <f t="shared" si="58"/>
        <v>1</v>
      </c>
      <c r="F3750" s="12">
        <v>0</v>
      </c>
    </row>
    <row r="3751" spans="3:6">
      <c r="C3751" s="12"/>
      <c r="D3751" s="12"/>
      <c r="E3751" t="b">
        <f t="shared" si="58"/>
        <v>1</v>
      </c>
      <c r="F3751" s="12">
        <v>0</v>
      </c>
    </row>
    <row r="3752" spans="3:6">
      <c r="C3752" s="12"/>
      <c r="D3752" s="12"/>
      <c r="E3752" t="b">
        <f t="shared" si="58"/>
        <v>1</v>
      </c>
      <c r="F3752" s="12">
        <v>0</v>
      </c>
    </row>
    <row r="3753" spans="3:6">
      <c r="C3753" s="12"/>
      <c r="D3753" s="12"/>
      <c r="E3753" t="b">
        <f t="shared" si="58"/>
        <v>1</v>
      </c>
      <c r="F3753" s="12">
        <v>0</v>
      </c>
    </row>
    <row r="3754" spans="3:6">
      <c r="C3754" s="12"/>
      <c r="D3754" s="12"/>
      <c r="E3754" t="b">
        <f t="shared" si="58"/>
        <v>1</v>
      </c>
      <c r="F3754" s="12">
        <v>0</v>
      </c>
    </row>
    <row r="3755" spans="3:6">
      <c r="C3755" s="12"/>
      <c r="D3755" s="12"/>
      <c r="E3755" t="b">
        <f t="shared" si="58"/>
        <v>1</v>
      </c>
      <c r="F3755" s="12">
        <v>0</v>
      </c>
    </row>
    <row r="3756" spans="3:6">
      <c r="C3756" s="12"/>
      <c r="D3756" s="12"/>
      <c r="E3756" t="b">
        <f t="shared" si="58"/>
        <v>1</v>
      </c>
      <c r="F3756" s="12">
        <v>0</v>
      </c>
    </row>
    <row r="3757" spans="3:6">
      <c r="C3757" s="12"/>
      <c r="D3757" s="12"/>
      <c r="E3757" t="b">
        <f t="shared" si="58"/>
        <v>1</v>
      </c>
      <c r="F3757" s="12">
        <v>0</v>
      </c>
    </row>
    <row r="3758" spans="3:6">
      <c r="C3758" s="12"/>
      <c r="D3758" s="12"/>
      <c r="E3758" t="b">
        <f t="shared" si="58"/>
        <v>1</v>
      </c>
      <c r="F3758" s="12">
        <v>0</v>
      </c>
    </row>
    <row r="3759" spans="3:6">
      <c r="C3759" s="12"/>
      <c r="D3759" s="12"/>
      <c r="E3759" t="b">
        <f t="shared" si="58"/>
        <v>1</v>
      </c>
      <c r="F3759" s="12">
        <v>0</v>
      </c>
    </row>
    <row r="3760" spans="3:6">
      <c r="C3760" s="12"/>
      <c r="D3760" s="12"/>
      <c r="E3760" t="b">
        <f t="shared" si="58"/>
        <v>1</v>
      </c>
      <c r="F3760" s="12">
        <v>0</v>
      </c>
    </row>
    <row r="3761" spans="3:6">
      <c r="C3761" s="12"/>
      <c r="D3761" s="12"/>
      <c r="E3761" t="b">
        <f t="shared" si="58"/>
        <v>1</v>
      </c>
      <c r="F3761" s="12">
        <v>0</v>
      </c>
    </row>
    <row r="3762" spans="3:6">
      <c r="C3762" s="12"/>
      <c r="D3762" s="12"/>
      <c r="E3762" t="b">
        <f t="shared" si="58"/>
        <v>1</v>
      </c>
      <c r="F3762" s="12">
        <v>0</v>
      </c>
    </row>
    <row r="3763" spans="3:6">
      <c r="C3763" s="12"/>
      <c r="D3763" s="12"/>
      <c r="E3763" t="b">
        <f t="shared" si="58"/>
        <v>1</v>
      </c>
      <c r="F3763" s="12">
        <v>0</v>
      </c>
    </row>
    <row r="3764" spans="3:6">
      <c r="C3764" s="12"/>
      <c r="D3764" s="12"/>
      <c r="E3764" t="b">
        <f t="shared" si="58"/>
        <v>1</v>
      </c>
      <c r="F3764" s="12">
        <v>0</v>
      </c>
    </row>
    <row r="3765" spans="3:6">
      <c r="C3765" s="12"/>
      <c r="D3765" s="12"/>
      <c r="E3765" t="b">
        <f t="shared" si="58"/>
        <v>1</v>
      </c>
      <c r="F3765" s="12">
        <v>0</v>
      </c>
    </row>
    <row r="3766" spans="3:6">
      <c r="C3766" s="12"/>
      <c r="D3766" s="12"/>
      <c r="E3766" t="b">
        <f t="shared" si="58"/>
        <v>1</v>
      </c>
      <c r="F3766" s="12">
        <v>0</v>
      </c>
    </row>
    <row r="3767" spans="3:6">
      <c r="C3767" s="12"/>
      <c r="D3767" s="12"/>
      <c r="E3767" t="b">
        <f t="shared" si="58"/>
        <v>1</v>
      </c>
      <c r="F3767" s="12">
        <v>0</v>
      </c>
    </row>
    <row r="3768" spans="3:6">
      <c r="C3768" s="12"/>
      <c r="D3768" s="12"/>
      <c r="E3768" t="b">
        <f t="shared" si="58"/>
        <v>1</v>
      </c>
      <c r="F3768" s="12">
        <v>0</v>
      </c>
    </row>
    <row r="3769" spans="3:6">
      <c r="C3769" s="12"/>
      <c r="D3769" s="12"/>
      <c r="E3769" t="b">
        <f t="shared" si="58"/>
        <v>1</v>
      </c>
      <c r="F3769" s="12">
        <v>0</v>
      </c>
    </row>
    <row r="3770" spans="3:6">
      <c r="C3770" s="12"/>
      <c r="D3770" s="12"/>
      <c r="E3770" t="b">
        <f t="shared" si="58"/>
        <v>1</v>
      </c>
      <c r="F3770" s="12">
        <v>0</v>
      </c>
    </row>
    <row r="3771" spans="3:6">
      <c r="C3771" s="12"/>
      <c r="D3771" s="12"/>
      <c r="E3771" t="b">
        <f t="shared" si="58"/>
        <v>1</v>
      </c>
      <c r="F3771" s="12">
        <v>0</v>
      </c>
    </row>
    <row r="3772" spans="3:6">
      <c r="C3772" s="12"/>
      <c r="D3772" s="12"/>
      <c r="E3772" t="b">
        <f t="shared" si="58"/>
        <v>1</v>
      </c>
      <c r="F3772" s="12">
        <v>0</v>
      </c>
    </row>
    <row r="3773" spans="3:6">
      <c r="C3773" s="12"/>
      <c r="D3773" s="12"/>
      <c r="E3773" t="b">
        <f t="shared" si="58"/>
        <v>1</v>
      </c>
      <c r="F3773" s="12">
        <v>0</v>
      </c>
    </row>
    <row r="3774" spans="3:6">
      <c r="C3774" s="12"/>
      <c r="D3774" s="12"/>
      <c r="E3774" t="b">
        <f t="shared" si="58"/>
        <v>1</v>
      </c>
      <c r="F3774" s="12">
        <v>0</v>
      </c>
    </row>
    <row r="3775" spans="3:6">
      <c r="C3775" s="12"/>
      <c r="D3775" s="12"/>
      <c r="E3775" t="b">
        <f t="shared" si="58"/>
        <v>1</v>
      </c>
      <c r="F3775" s="12">
        <v>0</v>
      </c>
    </row>
    <row r="3776" spans="3:6">
      <c r="C3776" s="12"/>
      <c r="D3776" s="12"/>
      <c r="E3776" t="b">
        <f t="shared" si="58"/>
        <v>1</v>
      </c>
      <c r="F3776" s="12">
        <v>0</v>
      </c>
    </row>
    <row r="3777" spans="3:6">
      <c r="C3777" s="12"/>
      <c r="D3777" s="12"/>
      <c r="E3777" t="b">
        <f t="shared" si="58"/>
        <v>1</v>
      </c>
      <c r="F3777" s="12">
        <v>0</v>
      </c>
    </row>
    <row r="3778" spans="3:6">
      <c r="C3778" s="12"/>
      <c r="D3778" s="12"/>
      <c r="E3778" t="b">
        <f t="shared" si="58"/>
        <v>1</v>
      </c>
      <c r="F3778" s="12">
        <v>0</v>
      </c>
    </row>
    <row r="3779" spans="3:6">
      <c r="C3779" s="12"/>
      <c r="D3779" s="12"/>
      <c r="E3779" t="b">
        <f t="shared" ref="E3779:E3842" si="59">F3779=C3779</f>
        <v>1</v>
      </c>
      <c r="F3779" s="12">
        <v>0</v>
      </c>
    </row>
    <row r="3780" spans="3:6">
      <c r="C3780" s="12"/>
      <c r="D3780" s="12"/>
      <c r="E3780" t="b">
        <f t="shared" si="59"/>
        <v>1</v>
      </c>
      <c r="F3780" s="12">
        <v>0</v>
      </c>
    </row>
    <row r="3781" spans="3:6">
      <c r="C3781" s="12"/>
      <c r="D3781" s="12"/>
      <c r="E3781" t="b">
        <f t="shared" si="59"/>
        <v>1</v>
      </c>
      <c r="F3781" s="12">
        <v>0</v>
      </c>
    </row>
    <row r="3782" spans="3:6">
      <c r="C3782" s="12"/>
      <c r="D3782" s="12"/>
      <c r="E3782" t="b">
        <f t="shared" si="59"/>
        <v>1</v>
      </c>
      <c r="F3782" s="12">
        <v>0</v>
      </c>
    </row>
    <row r="3783" spans="3:6">
      <c r="C3783" s="12"/>
      <c r="D3783" s="12"/>
      <c r="E3783" t="b">
        <f t="shared" si="59"/>
        <v>1</v>
      </c>
      <c r="F3783" s="12">
        <v>0</v>
      </c>
    </row>
    <row r="3784" spans="3:6">
      <c r="C3784" s="12"/>
      <c r="D3784" s="12"/>
      <c r="E3784" t="b">
        <f t="shared" si="59"/>
        <v>1</v>
      </c>
      <c r="F3784" s="12">
        <v>0</v>
      </c>
    </row>
    <row r="3785" spans="3:6">
      <c r="C3785" s="12"/>
      <c r="D3785" s="12"/>
      <c r="E3785" t="b">
        <f t="shared" si="59"/>
        <v>1</v>
      </c>
      <c r="F3785" s="12">
        <v>0</v>
      </c>
    </row>
    <row r="3786" spans="3:6">
      <c r="C3786" s="12"/>
      <c r="D3786" s="12"/>
      <c r="E3786" t="b">
        <f t="shared" si="59"/>
        <v>1</v>
      </c>
      <c r="F3786" s="12">
        <v>0</v>
      </c>
    </row>
    <row r="3787" spans="3:6">
      <c r="C3787" s="12"/>
      <c r="D3787" s="12"/>
      <c r="E3787" t="b">
        <f t="shared" si="59"/>
        <v>1</v>
      </c>
      <c r="F3787" s="12">
        <v>0</v>
      </c>
    </row>
    <row r="3788" spans="3:6">
      <c r="C3788" s="12"/>
      <c r="D3788" s="12"/>
      <c r="E3788" t="b">
        <f t="shared" si="59"/>
        <v>1</v>
      </c>
      <c r="F3788" s="12">
        <v>0</v>
      </c>
    </row>
    <row r="3789" spans="3:6">
      <c r="C3789" s="12"/>
      <c r="D3789" s="12"/>
      <c r="E3789" t="b">
        <f t="shared" si="59"/>
        <v>1</v>
      </c>
      <c r="F3789" s="12">
        <v>0</v>
      </c>
    </row>
    <row r="3790" spans="3:6">
      <c r="C3790" s="12"/>
      <c r="D3790" s="12"/>
      <c r="E3790" t="b">
        <f t="shared" si="59"/>
        <v>1</v>
      </c>
      <c r="F3790" s="12">
        <v>0</v>
      </c>
    </row>
    <row r="3791" spans="3:6">
      <c r="C3791" s="12"/>
      <c r="D3791" s="12"/>
      <c r="E3791" t="b">
        <f t="shared" si="59"/>
        <v>1</v>
      </c>
      <c r="F3791" s="12">
        <v>0</v>
      </c>
    </row>
    <row r="3792" spans="3:6">
      <c r="C3792" s="12"/>
      <c r="D3792" s="12"/>
      <c r="E3792" t="b">
        <f t="shared" si="59"/>
        <v>1</v>
      </c>
      <c r="F3792" s="12">
        <v>0</v>
      </c>
    </row>
    <row r="3793" spans="3:6">
      <c r="C3793" s="12"/>
      <c r="D3793" s="12"/>
      <c r="E3793" t="b">
        <f t="shared" si="59"/>
        <v>1</v>
      </c>
      <c r="F3793" s="12">
        <v>0</v>
      </c>
    </row>
    <row r="3794" spans="3:6">
      <c r="C3794" s="12"/>
      <c r="D3794" s="12"/>
      <c r="E3794" t="b">
        <f t="shared" si="59"/>
        <v>1</v>
      </c>
      <c r="F3794" s="12">
        <v>0</v>
      </c>
    </row>
    <row r="3795" spans="3:6">
      <c r="C3795" s="12"/>
      <c r="D3795" s="12"/>
      <c r="E3795" t="b">
        <f t="shared" si="59"/>
        <v>1</v>
      </c>
      <c r="F3795" s="12">
        <v>0</v>
      </c>
    </row>
    <row r="3796" spans="3:6">
      <c r="C3796" s="12"/>
      <c r="D3796" s="12"/>
      <c r="E3796" t="b">
        <f t="shared" si="59"/>
        <v>1</v>
      </c>
      <c r="F3796" s="12">
        <v>0</v>
      </c>
    </row>
    <row r="3797" spans="3:6">
      <c r="C3797" s="12"/>
      <c r="D3797" s="12"/>
      <c r="E3797" t="b">
        <f t="shared" si="59"/>
        <v>1</v>
      </c>
      <c r="F3797" s="12">
        <v>0</v>
      </c>
    </row>
    <row r="3798" spans="3:6">
      <c r="C3798" s="12"/>
      <c r="D3798" s="12"/>
      <c r="E3798" t="b">
        <f t="shared" si="59"/>
        <v>1</v>
      </c>
      <c r="F3798" s="12">
        <v>0</v>
      </c>
    </row>
    <row r="3799" spans="3:6">
      <c r="C3799" s="12"/>
      <c r="D3799" s="12"/>
      <c r="E3799" t="b">
        <f t="shared" si="59"/>
        <v>1</v>
      </c>
      <c r="F3799" s="12">
        <v>0</v>
      </c>
    </row>
    <row r="3800" spans="3:6">
      <c r="C3800" s="12"/>
      <c r="D3800" s="12"/>
      <c r="E3800" t="b">
        <f t="shared" si="59"/>
        <v>1</v>
      </c>
      <c r="F3800" s="12">
        <v>0</v>
      </c>
    </row>
    <row r="3801" spans="3:6">
      <c r="C3801" s="12"/>
      <c r="D3801" s="12"/>
      <c r="E3801" t="b">
        <f t="shared" si="59"/>
        <v>1</v>
      </c>
      <c r="F3801" s="12">
        <v>0</v>
      </c>
    </row>
    <row r="3802" spans="3:6">
      <c r="C3802" s="12"/>
      <c r="D3802" s="12"/>
      <c r="E3802" t="b">
        <f t="shared" si="59"/>
        <v>1</v>
      </c>
      <c r="F3802" s="12">
        <v>0</v>
      </c>
    </row>
    <row r="3803" spans="3:6">
      <c r="C3803" s="12"/>
      <c r="D3803" s="12"/>
      <c r="E3803" t="b">
        <f t="shared" si="59"/>
        <v>1</v>
      </c>
      <c r="F3803" s="12">
        <v>0</v>
      </c>
    </row>
    <row r="3804" spans="3:6">
      <c r="C3804" s="12"/>
      <c r="D3804" s="12"/>
      <c r="E3804" t="b">
        <f t="shared" si="59"/>
        <v>1</v>
      </c>
      <c r="F3804" s="12">
        <v>0</v>
      </c>
    </row>
    <row r="3805" spans="3:6">
      <c r="C3805" s="12"/>
      <c r="D3805" s="12"/>
      <c r="E3805" t="b">
        <f t="shared" si="59"/>
        <v>1</v>
      </c>
      <c r="F3805" s="12">
        <v>0</v>
      </c>
    </row>
    <row r="3806" spans="3:6">
      <c r="C3806" s="12"/>
      <c r="D3806" s="12"/>
      <c r="E3806" t="b">
        <f t="shared" si="59"/>
        <v>1</v>
      </c>
      <c r="F3806" s="12">
        <v>0</v>
      </c>
    </row>
    <row r="3807" spans="3:6">
      <c r="C3807" s="12"/>
      <c r="D3807" s="12"/>
      <c r="E3807" t="b">
        <f t="shared" si="59"/>
        <v>1</v>
      </c>
      <c r="F3807" s="12">
        <v>0</v>
      </c>
    </row>
    <row r="3808" spans="3:6">
      <c r="C3808" s="12"/>
      <c r="D3808" s="12"/>
      <c r="E3808" t="b">
        <f t="shared" si="59"/>
        <v>1</v>
      </c>
      <c r="F3808" s="12">
        <v>0</v>
      </c>
    </row>
    <row r="3809" spans="3:6">
      <c r="C3809" s="12"/>
      <c r="D3809" s="12"/>
      <c r="E3809" t="b">
        <f t="shared" si="59"/>
        <v>1</v>
      </c>
      <c r="F3809" s="12">
        <v>0</v>
      </c>
    </row>
    <row r="3810" spans="3:6">
      <c r="C3810" s="12"/>
      <c r="D3810" s="12"/>
      <c r="E3810" t="b">
        <f t="shared" si="59"/>
        <v>1</v>
      </c>
      <c r="F3810" s="12">
        <v>0</v>
      </c>
    </row>
    <row r="3811" spans="3:6">
      <c r="C3811" s="12"/>
      <c r="D3811" s="12"/>
      <c r="E3811" t="b">
        <f t="shared" si="59"/>
        <v>1</v>
      </c>
      <c r="F3811" s="12">
        <v>0</v>
      </c>
    </row>
    <row r="3812" spans="3:6">
      <c r="C3812" s="12"/>
      <c r="D3812" s="12"/>
      <c r="E3812" t="b">
        <f t="shared" si="59"/>
        <v>1</v>
      </c>
      <c r="F3812" s="12">
        <v>0</v>
      </c>
    </row>
    <row r="3813" spans="3:6">
      <c r="C3813" s="12"/>
      <c r="D3813" s="12"/>
      <c r="E3813" t="b">
        <f t="shared" si="59"/>
        <v>1</v>
      </c>
      <c r="F3813" s="12">
        <v>0</v>
      </c>
    </row>
    <row r="3814" spans="3:6">
      <c r="C3814" s="12"/>
      <c r="D3814" s="12"/>
      <c r="E3814" t="b">
        <f t="shared" si="59"/>
        <v>1</v>
      </c>
      <c r="F3814" s="12">
        <v>0</v>
      </c>
    </row>
    <row r="3815" spans="3:6">
      <c r="C3815" s="12"/>
      <c r="D3815" s="12"/>
      <c r="E3815" t="b">
        <f t="shared" si="59"/>
        <v>1</v>
      </c>
      <c r="F3815" s="12">
        <v>0</v>
      </c>
    </row>
    <row r="3816" spans="3:6">
      <c r="C3816" s="12"/>
      <c r="D3816" s="12"/>
      <c r="E3816" t="b">
        <f t="shared" si="59"/>
        <v>1</v>
      </c>
      <c r="F3816" s="12">
        <v>0</v>
      </c>
    </row>
    <row r="3817" spans="3:6">
      <c r="C3817" s="12"/>
      <c r="D3817" s="12"/>
      <c r="E3817" t="b">
        <f t="shared" si="59"/>
        <v>1</v>
      </c>
      <c r="F3817" s="12">
        <v>0</v>
      </c>
    </row>
    <row r="3818" spans="3:6">
      <c r="C3818" s="12"/>
      <c r="D3818" s="12"/>
      <c r="E3818" t="b">
        <f t="shared" si="59"/>
        <v>1</v>
      </c>
      <c r="F3818" s="12">
        <v>0</v>
      </c>
    </row>
    <row r="3819" spans="3:6">
      <c r="C3819" s="12"/>
      <c r="D3819" s="12"/>
      <c r="E3819" t="b">
        <f t="shared" si="59"/>
        <v>1</v>
      </c>
      <c r="F3819" s="12">
        <v>0</v>
      </c>
    </row>
    <row r="3820" spans="3:6">
      <c r="C3820" s="12"/>
      <c r="D3820" s="12"/>
      <c r="E3820" t="b">
        <f t="shared" si="59"/>
        <v>1</v>
      </c>
      <c r="F3820" s="12">
        <v>0</v>
      </c>
    </row>
    <row r="3821" spans="3:6">
      <c r="C3821" s="12"/>
      <c r="D3821" s="12"/>
      <c r="E3821" t="b">
        <f t="shared" si="59"/>
        <v>1</v>
      </c>
      <c r="F3821" s="12">
        <v>0</v>
      </c>
    </row>
    <row r="3822" spans="3:6">
      <c r="C3822" s="12"/>
      <c r="D3822" s="12"/>
      <c r="E3822" t="b">
        <f t="shared" si="59"/>
        <v>1</v>
      </c>
      <c r="F3822" s="12">
        <v>0</v>
      </c>
    </row>
    <row r="3823" spans="3:6">
      <c r="C3823" s="12"/>
      <c r="D3823" s="12"/>
      <c r="E3823" t="b">
        <f t="shared" si="59"/>
        <v>1</v>
      </c>
      <c r="F3823" s="12">
        <v>0</v>
      </c>
    </row>
    <row r="3824" spans="3:6">
      <c r="C3824" s="12"/>
      <c r="D3824" s="12"/>
      <c r="E3824" t="b">
        <f t="shared" si="59"/>
        <v>1</v>
      </c>
      <c r="F3824" s="12">
        <v>0</v>
      </c>
    </row>
    <row r="3825" spans="3:6">
      <c r="C3825" s="12"/>
      <c r="D3825" s="12"/>
      <c r="E3825" t="b">
        <f t="shared" si="59"/>
        <v>1</v>
      </c>
      <c r="F3825" s="12">
        <v>0</v>
      </c>
    </row>
    <row r="3826" spans="3:6">
      <c r="C3826" s="12"/>
      <c r="D3826" s="12"/>
      <c r="E3826" t="b">
        <f t="shared" si="59"/>
        <v>1</v>
      </c>
      <c r="F3826" s="12">
        <v>0</v>
      </c>
    </row>
    <row r="3827" spans="3:6">
      <c r="C3827" s="12"/>
      <c r="D3827" s="12"/>
      <c r="E3827" t="b">
        <f t="shared" si="59"/>
        <v>1</v>
      </c>
      <c r="F3827" s="12">
        <v>0</v>
      </c>
    </row>
    <row r="3828" spans="3:6">
      <c r="C3828" s="12"/>
      <c r="D3828" s="12"/>
      <c r="E3828" t="b">
        <f t="shared" si="59"/>
        <v>1</v>
      </c>
      <c r="F3828" s="12">
        <v>0</v>
      </c>
    </row>
    <row r="3829" spans="3:6">
      <c r="C3829" s="12"/>
      <c r="D3829" s="12"/>
      <c r="E3829" t="b">
        <f t="shared" si="59"/>
        <v>1</v>
      </c>
      <c r="F3829" s="12">
        <v>0</v>
      </c>
    </row>
    <row r="3830" spans="3:6">
      <c r="C3830" s="12"/>
      <c r="D3830" s="12"/>
      <c r="E3830" t="b">
        <f t="shared" si="59"/>
        <v>1</v>
      </c>
      <c r="F3830" s="12">
        <v>0</v>
      </c>
    </row>
    <row r="3831" spans="3:6">
      <c r="C3831" s="12"/>
      <c r="D3831" s="12"/>
      <c r="E3831" t="b">
        <f t="shared" si="59"/>
        <v>1</v>
      </c>
      <c r="F3831" s="12">
        <v>0</v>
      </c>
    </row>
    <row r="3832" spans="3:6">
      <c r="C3832" s="12"/>
      <c r="D3832" s="12"/>
      <c r="E3832" t="b">
        <f t="shared" si="59"/>
        <v>1</v>
      </c>
      <c r="F3832" s="12">
        <v>0</v>
      </c>
    </row>
    <row r="3833" spans="3:6">
      <c r="C3833" s="12"/>
      <c r="D3833" s="12"/>
      <c r="E3833" t="b">
        <f t="shared" si="59"/>
        <v>1</v>
      </c>
      <c r="F3833" s="12">
        <v>0</v>
      </c>
    </row>
    <row r="3834" spans="3:6">
      <c r="C3834" s="12"/>
      <c r="D3834" s="12"/>
      <c r="E3834" t="b">
        <f t="shared" si="59"/>
        <v>1</v>
      </c>
      <c r="F3834" s="12">
        <v>0</v>
      </c>
    </row>
    <row r="3835" spans="3:6">
      <c r="C3835" s="12"/>
      <c r="D3835" s="12"/>
      <c r="E3835" t="b">
        <f t="shared" si="59"/>
        <v>1</v>
      </c>
      <c r="F3835" s="12">
        <v>0</v>
      </c>
    </row>
    <row r="3836" spans="3:6">
      <c r="C3836" s="12"/>
      <c r="D3836" s="12"/>
      <c r="E3836" t="b">
        <f t="shared" si="59"/>
        <v>1</v>
      </c>
      <c r="F3836" s="12">
        <v>0</v>
      </c>
    </row>
    <row r="3837" spans="3:6">
      <c r="C3837" s="12"/>
      <c r="D3837" s="12"/>
      <c r="E3837" t="b">
        <f t="shared" si="59"/>
        <v>1</v>
      </c>
      <c r="F3837" s="12">
        <v>0</v>
      </c>
    </row>
    <row r="3838" spans="3:6">
      <c r="C3838" s="12"/>
      <c r="D3838" s="12"/>
      <c r="E3838" t="b">
        <f t="shared" si="59"/>
        <v>1</v>
      </c>
      <c r="F3838" s="12">
        <v>0</v>
      </c>
    </row>
    <row r="3839" spans="3:6">
      <c r="C3839" s="12"/>
      <c r="D3839" s="12"/>
      <c r="E3839" t="b">
        <f t="shared" si="59"/>
        <v>1</v>
      </c>
      <c r="F3839" s="12">
        <v>0</v>
      </c>
    </row>
    <row r="3840" spans="3:6">
      <c r="C3840" s="12"/>
      <c r="D3840" s="12"/>
      <c r="E3840" t="b">
        <f t="shared" si="59"/>
        <v>1</v>
      </c>
      <c r="F3840" s="12">
        <v>0</v>
      </c>
    </row>
    <row r="3841" spans="3:6">
      <c r="C3841" s="12"/>
      <c r="D3841" s="12"/>
      <c r="E3841" t="b">
        <f t="shared" si="59"/>
        <v>1</v>
      </c>
      <c r="F3841" s="12">
        <v>0</v>
      </c>
    </row>
    <row r="3842" spans="3:6">
      <c r="C3842" s="12"/>
      <c r="D3842" s="12"/>
      <c r="E3842" t="b">
        <f t="shared" si="59"/>
        <v>1</v>
      </c>
      <c r="F3842" s="12">
        <v>0</v>
      </c>
    </row>
    <row r="3843" spans="3:6">
      <c r="C3843" s="12"/>
      <c r="D3843" s="12"/>
      <c r="E3843" t="b">
        <f t="shared" ref="E3843:E3906" si="60">F3843=C3843</f>
        <v>1</v>
      </c>
      <c r="F3843" s="12">
        <v>0</v>
      </c>
    </row>
    <row r="3844" spans="3:6">
      <c r="C3844" s="12"/>
      <c r="D3844" s="12"/>
      <c r="E3844" t="b">
        <f t="shared" si="60"/>
        <v>1</v>
      </c>
      <c r="F3844" s="12">
        <v>0</v>
      </c>
    </row>
    <row r="3845" spans="3:6">
      <c r="C3845" s="12"/>
      <c r="D3845" s="12"/>
      <c r="E3845" t="b">
        <f t="shared" si="60"/>
        <v>1</v>
      </c>
      <c r="F3845" s="12">
        <v>0</v>
      </c>
    </row>
    <row r="3846" spans="3:6">
      <c r="C3846" s="12"/>
      <c r="D3846" s="12"/>
      <c r="E3846" t="b">
        <f t="shared" si="60"/>
        <v>1</v>
      </c>
      <c r="F3846" s="12">
        <v>0</v>
      </c>
    </row>
    <row r="3847" spans="3:6">
      <c r="C3847" s="12"/>
      <c r="D3847" s="12"/>
      <c r="E3847" t="b">
        <f t="shared" si="60"/>
        <v>1</v>
      </c>
      <c r="F3847" s="12">
        <v>0</v>
      </c>
    </row>
    <row r="3848" spans="3:6">
      <c r="C3848" s="12"/>
      <c r="D3848" s="12"/>
      <c r="E3848" t="b">
        <f t="shared" si="60"/>
        <v>1</v>
      </c>
      <c r="F3848" s="12">
        <v>0</v>
      </c>
    </row>
    <row r="3849" spans="3:6">
      <c r="C3849" s="12"/>
      <c r="D3849" s="12"/>
      <c r="E3849" t="b">
        <f t="shared" si="60"/>
        <v>1</v>
      </c>
      <c r="F3849" s="12">
        <v>0</v>
      </c>
    </row>
    <row r="3850" spans="3:6">
      <c r="C3850" s="12"/>
      <c r="D3850" s="12"/>
      <c r="E3850" t="b">
        <f t="shared" si="60"/>
        <v>1</v>
      </c>
      <c r="F3850" s="12">
        <v>0</v>
      </c>
    </row>
    <row r="3851" spans="3:6">
      <c r="C3851" s="12"/>
      <c r="D3851" s="12"/>
      <c r="E3851" t="b">
        <f t="shared" si="60"/>
        <v>1</v>
      </c>
      <c r="F3851" s="12">
        <v>0</v>
      </c>
    </row>
    <row r="3852" spans="3:6">
      <c r="C3852" s="12"/>
      <c r="D3852" s="12"/>
      <c r="E3852" t="b">
        <f t="shared" si="60"/>
        <v>1</v>
      </c>
      <c r="F3852" s="12">
        <v>0</v>
      </c>
    </row>
    <row r="3853" spans="3:6">
      <c r="C3853" s="12"/>
      <c r="D3853" s="12"/>
      <c r="E3853" t="b">
        <f t="shared" si="60"/>
        <v>1</v>
      </c>
      <c r="F3853" s="12">
        <v>0</v>
      </c>
    </row>
    <row r="3854" spans="3:6">
      <c r="C3854" s="12"/>
      <c r="D3854" s="12"/>
      <c r="E3854" t="b">
        <f t="shared" si="60"/>
        <v>1</v>
      </c>
      <c r="F3854" s="12">
        <v>0</v>
      </c>
    </row>
    <row r="3855" spans="3:6">
      <c r="C3855" s="12"/>
      <c r="D3855" s="12"/>
      <c r="E3855" t="b">
        <f t="shared" si="60"/>
        <v>1</v>
      </c>
      <c r="F3855" s="12">
        <v>0</v>
      </c>
    </row>
    <row r="3856" spans="3:6">
      <c r="C3856" s="12"/>
      <c r="D3856" s="12"/>
      <c r="E3856" t="b">
        <f t="shared" si="60"/>
        <v>1</v>
      </c>
      <c r="F3856" s="12">
        <v>0</v>
      </c>
    </row>
    <row r="3857" spans="3:6">
      <c r="C3857" s="12"/>
      <c r="D3857" s="12"/>
      <c r="E3857" t="b">
        <f t="shared" si="60"/>
        <v>1</v>
      </c>
      <c r="F3857" s="12">
        <v>0</v>
      </c>
    </row>
    <row r="3858" spans="3:6">
      <c r="C3858" s="12"/>
      <c r="D3858" s="12"/>
      <c r="E3858" t="b">
        <f t="shared" si="60"/>
        <v>1</v>
      </c>
      <c r="F3858" s="12">
        <v>0</v>
      </c>
    </row>
    <row r="3859" spans="3:6">
      <c r="C3859" s="12"/>
      <c r="D3859" s="12"/>
      <c r="E3859" t="b">
        <f t="shared" si="60"/>
        <v>1</v>
      </c>
      <c r="F3859" s="12">
        <v>0</v>
      </c>
    </row>
    <row r="3860" spans="3:6">
      <c r="C3860" s="12"/>
      <c r="D3860" s="12"/>
      <c r="E3860" t="b">
        <f t="shared" si="60"/>
        <v>1</v>
      </c>
      <c r="F3860" s="12">
        <v>0</v>
      </c>
    </row>
    <row r="3861" spans="3:6">
      <c r="C3861" s="12"/>
      <c r="D3861" s="12"/>
      <c r="E3861" t="b">
        <f t="shared" si="60"/>
        <v>1</v>
      </c>
      <c r="F3861" s="12">
        <v>0</v>
      </c>
    </row>
    <row r="3862" spans="3:6">
      <c r="C3862" s="12"/>
      <c r="D3862" s="12"/>
      <c r="E3862" t="b">
        <f t="shared" si="60"/>
        <v>1</v>
      </c>
      <c r="F3862" s="12">
        <v>0</v>
      </c>
    </row>
    <row r="3863" spans="3:6">
      <c r="C3863" s="12"/>
      <c r="D3863" s="12"/>
      <c r="E3863" t="b">
        <f t="shared" si="60"/>
        <v>1</v>
      </c>
      <c r="F3863" s="12">
        <v>0</v>
      </c>
    </row>
    <row r="3864" spans="3:6">
      <c r="C3864" s="12"/>
      <c r="D3864" s="12"/>
      <c r="E3864" t="b">
        <f t="shared" si="60"/>
        <v>1</v>
      </c>
      <c r="F3864" s="12">
        <v>0</v>
      </c>
    </row>
    <row r="3865" spans="3:6">
      <c r="C3865" s="12"/>
      <c r="D3865" s="12"/>
      <c r="E3865" t="b">
        <f t="shared" si="60"/>
        <v>1</v>
      </c>
      <c r="F3865" s="12">
        <v>0</v>
      </c>
    </row>
    <row r="3866" spans="3:6">
      <c r="C3866" s="12"/>
      <c r="D3866" s="12"/>
      <c r="E3866" t="b">
        <f t="shared" si="60"/>
        <v>1</v>
      </c>
      <c r="F3866" s="12">
        <v>0</v>
      </c>
    </row>
    <row r="3867" spans="3:6">
      <c r="C3867" s="12"/>
      <c r="D3867" s="12"/>
      <c r="E3867" t="b">
        <f t="shared" si="60"/>
        <v>1</v>
      </c>
      <c r="F3867" s="12">
        <v>0</v>
      </c>
    </row>
    <row r="3868" spans="3:6">
      <c r="C3868" s="12"/>
      <c r="D3868" s="12"/>
      <c r="E3868" t="b">
        <f t="shared" si="60"/>
        <v>1</v>
      </c>
      <c r="F3868" s="12">
        <v>0</v>
      </c>
    </row>
    <row r="3869" spans="3:6">
      <c r="C3869" s="12"/>
      <c r="D3869" s="12"/>
      <c r="E3869" t="b">
        <f t="shared" si="60"/>
        <v>1</v>
      </c>
      <c r="F3869" s="12">
        <v>0</v>
      </c>
    </row>
    <row r="3870" spans="3:6">
      <c r="C3870" s="12"/>
      <c r="D3870" s="12"/>
      <c r="E3870" t="b">
        <f t="shared" si="60"/>
        <v>1</v>
      </c>
      <c r="F3870" s="12">
        <v>0</v>
      </c>
    </row>
    <row r="3871" spans="3:6">
      <c r="C3871" s="12"/>
      <c r="D3871" s="12"/>
      <c r="E3871" t="b">
        <f t="shared" si="60"/>
        <v>1</v>
      </c>
      <c r="F3871" s="12">
        <v>0</v>
      </c>
    </row>
    <row r="3872" spans="3:6">
      <c r="C3872" s="12"/>
      <c r="D3872" s="12"/>
      <c r="E3872" t="b">
        <f t="shared" si="60"/>
        <v>1</v>
      </c>
      <c r="F3872" s="12">
        <v>0</v>
      </c>
    </row>
    <row r="3873" spans="3:6">
      <c r="C3873" s="12"/>
      <c r="D3873" s="12"/>
      <c r="E3873" t="b">
        <f t="shared" si="60"/>
        <v>1</v>
      </c>
      <c r="F3873" s="12">
        <v>0</v>
      </c>
    </row>
    <row r="3874" spans="3:6">
      <c r="C3874" s="12"/>
      <c r="D3874" s="12"/>
      <c r="E3874" t="b">
        <f t="shared" si="60"/>
        <v>1</v>
      </c>
      <c r="F3874" s="12">
        <v>0</v>
      </c>
    </row>
    <row r="3875" spans="3:6">
      <c r="C3875" s="12"/>
      <c r="D3875" s="12"/>
      <c r="E3875" t="b">
        <f t="shared" si="60"/>
        <v>1</v>
      </c>
      <c r="F3875" s="12">
        <v>0</v>
      </c>
    </row>
    <row r="3876" spans="3:6">
      <c r="C3876" s="12"/>
      <c r="D3876" s="12"/>
      <c r="E3876" t="b">
        <f t="shared" si="60"/>
        <v>1</v>
      </c>
      <c r="F3876" s="12">
        <v>0</v>
      </c>
    </row>
    <row r="3877" spans="3:6">
      <c r="C3877" s="12"/>
      <c r="D3877" s="12"/>
      <c r="E3877" t="b">
        <f t="shared" si="60"/>
        <v>1</v>
      </c>
      <c r="F3877" s="12">
        <v>0</v>
      </c>
    </row>
    <row r="3878" spans="3:6">
      <c r="C3878" s="12"/>
      <c r="D3878" s="12"/>
      <c r="E3878" t="b">
        <f t="shared" si="60"/>
        <v>1</v>
      </c>
      <c r="F3878" s="12">
        <v>0</v>
      </c>
    </row>
    <row r="3879" spans="3:6">
      <c r="C3879" s="12"/>
      <c r="D3879" s="12"/>
      <c r="E3879" t="b">
        <f t="shared" si="60"/>
        <v>1</v>
      </c>
      <c r="F3879" s="12">
        <v>0</v>
      </c>
    </row>
    <row r="3880" spans="3:6">
      <c r="C3880" s="12"/>
      <c r="D3880" s="12"/>
      <c r="E3880" t="b">
        <f t="shared" si="60"/>
        <v>1</v>
      </c>
      <c r="F3880" s="12">
        <v>0</v>
      </c>
    </row>
    <row r="3881" spans="3:6">
      <c r="C3881" s="12"/>
      <c r="D3881" s="12"/>
      <c r="E3881" t="b">
        <f t="shared" si="60"/>
        <v>1</v>
      </c>
      <c r="F3881" s="12">
        <v>0</v>
      </c>
    </row>
    <row r="3882" spans="3:6">
      <c r="C3882" s="12"/>
      <c r="D3882" s="12"/>
      <c r="E3882" t="b">
        <f t="shared" si="60"/>
        <v>1</v>
      </c>
      <c r="F3882" s="12">
        <v>0</v>
      </c>
    </row>
    <row r="3883" spans="3:6">
      <c r="C3883" s="12"/>
      <c r="D3883" s="12"/>
      <c r="E3883" t="b">
        <f t="shared" si="60"/>
        <v>1</v>
      </c>
      <c r="F3883" s="12">
        <v>0</v>
      </c>
    </row>
    <row r="3884" spans="3:6">
      <c r="C3884" s="12"/>
      <c r="D3884" s="12"/>
      <c r="E3884" t="b">
        <f t="shared" si="60"/>
        <v>1</v>
      </c>
      <c r="F3884" s="12">
        <v>0</v>
      </c>
    </row>
    <row r="3885" spans="3:6">
      <c r="C3885" s="12"/>
      <c r="D3885" s="12"/>
      <c r="E3885" t="b">
        <f t="shared" si="60"/>
        <v>1</v>
      </c>
      <c r="F3885" s="12">
        <v>0</v>
      </c>
    </row>
    <row r="3886" spans="3:6">
      <c r="C3886" s="12"/>
      <c r="D3886" s="12"/>
      <c r="E3886" t="b">
        <f t="shared" si="60"/>
        <v>1</v>
      </c>
      <c r="F3886" s="12">
        <v>0</v>
      </c>
    </row>
    <row r="3887" spans="3:6">
      <c r="C3887" s="12"/>
      <c r="D3887" s="12"/>
      <c r="E3887" t="b">
        <f t="shared" si="60"/>
        <v>1</v>
      </c>
      <c r="F3887" s="12">
        <v>0</v>
      </c>
    </row>
    <row r="3888" spans="3:6">
      <c r="C3888" s="12"/>
      <c r="D3888" s="12"/>
      <c r="E3888" t="b">
        <f t="shared" si="60"/>
        <v>1</v>
      </c>
      <c r="F3888" s="12">
        <v>0</v>
      </c>
    </row>
    <row r="3889" spans="3:6">
      <c r="C3889" s="12"/>
      <c r="D3889" s="12"/>
      <c r="E3889" t="b">
        <f t="shared" si="60"/>
        <v>1</v>
      </c>
      <c r="F3889" s="12">
        <v>0</v>
      </c>
    </row>
    <row r="3890" spans="3:6">
      <c r="C3890" s="12"/>
      <c r="D3890" s="12"/>
      <c r="E3890" t="b">
        <f t="shared" si="60"/>
        <v>1</v>
      </c>
      <c r="F3890" s="12">
        <v>0</v>
      </c>
    </row>
    <row r="3891" spans="3:6">
      <c r="C3891" s="12"/>
      <c r="D3891" s="12"/>
      <c r="E3891" t="b">
        <f t="shared" si="60"/>
        <v>1</v>
      </c>
      <c r="F3891" s="12">
        <v>0</v>
      </c>
    </row>
    <row r="3892" spans="3:6">
      <c r="C3892" s="12"/>
      <c r="D3892" s="12"/>
      <c r="E3892" t="b">
        <f t="shared" si="60"/>
        <v>1</v>
      </c>
      <c r="F3892" s="12">
        <v>0</v>
      </c>
    </row>
    <row r="3893" spans="3:6">
      <c r="C3893" s="12"/>
      <c r="D3893" s="12"/>
      <c r="E3893" t="b">
        <f t="shared" si="60"/>
        <v>1</v>
      </c>
      <c r="F3893" s="12">
        <v>0</v>
      </c>
    </row>
    <row r="3894" spans="3:6">
      <c r="C3894" s="12"/>
      <c r="D3894" s="12"/>
      <c r="E3894" t="b">
        <f t="shared" si="60"/>
        <v>1</v>
      </c>
      <c r="F3894" s="12">
        <v>0</v>
      </c>
    </row>
    <row r="3895" spans="3:6">
      <c r="C3895" s="12"/>
      <c r="D3895" s="12"/>
      <c r="E3895" t="b">
        <f t="shared" si="60"/>
        <v>1</v>
      </c>
      <c r="F3895" s="12">
        <v>0</v>
      </c>
    </row>
    <row r="3896" spans="3:6">
      <c r="C3896" s="12"/>
      <c r="D3896" s="12"/>
      <c r="E3896" t="b">
        <f t="shared" si="60"/>
        <v>1</v>
      </c>
      <c r="F3896" s="12">
        <v>0</v>
      </c>
    </row>
    <row r="3897" spans="3:6">
      <c r="C3897" s="12"/>
      <c r="D3897" s="12"/>
      <c r="E3897" t="b">
        <f t="shared" si="60"/>
        <v>1</v>
      </c>
      <c r="F3897" s="12">
        <v>0</v>
      </c>
    </row>
    <row r="3898" spans="3:6">
      <c r="C3898" s="12"/>
      <c r="D3898" s="12"/>
      <c r="E3898" t="b">
        <f t="shared" si="60"/>
        <v>1</v>
      </c>
      <c r="F3898" s="12">
        <v>0</v>
      </c>
    </row>
    <row r="3899" spans="3:6">
      <c r="C3899" s="12"/>
      <c r="D3899" s="12"/>
      <c r="E3899" t="b">
        <f t="shared" si="60"/>
        <v>1</v>
      </c>
      <c r="F3899" s="12">
        <v>0</v>
      </c>
    </row>
    <row r="3900" spans="3:6">
      <c r="C3900" s="12"/>
      <c r="D3900" s="12"/>
      <c r="E3900" t="b">
        <f t="shared" si="60"/>
        <v>1</v>
      </c>
      <c r="F3900" s="12">
        <v>0</v>
      </c>
    </row>
    <row r="3901" spans="3:6">
      <c r="C3901" s="12"/>
      <c r="D3901" s="12"/>
      <c r="E3901" t="b">
        <f t="shared" si="60"/>
        <v>1</v>
      </c>
      <c r="F3901" s="12">
        <v>0</v>
      </c>
    </row>
    <row r="3902" spans="3:6">
      <c r="C3902" s="12"/>
      <c r="D3902" s="12"/>
      <c r="E3902" t="b">
        <f t="shared" si="60"/>
        <v>1</v>
      </c>
      <c r="F3902" s="12">
        <v>0</v>
      </c>
    </row>
    <row r="3903" spans="3:6">
      <c r="C3903" s="12"/>
      <c r="D3903" s="12"/>
      <c r="E3903" t="b">
        <f t="shared" si="60"/>
        <v>1</v>
      </c>
      <c r="F3903" s="12">
        <v>0</v>
      </c>
    </row>
    <row r="3904" spans="3:6">
      <c r="C3904" s="12"/>
      <c r="D3904" s="12"/>
      <c r="E3904" t="b">
        <f t="shared" si="60"/>
        <v>1</v>
      </c>
      <c r="F3904" s="12">
        <v>0</v>
      </c>
    </row>
    <row r="3905" spans="3:6">
      <c r="C3905" s="12"/>
      <c r="D3905" s="12"/>
      <c r="E3905" t="b">
        <f t="shared" si="60"/>
        <v>1</v>
      </c>
      <c r="F3905" s="12">
        <v>0</v>
      </c>
    </row>
    <row r="3906" spans="3:6">
      <c r="C3906" s="12"/>
      <c r="D3906" s="12"/>
      <c r="E3906" t="b">
        <f t="shared" si="60"/>
        <v>1</v>
      </c>
      <c r="F3906" s="12">
        <v>0</v>
      </c>
    </row>
    <row r="3907" spans="3:6">
      <c r="C3907" s="12"/>
      <c r="D3907" s="12"/>
      <c r="E3907" t="b">
        <f t="shared" ref="E3907:E3970" si="61">F3907=C3907</f>
        <v>1</v>
      </c>
      <c r="F3907" s="12">
        <v>0</v>
      </c>
    </row>
    <row r="3908" spans="3:6">
      <c r="C3908" s="12"/>
      <c r="D3908" s="12"/>
      <c r="E3908" t="b">
        <f t="shared" si="61"/>
        <v>1</v>
      </c>
      <c r="F3908" s="12">
        <v>0</v>
      </c>
    </row>
    <row r="3909" spans="3:6">
      <c r="C3909" s="12"/>
      <c r="D3909" s="12"/>
      <c r="E3909" t="b">
        <f t="shared" si="61"/>
        <v>1</v>
      </c>
      <c r="F3909" s="12">
        <v>0</v>
      </c>
    </row>
    <row r="3910" spans="3:6">
      <c r="C3910" s="12"/>
      <c r="D3910" s="12"/>
      <c r="E3910" t="b">
        <f t="shared" si="61"/>
        <v>1</v>
      </c>
      <c r="F3910" s="12">
        <v>0</v>
      </c>
    </row>
    <row r="3911" spans="3:6">
      <c r="C3911" s="12"/>
      <c r="D3911" s="12"/>
      <c r="E3911" t="b">
        <f t="shared" si="61"/>
        <v>1</v>
      </c>
      <c r="F3911" s="12">
        <v>0</v>
      </c>
    </row>
    <row r="3912" spans="3:6">
      <c r="C3912" s="12"/>
      <c r="D3912" s="12"/>
      <c r="E3912" t="b">
        <f t="shared" si="61"/>
        <v>1</v>
      </c>
      <c r="F3912" s="12">
        <v>0</v>
      </c>
    </row>
    <row r="3913" spans="3:6">
      <c r="C3913" s="12"/>
      <c r="D3913" s="12"/>
      <c r="E3913" t="b">
        <f t="shared" si="61"/>
        <v>1</v>
      </c>
      <c r="F3913" s="12">
        <v>0</v>
      </c>
    </row>
    <row r="3914" spans="3:6">
      <c r="C3914" s="12"/>
      <c r="D3914" s="12"/>
      <c r="E3914" t="b">
        <f t="shared" si="61"/>
        <v>1</v>
      </c>
      <c r="F3914" s="12">
        <v>0</v>
      </c>
    </row>
    <row r="3915" spans="3:6">
      <c r="C3915" s="12"/>
      <c r="D3915" s="12"/>
      <c r="E3915" t="b">
        <f t="shared" si="61"/>
        <v>1</v>
      </c>
      <c r="F3915" s="12">
        <v>0</v>
      </c>
    </row>
    <row r="3916" spans="3:6">
      <c r="C3916" s="12"/>
      <c r="D3916" s="12"/>
      <c r="E3916" t="b">
        <f t="shared" si="61"/>
        <v>1</v>
      </c>
      <c r="F3916" s="12">
        <v>0</v>
      </c>
    </row>
    <row r="3917" spans="3:6">
      <c r="C3917" s="12"/>
      <c r="D3917" s="12"/>
      <c r="E3917" t="b">
        <f t="shared" si="61"/>
        <v>1</v>
      </c>
      <c r="F3917" s="12">
        <v>0</v>
      </c>
    </row>
    <row r="3918" spans="3:6">
      <c r="C3918" s="12"/>
      <c r="D3918" s="12"/>
      <c r="E3918" t="b">
        <f t="shared" si="61"/>
        <v>1</v>
      </c>
      <c r="F3918" s="12">
        <v>0</v>
      </c>
    </row>
    <row r="3919" spans="3:6">
      <c r="C3919" s="12"/>
      <c r="D3919" s="12"/>
      <c r="E3919" t="b">
        <f t="shared" si="61"/>
        <v>1</v>
      </c>
      <c r="F3919" s="12">
        <v>0</v>
      </c>
    </row>
    <row r="3920" spans="3:6">
      <c r="C3920" s="12"/>
      <c r="D3920" s="12"/>
      <c r="E3920" t="b">
        <f t="shared" si="61"/>
        <v>1</v>
      </c>
      <c r="F3920" s="12">
        <v>0</v>
      </c>
    </row>
    <row r="3921" spans="3:6">
      <c r="C3921" s="12"/>
      <c r="D3921" s="12"/>
      <c r="E3921" t="b">
        <f t="shared" si="61"/>
        <v>1</v>
      </c>
      <c r="F3921" s="12">
        <v>0</v>
      </c>
    </row>
    <row r="3922" spans="3:6">
      <c r="C3922" s="12"/>
      <c r="D3922" s="12"/>
      <c r="E3922" t="b">
        <f t="shared" si="61"/>
        <v>1</v>
      </c>
      <c r="F3922" s="12">
        <v>0</v>
      </c>
    </row>
    <row r="3923" spans="3:6">
      <c r="C3923" s="12"/>
      <c r="D3923" s="12"/>
      <c r="E3923" t="b">
        <f t="shared" si="61"/>
        <v>1</v>
      </c>
      <c r="F3923" s="12">
        <v>0</v>
      </c>
    </row>
    <row r="3924" spans="3:6">
      <c r="C3924" s="12"/>
      <c r="D3924" s="12"/>
      <c r="E3924" t="b">
        <f t="shared" si="61"/>
        <v>1</v>
      </c>
      <c r="F3924" s="12">
        <v>0</v>
      </c>
    </row>
    <row r="3925" spans="3:6">
      <c r="C3925" s="12"/>
      <c r="D3925" s="12"/>
      <c r="E3925" t="b">
        <f t="shared" si="61"/>
        <v>1</v>
      </c>
      <c r="F3925" s="12">
        <v>0</v>
      </c>
    </row>
    <row r="3926" spans="3:6">
      <c r="C3926" s="12"/>
      <c r="D3926" s="12"/>
      <c r="E3926" t="b">
        <f t="shared" si="61"/>
        <v>1</v>
      </c>
      <c r="F3926" s="12">
        <v>0</v>
      </c>
    </row>
    <row r="3927" spans="3:6">
      <c r="C3927" s="12"/>
      <c r="D3927" s="12"/>
      <c r="E3927" t="b">
        <f t="shared" si="61"/>
        <v>1</v>
      </c>
      <c r="F3927" s="12">
        <v>0</v>
      </c>
    </row>
    <row r="3928" spans="3:6">
      <c r="C3928" s="12"/>
      <c r="D3928" s="12"/>
      <c r="E3928" t="b">
        <f t="shared" si="61"/>
        <v>1</v>
      </c>
      <c r="F3928" s="12">
        <v>0</v>
      </c>
    </row>
    <row r="3929" spans="3:6">
      <c r="C3929" s="12"/>
      <c r="D3929" s="12"/>
      <c r="E3929" t="b">
        <f t="shared" si="61"/>
        <v>1</v>
      </c>
      <c r="F3929" s="12">
        <v>0</v>
      </c>
    </row>
    <row r="3930" spans="3:6">
      <c r="C3930" s="12"/>
      <c r="D3930" s="12"/>
      <c r="E3930" t="b">
        <f t="shared" si="61"/>
        <v>1</v>
      </c>
      <c r="F3930" s="12">
        <v>0</v>
      </c>
    </row>
    <row r="3931" spans="3:6">
      <c r="C3931" s="12"/>
      <c r="D3931" s="12"/>
      <c r="E3931" t="b">
        <f t="shared" si="61"/>
        <v>1</v>
      </c>
      <c r="F3931" s="12">
        <v>0</v>
      </c>
    </row>
    <row r="3932" spans="3:6">
      <c r="C3932" s="12"/>
      <c r="D3932" s="12"/>
      <c r="E3932" t="b">
        <f t="shared" si="61"/>
        <v>1</v>
      </c>
      <c r="F3932" s="12">
        <v>0</v>
      </c>
    </row>
    <row r="3933" spans="3:6">
      <c r="C3933" s="12"/>
      <c r="D3933" s="12"/>
      <c r="E3933" t="b">
        <f t="shared" si="61"/>
        <v>1</v>
      </c>
      <c r="F3933" s="12">
        <v>0</v>
      </c>
    </row>
    <row r="3934" spans="3:6">
      <c r="C3934" s="12"/>
      <c r="D3934" s="12"/>
      <c r="E3934" t="b">
        <f t="shared" si="61"/>
        <v>1</v>
      </c>
      <c r="F3934" s="12">
        <v>0</v>
      </c>
    </row>
    <row r="3935" spans="3:6">
      <c r="C3935" s="12"/>
      <c r="D3935" s="12"/>
      <c r="E3935" t="b">
        <f t="shared" si="61"/>
        <v>1</v>
      </c>
      <c r="F3935" s="12">
        <v>0</v>
      </c>
    </row>
    <row r="3936" spans="3:6">
      <c r="C3936" s="12"/>
      <c r="D3936" s="12"/>
      <c r="E3936" t="b">
        <f t="shared" si="61"/>
        <v>1</v>
      </c>
      <c r="F3936" s="12">
        <v>0</v>
      </c>
    </row>
    <row r="3937" spans="3:6">
      <c r="C3937" s="12"/>
      <c r="D3937" s="12"/>
      <c r="E3937" t="b">
        <f t="shared" si="61"/>
        <v>1</v>
      </c>
      <c r="F3937" s="12">
        <v>0</v>
      </c>
    </row>
    <row r="3938" spans="3:6">
      <c r="C3938" s="12"/>
      <c r="D3938" s="12"/>
      <c r="E3938" t="b">
        <f t="shared" si="61"/>
        <v>1</v>
      </c>
      <c r="F3938" s="12">
        <v>0</v>
      </c>
    </row>
    <row r="3939" spans="3:6">
      <c r="C3939" s="12"/>
      <c r="D3939" s="12"/>
      <c r="E3939" t="b">
        <f t="shared" si="61"/>
        <v>1</v>
      </c>
      <c r="F3939" s="12">
        <v>0</v>
      </c>
    </row>
    <row r="3940" spans="3:6">
      <c r="C3940" s="12"/>
      <c r="D3940" s="12"/>
      <c r="E3940" t="b">
        <f t="shared" si="61"/>
        <v>1</v>
      </c>
      <c r="F3940" s="12">
        <v>0</v>
      </c>
    </row>
    <row r="3941" spans="3:6">
      <c r="C3941" s="12"/>
      <c r="D3941" s="12"/>
      <c r="E3941" t="b">
        <f t="shared" si="61"/>
        <v>1</v>
      </c>
      <c r="F3941" s="12">
        <v>0</v>
      </c>
    </row>
    <row r="3942" spans="3:6">
      <c r="C3942" s="12"/>
      <c r="D3942" s="12"/>
      <c r="E3942" t="b">
        <f t="shared" si="61"/>
        <v>1</v>
      </c>
      <c r="F3942" s="12">
        <v>0</v>
      </c>
    </row>
    <row r="3943" spans="3:6">
      <c r="C3943" s="12"/>
      <c r="D3943" s="12"/>
      <c r="E3943" t="b">
        <f t="shared" si="61"/>
        <v>1</v>
      </c>
      <c r="F3943" s="12">
        <v>0</v>
      </c>
    </row>
    <row r="3944" spans="3:6">
      <c r="C3944" s="12"/>
      <c r="D3944" s="12"/>
      <c r="E3944" t="b">
        <f t="shared" si="61"/>
        <v>1</v>
      </c>
      <c r="F3944" s="12">
        <v>0</v>
      </c>
    </row>
    <row r="3945" spans="3:6">
      <c r="C3945" s="12"/>
      <c r="D3945" s="12"/>
      <c r="E3945" t="b">
        <f t="shared" si="61"/>
        <v>1</v>
      </c>
      <c r="F3945" s="12">
        <v>0</v>
      </c>
    </row>
    <row r="3946" spans="3:6">
      <c r="C3946" s="12"/>
      <c r="D3946" s="12"/>
      <c r="E3946" t="b">
        <f t="shared" si="61"/>
        <v>1</v>
      </c>
      <c r="F3946" s="12">
        <v>0</v>
      </c>
    </row>
    <row r="3947" spans="3:6">
      <c r="C3947" s="12"/>
      <c r="D3947" s="12"/>
      <c r="E3947" t="b">
        <f t="shared" si="61"/>
        <v>1</v>
      </c>
      <c r="F3947" s="12">
        <v>0</v>
      </c>
    </row>
    <row r="3948" spans="3:6">
      <c r="C3948" s="12"/>
      <c r="D3948" s="12"/>
      <c r="E3948" t="b">
        <f t="shared" si="61"/>
        <v>1</v>
      </c>
      <c r="F3948" s="12">
        <v>0</v>
      </c>
    </row>
    <row r="3949" spans="3:6">
      <c r="C3949" s="12"/>
      <c r="D3949" s="12"/>
      <c r="E3949" t="b">
        <f t="shared" si="61"/>
        <v>1</v>
      </c>
      <c r="F3949" s="12">
        <v>0</v>
      </c>
    </row>
    <row r="3950" spans="3:6">
      <c r="C3950" s="12"/>
      <c r="D3950" s="12"/>
      <c r="E3950" t="b">
        <f t="shared" si="61"/>
        <v>1</v>
      </c>
      <c r="F3950" s="12">
        <v>0</v>
      </c>
    </row>
    <row r="3951" spans="3:6">
      <c r="C3951" s="12"/>
      <c r="D3951" s="12"/>
      <c r="E3951" t="b">
        <f t="shared" si="61"/>
        <v>1</v>
      </c>
      <c r="F3951" s="12">
        <v>0</v>
      </c>
    </row>
    <row r="3952" spans="3:6">
      <c r="C3952" s="12"/>
      <c r="D3952" s="12"/>
      <c r="E3952" t="b">
        <f t="shared" si="61"/>
        <v>1</v>
      </c>
      <c r="F3952" s="12">
        <v>0</v>
      </c>
    </row>
    <row r="3953" spans="3:6">
      <c r="C3953" s="12"/>
      <c r="D3953" s="12"/>
      <c r="E3953" t="b">
        <f t="shared" si="61"/>
        <v>1</v>
      </c>
      <c r="F3953" s="12">
        <v>0</v>
      </c>
    </row>
    <row r="3954" spans="3:6">
      <c r="C3954" s="12"/>
      <c r="D3954" s="12"/>
      <c r="E3954" t="b">
        <f t="shared" si="61"/>
        <v>1</v>
      </c>
      <c r="F3954" s="12">
        <v>0</v>
      </c>
    </row>
    <row r="3955" spans="3:6">
      <c r="C3955" s="12"/>
      <c r="D3955" s="12"/>
      <c r="E3955" t="b">
        <f t="shared" si="61"/>
        <v>1</v>
      </c>
      <c r="F3955" s="12">
        <v>0</v>
      </c>
    </row>
    <row r="3956" spans="3:6">
      <c r="C3956" s="12"/>
      <c r="D3956" s="12"/>
      <c r="E3956" t="b">
        <f t="shared" si="61"/>
        <v>1</v>
      </c>
      <c r="F3956" s="12">
        <v>0</v>
      </c>
    </row>
    <row r="3957" spans="3:6">
      <c r="C3957" s="12"/>
      <c r="D3957" s="12"/>
      <c r="E3957" t="b">
        <f t="shared" si="61"/>
        <v>1</v>
      </c>
      <c r="F3957" s="12">
        <v>0</v>
      </c>
    </row>
    <row r="3958" spans="3:6">
      <c r="C3958" s="12"/>
      <c r="D3958" s="12"/>
      <c r="E3958" t="b">
        <f t="shared" si="61"/>
        <v>1</v>
      </c>
      <c r="F3958" s="12">
        <v>0</v>
      </c>
    </row>
    <row r="3959" spans="3:6">
      <c r="C3959" s="12"/>
      <c r="D3959" s="12"/>
      <c r="E3959" t="b">
        <f t="shared" si="61"/>
        <v>1</v>
      </c>
      <c r="F3959" s="12">
        <v>0</v>
      </c>
    </row>
    <row r="3960" spans="3:6">
      <c r="C3960" s="12"/>
      <c r="D3960" s="12"/>
      <c r="E3960" t="b">
        <f t="shared" si="61"/>
        <v>1</v>
      </c>
      <c r="F3960" s="12">
        <v>0</v>
      </c>
    </row>
    <row r="3961" spans="3:6">
      <c r="C3961" s="12"/>
      <c r="D3961" s="12"/>
      <c r="E3961" t="b">
        <f t="shared" si="61"/>
        <v>1</v>
      </c>
      <c r="F3961" s="12">
        <v>0</v>
      </c>
    </row>
    <row r="3962" spans="3:6">
      <c r="C3962" s="12"/>
      <c r="D3962" s="12"/>
      <c r="E3962" t="b">
        <f t="shared" si="61"/>
        <v>1</v>
      </c>
      <c r="F3962" s="12">
        <v>0</v>
      </c>
    </row>
    <row r="3963" spans="3:6">
      <c r="C3963" s="12"/>
      <c r="D3963" s="12"/>
      <c r="E3963" t="b">
        <f t="shared" si="61"/>
        <v>1</v>
      </c>
      <c r="F3963" s="12">
        <v>0</v>
      </c>
    </row>
    <row r="3964" spans="3:6">
      <c r="C3964" s="12"/>
      <c r="D3964" s="12"/>
      <c r="E3964" t="b">
        <f t="shared" si="61"/>
        <v>1</v>
      </c>
      <c r="F3964" s="12">
        <v>0</v>
      </c>
    </row>
    <row r="3965" spans="3:6">
      <c r="C3965" s="12"/>
      <c r="D3965" s="12"/>
      <c r="E3965" t="b">
        <f t="shared" si="61"/>
        <v>1</v>
      </c>
      <c r="F3965" s="12">
        <v>0</v>
      </c>
    </row>
    <row r="3966" spans="3:6">
      <c r="C3966" s="12"/>
      <c r="D3966" s="12"/>
      <c r="E3966" t="b">
        <f t="shared" si="61"/>
        <v>1</v>
      </c>
      <c r="F3966" s="12">
        <v>0</v>
      </c>
    </row>
    <row r="3967" spans="3:6">
      <c r="C3967" s="12"/>
      <c r="D3967" s="12"/>
      <c r="E3967" t="b">
        <f t="shared" si="61"/>
        <v>1</v>
      </c>
      <c r="F3967" s="12">
        <v>0</v>
      </c>
    </row>
    <row r="3968" spans="3:6">
      <c r="C3968" s="12"/>
      <c r="D3968" s="12"/>
      <c r="E3968" t="b">
        <f t="shared" si="61"/>
        <v>1</v>
      </c>
      <c r="F3968" s="12">
        <v>0</v>
      </c>
    </row>
    <row r="3969" spans="3:6">
      <c r="C3969" s="12"/>
      <c r="D3969" s="12"/>
      <c r="E3969" t="b">
        <f t="shared" si="61"/>
        <v>1</v>
      </c>
      <c r="F3969" s="12">
        <v>0</v>
      </c>
    </row>
    <row r="3970" spans="3:6">
      <c r="C3970" s="12"/>
      <c r="D3970" s="12"/>
      <c r="E3970" t="b">
        <f t="shared" si="61"/>
        <v>1</v>
      </c>
      <c r="F3970" s="12">
        <v>0</v>
      </c>
    </row>
    <row r="3971" spans="3:6">
      <c r="C3971" s="12"/>
      <c r="D3971" s="12"/>
      <c r="E3971" t="b">
        <f t="shared" ref="E3971:E4034" si="62">F3971=C3971</f>
        <v>1</v>
      </c>
      <c r="F3971" s="12">
        <v>0</v>
      </c>
    </row>
    <row r="3972" spans="3:6">
      <c r="C3972" s="12"/>
      <c r="D3972" s="12"/>
      <c r="E3972" t="b">
        <f t="shared" si="62"/>
        <v>1</v>
      </c>
      <c r="F3972" s="12">
        <v>0</v>
      </c>
    </row>
    <row r="3973" spans="3:6">
      <c r="C3973" s="12"/>
      <c r="D3973" s="12"/>
      <c r="E3973" t="b">
        <f t="shared" si="62"/>
        <v>1</v>
      </c>
      <c r="F3973" s="12">
        <v>0</v>
      </c>
    </row>
    <row r="3974" spans="3:6">
      <c r="C3974" s="12"/>
      <c r="D3974" s="12"/>
      <c r="E3974" t="b">
        <f t="shared" si="62"/>
        <v>1</v>
      </c>
      <c r="F3974" s="12">
        <v>0</v>
      </c>
    </row>
    <row r="3975" spans="3:6">
      <c r="C3975" s="12"/>
      <c r="D3975" s="12"/>
      <c r="E3975" t="b">
        <f t="shared" si="62"/>
        <v>1</v>
      </c>
      <c r="F3975" s="12">
        <v>0</v>
      </c>
    </row>
    <row r="3976" spans="3:6">
      <c r="C3976" s="12"/>
      <c r="D3976" s="12"/>
      <c r="E3976" t="b">
        <f t="shared" si="62"/>
        <v>1</v>
      </c>
      <c r="F3976" s="12">
        <v>0</v>
      </c>
    </row>
    <row r="3977" spans="3:6">
      <c r="C3977" s="12"/>
      <c r="D3977" s="12"/>
      <c r="E3977" t="b">
        <f t="shared" si="62"/>
        <v>1</v>
      </c>
      <c r="F3977" s="12">
        <v>0</v>
      </c>
    </row>
    <row r="3978" spans="3:6">
      <c r="C3978" s="12"/>
      <c r="D3978" s="12"/>
      <c r="E3978" t="b">
        <f t="shared" si="62"/>
        <v>1</v>
      </c>
      <c r="F3978" s="12">
        <v>0</v>
      </c>
    </row>
    <row r="3979" spans="3:6">
      <c r="C3979" s="12"/>
      <c r="D3979" s="12"/>
      <c r="E3979" t="b">
        <f t="shared" si="62"/>
        <v>1</v>
      </c>
      <c r="F3979" s="12">
        <v>0</v>
      </c>
    </row>
    <row r="3980" spans="3:6">
      <c r="C3980" s="12"/>
      <c r="D3980" s="12"/>
      <c r="E3980" t="b">
        <f t="shared" si="62"/>
        <v>1</v>
      </c>
      <c r="F3980" s="12">
        <v>0</v>
      </c>
    </row>
    <row r="3981" spans="3:6">
      <c r="C3981" s="12"/>
      <c r="D3981" s="12"/>
      <c r="E3981" t="b">
        <f t="shared" si="62"/>
        <v>1</v>
      </c>
      <c r="F3981" s="12">
        <v>0</v>
      </c>
    </row>
    <row r="3982" spans="3:6">
      <c r="C3982" s="12"/>
      <c r="D3982" s="12"/>
      <c r="E3982" t="b">
        <f t="shared" si="62"/>
        <v>1</v>
      </c>
      <c r="F3982" s="12">
        <v>0</v>
      </c>
    </row>
    <row r="3983" spans="3:6">
      <c r="C3983" s="12"/>
      <c r="D3983" s="12"/>
      <c r="E3983" t="b">
        <f t="shared" si="62"/>
        <v>1</v>
      </c>
      <c r="F3983" s="12">
        <v>0</v>
      </c>
    </row>
    <row r="3984" spans="3:6">
      <c r="C3984" s="12"/>
      <c r="D3984" s="12"/>
      <c r="E3984" t="b">
        <f t="shared" si="62"/>
        <v>1</v>
      </c>
      <c r="F3984" s="12">
        <v>0</v>
      </c>
    </row>
    <row r="3985" spans="3:6">
      <c r="C3985" s="12"/>
      <c r="D3985" s="12"/>
      <c r="E3985" t="b">
        <f t="shared" si="62"/>
        <v>1</v>
      </c>
      <c r="F3985" s="12">
        <v>0</v>
      </c>
    </row>
    <row r="3986" spans="3:6">
      <c r="C3986" s="12"/>
      <c r="D3986" s="12"/>
      <c r="E3986" t="b">
        <f t="shared" si="62"/>
        <v>1</v>
      </c>
      <c r="F3986" s="12">
        <v>0</v>
      </c>
    </row>
    <row r="3987" spans="3:6">
      <c r="C3987" s="12"/>
      <c r="D3987" s="12"/>
      <c r="E3987" t="b">
        <f t="shared" si="62"/>
        <v>1</v>
      </c>
      <c r="F3987" s="12">
        <v>0</v>
      </c>
    </row>
    <row r="3988" spans="3:6">
      <c r="C3988" s="12"/>
      <c r="D3988" s="12"/>
      <c r="E3988" t="b">
        <f t="shared" si="62"/>
        <v>1</v>
      </c>
      <c r="F3988" s="12">
        <v>0</v>
      </c>
    </row>
    <row r="3989" spans="3:6">
      <c r="C3989" s="12"/>
      <c r="D3989" s="12"/>
      <c r="E3989" t="b">
        <f t="shared" si="62"/>
        <v>1</v>
      </c>
      <c r="F3989" s="12">
        <v>0</v>
      </c>
    </row>
    <row r="3990" spans="3:6">
      <c r="C3990" s="12"/>
      <c r="D3990" s="12"/>
      <c r="E3990" t="b">
        <f t="shared" si="62"/>
        <v>1</v>
      </c>
      <c r="F3990" s="12">
        <v>0</v>
      </c>
    </row>
    <row r="3991" spans="3:6">
      <c r="C3991" s="12"/>
      <c r="D3991" s="12"/>
      <c r="E3991" t="b">
        <f t="shared" si="62"/>
        <v>1</v>
      </c>
      <c r="F3991" s="12">
        <v>0</v>
      </c>
    </row>
    <row r="3992" spans="3:6">
      <c r="C3992" s="12"/>
      <c r="D3992" s="12"/>
      <c r="E3992" t="b">
        <f t="shared" si="62"/>
        <v>1</v>
      </c>
      <c r="F3992" s="12">
        <v>0</v>
      </c>
    </row>
    <row r="3993" spans="3:6">
      <c r="C3993" s="12"/>
      <c r="D3993" s="12"/>
      <c r="E3993" t="b">
        <f t="shared" si="62"/>
        <v>1</v>
      </c>
      <c r="F3993" s="12">
        <v>0</v>
      </c>
    </row>
    <row r="3994" spans="3:6">
      <c r="C3994" s="12"/>
      <c r="D3994" s="12"/>
      <c r="E3994" t="b">
        <f t="shared" si="62"/>
        <v>1</v>
      </c>
      <c r="F3994" s="12">
        <v>0</v>
      </c>
    </row>
    <row r="3995" spans="3:6">
      <c r="C3995" s="12"/>
      <c r="D3995" s="12"/>
      <c r="E3995" t="b">
        <f t="shared" si="62"/>
        <v>1</v>
      </c>
      <c r="F3995" s="12">
        <v>0</v>
      </c>
    </row>
    <row r="3996" spans="3:6">
      <c r="C3996" s="12"/>
      <c r="D3996" s="12"/>
      <c r="E3996" t="b">
        <f t="shared" si="62"/>
        <v>1</v>
      </c>
      <c r="F3996" s="12">
        <v>0</v>
      </c>
    </row>
    <row r="3997" spans="3:6">
      <c r="C3997" s="12"/>
      <c r="D3997" s="12"/>
      <c r="E3997" t="b">
        <f t="shared" si="62"/>
        <v>1</v>
      </c>
      <c r="F3997" s="12">
        <v>0</v>
      </c>
    </row>
    <row r="3998" spans="3:6">
      <c r="C3998" s="12"/>
      <c r="D3998" s="12"/>
      <c r="E3998" t="b">
        <f t="shared" si="62"/>
        <v>1</v>
      </c>
      <c r="F3998" s="12">
        <v>0</v>
      </c>
    </row>
    <row r="3999" spans="3:6">
      <c r="C3999" s="12"/>
      <c r="D3999" s="12"/>
      <c r="E3999" t="b">
        <f t="shared" si="62"/>
        <v>1</v>
      </c>
      <c r="F3999" s="12">
        <v>0</v>
      </c>
    </row>
    <row r="4000" spans="3:6">
      <c r="C4000" s="12"/>
      <c r="D4000" s="12"/>
      <c r="E4000" t="b">
        <f t="shared" si="62"/>
        <v>1</v>
      </c>
      <c r="F4000" s="12">
        <v>0</v>
      </c>
    </row>
    <row r="4001" spans="3:6">
      <c r="C4001" s="12"/>
      <c r="D4001" s="12"/>
      <c r="E4001" t="b">
        <f t="shared" si="62"/>
        <v>1</v>
      </c>
      <c r="F4001" s="12">
        <v>0</v>
      </c>
    </row>
    <row r="4002" spans="3:6">
      <c r="C4002" s="12"/>
      <c r="D4002" s="12"/>
      <c r="E4002" t="b">
        <f t="shared" si="62"/>
        <v>1</v>
      </c>
      <c r="F4002" s="12">
        <v>0</v>
      </c>
    </row>
    <row r="4003" spans="3:6">
      <c r="C4003" s="12"/>
      <c r="D4003" s="12"/>
      <c r="E4003" t="b">
        <f t="shared" si="62"/>
        <v>1</v>
      </c>
      <c r="F4003" s="12">
        <v>0</v>
      </c>
    </row>
    <row r="4004" spans="3:6">
      <c r="C4004" s="12"/>
      <c r="D4004" s="12"/>
      <c r="E4004" t="b">
        <f t="shared" si="62"/>
        <v>1</v>
      </c>
      <c r="F4004" s="12">
        <v>0</v>
      </c>
    </row>
    <row r="4005" spans="3:6">
      <c r="C4005" s="12"/>
      <c r="D4005" s="12"/>
      <c r="E4005" t="b">
        <f t="shared" si="62"/>
        <v>1</v>
      </c>
      <c r="F4005" s="12">
        <v>0</v>
      </c>
    </row>
    <row r="4006" spans="3:6">
      <c r="C4006" s="12"/>
      <c r="D4006" s="12"/>
      <c r="E4006" t="b">
        <f t="shared" si="62"/>
        <v>1</v>
      </c>
      <c r="F4006" s="12">
        <v>0</v>
      </c>
    </row>
    <row r="4007" spans="3:6">
      <c r="C4007" s="12"/>
      <c r="D4007" s="12"/>
      <c r="E4007" t="b">
        <f t="shared" si="62"/>
        <v>1</v>
      </c>
      <c r="F4007" s="12">
        <v>0</v>
      </c>
    </row>
    <row r="4008" spans="3:6">
      <c r="C4008" s="12"/>
      <c r="D4008" s="12"/>
      <c r="E4008" t="b">
        <f t="shared" si="62"/>
        <v>1</v>
      </c>
      <c r="F4008" s="12">
        <v>0</v>
      </c>
    </row>
    <row r="4009" spans="3:6">
      <c r="C4009" s="12"/>
      <c r="D4009" s="12"/>
      <c r="E4009" t="b">
        <f t="shared" si="62"/>
        <v>1</v>
      </c>
      <c r="F4009" s="12">
        <v>0</v>
      </c>
    </row>
    <row r="4010" spans="3:6">
      <c r="C4010" s="12"/>
      <c r="D4010" s="12"/>
      <c r="E4010" t="b">
        <f t="shared" si="62"/>
        <v>1</v>
      </c>
      <c r="F4010" s="12">
        <v>0</v>
      </c>
    </row>
    <row r="4011" spans="3:6">
      <c r="C4011" s="12"/>
      <c r="D4011" s="12"/>
      <c r="E4011" t="b">
        <f t="shared" si="62"/>
        <v>1</v>
      </c>
      <c r="F4011" s="12">
        <v>0</v>
      </c>
    </row>
    <row r="4012" spans="3:6">
      <c r="C4012" s="12"/>
      <c r="D4012" s="12"/>
      <c r="E4012" t="b">
        <f t="shared" si="62"/>
        <v>1</v>
      </c>
      <c r="F4012" s="12">
        <v>0</v>
      </c>
    </row>
    <row r="4013" spans="3:6">
      <c r="C4013" s="12"/>
      <c r="D4013" s="12"/>
      <c r="E4013" t="b">
        <f t="shared" si="62"/>
        <v>1</v>
      </c>
      <c r="F4013" s="12">
        <v>0</v>
      </c>
    </row>
    <row r="4014" spans="3:6">
      <c r="C4014" s="12"/>
      <c r="D4014" s="12"/>
      <c r="E4014" t="b">
        <f t="shared" si="62"/>
        <v>1</v>
      </c>
      <c r="F4014" s="12">
        <v>0</v>
      </c>
    </row>
    <row r="4015" spans="3:6">
      <c r="C4015" s="12"/>
      <c r="D4015" s="12"/>
      <c r="E4015" t="b">
        <f t="shared" si="62"/>
        <v>1</v>
      </c>
      <c r="F4015" s="12">
        <v>0</v>
      </c>
    </row>
    <row r="4016" spans="3:6">
      <c r="C4016" s="12"/>
      <c r="D4016" s="12"/>
      <c r="E4016" t="b">
        <f t="shared" si="62"/>
        <v>1</v>
      </c>
      <c r="F4016" s="12">
        <v>0</v>
      </c>
    </row>
    <row r="4017" spans="3:6">
      <c r="C4017" s="12"/>
      <c r="D4017" s="12"/>
      <c r="E4017" t="b">
        <f t="shared" si="62"/>
        <v>1</v>
      </c>
      <c r="F4017" s="12">
        <v>0</v>
      </c>
    </row>
    <row r="4018" spans="3:6">
      <c r="C4018" s="12"/>
      <c r="D4018" s="12"/>
      <c r="E4018" t="b">
        <f t="shared" si="62"/>
        <v>1</v>
      </c>
      <c r="F4018" s="12">
        <v>0</v>
      </c>
    </row>
    <row r="4019" spans="3:6">
      <c r="C4019" s="12"/>
      <c r="D4019" s="12"/>
      <c r="E4019" t="b">
        <f t="shared" si="62"/>
        <v>1</v>
      </c>
      <c r="F4019" s="12">
        <v>0</v>
      </c>
    </row>
    <row r="4020" spans="3:6">
      <c r="C4020" s="12"/>
      <c r="D4020" s="12"/>
      <c r="E4020" t="b">
        <f t="shared" si="62"/>
        <v>1</v>
      </c>
      <c r="F4020" s="12">
        <v>0</v>
      </c>
    </row>
    <row r="4021" spans="3:6">
      <c r="C4021" s="12"/>
      <c r="D4021" s="12"/>
      <c r="E4021" t="b">
        <f t="shared" si="62"/>
        <v>1</v>
      </c>
      <c r="F4021" s="12">
        <v>0</v>
      </c>
    </row>
    <row r="4022" spans="3:6">
      <c r="C4022" s="12"/>
      <c r="D4022" s="12"/>
      <c r="E4022" t="b">
        <f t="shared" si="62"/>
        <v>1</v>
      </c>
      <c r="F4022" s="12">
        <v>0</v>
      </c>
    </row>
    <row r="4023" spans="3:6">
      <c r="C4023" s="12"/>
      <c r="D4023" s="12"/>
      <c r="E4023" t="b">
        <f t="shared" si="62"/>
        <v>1</v>
      </c>
      <c r="F4023" s="12">
        <v>0</v>
      </c>
    </row>
    <row r="4024" spans="3:6">
      <c r="C4024" s="12"/>
      <c r="D4024" s="12"/>
      <c r="E4024" t="b">
        <f t="shared" si="62"/>
        <v>1</v>
      </c>
      <c r="F4024" s="12">
        <v>0</v>
      </c>
    </row>
    <row r="4025" spans="3:6">
      <c r="C4025" s="12"/>
      <c r="D4025" s="12"/>
      <c r="E4025" t="b">
        <f t="shared" si="62"/>
        <v>1</v>
      </c>
      <c r="F4025" s="12">
        <v>0</v>
      </c>
    </row>
    <row r="4026" spans="3:6">
      <c r="C4026" s="12"/>
      <c r="D4026" s="12"/>
      <c r="E4026" t="b">
        <f t="shared" si="62"/>
        <v>1</v>
      </c>
      <c r="F4026" s="12">
        <v>0</v>
      </c>
    </row>
    <row r="4027" spans="3:6">
      <c r="C4027" s="12"/>
      <c r="D4027" s="12"/>
      <c r="E4027" t="b">
        <f t="shared" si="62"/>
        <v>1</v>
      </c>
      <c r="F4027" s="12">
        <v>0</v>
      </c>
    </row>
    <row r="4028" spans="3:6">
      <c r="C4028" s="12"/>
      <c r="D4028" s="12"/>
      <c r="E4028" t="b">
        <f t="shared" si="62"/>
        <v>1</v>
      </c>
      <c r="F4028" s="12">
        <v>0</v>
      </c>
    </row>
    <row r="4029" spans="3:6">
      <c r="C4029" s="12"/>
      <c r="D4029" s="12"/>
      <c r="E4029" t="b">
        <f t="shared" si="62"/>
        <v>1</v>
      </c>
      <c r="F4029" s="12">
        <v>0</v>
      </c>
    </row>
    <row r="4030" spans="3:6">
      <c r="C4030" s="12"/>
      <c r="D4030" s="12"/>
      <c r="E4030" t="b">
        <f t="shared" si="62"/>
        <v>1</v>
      </c>
      <c r="F4030" s="12">
        <v>0</v>
      </c>
    </row>
    <row r="4031" spans="3:6">
      <c r="C4031" s="12"/>
      <c r="D4031" s="12"/>
      <c r="E4031" t="b">
        <f t="shared" si="62"/>
        <v>1</v>
      </c>
      <c r="F4031" s="12">
        <v>0</v>
      </c>
    </row>
    <row r="4032" spans="3:6">
      <c r="C4032" s="12"/>
      <c r="D4032" s="12"/>
      <c r="E4032" t="b">
        <f t="shared" si="62"/>
        <v>1</v>
      </c>
      <c r="F4032" s="12">
        <v>0</v>
      </c>
    </row>
    <row r="4033" spans="3:6">
      <c r="C4033" s="12"/>
      <c r="D4033" s="12"/>
      <c r="E4033" t="b">
        <f t="shared" si="62"/>
        <v>1</v>
      </c>
      <c r="F4033" s="12">
        <v>0</v>
      </c>
    </row>
    <row r="4034" spans="3:6">
      <c r="C4034" s="12"/>
      <c r="D4034" s="12"/>
      <c r="E4034" t="b">
        <f t="shared" si="62"/>
        <v>1</v>
      </c>
      <c r="F4034" s="12">
        <v>0</v>
      </c>
    </row>
    <row r="4035" spans="3:6">
      <c r="C4035" s="12"/>
      <c r="D4035" s="12"/>
      <c r="E4035" t="b">
        <f t="shared" ref="E4035:E4098" si="63">F4035=C4035</f>
        <v>1</v>
      </c>
      <c r="F4035" s="12">
        <v>0</v>
      </c>
    </row>
    <row r="4036" spans="3:6">
      <c r="C4036" s="12"/>
      <c r="D4036" s="12"/>
      <c r="E4036" t="b">
        <f t="shared" si="63"/>
        <v>1</v>
      </c>
      <c r="F4036" s="12">
        <v>0</v>
      </c>
    </row>
    <row r="4037" spans="3:6">
      <c r="C4037" s="12"/>
      <c r="D4037" s="12"/>
      <c r="E4037" t="b">
        <f t="shared" si="63"/>
        <v>1</v>
      </c>
      <c r="F4037" s="12">
        <v>0</v>
      </c>
    </row>
    <row r="4038" spans="3:6">
      <c r="C4038" s="12"/>
      <c r="D4038" s="12"/>
      <c r="E4038" t="b">
        <f t="shared" si="63"/>
        <v>1</v>
      </c>
      <c r="F4038" s="12">
        <v>0</v>
      </c>
    </row>
    <row r="4039" spans="3:6">
      <c r="C4039" s="12"/>
      <c r="D4039" s="12"/>
      <c r="E4039" t="b">
        <f t="shared" si="63"/>
        <v>1</v>
      </c>
      <c r="F4039" s="12">
        <v>0</v>
      </c>
    </row>
    <row r="4040" spans="3:6">
      <c r="C4040" s="12"/>
      <c r="D4040" s="12"/>
      <c r="E4040" t="b">
        <f t="shared" si="63"/>
        <v>1</v>
      </c>
      <c r="F4040" s="12">
        <v>0</v>
      </c>
    </row>
    <row r="4041" spans="3:6">
      <c r="C4041" s="12"/>
      <c r="D4041" s="12"/>
      <c r="E4041" t="b">
        <f t="shared" si="63"/>
        <v>1</v>
      </c>
      <c r="F4041" s="12">
        <v>0</v>
      </c>
    </row>
    <row r="4042" spans="3:6">
      <c r="C4042" s="12"/>
      <c r="D4042" s="12"/>
      <c r="E4042" t="b">
        <f t="shared" si="63"/>
        <v>1</v>
      </c>
      <c r="F4042" s="12">
        <v>0</v>
      </c>
    </row>
    <row r="4043" spans="3:6">
      <c r="C4043" s="12"/>
      <c r="D4043" s="12"/>
      <c r="E4043" t="b">
        <f t="shared" si="63"/>
        <v>1</v>
      </c>
      <c r="F4043" s="12">
        <v>0</v>
      </c>
    </row>
    <row r="4044" spans="3:6">
      <c r="C4044" s="12"/>
      <c r="D4044" s="12"/>
      <c r="E4044" t="b">
        <f t="shared" si="63"/>
        <v>1</v>
      </c>
      <c r="F4044" s="12">
        <v>0</v>
      </c>
    </row>
    <row r="4045" spans="3:6">
      <c r="C4045" s="12"/>
      <c r="D4045" s="12"/>
      <c r="E4045" t="b">
        <f t="shared" si="63"/>
        <v>1</v>
      </c>
      <c r="F4045" s="12">
        <v>0</v>
      </c>
    </row>
    <row r="4046" spans="3:6">
      <c r="C4046" s="12"/>
      <c r="D4046" s="12"/>
      <c r="E4046" t="b">
        <f t="shared" si="63"/>
        <v>1</v>
      </c>
      <c r="F4046" s="12">
        <v>0</v>
      </c>
    </row>
    <row r="4047" spans="3:6">
      <c r="C4047" s="12"/>
      <c r="D4047" s="12"/>
      <c r="E4047" t="b">
        <f t="shared" si="63"/>
        <v>1</v>
      </c>
      <c r="F4047" s="12">
        <v>0</v>
      </c>
    </row>
    <row r="4048" spans="3:6">
      <c r="C4048" s="12"/>
      <c r="D4048" s="12"/>
      <c r="E4048" t="b">
        <f t="shared" si="63"/>
        <v>1</v>
      </c>
      <c r="F4048" s="12">
        <v>0</v>
      </c>
    </row>
    <row r="4049" spans="3:6">
      <c r="C4049" s="12"/>
      <c r="D4049" s="12"/>
      <c r="E4049" t="b">
        <f t="shared" si="63"/>
        <v>1</v>
      </c>
      <c r="F4049" s="12">
        <v>0</v>
      </c>
    </row>
    <row r="4050" spans="3:6">
      <c r="C4050" s="12"/>
      <c r="D4050" s="12"/>
      <c r="E4050" t="b">
        <f t="shared" si="63"/>
        <v>1</v>
      </c>
      <c r="F4050" s="12">
        <v>0</v>
      </c>
    </row>
    <row r="4051" spans="3:6">
      <c r="C4051" s="12"/>
      <c r="D4051" s="12"/>
      <c r="E4051" t="b">
        <f t="shared" si="63"/>
        <v>1</v>
      </c>
      <c r="F4051" s="12">
        <v>0</v>
      </c>
    </row>
    <row r="4052" spans="3:6">
      <c r="C4052" s="12"/>
      <c r="D4052" s="12"/>
      <c r="E4052" t="b">
        <f t="shared" si="63"/>
        <v>1</v>
      </c>
      <c r="F4052" s="12">
        <v>0</v>
      </c>
    </row>
    <row r="4053" spans="3:6">
      <c r="C4053" s="12"/>
      <c r="D4053" s="12"/>
      <c r="E4053" t="b">
        <f t="shared" si="63"/>
        <v>1</v>
      </c>
      <c r="F4053" s="12">
        <v>0</v>
      </c>
    </row>
    <row r="4054" spans="3:6">
      <c r="C4054" s="12"/>
      <c r="D4054" s="12"/>
      <c r="E4054" t="b">
        <f t="shared" si="63"/>
        <v>1</v>
      </c>
      <c r="F4054" s="12">
        <v>0</v>
      </c>
    </row>
    <row r="4055" spans="3:6">
      <c r="C4055" s="12"/>
      <c r="D4055" s="12"/>
      <c r="E4055" t="b">
        <f t="shared" si="63"/>
        <v>1</v>
      </c>
      <c r="F4055" s="12">
        <v>0</v>
      </c>
    </row>
    <row r="4056" spans="3:6">
      <c r="C4056" s="12"/>
      <c r="D4056" s="12"/>
      <c r="E4056" t="b">
        <f t="shared" si="63"/>
        <v>1</v>
      </c>
      <c r="F4056" s="12">
        <v>0</v>
      </c>
    </row>
    <row r="4057" spans="3:6">
      <c r="C4057" s="12"/>
      <c r="D4057" s="12"/>
      <c r="E4057" t="b">
        <f t="shared" si="63"/>
        <v>1</v>
      </c>
      <c r="F4057" s="12">
        <v>0</v>
      </c>
    </row>
    <row r="4058" spans="3:6">
      <c r="C4058" s="12"/>
      <c r="D4058" s="12"/>
      <c r="E4058" t="b">
        <f t="shared" si="63"/>
        <v>1</v>
      </c>
      <c r="F4058" s="12">
        <v>0</v>
      </c>
    </row>
    <row r="4059" spans="3:6">
      <c r="C4059" s="12"/>
      <c r="D4059" s="12"/>
      <c r="E4059" t="b">
        <f t="shared" si="63"/>
        <v>1</v>
      </c>
      <c r="F4059" s="12">
        <v>0</v>
      </c>
    </row>
    <row r="4060" spans="3:6">
      <c r="C4060" s="12"/>
      <c r="D4060" s="12"/>
      <c r="E4060" t="b">
        <f t="shared" si="63"/>
        <v>1</v>
      </c>
      <c r="F4060" s="12">
        <v>0</v>
      </c>
    </row>
    <row r="4061" spans="3:6">
      <c r="C4061" s="12"/>
      <c r="D4061" s="12"/>
      <c r="E4061" t="b">
        <f t="shared" si="63"/>
        <v>1</v>
      </c>
      <c r="F4061" s="12">
        <v>0</v>
      </c>
    </row>
    <row r="4062" spans="3:6">
      <c r="C4062" s="12"/>
      <c r="D4062" s="12"/>
      <c r="E4062" t="b">
        <f t="shared" si="63"/>
        <v>1</v>
      </c>
      <c r="F4062" s="12">
        <v>0</v>
      </c>
    </row>
    <row r="4063" spans="3:6">
      <c r="C4063" s="12"/>
      <c r="D4063" s="12"/>
      <c r="E4063" t="b">
        <f t="shared" si="63"/>
        <v>1</v>
      </c>
      <c r="F4063" s="12">
        <v>0</v>
      </c>
    </row>
    <row r="4064" spans="3:6">
      <c r="C4064" s="12"/>
      <c r="D4064" s="12"/>
      <c r="E4064" t="b">
        <f t="shared" si="63"/>
        <v>1</v>
      </c>
      <c r="F4064" s="12">
        <v>0</v>
      </c>
    </row>
    <row r="4065" spans="3:6">
      <c r="C4065" s="12"/>
      <c r="D4065" s="12"/>
      <c r="E4065" t="b">
        <f t="shared" si="63"/>
        <v>1</v>
      </c>
      <c r="F4065" s="12">
        <v>0</v>
      </c>
    </row>
    <row r="4066" spans="3:6">
      <c r="C4066" s="12"/>
      <c r="D4066" s="12"/>
      <c r="E4066" t="b">
        <f t="shared" si="63"/>
        <v>1</v>
      </c>
      <c r="F4066" s="12">
        <v>0</v>
      </c>
    </row>
    <row r="4067" spans="3:6">
      <c r="C4067" s="12"/>
      <c r="D4067" s="12"/>
      <c r="E4067" t="b">
        <f t="shared" si="63"/>
        <v>1</v>
      </c>
      <c r="F4067" s="12">
        <v>0</v>
      </c>
    </row>
    <row r="4068" spans="3:6">
      <c r="C4068" s="12"/>
      <c r="D4068" s="12"/>
      <c r="E4068" t="b">
        <f t="shared" si="63"/>
        <v>1</v>
      </c>
      <c r="F4068" s="12">
        <v>0</v>
      </c>
    </row>
    <row r="4069" spans="3:6">
      <c r="C4069" s="12"/>
      <c r="D4069" s="12"/>
      <c r="E4069" t="b">
        <f t="shared" si="63"/>
        <v>1</v>
      </c>
      <c r="F4069" s="12">
        <v>0</v>
      </c>
    </row>
    <row r="4070" spans="3:6">
      <c r="C4070" s="12"/>
      <c r="D4070" s="12"/>
      <c r="E4070" t="b">
        <f t="shared" si="63"/>
        <v>1</v>
      </c>
      <c r="F4070" s="12">
        <v>0</v>
      </c>
    </row>
    <row r="4071" spans="3:6">
      <c r="C4071" s="12"/>
      <c r="D4071" s="12"/>
      <c r="E4071" t="b">
        <f t="shared" si="63"/>
        <v>1</v>
      </c>
      <c r="F4071" s="12">
        <v>0</v>
      </c>
    </row>
    <row r="4072" spans="3:6">
      <c r="C4072" s="12"/>
      <c r="D4072" s="12"/>
      <c r="E4072" t="b">
        <f t="shared" si="63"/>
        <v>1</v>
      </c>
      <c r="F4072" s="12">
        <v>0</v>
      </c>
    </row>
    <row r="4073" spans="3:6">
      <c r="C4073" s="12"/>
      <c r="D4073" s="12"/>
      <c r="E4073" t="b">
        <f t="shared" si="63"/>
        <v>1</v>
      </c>
      <c r="F4073" s="12">
        <v>0</v>
      </c>
    </row>
    <row r="4074" spans="3:6">
      <c r="C4074" s="12"/>
      <c r="D4074" s="12"/>
      <c r="E4074" t="b">
        <f t="shared" si="63"/>
        <v>1</v>
      </c>
      <c r="F4074" s="12">
        <v>0</v>
      </c>
    </row>
    <row r="4075" spans="3:6">
      <c r="C4075" s="12"/>
      <c r="D4075" s="12"/>
      <c r="E4075" t="b">
        <f t="shared" si="63"/>
        <v>1</v>
      </c>
      <c r="F4075" s="12">
        <v>0</v>
      </c>
    </row>
    <row r="4076" spans="3:6">
      <c r="C4076" s="12"/>
      <c r="D4076" s="12"/>
      <c r="E4076" t="b">
        <f t="shared" si="63"/>
        <v>1</v>
      </c>
      <c r="F4076" s="12">
        <v>0</v>
      </c>
    </row>
    <row r="4077" spans="3:6">
      <c r="C4077" s="12"/>
      <c r="D4077" s="12"/>
      <c r="E4077" t="b">
        <f t="shared" si="63"/>
        <v>1</v>
      </c>
      <c r="F4077" s="12">
        <v>0</v>
      </c>
    </row>
    <row r="4078" spans="3:6">
      <c r="C4078" s="12"/>
      <c r="D4078" s="12"/>
      <c r="E4078" t="b">
        <f t="shared" si="63"/>
        <v>1</v>
      </c>
      <c r="F4078" s="12">
        <v>0</v>
      </c>
    </row>
    <row r="4079" spans="3:6">
      <c r="C4079" s="12"/>
      <c r="D4079" s="12"/>
      <c r="E4079" t="b">
        <f t="shared" si="63"/>
        <v>1</v>
      </c>
      <c r="F4079" s="12">
        <v>0</v>
      </c>
    </row>
    <row r="4080" spans="3:6">
      <c r="C4080" s="12"/>
      <c r="D4080" s="12"/>
      <c r="E4080" t="b">
        <f t="shared" si="63"/>
        <v>1</v>
      </c>
      <c r="F4080" s="12">
        <v>0</v>
      </c>
    </row>
    <row r="4081" spans="3:6">
      <c r="C4081" s="12"/>
      <c r="D4081" s="12"/>
      <c r="E4081" t="b">
        <f t="shared" si="63"/>
        <v>1</v>
      </c>
      <c r="F4081" s="12">
        <v>0</v>
      </c>
    </row>
    <row r="4082" spans="3:6">
      <c r="C4082" s="12"/>
      <c r="D4082" s="12"/>
      <c r="E4082" t="b">
        <f t="shared" si="63"/>
        <v>1</v>
      </c>
      <c r="F4082" s="12">
        <v>0</v>
      </c>
    </row>
    <row r="4083" spans="3:6">
      <c r="C4083" s="12"/>
      <c r="D4083" s="12"/>
      <c r="E4083" t="b">
        <f t="shared" si="63"/>
        <v>1</v>
      </c>
      <c r="F4083" s="12">
        <v>0</v>
      </c>
    </row>
    <row r="4084" spans="3:6">
      <c r="C4084" s="12"/>
      <c r="D4084" s="12"/>
      <c r="E4084" t="b">
        <f t="shared" si="63"/>
        <v>1</v>
      </c>
      <c r="F4084" s="12">
        <v>0</v>
      </c>
    </row>
    <row r="4085" spans="3:6">
      <c r="C4085" s="12"/>
      <c r="D4085" s="12"/>
      <c r="E4085" t="b">
        <f t="shared" si="63"/>
        <v>1</v>
      </c>
      <c r="F4085" s="12">
        <v>0</v>
      </c>
    </row>
    <row r="4086" spans="3:6">
      <c r="C4086" s="12"/>
      <c r="D4086" s="12"/>
      <c r="E4086" t="b">
        <f t="shared" si="63"/>
        <v>1</v>
      </c>
      <c r="F4086" s="12">
        <v>0</v>
      </c>
    </row>
    <row r="4087" spans="3:6">
      <c r="C4087" s="12"/>
      <c r="D4087" s="12"/>
      <c r="E4087" t="b">
        <f t="shared" si="63"/>
        <v>1</v>
      </c>
      <c r="F4087" s="12">
        <v>0</v>
      </c>
    </row>
    <row r="4088" spans="3:6">
      <c r="C4088" s="12"/>
      <c r="D4088" s="12"/>
      <c r="E4088" t="b">
        <f t="shared" si="63"/>
        <v>1</v>
      </c>
      <c r="F4088" s="12">
        <v>0</v>
      </c>
    </row>
    <row r="4089" spans="3:6">
      <c r="C4089" s="12"/>
      <c r="D4089" s="12"/>
      <c r="E4089" t="b">
        <f t="shared" si="63"/>
        <v>1</v>
      </c>
      <c r="F4089" s="12">
        <v>0</v>
      </c>
    </row>
    <row r="4090" spans="3:6">
      <c r="C4090" s="12"/>
      <c r="D4090" s="12"/>
      <c r="E4090" t="b">
        <f t="shared" si="63"/>
        <v>1</v>
      </c>
      <c r="F4090" s="12">
        <v>0</v>
      </c>
    </row>
    <row r="4091" spans="3:6">
      <c r="C4091" s="12"/>
      <c r="D4091" s="12"/>
      <c r="E4091" t="b">
        <f t="shared" si="63"/>
        <v>1</v>
      </c>
      <c r="F4091" s="12">
        <v>0</v>
      </c>
    </row>
    <row r="4092" spans="3:6">
      <c r="C4092" s="12"/>
      <c r="D4092" s="12"/>
      <c r="E4092" t="b">
        <f t="shared" si="63"/>
        <v>1</v>
      </c>
      <c r="F4092" s="12">
        <v>0</v>
      </c>
    </row>
    <row r="4093" spans="3:6">
      <c r="C4093" s="12"/>
      <c r="D4093" s="12"/>
      <c r="E4093" t="b">
        <f t="shared" si="63"/>
        <v>1</v>
      </c>
      <c r="F4093" s="12">
        <v>0</v>
      </c>
    </row>
    <row r="4094" spans="3:6">
      <c r="C4094" s="12"/>
      <c r="D4094" s="12"/>
      <c r="E4094" t="b">
        <f t="shared" si="63"/>
        <v>1</v>
      </c>
      <c r="F4094" s="12">
        <v>0</v>
      </c>
    </row>
    <row r="4095" spans="3:6">
      <c r="C4095" s="12"/>
      <c r="D4095" s="12"/>
      <c r="E4095" t="b">
        <f t="shared" si="63"/>
        <v>1</v>
      </c>
      <c r="F4095" s="12">
        <v>0</v>
      </c>
    </row>
    <row r="4096" spans="3:6">
      <c r="C4096" s="12"/>
      <c r="D4096" s="12"/>
      <c r="E4096" t="b">
        <f t="shared" si="63"/>
        <v>1</v>
      </c>
      <c r="F4096" s="12">
        <v>0</v>
      </c>
    </row>
    <row r="4097" spans="3:6">
      <c r="C4097" s="12"/>
      <c r="D4097" s="12"/>
      <c r="E4097" t="b">
        <f t="shared" si="63"/>
        <v>1</v>
      </c>
      <c r="F4097" s="12">
        <v>0</v>
      </c>
    </row>
    <row r="4098" spans="3:6">
      <c r="C4098" s="12"/>
      <c r="D4098" s="12"/>
      <c r="E4098" t="b">
        <f t="shared" si="63"/>
        <v>1</v>
      </c>
      <c r="F4098" s="12">
        <v>0</v>
      </c>
    </row>
    <row r="4099" spans="3:6">
      <c r="C4099" s="12"/>
      <c r="D4099" s="12"/>
      <c r="E4099" t="b">
        <f t="shared" ref="E4099:E4162" si="64">F4099=C4099</f>
        <v>1</v>
      </c>
      <c r="F4099" s="12">
        <v>0</v>
      </c>
    </row>
    <row r="4100" spans="3:6">
      <c r="C4100" s="12"/>
      <c r="D4100" s="12"/>
      <c r="E4100" t="b">
        <f t="shared" si="64"/>
        <v>1</v>
      </c>
      <c r="F4100" s="12">
        <v>0</v>
      </c>
    </row>
    <row r="4101" spans="3:6">
      <c r="C4101" s="12"/>
      <c r="D4101" s="12"/>
      <c r="E4101" t="b">
        <f t="shared" si="64"/>
        <v>1</v>
      </c>
      <c r="F4101" s="12">
        <v>0</v>
      </c>
    </row>
    <row r="4102" spans="3:6">
      <c r="C4102" s="12"/>
      <c r="D4102" s="12"/>
      <c r="E4102" t="b">
        <f t="shared" si="64"/>
        <v>1</v>
      </c>
      <c r="F4102" s="12">
        <v>0</v>
      </c>
    </row>
    <row r="4103" spans="3:6">
      <c r="C4103" s="12"/>
      <c r="D4103" s="12"/>
      <c r="E4103" t="b">
        <f t="shared" si="64"/>
        <v>1</v>
      </c>
      <c r="F4103" s="12">
        <v>0</v>
      </c>
    </row>
    <row r="4104" spans="3:6">
      <c r="C4104" s="12"/>
      <c r="D4104" s="12"/>
      <c r="E4104" t="b">
        <f t="shared" si="64"/>
        <v>1</v>
      </c>
      <c r="F4104" s="12">
        <v>0</v>
      </c>
    </row>
    <row r="4105" spans="3:6">
      <c r="C4105" s="12"/>
      <c r="D4105" s="12"/>
      <c r="E4105" t="b">
        <f t="shared" si="64"/>
        <v>1</v>
      </c>
      <c r="F4105" s="12">
        <v>0</v>
      </c>
    </row>
    <row r="4106" spans="3:6">
      <c r="C4106" s="12"/>
      <c r="D4106" s="12"/>
      <c r="E4106" t="b">
        <f t="shared" si="64"/>
        <v>1</v>
      </c>
      <c r="F4106" s="12">
        <v>0</v>
      </c>
    </row>
    <row r="4107" spans="3:6">
      <c r="C4107" s="12"/>
      <c r="D4107" s="12"/>
      <c r="E4107" t="b">
        <f t="shared" si="64"/>
        <v>1</v>
      </c>
      <c r="F4107" s="12">
        <v>0</v>
      </c>
    </row>
    <row r="4108" spans="3:6">
      <c r="C4108" s="12"/>
      <c r="D4108" s="12"/>
      <c r="E4108" t="b">
        <f t="shared" si="64"/>
        <v>1</v>
      </c>
      <c r="F4108" s="12">
        <v>0</v>
      </c>
    </row>
    <row r="4109" spans="3:6">
      <c r="C4109" s="12"/>
      <c r="D4109" s="12"/>
      <c r="E4109" t="b">
        <f t="shared" si="64"/>
        <v>1</v>
      </c>
      <c r="F4109" s="12">
        <v>0</v>
      </c>
    </row>
    <row r="4110" spans="3:6">
      <c r="C4110" s="12"/>
      <c r="D4110" s="12"/>
      <c r="E4110" t="b">
        <f t="shared" si="64"/>
        <v>1</v>
      </c>
      <c r="F4110" s="12">
        <v>0</v>
      </c>
    </row>
    <row r="4111" spans="3:6">
      <c r="C4111" s="12"/>
      <c r="D4111" s="12"/>
      <c r="E4111" t="b">
        <f t="shared" si="64"/>
        <v>1</v>
      </c>
      <c r="F4111" s="12">
        <v>0</v>
      </c>
    </row>
    <row r="4112" spans="3:6">
      <c r="C4112" s="12"/>
      <c r="D4112" s="12"/>
      <c r="E4112" t="b">
        <f t="shared" si="64"/>
        <v>1</v>
      </c>
      <c r="F4112" s="12">
        <v>0</v>
      </c>
    </row>
    <row r="4113" spans="3:6">
      <c r="C4113" s="12"/>
      <c r="D4113" s="12"/>
      <c r="E4113" t="b">
        <f t="shared" si="64"/>
        <v>1</v>
      </c>
      <c r="F4113" s="12">
        <v>0</v>
      </c>
    </row>
    <row r="4114" spans="3:6">
      <c r="C4114" s="12"/>
      <c r="D4114" s="12"/>
      <c r="E4114" t="b">
        <f t="shared" si="64"/>
        <v>1</v>
      </c>
      <c r="F4114" s="12">
        <v>0</v>
      </c>
    </row>
    <row r="4115" spans="3:6">
      <c r="C4115" s="12"/>
      <c r="D4115" s="12"/>
      <c r="E4115" t="b">
        <f t="shared" si="64"/>
        <v>1</v>
      </c>
      <c r="F4115" s="12">
        <v>0</v>
      </c>
    </row>
    <row r="4116" spans="3:6">
      <c r="C4116" s="12"/>
      <c r="D4116" s="12"/>
      <c r="E4116" t="b">
        <f t="shared" si="64"/>
        <v>1</v>
      </c>
      <c r="F4116" s="12">
        <v>0</v>
      </c>
    </row>
    <row r="4117" spans="3:6">
      <c r="C4117" s="12"/>
      <c r="D4117" s="12"/>
      <c r="E4117" t="b">
        <f t="shared" si="64"/>
        <v>1</v>
      </c>
      <c r="F4117" s="12">
        <v>0</v>
      </c>
    </row>
    <row r="4118" spans="3:6">
      <c r="C4118" s="12"/>
      <c r="D4118" s="12"/>
      <c r="E4118" t="b">
        <f t="shared" si="64"/>
        <v>1</v>
      </c>
      <c r="F4118" s="12">
        <v>0</v>
      </c>
    </row>
    <row r="4119" spans="3:6">
      <c r="C4119" s="12"/>
      <c r="D4119" s="12"/>
      <c r="E4119" t="b">
        <f t="shared" si="64"/>
        <v>1</v>
      </c>
      <c r="F4119" s="12">
        <v>0</v>
      </c>
    </row>
    <row r="4120" spans="3:6">
      <c r="C4120" s="12"/>
      <c r="D4120" s="12"/>
      <c r="E4120" t="b">
        <f t="shared" si="64"/>
        <v>1</v>
      </c>
      <c r="F4120" s="12">
        <v>0</v>
      </c>
    </row>
    <row r="4121" spans="3:6">
      <c r="C4121" s="12"/>
      <c r="D4121" s="12"/>
      <c r="E4121" t="b">
        <f t="shared" si="64"/>
        <v>1</v>
      </c>
      <c r="F4121" s="12">
        <v>0</v>
      </c>
    </row>
    <row r="4122" spans="3:6">
      <c r="C4122" s="12"/>
      <c r="D4122" s="12"/>
      <c r="E4122" t="b">
        <f t="shared" si="64"/>
        <v>1</v>
      </c>
      <c r="F4122" s="12">
        <v>0</v>
      </c>
    </row>
    <row r="4123" spans="3:6">
      <c r="C4123" s="12"/>
      <c r="D4123" s="12"/>
      <c r="E4123" t="b">
        <f t="shared" si="64"/>
        <v>1</v>
      </c>
      <c r="F4123" s="12">
        <v>0</v>
      </c>
    </row>
    <row r="4124" spans="3:6">
      <c r="C4124" s="12"/>
      <c r="D4124" s="12"/>
      <c r="E4124" t="b">
        <f t="shared" si="64"/>
        <v>1</v>
      </c>
      <c r="F4124" s="12">
        <v>0</v>
      </c>
    </row>
    <row r="4125" spans="3:6">
      <c r="C4125" s="12"/>
      <c r="D4125" s="12"/>
      <c r="E4125" t="b">
        <f t="shared" si="64"/>
        <v>1</v>
      </c>
      <c r="F4125" s="12">
        <v>0</v>
      </c>
    </row>
    <row r="4126" spans="3:6">
      <c r="C4126" s="12"/>
      <c r="D4126" s="12"/>
      <c r="E4126" t="b">
        <f t="shared" si="64"/>
        <v>1</v>
      </c>
      <c r="F4126" s="12">
        <v>0</v>
      </c>
    </row>
    <row r="4127" spans="3:6">
      <c r="C4127" s="12"/>
      <c r="D4127" s="12"/>
      <c r="E4127" t="b">
        <f t="shared" si="64"/>
        <v>1</v>
      </c>
      <c r="F4127" s="12">
        <v>0</v>
      </c>
    </row>
    <row r="4128" spans="3:6">
      <c r="C4128" s="12"/>
      <c r="D4128" s="12"/>
      <c r="E4128" t="b">
        <f t="shared" si="64"/>
        <v>1</v>
      </c>
      <c r="F4128" s="12">
        <v>0</v>
      </c>
    </row>
    <row r="4129" spans="3:6">
      <c r="C4129" s="12"/>
      <c r="D4129" s="12"/>
      <c r="E4129" t="b">
        <f t="shared" si="64"/>
        <v>1</v>
      </c>
      <c r="F4129" s="12">
        <v>0</v>
      </c>
    </row>
    <row r="4130" spans="3:6">
      <c r="C4130" s="12"/>
      <c r="D4130" s="12"/>
      <c r="E4130" t="b">
        <f t="shared" si="64"/>
        <v>1</v>
      </c>
      <c r="F4130" s="12">
        <v>0</v>
      </c>
    </row>
    <row r="4131" spans="3:6">
      <c r="C4131" s="12"/>
      <c r="D4131" s="12"/>
      <c r="E4131" t="b">
        <f t="shared" si="64"/>
        <v>1</v>
      </c>
      <c r="F4131" s="12">
        <v>0</v>
      </c>
    </row>
    <row r="4132" spans="3:6">
      <c r="C4132" s="12"/>
      <c r="D4132" s="12"/>
      <c r="E4132" t="b">
        <f t="shared" si="64"/>
        <v>1</v>
      </c>
      <c r="F4132" s="12">
        <v>0</v>
      </c>
    </row>
    <row r="4133" spans="3:6">
      <c r="C4133" s="12"/>
      <c r="D4133" s="12"/>
      <c r="E4133" t="b">
        <f t="shared" si="64"/>
        <v>1</v>
      </c>
      <c r="F4133" s="12">
        <v>0</v>
      </c>
    </row>
    <row r="4134" spans="3:6">
      <c r="C4134" s="12"/>
      <c r="D4134" s="12"/>
      <c r="E4134" t="b">
        <f t="shared" si="64"/>
        <v>1</v>
      </c>
      <c r="F4134" s="12">
        <v>0</v>
      </c>
    </row>
    <row r="4135" spans="3:6">
      <c r="C4135" s="12"/>
      <c r="D4135" s="12"/>
      <c r="E4135" t="b">
        <f t="shared" si="64"/>
        <v>1</v>
      </c>
      <c r="F4135" s="12">
        <v>0</v>
      </c>
    </row>
    <row r="4136" spans="3:6">
      <c r="C4136" s="12"/>
      <c r="D4136" s="12"/>
      <c r="E4136" t="b">
        <f t="shared" si="64"/>
        <v>1</v>
      </c>
      <c r="F4136" s="12">
        <v>0</v>
      </c>
    </row>
    <row r="4137" spans="3:6">
      <c r="C4137" s="12"/>
      <c r="D4137" s="12"/>
      <c r="E4137" t="b">
        <f t="shared" si="64"/>
        <v>1</v>
      </c>
      <c r="F4137" s="12">
        <v>0</v>
      </c>
    </row>
    <row r="4138" spans="3:6">
      <c r="C4138" s="12"/>
      <c r="D4138" s="12"/>
      <c r="E4138" t="b">
        <f t="shared" si="64"/>
        <v>1</v>
      </c>
      <c r="F4138" s="12">
        <v>0</v>
      </c>
    </row>
    <row r="4139" spans="3:6">
      <c r="C4139" s="12"/>
      <c r="D4139" s="12"/>
      <c r="E4139" t="b">
        <f t="shared" si="64"/>
        <v>1</v>
      </c>
      <c r="F4139" s="12">
        <v>0</v>
      </c>
    </row>
    <row r="4140" spans="3:6">
      <c r="C4140" s="12"/>
      <c r="D4140" s="12"/>
      <c r="E4140" t="b">
        <f t="shared" si="64"/>
        <v>1</v>
      </c>
      <c r="F4140" s="12">
        <v>0</v>
      </c>
    </row>
    <row r="4141" spans="3:6">
      <c r="C4141" s="12"/>
      <c r="D4141" s="12"/>
      <c r="E4141" t="b">
        <f t="shared" si="64"/>
        <v>1</v>
      </c>
      <c r="F4141" s="12">
        <v>0</v>
      </c>
    </row>
    <row r="4142" spans="3:6">
      <c r="C4142" s="12"/>
      <c r="D4142" s="12"/>
      <c r="E4142" t="b">
        <f t="shared" si="64"/>
        <v>1</v>
      </c>
      <c r="F4142" s="12">
        <v>0</v>
      </c>
    </row>
    <row r="4143" spans="3:6">
      <c r="C4143" s="12"/>
      <c r="D4143" s="12"/>
      <c r="E4143" t="b">
        <f t="shared" si="64"/>
        <v>1</v>
      </c>
      <c r="F4143" s="12">
        <v>0</v>
      </c>
    </row>
    <row r="4144" spans="3:6">
      <c r="C4144" s="12"/>
      <c r="D4144" s="12"/>
      <c r="E4144" t="b">
        <f t="shared" si="64"/>
        <v>1</v>
      </c>
      <c r="F4144" s="12">
        <v>0</v>
      </c>
    </row>
    <row r="4145" spans="3:6">
      <c r="C4145" s="12"/>
      <c r="D4145" s="12"/>
      <c r="E4145" t="b">
        <f t="shared" si="64"/>
        <v>1</v>
      </c>
      <c r="F4145" s="12">
        <v>0</v>
      </c>
    </row>
    <row r="4146" spans="3:6">
      <c r="C4146" s="12"/>
      <c r="D4146" s="12"/>
      <c r="E4146" t="b">
        <f t="shared" si="64"/>
        <v>1</v>
      </c>
      <c r="F4146" s="12">
        <v>0</v>
      </c>
    </row>
    <row r="4147" spans="3:6">
      <c r="C4147" s="12"/>
      <c r="D4147" s="12"/>
      <c r="E4147" t="b">
        <f t="shared" si="64"/>
        <v>1</v>
      </c>
      <c r="F4147" s="12">
        <v>0</v>
      </c>
    </row>
    <row r="4148" spans="3:6">
      <c r="C4148" s="12"/>
      <c r="D4148" s="12"/>
      <c r="E4148" t="b">
        <f t="shared" si="64"/>
        <v>1</v>
      </c>
      <c r="F4148" s="12">
        <v>0</v>
      </c>
    </row>
    <row r="4149" spans="3:6">
      <c r="C4149" s="12"/>
      <c r="D4149" s="12"/>
      <c r="E4149" t="b">
        <f t="shared" si="64"/>
        <v>1</v>
      </c>
      <c r="F4149" s="12">
        <v>0</v>
      </c>
    </row>
    <row r="4150" spans="3:6">
      <c r="C4150" s="12"/>
      <c r="D4150" s="12"/>
      <c r="E4150" t="b">
        <f t="shared" si="64"/>
        <v>1</v>
      </c>
      <c r="F4150" s="12">
        <v>0</v>
      </c>
    </row>
    <row r="4151" spans="3:6">
      <c r="C4151" s="12"/>
      <c r="D4151" s="12"/>
      <c r="E4151" t="b">
        <f t="shared" si="64"/>
        <v>1</v>
      </c>
      <c r="F4151" s="12">
        <v>0</v>
      </c>
    </row>
    <row r="4152" spans="3:6">
      <c r="C4152" s="12"/>
      <c r="D4152" s="12"/>
      <c r="E4152" t="b">
        <f t="shared" si="64"/>
        <v>1</v>
      </c>
      <c r="F4152" s="12">
        <v>0</v>
      </c>
    </row>
    <row r="4153" spans="3:6">
      <c r="C4153" s="12"/>
      <c r="D4153" s="12"/>
      <c r="E4153" t="b">
        <f t="shared" si="64"/>
        <v>1</v>
      </c>
      <c r="F4153" s="12">
        <v>0</v>
      </c>
    </row>
    <row r="4154" spans="3:6">
      <c r="C4154" s="12"/>
      <c r="D4154" s="12"/>
      <c r="E4154" t="b">
        <f t="shared" si="64"/>
        <v>1</v>
      </c>
      <c r="F4154" s="12">
        <v>0</v>
      </c>
    </row>
    <row r="4155" spans="3:6">
      <c r="C4155" s="12"/>
      <c r="D4155" s="12"/>
      <c r="E4155" t="b">
        <f t="shared" si="64"/>
        <v>1</v>
      </c>
      <c r="F4155" s="12">
        <v>0</v>
      </c>
    </row>
    <row r="4156" spans="3:6">
      <c r="C4156" s="12"/>
      <c r="D4156" s="12"/>
      <c r="E4156" t="b">
        <f t="shared" si="64"/>
        <v>1</v>
      </c>
      <c r="F4156" s="12">
        <v>0</v>
      </c>
    </row>
    <row r="4157" spans="3:6">
      <c r="C4157" s="12"/>
      <c r="D4157" s="12"/>
      <c r="E4157" t="b">
        <f t="shared" si="64"/>
        <v>1</v>
      </c>
      <c r="F4157" s="12">
        <v>0</v>
      </c>
    </row>
    <row r="4158" spans="3:6">
      <c r="C4158" s="12"/>
      <c r="D4158" s="12"/>
      <c r="E4158" t="b">
        <f t="shared" si="64"/>
        <v>1</v>
      </c>
      <c r="F4158" s="12">
        <v>0</v>
      </c>
    </row>
    <row r="4159" spans="3:6">
      <c r="C4159" s="12"/>
      <c r="D4159" s="12"/>
      <c r="E4159" t="b">
        <f t="shared" si="64"/>
        <v>1</v>
      </c>
      <c r="F4159" s="12">
        <v>0</v>
      </c>
    </row>
    <row r="4160" spans="3:6">
      <c r="C4160" s="12"/>
      <c r="D4160" s="12"/>
      <c r="E4160" t="b">
        <f t="shared" si="64"/>
        <v>1</v>
      </c>
      <c r="F4160" s="12">
        <v>0</v>
      </c>
    </row>
    <row r="4161" spans="3:6">
      <c r="C4161" s="12"/>
      <c r="D4161" s="12"/>
      <c r="E4161" t="b">
        <f t="shared" si="64"/>
        <v>1</v>
      </c>
      <c r="F4161" s="12">
        <v>0</v>
      </c>
    </row>
    <row r="4162" spans="3:6">
      <c r="C4162" s="12"/>
      <c r="D4162" s="12"/>
      <c r="E4162" t="b">
        <f t="shared" si="64"/>
        <v>1</v>
      </c>
      <c r="F4162" s="12">
        <v>0</v>
      </c>
    </row>
    <row r="4163" spans="3:6">
      <c r="C4163" s="12"/>
      <c r="D4163" s="12"/>
      <c r="E4163" t="b">
        <f t="shared" ref="E4163:E4226" si="65">F4163=C4163</f>
        <v>1</v>
      </c>
      <c r="F4163" s="12">
        <v>0</v>
      </c>
    </row>
    <row r="4164" spans="3:6">
      <c r="C4164" s="12"/>
      <c r="D4164" s="12"/>
      <c r="E4164" t="b">
        <f t="shared" si="65"/>
        <v>1</v>
      </c>
      <c r="F4164" s="12">
        <v>0</v>
      </c>
    </row>
    <row r="4165" spans="3:6">
      <c r="C4165" s="12"/>
      <c r="D4165" s="12"/>
      <c r="E4165" t="b">
        <f t="shared" si="65"/>
        <v>1</v>
      </c>
      <c r="F4165" s="12">
        <v>0</v>
      </c>
    </row>
    <row r="4166" spans="3:6">
      <c r="C4166" s="12"/>
      <c r="D4166" s="12"/>
      <c r="E4166" t="b">
        <f t="shared" si="65"/>
        <v>1</v>
      </c>
      <c r="F4166" s="12">
        <v>0</v>
      </c>
    </row>
    <row r="4167" spans="3:6">
      <c r="C4167" s="12"/>
      <c r="D4167" s="12"/>
      <c r="E4167" t="b">
        <f t="shared" si="65"/>
        <v>1</v>
      </c>
      <c r="F4167" s="12">
        <v>0</v>
      </c>
    </row>
    <row r="4168" spans="3:6">
      <c r="C4168" s="12"/>
      <c r="D4168" s="12"/>
      <c r="E4168" t="b">
        <f t="shared" si="65"/>
        <v>1</v>
      </c>
      <c r="F4168" s="12">
        <v>0</v>
      </c>
    </row>
    <row r="4169" spans="3:6">
      <c r="C4169" s="12"/>
      <c r="D4169" s="12"/>
      <c r="E4169" t="b">
        <f t="shared" si="65"/>
        <v>1</v>
      </c>
      <c r="F4169" s="12">
        <v>0</v>
      </c>
    </row>
    <row r="4170" spans="3:6">
      <c r="C4170" s="12"/>
      <c r="D4170" s="12"/>
      <c r="E4170" t="b">
        <f t="shared" si="65"/>
        <v>1</v>
      </c>
      <c r="F4170" s="12">
        <v>0</v>
      </c>
    </row>
    <row r="4171" spans="3:6">
      <c r="C4171" s="12"/>
      <c r="D4171" s="12"/>
      <c r="E4171" t="b">
        <f t="shared" si="65"/>
        <v>1</v>
      </c>
      <c r="F4171" s="12">
        <v>0</v>
      </c>
    </row>
    <row r="4172" spans="3:6">
      <c r="C4172" s="12"/>
      <c r="D4172" s="12"/>
      <c r="E4172" t="b">
        <f t="shared" si="65"/>
        <v>1</v>
      </c>
      <c r="F4172" s="12">
        <v>0</v>
      </c>
    </row>
    <row r="4173" spans="3:6">
      <c r="C4173" s="12"/>
      <c r="D4173" s="12"/>
      <c r="E4173" t="b">
        <f t="shared" si="65"/>
        <v>1</v>
      </c>
      <c r="F4173" s="12">
        <v>0</v>
      </c>
    </row>
    <row r="4174" spans="3:6">
      <c r="C4174" s="12"/>
      <c r="D4174" s="12"/>
      <c r="E4174" t="b">
        <f t="shared" si="65"/>
        <v>1</v>
      </c>
      <c r="F4174" s="12">
        <v>0</v>
      </c>
    </row>
    <row r="4175" spans="3:6">
      <c r="C4175" s="12"/>
      <c r="D4175" s="12"/>
      <c r="E4175" t="b">
        <f t="shared" si="65"/>
        <v>1</v>
      </c>
      <c r="F4175" s="12">
        <v>0</v>
      </c>
    </row>
    <row r="4176" spans="3:6">
      <c r="C4176" s="12"/>
      <c r="D4176" s="12"/>
      <c r="E4176" t="b">
        <f t="shared" si="65"/>
        <v>1</v>
      </c>
      <c r="F4176" s="12">
        <v>0</v>
      </c>
    </row>
    <row r="4177" spans="3:6">
      <c r="C4177" s="12"/>
      <c r="D4177" s="12"/>
      <c r="E4177" t="b">
        <f t="shared" si="65"/>
        <v>1</v>
      </c>
      <c r="F4177" s="12">
        <v>0</v>
      </c>
    </row>
    <row r="4178" spans="3:6">
      <c r="C4178" s="12"/>
      <c r="D4178" s="12"/>
      <c r="E4178" t="b">
        <f t="shared" si="65"/>
        <v>1</v>
      </c>
      <c r="F4178" s="12">
        <v>0</v>
      </c>
    </row>
    <row r="4179" spans="3:6">
      <c r="C4179" s="12"/>
      <c r="D4179" s="12"/>
      <c r="E4179" t="b">
        <f t="shared" si="65"/>
        <v>1</v>
      </c>
      <c r="F4179" s="12">
        <v>0</v>
      </c>
    </row>
    <row r="4180" spans="3:6">
      <c r="C4180" s="12"/>
      <c r="D4180" s="12"/>
      <c r="E4180" t="b">
        <f t="shared" si="65"/>
        <v>1</v>
      </c>
      <c r="F4180" s="12">
        <v>0</v>
      </c>
    </row>
    <row r="4181" spans="3:6">
      <c r="C4181" s="12"/>
      <c r="D4181" s="12"/>
      <c r="E4181" t="b">
        <f t="shared" si="65"/>
        <v>1</v>
      </c>
      <c r="F4181" s="12">
        <v>0</v>
      </c>
    </row>
    <row r="4182" spans="3:6">
      <c r="C4182" s="12"/>
      <c r="D4182" s="12"/>
      <c r="E4182" t="b">
        <f t="shared" si="65"/>
        <v>1</v>
      </c>
      <c r="F4182" s="12">
        <v>0</v>
      </c>
    </row>
    <row r="4183" spans="3:6">
      <c r="C4183" s="12"/>
      <c r="D4183" s="12"/>
      <c r="E4183" t="b">
        <f t="shared" si="65"/>
        <v>1</v>
      </c>
      <c r="F4183" s="12">
        <v>0</v>
      </c>
    </row>
    <row r="4184" spans="3:6">
      <c r="C4184" s="12"/>
      <c r="D4184" s="12"/>
      <c r="E4184" t="b">
        <f t="shared" si="65"/>
        <v>1</v>
      </c>
      <c r="F4184" s="12">
        <v>0</v>
      </c>
    </row>
    <row r="4185" spans="3:6">
      <c r="C4185" s="12"/>
      <c r="D4185" s="12"/>
      <c r="E4185" t="b">
        <f t="shared" si="65"/>
        <v>1</v>
      </c>
      <c r="F4185" s="12">
        <v>0</v>
      </c>
    </row>
    <row r="4186" spans="3:6">
      <c r="C4186" s="12"/>
      <c r="D4186" s="12"/>
      <c r="E4186" t="b">
        <f t="shared" si="65"/>
        <v>1</v>
      </c>
      <c r="F4186" s="12">
        <v>0</v>
      </c>
    </row>
    <row r="4187" spans="3:6">
      <c r="C4187" s="12"/>
      <c r="D4187" s="12"/>
      <c r="E4187" t="b">
        <f t="shared" si="65"/>
        <v>1</v>
      </c>
      <c r="F4187" s="12">
        <v>0</v>
      </c>
    </row>
    <row r="4188" spans="3:6">
      <c r="C4188" s="12"/>
      <c r="D4188" s="12"/>
      <c r="E4188" t="b">
        <f t="shared" si="65"/>
        <v>1</v>
      </c>
      <c r="F4188" s="12">
        <v>0</v>
      </c>
    </row>
    <row r="4189" spans="3:6">
      <c r="C4189" s="12"/>
      <c r="D4189" s="12"/>
      <c r="E4189" t="b">
        <f t="shared" si="65"/>
        <v>1</v>
      </c>
      <c r="F4189" s="12">
        <v>0</v>
      </c>
    </row>
    <row r="4190" spans="3:6">
      <c r="C4190" s="12"/>
      <c r="D4190" s="12"/>
      <c r="E4190" t="b">
        <f t="shared" si="65"/>
        <v>1</v>
      </c>
      <c r="F4190" s="12">
        <v>0</v>
      </c>
    </row>
    <row r="4191" spans="3:6">
      <c r="C4191" s="12"/>
      <c r="D4191" s="12"/>
      <c r="E4191" t="b">
        <f t="shared" si="65"/>
        <v>1</v>
      </c>
      <c r="F4191" s="12">
        <v>0</v>
      </c>
    </row>
    <row r="4192" spans="3:6">
      <c r="C4192" s="12"/>
      <c r="D4192" s="12"/>
      <c r="E4192" t="b">
        <f t="shared" si="65"/>
        <v>1</v>
      </c>
      <c r="F4192" s="12">
        <v>0</v>
      </c>
    </row>
    <row r="4193" spans="3:6">
      <c r="C4193" s="12"/>
      <c r="D4193" s="12"/>
      <c r="E4193" t="b">
        <f t="shared" si="65"/>
        <v>1</v>
      </c>
      <c r="F4193" s="12">
        <v>0</v>
      </c>
    </row>
    <row r="4194" spans="3:6">
      <c r="C4194" s="12"/>
      <c r="D4194" s="12"/>
      <c r="E4194" t="b">
        <f t="shared" si="65"/>
        <v>1</v>
      </c>
      <c r="F4194" s="12">
        <v>0</v>
      </c>
    </row>
    <row r="4195" spans="3:6">
      <c r="C4195" s="12"/>
      <c r="D4195" s="12"/>
      <c r="E4195" t="b">
        <f t="shared" si="65"/>
        <v>1</v>
      </c>
      <c r="F4195" s="12">
        <v>0</v>
      </c>
    </row>
    <row r="4196" spans="3:6">
      <c r="C4196" s="12"/>
      <c r="D4196" s="12"/>
      <c r="E4196" t="b">
        <f t="shared" si="65"/>
        <v>1</v>
      </c>
      <c r="F4196" s="12">
        <v>0</v>
      </c>
    </row>
    <row r="4197" spans="3:6">
      <c r="C4197" s="12"/>
      <c r="D4197" s="12"/>
      <c r="E4197" t="b">
        <f t="shared" si="65"/>
        <v>1</v>
      </c>
      <c r="F4197" s="12">
        <v>0</v>
      </c>
    </row>
    <row r="4198" spans="3:6">
      <c r="C4198" s="12"/>
      <c r="D4198" s="12"/>
      <c r="E4198" t="b">
        <f t="shared" si="65"/>
        <v>1</v>
      </c>
      <c r="F4198" s="12">
        <v>0</v>
      </c>
    </row>
    <row r="4199" spans="3:6">
      <c r="C4199" s="12"/>
      <c r="D4199" s="12"/>
      <c r="E4199" t="b">
        <f t="shared" si="65"/>
        <v>1</v>
      </c>
      <c r="F4199" s="12">
        <v>0</v>
      </c>
    </row>
    <row r="4200" spans="3:6">
      <c r="C4200" s="12"/>
      <c r="D4200" s="12"/>
      <c r="E4200" t="b">
        <f t="shared" si="65"/>
        <v>1</v>
      </c>
      <c r="F4200" s="12">
        <v>0</v>
      </c>
    </row>
    <row r="4201" spans="3:6">
      <c r="C4201" s="12"/>
      <c r="D4201" s="12"/>
      <c r="E4201" t="b">
        <f t="shared" si="65"/>
        <v>1</v>
      </c>
      <c r="F4201" s="12">
        <v>0</v>
      </c>
    </row>
    <row r="4202" spans="3:6">
      <c r="C4202" s="12"/>
      <c r="D4202" s="12"/>
      <c r="E4202" t="b">
        <f t="shared" si="65"/>
        <v>1</v>
      </c>
      <c r="F4202" s="12">
        <v>0</v>
      </c>
    </row>
    <row r="4203" spans="3:6">
      <c r="C4203" s="12"/>
      <c r="D4203" s="12"/>
      <c r="E4203" t="b">
        <f t="shared" si="65"/>
        <v>1</v>
      </c>
      <c r="F4203" s="12">
        <v>0</v>
      </c>
    </row>
    <row r="4204" spans="3:6">
      <c r="C4204" s="12"/>
      <c r="D4204" s="12"/>
      <c r="E4204" t="b">
        <f t="shared" si="65"/>
        <v>1</v>
      </c>
      <c r="F4204" s="12">
        <v>0</v>
      </c>
    </row>
    <row r="4205" spans="3:6">
      <c r="C4205" s="12"/>
      <c r="D4205" s="12"/>
      <c r="E4205" t="b">
        <f t="shared" si="65"/>
        <v>1</v>
      </c>
      <c r="F4205" s="12">
        <v>0</v>
      </c>
    </row>
    <row r="4206" spans="3:6">
      <c r="C4206" s="12"/>
      <c r="D4206" s="12"/>
      <c r="E4206" t="b">
        <f t="shared" si="65"/>
        <v>1</v>
      </c>
      <c r="F4206" s="12">
        <v>0</v>
      </c>
    </row>
    <row r="4207" spans="3:6">
      <c r="C4207" s="12"/>
      <c r="D4207" s="12"/>
      <c r="E4207" t="b">
        <f t="shared" si="65"/>
        <v>1</v>
      </c>
      <c r="F4207" s="12">
        <v>0</v>
      </c>
    </row>
    <row r="4208" spans="3:6">
      <c r="C4208" s="12"/>
      <c r="D4208" s="12"/>
      <c r="E4208" t="b">
        <f t="shared" si="65"/>
        <v>1</v>
      </c>
      <c r="F4208" s="12">
        <v>0</v>
      </c>
    </row>
    <row r="4209" spans="3:6">
      <c r="C4209" s="12"/>
      <c r="D4209" s="12"/>
      <c r="E4209" t="b">
        <f t="shared" si="65"/>
        <v>1</v>
      </c>
      <c r="F4209" s="12">
        <v>0</v>
      </c>
    </row>
    <row r="4210" spans="3:6">
      <c r="C4210" s="12"/>
      <c r="D4210" s="12"/>
      <c r="E4210" t="b">
        <f t="shared" si="65"/>
        <v>1</v>
      </c>
      <c r="F4210" s="12">
        <v>0</v>
      </c>
    </row>
    <row r="4211" spans="3:6">
      <c r="C4211" s="12"/>
      <c r="D4211" s="12"/>
      <c r="E4211" t="b">
        <f t="shared" si="65"/>
        <v>1</v>
      </c>
      <c r="F4211" s="12">
        <v>0</v>
      </c>
    </row>
    <row r="4212" spans="3:6">
      <c r="C4212" s="12"/>
      <c r="D4212" s="12"/>
      <c r="E4212" t="b">
        <f t="shared" si="65"/>
        <v>1</v>
      </c>
      <c r="F4212" s="12">
        <v>0</v>
      </c>
    </row>
    <row r="4213" spans="3:6">
      <c r="C4213" s="12"/>
      <c r="D4213" s="12"/>
      <c r="E4213" t="b">
        <f t="shared" si="65"/>
        <v>1</v>
      </c>
      <c r="F4213" s="12">
        <v>0</v>
      </c>
    </row>
    <row r="4214" spans="3:6">
      <c r="C4214" s="12"/>
      <c r="D4214" s="12"/>
      <c r="E4214" t="b">
        <f t="shared" si="65"/>
        <v>1</v>
      </c>
      <c r="F4214" s="12">
        <v>0</v>
      </c>
    </row>
    <row r="4215" spans="3:6">
      <c r="C4215" s="12"/>
      <c r="D4215" s="12"/>
      <c r="E4215" t="b">
        <f t="shared" si="65"/>
        <v>1</v>
      </c>
      <c r="F4215" s="12">
        <v>0</v>
      </c>
    </row>
    <row r="4216" spans="3:6">
      <c r="C4216" s="12"/>
      <c r="D4216" s="12"/>
      <c r="E4216" t="b">
        <f t="shared" si="65"/>
        <v>1</v>
      </c>
      <c r="F4216" s="12">
        <v>0</v>
      </c>
    </row>
    <row r="4217" spans="3:6">
      <c r="C4217" s="12"/>
      <c r="D4217" s="12"/>
      <c r="E4217" t="b">
        <f t="shared" si="65"/>
        <v>1</v>
      </c>
      <c r="F4217" s="12">
        <v>0</v>
      </c>
    </row>
    <row r="4218" spans="3:6">
      <c r="C4218" s="12"/>
      <c r="D4218" s="12"/>
      <c r="E4218" t="b">
        <f t="shared" si="65"/>
        <v>1</v>
      </c>
      <c r="F4218" s="12">
        <v>0</v>
      </c>
    </row>
    <row r="4219" spans="3:6">
      <c r="C4219" s="12"/>
      <c r="D4219" s="12"/>
      <c r="E4219" t="b">
        <f t="shared" si="65"/>
        <v>1</v>
      </c>
      <c r="F4219" s="12">
        <v>0</v>
      </c>
    </row>
    <row r="4220" spans="3:6">
      <c r="C4220" s="12"/>
      <c r="D4220" s="12"/>
      <c r="E4220" t="b">
        <f t="shared" si="65"/>
        <v>1</v>
      </c>
      <c r="F4220" s="12">
        <v>0</v>
      </c>
    </row>
    <row r="4221" spans="3:6">
      <c r="C4221" s="12"/>
      <c r="D4221" s="12"/>
      <c r="E4221" t="b">
        <f t="shared" si="65"/>
        <v>1</v>
      </c>
      <c r="F4221" s="12">
        <v>0</v>
      </c>
    </row>
    <row r="4222" spans="3:6">
      <c r="C4222" s="12"/>
      <c r="D4222" s="12"/>
      <c r="E4222" t="b">
        <f t="shared" si="65"/>
        <v>1</v>
      </c>
      <c r="F4222" s="12">
        <v>0</v>
      </c>
    </row>
    <row r="4223" spans="3:6">
      <c r="C4223" s="12"/>
      <c r="D4223" s="12"/>
      <c r="E4223" t="b">
        <f t="shared" si="65"/>
        <v>1</v>
      </c>
      <c r="F4223" s="12">
        <v>0</v>
      </c>
    </row>
    <row r="4224" spans="3:6">
      <c r="C4224" s="12"/>
      <c r="D4224" s="12"/>
      <c r="E4224" t="b">
        <f t="shared" si="65"/>
        <v>1</v>
      </c>
      <c r="F4224" s="12">
        <v>0</v>
      </c>
    </row>
    <row r="4225" spans="3:6">
      <c r="C4225" s="12"/>
      <c r="D4225" s="12"/>
      <c r="E4225" t="b">
        <f t="shared" si="65"/>
        <v>1</v>
      </c>
      <c r="F4225" s="12">
        <v>0</v>
      </c>
    </row>
    <row r="4226" spans="3:6">
      <c r="C4226" s="12"/>
      <c r="D4226" s="12"/>
      <c r="E4226" t="b">
        <f t="shared" si="65"/>
        <v>1</v>
      </c>
      <c r="F4226" s="12">
        <v>0</v>
      </c>
    </row>
    <row r="4227" spans="3:6">
      <c r="C4227" s="12"/>
      <c r="D4227" s="12"/>
      <c r="E4227" t="b">
        <f t="shared" ref="E4227:E4290" si="66">F4227=C4227</f>
        <v>1</v>
      </c>
      <c r="F4227" s="12">
        <v>0</v>
      </c>
    </row>
    <row r="4228" spans="3:6">
      <c r="C4228" s="12"/>
      <c r="D4228" s="12"/>
      <c r="E4228" t="b">
        <f t="shared" si="66"/>
        <v>1</v>
      </c>
      <c r="F4228" s="12">
        <v>0</v>
      </c>
    </row>
    <row r="4229" spans="3:6">
      <c r="C4229" s="12"/>
      <c r="D4229" s="12"/>
      <c r="E4229" t="b">
        <f t="shared" si="66"/>
        <v>1</v>
      </c>
      <c r="F4229" s="12">
        <v>0</v>
      </c>
    </row>
    <row r="4230" spans="3:6">
      <c r="C4230" s="12"/>
      <c r="D4230" s="12"/>
      <c r="E4230" t="b">
        <f t="shared" si="66"/>
        <v>1</v>
      </c>
      <c r="F4230" s="12">
        <v>0</v>
      </c>
    </row>
    <row r="4231" spans="3:6">
      <c r="C4231" s="12"/>
      <c r="D4231" s="12"/>
      <c r="E4231" t="b">
        <f t="shared" si="66"/>
        <v>1</v>
      </c>
      <c r="F4231" s="12">
        <v>0</v>
      </c>
    </row>
    <row r="4232" spans="3:6">
      <c r="C4232" s="12"/>
      <c r="D4232" s="12"/>
      <c r="E4232" t="b">
        <f t="shared" si="66"/>
        <v>1</v>
      </c>
      <c r="F4232" s="12">
        <v>0</v>
      </c>
    </row>
    <row r="4233" spans="3:6">
      <c r="C4233" s="12"/>
      <c r="D4233" s="12"/>
      <c r="E4233" t="b">
        <f t="shared" si="66"/>
        <v>1</v>
      </c>
      <c r="F4233" s="12">
        <v>0</v>
      </c>
    </row>
    <row r="4234" spans="3:6">
      <c r="C4234" s="12"/>
      <c r="D4234" s="12"/>
      <c r="E4234" t="b">
        <f t="shared" si="66"/>
        <v>1</v>
      </c>
      <c r="F4234" s="12">
        <v>0</v>
      </c>
    </row>
    <row r="4235" spans="3:6">
      <c r="C4235" s="12"/>
      <c r="D4235" s="12"/>
      <c r="E4235" t="b">
        <f t="shared" si="66"/>
        <v>1</v>
      </c>
      <c r="F4235" s="12">
        <v>0</v>
      </c>
    </row>
    <row r="4236" spans="3:6">
      <c r="C4236" s="12"/>
      <c r="D4236" s="12"/>
      <c r="E4236" t="b">
        <f t="shared" si="66"/>
        <v>1</v>
      </c>
      <c r="F4236" s="12">
        <v>0</v>
      </c>
    </row>
    <row r="4237" spans="3:6">
      <c r="C4237" s="12"/>
      <c r="D4237" s="12"/>
      <c r="E4237" t="b">
        <f t="shared" si="66"/>
        <v>1</v>
      </c>
      <c r="F4237" s="12">
        <v>0</v>
      </c>
    </row>
    <row r="4238" spans="3:6">
      <c r="C4238" s="12"/>
      <c r="D4238" s="12"/>
      <c r="E4238" t="b">
        <f t="shared" si="66"/>
        <v>1</v>
      </c>
      <c r="F4238" s="12">
        <v>0</v>
      </c>
    </row>
    <row r="4239" spans="3:6">
      <c r="C4239" s="12"/>
      <c r="D4239" s="12"/>
      <c r="E4239" t="b">
        <f t="shared" si="66"/>
        <v>1</v>
      </c>
      <c r="F4239" s="12">
        <v>0</v>
      </c>
    </row>
    <row r="4240" spans="3:6">
      <c r="C4240" s="12"/>
      <c r="D4240" s="12"/>
      <c r="E4240" t="b">
        <f t="shared" si="66"/>
        <v>1</v>
      </c>
      <c r="F4240" s="12">
        <v>0</v>
      </c>
    </row>
    <row r="4241" spans="3:6">
      <c r="C4241" s="12"/>
      <c r="D4241" s="12"/>
      <c r="E4241" t="b">
        <f t="shared" si="66"/>
        <v>1</v>
      </c>
      <c r="F4241" s="12">
        <v>0</v>
      </c>
    </row>
    <row r="4242" spans="3:6">
      <c r="C4242" s="12"/>
      <c r="D4242" s="12"/>
      <c r="E4242" t="b">
        <f t="shared" si="66"/>
        <v>1</v>
      </c>
      <c r="F4242" s="12">
        <v>0</v>
      </c>
    </row>
    <row r="4243" spans="3:6">
      <c r="C4243" s="12"/>
      <c r="D4243" s="12"/>
      <c r="E4243" t="b">
        <f t="shared" si="66"/>
        <v>1</v>
      </c>
      <c r="F4243" s="12">
        <v>0</v>
      </c>
    </row>
    <row r="4244" spans="3:6">
      <c r="C4244" s="12"/>
      <c r="D4244" s="12"/>
      <c r="E4244" t="b">
        <f t="shared" si="66"/>
        <v>1</v>
      </c>
      <c r="F4244" s="12">
        <v>0</v>
      </c>
    </row>
    <row r="4245" spans="3:6">
      <c r="C4245" s="12"/>
      <c r="D4245" s="12"/>
      <c r="E4245" t="b">
        <f t="shared" si="66"/>
        <v>1</v>
      </c>
      <c r="F4245" s="12">
        <v>0</v>
      </c>
    </row>
    <row r="4246" spans="3:6">
      <c r="C4246" s="12"/>
      <c r="D4246" s="12"/>
      <c r="E4246" t="b">
        <f t="shared" si="66"/>
        <v>1</v>
      </c>
      <c r="F4246" s="12">
        <v>0</v>
      </c>
    </row>
    <row r="4247" spans="3:6">
      <c r="C4247" s="12"/>
      <c r="D4247" s="12"/>
      <c r="E4247" t="b">
        <f t="shared" si="66"/>
        <v>1</v>
      </c>
      <c r="F4247" s="12">
        <v>0</v>
      </c>
    </row>
    <row r="4248" spans="3:6">
      <c r="C4248" s="12"/>
      <c r="D4248" s="12"/>
      <c r="E4248" t="b">
        <f t="shared" si="66"/>
        <v>1</v>
      </c>
      <c r="F4248" s="12">
        <v>0</v>
      </c>
    </row>
    <row r="4249" spans="3:6">
      <c r="C4249" s="12"/>
      <c r="D4249" s="12"/>
      <c r="E4249" t="b">
        <f t="shared" si="66"/>
        <v>1</v>
      </c>
      <c r="F4249" s="12">
        <v>0</v>
      </c>
    </row>
    <row r="4250" spans="3:6">
      <c r="C4250" s="12"/>
      <c r="D4250" s="12"/>
      <c r="E4250" t="b">
        <f t="shared" si="66"/>
        <v>1</v>
      </c>
      <c r="F4250" s="12">
        <v>0</v>
      </c>
    </row>
    <row r="4251" spans="3:6">
      <c r="C4251" s="12"/>
      <c r="D4251" s="12"/>
      <c r="E4251" t="b">
        <f t="shared" si="66"/>
        <v>1</v>
      </c>
      <c r="F4251" s="12">
        <v>0</v>
      </c>
    </row>
    <row r="4252" spans="3:6">
      <c r="C4252" s="12"/>
      <c r="D4252" s="12"/>
      <c r="E4252" t="b">
        <f t="shared" si="66"/>
        <v>1</v>
      </c>
      <c r="F4252" s="12">
        <v>0</v>
      </c>
    </row>
    <row r="4253" spans="3:6">
      <c r="C4253" s="12"/>
      <c r="D4253" s="12"/>
      <c r="E4253" t="b">
        <f t="shared" si="66"/>
        <v>1</v>
      </c>
      <c r="F4253" s="12">
        <v>0</v>
      </c>
    </row>
    <row r="4254" spans="3:6">
      <c r="C4254" s="12"/>
      <c r="D4254" s="12"/>
      <c r="E4254" t="b">
        <f t="shared" si="66"/>
        <v>1</v>
      </c>
      <c r="F4254" s="12">
        <v>0</v>
      </c>
    </row>
    <row r="4255" spans="3:6">
      <c r="C4255" s="12"/>
      <c r="D4255" s="12"/>
      <c r="E4255" t="b">
        <f t="shared" si="66"/>
        <v>1</v>
      </c>
      <c r="F4255" s="12">
        <v>0</v>
      </c>
    </row>
    <row r="4256" spans="3:6">
      <c r="C4256" s="12"/>
      <c r="D4256" s="12"/>
      <c r="E4256" t="b">
        <f t="shared" si="66"/>
        <v>1</v>
      </c>
      <c r="F4256" s="12">
        <v>0</v>
      </c>
    </row>
    <row r="4257" spans="3:6">
      <c r="C4257" s="12"/>
      <c r="D4257" s="12"/>
      <c r="E4257" t="b">
        <f t="shared" si="66"/>
        <v>1</v>
      </c>
      <c r="F4257" s="12">
        <v>0</v>
      </c>
    </row>
    <row r="4258" spans="3:6">
      <c r="C4258" s="12"/>
      <c r="D4258" s="12"/>
      <c r="E4258" t="b">
        <f t="shared" si="66"/>
        <v>1</v>
      </c>
      <c r="F4258" s="12">
        <v>0</v>
      </c>
    </row>
    <row r="4259" spans="3:6">
      <c r="C4259" s="12"/>
      <c r="D4259" s="12"/>
      <c r="E4259" t="b">
        <f t="shared" si="66"/>
        <v>1</v>
      </c>
      <c r="F4259" s="12">
        <v>0</v>
      </c>
    </row>
    <row r="4260" spans="3:6">
      <c r="C4260" s="12"/>
      <c r="D4260" s="12"/>
      <c r="E4260" t="b">
        <f t="shared" si="66"/>
        <v>1</v>
      </c>
      <c r="F4260" s="12">
        <v>0</v>
      </c>
    </row>
    <row r="4261" spans="3:6">
      <c r="C4261" s="12"/>
      <c r="D4261" s="12"/>
      <c r="E4261" t="b">
        <f t="shared" si="66"/>
        <v>1</v>
      </c>
      <c r="F4261" s="12">
        <v>0</v>
      </c>
    </row>
    <row r="4262" spans="3:6">
      <c r="C4262" s="12"/>
      <c r="D4262" s="12"/>
      <c r="E4262" t="b">
        <f t="shared" si="66"/>
        <v>1</v>
      </c>
      <c r="F4262" s="12">
        <v>0</v>
      </c>
    </row>
    <row r="4263" spans="3:6">
      <c r="C4263" s="12"/>
      <c r="D4263" s="12"/>
      <c r="E4263" t="b">
        <f t="shared" si="66"/>
        <v>1</v>
      </c>
      <c r="F4263" s="12">
        <v>0</v>
      </c>
    </row>
    <row r="4264" spans="3:6">
      <c r="C4264" s="12"/>
      <c r="D4264" s="12"/>
      <c r="E4264" t="b">
        <f t="shared" si="66"/>
        <v>1</v>
      </c>
      <c r="F4264" s="12">
        <v>0</v>
      </c>
    </row>
    <row r="4265" spans="3:6">
      <c r="C4265" s="12"/>
      <c r="D4265" s="12"/>
      <c r="E4265" t="b">
        <f t="shared" si="66"/>
        <v>1</v>
      </c>
      <c r="F4265" s="12">
        <v>0</v>
      </c>
    </row>
    <row r="4266" spans="3:6">
      <c r="C4266" s="12"/>
      <c r="D4266" s="12"/>
      <c r="E4266" t="b">
        <f t="shared" si="66"/>
        <v>1</v>
      </c>
      <c r="F4266" s="12">
        <v>0</v>
      </c>
    </row>
    <row r="4267" spans="3:6">
      <c r="C4267" s="12"/>
      <c r="D4267" s="12"/>
      <c r="E4267" t="b">
        <f t="shared" si="66"/>
        <v>1</v>
      </c>
      <c r="F4267" s="12">
        <v>0</v>
      </c>
    </row>
    <row r="4268" spans="3:6">
      <c r="C4268" s="12"/>
      <c r="D4268" s="12"/>
      <c r="E4268" t="b">
        <f t="shared" si="66"/>
        <v>1</v>
      </c>
      <c r="F4268" s="12">
        <v>0</v>
      </c>
    </row>
    <row r="4269" spans="3:6">
      <c r="C4269" s="12"/>
      <c r="D4269" s="12"/>
      <c r="E4269" t="b">
        <f t="shared" si="66"/>
        <v>1</v>
      </c>
      <c r="F4269" s="12">
        <v>0</v>
      </c>
    </row>
    <row r="4270" spans="3:6">
      <c r="C4270" s="12"/>
      <c r="D4270" s="12"/>
      <c r="E4270" t="b">
        <f t="shared" si="66"/>
        <v>1</v>
      </c>
      <c r="F4270" s="12">
        <v>0</v>
      </c>
    </row>
    <row r="4271" spans="3:6">
      <c r="C4271" s="12"/>
      <c r="D4271" s="12"/>
      <c r="E4271" t="b">
        <f t="shared" si="66"/>
        <v>1</v>
      </c>
      <c r="F4271" s="12">
        <v>0</v>
      </c>
    </row>
    <row r="4272" spans="3:6">
      <c r="C4272" s="12"/>
      <c r="D4272" s="12"/>
      <c r="E4272" t="b">
        <f t="shared" si="66"/>
        <v>1</v>
      </c>
      <c r="F4272" s="12">
        <v>0</v>
      </c>
    </row>
    <row r="4273" spans="3:6">
      <c r="C4273" s="12"/>
      <c r="D4273" s="12"/>
      <c r="E4273" t="b">
        <f t="shared" si="66"/>
        <v>1</v>
      </c>
      <c r="F4273" s="12">
        <v>0</v>
      </c>
    </row>
    <row r="4274" spans="3:6">
      <c r="C4274" s="12"/>
      <c r="D4274" s="12"/>
      <c r="E4274" t="b">
        <f t="shared" si="66"/>
        <v>1</v>
      </c>
      <c r="F4274" s="12">
        <v>0</v>
      </c>
    </row>
    <row r="4275" spans="3:6">
      <c r="C4275" s="12"/>
      <c r="D4275" s="12"/>
      <c r="E4275" t="b">
        <f t="shared" si="66"/>
        <v>1</v>
      </c>
      <c r="F4275" s="12">
        <v>0</v>
      </c>
    </row>
    <row r="4276" spans="3:6">
      <c r="C4276" s="12"/>
      <c r="D4276" s="12"/>
      <c r="E4276" t="b">
        <f t="shared" si="66"/>
        <v>1</v>
      </c>
      <c r="F4276" s="12">
        <v>0</v>
      </c>
    </row>
    <row r="4277" spans="3:6">
      <c r="C4277" s="12"/>
      <c r="D4277" s="12"/>
      <c r="E4277" t="b">
        <f t="shared" si="66"/>
        <v>1</v>
      </c>
      <c r="F4277" s="12">
        <v>0</v>
      </c>
    </row>
    <row r="4278" spans="3:6">
      <c r="C4278" s="12"/>
      <c r="D4278" s="12"/>
      <c r="E4278" t="b">
        <f t="shared" si="66"/>
        <v>1</v>
      </c>
      <c r="F4278" s="12">
        <v>0</v>
      </c>
    </row>
    <row r="4279" spans="3:6">
      <c r="C4279" s="12"/>
      <c r="D4279" s="12"/>
      <c r="E4279" t="b">
        <f t="shared" si="66"/>
        <v>1</v>
      </c>
      <c r="F4279" s="12">
        <v>0</v>
      </c>
    </row>
    <row r="4280" spans="3:6">
      <c r="C4280" s="12"/>
      <c r="D4280" s="12"/>
      <c r="E4280" t="b">
        <f t="shared" si="66"/>
        <v>1</v>
      </c>
      <c r="F4280" s="12">
        <v>0</v>
      </c>
    </row>
    <row r="4281" spans="3:6">
      <c r="C4281" s="12"/>
      <c r="D4281" s="12"/>
      <c r="E4281" t="b">
        <f t="shared" si="66"/>
        <v>1</v>
      </c>
      <c r="F4281" s="12">
        <v>0</v>
      </c>
    </row>
    <row r="4282" spans="3:6">
      <c r="C4282" s="12"/>
      <c r="D4282" s="12"/>
      <c r="E4282" t="b">
        <f t="shared" si="66"/>
        <v>1</v>
      </c>
      <c r="F4282" s="12">
        <v>0</v>
      </c>
    </row>
    <row r="4283" spans="3:6">
      <c r="C4283" s="12"/>
      <c r="D4283" s="12"/>
      <c r="E4283" t="b">
        <f t="shared" si="66"/>
        <v>1</v>
      </c>
      <c r="F4283" s="12">
        <v>0</v>
      </c>
    </row>
    <row r="4284" spans="3:6">
      <c r="C4284" s="12"/>
      <c r="D4284" s="12"/>
      <c r="E4284" t="b">
        <f t="shared" si="66"/>
        <v>1</v>
      </c>
      <c r="F4284" s="12">
        <v>0</v>
      </c>
    </row>
    <row r="4285" spans="3:6">
      <c r="C4285" s="12"/>
      <c r="D4285" s="12"/>
      <c r="E4285" t="b">
        <f t="shared" si="66"/>
        <v>1</v>
      </c>
      <c r="F4285" s="12">
        <v>0</v>
      </c>
    </row>
    <row r="4286" spans="3:6">
      <c r="C4286" s="12"/>
      <c r="D4286" s="12"/>
      <c r="E4286" t="b">
        <f t="shared" si="66"/>
        <v>1</v>
      </c>
      <c r="F4286" s="12">
        <v>0</v>
      </c>
    </row>
    <row r="4287" spans="3:6">
      <c r="C4287" s="12"/>
      <c r="D4287" s="12"/>
      <c r="E4287" t="b">
        <f t="shared" si="66"/>
        <v>1</v>
      </c>
      <c r="F4287" s="12">
        <v>0</v>
      </c>
    </row>
    <row r="4288" spans="3:6">
      <c r="C4288" s="12"/>
      <c r="D4288" s="12"/>
      <c r="E4288" t="b">
        <f t="shared" si="66"/>
        <v>1</v>
      </c>
      <c r="F4288" s="12">
        <v>0</v>
      </c>
    </row>
    <row r="4289" spans="3:6">
      <c r="C4289" s="12"/>
      <c r="D4289" s="12"/>
      <c r="E4289" t="b">
        <f t="shared" si="66"/>
        <v>1</v>
      </c>
      <c r="F4289" s="12">
        <v>0</v>
      </c>
    </row>
    <row r="4290" spans="3:6">
      <c r="C4290" s="12"/>
      <c r="D4290" s="12"/>
      <c r="E4290" t="b">
        <f t="shared" si="66"/>
        <v>1</v>
      </c>
      <c r="F4290" s="12">
        <v>0</v>
      </c>
    </row>
    <row r="4291" spans="3:6">
      <c r="C4291" s="12"/>
      <c r="D4291" s="12"/>
      <c r="E4291" t="b">
        <f t="shared" ref="E4291:E4354" si="67">F4291=C4291</f>
        <v>1</v>
      </c>
      <c r="F4291" s="12">
        <v>0</v>
      </c>
    </row>
    <row r="4292" spans="3:6">
      <c r="C4292" s="12"/>
      <c r="D4292" s="12"/>
      <c r="E4292" t="b">
        <f t="shared" si="67"/>
        <v>1</v>
      </c>
      <c r="F4292" s="12">
        <v>0</v>
      </c>
    </row>
    <row r="4293" spans="3:6">
      <c r="C4293" s="12"/>
      <c r="D4293" s="12"/>
      <c r="E4293" t="b">
        <f t="shared" si="67"/>
        <v>1</v>
      </c>
      <c r="F4293" s="12">
        <v>0</v>
      </c>
    </row>
    <row r="4294" spans="3:6">
      <c r="C4294" s="12"/>
      <c r="D4294" s="12"/>
      <c r="E4294" t="b">
        <f t="shared" si="67"/>
        <v>1</v>
      </c>
      <c r="F4294" s="12">
        <v>0</v>
      </c>
    </row>
    <row r="4295" spans="3:6">
      <c r="C4295" s="12"/>
      <c r="D4295" s="12"/>
      <c r="E4295" t="b">
        <f t="shared" si="67"/>
        <v>1</v>
      </c>
      <c r="F4295" s="12">
        <v>0</v>
      </c>
    </row>
    <row r="4296" spans="3:6">
      <c r="C4296" s="12"/>
      <c r="D4296" s="12"/>
      <c r="E4296" t="b">
        <f t="shared" si="67"/>
        <v>1</v>
      </c>
      <c r="F4296" s="12">
        <v>0</v>
      </c>
    </row>
    <row r="4297" spans="3:6">
      <c r="C4297" s="12"/>
      <c r="D4297" s="12"/>
      <c r="E4297" t="b">
        <f t="shared" si="67"/>
        <v>1</v>
      </c>
      <c r="F4297" s="12">
        <v>0</v>
      </c>
    </row>
    <row r="4298" spans="3:6">
      <c r="C4298" s="12"/>
      <c r="D4298" s="12"/>
      <c r="E4298" t="b">
        <f t="shared" si="67"/>
        <v>1</v>
      </c>
      <c r="F4298" s="12">
        <v>0</v>
      </c>
    </row>
    <row r="4299" spans="3:6">
      <c r="C4299" s="12"/>
      <c r="D4299" s="12"/>
      <c r="E4299" t="b">
        <f t="shared" si="67"/>
        <v>1</v>
      </c>
      <c r="F4299" s="12">
        <v>0</v>
      </c>
    </row>
    <row r="4300" spans="3:6">
      <c r="C4300" s="12"/>
      <c r="D4300" s="12"/>
      <c r="E4300" t="b">
        <f t="shared" si="67"/>
        <v>1</v>
      </c>
      <c r="F4300" s="12">
        <v>0</v>
      </c>
    </row>
    <row r="4301" spans="3:6">
      <c r="C4301" s="12"/>
      <c r="D4301" s="12"/>
      <c r="E4301" t="b">
        <f t="shared" si="67"/>
        <v>1</v>
      </c>
      <c r="F4301" s="12">
        <v>0</v>
      </c>
    </row>
    <row r="4302" spans="3:6">
      <c r="C4302" s="12"/>
      <c r="D4302" s="12"/>
      <c r="E4302" t="b">
        <f t="shared" si="67"/>
        <v>1</v>
      </c>
      <c r="F4302" s="12">
        <v>0</v>
      </c>
    </row>
    <row r="4303" spans="3:6">
      <c r="C4303" s="12"/>
      <c r="D4303" s="12"/>
      <c r="E4303" t="b">
        <f t="shared" si="67"/>
        <v>1</v>
      </c>
      <c r="F4303" s="12">
        <v>0</v>
      </c>
    </row>
    <row r="4304" spans="3:6">
      <c r="C4304" s="12"/>
      <c r="D4304" s="12"/>
      <c r="E4304" t="b">
        <f t="shared" si="67"/>
        <v>1</v>
      </c>
      <c r="F4304" s="12">
        <v>0</v>
      </c>
    </row>
    <row r="4305" spans="3:6">
      <c r="C4305" s="12"/>
      <c r="D4305" s="12"/>
      <c r="E4305" t="b">
        <f t="shared" si="67"/>
        <v>1</v>
      </c>
      <c r="F4305" s="12">
        <v>0</v>
      </c>
    </row>
    <row r="4306" spans="3:6">
      <c r="C4306" s="12"/>
      <c r="D4306" s="12"/>
      <c r="E4306" t="b">
        <f t="shared" si="67"/>
        <v>1</v>
      </c>
      <c r="F4306" s="12">
        <v>0</v>
      </c>
    </row>
    <row r="4307" spans="3:6">
      <c r="C4307" s="12"/>
      <c r="D4307" s="12"/>
      <c r="E4307" t="b">
        <f t="shared" si="67"/>
        <v>1</v>
      </c>
      <c r="F4307" s="12">
        <v>0</v>
      </c>
    </row>
    <row r="4308" spans="3:6">
      <c r="C4308" s="12"/>
      <c r="D4308" s="12"/>
      <c r="E4308" t="b">
        <f t="shared" si="67"/>
        <v>1</v>
      </c>
      <c r="F4308" s="12">
        <v>0</v>
      </c>
    </row>
    <row r="4309" spans="3:6">
      <c r="C4309" s="12"/>
      <c r="D4309" s="12"/>
      <c r="E4309" t="b">
        <f t="shared" si="67"/>
        <v>1</v>
      </c>
      <c r="F4309" s="12">
        <v>0</v>
      </c>
    </row>
    <row r="4310" spans="3:6">
      <c r="C4310" s="12"/>
      <c r="D4310" s="12"/>
      <c r="E4310" t="b">
        <f t="shared" si="67"/>
        <v>1</v>
      </c>
      <c r="F4310" s="12">
        <v>0</v>
      </c>
    </row>
    <row r="4311" spans="3:6">
      <c r="C4311" s="12"/>
      <c r="D4311" s="12"/>
      <c r="E4311" t="b">
        <f t="shared" si="67"/>
        <v>1</v>
      </c>
      <c r="F4311" s="12">
        <v>0</v>
      </c>
    </row>
    <row r="4312" spans="3:6">
      <c r="C4312" s="12"/>
      <c r="D4312" s="12"/>
      <c r="E4312" t="b">
        <f t="shared" si="67"/>
        <v>1</v>
      </c>
      <c r="F4312" s="12">
        <v>0</v>
      </c>
    </row>
    <row r="4313" spans="3:6">
      <c r="C4313" s="12"/>
      <c r="D4313" s="12"/>
      <c r="E4313" t="b">
        <f t="shared" si="67"/>
        <v>1</v>
      </c>
      <c r="F4313" s="12">
        <v>0</v>
      </c>
    </row>
    <row r="4314" spans="3:6">
      <c r="C4314" s="12"/>
      <c r="D4314" s="12"/>
      <c r="E4314" t="b">
        <f t="shared" si="67"/>
        <v>1</v>
      </c>
      <c r="F4314" s="12">
        <v>0</v>
      </c>
    </row>
    <row r="4315" spans="3:6">
      <c r="C4315" s="12"/>
      <c r="D4315" s="12"/>
      <c r="E4315" t="b">
        <f t="shared" si="67"/>
        <v>1</v>
      </c>
      <c r="F4315" s="12">
        <v>0</v>
      </c>
    </row>
    <row r="4316" spans="3:6">
      <c r="C4316" s="12"/>
      <c r="D4316" s="12"/>
      <c r="E4316" t="b">
        <f t="shared" si="67"/>
        <v>1</v>
      </c>
      <c r="F4316" s="12">
        <v>0</v>
      </c>
    </row>
    <row r="4317" spans="3:6">
      <c r="C4317" s="12"/>
      <c r="D4317" s="12"/>
      <c r="E4317" t="b">
        <f t="shared" si="67"/>
        <v>1</v>
      </c>
      <c r="F4317" s="12">
        <v>0</v>
      </c>
    </row>
    <row r="4318" spans="3:6">
      <c r="C4318" s="12"/>
      <c r="D4318" s="12"/>
      <c r="E4318" t="b">
        <f t="shared" si="67"/>
        <v>1</v>
      </c>
      <c r="F4318" s="12">
        <v>0</v>
      </c>
    </row>
    <row r="4319" spans="3:6">
      <c r="C4319" s="12"/>
      <c r="D4319" s="12"/>
      <c r="E4319" t="b">
        <f t="shared" si="67"/>
        <v>1</v>
      </c>
      <c r="F4319" s="12">
        <v>0</v>
      </c>
    </row>
    <row r="4320" spans="3:6">
      <c r="C4320" s="12"/>
      <c r="D4320" s="12"/>
      <c r="E4320" t="b">
        <f t="shared" si="67"/>
        <v>1</v>
      </c>
      <c r="F4320" s="12">
        <v>0</v>
      </c>
    </row>
    <row r="4321" spans="3:6">
      <c r="C4321" s="12"/>
      <c r="D4321" s="12"/>
      <c r="E4321" t="b">
        <f t="shared" si="67"/>
        <v>1</v>
      </c>
      <c r="F4321" s="12">
        <v>0</v>
      </c>
    </row>
    <row r="4322" spans="3:6">
      <c r="C4322" s="12"/>
      <c r="D4322" s="12"/>
      <c r="E4322" t="b">
        <f t="shared" si="67"/>
        <v>1</v>
      </c>
      <c r="F4322" s="12">
        <v>0</v>
      </c>
    </row>
    <row r="4323" spans="3:6">
      <c r="C4323" s="12"/>
      <c r="D4323" s="12"/>
      <c r="E4323" t="b">
        <f t="shared" si="67"/>
        <v>1</v>
      </c>
      <c r="F4323" s="12">
        <v>0</v>
      </c>
    </row>
    <row r="4324" spans="3:6">
      <c r="C4324" s="12"/>
      <c r="D4324" s="12"/>
      <c r="E4324" t="b">
        <f t="shared" si="67"/>
        <v>1</v>
      </c>
      <c r="F4324" s="12">
        <v>0</v>
      </c>
    </row>
    <row r="4325" spans="3:6">
      <c r="C4325" s="12"/>
      <c r="D4325" s="12"/>
      <c r="E4325" t="b">
        <f t="shared" si="67"/>
        <v>1</v>
      </c>
      <c r="F4325" s="12">
        <v>0</v>
      </c>
    </row>
    <row r="4326" spans="3:6">
      <c r="C4326" s="12"/>
      <c r="D4326" s="12"/>
      <c r="E4326" t="b">
        <f t="shared" si="67"/>
        <v>1</v>
      </c>
      <c r="F4326" s="12">
        <v>0</v>
      </c>
    </row>
    <row r="4327" spans="3:6">
      <c r="C4327" s="12"/>
      <c r="D4327" s="12"/>
      <c r="E4327" t="b">
        <f t="shared" si="67"/>
        <v>1</v>
      </c>
      <c r="F4327" s="12">
        <v>0</v>
      </c>
    </row>
    <row r="4328" spans="3:6">
      <c r="C4328" s="12"/>
      <c r="D4328" s="12"/>
      <c r="E4328" t="b">
        <f t="shared" si="67"/>
        <v>1</v>
      </c>
      <c r="F4328" s="12">
        <v>0</v>
      </c>
    </row>
    <row r="4329" spans="3:6">
      <c r="C4329" s="12"/>
      <c r="D4329" s="12"/>
      <c r="E4329" t="b">
        <f t="shared" si="67"/>
        <v>1</v>
      </c>
      <c r="F4329" s="12">
        <v>0</v>
      </c>
    </row>
    <row r="4330" spans="3:6">
      <c r="C4330" s="12"/>
      <c r="D4330" s="12"/>
      <c r="E4330" t="b">
        <f t="shared" si="67"/>
        <v>1</v>
      </c>
      <c r="F4330" s="12">
        <v>0</v>
      </c>
    </row>
    <row r="4331" spans="3:6">
      <c r="C4331" s="12"/>
      <c r="D4331" s="12"/>
      <c r="E4331" t="b">
        <f t="shared" si="67"/>
        <v>1</v>
      </c>
      <c r="F4331" s="12">
        <v>0</v>
      </c>
    </row>
    <row r="4332" spans="3:6">
      <c r="C4332" s="12"/>
      <c r="D4332" s="12"/>
      <c r="E4332" t="b">
        <f t="shared" si="67"/>
        <v>1</v>
      </c>
      <c r="F4332" s="12">
        <v>0</v>
      </c>
    </row>
    <row r="4333" spans="3:6">
      <c r="C4333" s="12"/>
      <c r="D4333" s="12"/>
      <c r="E4333" t="b">
        <f t="shared" si="67"/>
        <v>1</v>
      </c>
      <c r="F4333" s="12">
        <v>0</v>
      </c>
    </row>
    <row r="4334" spans="3:6">
      <c r="C4334" s="12"/>
      <c r="D4334" s="12"/>
      <c r="E4334" t="b">
        <f t="shared" si="67"/>
        <v>1</v>
      </c>
      <c r="F4334" s="12">
        <v>0</v>
      </c>
    </row>
    <row r="4335" spans="3:6">
      <c r="C4335" s="12"/>
      <c r="D4335" s="12"/>
      <c r="E4335" t="b">
        <f t="shared" si="67"/>
        <v>1</v>
      </c>
      <c r="F4335" s="12">
        <v>0</v>
      </c>
    </row>
    <row r="4336" spans="3:6">
      <c r="C4336" s="12"/>
      <c r="D4336" s="12"/>
      <c r="E4336" t="b">
        <f t="shared" si="67"/>
        <v>1</v>
      </c>
      <c r="F4336" s="12">
        <v>0</v>
      </c>
    </row>
    <row r="4337" spans="3:6">
      <c r="C4337" s="12"/>
      <c r="D4337" s="12"/>
      <c r="E4337" t="b">
        <f t="shared" si="67"/>
        <v>1</v>
      </c>
      <c r="F4337" s="12">
        <v>0</v>
      </c>
    </row>
    <row r="4338" spans="3:6">
      <c r="C4338" s="12"/>
      <c r="D4338" s="12"/>
      <c r="E4338" t="b">
        <f t="shared" si="67"/>
        <v>1</v>
      </c>
      <c r="F4338" s="12">
        <v>0</v>
      </c>
    </row>
    <row r="4339" spans="3:6">
      <c r="C4339" s="12"/>
      <c r="D4339" s="12"/>
      <c r="E4339" t="b">
        <f t="shared" si="67"/>
        <v>1</v>
      </c>
      <c r="F4339" s="12">
        <v>0</v>
      </c>
    </row>
    <row r="4340" spans="3:6">
      <c r="C4340" s="12"/>
      <c r="D4340" s="12"/>
      <c r="E4340" t="b">
        <f t="shared" si="67"/>
        <v>1</v>
      </c>
      <c r="F4340" s="12">
        <v>0</v>
      </c>
    </row>
    <row r="4341" spans="3:6">
      <c r="C4341" s="12"/>
      <c r="D4341" s="12"/>
      <c r="E4341" t="b">
        <f t="shared" si="67"/>
        <v>1</v>
      </c>
      <c r="F4341" s="12">
        <v>0</v>
      </c>
    </row>
    <row r="4342" spans="3:6">
      <c r="C4342" s="12"/>
      <c r="D4342" s="12"/>
      <c r="E4342" t="b">
        <f t="shared" si="67"/>
        <v>1</v>
      </c>
      <c r="F4342" s="12">
        <v>0</v>
      </c>
    </row>
    <row r="4343" spans="3:6">
      <c r="C4343" s="12"/>
      <c r="D4343" s="12"/>
      <c r="E4343" t="b">
        <f t="shared" si="67"/>
        <v>1</v>
      </c>
      <c r="F4343" s="12">
        <v>0</v>
      </c>
    </row>
    <row r="4344" spans="3:6">
      <c r="C4344" s="12"/>
      <c r="D4344" s="12"/>
      <c r="E4344" t="b">
        <f t="shared" si="67"/>
        <v>1</v>
      </c>
      <c r="F4344" s="12">
        <v>0</v>
      </c>
    </row>
    <row r="4345" spans="3:6">
      <c r="C4345" s="12"/>
      <c r="D4345" s="12"/>
      <c r="E4345" t="b">
        <f t="shared" si="67"/>
        <v>1</v>
      </c>
      <c r="F4345" s="12">
        <v>0</v>
      </c>
    </row>
    <row r="4346" spans="3:6">
      <c r="C4346" s="12"/>
      <c r="D4346" s="12"/>
      <c r="E4346" t="b">
        <f t="shared" si="67"/>
        <v>1</v>
      </c>
      <c r="F4346" s="12">
        <v>0</v>
      </c>
    </row>
    <row r="4347" spans="3:6">
      <c r="C4347" s="12"/>
      <c r="D4347" s="12"/>
      <c r="E4347" t="b">
        <f t="shared" si="67"/>
        <v>1</v>
      </c>
      <c r="F4347" s="12">
        <v>0</v>
      </c>
    </row>
    <row r="4348" spans="3:6">
      <c r="C4348" s="12"/>
      <c r="D4348" s="12"/>
      <c r="E4348" t="b">
        <f t="shared" si="67"/>
        <v>1</v>
      </c>
      <c r="F4348" s="12">
        <v>0</v>
      </c>
    </row>
    <row r="4349" spans="3:6">
      <c r="C4349" s="12"/>
      <c r="D4349" s="12"/>
      <c r="E4349" t="b">
        <f t="shared" si="67"/>
        <v>1</v>
      </c>
      <c r="F4349" s="12">
        <v>0</v>
      </c>
    </row>
    <row r="4350" spans="3:6">
      <c r="C4350" s="12"/>
      <c r="D4350" s="12"/>
      <c r="E4350" t="b">
        <f t="shared" si="67"/>
        <v>1</v>
      </c>
      <c r="F4350" s="12">
        <v>0</v>
      </c>
    </row>
    <row r="4351" spans="3:6">
      <c r="C4351" s="12"/>
      <c r="D4351" s="12"/>
      <c r="E4351" t="b">
        <f t="shared" si="67"/>
        <v>1</v>
      </c>
      <c r="F4351" s="12">
        <v>0</v>
      </c>
    </row>
    <row r="4352" spans="3:6">
      <c r="C4352" s="12"/>
      <c r="D4352" s="12"/>
      <c r="E4352" t="b">
        <f t="shared" si="67"/>
        <v>1</v>
      </c>
      <c r="F4352" s="12">
        <v>0</v>
      </c>
    </row>
    <row r="4353" spans="3:6">
      <c r="C4353" s="12"/>
      <c r="D4353" s="12"/>
      <c r="E4353" t="b">
        <f t="shared" si="67"/>
        <v>1</v>
      </c>
      <c r="F4353" s="12">
        <v>0</v>
      </c>
    </row>
    <row r="4354" spans="3:6">
      <c r="C4354" s="12"/>
      <c r="D4354" s="12"/>
      <c r="E4354" t="b">
        <f t="shared" si="67"/>
        <v>1</v>
      </c>
      <c r="F4354" s="12">
        <v>0</v>
      </c>
    </row>
    <row r="4355" spans="3:6">
      <c r="C4355" s="12"/>
      <c r="D4355" s="12"/>
      <c r="E4355" t="b">
        <f t="shared" ref="E4355:E4418" si="68">F4355=C4355</f>
        <v>1</v>
      </c>
      <c r="F4355" s="12">
        <v>0</v>
      </c>
    </row>
    <row r="4356" spans="3:6">
      <c r="C4356" s="12"/>
      <c r="D4356" s="12"/>
      <c r="E4356" t="b">
        <f t="shared" si="68"/>
        <v>1</v>
      </c>
      <c r="F4356" s="12">
        <v>0</v>
      </c>
    </row>
    <row r="4357" spans="3:6">
      <c r="C4357" s="12"/>
      <c r="D4357" s="12"/>
      <c r="E4357" t="b">
        <f t="shared" si="68"/>
        <v>1</v>
      </c>
      <c r="F4357" s="12">
        <v>0</v>
      </c>
    </row>
    <row r="4358" spans="3:6">
      <c r="C4358" s="12"/>
      <c r="D4358" s="12"/>
      <c r="E4358" t="b">
        <f t="shared" si="68"/>
        <v>1</v>
      </c>
      <c r="F4358" s="12">
        <v>0</v>
      </c>
    </row>
    <row r="4359" spans="3:6">
      <c r="C4359" s="12"/>
      <c r="D4359" s="12"/>
      <c r="E4359" t="b">
        <f t="shared" si="68"/>
        <v>1</v>
      </c>
      <c r="F4359" s="12">
        <v>0</v>
      </c>
    </row>
    <row r="4360" spans="3:6">
      <c r="C4360" s="12"/>
      <c r="D4360" s="12"/>
      <c r="E4360" t="b">
        <f t="shared" si="68"/>
        <v>1</v>
      </c>
      <c r="F4360" s="12">
        <v>0</v>
      </c>
    </row>
    <row r="4361" spans="3:6">
      <c r="C4361" s="12"/>
      <c r="D4361" s="12"/>
      <c r="E4361" t="b">
        <f t="shared" si="68"/>
        <v>1</v>
      </c>
      <c r="F4361" s="12">
        <v>0</v>
      </c>
    </row>
    <row r="4362" spans="3:6">
      <c r="C4362" s="12"/>
      <c r="D4362" s="12"/>
      <c r="E4362" t="b">
        <f t="shared" si="68"/>
        <v>1</v>
      </c>
      <c r="F4362" s="12">
        <v>0</v>
      </c>
    </row>
    <row r="4363" spans="3:6">
      <c r="C4363" s="12"/>
      <c r="D4363" s="12"/>
      <c r="E4363" t="b">
        <f t="shared" si="68"/>
        <v>1</v>
      </c>
      <c r="F4363" s="12">
        <v>0</v>
      </c>
    </row>
    <row r="4364" spans="3:6">
      <c r="C4364" s="12"/>
      <c r="D4364" s="12"/>
      <c r="E4364" t="b">
        <f t="shared" si="68"/>
        <v>1</v>
      </c>
      <c r="F4364" s="12">
        <v>0</v>
      </c>
    </row>
    <row r="4365" spans="3:6">
      <c r="C4365" s="12"/>
      <c r="D4365" s="12"/>
      <c r="E4365" t="b">
        <f t="shared" si="68"/>
        <v>1</v>
      </c>
      <c r="F4365" s="12">
        <v>0</v>
      </c>
    </row>
    <row r="4366" spans="3:6">
      <c r="C4366" s="12"/>
      <c r="D4366" s="12"/>
      <c r="E4366" t="b">
        <f t="shared" si="68"/>
        <v>1</v>
      </c>
      <c r="F4366" s="12">
        <v>0</v>
      </c>
    </row>
    <row r="4367" spans="3:6">
      <c r="C4367" s="12"/>
      <c r="D4367" s="12"/>
      <c r="E4367" t="b">
        <f t="shared" si="68"/>
        <v>1</v>
      </c>
      <c r="F4367" s="12">
        <v>0</v>
      </c>
    </row>
    <row r="4368" spans="3:6">
      <c r="C4368" s="12"/>
      <c r="D4368" s="12"/>
      <c r="E4368" t="b">
        <f t="shared" si="68"/>
        <v>1</v>
      </c>
      <c r="F4368" s="12">
        <v>0</v>
      </c>
    </row>
    <row r="4369" spans="3:6">
      <c r="C4369" s="12"/>
      <c r="D4369" s="12"/>
      <c r="E4369" t="b">
        <f t="shared" si="68"/>
        <v>1</v>
      </c>
      <c r="F4369" s="12">
        <v>0</v>
      </c>
    </row>
    <row r="4370" spans="3:6">
      <c r="C4370" s="12"/>
      <c r="D4370" s="12"/>
      <c r="E4370" t="b">
        <f t="shared" si="68"/>
        <v>1</v>
      </c>
      <c r="F4370" s="12">
        <v>0</v>
      </c>
    </row>
    <row r="4371" spans="3:6">
      <c r="C4371" s="12"/>
      <c r="D4371" s="12"/>
      <c r="E4371" t="b">
        <f t="shared" si="68"/>
        <v>1</v>
      </c>
      <c r="F4371" s="12">
        <v>0</v>
      </c>
    </row>
    <row r="4372" spans="3:6">
      <c r="C4372" s="12"/>
      <c r="D4372" s="12"/>
      <c r="E4372" t="b">
        <f t="shared" si="68"/>
        <v>1</v>
      </c>
      <c r="F4372" s="12">
        <v>0</v>
      </c>
    </row>
    <row r="4373" spans="3:6">
      <c r="C4373" s="12"/>
      <c r="D4373" s="12"/>
      <c r="E4373" t="b">
        <f t="shared" si="68"/>
        <v>1</v>
      </c>
      <c r="F4373" s="12">
        <v>0</v>
      </c>
    </row>
    <row r="4374" spans="3:6">
      <c r="C4374" s="12"/>
      <c r="D4374" s="12"/>
      <c r="E4374" t="b">
        <f t="shared" si="68"/>
        <v>1</v>
      </c>
      <c r="F4374" s="12">
        <v>0</v>
      </c>
    </row>
    <row r="4375" spans="3:6">
      <c r="C4375" s="12"/>
      <c r="D4375" s="12"/>
      <c r="E4375" t="b">
        <f t="shared" si="68"/>
        <v>1</v>
      </c>
      <c r="F4375" s="12">
        <v>0</v>
      </c>
    </row>
    <row r="4376" spans="3:6">
      <c r="C4376" s="12"/>
      <c r="D4376" s="12"/>
      <c r="E4376" t="b">
        <f t="shared" si="68"/>
        <v>1</v>
      </c>
      <c r="F4376" s="12">
        <v>0</v>
      </c>
    </row>
    <row r="4377" spans="3:6">
      <c r="C4377" s="12"/>
      <c r="D4377" s="12"/>
      <c r="E4377" t="b">
        <f t="shared" si="68"/>
        <v>1</v>
      </c>
      <c r="F4377" s="12">
        <v>0</v>
      </c>
    </row>
    <row r="4378" spans="3:6">
      <c r="C4378" s="12"/>
      <c r="D4378" s="12"/>
      <c r="E4378" t="b">
        <f t="shared" si="68"/>
        <v>1</v>
      </c>
      <c r="F4378" s="12">
        <v>0</v>
      </c>
    </row>
    <row r="4379" spans="3:6">
      <c r="C4379" s="12"/>
      <c r="D4379" s="12"/>
      <c r="E4379" t="b">
        <f t="shared" si="68"/>
        <v>1</v>
      </c>
      <c r="F4379" s="12">
        <v>0</v>
      </c>
    </row>
    <row r="4380" spans="3:6">
      <c r="C4380" s="12"/>
      <c r="D4380" s="12"/>
      <c r="E4380" t="b">
        <f t="shared" si="68"/>
        <v>1</v>
      </c>
      <c r="F4380" s="12">
        <v>0</v>
      </c>
    </row>
    <row r="4381" spans="3:6">
      <c r="C4381" s="12"/>
      <c r="D4381" s="12"/>
      <c r="E4381" t="b">
        <f t="shared" si="68"/>
        <v>1</v>
      </c>
      <c r="F4381" s="12">
        <v>0</v>
      </c>
    </row>
    <row r="4382" spans="3:6">
      <c r="C4382" s="12"/>
      <c r="D4382" s="12"/>
      <c r="E4382" t="b">
        <f t="shared" si="68"/>
        <v>1</v>
      </c>
      <c r="F4382" s="12">
        <v>0</v>
      </c>
    </row>
    <row r="4383" spans="3:6">
      <c r="C4383" s="12"/>
      <c r="D4383" s="12"/>
      <c r="E4383" t="b">
        <f t="shared" si="68"/>
        <v>1</v>
      </c>
      <c r="F4383" s="12">
        <v>0</v>
      </c>
    </row>
    <row r="4384" spans="3:6">
      <c r="C4384" s="12"/>
      <c r="D4384" s="12"/>
      <c r="E4384" t="b">
        <f t="shared" si="68"/>
        <v>1</v>
      </c>
      <c r="F4384" s="12">
        <v>0</v>
      </c>
    </row>
    <row r="4385" spans="3:6">
      <c r="C4385" s="12"/>
      <c r="D4385" s="12"/>
      <c r="E4385" t="b">
        <f t="shared" si="68"/>
        <v>1</v>
      </c>
      <c r="F4385" s="12">
        <v>0</v>
      </c>
    </row>
    <row r="4386" spans="3:6">
      <c r="C4386" s="12"/>
      <c r="D4386" s="12"/>
      <c r="E4386" t="b">
        <f t="shared" si="68"/>
        <v>1</v>
      </c>
      <c r="F4386" s="12">
        <v>0</v>
      </c>
    </row>
    <row r="4387" spans="3:6">
      <c r="C4387" s="12"/>
      <c r="D4387" s="12"/>
      <c r="E4387" t="b">
        <f t="shared" si="68"/>
        <v>1</v>
      </c>
      <c r="F4387" s="12">
        <v>0</v>
      </c>
    </row>
    <row r="4388" spans="3:6">
      <c r="C4388" s="12"/>
      <c r="D4388" s="12"/>
      <c r="E4388" t="b">
        <f t="shared" si="68"/>
        <v>1</v>
      </c>
      <c r="F4388" s="12">
        <v>0</v>
      </c>
    </row>
    <row r="4389" spans="3:6">
      <c r="C4389" s="12"/>
      <c r="D4389" s="12"/>
      <c r="E4389" t="b">
        <f t="shared" si="68"/>
        <v>1</v>
      </c>
      <c r="F4389" s="12">
        <v>0</v>
      </c>
    </row>
    <row r="4390" spans="3:6">
      <c r="C4390" s="12"/>
      <c r="D4390" s="12"/>
      <c r="E4390" t="b">
        <f t="shared" si="68"/>
        <v>1</v>
      </c>
      <c r="F4390" s="12">
        <v>0</v>
      </c>
    </row>
    <row r="4391" spans="3:6">
      <c r="C4391" s="12"/>
      <c r="D4391" s="12"/>
      <c r="E4391" t="b">
        <f t="shared" si="68"/>
        <v>1</v>
      </c>
      <c r="F4391" s="12">
        <v>0</v>
      </c>
    </row>
    <row r="4392" spans="3:6">
      <c r="C4392" s="12"/>
      <c r="D4392" s="12"/>
      <c r="E4392" t="b">
        <f t="shared" si="68"/>
        <v>1</v>
      </c>
      <c r="F4392" s="12">
        <v>0</v>
      </c>
    </row>
    <row r="4393" spans="3:6">
      <c r="C4393" s="12"/>
      <c r="D4393" s="12"/>
      <c r="E4393" t="b">
        <f t="shared" si="68"/>
        <v>1</v>
      </c>
      <c r="F4393" s="12">
        <v>0</v>
      </c>
    </row>
    <row r="4394" spans="3:6">
      <c r="C4394" s="12"/>
      <c r="D4394" s="12"/>
      <c r="E4394" t="b">
        <f t="shared" si="68"/>
        <v>1</v>
      </c>
      <c r="F4394" s="12">
        <v>0</v>
      </c>
    </row>
    <row r="4395" spans="3:6">
      <c r="C4395" s="12"/>
      <c r="D4395" s="12"/>
      <c r="E4395" t="b">
        <f t="shared" si="68"/>
        <v>1</v>
      </c>
      <c r="F4395" s="12">
        <v>0</v>
      </c>
    </row>
    <row r="4396" spans="3:6">
      <c r="C4396" s="12"/>
      <c r="D4396" s="12"/>
      <c r="E4396" t="b">
        <f t="shared" si="68"/>
        <v>1</v>
      </c>
      <c r="F4396" s="12">
        <v>0</v>
      </c>
    </row>
    <row r="4397" spans="3:6">
      <c r="C4397" s="12"/>
      <c r="D4397" s="12"/>
      <c r="E4397" t="b">
        <f t="shared" si="68"/>
        <v>1</v>
      </c>
      <c r="F4397" s="12">
        <v>0</v>
      </c>
    </row>
    <row r="4398" spans="3:6">
      <c r="C4398" s="12"/>
      <c r="D4398" s="12"/>
      <c r="E4398" t="b">
        <f t="shared" si="68"/>
        <v>1</v>
      </c>
      <c r="F4398" s="12">
        <v>0</v>
      </c>
    </row>
    <row r="4399" spans="3:6">
      <c r="C4399" s="12"/>
      <c r="D4399" s="12"/>
      <c r="E4399" t="b">
        <f t="shared" si="68"/>
        <v>1</v>
      </c>
      <c r="F4399" s="12">
        <v>0</v>
      </c>
    </row>
    <row r="4400" spans="3:6">
      <c r="C4400" s="12"/>
      <c r="D4400" s="12"/>
      <c r="E4400" t="b">
        <f t="shared" si="68"/>
        <v>1</v>
      </c>
      <c r="F4400" s="12">
        <v>0</v>
      </c>
    </row>
    <row r="4401" spans="3:6">
      <c r="C4401" s="12"/>
      <c r="D4401" s="12"/>
      <c r="E4401" t="b">
        <f t="shared" si="68"/>
        <v>1</v>
      </c>
      <c r="F4401" s="12">
        <v>0</v>
      </c>
    </row>
    <row r="4402" spans="3:6">
      <c r="C4402" s="12"/>
      <c r="D4402" s="12"/>
      <c r="E4402" t="b">
        <f t="shared" si="68"/>
        <v>1</v>
      </c>
      <c r="F4402" s="12">
        <v>0</v>
      </c>
    </row>
    <row r="4403" spans="3:6">
      <c r="C4403" s="12"/>
      <c r="D4403" s="12"/>
      <c r="E4403" t="b">
        <f t="shared" si="68"/>
        <v>1</v>
      </c>
      <c r="F4403" s="12">
        <v>0</v>
      </c>
    </row>
    <row r="4404" spans="3:6">
      <c r="C4404" s="12"/>
      <c r="D4404" s="12"/>
      <c r="E4404" t="b">
        <f t="shared" si="68"/>
        <v>1</v>
      </c>
      <c r="F4404" s="12">
        <v>0</v>
      </c>
    </row>
    <row r="4405" spans="3:6">
      <c r="C4405" s="12"/>
      <c r="D4405" s="12"/>
      <c r="E4405" t="b">
        <f t="shared" si="68"/>
        <v>1</v>
      </c>
      <c r="F4405" s="12">
        <v>0</v>
      </c>
    </row>
    <row r="4406" spans="3:6">
      <c r="C4406" s="12"/>
      <c r="D4406" s="12"/>
      <c r="E4406" t="b">
        <f t="shared" si="68"/>
        <v>1</v>
      </c>
      <c r="F4406" s="12">
        <v>0</v>
      </c>
    </row>
    <row r="4407" spans="3:6">
      <c r="C4407" s="12"/>
      <c r="D4407" s="12"/>
      <c r="E4407" t="b">
        <f t="shared" si="68"/>
        <v>1</v>
      </c>
      <c r="F4407" s="12">
        <v>0</v>
      </c>
    </row>
    <row r="4408" spans="3:6">
      <c r="C4408" s="12"/>
      <c r="D4408" s="12"/>
      <c r="E4408" t="b">
        <f t="shared" si="68"/>
        <v>1</v>
      </c>
      <c r="F4408" s="12">
        <v>0</v>
      </c>
    </row>
    <row r="4409" spans="3:6">
      <c r="C4409" s="12"/>
      <c r="D4409" s="12"/>
      <c r="E4409" t="b">
        <f t="shared" si="68"/>
        <v>1</v>
      </c>
      <c r="F4409" s="12">
        <v>0</v>
      </c>
    </row>
    <row r="4410" spans="3:6">
      <c r="C4410" s="12"/>
      <c r="D4410" s="12"/>
      <c r="E4410" t="b">
        <f t="shared" si="68"/>
        <v>1</v>
      </c>
      <c r="F4410" s="12">
        <v>0</v>
      </c>
    </row>
    <row r="4411" spans="3:6">
      <c r="C4411" s="12"/>
      <c r="D4411" s="12"/>
      <c r="E4411" t="b">
        <f t="shared" si="68"/>
        <v>1</v>
      </c>
      <c r="F4411" s="12">
        <v>0</v>
      </c>
    </row>
    <row r="4412" spans="3:6">
      <c r="C4412" s="12"/>
      <c r="D4412" s="12"/>
      <c r="E4412" t="b">
        <f t="shared" si="68"/>
        <v>1</v>
      </c>
      <c r="F4412" s="12">
        <v>0</v>
      </c>
    </row>
    <row r="4413" spans="3:6">
      <c r="C4413" s="12"/>
      <c r="D4413" s="12"/>
      <c r="E4413" t="b">
        <f t="shared" si="68"/>
        <v>1</v>
      </c>
      <c r="F4413" s="12">
        <v>0</v>
      </c>
    </row>
    <row r="4414" spans="3:6">
      <c r="C4414" s="12"/>
      <c r="D4414" s="12"/>
      <c r="E4414" t="b">
        <f t="shared" si="68"/>
        <v>1</v>
      </c>
      <c r="F4414" s="12">
        <v>0</v>
      </c>
    </row>
    <row r="4415" spans="3:6">
      <c r="C4415" s="12"/>
      <c r="D4415" s="12"/>
      <c r="E4415" t="b">
        <f t="shared" si="68"/>
        <v>1</v>
      </c>
      <c r="F4415" s="12">
        <v>0</v>
      </c>
    </row>
    <row r="4416" spans="3:6">
      <c r="C4416" s="12"/>
      <c r="D4416" s="12"/>
      <c r="E4416" t="b">
        <f t="shared" si="68"/>
        <v>1</v>
      </c>
      <c r="F4416" s="12">
        <v>0</v>
      </c>
    </row>
    <row r="4417" spans="3:6">
      <c r="C4417" s="12"/>
      <c r="D4417" s="12"/>
      <c r="E4417" t="b">
        <f t="shared" si="68"/>
        <v>1</v>
      </c>
      <c r="F4417" s="12">
        <v>0</v>
      </c>
    </row>
    <row r="4418" spans="3:6">
      <c r="C4418" s="12"/>
      <c r="D4418" s="12"/>
      <c r="E4418" t="b">
        <f t="shared" si="68"/>
        <v>1</v>
      </c>
      <c r="F4418" s="12">
        <v>0</v>
      </c>
    </row>
    <row r="4419" spans="3:6">
      <c r="C4419" s="12"/>
      <c r="D4419" s="12"/>
      <c r="E4419" t="b">
        <f t="shared" ref="E4419:E4482" si="69">F4419=C4419</f>
        <v>1</v>
      </c>
      <c r="F4419" s="12">
        <v>0</v>
      </c>
    </row>
    <row r="4420" spans="3:6">
      <c r="C4420" s="12"/>
      <c r="D4420" s="12"/>
      <c r="E4420" t="b">
        <f t="shared" si="69"/>
        <v>1</v>
      </c>
      <c r="F4420" s="12">
        <v>0</v>
      </c>
    </row>
    <row r="4421" spans="3:6">
      <c r="C4421" s="12"/>
      <c r="D4421" s="12"/>
      <c r="E4421" t="b">
        <f t="shared" si="69"/>
        <v>1</v>
      </c>
      <c r="F4421" s="12">
        <v>0</v>
      </c>
    </row>
    <row r="4422" spans="3:6">
      <c r="C4422" s="12"/>
      <c r="D4422" s="12"/>
      <c r="E4422" t="b">
        <f t="shared" si="69"/>
        <v>1</v>
      </c>
      <c r="F4422" s="12">
        <v>0</v>
      </c>
    </row>
    <row r="4423" spans="3:6">
      <c r="C4423" s="12"/>
      <c r="D4423" s="12"/>
      <c r="E4423" t="b">
        <f t="shared" si="69"/>
        <v>1</v>
      </c>
      <c r="F4423" s="12">
        <v>0</v>
      </c>
    </row>
    <row r="4424" spans="3:6">
      <c r="C4424" s="12"/>
      <c r="D4424" s="12"/>
      <c r="E4424" t="b">
        <f t="shared" si="69"/>
        <v>1</v>
      </c>
      <c r="F4424" s="12">
        <v>0</v>
      </c>
    </row>
    <row r="4425" spans="3:6">
      <c r="C4425" s="12"/>
      <c r="D4425" s="12"/>
      <c r="E4425" t="b">
        <f t="shared" si="69"/>
        <v>1</v>
      </c>
      <c r="F4425" s="12">
        <v>0</v>
      </c>
    </row>
    <row r="4426" spans="3:6">
      <c r="C4426" s="12"/>
      <c r="D4426" s="12"/>
      <c r="E4426" t="b">
        <f t="shared" si="69"/>
        <v>1</v>
      </c>
      <c r="F4426" s="12">
        <v>0</v>
      </c>
    </row>
    <row r="4427" spans="3:6">
      <c r="C4427" s="12"/>
      <c r="D4427" s="12"/>
      <c r="E4427" t="b">
        <f t="shared" si="69"/>
        <v>1</v>
      </c>
      <c r="F4427" s="12">
        <v>0</v>
      </c>
    </row>
    <row r="4428" spans="3:6">
      <c r="C4428" s="12"/>
      <c r="D4428" s="12"/>
      <c r="E4428" t="b">
        <f t="shared" si="69"/>
        <v>1</v>
      </c>
      <c r="F4428" s="12">
        <v>0</v>
      </c>
    </row>
    <row r="4429" spans="3:6">
      <c r="C4429" s="12"/>
      <c r="D4429" s="12"/>
      <c r="E4429" t="b">
        <f t="shared" si="69"/>
        <v>1</v>
      </c>
      <c r="F4429" s="12">
        <v>0</v>
      </c>
    </row>
    <row r="4430" spans="3:6">
      <c r="C4430" s="12"/>
      <c r="D4430" s="12"/>
      <c r="E4430" t="b">
        <f t="shared" si="69"/>
        <v>1</v>
      </c>
      <c r="F4430" s="12">
        <v>0</v>
      </c>
    </row>
    <row r="4431" spans="3:6">
      <c r="C4431" s="12"/>
      <c r="D4431" s="12"/>
      <c r="E4431" t="b">
        <f t="shared" si="69"/>
        <v>1</v>
      </c>
      <c r="F4431" s="12">
        <v>0</v>
      </c>
    </row>
    <row r="4432" spans="3:6">
      <c r="C4432" s="12"/>
      <c r="D4432" s="12"/>
      <c r="E4432" t="b">
        <f t="shared" si="69"/>
        <v>1</v>
      </c>
      <c r="F4432" s="12">
        <v>0</v>
      </c>
    </row>
    <row r="4433" spans="3:6">
      <c r="C4433" s="12"/>
      <c r="D4433" s="12"/>
      <c r="E4433" t="b">
        <f t="shared" si="69"/>
        <v>1</v>
      </c>
      <c r="F4433" s="12">
        <v>0</v>
      </c>
    </row>
    <row r="4434" spans="3:6">
      <c r="C4434" s="12"/>
      <c r="D4434" s="12"/>
      <c r="E4434" t="b">
        <f t="shared" si="69"/>
        <v>1</v>
      </c>
      <c r="F4434" s="12">
        <v>0</v>
      </c>
    </row>
    <row r="4435" spans="3:6">
      <c r="C4435" s="12"/>
      <c r="D4435" s="12"/>
      <c r="E4435" t="b">
        <f t="shared" si="69"/>
        <v>1</v>
      </c>
      <c r="F4435" s="12">
        <v>0</v>
      </c>
    </row>
    <row r="4436" spans="3:6">
      <c r="C4436" s="12"/>
      <c r="D4436" s="12"/>
      <c r="E4436" t="b">
        <f t="shared" si="69"/>
        <v>1</v>
      </c>
      <c r="F4436" s="12">
        <v>0</v>
      </c>
    </row>
    <row r="4437" spans="3:6">
      <c r="C4437" s="12"/>
      <c r="D4437" s="12"/>
      <c r="E4437" t="b">
        <f t="shared" si="69"/>
        <v>1</v>
      </c>
      <c r="F4437" s="12">
        <v>0</v>
      </c>
    </row>
    <row r="4438" spans="3:6">
      <c r="C4438" s="12"/>
      <c r="D4438" s="12"/>
      <c r="E4438" t="b">
        <f t="shared" si="69"/>
        <v>1</v>
      </c>
      <c r="F4438" s="12">
        <v>0</v>
      </c>
    </row>
    <row r="4439" spans="3:6">
      <c r="C4439" s="12"/>
      <c r="D4439" s="12"/>
      <c r="E4439" t="b">
        <f t="shared" si="69"/>
        <v>1</v>
      </c>
      <c r="F4439" s="12">
        <v>0</v>
      </c>
    </row>
    <row r="4440" spans="3:6">
      <c r="C4440" s="12"/>
      <c r="D4440" s="12"/>
      <c r="E4440" t="b">
        <f t="shared" si="69"/>
        <v>1</v>
      </c>
      <c r="F4440" s="12">
        <v>0</v>
      </c>
    </row>
    <row r="4441" spans="3:6">
      <c r="C4441" s="12"/>
      <c r="D4441" s="12"/>
      <c r="E4441" t="b">
        <f t="shared" si="69"/>
        <v>1</v>
      </c>
      <c r="F4441" s="12">
        <v>0</v>
      </c>
    </row>
    <row r="4442" spans="3:6">
      <c r="C4442" s="12"/>
      <c r="D4442" s="12"/>
      <c r="E4442" t="b">
        <f t="shared" si="69"/>
        <v>1</v>
      </c>
      <c r="F4442" s="12">
        <v>0</v>
      </c>
    </row>
    <row r="4443" spans="3:6">
      <c r="C4443" s="12"/>
      <c r="D4443" s="12"/>
      <c r="E4443" t="b">
        <f t="shared" si="69"/>
        <v>1</v>
      </c>
      <c r="F4443" s="12">
        <v>0</v>
      </c>
    </row>
    <row r="4444" spans="3:6">
      <c r="C4444" s="12"/>
      <c r="D4444" s="12"/>
      <c r="E4444" t="b">
        <f t="shared" si="69"/>
        <v>1</v>
      </c>
      <c r="F4444" s="12">
        <v>0</v>
      </c>
    </row>
    <row r="4445" spans="3:6">
      <c r="C4445" s="12"/>
      <c r="D4445" s="12"/>
      <c r="E4445" t="b">
        <f t="shared" si="69"/>
        <v>1</v>
      </c>
      <c r="F4445" s="12">
        <v>0</v>
      </c>
    </row>
    <row r="4446" spans="3:6">
      <c r="C4446" s="12"/>
      <c r="D4446" s="12"/>
      <c r="E4446" t="b">
        <f t="shared" si="69"/>
        <v>1</v>
      </c>
      <c r="F4446" s="12">
        <v>0</v>
      </c>
    </row>
    <row r="4447" spans="3:6">
      <c r="C4447" s="12"/>
      <c r="D4447" s="12"/>
      <c r="E4447" t="b">
        <f t="shared" si="69"/>
        <v>1</v>
      </c>
      <c r="F4447" s="12">
        <v>0</v>
      </c>
    </row>
    <row r="4448" spans="3:6">
      <c r="C4448" s="12"/>
      <c r="D4448" s="12"/>
      <c r="E4448" t="b">
        <f t="shared" si="69"/>
        <v>1</v>
      </c>
      <c r="F4448" s="12">
        <v>0</v>
      </c>
    </row>
    <row r="4449" spans="3:6">
      <c r="C4449" s="12"/>
      <c r="D4449" s="12"/>
      <c r="E4449" t="b">
        <f t="shared" si="69"/>
        <v>1</v>
      </c>
      <c r="F4449" s="12">
        <v>0</v>
      </c>
    </row>
    <row r="4450" spans="3:6">
      <c r="C4450" s="12"/>
      <c r="D4450" s="12"/>
      <c r="E4450" t="b">
        <f t="shared" si="69"/>
        <v>1</v>
      </c>
      <c r="F4450" s="12">
        <v>0</v>
      </c>
    </row>
    <row r="4451" spans="3:6">
      <c r="C4451" s="12"/>
      <c r="D4451" s="12"/>
      <c r="E4451" t="b">
        <f t="shared" si="69"/>
        <v>1</v>
      </c>
      <c r="F4451" s="12">
        <v>0</v>
      </c>
    </row>
    <row r="4452" spans="3:6">
      <c r="C4452" s="12"/>
      <c r="D4452" s="12"/>
      <c r="E4452" t="b">
        <f t="shared" si="69"/>
        <v>1</v>
      </c>
      <c r="F4452" s="12">
        <v>0</v>
      </c>
    </row>
    <row r="4453" spans="3:6">
      <c r="C4453" s="12"/>
      <c r="D4453" s="12"/>
      <c r="E4453" t="b">
        <f t="shared" si="69"/>
        <v>1</v>
      </c>
      <c r="F4453" s="12">
        <v>0</v>
      </c>
    </row>
    <row r="4454" spans="3:6">
      <c r="C4454" s="12"/>
      <c r="D4454" s="12"/>
      <c r="E4454" t="b">
        <f t="shared" si="69"/>
        <v>1</v>
      </c>
      <c r="F4454" s="12">
        <v>0</v>
      </c>
    </row>
    <row r="4455" spans="3:6">
      <c r="C4455" s="12"/>
      <c r="D4455" s="12"/>
      <c r="E4455" t="b">
        <f t="shared" si="69"/>
        <v>1</v>
      </c>
      <c r="F4455" s="12">
        <v>0</v>
      </c>
    </row>
    <row r="4456" spans="3:6">
      <c r="C4456" s="12"/>
      <c r="D4456" s="12"/>
      <c r="E4456" t="b">
        <f t="shared" si="69"/>
        <v>1</v>
      </c>
      <c r="F4456" s="12">
        <v>0</v>
      </c>
    </row>
    <row r="4457" spans="3:6">
      <c r="C4457" s="12"/>
      <c r="D4457" s="12"/>
      <c r="E4457" t="b">
        <f t="shared" si="69"/>
        <v>1</v>
      </c>
      <c r="F4457" s="12">
        <v>0</v>
      </c>
    </row>
    <row r="4458" spans="3:6">
      <c r="C4458" s="12"/>
      <c r="D4458" s="12"/>
      <c r="E4458" t="b">
        <f t="shared" si="69"/>
        <v>1</v>
      </c>
      <c r="F4458" s="12">
        <v>0</v>
      </c>
    </row>
    <row r="4459" spans="3:6">
      <c r="C4459" s="12"/>
      <c r="D4459" s="12"/>
      <c r="E4459" t="b">
        <f t="shared" si="69"/>
        <v>1</v>
      </c>
      <c r="F4459" s="12">
        <v>0</v>
      </c>
    </row>
    <row r="4460" spans="3:6">
      <c r="C4460" s="12"/>
      <c r="D4460" s="12"/>
      <c r="E4460" t="b">
        <f t="shared" si="69"/>
        <v>1</v>
      </c>
      <c r="F4460" s="12">
        <v>0</v>
      </c>
    </row>
    <row r="4461" spans="3:6">
      <c r="C4461" s="12"/>
      <c r="D4461" s="12"/>
      <c r="E4461" t="b">
        <f t="shared" si="69"/>
        <v>1</v>
      </c>
      <c r="F4461" s="12">
        <v>0</v>
      </c>
    </row>
    <row r="4462" spans="3:6">
      <c r="C4462" s="12"/>
      <c r="D4462" s="12"/>
      <c r="E4462" t="b">
        <f t="shared" si="69"/>
        <v>1</v>
      </c>
      <c r="F4462" s="12">
        <v>0</v>
      </c>
    </row>
    <row r="4463" spans="3:6">
      <c r="C4463" s="12"/>
      <c r="D4463" s="12"/>
      <c r="E4463" t="b">
        <f t="shared" si="69"/>
        <v>1</v>
      </c>
      <c r="F4463" s="12">
        <v>0</v>
      </c>
    </row>
    <row r="4464" spans="3:6">
      <c r="C4464" s="12"/>
      <c r="D4464" s="12"/>
      <c r="E4464" t="b">
        <f t="shared" si="69"/>
        <v>1</v>
      </c>
      <c r="F4464" s="12">
        <v>0</v>
      </c>
    </row>
    <row r="4465" spans="3:6">
      <c r="C4465" s="12"/>
      <c r="D4465" s="12"/>
      <c r="E4465" t="b">
        <f t="shared" si="69"/>
        <v>1</v>
      </c>
      <c r="F4465" s="12">
        <v>0</v>
      </c>
    </row>
    <row r="4466" spans="3:6">
      <c r="C4466" s="12"/>
      <c r="D4466" s="12"/>
      <c r="E4466" t="b">
        <f t="shared" si="69"/>
        <v>1</v>
      </c>
      <c r="F4466" s="12">
        <v>0</v>
      </c>
    </row>
    <row r="4467" spans="3:6">
      <c r="C4467" s="12"/>
      <c r="D4467" s="12"/>
      <c r="E4467" t="b">
        <f t="shared" si="69"/>
        <v>1</v>
      </c>
      <c r="F4467" s="12">
        <v>0</v>
      </c>
    </row>
    <row r="4468" spans="3:6">
      <c r="C4468" s="12"/>
      <c r="D4468" s="12"/>
      <c r="E4468" t="b">
        <f t="shared" si="69"/>
        <v>1</v>
      </c>
      <c r="F4468" s="12">
        <v>0</v>
      </c>
    </row>
    <row r="4469" spans="3:6">
      <c r="C4469" s="12"/>
      <c r="D4469" s="12"/>
      <c r="E4469" t="b">
        <f t="shared" si="69"/>
        <v>1</v>
      </c>
      <c r="F4469" s="12">
        <v>0</v>
      </c>
    </row>
    <row r="4470" spans="3:6">
      <c r="C4470" s="12"/>
      <c r="D4470" s="12"/>
      <c r="E4470" t="b">
        <f t="shared" si="69"/>
        <v>1</v>
      </c>
      <c r="F4470" s="12">
        <v>0</v>
      </c>
    </row>
    <row r="4471" spans="3:6">
      <c r="C4471" s="12"/>
      <c r="D4471" s="12"/>
      <c r="E4471" t="b">
        <f t="shared" si="69"/>
        <v>1</v>
      </c>
      <c r="F4471" s="12">
        <v>0</v>
      </c>
    </row>
    <row r="4472" spans="3:6">
      <c r="C4472" s="12"/>
      <c r="D4472" s="12"/>
      <c r="E4472" t="b">
        <f t="shared" si="69"/>
        <v>1</v>
      </c>
      <c r="F4472" s="12">
        <v>0</v>
      </c>
    </row>
    <row r="4473" spans="3:6">
      <c r="C4473" s="12"/>
      <c r="D4473" s="12"/>
      <c r="E4473" t="b">
        <f t="shared" si="69"/>
        <v>1</v>
      </c>
      <c r="F4473" s="12">
        <v>0</v>
      </c>
    </row>
    <row r="4474" spans="3:6">
      <c r="C4474" s="12"/>
      <c r="D4474" s="12"/>
      <c r="E4474" t="b">
        <f t="shared" si="69"/>
        <v>1</v>
      </c>
      <c r="F4474" s="12">
        <v>0</v>
      </c>
    </row>
    <row r="4475" spans="3:6">
      <c r="C4475" s="12"/>
      <c r="D4475" s="12"/>
      <c r="E4475" t="b">
        <f t="shared" si="69"/>
        <v>1</v>
      </c>
      <c r="F4475" s="12">
        <v>0</v>
      </c>
    </row>
    <row r="4476" spans="3:6">
      <c r="C4476" s="12"/>
      <c r="D4476" s="12"/>
      <c r="E4476" t="b">
        <f t="shared" si="69"/>
        <v>1</v>
      </c>
      <c r="F4476" s="12">
        <v>0</v>
      </c>
    </row>
    <row r="4477" spans="3:6">
      <c r="C4477" s="12"/>
      <c r="D4477" s="12"/>
      <c r="E4477" t="b">
        <f t="shared" si="69"/>
        <v>1</v>
      </c>
      <c r="F4477" s="12">
        <v>0</v>
      </c>
    </row>
    <row r="4478" spans="3:6">
      <c r="C4478" s="12"/>
      <c r="D4478" s="12"/>
      <c r="E4478" t="b">
        <f t="shared" si="69"/>
        <v>1</v>
      </c>
      <c r="F4478" s="12">
        <v>0</v>
      </c>
    </row>
    <row r="4479" spans="3:6">
      <c r="C4479" s="12"/>
      <c r="D4479" s="12"/>
      <c r="E4479" t="b">
        <f t="shared" si="69"/>
        <v>1</v>
      </c>
      <c r="F4479" s="12">
        <v>0</v>
      </c>
    </row>
    <row r="4480" spans="3:6">
      <c r="C4480" s="12"/>
      <c r="D4480" s="12"/>
      <c r="E4480" t="b">
        <f t="shared" si="69"/>
        <v>1</v>
      </c>
      <c r="F4480" s="12">
        <v>0</v>
      </c>
    </row>
    <row r="4481" spans="3:6">
      <c r="C4481" s="12"/>
      <c r="D4481" s="12"/>
      <c r="E4481" t="b">
        <f t="shared" si="69"/>
        <v>1</v>
      </c>
      <c r="F4481" s="12">
        <v>0</v>
      </c>
    </row>
    <row r="4482" spans="3:6">
      <c r="C4482" s="12"/>
      <c r="D4482" s="12"/>
      <c r="E4482" t="b">
        <f t="shared" si="69"/>
        <v>1</v>
      </c>
      <c r="F4482" s="12">
        <v>0</v>
      </c>
    </row>
    <row r="4483" spans="3:6">
      <c r="C4483" s="12"/>
      <c r="D4483" s="12"/>
      <c r="E4483" t="b">
        <f t="shared" ref="E4483:E4546" si="70">F4483=C4483</f>
        <v>1</v>
      </c>
      <c r="F4483" s="12">
        <v>0</v>
      </c>
    </row>
    <row r="4484" spans="3:6">
      <c r="C4484" s="12"/>
      <c r="D4484" s="12"/>
      <c r="E4484" t="b">
        <f t="shared" si="70"/>
        <v>1</v>
      </c>
      <c r="F4484" s="12">
        <v>0</v>
      </c>
    </row>
    <row r="4485" spans="3:6">
      <c r="C4485" s="12"/>
      <c r="D4485" s="12"/>
      <c r="E4485" t="b">
        <f t="shared" si="70"/>
        <v>1</v>
      </c>
      <c r="F4485" s="12">
        <v>0</v>
      </c>
    </row>
    <row r="4486" spans="3:6">
      <c r="C4486" s="12"/>
      <c r="D4486" s="12"/>
      <c r="E4486" t="b">
        <f t="shared" si="70"/>
        <v>1</v>
      </c>
      <c r="F4486" s="12">
        <v>0</v>
      </c>
    </row>
    <row r="4487" spans="3:6">
      <c r="C4487" s="12"/>
      <c r="D4487" s="12"/>
      <c r="E4487" t="b">
        <f t="shared" si="70"/>
        <v>1</v>
      </c>
      <c r="F4487" s="12">
        <v>0</v>
      </c>
    </row>
    <row r="4488" spans="3:6">
      <c r="C4488" s="12"/>
      <c r="D4488" s="12"/>
      <c r="E4488" t="b">
        <f t="shared" si="70"/>
        <v>1</v>
      </c>
      <c r="F4488" s="12">
        <v>0</v>
      </c>
    </row>
    <row r="4489" spans="3:6">
      <c r="C4489" s="12"/>
      <c r="D4489" s="12"/>
      <c r="E4489" t="b">
        <f t="shared" si="70"/>
        <v>1</v>
      </c>
      <c r="F4489" s="12">
        <v>0</v>
      </c>
    </row>
    <row r="4490" spans="3:6">
      <c r="C4490" s="12"/>
      <c r="D4490" s="12"/>
      <c r="E4490" t="b">
        <f t="shared" si="70"/>
        <v>1</v>
      </c>
      <c r="F4490" s="12">
        <v>0</v>
      </c>
    </row>
    <row r="4491" spans="3:6">
      <c r="C4491" s="12"/>
      <c r="D4491" s="12"/>
      <c r="E4491" t="b">
        <f t="shared" si="70"/>
        <v>1</v>
      </c>
      <c r="F4491" s="12">
        <v>0</v>
      </c>
    </row>
    <row r="4492" spans="3:6">
      <c r="C4492" s="12"/>
      <c r="D4492" s="12"/>
      <c r="E4492" t="b">
        <f t="shared" si="70"/>
        <v>1</v>
      </c>
      <c r="F4492" s="12">
        <v>0</v>
      </c>
    </row>
    <row r="4493" spans="3:6">
      <c r="C4493" s="12"/>
      <c r="D4493" s="12"/>
      <c r="E4493" t="b">
        <f t="shared" si="70"/>
        <v>1</v>
      </c>
      <c r="F4493" s="12">
        <v>0</v>
      </c>
    </row>
    <row r="4494" spans="3:6">
      <c r="C4494" s="12"/>
      <c r="D4494" s="12"/>
      <c r="E4494" t="b">
        <f t="shared" si="70"/>
        <v>1</v>
      </c>
      <c r="F4494" s="12">
        <v>0</v>
      </c>
    </row>
    <row r="4495" spans="3:6">
      <c r="C4495" s="12"/>
      <c r="D4495" s="12"/>
      <c r="E4495" t="b">
        <f t="shared" si="70"/>
        <v>1</v>
      </c>
      <c r="F4495" s="12">
        <v>0</v>
      </c>
    </row>
    <row r="4496" spans="3:6">
      <c r="C4496" s="12"/>
      <c r="D4496" s="12"/>
      <c r="E4496" t="b">
        <f t="shared" si="70"/>
        <v>1</v>
      </c>
      <c r="F4496" s="12">
        <v>0</v>
      </c>
    </row>
    <row r="4497" spans="3:6">
      <c r="C4497" s="12"/>
      <c r="D4497" s="12"/>
      <c r="E4497" t="b">
        <f t="shared" si="70"/>
        <v>1</v>
      </c>
      <c r="F4497" s="12">
        <v>0</v>
      </c>
    </row>
    <row r="4498" spans="3:6">
      <c r="C4498" s="12"/>
      <c r="D4498" s="12"/>
      <c r="E4498" t="b">
        <f t="shared" si="70"/>
        <v>1</v>
      </c>
      <c r="F4498" s="12">
        <v>0</v>
      </c>
    </row>
    <row r="4499" spans="3:6">
      <c r="C4499" s="12"/>
      <c r="D4499" s="12"/>
      <c r="E4499" t="b">
        <f t="shared" si="70"/>
        <v>1</v>
      </c>
      <c r="F4499" s="12">
        <v>0</v>
      </c>
    </row>
    <row r="4500" spans="3:6">
      <c r="C4500" s="12"/>
      <c r="D4500" s="12"/>
      <c r="E4500" t="b">
        <f t="shared" si="70"/>
        <v>1</v>
      </c>
      <c r="F4500" s="12">
        <v>0</v>
      </c>
    </row>
    <row r="4501" spans="3:6">
      <c r="C4501" s="12"/>
      <c r="D4501" s="12"/>
      <c r="E4501" t="b">
        <f t="shared" si="70"/>
        <v>1</v>
      </c>
      <c r="F4501" s="12">
        <v>0</v>
      </c>
    </row>
    <row r="4502" spans="3:6">
      <c r="C4502" s="12"/>
      <c r="D4502" s="12"/>
      <c r="E4502" t="b">
        <f t="shared" si="70"/>
        <v>1</v>
      </c>
      <c r="F4502" s="12">
        <v>0</v>
      </c>
    </row>
    <row r="4503" spans="3:6">
      <c r="C4503" s="12"/>
      <c r="D4503" s="12"/>
      <c r="E4503" t="b">
        <f t="shared" si="70"/>
        <v>1</v>
      </c>
      <c r="F4503" s="12">
        <v>0</v>
      </c>
    </row>
    <row r="4504" spans="3:6">
      <c r="C4504" s="12"/>
      <c r="D4504" s="12"/>
      <c r="E4504" t="b">
        <f t="shared" si="70"/>
        <v>1</v>
      </c>
      <c r="F4504" s="12">
        <v>0</v>
      </c>
    </row>
    <row r="4505" spans="3:6">
      <c r="C4505" s="12"/>
      <c r="D4505" s="12"/>
      <c r="E4505" t="b">
        <f t="shared" si="70"/>
        <v>1</v>
      </c>
      <c r="F4505" s="12">
        <v>0</v>
      </c>
    </row>
    <row r="4506" spans="3:6">
      <c r="C4506" s="12"/>
      <c r="D4506" s="12"/>
      <c r="E4506" t="b">
        <f t="shared" si="70"/>
        <v>1</v>
      </c>
      <c r="F4506" s="12">
        <v>0</v>
      </c>
    </row>
    <row r="4507" spans="3:6">
      <c r="C4507" s="12"/>
      <c r="D4507" s="12"/>
      <c r="E4507" t="b">
        <f t="shared" si="70"/>
        <v>1</v>
      </c>
      <c r="F4507" s="12">
        <v>0</v>
      </c>
    </row>
    <row r="4508" spans="3:6">
      <c r="C4508" s="12"/>
      <c r="D4508" s="12"/>
      <c r="E4508" t="b">
        <f t="shared" si="70"/>
        <v>1</v>
      </c>
      <c r="F4508" s="12">
        <v>0</v>
      </c>
    </row>
    <row r="4509" spans="3:6">
      <c r="C4509" s="12"/>
      <c r="D4509" s="12"/>
      <c r="E4509" t="b">
        <f t="shared" si="70"/>
        <v>1</v>
      </c>
      <c r="F4509" s="12">
        <v>0</v>
      </c>
    </row>
    <row r="4510" spans="3:6">
      <c r="C4510" s="12"/>
      <c r="D4510" s="12"/>
      <c r="E4510" t="b">
        <f t="shared" si="70"/>
        <v>1</v>
      </c>
      <c r="F4510" s="12">
        <v>0</v>
      </c>
    </row>
    <row r="4511" spans="3:6">
      <c r="C4511" s="12"/>
      <c r="D4511" s="12"/>
      <c r="E4511" t="b">
        <f t="shared" si="70"/>
        <v>1</v>
      </c>
      <c r="F4511" s="12">
        <v>0</v>
      </c>
    </row>
    <row r="4512" spans="3:6">
      <c r="C4512" s="12"/>
      <c r="D4512" s="12"/>
      <c r="E4512" t="b">
        <f t="shared" si="70"/>
        <v>1</v>
      </c>
      <c r="F4512" s="12">
        <v>0</v>
      </c>
    </row>
    <row r="4513" spans="3:6">
      <c r="C4513" s="12"/>
      <c r="D4513" s="12"/>
      <c r="E4513" t="b">
        <f t="shared" si="70"/>
        <v>1</v>
      </c>
      <c r="F4513" s="12">
        <v>0</v>
      </c>
    </row>
    <row r="4514" spans="3:6">
      <c r="C4514" s="12"/>
      <c r="D4514" s="12"/>
      <c r="E4514" t="b">
        <f t="shared" si="70"/>
        <v>1</v>
      </c>
      <c r="F4514" s="12">
        <v>0</v>
      </c>
    </row>
    <row r="4515" spans="3:6">
      <c r="C4515" s="12"/>
      <c r="D4515" s="12"/>
      <c r="E4515" t="b">
        <f t="shared" si="70"/>
        <v>1</v>
      </c>
      <c r="F4515" s="12">
        <v>0</v>
      </c>
    </row>
    <row r="4516" spans="3:6">
      <c r="C4516" s="12"/>
      <c r="D4516" s="12"/>
      <c r="E4516" t="b">
        <f t="shared" si="70"/>
        <v>1</v>
      </c>
      <c r="F4516" s="12">
        <v>0</v>
      </c>
    </row>
    <row r="4517" spans="3:6">
      <c r="C4517" s="12"/>
      <c r="D4517" s="12"/>
      <c r="E4517" t="b">
        <f t="shared" si="70"/>
        <v>1</v>
      </c>
      <c r="F4517" s="12">
        <v>0</v>
      </c>
    </row>
    <row r="4518" spans="3:6">
      <c r="C4518" s="12"/>
      <c r="D4518" s="12"/>
      <c r="E4518" t="b">
        <f t="shared" si="70"/>
        <v>1</v>
      </c>
      <c r="F4518" s="12">
        <v>0</v>
      </c>
    </row>
    <row r="4519" spans="3:6">
      <c r="C4519" s="12"/>
      <c r="D4519" s="12"/>
      <c r="E4519" t="b">
        <f t="shared" si="70"/>
        <v>1</v>
      </c>
      <c r="F4519" s="12">
        <v>0</v>
      </c>
    </row>
    <row r="4520" spans="3:6">
      <c r="C4520" s="12"/>
      <c r="D4520" s="12"/>
      <c r="E4520" t="b">
        <f t="shared" si="70"/>
        <v>1</v>
      </c>
      <c r="F4520" s="12">
        <v>0</v>
      </c>
    </row>
    <row r="4521" spans="3:6">
      <c r="C4521" s="12"/>
      <c r="D4521" s="12"/>
      <c r="E4521" t="b">
        <f t="shared" si="70"/>
        <v>1</v>
      </c>
      <c r="F4521" s="12">
        <v>0</v>
      </c>
    </row>
    <row r="4522" spans="3:6">
      <c r="C4522" s="12"/>
      <c r="D4522" s="12"/>
      <c r="E4522" t="b">
        <f t="shared" si="70"/>
        <v>1</v>
      </c>
      <c r="F4522" s="12">
        <v>0</v>
      </c>
    </row>
    <row r="4523" spans="3:6">
      <c r="C4523" s="12"/>
      <c r="D4523" s="12"/>
      <c r="E4523" t="b">
        <f t="shared" si="70"/>
        <v>1</v>
      </c>
      <c r="F4523" s="12">
        <v>0</v>
      </c>
    </row>
    <row r="4524" spans="3:6">
      <c r="C4524" s="12"/>
      <c r="D4524" s="12"/>
      <c r="E4524" t="b">
        <f t="shared" si="70"/>
        <v>1</v>
      </c>
      <c r="F4524" s="12">
        <v>0</v>
      </c>
    </row>
    <row r="4525" spans="3:6">
      <c r="C4525" s="12"/>
      <c r="D4525" s="12"/>
      <c r="E4525" t="b">
        <f t="shared" si="70"/>
        <v>1</v>
      </c>
      <c r="F4525" s="12">
        <v>0</v>
      </c>
    </row>
    <row r="4526" spans="3:6">
      <c r="C4526" s="12"/>
      <c r="D4526" s="12"/>
      <c r="E4526" t="b">
        <f t="shared" si="70"/>
        <v>1</v>
      </c>
      <c r="F4526" s="12">
        <v>0</v>
      </c>
    </row>
    <row r="4527" spans="3:6">
      <c r="C4527" s="12"/>
      <c r="D4527" s="12"/>
      <c r="E4527" t="b">
        <f t="shared" si="70"/>
        <v>1</v>
      </c>
      <c r="F4527" s="12">
        <v>0</v>
      </c>
    </row>
    <row r="4528" spans="3:6">
      <c r="C4528" s="12"/>
      <c r="D4528" s="12"/>
      <c r="E4528" t="b">
        <f t="shared" si="70"/>
        <v>1</v>
      </c>
      <c r="F4528" s="12">
        <v>0</v>
      </c>
    </row>
    <row r="4529" spans="3:6">
      <c r="C4529" s="12"/>
      <c r="D4529" s="12"/>
      <c r="E4529" t="b">
        <f t="shared" si="70"/>
        <v>1</v>
      </c>
      <c r="F4529" s="12">
        <v>0</v>
      </c>
    </row>
    <row r="4530" spans="3:6">
      <c r="C4530" s="12"/>
      <c r="D4530" s="12"/>
      <c r="E4530" t="b">
        <f t="shared" si="70"/>
        <v>1</v>
      </c>
      <c r="F4530" s="12">
        <v>0</v>
      </c>
    </row>
    <row r="4531" spans="3:6">
      <c r="C4531" s="12"/>
      <c r="D4531" s="12"/>
      <c r="E4531" t="b">
        <f t="shared" si="70"/>
        <v>1</v>
      </c>
      <c r="F4531" s="12">
        <v>0</v>
      </c>
    </row>
    <row r="4532" spans="3:6">
      <c r="C4532" s="12"/>
      <c r="D4532" s="12"/>
      <c r="E4532" t="b">
        <f t="shared" si="70"/>
        <v>1</v>
      </c>
      <c r="F4532" s="12">
        <v>0</v>
      </c>
    </row>
    <row r="4533" spans="3:6">
      <c r="C4533" s="12"/>
      <c r="D4533" s="12"/>
      <c r="E4533" t="b">
        <f t="shared" si="70"/>
        <v>1</v>
      </c>
      <c r="F4533" s="12">
        <v>0</v>
      </c>
    </row>
    <row r="4534" spans="3:6">
      <c r="C4534" s="12"/>
      <c r="D4534" s="12"/>
      <c r="E4534" t="b">
        <f t="shared" si="70"/>
        <v>1</v>
      </c>
      <c r="F4534" s="12">
        <v>0</v>
      </c>
    </row>
    <row r="4535" spans="3:6">
      <c r="C4535" s="12"/>
      <c r="D4535" s="12"/>
      <c r="E4535" t="b">
        <f t="shared" si="70"/>
        <v>1</v>
      </c>
      <c r="F4535" s="12">
        <v>0</v>
      </c>
    </row>
    <row r="4536" spans="3:6">
      <c r="C4536" s="12"/>
      <c r="D4536" s="12"/>
      <c r="E4536" t="b">
        <f t="shared" si="70"/>
        <v>1</v>
      </c>
      <c r="F4536" s="12">
        <v>0</v>
      </c>
    </row>
    <row r="4537" spans="3:6">
      <c r="C4537" s="12"/>
      <c r="D4537" s="12"/>
      <c r="E4537" t="b">
        <f t="shared" si="70"/>
        <v>1</v>
      </c>
      <c r="F4537" s="12">
        <v>0</v>
      </c>
    </row>
    <row r="4538" spans="3:6">
      <c r="C4538" s="12"/>
      <c r="D4538" s="12"/>
      <c r="E4538" t="b">
        <f t="shared" si="70"/>
        <v>1</v>
      </c>
      <c r="F4538" s="12">
        <v>0</v>
      </c>
    </row>
    <row r="4539" spans="3:6">
      <c r="C4539" s="12"/>
      <c r="D4539" s="12"/>
      <c r="E4539" t="b">
        <f t="shared" si="70"/>
        <v>1</v>
      </c>
      <c r="F4539" s="12">
        <v>0</v>
      </c>
    </row>
    <row r="4540" spans="3:6">
      <c r="C4540" s="12"/>
      <c r="D4540" s="12"/>
      <c r="E4540" t="b">
        <f t="shared" si="70"/>
        <v>1</v>
      </c>
      <c r="F4540" s="12">
        <v>0</v>
      </c>
    </row>
    <row r="4541" spans="3:6">
      <c r="C4541" s="12"/>
      <c r="D4541" s="12"/>
      <c r="E4541" t="b">
        <f t="shared" si="70"/>
        <v>1</v>
      </c>
      <c r="F4541" s="12">
        <v>0</v>
      </c>
    </row>
    <row r="4542" spans="3:6">
      <c r="C4542" s="12"/>
      <c r="D4542" s="12"/>
      <c r="E4542" t="b">
        <f t="shared" si="70"/>
        <v>1</v>
      </c>
      <c r="F4542" s="12">
        <v>0</v>
      </c>
    </row>
    <row r="4543" spans="3:6">
      <c r="C4543" s="12"/>
      <c r="D4543" s="12"/>
      <c r="E4543" t="b">
        <f t="shared" si="70"/>
        <v>1</v>
      </c>
      <c r="F4543" s="12">
        <v>0</v>
      </c>
    </row>
    <row r="4544" spans="3:6">
      <c r="C4544" s="12"/>
      <c r="D4544" s="12"/>
      <c r="E4544" t="b">
        <f t="shared" si="70"/>
        <v>1</v>
      </c>
      <c r="F4544" s="12">
        <v>0</v>
      </c>
    </row>
    <row r="4545" spans="3:6">
      <c r="C4545" s="12"/>
      <c r="D4545" s="12"/>
      <c r="E4545" t="b">
        <f t="shared" si="70"/>
        <v>1</v>
      </c>
      <c r="F4545" s="12">
        <v>0</v>
      </c>
    </row>
    <row r="4546" spans="3:6">
      <c r="C4546" s="12"/>
      <c r="D4546" s="12"/>
      <c r="E4546" t="b">
        <f t="shared" si="70"/>
        <v>1</v>
      </c>
      <c r="F4546" s="12">
        <v>0</v>
      </c>
    </row>
    <row r="4547" spans="3:6">
      <c r="C4547" s="12"/>
      <c r="D4547" s="12"/>
      <c r="E4547" t="b">
        <f t="shared" ref="E4547:E4610" si="71">F4547=C4547</f>
        <v>1</v>
      </c>
      <c r="F4547" s="12">
        <v>0</v>
      </c>
    </row>
    <row r="4548" spans="3:6">
      <c r="C4548" s="12"/>
      <c r="D4548" s="12"/>
      <c r="E4548" t="b">
        <f t="shared" si="71"/>
        <v>1</v>
      </c>
      <c r="F4548" s="12">
        <v>0</v>
      </c>
    </row>
    <row r="4549" spans="3:6">
      <c r="C4549" s="12"/>
      <c r="D4549" s="12"/>
      <c r="E4549" t="b">
        <f t="shared" si="71"/>
        <v>1</v>
      </c>
      <c r="F4549" s="12">
        <v>0</v>
      </c>
    </row>
    <row r="4550" spans="3:6">
      <c r="C4550" s="12"/>
      <c r="D4550" s="12"/>
      <c r="E4550" t="b">
        <f t="shared" si="71"/>
        <v>1</v>
      </c>
      <c r="F4550" s="12">
        <v>0</v>
      </c>
    </row>
    <row r="4551" spans="3:6">
      <c r="C4551" s="12"/>
      <c r="D4551" s="12"/>
      <c r="E4551" t="b">
        <f t="shared" si="71"/>
        <v>1</v>
      </c>
      <c r="F4551" s="12">
        <v>0</v>
      </c>
    </row>
    <row r="4552" spans="3:6">
      <c r="C4552" s="12"/>
      <c r="D4552" s="12"/>
      <c r="E4552" t="b">
        <f t="shared" si="71"/>
        <v>1</v>
      </c>
      <c r="F4552" s="12">
        <v>0</v>
      </c>
    </row>
    <row r="4553" spans="3:6">
      <c r="C4553" s="12"/>
      <c r="D4553" s="12"/>
      <c r="E4553" t="b">
        <f t="shared" si="71"/>
        <v>1</v>
      </c>
      <c r="F4553" s="12">
        <v>0</v>
      </c>
    </row>
    <row r="4554" spans="3:6">
      <c r="C4554" s="12"/>
      <c r="D4554" s="12"/>
      <c r="E4554" t="b">
        <f t="shared" si="71"/>
        <v>1</v>
      </c>
      <c r="F4554" s="12">
        <v>0</v>
      </c>
    </row>
    <row r="4555" spans="3:6">
      <c r="C4555" s="12"/>
      <c r="D4555" s="12"/>
      <c r="E4555" t="b">
        <f t="shared" si="71"/>
        <v>1</v>
      </c>
      <c r="F4555" s="12">
        <v>0</v>
      </c>
    </row>
    <row r="4556" spans="3:6">
      <c r="C4556" s="12"/>
      <c r="D4556" s="12"/>
      <c r="E4556" t="b">
        <f t="shared" si="71"/>
        <v>1</v>
      </c>
      <c r="F4556" s="12">
        <v>0</v>
      </c>
    </row>
    <row r="4557" spans="3:6">
      <c r="C4557" s="12"/>
      <c r="D4557" s="12"/>
      <c r="E4557" t="b">
        <f t="shared" si="71"/>
        <v>1</v>
      </c>
      <c r="F4557" s="12">
        <v>0</v>
      </c>
    </row>
    <row r="4558" spans="3:6">
      <c r="C4558" s="12"/>
      <c r="D4558" s="12"/>
      <c r="E4558" t="b">
        <f t="shared" si="71"/>
        <v>1</v>
      </c>
      <c r="F4558" s="12">
        <v>0</v>
      </c>
    </row>
    <row r="4559" spans="3:6">
      <c r="C4559" s="12"/>
      <c r="D4559" s="12"/>
      <c r="E4559" t="b">
        <f t="shared" si="71"/>
        <v>1</v>
      </c>
      <c r="F4559" s="12">
        <v>0</v>
      </c>
    </row>
    <row r="4560" spans="3:6">
      <c r="C4560" s="12"/>
      <c r="D4560" s="12"/>
      <c r="E4560" t="b">
        <f t="shared" si="71"/>
        <v>1</v>
      </c>
      <c r="F4560" s="12">
        <v>0</v>
      </c>
    </row>
    <row r="4561" spans="3:6">
      <c r="C4561" s="12"/>
      <c r="D4561" s="12"/>
      <c r="E4561" t="b">
        <f t="shared" si="71"/>
        <v>1</v>
      </c>
      <c r="F4561" s="12">
        <v>0</v>
      </c>
    </row>
    <row r="4562" spans="3:6">
      <c r="C4562" s="12"/>
      <c r="D4562" s="12"/>
      <c r="E4562" t="b">
        <f t="shared" si="71"/>
        <v>1</v>
      </c>
      <c r="F4562" s="12">
        <v>0</v>
      </c>
    </row>
    <row r="4563" spans="3:6">
      <c r="C4563" s="12"/>
      <c r="D4563" s="12"/>
      <c r="E4563" t="b">
        <f t="shared" si="71"/>
        <v>1</v>
      </c>
      <c r="F4563" s="12">
        <v>0</v>
      </c>
    </row>
    <row r="4564" spans="3:6">
      <c r="C4564" s="12"/>
      <c r="D4564" s="12"/>
      <c r="E4564" t="b">
        <f t="shared" si="71"/>
        <v>1</v>
      </c>
      <c r="F4564" s="12">
        <v>0</v>
      </c>
    </row>
    <row r="4565" spans="3:6">
      <c r="C4565" s="12"/>
      <c r="D4565" s="12"/>
      <c r="E4565" t="b">
        <f t="shared" si="71"/>
        <v>1</v>
      </c>
      <c r="F4565" s="12">
        <v>0</v>
      </c>
    </row>
    <row r="4566" spans="3:6">
      <c r="C4566" s="12"/>
      <c r="D4566" s="12"/>
      <c r="E4566" t="b">
        <f t="shared" si="71"/>
        <v>1</v>
      </c>
      <c r="F4566" s="12">
        <v>0</v>
      </c>
    </row>
    <row r="4567" spans="3:6">
      <c r="C4567" s="12"/>
      <c r="D4567" s="12"/>
      <c r="E4567" t="b">
        <f t="shared" si="71"/>
        <v>1</v>
      </c>
      <c r="F4567" s="12">
        <v>0</v>
      </c>
    </row>
    <row r="4568" spans="3:6">
      <c r="C4568" s="12"/>
      <c r="D4568" s="12"/>
      <c r="E4568" t="b">
        <f t="shared" si="71"/>
        <v>1</v>
      </c>
      <c r="F4568" s="12">
        <v>0</v>
      </c>
    </row>
    <row r="4569" spans="3:6">
      <c r="C4569" s="12"/>
      <c r="D4569" s="12"/>
      <c r="E4569" t="b">
        <f t="shared" si="71"/>
        <v>1</v>
      </c>
      <c r="F4569" s="12">
        <v>0</v>
      </c>
    </row>
    <row r="4570" spans="3:6">
      <c r="C4570" s="12"/>
      <c r="D4570" s="12"/>
      <c r="E4570" t="b">
        <f t="shared" si="71"/>
        <v>1</v>
      </c>
      <c r="F4570" s="12">
        <v>0</v>
      </c>
    </row>
    <row r="4571" spans="3:6">
      <c r="C4571" s="12"/>
      <c r="D4571" s="12"/>
      <c r="E4571" t="b">
        <f t="shared" si="71"/>
        <v>1</v>
      </c>
      <c r="F4571" s="12">
        <v>0</v>
      </c>
    </row>
    <row r="4572" spans="3:6">
      <c r="C4572" s="12"/>
      <c r="D4572" s="12"/>
      <c r="E4572" t="b">
        <f t="shared" si="71"/>
        <v>1</v>
      </c>
      <c r="F4572" s="12">
        <v>0</v>
      </c>
    </row>
    <row r="4573" spans="3:6">
      <c r="C4573" s="12"/>
      <c r="D4573" s="12"/>
      <c r="E4573" t="b">
        <f t="shared" si="71"/>
        <v>1</v>
      </c>
      <c r="F4573" s="12">
        <v>0</v>
      </c>
    </row>
    <row r="4574" spans="3:6">
      <c r="C4574" s="12"/>
      <c r="D4574" s="12"/>
      <c r="E4574" t="b">
        <f t="shared" si="71"/>
        <v>1</v>
      </c>
      <c r="F4574" s="12">
        <v>0</v>
      </c>
    </row>
    <row r="4575" spans="3:6">
      <c r="C4575" s="12"/>
      <c r="D4575" s="12"/>
      <c r="E4575" t="b">
        <f t="shared" si="71"/>
        <v>1</v>
      </c>
      <c r="F4575" s="12">
        <v>0</v>
      </c>
    </row>
    <row r="4576" spans="3:6">
      <c r="C4576" s="12"/>
      <c r="D4576" s="12"/>
      <c r="E4576" t="b">
        <f t="shared" si="71"/>
        <v>1</v>
      </c>
      <c r="F4576" s="12">
        <v>0</v>
      </c>
    </row>
    <row r="4577" spans="3:6">
      <c r="C4577" s="12"/>
      <c r="D4577" s="12"/>
      <c r="E4577" t="b">
        <f t="shared" si="71"/>
        <v>1</v>
      </c>
      <c r="F4577" s="12">
        <v>0</v>
      </c>
    </row>
    <row r="4578" spans="3:6">
      <c r="C4578" s="12"/>
      <c r="D4578" s="12"/>
      <c r="E4578" t="b">
        <f t="shared" si="71"/>
        <v>1</v>
      </c>
      <c r="F4578" s="12">
        <v>0</v>
      </c>
    </row>
    <row r="4579" spans="3:6">
      <c r="C4579" s="12"/>
      <c r="D4579" s="12"/>
      <c r="E4579" t="b">
        <f t="shared" si="71"/>
        <v>1</v>
      </c>
      <c r="F4579" s="12">
        <v>0</v>
      </c>
    </row>
    <row r="4580" spans="3:6">
      <c r="C4580" s="12"/>
      <c r="D4580" s="12"/>
      <c r="E4580" t="b">
        <f t="shared" si="71"/>
        <v>1</v>
      </c>
      <c r="F4580" s="12">
        <v>0</v>
      </c>
    </row>
    <row r="4581" spans="3:6">
      <c r="C4581" s="12"/>
      <c r="D4581" s="12"/>
      <c r="E4581" t="b">
        <f t="shared" si="71"/>
        <v>1</v>
      </c>
      <c r="F4581" s="12">
        <v>0</v>
      </c>
    </row>
    <row r="4582" spans="3:6">
      <c r="C4582" s="12"/>
      <c r="D4582" s="12"/>
      <c r="E4582" t="b">
        <f t="shared" si="71"/>
        <v>1</v>
      </c>
      <c r="F4582" s="12">
        <v>0</v>
      </c>
    </row>
    <row r="4583" spans="3:6">
      <c r="C4583" s="12"/>
      <c r="D4583" s="12"/>
      <c r="E4583" t="b">
        <f t="shared" si="71"/>
        <v>1</v>
      </c>
      <c r="F4583" s="12">
        <v>0</v>
      </c>
    </row>
    <row r="4584" spans="3:6">
      <c r="C4584" s="12"/>
      <c r="D4584" s="12"/>
      <c r="E4584" t="b">
        <f t="shared" si="71"/>
        <v>1</v>
      </c>
      <c r="F4584" s="12">
        <v>0</v>
      </c>
    </row>
    <row r="4585" spans="3:6">
      <c r="C4585" s="12"/>
      <c r="D4585" s="12"/>
      <c r="E4585" t="b">
        <f t="shared" si="71"/>
        <v>1</v>
      </c>
      <c r="F4585" s="12">
        <v>0</v>
      </c>
    </row>
    <row r="4586" spans="3:6">
      <c r="C4586" s="12"/>
      <c r="D4586" s="12"/>
      <c r="E4586" t="b">
        <f t="shared" si="71"/>
        <v>1</v>
      </c>
      <c r="F4586" s="12">
        <v>0</v>
      </c>
    </row>
    <row r="4587" spans="3:6">
      <c r="C4587" s="12"/>
      <c r="D4587" s="12"/>
      <c r="E4587" t="b">
        <f t="shared" si="71"/>
        <v>1</v>
      </c>
      <c r="F4587" s="12">
        <v>0</v>
      </c>
    </row>
    <row r="4588" spans="3:6">
      <c r="C4588" s="12"/>
      <c r="D4588" s="12"/>
      <c r="E4588" t="b">
        <f t="shared" si="71"/>
        <v>1</v>
      </c>
      <c r="F4588" s="12">
        <v>0</v>
      </c>
    </row>
    <row r="4589" spans="3:6">
      <c r="C4589" s="12"/>
      <c r="D4589" s="12"/>
      <c r="E4589" t="b">
        <f t="shared" si="71"/>
        <v>1</v>
      </c>
      <c r="F4589" s="12">
        <v>0</v>
      </c>
    </row>
    <row r="4590" spans="3:6">
      <c r="C4590" s="12"/>
      <c r="D4590" s="12"/>
      <c r="E4590" t="b">
        <f t="shared" si="71"/>
        <v>1</v>
      </c>
      <c r="F4590" s="12">
        <v>0</v>
      </c>
    </row>
    <row r="4591" spans="3:6">
      <c r="C4591" s="12"/>
      <c r="D4591" s="12"/>
      <c r="E4591" t="b">
        <f t="shared" si="71"/>
        <v>1</v>
      </c>
      <c r="F4591" s="12">
        <v>0</v>
      </c>
    </row>
    <row r="4592" spans="3:6">
      <c r="C4592" s="12"/>
      <c r="D4592" s="12"/>
      <c r="E4592" t="b">
        <f t="shared" si="71"/>
        <v>1</v>
      </c>
      <c r="F4592" s="12">
        <v>0</v>
      </c>
    </row>
    <row r="4593" spans="3:6">
      <c r="C4593" s="12"/>
      <c r="D4593" s="12"/>
      <c r="E4593" t="b">
        <f t="shared" si="71"/>
        <v>1</v>
      </c>
      <c r="F4593" s="12">
        <v>0</v>
      </c>
    </row>
    <row r="4594" spans="3:6">
      <c r="C4594" s="12"/>
      <c r="D4594" s="12"/>
      <c r="E4594" t="b">
        <f t="shared" si="71"/>
        <v>1</v>
      </c>
      <c r="F4594" s="12">
        <v>0</v>
      </c>
    </row>
    <row r="4595" spans="3:6">
      <c r="C4595" s="12"/>
      <c r="D4595" s="12"/>
      <c r="E4595" t="b">
        <f t="shared" si="71"/>
        <v>1</v>
      </c>
      <c r="F4595" s="12">
        <v>0</v>
      </c>
    </row>
    <row r="4596" spans="3:6">
      <c r="C4596" s="12"/>
      <c r="D4596" s="12"/>
      <c r="E4596" t="b">
        <f t="shared" si="71"/>
        <v>1</v>
      </c>
      <c r="F4596" s="12">
        <v>0</v>
      </c>
    </row>
    <row r="4597" spans="3:6">
      <c r="C4597" s="12"/>
      <c r="D4597" s="12"/>
      <c r="E4597" t="b">
        <f t="shared" si="71"/>
        <v>1</v>
      </c>
      <c r="F4597" s="12">
        <v>0</v>
      </c>
    </row>
    <row r="4598" spans="3:6">
      <c r="C4598" s="12"/>
      <c r="D4598" s="12"/>
      <c r="E4598" t="b">
        <f t="shared" si="71"/>
        <v>1</v>
      </c>
      <c r="F4598" s="12">
        <v>0</v>
      </c>
    </row>
    <row r="4599" spans="3:6">
      <c r="C4599" s="12"/>
      <c r="D4599" s="12"/>
      <c r="E4599" t="b">
        <f t="shared" si="71"/>
        <v>1</v>
      </c>
      <c r="F4599" s="12">
        <v>0</v>
      </c>
    </row>
    <row r="4600" spans="3:6">
      <c r="C4600" s="12"/>
      <c r="D4600" s="12"/>
      <c r="E4600" t="b">
        <f t="shared" si="71"/>
        <v>1</v>
      </c>
      <c r="F4600" s="12">
        <v>0</v>
      </c>
    </row>
    <row r="4601" spans="3:6">
      <c r="C4601" s="12"/>
      <c r="D4601" s="12"/>
      <c r="E4601" t="b">
        <f t="shared" si="71"/>
        <v>1</v>
      </c>
      <c r="F4601" s="12">
        <v>0</v>
      </c>
    </row>
    <row r="4602" spans="3:6">
      <c r="C4602" s="12"/>
      <c r="D4602" s="12"/>
      <c r="E4602" t="b">
        <f t="shared" si="71"/>
        <v>1</v>
      </c>
      <c r="F4602" s="12">
        <v>0</v>
      </c>
    </row>
    <row r="4603" spans="3:6">
      <c r="C4603" s="12"/>
      <c r="D4603" s="12"/>
      <c r="E4603" t="b">
        <f t="shared" si="71"/>
        <v>1</v>
      </c>
      <c r="F4603" s="12">
        <v>0</v>
      </c>
    </row>
    <row r="4604" spans="3:6">
      <c r="C4604" s="12"/>
      <c r="D4604" s="12"/>
      <c r="E4604" t="b">
        <f t="shared" si="71"/>
        <v>1</v>
      </c>
      <c r="F4604" s="12">
        <v>0</v>
      </c>
    </row>
    <row r="4605" spans="3:6">
      <c r="C4605" s="12"/>
      <c r="D4605" s="12"/>
      <c r="E4605" t="b">
        <f t="shared" si="71"/>
        <v>1</v>
      </c>
      <c r="F4605" s="12">
        <v>0</v>
      </c>
    </row>
    <row r="4606" spans="3:6">
      <c r="C4606" s="12"/>
      <c r="D4606" s="12"/>
      <c r="E4606" t="b">
        <f t="shared" si="71"/>
        <v>1</v>
      </c>
      <c r="F4606" s="12">
        <v>0</v>
      </c>
    </row>
    <row r="4607" spans="3:6">
      <c r="C4607" s="12"/>
      <c r="D4607" s="12"/>
      <c r="E4607" t="b">
        <f t="shared" si="71"/>
        <v>1</v>
      </c>
      <c r="F4607" s="12">
        <v>0</v>
      </c>
    </row>
    <row r="4608" spans="3:6">
      <c r="C4608" s="12"/>
      <c r="D4608" s="12"/>
      <c r="E4608" t="b">
        <f t="shared" si="71"/>
        <v>1</v>
      </c>
      <c r="F4608" s="12">
        <v>0</v>
      </c>
    </row>
    <row r="4609" spans="3:6">
      <c r="C4609" s="12"/>
      <c r="D4609" s="12"/>
      <c r="E4609" t="b">
        <f t="shared" si="71"/>
        <v>1</v>
      </c>
      <c r="F4609" s="12">
        <v>0</v>
      </c>
    </row>
    <row r="4610" spans="3:6">
      <c r="C4610" s="12"/>
      <c r="D4610" s="12"/>
      <c r="E4610" t="b">
        <f t="shared" si="71"/>
        <v>1</v>
      </c>
      <c r="F4610" s="12">
        <v>0</v>
      </c>
    </row>
    <row r="4611" spans="3:6">
      <c r="C4611" s="12"/>
      <c r="D4611" s="12"/>
      <c r="E4611" t="b">
        <f t="shared" ref="E4611:E4674" si="72">F4611=C4611</f>
        <v>1</v>
      </c>
      <c r="F4611" s="12">
        <v>0</v>
      </c>
    </row>
    <row r="4612" spans="3:6">
      <c r="C4612" s="12"/>
      <c r="D4612" s="12"/>
      <c r="E4612" t="b">
        <f t="shared" si="72"/>
        <v>1</v>
      </c>
      <c r="F4612" s="12">
        <v>0</v>
      </c>
    </row>
    <row r="4613" spans="3:6">
      <c r="C4613" s="12"/>
      <c r="D4613" s="12"/>
      <c r="E4613" t="b">
        <f t="shared" si="72"/>
        <v>1</v>
      </c>
      <c r="F4613" s="12">
        <v>0</v>
      </c>
    </row>
    <row r="4614" spans="3:6">
      <c r="C4614" s="12"/>
      <c r="D4614" s="12"/>
      <c r="E4614" t="b">
        <f t="shared" si="72"/>
        <v>1</v>
      </c>
      <c r="F4614" s="12">
        <v>0</v>
      </c>
    </row>
    <row r="4615" spans="3:6">
      <c r="C4615" s="12"/>
      <c r="D4615" s="12"/>
      <c r="E4615" t="b">
        <f t="shared" si="72"/>
        <v>1</v>
      </c>
      <c r="F4615" s="12">
        <v>0</v>
      </c>
    </row>
    <row r="4616" spans="3:6">
      <c r="C4616" s="12"/>
      <c r="D4616" s="12"/>
      <c r="E4616" t="b">
        <f t="shared" si="72"/>
        <v>1</v>
      </c>
      <c r="F4616" s="12">
        <v>0</v>
      </c>
    </row>
    <row r="4617" spans="3:6">
      <c r="C4617" s="12"/>
      <c r="D4617" s="12"/>
      <c r="E4617" t="b">
        <f t="shared" si="72"/>
        <v>1</v>
      </c>
      <c r="F4617" s="12">
        <v>0</v>
      </c>
    </row>
    <row r="4618" spans="3:6">
      <c r="C4618" s="12"/>
      <c r="D4618" s="12"/>
      <c r="E4618" t="b">
        <f t="shared" si="72"/>
        <v>1</v>
      </c>
      <c r="F4618" s="12">
        <v>0</v>
      </c>
    </row>
    <row r="4619" spans="3:6">
      <c r="C4619" s="12"/>
      <c r="D4619" s="12"/>
      <c r="E4619" t="b">
        <f t="shared" si="72"/>
        <v>1</v>
      </c>
      <c r="F4619" s="12">
        <v>0</v>
      </c>
    </row>
    <row r="4620" spans="3:6">
      <c r="C4620" s="12"/>
      <c r="D4620" s="12"/>
      <c r="E4620" t="b">
        <f t="shared" si="72"/>
        <v>1</v>
      </c>
      <c r="F4620" s="12">
        <v>0</v>
      </c>
    </row>
    <row r="4621" spans="3:6">
      <c r="C4621" s="12"/>
      <c r="D4621" s="12"/>
      <c r="E4621" t="b">
        <f t="shared" si="72"/>
        <v>1</v>
      </c>
      <c r="F4621" s="12">
        <v>0</v>
      </c>
    </row>
    <row r="4622" spans="3:6">
      <c r="C4622" s="12"/>
      <c r="D4622" s="12"/>
      <c r="E4622" t="b">
        <f t="shared" si="72"/>
        <v>1</v>
      </c>
      <c r="F4622" s="12">
        <v>0</v>
      </c>
    </row>
    <row r="4623" spans="3:6">
      <c r="C4623" s="12"/>
      <c r="D4623" s="12"/>
      <c r="E4623" t="b">
        <f t="shared" si="72"/>
        <v>1</v>
      </c>
      <c r="F4623" s="12">
        <v>0</v>
      </c>
    </row>
    <row r="4624" spans="3:6">
      <c r="C4624" s="12"/>
      <c r="D4624" s="12"/>
      <c r="E4624" t="b">
        <f t="shared" si="72"/>
        <v>1</v>
      </c>
      <c r="F4624" s="12">
        <v>0</v>
      </c>
    </row>
    <row r="4625" spans="3:6">
      <c r="C4625" s="12"/>
      <c r="D4625" s="12"/>
      <c r="E4625" t="b">
        <f t="shared" si="72"/>
        <v>1</v>
      </c>
      <c r="F4625" s="12">
        <v>0</v>
      </c>
    </row>
    <row r="4626" spans="3:6">
      <c r="C4626" s="12"/>
      <c r="D4626" s="12"/>
      <c r="E4626" t="b">
        <f t="shared" si="72"/>
        <v>1</v>
      </c>
      <c r="F4626" s="12">
        <v>0</v>
      </c>
    </row>
    <row r="4627" spans="3:6">
      <c r="C4627" s="12"/>
      <c r="D4627" s="12"/>
      <c r="E4627" t="b">
        <f t="shared" si="72"/>
        <v>1</v>
      </c>
      <c r="F4627" s="12">
        <v>0</v>
      </c>
    </row>
    <row r="4628" spans="3:6">
      <c r="C4628" s="12"/>
      <c r="D4628" s="12"/>
      <c r="E4628" t="b">
        <f t="shared" si="72"/>
        <v>1</v>
      </c>
      <c r="F4628" s="12">
        <v>0</v>
      </c>
    </row>
    <row r="4629" spans="3:6">
      <c r="C4629" s="12"/>
      <c r="D4629" s="12"/>
      <c r="E4629" t="b">
        <f t="shared" si="72"/>
        <v>1</v>
      </c>
      <c r="F4629" s="12">
        <v>0</v>
      </c>
    </row>
    <row r="4630" spans="3:6">
      <c r="C4630" s="12"/>
      <c r="D4630" s="12"/>
      <c r="E4630" t="b">
        <f t="shared" si="72"/>
        <v>1</v>
      </c>
      <c r="F4630" s="12">
        <v>0</v>
      </c>
    </row>
    <row r="4631" spans="3:6">
      <c r="C4631" s="12"/>
      <c r="D4631" s="12"/>
      <c r="E4631" t="b">
        <f t="shared" si="72"/>
        <v>1</v>
      </c>
      <c r="F4631" s="12">
        <v>0</v>
      </c>
    </row>
    <row r="4632" spans="3:6">
      <c r="C4632" s="12"/>
      <c r="D4632" s="12"/>
      <c r="E4632" t="b">
        <f t="shared" si="72"/>
        <v>1</v>
      </c>
      <c r="F4632" s="12">
        <v>0</v>
      </c>
    </row>
    <row r="4633" spans="3:6">
      <c r="C4633" s="12"/>
      <c r="D4633" s="12"/>
      <c r="E4633" t="b">
        <f t="shared" si="72"/>
        <v>1</v>
      </c>
      <c r="F4633" s="12">
        <v>0</v>
      </c>
    </row>
    <row r="4634" spans="3:6">
      <c r="C4634" s="12"/>
      <c r="D4634" s="12"/>
      <c r="E4634" t="b">
        <f t="shared" si="72"/>
        <v>1</v>
      </c>
      <c r="F4634" s="12">
        <v>0</v>
      </c>
    </row>
    <row r="4635" spans="3:6">
      <c r="C4635" s="12"/>
      <c r="D4635" s="12"/>
      <c r="E4635" t="b">
        <f t="shared" si="72"/>
        <v>1</v>
      </c>
      <c r="F4635" s="12">
        <v>0</v>
      </c>
    </row>
    <row r="4636" spans="3:6">
      <c r="C4636" s="12"/>
      <c r="D4636" s="12"/>
      <c r="E4636" t="b">
        <f t="shared" si="72"/>
        <v>1</v>
      </c>
      <c r="F4636" s="12">
        <v>0</v>
      </c>
    </row>
    <row r="4637" spans="3:6">
      <c r="C4637" s="12"/>
      <c r="D4637" s="12"/>
      <c r="E4637" t="b">
        <f t="shared" si="72"/>
        <v>1</v>
      </c>
      <c r="F4637" s="12">
        <v>0</v>
      </c>
    </row>
    <row r="4638" spans="3:6">
      <c r="C4638" s="12"/>
      <c r="D4638" s="12"/>
      <c r="E4638" t="b">
        <f t="shared" si="72"/>
        <v>1</v>
      </c>
      <c r="F4638" s="12">
        <v>0</v>
      </c>
    </row>
    <row r="4639" spans="3:6">
      <c r="C4639" s="12"/>
      <c r="D4639" s="12"/>
      <c r="E4639" t="b">
        <f t="shared" si="72"/>
        <v>1</v>
      </c>
      <c r="F4639" s="12">
        <v>0</v>
      </c>
    </row>
    <row r="4640" spans="3:6">
      <c r="C4640" s="12"/>
      <c r="D4640" s="12"/>
      <c r="E4640" t="b">
        <f t="shared" si="72"/>
        <v>1</v>
      </c>
      <c r="F4640" s="12">
        <v>0</v>
      </c>
    </row>
    <row r="4641" spans="3:6">
      <c r="C4641" s="12"/>
      <c r="D4641" s="12"/>
      <c r="E4641" t="b">
        <f t="shared" si="72"/>
        <v>1</v>
      </c>
      <c r="F4641" s="12">
        <v>0</v>
      </c>
    </row>
    <row r="4642" spans="3:6">
      <c r="C4642" s="12"/>
      <c r="D4642" s="12"/>
      <c r="E4642" t="b">
        <f t="shared" si="72"/>
        <v>1</v>
      </c>
      <c r="F4642" s="12">
        <v>0</v>
      </c>
    </row>
    <row r="4643" spans="3:6">
      <c r="C4643" s="12"/>
      <c r="D4643" s="12"/>
      <c r="E4643" t="b">
        <f t="shared" si="72"/>
        <v>1</v>
      </c>
      <c r="F4643" s="12">
        <v>0</v>
      </c>
    </row>
    <row r="4644" spans="3:6">
      <c r="C4644" s="12"/>
      <c r="D4644" s="12"/>
      <c r="E4644" t="b">
        <f t="shared" si="72"/>
        <v>1</v>
      </c>
      <c r="F4644" s="12">
        <v>0</v>
      </c>
    </row>
    <row r="4645" spans="3:6">
      <c r="C4645" s="12"/>
      <c r="D4645" s="12"/>
      <c r="E4645" t="b">
        <f t="shared" si="72"/>
        <v>1</v>
      </c>
      <c r="F4645" s="12">
        <v>0</v>
      </c>
    </row>
    <row r="4646" spans="3:6">
      <c r="C4646" s="12"/>
      <c r="D4646" s="12"/>
      <c r="E4646" t="b">
        <f t="shared" si="72"/>
        <v>1</v>
      </c>
      <c r="F4646" s="12">
        <v>0</v>
      </c>
    </row>
    <row r="4647" spans="3:6">
      <c r="C4647" s="12"/>
      <c r="D4647" s="12"/>
      <c r="E4647" t="b">
        <f t="shared" si="72"/>
        <v>1</v>
      </c>
      <c r="F4647" s="12">
        <v>0</v>
      </c>
    </row>
    <row r="4648" spans="3:6">
      <c r="C4648" s="12"/>
      <c r="D4648" s="12"/>
      <c r="E4648" t="b">
        <f t="shared" si="72"/>
        <v>1</v>
      </c>
      <c r="F4648" s="12">
        <v>0</v>
      </c>
    </row>
    <row r="4649" spans="3:6">
      <c r="C4649" s="12"/>
      <c r="D4649" s="12"/>
      <c r="E4649" t="b">
        <f t="shared" si="72"/>
        <v>1</v>
      </c>
      <c r="F4649" s="12">
        <v>0</v>
      </c>
    </row>
    <row r="4650" spans="3:6">
      <c r="C4650" s="12"/>
      <c r="D4650" s="12"/>
      <c r="E4650" t="b">
        <f t="shared" si="72"/>
        <v>1</v>
      </c>
      <c r="F4650" s="12">
        <v>0</v>
      </c>
    </row>
    <row r="4651" spans="3:6">
      <c r="C4651" s="12"/>
      <c r="D4651" s="12"/>
      <c r="E4651" t="b">
        <f t="shared" si="72"/>
        <v>1</v>
      </c>
      <c r="F4651" s="12">
        <v>0</v>
      </c>
    </row>
    <row r="4652" spans="3:6">
      <c r="C4652" s="12"/>
      <c r="D4652" s="12"/>
      <c r="E4652" t="b">
        <f t="shared" si="72"/>
        <v>1</v>
      </c>
      <c r="F4652" s="12">
        <v>0</v>
      </c>
    </row>
    <row r="4653" spans="3:6">
      <c r="C4653" s="12"/>
      <c r="D4653" s="12"/>
      <c r="E4653" t="b">
        <f t="shared" si="72"/>
        <v>1</v>
      </c>
      <c r="F4653" s="12">
        <v>0</v>
      </c>
    </row>
    <row r="4654" spans="3:6">
      <c r="C4654" s="12"/>
      <c r="D4654" s="12"/>
      <c r="E4654" t="b">
        <f t="shared" si="72"/>
        <v>1</v>
      </c>
      <c r="F4654" s="12">
        <v>0</v>
      </c>
    </row>
    <row r="4655" spans="3:6">
      <c r="C4655" s="12"/>
      <c r="D4655" s="12"/>
      <c r="E4655" t="b">
        <f t="shared" si="72"/>
        <v>1</v>
      </c>
      <c r="F4655" s="12">
        <v>0</v>
      </c>
    </row>
    <row r="4656" spans="3:6">
      <c r="C4656" s="12"/>
      <c r="D4656" s="12"/>
      <c r="E4656" t="b">
        <f t="shared" si="72"/>
        <v>1</v>
      </c>
      <c r="F4656" s="12">
        <v>0</v>
      </c>
    </row>
    <row r="4657" spans="3:6">
      <c r="C4657" s="12"/>
      <c r="D4657" s="12"/>
      <c r="E4657" t="b">
        <f t="shared" si="72"/>
        <v>1</v>
      </c>
      <c r="F4657" s="12">
        <v>0</v>
      </c>
    </row>
    <row r="4658" spans="3:6">
      <c r="C4658" s="12"/>
      <c r="D4658" s="12"/>
      <c r="E4658" t="b">
        <f t="shared" si="72"/>
        <v>1</v>
      </c>
      <c r="F4658" s="12">
        <v>0</v>
      </c>
    </row>
    <row r="4659" spans="3:6">
      <c r="C4659" s="12"/>
      <c r="D4659" s="12"/>
      <c r="E4659" t="b">
        <f t="shared" si="72"/>
        <v>1</v>
      </c>
      <c r="F4659" s="12">
        <v>0</v>
      </c>
    </row>
    <row r="4660" spans="3:6">
      <c r="C4660" s="12"/>
      <c r="D4660" s="12"/>
      <c r="E4660" t="b">
        <f t="shared" si="72"/>
        <v>1</v>
      </c>
      <c r="F4660" s="12">
        <v>0</v>
      </c>
    </row>
    <row r="4661" spans="3:6">
      <c r="C4661" s="12"/>
      <c r="D4661" s="12"/>
      <c r="E4661" t="b">
        <f t="shared" si="72"/>
        <v>1</v>
      </c>
      <c r="F4661" s="12">
        <v>0</v>
      </c>
    </row>
    <row r="4662" spans="3:6">
      <c r="C4662" s="12"/>
      <c r="D4662" s="12"/>
      <c r="E4662" t="b">
        <f t="shared" si="72"/>
        <v>1</v>
      </c>
      <c r="F4662" s="12">
        <v>0</v>
      </c>
    </row>
    <row r="4663" spans="3:6">
      <c r="C4663" s="12"/>
      <c r="D4663" s="12"/>
      <c r="E4663" t="b">
        <f t="shared" si="72"/>
        <v>1</v>
      </c>
      <c r="F4663" s="12">
        <v>0</v>
      </c>
    </row>
    <row r="4664" spans="3:6">
      <c r="C4664" s="12"/>
      <c r="D4664" s="12"/>
      <c r="E4664" t="b">
        <f t="shared" si="72"/>
        <v>1</v>
      </c>
      <c r="F4664" s="12">
        <v>0</v>
      </c>
    </row>
    <row r="4665" spans="3:6">
      <c r="C4665" s="12"/>
      <c r="D4665" s="12"/>
      <c r="E4665" t="b">
        <f t="shared" si="72"/>
        <v>1</v>
      </c>
      <c r="F4665" s="12">
        <v>0</v>
      </c>
    </row>
    <row r="4666" spans="3:6">
      <c r="C4666" s="12"/>
      <c r="D4666" s="12"/>
      <c r="E4666" t="b">
        <f t="shared" si="72"/>
        <v>1</v>
      </c>
      <c r="F4666" s="12">
        <v>0</v>
      </c>
    </row>
    <row r="4667" spans="3:6">
      <c r="C4667" s="12"/>
      <c r="D4667" s="12"/>
      <c r="E4667" t="b">
        <f t="shared" si="72"/>
        <v>1</v>
      </c>
      <c r="F4667" s="12">
        <v>0</v>
      </c>
    </row>
    <row r="4668" spans="3:6">
      <c r="C4668" s="12"/>
      <c r="D4668" s="12"/>
      <c r="E4668" t="b">
        <f t="shared" si="72"/>
        <v>1</v>
      </c>
      <c r="F4668" s="12">
        <v>0</v>
      </c>
    </row>
    <row r="4669" spans="3:6">
      <c r="C4669" s="12"/>
      <c r="D4669" s="12"/>
      <c r="E4669" t="b">
        <f t="shared" si="72"/>
        <v>1</v>
      </c>
      <c r="F4669" s="12">
        <v>0</v>
      </c>
    </row>
    <row r="4670" spans="3:6">
      <c r="C4670" s="12"/>
      <c r="D4670" s="12"/>
      <c r="E4670" t="b">
        <f t="shared" si="72"/>
        <v>1</v>
      </c>
      <c r="F4670" s="12">
        <v>0</v>
      </c>
    </row>
    <row r="4671" spans="3:6">
      <c r="C4671" s="12"/>
      <c r="D4671" s="12"/>
      <c r="E4671" t="b">
        <f t="shared" si="72"/>
        <v>1</v>
      </c>
      <c r="F4671" s="12">
        <v>0</v>
      </c>
    </row>
    <row r="4672" spans="3:6">
      <c r="C4672" s="12"/>
      <c r="D4672" s="12"/>
      <c r="E4672" t="b">
        <f t="shared" si="72"/>
        <v>1</v>
      </c>
      <c r="F4672" s="12">
        <v>0</v>
      </c>
    </row>
    <row r="4673" spans="3:6">
      <c r="C4673" s="12"/>
      <c r="D4673" s="12"/>
      <c r="E4673" t="b">
        <f t="shared" si="72"/>
        <v>1</v>
      </c>
      <c r="F4673" s="12">
        <v>0</v>
      </c>
    </row>
    <row r="4674" spans="3:6">
      <c r="C4674" s="12"/>
      <c r="D4674" s="12"/>
      <c r="E4674" t="b">
        <f t="shared" si="72"/>
        <v>1</v>
      </c>
      <c r="F4674" s="12">
        <v>0</v>
      </c>
    </row>
    <row r="4675" spans="3:6">
      <c r="C4675" s="12"/>
      <c r="D4675" s="12"/>
      <c r="E4675" t="b">
        <f t="shared" ref="E4675:E4738" si="73">F4675=C4675</f>
        <v>1</v>
      </c>
      <c r="F4675" s="12">
        <v>0</v>
      </c>
    </row>
    <row r="4676" spans="3:6">
      <c r="C4676" s="12"/>
      <c r="D4676" s="12"/>
      <c r="E4676" t="b">
        <f t="shared" si="73"/>
        <v>1</v>
      </c>
      <c r="F4676" s="12">
        <v>0</v>
      </c>
    </row>
    <row r="4677" spans="3:6">
      <c r="C4677" s="12"/>
      <c r="D4677" s="12"/>
      <c r="E4677" t="b">
        <f t="shared" si="73"/>
        <v>1</v>
      </c>
      <c r="F4677" s="12">
        <v>0</v>
      </c>
    </row>
    <row r="4678" spans="3:6">
      <c r="C4678" s="12"/>
      <c r="D4678" s="12"/>
      <c r="E4678" t="b">
        <f t="shared" si="73"/>
        <v>1</v>
      </c>
      <c r="F4678" s="12">
        <v>0</v>
      </c>
    </row>
    <row r="4679" spans="3:6">
      <c r="C4679" s="12"/>
      <c r="D4679" s="12"/>
      <c r="E4679" t="b">
        <f t="shared" si="73"/>
        <v>1</v>
      </c>
      <c r="F4679" s="12">
        <v>0</v>
      </c>
    </row>
    <row r="4680" spans="3:6">
      <c r="C4680" s="12"/>
      <c r="D4680" s="12"/>
      <c r="E4680" t="b">
        <f t="shared" si="73"/>
        <v>1</v>
      </c>
      <c r="F4680" s="12">
        <v>0</v>
      </c>
    </row>
    <row r="4681" spans="3:6">
      <c r="C4681" s="12"/>
      <c r="D4681" s="12"/>
      <c r="E4681" t="b">
        <f t="shared" si="73"/>
        <v>1</v>
      </c>
      <c r="F4681" s="12">
        <v>0</v>
      </c>
    </row>
    <row r="4682" spans="3:6">
      <c r="C4682" s="12"/>
      <c r="D4682" s="12"/>
      <c r="E4682" t="b">
        <f t="shared" si="73"/>
        <v>1</v>
      </c>
      <c r="F4682" s="12">
        <v>0</v>
      </c>
    </row>
    <row r="4683" spans="3:6">
      <c r="C4683" s="12"/>
      <c r="D4683" s="12"/>
      <c r="E4683" t="b">
        <f t="shared" si="73"/>
        <v>1</v>
      </c>
      <c r="F4683" s="12">
        <v>0</v>
      </c>
    </row>
    <row r="4684" spans="3:6">
      <c r="C4684" s="12"/>
      <c r="D4684" s="12"/>
      <c r="E4684" t="b">
        <f t="shared" si="73"/>
        <v>1</v>
      </c>
      <c r="F4684" s="12">
        <v>0</v>
      </c>
    </row>
    <row r="4685" spans="3:6">
      <c r="C4685" s="12"/>
      <c r="D4685" s="12"/>
      <c r="E4685" t="b">
        <f t="shared" si="73"/>
        <v>1</v>
      </c>
      <c r="F4685" s="12">
        <v>0</v>
      </c>
    </row>
    <row r="4686" spans="3:6">
      <c r="C4686" s="12"/>
      <c r="D4686" s="12"/>
      <c r="E4686" t="b">
        <f t="shared" si="73"/>
        <v>1</v>
      </c>
      <c r="F4686" s="12">
        <v>0</v>
      </c>
    </row>
    <row r="4687" spans="3:6">
      <c r="C4687" s="12"/>
      <c r="D4687" s="12"/>
      <c r="E4687" t="b">
        <f t="shared" si="73"/>
        <v>1</v>
      </c>
      <c r="F4687" s="12">
        <v>0</v>
      </c>
    </row>
    <row r="4688" spans="3:6">
      <c r="C4688" s="12"/>
      <c r="D4688" s="12"/>
      <c r="E4688" t="b">
        <f t="shared" si="73"/>
        <v>1</v>
      </c>
      <c r="F4688" s="12">
        <v>0</v>
      </c>
    </row>
    <row r="4689" spans="3:6">
      <c r="C4689" s="12"/>
      <c r="D4689" s="12"/>
      <c r="E4689" t="b">
        <f t="shared" si="73"/>
        <v>1</v>
      </c>
      <c r="F4689" s="12">
        <v>0</v>
      </c>
    </row>
    <row r="4690" spans="3:6">
      <c r="C4690" s="12"/>
      <c r="D4690" s="12"/>
      <c r="E4690" t="b">
        <f t="shared" si="73"/>
        <v>1</v>
      </c>
      <c r="F4690" s="12">
        <v>0</v>
      </c>
    </row>
    <row r="4691" spans="3:6">
      <c r="C4691" s="12"/>
      <c r="D4691" s="12"/>
      <c r="E4691" t="b">
        <f t="shared" si="73"/>
        <v>1</v>
      </c>
      <c r="F4691" s="12">
        <v>0</v>
      </c>
    </row>
    <row r="4692" spans="3:6">
      <c r="C4692" s="12"/>
      <c r="D4692" s="12"/>
      <c r="E4692" t="b">
        <f t="shared" si="73"/>
        <v>1</v>
      </c>
      <c r="F4692" s="12">
        <v>0</v>
      </c>
    </row>
    <row r="4693" spans="3:6">
      <c r="C4693" s="12"/>
      <c r="D4693" s="12"/>
      <c r="E4693" t="b">
        <f t="shared" si="73"/>
        <v>1</v>
      </c>
      <c r="F4693" s="12">
        <v>0</v>
      </c>
    </row>
    <row r="4694" spans="3:6">
      <c r="C4694" s="12"/>
      <c r="D4694" s="12"/>
      <c r="E4694" t="b">
        <f t="shared" si="73"/>
        <v>1</v>
      </c>
      <c r="F4694" s="12">
        <v>0</v>
      </c>
    </row>
    <row r="4695" spans="3:6">
      <c r="C4695" s="12"/>
      <c r="D4695" s="12"/>
      <c r="E4695" t="b">
        <f t="shared" si="73"/>
        <v>1</v>
      </c>
      <c r="F4695" s="12">
        <v>0</v>
      </c>
    </row>
    <row r="4696" spans="3:6">
      <c r="C4696" s="12"/>
      <c r="D4696" s="12"/>
      <c r="E4696" t="b">
        <f t="shared" si="73"/>
        <v>1</v>
      </c>
      <c r="F4696" s="12">
        <v>0</v>
      </c>
    </row>
    <row r="4697" spans="3:6">
      <c r="C4697" s="12"/>
      <c r="D4697" s="12"/>
      <c r="E4697" t="b">
        <f t="shared" si="73"/>
        <v>1</v>
      </c>
      <c r="F4697" s="12">
        <v>0</v>
      </c>
    </row>
    <row r="4698" spans="3:6">
      <c r="C4698" s="12"/>
      <c r="D4698" s="12"/>
      <c r="E4698" t="b">
        <f t="shared" si="73"/>
        <v>1</v>
      </c>
      <c r="F4698" s="12">
        <v>0</v>
      </c>
    </row>
    <row r="4699" spans="3:6">
      <c r="C4699" s="12"/>
      <c r="D4699" s="12"/>
      <c r="E4699" t="b">
        <f t="shared" si="73"/>
        <v>1</v>
      </c>
      <c r="F4699" s="12">
        <v>0</v>
      </c>
    </row>
    <row r="4700" spans="3:6">
      <c r="C4700" s="12"/>
      <c r="D4700" s="12"/>
      <c r="E4700" t="b">
        <f t="shared" si="73"/>
        <v>1</v>
      </c>
      <c r="F4700" s="12">
        <v>0</v>
      </c>
    </row>
    <row r="4701" spans="3:6">
      <c r="C4701" s="12"/>
      <c r="D4701" s="12"/>
      <c r="E4701" t="b">
        <f t="shared" si="73"/>
        <v>1</v>
      </c>
      <c r="F4701" s="12">
        <v>0</v>
      </c>
    </row>
    <row r="4702" spans="3:6">
      <c r="C4702" s="12"/>
      <c r="D4702" s="12"/>
      <c r="E4702" t="b">
        <f t="shared" si="73"/>
        <v>1</v>
      </c>
      <c r="F4702" s="12">
        <v>0</v>
      </c>
    </row>
    <row r="4703" spans="3:6">
      <c r="C4703" s="12"/>
      <c r="D4703" s="12"/>
      <c r="E4703" t="b">
        <f t="shared" si="73"/>
        <v>1</v>
      </c>
      <c r="F4703" s="12">
        <v>0</v>
      </c>
    </row>
    <row r="4704" spans="3:6">
      <c r="C4704" s="12"/>
      <c r="D4704" s="12"/>
      <c r="E4704" t="b">
        <f t="shared" si="73"/>
        <v>1</v>
      </c>
      <c r="F4704" s="12">
        <v>0</v>
      </c>
    </row>
    <row r="4705" spans="3:6">
      <c r="C4705" s="12"/>
      <c r="D4705" s="12"/>
      <c r="E4705" t="b">
        <f t="shared" si="73"/>
        <v>1</v>
      </c>
      <c r="F4705" s="12">
        <v>0</v>
      </c>
    </row>
    <row r="4706" spans="3:6">
      <c r="C4706" s="12"/>
      <c r="D4706" s="12"/>
      <c r="E4706" t="b">
        <f t="shared" si="73"/>
        <v>1</v>
      </c>
      <c r="F4706" s="12">
        <v>0</v>
      </c>
    </row>
    <row r="4707" spans="3:6">
      <c r="C4707" s="12"/>
      <c r="D4707" s="12"/>
      <c r="E4707" t="b">
        <f t="shared" si="73"/>
        <v>1</v>
      </c>
      <c r="F4707" s="12">
        <v>0</v>
      </c>
    </row>
    <row r="4708" spans="3:6">
      <c r="C4708" s="12"/>
      <c r="D4708" s="12"/>
      <c r="E4708" t="b">
        <f t="shared" si="73"/>
        <v>1</v>
      </c>
      <c r="F4708" s="12">
        <v>0</v>
      </c>
    </row>
    <row r="4709" spans="3:6">
      <c r="C4709" s="12"/>
      <c r="D4709" s="12"/>
      <c r="E4709" t="b">
        <f t="shared" si="73"/>
        <v>1</v>
      </c>
      <c r="F4709" s="12">
        <v>0</v>
      </c>
    </row>
    <row r="4710" spans="3:6">
      <c r="C4710" s="12"/>
      <c r="D4710" s="12"/>
      <c r="E4710" t="b">
        <f t="shared" si="73"/>
        <v>1</v>
      </c>
      <c r="F4710" s="12">
        <v>0</v>
      </c>
    </row>
    <row r="4711" spans="3:6">
      <c r="C4711" s="12"/>
      <c r="D4711" s="12"/>
      <c r="E4711" t="b">
        <f t="shared" si="73"/>
        <v>1</v>
      </c>
      <c r="F4711" s="12">
        <v>0</v>
      </c>
    </row>
    <row r="4712" spans="3:6">
      <c r="C4712" s="12"/>
      <c r="D4712" s="12"/>
      <c r="E4712" t="b">
        <f t="shared" si="73"/>
        <v>1</v>
      </c>
      <c r="F4712" s="12">
        <v>0</v>
      </c>
    </row>
    <row r="4713" spans="3:6">
      <c r="C4713" s="12"/>
      <c r="D4713" s="12"/>
      <c r="E4713" t="b">
        <f t="shared" si="73"/>
        <v>1</v>
      </c>
      <c r="F4713" s="12">
        <v>0</v>
      </c>
    </row>
    <row r="4714" spans="3:6">
      <c r="C4714" s="12"/>
      <c r="D4714" s="12"/>
      <c r="E4714" t="b">
        <f t="shared" si="73"/>
        <v>1</v>
      </c>
      <c r="F4714" s="12">
        <v>0</v>
      </c>
    </row>
    <row r="4715" spans="3:6">
      <c r="C4715" s="12"/>
      <c r="D4715" s="12"/>
      <c r="E4715" t="b">
        <f t="shared" si="73"/>
        <v>1</v>
      </c>
      <c r="F4715" s="12">
        <v>0</v>
      </c>
    </row>
    <row r="4716" spans="3:6">
      <c r="C4716" s="12"/>
      <c r="D4716" s="12"/>
      <c r="E4716" t="b">
        <f t="shared" si="73"/>
        <v>1</v>
      </c>
      <c r="F4716" s="12">
        <v>0</v>
      </c>
    </row>
    <row r="4717" spans="3:6">
      <c r="C4717" s="12"/>
      <c r="D4717" s="12"/>
      <c r="E4717" t="b">
        <f t="shared" si="73"/>
        <v>1</v>
      </c>
      <c r="F4717" s="12">
        <v>0</v>
      </c>
    </row>
    <row r="4718" spans="3:6">
      <c r="C4718" s="12"/>
      <c r="D4718" s="12"/>
      <c r="E4718" t="b">
        <f t="shared" si="73"/>
        <v>1</v>
      </c>
      <c r="F4718" s="12">
        <v>0</v>
      </c>
    </row>
    <row r="4719" spans="3:6">
      <c r="C4719" s="12"/>
      <c r="D4719" s="12"/>
      <c r="E4719" t="b">
        <f t="shared" si="73"/>
        <v>1</v>
      </c>
      <c r="F4719" s="12">
        <v>0</v>
      </c>
    </row>
    <row r="4720" spans="3:6">
      <c r="C4720" s="12"/>
      <c r="D4720" s="12"/>
      <c r="E4720" t="b">
        <f t="shared" si="73"/>
        <v>1</v>
      </c>
      <c r="F4720" s="12">
        <v>0</v>
      </c>
    </row>
    <row r="4721" spans="3:6">
      <c r="C4721" s="12"/>
      <c r="D4721" s="12"/>
      <c r="E4721" t="b">
        <f t="shared" si="73"/>
        <v>1</v>
      </c>
      <c r="F4721" s="12">
        <v>0</v>
      </c>
    </row>
    <row r="4722" spans="3:6">
      <c r="C4722" s="12"/>
      <c r="D4722" s="12"/>
      <c r="E4722" t="b">
        <f t="shared" si="73"/>
        <v>1</v>
      </c>
      <c r="F4722" s="12">
        <v>0</v>
      </c>
    </row>
    <row r="4723" spans="3:6">
      <c r="C4723" s="12"/>
      <c r="D4723" s="12"/>
      <c r="E4723" t="b">
        <f t="shared" si="73"/>
        <v>1</v>
      </c>
      <c r="F4723" s="12">
        <v>0</v>
      </c>
    </row>
    <row r="4724" spans="3:6">
      <c r="C4724" s="12"/>
      <c r="D4724" s="12"/>
      <c r="E4724" t="b">
        <f t="shared" si="73"/>
        <v>1</v>
      </c>
      <c r="F4724" s="12">
        <v>0</v>
      </c>
    </row>
    <row r="4725" spans="3:6">
      <c r="C4725" s="12"/>
      <c r="D4725" s="12"/>
      <c r="E4725" t="b">
        <f t="shared" si="73"/>
        <v>1</v>
      </c>
      <c r="F4725" s="12">
        <v>0</v>
      </c>
    </row>
    <row r="4726" spans="3:6">
      <c r="C4726" s="12"/>
      <c r="D4726" s="12"/>
      <c r="E4726" t="b">
        <f t="shared" si="73"/>
        <v>1</v>
      </c>
      <c r="F4726" s="12">
        <v>0</v>
      </c>
    </row>
    <row r="4727" spans="3:6">
      <c r="C4727" s="12"/>
      <c r="D4727" s="12"/>
      <c r="E4727" t="b">
        <f t="shared" si="73"/>
        <v>1</v>
      </c>
      <c r="F4727" s="12">
        <v>0</v>
      </c>
    </row>
    <row r="4728" spans="3:6">
      <c r="C4728" s="12"/>
      <c r="D4728" s="12"/>
      <c r="E4728" t="b">
        <f t="shared" si="73"/>
        <v>1</v>
      </c>
      <c r="F4728" s="12">
        <v>0</v>
      </c>
    </row>
    <row r="4729" spans="3:6">
      <c r="C4729" s="12"/>
      <c r="D4729" s="12"/>
      <c r="E4729" t="b">
        <f t="shared" si="73"/>
        <v>1</v>
      </c>
      <c r="F4729" s="12">
        <v>0</v>
      </c>
    </row>
    <row r="4730" spans="3:6">
      <c r="C4730" s="12"/>
      <c r="D4730" s="12"/>
      <c r="E4730" t="b">
        <f t="shared" si="73"/>
        <v>1</v>
      </c>
      <c r="F4730" s="12">
        <v>0</v>
      </c>
    </row>
    <row r="4731" spans="3:6">
      <c r="C4731" s="12"/>
      <c r="D4731" s="12"/>
      <c r="E4731" t="b">
        <f t="shared" si="73"/>
        <v>1</v>
      </c>
      <c r="F4731" s="12">
        <v>0</v>
      </c>
    </row>
    <row r="4732" spans="3:6">
      <c r="C4732" s="12"/>
      <c r="D4732" s="12"/>
      <c r="E4732" t="b">
        <f t="shared" si="73"/>
        <v>1</v>
      </c>
      <c r="F4732" s="12">
        <v>0</v>
      </c>
    </row>
    <row r="4733" spans="3:6">
      <c r="C4733" s="12"/>
      <c r="D4733" s="12"/>
      <c r="E4733" t="b">
        <f t="shared" si="73"/>
        <v>1</v>
      </c>
      <c r="F4733" s="12">
        <v>0</v>
      </c>
    </row>
    <row r="4734" spans="3:6">
      <c r="C4734" s="12"/>
      <c r="D4734" s="12"/>
      <c r="E4734" t="b">
        <f t="shared" si="73"/>
        <v>1</v>
      </c>
      <c r="F4734" s="12">
        <v>0</v>
      </c>
    </row>
    <row r="4735" spans="3:6">
      <c r="C4735" s="12"/>
      <c r="D4735" s="12"/>
      <c r="E4735" t="b">
        <f t="shared" si="73"/>
        <v>1</v>
      </c>
      <c r="F4735" s="12">
        <v>0</v>
      </c>
    </row>
    <row r="4736" spans="3:6">
      <c r="C4736" s="12"/>
      <c r="D4736" s="12"/>
      <c r="E4736" t="b">
        <f t="shared" si="73"/>
        <v>1</v>
      </c>
      <c r="F4736" s="12">
        <v>0</v>
      </c>
    </row>
    <row r="4737" spans="3:6">
      <c r="C4737" s="12"/>
      <c r="D4737" s="12"/>
      <c r="E4737" t="b">
        <f t="shared" si="73"/>
        <v>1</v>
      </c>
      <c r="F4737" s="12">
        <v>0</v>
      </c>
    </row>
    <row r="4738" spans="3:6">
      <c r="C4738" s="12"/>
      <c r="D4738" s="12"/>
      <c r="E4738" t="b">
        <f t="shared" si="73"/>
        <v>1</v>
      </c>
      <c r="F4738" s="12">
        <v>0</v>
      </c>
    </row>
    <row r="4739" spans="3:6">
      <c r="C4739" s="12"/>
      <c r="D4739" s="12"/>
      <c r="E4739" t="b">
        <f t="shared" ref="E4739:E4802" si="74">F4739=C4739</f>
        <v>1</v>
      </c>
      <c r="F4739" s="12">
        <v>0</v>
      </c>
    </row>
    <row r="4740" spans="3:6">
      <c r="C4740" s="12"/>
      <c r="D4740" s="12"/>
      <c r="E4740" t="b">
        <f t="shared" si="74"/>
        <v>1</v>
      </c>
      <c r="F4740" s="12">
        <v>0</v>
      </c>
    </row>
    <row r="4741" spans="3:6">
      <c r="C4741" s="12"/>
      <c r="D4741" s="12"/>
      <c r="E4741" t="b">
        <f t="shared" si="74"/>
        <v>1</v>
      </c>
      <c r="F4741" s="12">
        <v>0</v>
      </c>
    </row>
    <row r="4742" spans="3:6">
      <c r="C4742" s="12"/>
      <c r="D4742" s="12"/>
      <c r="E4742" t="b">
        <f t="shared" si="74"/>
        <v>1</v>
      </c>
      <c r="F4742" s="12">
        <v>0</v>
      </c>
    </row>
    <row r="4743" spans="3:6">
      <c r="C4743" s="12"/>
      <c r="D4743" s="12"/>
      <c r="E4743" t="b">
        <f t="shared" si="74"/>
        <v>1</v>
      </c>
      <c r="F4743" s="12">
        <v>0</v>
      </c>
    </row>
    <row r="4744" spans="3:6">
      <c r="C4744" s="12"/>
      <c r="D4744" s="12"/>
      <c r="E4744" t="b">
        <f t="shared" si="74"/>
        <v>1</v>
      </c>
      <c r="F4744" s="12">
        <v>0</v>
      </c>
    </row>
    <row r="4745" spans="3:6">
      <c r="C4745" s="12"/>
      <c r="D4745" s="12"/>
      <c r="E4745" t="b">
        <f t="shared" si="74"/>
        <v>1</v>
      </c>
      <c r="F4745" s="12">
        <v>0</v>
      </c>
    </row>
    <row r="4746" spans="3:6">
      <c r="C4746" s="12"/>
      <c r="D4746" s="12"/>
      <c r="E4746" t="b">
        <f t="shared" si="74"/>
        <v>1</v>
      </c>
      <c r="F4746" s="12">
        <v>0</v>
      </c>
    </row>
    <row r="4747" spans="3:6">
      <c r="C4747" s="12"/>
      <c r="D4747" s="12"/>
      <c r="E4747" t="b">
        <f t="shared" si="74"/>
        <v>1</v>
      </c>
      <c r="F4747" s="12">
        <v>0</v>
      </c>
    </row>
    <row r="4748" spans="3:6">
      <c r="C4748" s="12"/>
      <c r="D4748" s="12"/>
      <c r="E4748" t="b">
        <f t="shared" si="74"/>
        <v>1</v>
      </c>
      <c r="F4748" s="12">
        <v>0</v>
      </c>
    </row>
    <row r="4749" spans="3:6">
      <c r="C4749" s="12"/>
      <c r="D4749" s="12"/>
      <c r="E4749" t="b">
        <f t="shared" si="74"/>
        <v>1</v>
      </c>
      <c r="F4749" s="12">
        <v>0</v>
      </c>
    </row>
    <row r="4750" spans="3:6">
      <c r="C4750" s="12"/>
      <c r="D4750" s="12"/>
      <c r="E4750" t="b">
        <f t="shared" si="74"/>
        <v>1</v>
      </c>
      <c r="F4750" s="12">
        <v>0</v>
      </c>
    </row>
    <row r="4751" spans="3:6">
      <c r="C4751" s="12"/>
      <c r="D4751" s="12"/>
      <c r="E4751" t="b">
        <f t="shared" si="74"/>
        <v>1</v>
      </c>
      <c r="F4751" s="12">
        <v>0</v>
      </c>
    </row>
    <row r="4752" spans="3:6">
      <c r="C4752" s="12"/>
      <c r="D4752" s="12"/>
      <c r="E4752" t="b">
        <f t="shared" si="74"/>
        <v>1</v>
      </c>
      <c r="F4752" s="12">
        <v>0</v>
      </c>
    </row>
    <row r="4753" spans="3:6">
      <c r="C4753" s="12"/>
      <c r="D4753" s="12"/>
      <c r="E4753" t="b">
        <f t="shared" si="74"/>
        <v>1</v>
      </c>
      <c r="F4753" s="12">
        <v>0</v>
      </c>
    </row>
    <row r="4754" spans="3:6">
      <c r="C4754" s="12"/>
      <c r="D4754" s="12"/>
      <c r="E4754" t="b">
        <f t="shared" si="74"/>
        <v>1</v>
      </c>
      <c r="F4754" s="12">
        <v>0</v>
      </c>
    </row>
    <row r="4755" spans="3:6">
      <c r="C4755" s="12"/>
      <c r="D4755" s="12"/>
      <c r="E4755" t="b">
        <f t="shared" si="74"/>
        <v>1</v>
      </c>
      <c r="F4755" s="12">
        <v>0</v>
      </c>
    </row>
    <row r="4756" spans="3:6">
      <c r="C4756" s="12"/>
      <c r="D4756" s="12"/>
      <c r="E4756" t="b">
        <f t="shared" si="74"/>
        <v>1</v>
      </c>
      <c r="F4756" s="12">
        <v>0</v>
      </c>
    </row>
    <row r="4757" spans="3:6">
      <c r="C4757" s="12"/>
      <c r="D4757" s="12"/>
      <c r="E4757" t="b">
        <f t="shared" si="74"/>
        <v>1</v>
      </c>
      <c r="F4757" s="12">
        <v>0</v>
      </c>
    </row>
    <row r="4758" spans="3:6">
      <c r="C4758" s="12"/>
      <c r="D4758" s="12"/>
      <c r="E4758" t="b">
        <f t="shared" si="74"/>
        <v>1</v>
      </c>
      <c r="F4758" s="12">
        <v>0</v>
      </c>
    </row>
    <row r="4759" spans="3:6">
      <c r="C4759" s="12"/>
      <c r="D4759" s="12"/>
      <c r="E4759" t="b">
        <f t="shared" si="74"/>
        <v>1</v>
      </c>
      <c r="F4759" s="12">
        <v>0</v>
      </c>
    </row>
    <row r="4760" spans="3:6">
      <c r="C4760" s="12"/>
      <c r="D4760" s="12"/>
      <c r="E4760" t="b">
        <f t="shared" si="74"/>
        <v>1</v>
      </c>
      <c r="F4760" s="12">
        <v>0</v>
      </c>
    </row>
    <row r="4761" spans="3:6">
      <c r="C4761" s="12"/>
      <c r="D4761" s="12"/>
      <c r="E4761" t="b">
        <f t="shared" si="74"/>
        <v>1</v>
      </c>
      <c r="F4761" s="12">
        <v>0</v>
      </c>
    </row>
    <row r="4762" spans="3:6">
      <c r="C4762" s="12"/>
      <c r="D4762" s="12"/>
      <c r="E4762" t="b">
        <f t="shared" si="74"/>
        <v>1</v>
      </c>
      <c r="F4762" s="12">
        <v>0</v>
      </c>
    </row>
    <row r="4763" spans="3:6">
      <c r="C4763" s="12"/>
      <c r="D4763" s="12"/>
      <c r="E4763" t="b">
        <f t="shared" si="74"/>
        <v>1</v>
      </c>
      <c r="F4763" s="12">
        <v>0</v>
      </c>
    </row>
    <row r="4764" spans="3:6">
      <c r="C4764" s="12"/>
      <c r="D4764" s="12"/>
      <c r="E4764" t="b">
        <f t="shared" si="74"/>
        <v>1</v>
      </c>
      <c r="F4764" s="12">
        <v>0</v>
      </c>
    </row>
    <row r="4765" spans="3:6">
      <c r="C4765" s="12"/>
      <c r="D4765" s="12"/>
      <c r="E4765" t="b">
        <f t="shared" si="74"/>
        <v>1</v>
      </c>
      <c r="F4765" s="12">
        <v>0</v>
      </c>
    </row>
    <row r="4766" spans="3:6">
      <c r="C4766" s="12"/>
      <c r="D4766" s="12"/>
      <c r="E4766" t="b">
        <f t="shared" si="74"/>
        <v>1</v>
      </c>
      <c r="F4766" s="12">
        <v>0</v>
      </c>
    </row>
    <row r="4767" spans="3:6">
      <c r="C4767" s="12"/>
      <c r="D4767" s="12"/>
      <c r="E4767" t="b">
        <f t="shared" si="74"/>
        <v>1</v>
      </c>
      <c r="F4767" s="12">
        <v>0</v>
      </c>
    </row>
    <row r="4768" spans="3:6">
      <c r="C4768" s="12"/>
      <c r="D4768" s="12"/>
      <c r="E4768" t="b">
        <f t="shared" si="74"/>
        <v>1</v>
      </c>
      <c r="F4768" s="12">
        <v>0</v>
      </c>
    </row>
    <row r="4769" spans="3:6">
      <c r="C4769" s="12"/>
      <c r="D4769" s="12"/>
      <c r="E4769" t="b">
        <f t="shared" si="74"/>
        <v>1</v>
      </c>
      <c r="F4769" s="12">
        <v>0</v>
      </c>
    </row>
    <row r="4770" spans="3:6">
      <c r="C4770" s="12"/>
      <c r="D4770" s="12"/>
      <c r="E4770" t="b">
        <f t="shared" si="74"/>
        <v>1</v>
      </c>
      <c r="F4770" s="12">
        <v>0</v>
      </c>
    </row>
    <row r="4771" spans="3:6">
      <c r="C4771" s="12"/>
      <c r="D4771" s="12"/>
      <c r="E4771" t="b">
        <f t="shared" si="74"/>
        <v>1</v>
      </c>
      <c r="F4771" s="12">
        <v>0</v>
      </c>
    </row>
    <row r="4772" spans="3:6">
      <c r="C4772" s="12"/>
      <c r="D4772" s="12"/>
      <c r="E4772" t="b">
        <f t="shared" si="74"/>
        <v>1</v>
      </c>
      <c r="F4772" s="12">
        <v>0</v>
      </c>
    </row>
    <row r="4773" spans="3:6">
      <c r="C4773" s="12"/>
      <c r="D4773" s="12"/>
      <c r="E4773" t="b">
        <f t="shared" si="74"/>
        <v>1</v>
      </c>
      <c r="F4773" s="12">
        <v>0</v>
      </c>
    </row>
    <row r="4774" spans="3:6">
      <c r="C4774" s="12"/>
      <c r="D4774" s="12"/>
      <c r="E4774" t="b">
        <f t="shared" si="74"/>
        <v>1</v>
      </c>
      <c r="F4774" s="12">
        <v>0</v>
      </c>
    </row>
    <row r="4775" spans="3:6">
      <c r="C4775" s="12"/>
      <c r="D4775" s="12"/>
      <c r="E4775" t="b">
        <f t="shared" si="74"/>
        <v>1</v>
      </c>
      <c r="F4775" s="12">
        <v>0</v>
      </c>
    </row>
    <row r="4776" spans="3:6">
      <c r="C4776" s="12"/>
      <c r="D4776" s="12"/>
      <c r="E4776" t="b">
        <f t="shared" si="74"/>
        <v>1</v>
      </c>
      <c r="F4776" s="12">
        <v>0</v>
      </c>
    </row>
    <row r="4777" spans="3:6">
      <c r="C4777" s="12"/>
      <c r="D4777" s="12"/>
      <c r="E4777" t="b">
        <f t="shared" si="74"/>
        <v>1</v>
      </c>
      <c r="F4777" s="12">
        <v>0</v>
      </c>
    </row>
    <row r="4778" spans="3:6">
      <c r="C4778" s="12"/>
      <c r="D4778" s="12"/>
      <c r="E4778" t="b">
        <f t="shared" si="74"/>
        <v>1</v>
      </c>
      <c r="F4778" s="12">
        <v>0</v>
      </c>
    </row>
    <row r="4779" spans="3:6">
      <c r="C4779" s="12"/>
      <c r="D4779" s="12"/>
      <c r="E4779" t="b">
        <f t="shared" si="74"/>
        <v>1</v>
      </c>
      <c r="F4779" s="12">
        <v>0</v>
      </c>
    </row>
    <row r="4780" spans="3:6">
      <c r="C4780" s="12"/>
      <c r="D4780" s="12"/>
      <c r="E4780" t="b">
        <f t="shared" si="74"/>
        <v>1</v>
      </c>
      <c r="F4780" s="12">
        <v>0</v>
      </c>
    </row>
    <row r="4781" spans="3:6">
      <c r="C4781" s="12"/>
      <c r="D4781" s="12"/>
      <c r="E4781" t="b">
        <f t="shared" si="74"/>
        <v>1</v>
      </c>
      <c r="F4781" s="12">
        <v>0</v>
      </c>
    </row>
    <row r="4782" spans="3:6">
      <c r="C4782" s="12"/>
      <c r="D4782" s="12"/>
      <c r="E4782" t="b">
        <f t="shared" si="74"/>
        <v>1</v>
      </c>
      <c r="F4782" s="12">
        <v>0</v>
      </c>
    </row>
    <row r="4783" spans="3:6">
      <c r="C4783" s="12"/>
      <c r="D4783" s="12"/>
      <c r="E4783" t="b">
        <f t="shared" si="74"/>
        <v>1</v>
      </c>
      <c r="F4783" s="12">
        <v>0</v>
      </c>
    </row>
    <row r="4784" spans="3:6">
      <c r="C4784" s="12"/>
      <c r="D4784" s="12"/>
      <c r="E4784" t="b">
        <f t="shared" si="74"/>
        <v>1</v>
      </c>
      <c r="F4784" s="12">
        <v>0</v>
      </c>
    </row>
    <row r="4785" spans="3:6">
      <c r="C4785" s="12"/>
      <c r="D4785" s="12"/>
      <c r="E4785" t="b">
        <f t="shared" si="74"/>
        <v>1</v>
      </c>
      <c r="F4785" s="12">
        <v>0</v>
      </c>
    </row>
    <row r="4786" spans="3:6">
      <c r="C4786" s="12"/>
      <c r="D4786" s="12"/>
      <c r="E4786" t="b">
        <f t="shared" si="74"/>
        <v>1</v>
      </c>
      <c r="F4786" s="12">
        <v>0</v>
      </c>
    </row>
    <row r="4787" spans="3:6">
      <c r="C4787" s="12"/>
      <c r="D4787" s="12"/>
      <c r="E4787" t="b">
        <f t="shared" si="74"/>
        <v>1</v>
      </c>
      <c r="F4787" s="12">
        <v>0</v>
      </c>
    </row>
    <row r="4788" spans="3:6">
      <c r="C4788" s="12"/>
      <c r="D4788" s="12"/>
      <c r="E4788" t="b">
        <f t="shared" si="74"/>
        <v>1</v>
      </c>
      <c r="F4788" s="12">
        <v>0</v>
      </c>
    </row>
    <row r="4789" spans="3:6">
      <c r="C4789" s="12"/>
      <c r="D4789" s="12"/>
      <c r="E4789" t="b">
        <f t="shared" si="74"/>
        <v>1</v>
      </c>
      <c r="F4789" s="12">
        <v>0</v>
      </c>
    </row>
    <row r="4790" spans="3:6">
      <c r="C4790" s="12"/>
      <c r="D4790" s="12"/>
      <c r="E4790" t="b">
        <f t="shared" si="74"/>
        <v>1</v>
      </c>
      <c r="F4790" s="12">
        <v>0</v>
      </c>
    </row>
    <row r="4791" spans="3:6">
      <c r="C4791" s="12"/>
      <c r="D4791" s="12"/>
      <c r="E4791" t="b">
        <f t="shared" si="74"/>
        <v>1</v>
      </c>
      <c r="F4791" s="12">
        <v>0</v>
      </c>
    </row>
    <row r="4792" spans="3:6">
      <c r="C4792" s="12"/>
      <c r="D4792" s="12"/>
      <c r="E4792" t="b">
        <f t="shared" si="74"/>
        <v>1</v>
      </c>
      <c r="F4792" s="12">
        <v>0</v>
      </c>
    </row>
    <row r="4793" spans="3:6">
      <c r="C4793" s="12"/>
      <c r="D4793" s="12"/>
      <c r="E4793" t="b">
        <f t="shared" si="74"/>
        <v>1</v>
      </c>
      <c r="F4793" s="12">
        <v>0</v>
      </c>
    </row>
    <row r="4794" spans="3:6">
      <c r="C4794" s="12"/>
      <c r="D4794" s="12"/>
      <c r="E4794" t="b">
        <f t="shared" si="74"/>
        <v>1</v>
      </c>
      <c r="F4794" s="12">
        <v>0</v>
      </c>
    </row>
    <row r="4795" spans="3:6">
      <c r="C4795" s="12"/>
      <c r="D4795" s="12"/>
      <c r="E4795" t="b">
        <f t="shared" si="74"/>
        <v>1</v>
      </c>
      <c r="F4795" s="12">
        <v>0</v>
      </c>
    </row>
    <row r="4796" spans="3:6">
      <c r="C4796" s="12"/>
      <c r="D4796" s="12"/>
      <c r="E4796" t="b">
        <f t="shared" si="74"/>
        <v>1</v>
      </c>
      <c r="F4796" s="12">
        <v>0</v>
      </c>
    </row>
    <row r="4797" spans="3:6">
      <c r="C4797" s="12"/>
      <c r="D4797" s="12"/>
      <c r="E4797" t="b">
        <f t="shared" si="74"/>
        <v>1</v>
      </c>
      <c r="F4797" s="12">
        <v>0</v>
      </c>
    </row>
    <row r="4798" spans="3:6">
      <c r="C4798" s="12"/>
      <c r="D4798" s="12"/>
      <c r="E4798" t="b">
        <f t="shared" si="74"/>
        <v>1</v>
      </c>
      <c r="F4798" s="12">
        <v>0</v>
      </c>
    </row>
    <row r="4799" spans="3:6">
      <c r="C4799" s="12"/>
      <c r="D4799" s="12"/>
      <c r="E4799" t="b">
        <f t="shared" si="74"/>
        <v>1</v>
      </c>
      <c r="F4799" s="12">
        <v>0</v>
      </c>
    </row>
    <row r="4800" spans="3:6">
      <c r="C4800" s="12"/>
      <c r="D4800" s="12"/>
      <c r="E4800" t="b">
        <f t="shared" si="74"/>
        <v>1</v>
      </c>
      <c r="F4800" s="12">
        <v>0</v>
      </c>
    </row>
    <row r="4801" spans="3:6">
      <c r="C4801" s="12"/>
      <c r="D4801" s="12"/>
      <c r="E4801" t="b">
        <f t="shared" si="74"/>
        <v>1</v>
      </c>
      <c r="F4801" s="12">
        <v>0</v>
      </c>
    </row>
    <row r="4802" spans="3:6">
      <c r="C4802" s="12"/>
      <c r="D4802" s="12"/>
      <c r="E4802" t="b">
        <f t="shared" si="74"/>
        <v>1</v>
      </c>
      <c r="F4802" s="12">
        <v>0</v>
      </c>
    </row>
    <row r="4803" spans="3:6">
      <c r="C4803" s="12"/>
      <c r="D4803" s="12"/>
      <c r="E4803" t="b">
        <f t="shared" ref="E4803:E4866" si="75">F4803=C4803</f>
        <v>1</v>
      </c>
      <c r="F4803" s="12">
        <v>0</v>
      </c>
    </row>
    <row r="4804" spans="3:6">
      <c r="C4804" s="12"/>
      <c r="D4804" s="12"/>
      <c r="E4804" t="b">
        <f t="shared" si="75"/>
        <v>1</v>
      </c>
      <c r="F4804" s="12">
        <v>0</v>
      </c>
    </row>
    <row r="4805" spans="3:6">
      <c r="C4805" s="12"/>
      <c r="D4805" s="12"/>
      <c r="E4805" t="b">
        <f t="shared" si="75"/>
        <v>1</v>
      </c>
      <c r="F4805" s="12">
        <v>0</v>
      </c>
    </row>
    <row r="4806" spans="3:6">
      <c r="C4806" s="12"/>
      <c r="D4806" s="12"/>
      <c r="E4806" t="b">
        <f t="shared" si="75"/>
        <v>1</v>
      </c>
      <c r="F4806" s="12">
        <v>0</v>
      </c>
    </row>
    <row r="4807" spans="3:6">
      <c r="C4807" s="12"/>
      <c r="D4807" s="12"/>
      <c r="E4807" t="b">
        <f t="shared" si="75"/>
        <v>1</v>
      </c>
      <c r="F4807" s="12">
        <v>0</v>
      </c>
    </row>
    <row r="4808" spans="3:6">
      <c r="C4808" s="12"/>
      <c r="D4808" s="12"/>
      <c r="E4808" t="b">
        <f t="shared" si="75"/>
        <v>1</v>
      </c>
      <c r="F4808" s="12">
        <v>0</v>
      </c>
    </row>
    <row r="4809" spans="3:6">
      <c r="C4809" s="12"/>
      <c r="D4809" s="12"/>
      <c r="E4809" t="b">
        <f t="shared" si="75"/>
        <v>1</v>
      </c>
      <c r="F4809" s="12">
        <v>0</v>
      </c>
    </row>
    <row r="4810" spans="3:6">
      <c r="C4810" s="12"/>
      <c r="D4810" s="12"/>
      <c r="E4810" t="b">
        <f t="shared" si="75"/>
        <v>1</v>
      </c>
      <c r="F4810" s="12">
        <v>0</v>
      </c>
    </row>
    <row r="4811" spans="3:6">
      <c r="C4811" s="12"/>
      <c r="D4811" s="12"/>
      <c r="E4811" t="b">
        <f t="shared" si="75"/>
        <v>1</v>
      </c>
      <c r="F4811" s="12">
        <v>0</v>
      </c>
    </row>
    <row r="4812" spans="3:6">
      <c r="C4812" s="12"/>
      <c r="D4812" s="12"/>
      <c r="E4812" t="b">
        <f t="shared" si="75"/>
        <v>1</v>
      </c>
      <c r="F4812" s="12">
        <v>0</v>
      </c>
    </row>
    <row r="4813" spans="3:6">
      <c r="C4813" s="12"/>
      <c r="D4813" s="12"/>
      <c r="E4813" t="b">
        <f t="shared" si="75"/>
        <v>1</v>
      </c>
      <c r="F4813" s="12">
        <v>0</v>
      </c>
    </row>
    <row r="4814" spans="3:6">
      <c r="C4814" s="12"/>
      <c r="D4814" s="12"/>
      <c r="E4814" t="b">
        <f t="shared" si="75"/>
        <v>1</v>
      </c>
      <c r="F4814" s="12">
        <v>0</v>
      </c>
    </row>
    <row r="4815" spans="3:6">
      <c r="C4815" s="12"/>
      <c r="D4815" s="12"/>
      <c r="E4815" t="b">
        <f t="shared" si="75"/>
        <v>1</v>
      </c>
      <c r="F4815" s="12">
        <v>0</v>
      </c>
    </row>
    <row r="4816" spans="3:6">
      <c r="C4816" s="12"/>
      <c r="D4816" s="12"/>
      <c r="E4816" t="b">
        <f t="shared" si="75"/>
        <v>1</v>
      </c>
      <c r="F4816" s="12">
        <v>0</v>
      </c>
    </row>
    <row r="4817" spans="3:6">
      <c r="C4817" s="12"/>
      <c r="D4817" s="12"/>
      <c r="E4817" t="b">
        <f t="shared" si="75"/>
        <v>1</v>
      </c>
      <c r="F4817" s="12">
        <v>0</v>
      </c>
    </row>
    <row r="4818" spans="3:6">
      <c r="C4818" s="12"/>
      <c r="D4818" s="12"/>
      <c r="E4818" t="b">
        <f t="shared" si="75"/>
        <v>1</v>
      </c>
      <c r="F4818" s="12">
        <v>0</v>
      </c>
    </row>
    <row r="4819" spans="3:6">
      <c r="C4819" s="12"/>
      <c r="D4819" s="12"/>
      <c r="E4819" t="b">
        <f t="shared" si="75"/>
        <v>1</v>
      </c>
      <c r="F4819" s="12">
        <v>0</v>
      </c>
    </row>
    <row r="4820" spans="3:6">
      <c r="C4820" s="12"/>
      <c r="D4820" s="12"/>
      <c r="E4820" t="b">
        <f t="shared" si="75"/>
        <v>1</v>
      </c>
      <c r="F4820" s="12">
        <v>0</v>
      </c>
    </row>
    <row r="4821" spans="3:6">
      <c r="C4821" s="12"/>
      <c r="D4821" s="12"/>
      <c r="E4821" t="b">
        <f t="shared" si="75"/>
        <v>1</v>
      </c>
      <c r="F4821" s="12">
        <v>0</v>
      </c>
    </row>
    <row r="4822" spans="3:6">
      <c r="C4822" s="12"/>
      <c r="D4822" s="12"/>
      <c r="E4822" t="b">
        <f t="shared" si="75"/>
        <v>1</v>
      </c>
      <c r="F4822" s="12">
        <v>0</v>
      </c>
    </row>
    <row r="4823" spans="3:6">
      <c r="C4823" s="12"/>
      <c r="D4823" s="12"/>
      <c r="E4823" t="b">
        <f t="shared" si="75"/>
        <v>1</v>
      </c>
      <c r="F4823" s="12">
        <v>0</v>
      </c>
    </row>
    <row r="4824" spans="3:6">
      <c r="C4824" s="12"/>
      <c r="D4824" s="12"/>
      <c r="E4824" t="b">
        <f t="shared" si="75"/>
        <v>1</v>
      </c>
      <c r="F4824" s="12">
        <v>0</v>
      </c>
    </row>
    <row r="4825" spans="3:6">
      <c r="C4825" s="12"/>
      <c r="D4825" s="12"/>
      <c r="E4825" t="b">
        <f t="shared" si="75"/>
        <v>1</v>
      </c>
      <c r="F4825" s="12">
        <v>0</v>
      </c>
    </row>
    <row r="4826" spans="3:6">
      <c r="C4826" s="12"/>
      <c r="D4826" s="12"/>
      <c r="E4826" t="b">
        <f t="shared" si="75"/>
        <v>1</v>
      </c>
      <c r="F4826" s="12">
        <v>0</v>
      </c>
    </row>
    <row r="4827" spans="3:6">
      <c r="C4827" s="12"/>
      <c r="D4827" s="12"/>
      <c r="E4827" t="b">
        <f t="shared" si="75"/>
        <v>1</v>
      </c>
      <c r="F4827" s="12">
        <v>0</v>
      </c>
    </row>
    <row r="4828" spans="3:6">
      <c r="C4828" s="12"/>
      <c r="D4828" s="12"/>
      <c r="E4828" t="b">
        <f t="shared" si="75"/>
        <v>1</v>
      </c>
      <c r="F4828" s="12">
        <v>0</v>
      </c>
    </row>
    <row r="4829" spans="3:6">
      <c r="C4829" s="12"/>
      <c r="D4829" s="12"/>
      <c r="E4829" t="b">
        <f t="shared" si="75"/>
        <v>1</v>
      </c>
      <c r="F4829" s="12">
        <v>0</v>
      </c>
    </row>
    <row r="4830" spans="3:6">
      <c r="C4830" s="12"/>
      <c r="D4830" s="12"/>
      <c r="E4830" t="b">
        <f t="shared" si="75"/>
        <v>1</v>
      </c>
      <c r="F4830" s="12">
        <v>0</v>
      </c>
    </row>
    <row r="4831" spans="3:6">
      <c r="C4831" s="12"/>
      <c r="D4831" s="12"/>
      <c r="E4831" t="b">
        <f t="shared" si="75"/>
        <v>1</v>
      </c>
      <c r="F4831" s="12">
        <v>0</v>
      </c>
    </row>
    <row r="4832" spans="3:6">
      <c r="C4832" s="12"/>
      <c r="D4832" s="12"/>
      <c r="E4832" t="b">
        <f t="shared" si="75"/>
        <v>1</v>
      </c>
      <c r="F4832" s="12">
        <v>0</v>
      </c>
    </row>
    <row r="4833" spans="3:6">
      <c r="C4833" s="12"/>
      <c r="D4833" s="12"/>
      <c r="E4833" t="b">
        <f t="shared" si="75"/>
        <v>1</v>
      </c>
      <c r="F4833" s="12">
        <v>0</v>
      </c>
    </row>
    <row r="4834" spans="3:6">
      <c r="C4834" s="12"/>
      <c r="D4834" s="12"/>
      <c r="E4834" t="b">
        <f t="shared" si="75"/>
        <v>1</v>
      </c>
      <c r="F4834" s="12">
        <v>0</v>
      </c>
    </row>
    <row r="4835" spans="3:6">
      <c r="C4835" s="12"/>
      <c r="D4835" s="12"/>
      <c r="E4835" t="b">
        <f t="shared" si="75"/>
        <v>1</v>
      </c>
      <c r="F4835" s="12">
        <v>0</v>
      </c>
    </row>
    <row r="4836" spans="3:6">
      <c r="C4836" s="12"/>
      <c r="D4836" s="12"/>
      <c r="E4836" t="b">
        <f t="shared" si="75"/>
        <v>1</v>
      </c>
      <c r="F4836" s="12">
        <v>0</v>
      </c>
    </row>
    <row r="4837" spans="3:6">
      <c r="C4837" s="12"/>
      <c r="D4837" s="12"/>
      <c r="E4837" t="b">
        <f t="shared" si="75"/>
        <v>1</v>
      </c>
      <c r="F4837" s="12">
        <v>0</v>
      </c>
    </row>
    <row r="4838" spans="3:6">
      <c r="C4838" s="12"/>
      <c r="D4838" s="12"/>
      <c r="E4838" t="b">
        <f t="shared" si="75"/>
        <v>1</v>
      </c>
      <c r="F4838" s="12">
        <v>0</v>
      </c>
    </row>
    <row r="4839" spans="3:6">
      <c r="C4839" s="12"/>
      <c r="D4839" s="12"/>
      <c r="E4839" t="b">
        <f t="shared" si="75"/>
        <v>1</v>
      </c>
      <c r="F4839" s="12">
        <v>0</v>
      </c>
    </row>
    <row r="4840" spans="3:6">
      <c r="C4840" s="12"/>
      <c r="D4840" s="12"/>
      <c r="E4840" t="b">
        <f t="shared" si="75"/>
        <v>1</v>
      </c>
      <c r="F4840" s="12">
        <v>0</v>
      </c>
    </row>
    <row r="4841" spans="3:6">
      <c r="C4841" s="12"/>
      <c r="D4841" s="12"/>
      <c r="E4841" t="b">
        <f t="shared" si="75"/>
        <v>1</v>
      </c>
      <c r="F4841" s="12">
        <v>0</v>
      </c>
    </row>
    <row r="4842" spans="3:6">
      <c r="C4842" s="12"/>
      <c r="D4842" s="12"/>
      <c r="E4842" t="b">
        <f t="shared" si="75"/>
        <v>1</v>
      </c>
      <c r="F4842" s="12">
        <v>0</v>
      </c>
    </row>
    <row r="4843" spans="3:6">
      <c r="C4843" s="12"/>
      <c r="D4843" s="12"/>
      <c r="E4843" t="b">
        <f t="shared" si="75"/>
        <v>1</v>
      </c>
      <c r="F4843" s="12">
        <v>0</v>
      </c>
    </row>
    <row r="4844" spans="3:6">
      <c r="C4844" s="12"/>
      <c r="D4844" s="12"/>
      <c r="E4844" t="b">
        <f t="shared" si="75"/>
        <v>1</v>
      </c>
      <c r="F4844" s="12">
        <v>0</v>
      </c>
    </row>
    <row r="4845" spans="3:6">
      <c r="C4845" s="12"/>
      <c r="D4845" s="12"/>
      <c r="E4845" t="b">
        <f t="shared" si="75"/>
        <v>1</v>
      </c>
      <c r="F4845" s="12">
        <v>0</v>
      </c>
    </row>
    <row r="4846" spans="3:6">
      <c r="C4846" s="12"/>
      <c r="D4846" s="12"/>
      <c r="E4846" t="b">
        <f t="shared" si="75"/>
        <v>1</v>
      </c>
      <c r="F4846" s="12">
        <v>0</v>
      </c>
    </row>
    <row r="4847" spans="3:6">
      <c r="C4847" s="12"/>
      <c r="D4847" s="12"/>
      <c r="E4847" t="b">
        <f t="shared" si="75"/>
        <v>1</v>
      </c>
      <c r="F4847" s="12">
        <v>0</v>
      </c>
    </row>
    <row r="4848" spans="3:6">
      <c r="C4848" s="12"/>
      <c r="D4848" s="12"/>
      <c r="E4848" t="b">
        <f t="shared" si="75"/>
        <v>1</v>
      </c>
      <c r="F4848" s="12">
        <v>0</v>
      </c>
    </row>
    <row r="4849" spans="3:6">
      <c r="C4849" s="12"/>
      <c r="D4849" s="12"/>
      <c r="E4849" t="b">
        <f t="shared" si="75"/>
        <v>1</v>
      </c>
      <c r="F4849" s="12">
        <v>0</v>
      </c>
    </row>
    <row r="4850" spans="3:6">
      <c r="C4850" s="12"/>
      <c r="D4850" s="12"/>
      <c r="E4850" t="b">
        <f t="shared" si="75"/>
        <v>1</v>
      </c>
      <c r="F4850" s="12">
        <v>0</v>
      </c>
    </row>
    <row r="4851" spans="3:6">
      <c r="C4851" s="12"/>
      <c r="D4851" s="12"/>
      <c r="E4851" t="b">
        <f t="shared" si="75"/>
        <v>1</v>
      </c>
      <c r="F4851" s="12">
        <v>0</v>
      </c>
    </row>
    <row r="4852" spans="3:6">
      <c r="C4852" s="12"/>
      <c r="D4852" s="12"/>
      <c r="E4852" t="b">
        <f t="shared" si="75"/>
        <v>1</v>
      </c>
      <c r="F4852" s="12">
        <v>0</v>
      </c>
    </row>
    <row r="4853" spans="3:6">
      <c r="C4853" s="12"/>
      <c r="D4853" s="12"/>
      <c r="E4853" t="b">
        <f t="shared" si="75"/>
        <v>1</v>
      </c>
      <c r="F4853" s="12">
        <v>0</v>
      </c>
    </row>
    <row r="4854" spans="3:6">
      <c r="C4854" s="12"/>
      <c r="D4854" s="12"/>
      <c r="E4854" t="b">
        <f t="shared" si="75"/>
        <v>1</v>
      </c>
      <c r="F4854" s="12">
        <v>0</v>
      </c>
    </row>
    <row r="4855" spans="3:6">
      <c r="C4855" s="12"/>
      <c r="D4855" s="12"/>
      <c r="E4855" t="b">
        <f t="shared" si="75"/>
        <v>1</v>
      </c>
      <c r="F4855" s="12">
        <v>0</v>
      </c>
    </row>
    <row r="4856" spans="3:6">
      <c r="C4856" s="12"/>
      <c r="D4856" s="12"/>
      <c r="E4856" t="b">
        <f t="shared" si="75"/>
        <v>1</v>
      </c>
      <c r="F4856" s="12">
        <v>0</v>
      </c>
    </row>
    <row r="4857" spans="3:6">
      <c r="C4857" s="12"/>
      <c r="D4857" s="12"/>
      <c r="E4857" t="b">
        <f t="shared" si="75"/>
        <v>1</v>
      </c>
      <c r="F4857" s="12">
        <v>0</v>
      </c>
    </row>
    <row r="4858" spans="3:6">
      <c r="C4858" s="12"/>
      <c r="D4858" s="12"/>
      <c r="E4858" t="b">
        <f t="shared" si="75"/>
        <v>1</v>
      </c>
      <c r="F4858" s="12">
        <v>0</v>
      </c>
    </row>
    <row r="4859" spans="3:6">
      <c r="C4859" s="12"/>
      <c r="D4859" s="12"/>
      <c r="E4859" t="b">
        <f t="shared" si="75"/>
        <v>1</v>
      </c>
      <c r="F4859" s="12">
        <v>0</v>
      </c>
    </row>
    <row r="4860" spans="3:6">
      <c r="C4860" s="12"/>
      <c r="D4860" s="12"/>
      <c r="E4860" t="b">
        <f t="shared" si="75"/>
        <v>1</v>
      </c>
      <c r="F4860" s="12">
        <v>0</v>
      </c>
    </row>
    <row r="4861" spans="3:6">
      <c r="C4861" s="12"/>
      <c r="D4861" s="12"/>
      <c r="E4861" t="b">
        <f t="shared" si="75"/>
        <v>1</v>
      </c>
      <c r="F4861" s="12">
        <v>0</v>
      </c>
    </row>
    <row r="4862" spans="3:6">
      <c r="C4862" s="12"/>
      <c r="D4862" s="12"/>
      <c r="E4862" t="b">
        <f t="shared" si="75"/>
        <v>1</v>
      </c>
      <c r="F4862" s="12">
        <v>0</v>
      </c>
    </row>
    <row r="4863" spans="3:6">
      <c r="C4863" s="12"/>
      <c r="D4863" s="12"/>
      <c r="E4863" t="b">
        <f t="shared" si="75"/>
        <v>1</v>
      </c>
      <c r="F4863" s="12">
        <v>0</v>
      </c>
    </row>
    <row r="4864" spans="3:6">
      <c r="C4864" s="12"/>
      <c r="D4864" s="12"/>
      <c r="E4864" t="b">
        <f t="shared" si="75"/>
        <v>1</v>
      </c>
      <c r="F4864" s="12">
        <v>0</v>
      </c>
    </row>
    <row r="4865" spans="3:6">
      <c r="C4865" s="12"/>
      <c r="D4865" s="12"/>
      <c r="E4865" t="b">
        <f t="shared" si="75"/>
        <v>1</v>
      </c>
      <c r="F4865" s="12">
        <v>0</v>
      </c>
    </row>
    <row r="4866" spans="3:6">
      <c r="C4866" s="12"/>
      <c r="D4866" s="12"/>
      <c r="E4866" t="b">
        <f t="shared" si="75"/>
        <v>1</v>
      </c>
      <c r="F4866" s="12">
        <v>0</v>
      </c>
    </row>
    <row r="4867" spans="3:6">
      <c r="C4867" s="12"/>
      <c r="D4867" s="12"/>
      <c r="E4867" t="b">
        <f t="shared" ref="E4867:E4930" si="76">F4867=C4867</f>
        <v>1</v>
      </c>
      <c r="F4867" s="12">
        <v>0</v>
      </c>
    </row>
    <row r="4868" spans="3:6">
      <c r="C4868" s="12"/>
      <c r="D4868" s="12"/>
      <c r="E4868" t="b">
        <f t="shared" si="76"/>
        <v>1</v>
      </c>
      <c r="F4868" s="12">
        <v>0</v>
      </c>
    </row>
    <row r="4869" spans="3:6">
      <c r="C4869" s="12"/>
      <c r="D4869" s="12"/>
      <c r="E4869" t="b">
        <f t="shared" si="76"/>
        <v>1</v>
      </c>
      <c r="F4869" s="12">
        <v>0</v>
      </c>
    </row>
    <row r="4870" spans="3:6">
      <c r="C4870" s="12"/>
      <c r="D4870" s="12"/>
      <c r="E4870" t="b">
        <f t="shared" si="76"/>
        <v>1</v>
      </c>
      <c r="F4870" s="12">
        <v>0</v>
      </c>
    </row>
    <row r="4871" spans="3:6">
      <c r="C4871" s="12"/>
      <c r="D4871" s="12"/>
      <c r="E4871" t="b">
        <f t="shared" si="76"/>
        <v>1</v>
      </c>
      <c r="F4871" s="12">
        <v>0</v>
      </c>
    </row>
    <row r="4872" spans="3:6">
      <c r="C4872" s="12"/>
      <c r="D4872" s="12"/>
      <c r="E4872" t="b">
        <f t="shared" si="76"/>
        <v>1</v>
      </c>
      <c r="F4872" s="12">
        <v>0</v>
      </c>
    </row>
    <row r="4873" spans="3:6">
      <c r="C4873" s="12"/>
      <c r="D4873" s="12"/>
      <c r="E4873" t="b">
        <f t="shared" si="76"/>
        <v>1</v>
      </c>
      <c r="F4873" s="12">
        <v>0</v>
      </c>
    </row>
    <row r="4874" spans="3:6">
      <c r="C4874" s="12"/>
      <c r="D4874" s="12"/>
      <c r="E4874" t="b">
        <f t="shared" si="76"/>
        <v>1</v>
      </c>
      <c r="F4874" s="12">
        <v>0</v>
      </c>
    </row>
    <row r="4875" spans="3:6">
      <c r="C4875" s="12"/>
      <c r="D4875" s="12"/>
      <c r="E4875" t="b">
        <f t="shared" si="76"/>
        <v>1</v>
      </c>
      <c r="F4875" s="12">
        <v>0</v>
      </c>
    </row>
    <row r="4876" spans="3:6">
      <c r="C4876" s="12"/>
      <c r="D4876" s="12"/>
      <c r="E4876" t="b">
        <f t="shared" si="76"/>
        <v>1</v>
      </c>
      <c r="F4876" s="12">
        <v>0</v>
      </c>
    </row>
    <row r="4877" spans="3:6">
      <c r="C4877" s="12"/>
      <c r="D4877" s="12"/>
      <c r="E4877" t="b">
        <f t="shared" si="76"/>
        <v>1</v>
      </c>
      <c r="F4877" s="12">
        <v>0</v>
      </c>
    </row>
    <row r="4878" spans="3:6">
      <c r="C4878" s="12"/>
      <c r="D4878" s="12"/>
      <c r="E4878" t="b">
        <f t="shared" si="76"/>
        <v>1</v>
      </c>
      <c r="F4878" s="12">
        <v>0</v>
      </c>
    </row>
    <row r="4879" spans="3:6">
      <c r="C4879" s="12"/>
      <c r="D4879" s="12"/>
      <c r="E4879" t="b">
        <f t="shared" si="76"/>
        <v>1</v>
      </c>
      <c r="F4879" s="12">
        <v>0</v>
      </c>
    </row>
    <row r="4880" spans="3:6">
      <c r="C4880" s="12"/>
      <c r="D4880" s="12"/>
      <c r="E4880" t="b">
        <f t="shared" si="76"/>
        <v>1</v>
      </c>
      <c r="F4880" s="12">
        <v>0</v>
      </c>
    </row>
    <row r="4881" spans="3:6">
      <c r="C4881" s="12"/>
      <c r="D4881" s="12"/>
      <c r="E4881" t="b">
        <f t="shared" si="76"/>
        <v>1</v>
      </c>
      <c r="F4881" s="12">
        <v>0</v>
      </c>
    </row>
    <row r="4882" spans="3:6">
      <c r="C4882" s="12"/>
      <c r="D4882" s="12"/>
      <c r="E4882" t="b">
        <f t="shared" si="76"/>
        <v>1</v>
      </c>
      <c r="F4882" s="12">
        <v>0</v>
      </c>
    </row>
    <row r="4883" spans="3:6">
      <c r="C4883" s="12"/>
      <c r="D4883" s="12"/>
      <c r="E4883" t="b">
        <f t="shared" si="76"/>
        <v>1</v>
      </c>
      <c r="F4883" s="12">
        <v>0</v>
      </c>
    </row>
    <row r="4884" spans="3:6">
      <c r="C4884" s="12"/>
      <c r="D4884" s="12"/>
      <c r="E4884" t="b">
        <f t="shared" si="76"/>
        <v>1</v>
      </c>
      <c r="F4884" s="12">
        <v>0</v>
      </c>
    </row>
    <row r="4885" spans="3:6">
      <c r="C4885" s="12"/>
      <c r="D4885" s="12"/>
      <c r="E4885" t="b">
        <f t="shared" si="76"/>
        <v>1</v>
      </c>
      <c r="F4885" s="12">
        <v>0</v>
      </c>
    </row>
    <row r="4886" spans="3:6">
      <c r="C4886" s="12"/>
      <c r="D4886" s="12"/>
      <c r="E4886" t="b">
        <f t="shared" si="76"/>
        <v>1</v>
      </c>
      <c r="F4886" s="12">
        <v>0</v>
      </c>
    </row>
    <row r="4887" spans="3:6">
      <c r="C4887" s="12"/>
      <c r="D4887" s="12"/>
      <c r="E4887" t="b">
        <f t="shared" si="76"/>
        <v>1</v>
      </c>
      <c r="F4887" s="12">
        <v>0</v>
      </c>
    </row>
    <row r="4888" spans="3:6">
      <c r="C4888" s="12"/>
      <c r="D4888" s="12"/>
      <c r="E4888" t="b">
        <f t="shared" si="76"/>
        <v>1</v>
      </c>
      <c r="F4888" s="12">
        <v>0</v>
      </c>
    </row>
    <row r="4889" spans="3:6">
      <c r="C4889" s="12"/>
      <c r="D4889" s="12"/>
      <c r="E4889" t="b">
        <f t="shared" si="76"/>
        <v>1</v>
      </c>
      <c r="F4889" s="12">
        <v>0</v>
      </c>
    </row>
    <row r="4890" spans="3:6">
      <c r="C4890" s="12"/>
      <c r="D4890" s="12"/>
      <c r="E4890" t="b">
        <f t="shared" si="76"/>
        <v>1</v>
      </c>
      <c r="F4890" s="12">
        <v>0</v>
      </c>
    </row>
    <row r="4891" spans="3:6">
      <c r="C4891" s="12"/>
      <c r="D4891" s="12"/>
      <c r="E4891" t="b">
        <f t="shared" si="76"/>
        <v>1</v>
      </c>
      <c r="F4891" s="12">
        <v>0</v>
      </c>
    </row>
    <row r="4892" spans="3:6">
      <c r="C4892" s="12"/>
      <c r="D4892" s="12"/>
      <c r="E4892" t="b">
        <f t="shared" si="76"/>
        <v>1</v>
      </c>
      <c r="F4892" s="12">
        <v>0</v>
      </c>
    </row>
    <row r="4893" spans="3:6">
      <c r="C4893" s="12"/>
      <c r="D4893" s="12"/>
      <c r="E4893" t="b">
        <f t="shared" si="76"/>
        <v>1</v>
      </c>
      <c r="F4893" s="12">
        <v>0</v>
      </c>
    </row>
    <row r="4894" spans="3:6">
      <c r="C4894" s="12"/>
      <c r="D4894" s="12"/>
      <c r="E4894" t="b">
        <f t="shared" si="76"/>
        <v>1</v>
      </c>
      <c r="F4894" s="12">
        <v>0</v>
      </c>
    </row>
    <row r="4895" spans="3:6">
      <c r="C4895" s="12"/>
      <c r="D4895" s="12"/>
      <c r="E4895" t="b">
        <f t="shared" si="76"/>
        <v>1</v>
      </c>
      <c r="F4895" s="12">
        <v>0</v>
      </c>
    </row>
    <row r="4896" spans="3:6">
      <c r="C4896" s="12"/>
      <c r="D4896" s="12"/>
      <c r="E4896" t="b">
        <f t="shared" si="76"/>
        <v>1</v>
      </c>
      <c r="F4896" s="12">
        <v>0</v>
      </c>
    </row>
    <row r="4897" spans="3:6">
      <c r="C4897" s="12"/>
      <c r="D4897" s="12"/>
      <c r="E4897" t="b">
        <f t="shared" si="76"/>
        <v>1</v>
      </c>
      <c r="F4897" s="12">
        <v>0</v>
      </c>
    </row>
    <row r="4898" spans="3:6">
      <c r="C4898" s="12"/>
      <c r="D4898" s="12"/>
      <c r="E4898" t="b">
        <f t="shared" si="76"/>
        <v>1</v>
      </c>
      <c r="F4898" s="12">
        <v>0</v>
      </c>
    </row>
    <row r="4899" spans="3:6">
      <c r="C4899" s="12"/>
      <c r="D4899" s="12"/>
      <c r="E4899" t="b">
        <f t="shared" si="76"/>
        <v>1</v>
      </c>
      <c r="F4899" s="12">
        <v>0</v>
      </c>
    </row>
    <row r="4900" spans="3:6">
      <c r="C4900" s="12"/>
      <c r="D4900" s="12"/>
      <c r="E4900" t="b">
        <f t="shared" si="76"/>
        <v>1</v>
      </c>
      <c r="F4900" s="12">
        <v>0</v>
      </c>
    </row>
    <row r="4901" spans="3:6">
      <c r="C4901" s="12"/>
      <c r="D4901" s="12"/>
      <c r="E4901" t="b">
        <f t="shared" si="76"/>
        <v>1</v>
      </c>
      <c r="F4901" s="12">
        <v>0</v>
      </c>
    </row>
    <row r="4902" spans="3:6">
      <c r="C4902" s="12"/>
      <c r="D4902" s="12"/>
      <c r="E4902" t="b">
        <f t="shared" si="76"/>
        <v>1</v>
      </c>
      <c r="F4902" s="12">
        <v>0</v>
      </c>
    </row>
    <row r="4903" spans="3:6">
      <c r="C4903" s="12"/>
      <c r="D4903" s="12"/>
      <c r="E4903" t="b">
        <f t="shared" si="76"/>
        <v>1</v>
      </c>
      <c r="F4903" s="12">
        <v>0</v>
      </c>
    </row>
    <row r="4904" spans="3:6">
      <c r="C4904" s="12"/>
      <c r="D4904" s="12"/>
      <c r="E4904" t="b">
        <f t="shared" si="76"/>
        <v>1</v>
      </c>
      <c r="F4904" s="12">
        <v>0</v>
      </c>
    </row>
    <row r="4905" spans="3:6">
      <c r="C4905" s="12"/>
      <c r="D4905" s="12"/>
      <c r="E4905" t="b">
        <f t="shared" si="76"/>
        <v>1</v>
      </c>
      <c r="F4905" s="12">
        <v>0</v>
      </c>
    </row>
    <row r="4906" spans="3:6">
      <c r="C4906" s="12"/>
      <c r="D4906" s="12"/>
      <c r="E4906" t="b">
        <f t="shared" si="76"/>
        <v>1</v>
      </c>
      <c r="F4906" s="12">
        <v>0</v>
      </c>
    </row>
    <row r="4907" spans="3:6">
      <c r="C4907" s="12"/>
      <c r="D4907" s="12"/>
      <c r="E4907" t="b">
        <f t="shared" si="76"/>
        <v>1</v>
      </c>
      <c r="F4907" s="12">
        <v>0</v>
      </c>
    </row>
    <row r="4908" spans="3:6">
      <c r="C4908" s="12"/>
      <c r="D4908" s="12"/>
      <c r="E4908" t="b">
        <f t="shared" si="76"/>
        <v>1</v>
      </c>
      <c r="F4908" s="12">
        <v>0</v>
      </c>
    </row>
    <row r="4909" spans="3:6">
      <c r="C4909" s="12"/>
      <c r="D4909" s="12"/>
      <c r="E4909" t="b">
        <f t="shared" si="76"/>
        <v>1</v>
      </c>
      <c r="F4909" s="12">
        <v>0</v>
      </c>
    </row>
    <row r="4910" spans="3:6">
      <c r="C4910" s="12"/>
      <c r="D4910" s="12"/>
      <c r="E4910" t="b">
        <f t="shared" si="76"/>
        <v>1</v>
      </c>
      <c r="F4910" s="12">
        <v>0</v>
      </c>
    </row>
    <row r="4911" spans="3:6">
      <c r="C4911" s="12"/>
      <c r="D4911" s="12"/>
      <c r="E4911" t="b">
        <f t="shared" si="76"/>
        <v>1</v>
      </c>
      <c r="F4911" s="12">
        <v>0</v>
      </c>
    </row>
    <row r="4912" spans="3:6">
      <c r="C4912" s="12"/>
      <c r="D4912" s="12"/>
      <c r="E4912" t="b">
        <f t="shared" si="76"/>
        <v>1</v>
      </c>
      <c r="F4912" s="12">
        <v>0</v>
      </c>
    </row>
    <row r="4913" spans="3:6">
      <c r="C4913" s="12"/>
      <c r="D4913" s="12"/>
      <c r="E4913" t="b">
        <f t="shared" si="76"/>
        <v>1</v>
      </c>
      <c r="F4913" s="12">
        <v>0</v>
      </c>
    </row>
    <row r="4914" spans="3:6">
      <c r="C4914" s="12"/>
      <c r="D4914" s="12"/>
      <c r="E4914" t="b">
        <f t="shared" si="76"/>
        <v>1</v>
      </c>
      <c r="F4914" s="12">
        <v>0</v>
      </c>
    </row>
    <row r="4915" spans="3:6">
      <c r="C4915" s="12"/>
      <c r="D4915" s="12"/>
      <c r="E4915" t="b">
        <f t="shared" si="76"/>
        <v>1</v>
      </c>
      <c r="F4915" s="12">
        <v>0</v>
      </c>
    </row>
    <row r="4916" spans="3:6">
      <c r="C4916" s="12"/>
      <c r="D4916" s="12"/>
      <c r="E4916" t="b">
        <f t="shared" si="76"/>
        <v>1</v>
      </c>
      <c r="F4916" s="12">
        <v>0</v>
      </c>
    </row>
    <row r="4917" spans="3:6">
      <c r="C4917" s="12"/>
      <c r="D4917" s="12"/>
      <c r="E4917" t="b">
        <f t="shared" si="76"/>
        <v>1</v>
      </c>
      <c r="F4917" s="12">
        <v>0</v>
      </c>
    </row>
    <row r="4918" spans="3:6">
      <c r="C4918" s="12"/>
      <c r="D4918" s="12"/>
      <c r="E4918" t="b">
        <f t="shared" si="76"/>
        <v>1</v>
      </c>
      <c r="F4918" s="12">
        <v>0</v>
      </c>
    </row>
    <row r="4919" spans="3:6">
      <c r="C4919" s="12"/>
      <c r="D4919" s="12"/>
      <c r="E4919" t="b">
        <f t="shared" si="76"/>
        <v>1</v>
      </c>
      <c r="F4919" s="12">
        <v>0</v>
      </c>
    </row>
    <row r="4920" spans="3:6">
      <c r="C4920" s="12"/>
      <c r="D4920" s="12"/>
      <c r="E4920" t="b">
        <f t="shared" si="76"/>
        <v>1</v>
      </c>
      <c r="F4920" s="12">
        <v>0</v>
      </c>
    </row>
    <row r="4921" spans="3:6">
      <c r="C4921" s="12"/>
      <c r="D4921" s="12"/>
      <c r="E4921" t="b">
        <f t="shared" si="76"/>
        <v>1</v>
      </c>
      <c r="F4921" s="12">
        <v>0</v>
      </c>
    </row>
    <row r="4922" spans="3:6">
      <c r="C4922" s="12"/>
      <c r="D4922" s="12"/>
      <c r="E4922" t="b">
        <f t="shared" si="76"/>
        <v>1</v>
      </c>
      <c r="F4922" s="12">
        <v>0</v>
      </c>
    </row>
    <row r="4923" spans="3:6">
      <c r="C4923" s="12"/>
      <c r="D4923" s="12"/>
      <c r="E4923" t="b">
        <f t="shared" si="76"/>
        <v>1</v>
      </c>
      <c r="F4923" s="12">
        <v>0</v>
      </c>
    </row>
    <row r="4924" spans="3:6">
      <c r="C4924" s="12"/>
      <c r="D4924" s="12"/>
      <c r="E4924" t="b">
        <f t="shared" si="76"/>
        <v>1</v>
      </c>
      <c r="F4924" s="12">
        <v>0</v>
      </c>
    </row>
    <row r="4925" spans="3:6">
      <c r="C4925" s="12"/>
      <c r="D4925" s="12"/>
      <c r="E4925" t="b">
        <f t="shared" si="76"/>
        <v>1</v>
      </c>
      <c r="F4925" s="12">
        <v>0</v>
      </c>
    </row>
    <row r="4926" spans="3:6">
      <c r="C4926" s="12"/>
      <c r="D4926" s="12"/>
      <c r="E4926" t="b">
        <f t="shared" si="76"/>
        <v>1</v>
      </c>
      <c r="F4926" s="12">
        <v>0</v>
      </c>
    </row>
    <row r="4927" spans="3:6">
      <c r="C4927" s="12"/>
      <c r="D4927" s="12"/>
      <c r="E4927" t="b">
        <f t="shared" si="76"/>
        <v>1</v>
      </c>
      <c r="F4927" s="12">
        <v>0</v>
      </c>
    </row>
    <row r="4928" spans="3:6">
      <c r="C4928" s="12"/>
      <c r="D4928" s="12"/>
      <c r="E4928" t="b">
        <f t="shared" si="76"/>
        <v>1</v>
      </c>
      <c r="F4928" s="12">
        <v>0</v>
      </c>
    </row>
    <row r="4929" spans="3:6">
      <c r="C4929" s="12"/>
      <c r="D4929" s="12"/>
      <c r="E4929" t="b">
        <f t="shared" si="76"/>
        <v>1</v>
      </c>
      <c r="F4929" s="12">
        <v>0</v>
      </c>
    </row>
    <row r="4930" spans="3:6">
      <c r="C4930" s="12"/>
      <c r="D4930" s="12"/>
      <c r="E4930" t="b">
        <f t="shared" si="76"/>
        <v>1</v>
      </c>
      <c r="F4930" s="12">
        <v>0</v>
      </c>
    </row>
    <row r="4931" spans="3:6">
      <c r="C4931" s="12"/>
      <c r="D4931" s="12"/>
      <c r="E4931" t="b">
        <f t="shared" ref="E4931:E4994" si="77">F4931=C4931</f>
        <v>1</v>
      </c>
      <c r="F4931" s="12">
        <v>0</v>
      </c>
    </row>
    <row r="4932" spans="3:6">
      <c r="C4932" s="12"/>
      <c r="D4932" s="12"/>
      <c r="E4932" t="b">
        <f t="shared" si="77"/>
        <v>1</v>
      </c>
      <c r="F4932" s="12">
        <v>0</v>
      </c>
    </row>
    <row r="4933" spans="3:6">
      <c r="C4933" s="12"/>
      <c r="D4933" s="12"/>
      <c r="E4933" t="b">
        <f t="shared" si="77"/>
        <v>1</v>
      </c>
      <c r="F4933" s="12">
        <v>0</v>
      </c>
    </row>
    <row r="4934" spans="3:6">
      <c r="C4934" s="12"/>
      <c r="D4934" s="12"/>
      <c r="E4934" t="b">
        <f t="shared" si="77"/>
        <v>1</v>
      </c>
      <c r="F4934" s="12">
        <v>0</v>
      </c>
    </row>
    <row r="4935" spans="3:6">
      <c r="C4935" s="12"/>
      <c r="D4935" s="12"/>
      <c r="E4935" t="b">
        <f t="shared" si="77"/>
        <v>1</v>
      </c>
      <c r="F4935" s="12">
        <v>0</v>
      </c>
    </row>
    <row r="4936" spans="3:6">
      <c r="C4936" s="12"/>
      <c r="D4936" s="12"/>
      <c r="E4936" t="b">
        <f t="shared" si="77"/>
        <v>1</v>
      </c>
      <c r="F4936" s="12">
        <v>0</v>
      </c>
    </row>
    <row r="4937" spans="3:6">
      <c r="C4937" s="12"/>
      <c r="D4937" s="12"/>
      <c r="E4937" t="b">
        <f t="shared" si="77"/>
        <v>1</v>
      </c>
      <c r="F4937" s="12">
        <v>0</v>
      </c>
    </row>
    <row r="4938" spans="3:6">
      <c r="C4938" s="12"/>
      <c r="D4938" s="12"/>
      <c r="E4938" t="b">
        <f t="shared" si="77"/>
        <v>1</v>
      </c>
      <c r="F4938" s="12">
        <v>0</v>
      </c>
    </row>
    <row r="4939" spans="3:6">
      <c r="C4939" s="12"/>
      <c r="D4939" s="12"/>
      <c r="E4939" t="b">
        <f t="shared" si="77"/>
        <v>1</v>
      </c>
      <c r="F4939" s="12">
        <v>0</v>
      </c>
    </row>
    <row r="4940" spans="3:6">
      <c r="C4940" s="12"/>
      <c r="D4940" s="12"/>
      <c r="E4940" t="b">
        <f t="shared" si="77"/>
        <v>1</v>
      </c>
      <c r="F4940" s="12">
        <v>0</v>
      </c>
    </row>
    <row r="4941" spans="3:6">
      <c r="C4941" s="12"/>
      <c r="D4941" s="12"/>
      <c r="E4941" t="b">
        <f t="shared" si="77"/>
        <v>1</v>
      </c>
      <c r="F4941" s="12">
        <v>0</v>
      </c>
    </row>
    <row r="4942" spans="3:6">
      <c r="C4942" s="12"/>
      <c r="D4942" s="12"/>
      <c r="E4942" t="b">
        <f t="shared" si="77"/>
        <v>1</v>
      </c>
      <c r="F4942" s="12">
        <v>0</v>
      </c>
    </row>
    <row r="4943" spans="3:6">
      <c r="C4943" s="12"/>
      <c r="D4943" s="12"/>
      <c r="E4943" t="b">
        <f t="shared" si="77"/>
        <v>1</v>
      </c>
      <c r="F4943" s="12">
        <v>0</v>
      </c>
    </row>
    <row r="4944" spans="3:6">
      <c r="C4944" s="12"/>
      <c r="D4944" s="12"/>
      <c r="E4944" t="b">
        <f t="shared" si="77"/>
        <v>1</v>
      </c>
      <c r="F4944" s="12">
        <v>0</v>
      </c>
    </row>
    <row r="4945" spans="3:6">
      <c r="C4945" s="12"/>
      <c r="D4945" s="12"/>
      <c r="E4945" t="b">
        <f t="shared" si="77"/>
        <v>1</v>
      </c>
      <c r="F4945" s="12">
        <v>0</v>
      </c>
    </row>
    <row r="4946" spans="3:6">
      <c r="C4946" s="12"/>
      <c r="D4946" s="12"/>
      <c r="E4946" t="b">
        <f t="shared" si="77"/>
        <v>1</v>
      </c>
      <c r="F4946" s="12">
        <v>0</v>
      </c>
    </row>
    <row r="4947" spans="3:6">
      <c r="C4947" s="12"/>
      <c r="D4947" s="12"/>
      <c r="E4947" t="b">
        <f t="shared" si="77"/>
        <v>1</v>
      </c>
      <c r="F4947" s="12">
        <v>0</v>
      </c>
    </row>
    <row r="4948" spans="3:6">
      <c r="C4948" s="12"/>
      <c r="D4948" s="12"/>
      <c r="E4948" t="b">
        <f t="shared" si="77"/>
        <v>1</v>
      </c>
      <c r="F4948" s="12">
        <v>0</v>
      </c>
    </row>
    <row r="4949" spans="3:6">
      <c r="C4949" s="12"/>
      <c r="D4949" s="12"/>
      <c r="E4949" t="b">
        <f t="shared" si="77"/>
        <v>1</v>
      </c>
      <c r="F4949" s="12">
        <v>0</v>
      </c>
    </row>
    <row r="4950" spans="3:6">
      <c r="C4950" s="12"/>
      <c r="D4950" s="12"/>
      <c r="E4950" t="b">
        <f t="shared" si="77"/>
        <v>1</v>
      </c>
      <c r="F4950" s="12">
        <v>0</v>
      </c>
    </row>
    <row r="4951" spans="3:6">
      <c r="C4951" s="12"/>
      <c r="D4951" s="12"/>
      <c r="E4951" t="b">
        <f t="shared" si="77"/>
        <v>1</v>
      </c>
      <c r="F4951" s="12">
        <v>0</v>
      </c>
    </row>
    <row r="4952" spans="3:6">
      <c r="C4952" s="12"/>
      <c r="D4952" s="12"/>
      <c r="E4952" t="b">
        <f t="shared" si="77"/>
        <v>1</v>
      </c>
      <c r="F4952" s="12">
        <v>0</v>
      </c>
    </row>
    <row r="4953" spans="3:6">
      <c r="C4953" s="12"/>
      <c r="D4953" s="12"/>
      <c r="E4953" t="b">
        <f t="shared" si="77"/>
        <v>1</v>
      </c>
      <c r="F4953" s="12">
        <v>0</v>
      </c>
    </row>
    <row r="4954" spans="3:6">
      <c r="C4954" s="12"/>
      <c r="D4954" s="12"/>
      <c r="E4954" t="b">
        <f t="shared" si="77"/>
        <v>1</v>
      </c>
      <c r="F4954" s="12">
        <v>0</v>
      </c>
    </row>
    <row r="4955" spans="3:6">
      <c r="C4955" s="12"/>
      <c r="D4955" s="12"/>
      <c r="E4955" t="b">
        <f t="shared" si="77"/>
        <v>1</v>
      </c>
      <c r="F4955" s="12">
        <v>0</v>
      </c>
    </row>
    <row r="4956" spans="3:6">
      <c r="C4956" s="12"/>
      <c r="D4956" s="12"/>
      <c r="E4956" t="b">
        <f t="shared" si="77"/>
        <v>1</v>
      </c>
      <c r="F4956" s="12">
        <v>0</v>
      </c>
    </row>
    <row r="4957" spans="3:6">
      <c r="C4957" s="12"/>
      <c r="D4957" s="12"/>
      <c r="E4957" t="b">
        <f t="shared" si="77"/>
        <v>1</v>
      </c>
      <c r="F4957" s="12">
        <v>0</v>
      </c>
    </row>
    <row r="4958" spans="3:6">
      <c r="C4958" s="12"/>
      <c r="D4958" s="12"/>
      <c r="E4958" t="b">
        <f t="shared" si="77"/>
        <v>1</v>
      </c>
      <c r="F4958" s="12">
        <v>0</v>
      </c>
    </row>
    <row r="4959" spans="3:6">
      <c r="C4959" s="12"/>
      <c r="D4959" s="12"/>
      <c r="E4959" t="b">
        <f t="shared" si="77"/>
        <v>1</v>
      </c>
      <c r="F4959" s="12">
        <v>0</v>
      </c>
    </row>
    <row r="4960" spans="3:6">
      <c r="C4960" s="12"/>
      <c r="D4960" s="12"/>
      <c r="E4960" t="b">
        <f t="shared" si="77"/>
        <v>1</v>
      </c>
      <c r="F4960" s="12">
        <v>0</v>
      </c>
    </row>
    <row r="4961" spans="3:6">
      <c r="C4961" s="12"/>
      <c r="D4961" s="12"/>
      <c r="E4961" t="b">
        <f t="shared" si="77"/>
        <v>1</v>
      </c>
      <c r="F4961" s="12">
        <v>0</v>
      </c>
    </row>
    <row r="4962" spans="3:6">
      <c r="C4962" s="12"/>
      <c r="D4962" s="12"/>
      <c r="E4962" t="b">
        <f t="shared" si="77"/>
        <v>1</v>
      </c>
      <c r="F4962" s="12">
        <v>0</v>
      </c>
    </row>
    <row r="4963" spans="3:6">
      <c r="C4963" s="12"/>
      <c r="D4963" s="12"/>
      <c r="E4963" t="b">
        <f t="shared" si="77"/>
        <v>1</v>
      </c>
      <c r="F4963" s="12">
        <v>0</v>
      </c>
    </row>
    <row r="4964" spans="3:6">
      <c r="C4964" s="12"/>
      <c r="D4964" s="12"/>
      <c r="E4964" t="b">
        <f t="shared" si="77"/>
        <v>1</v>
      </c>
      <c r="F4964" s="12">
        <v>0</v>
      </c>
    </row>
    <row r="4965" spans="3:6">
      <c r="C4965" s="12"/>
      <c r="D4965" s="12"/>
      <c r="E4965" t="b">
        <f t="shared" si="77"/>
        <v>1</v>
      </c>
      <c r="F4965" s="12">
        <v>0</v>
      </c>
    </row>
    <row r="4966" spans="3:6">
      <c r="C4966" s="12"/>
      <c r="D4966" s="12"/>
      <c r="E4966" t="b">
        <f t="shared" si="77"/>
        <v>1</v>
      </c>
      <c r="F4966" s="12">
        <v>0</v>
      </c>
    </row>
    <row r="4967" spans="3:6">
      <c r="C4967" s="12"/>
      <c r="D4967" s="12"/>
      <c r="E4967" t="b">
        <f t="shared" si="77"/>
        <v>1</v>
      </c>
      <c r="F4967" s="12">
        <v>0</v>
      </c>
    </row>
    <row r="4968" spans="3:6">
      <c r="C4968" s="12"/>
      <c r="D4968" s="12"/>
      <c r="E4968" t="b">
        <f t="shared" si="77"/>
        <v>1</v>
      </c>
      <c r="F4968" s="12">
        <v>0</v>
      </c>
    </row>
    <row r="4969" spans="3:6">
      <c r="C4969" s="12"/>
      <c r="D4969" s="12"/>
      <c r="E4969" t="b">
        <f t="shared" si="77"/>
        <v>1</v>
      </c>
      <c r="F4969" s="12">
        <v>0</v>
      </c>
    </row>
    <row r="4970" spans="3:6">
      <c r="C4970" s="12"/>
      <c r="D4970" s="12"/>
      <c r="E4970" t="b">
        <f t="shared" si="77"/>
        <v>1</v>
      </c>
      <c r="F4970" s="12">
        <v>0</v>
      </c>
    </row>
    <row r="4971" spans="3:6">
      <c r="C4971" s="12"/>
      <c r="D4971" s="12"/>
      <c r="E4971" t="b">
        <f t="shared" si="77"/>
        <v>1</v>
      </c>
      <c r="F4971" s="12">
        <v>0</v>
      </c>
    </row>
    <row r="4972" spans="3:6">
      <c r="C4972" s="12"/>
      <c r="D4972" s="12"/>
      <c r="E4972" t="b">
        <f t="shared" si="77"/>
        <v>1</v>
      </c>
      <c r="F4972" s="12">
        <v>0</v>
      </c>
    </row>
    <row r="4973" spans="3:6">
      <c r="C4973" s="12"/>
      <c r="D4973" s="12"/>
      <c r="E4973" t="b">
        <f t="shared" si="77"/>
        <v>1</v>
      </c>
      <c r="F4973" s="12">
        <v>0</v>
      </c>
    </row>
    <row r="4974" spans="3:6">
      <c r="C4974" s="12"/>
      <c r="D4974" s="12"/>
      <c r="E4974" t="b">
        <f t="shared" si="77"/>
        <v>1</v>
      </c>
      <c r="F4974" s="12">
        <v>0</v>
      </c>
    </row>
    <row r="4975" spans="3:6">
      <c r="C4975" s="12"/>
      <c r="D4975" s="12"/>
      <c r="E4975" t="b">
        <f t="shared" si="77"/>
        <v>1</v>
      </c>
      <c r="F4975" s="12">
        <v>0</v>
      </c>
    </row>
    <row r="4976" spans="3:6">
      <c r="C4976" s="12"/>
      <c r="D4976" s="12"/>
      <c r="E4976" t="b">
        <f t="shared" si="77"/>
        <v>1</v>
      </c>
      <c r="F4976" s="12">
        <v>0</v>
      </c>
    </row>
    <row r="4977" spans="3:6">
      <c r="C4977" s="12"/>
      <c r="D4977" s="12"/>
      <c r="E4977" t="b">
        <f t="shared" si="77"/>
        <v>1</v>
      </c>
      <c r="F4977" s="12">
        <v>0</v>
      </c>
    </row>
    <row r="4978" spans="3:6">
      <c r="C4978" s="12"/>
      <c r="D4978" s="12"/>
      <c r="E4978" t="b">
        <f t="shared" si="77"/>
        <v>1</v>
      </c>
      <c r="F4978" s="12">
        <v>0</v>
      </c>
    </row>
    <row r="4979" spans="3:6">
      <c r="C4979" s="12"/>
      <c r="D4979" s="12"/>
      <c r="E4979" t="b">
        <f t="shared" si="77"/>
        <v>1</v>
      </c>
      <c r="F4979" s="12">
        <v>0</v>
      </c>
    </row>
    <row r="4980" spans="3:6">
      <c r="C4980" s="12"/>
      <c r="D4980" s="12"/>
      <c r="E4980" t="b">
        <f t="shared" si="77"/>
        <v>1</v>
      </c>
      <c r="F4980" s="12">
        <v>0</v>
      </c>
    </row>
    <row r="4981" spans="3:6">
      <c r="C4981" s="12"/>
      <c r="D4981" s="12"/>
      <c r="E4981" t="b">
        <f t="shared" si="77"/>
        <v>1</v>
      </c>
      <c r="F4981" s="12">
        <v>0</v>
      </c>
    </row>
    <row r="4982" spans="3:6">
      <c r="C4982" s="12"/>
      <c r="D4982" s="12"/>
      <c r="E4982" t="b">
        <f t="shared" si="77"/>
        <v>1</v>
      </c>
      <c r="F4982" s="12">
        <v>0</v>
      </c>
    </row>
    <row r="4983" spans="3:6">
      <c r="C4983" s="12"/>
      <c r="D4983" s="12"/>
      <c r="E4983" t="b">
        <f t="shared" si="77"/>
        <v>1</v>
      </c>
      <c r="F4983" s="12">
        <v>0</v>
      </c>
    </row>
    <row r="4984" spans="3:6">
      <c r="C4984" s="12"/>
      <c r="D4984" s="12"/>
      <c r="E4984" t="b">
        <f t="shared" si="77"/>
        <v>1</v>
      </c>
      <c r="F4984" s="12">
        <v>0</v>
      </c>
    </row>
    <row r="4985" spans="3:6">
      <c r="C4985" s="12"/>
      <c r="D4985" s="12"/>
      <c r="E4985" t="b">
        <f t="shared" si="77"/>
        <v>1</v>
      </c>
      <c r="F4985" s="12">
        <v>0</v>
      </c>
    </row>
    <row r="4986" spans="3:6">
      <c r="C4986" s="12"/>
      <c r="D4986" s="12"/>
      <c r="E4986" t="b">
        <f t="shared" si="77"/>
        <v>1</v>
      </c>
      <c r="F4986" s="12">
        <v>0</v>
      </c>
    </row>
    <row r="4987" spans="3:6">
      <c r="C4987" s="12"/>
      <c r="D4987" s="12"/>
      <c r="E4987" t="b">
        <f t="shared" si="77"/>
        <v>1</v>
      </c>
      <c r="F4987" s="12">
        <v>0</v>
      </c>
    </row>
    <row r="4988" spans="3:6">
      <c r="C4988" s="12"/>
      <c r="D4988" s="12"/>
      <c r="E4988" t="b">
        <f t="shared" si="77"/>
        <v>1</v>
      </c>
      <c r="F4988" s="12">
        <v>0</v>
      </c>
    </row>
    <row r="4989" spans="3:6">
      <c r="C4989" s="12"/>
      <c r="D4989" s="12"/>
      <c r="E4989" t="b">
        <f t="shared" si="77"/>
        <v>1</v>
      </c>
      <c r="F4989" s="12">
        <v>0</v>
      </c>
    </row>
    <row r="4990" spans="3:6">
      <c r="C4990" s="12"/>
      <c r="D4990" s="12"/>
      <c r="E4990" t="b">
        <f t="shared" si="77"/>
        <v>1</v>
      </c>
      <c r="F4990" s="12">
        <v>0</v>
      </c>
    </row>
    <row r="4991" spans="3:6">
      <c r="C4991" s="12"/>
      <c r="D4991" s="12"/>
      <c r="E4991" t="b">
        <f t="shared" si="77"/>
        <v>1</v>
      </c>
      <c r="F4991" s="12">
        <v>0</v>
      </c>
    </row>
    <row r="4992" spans="3:6">
      <c r="C4992" s="12"/>
      <c r="D4992" s="12"/>
      <c r="E4992" t="b">
        <f t="shared" si="77"/>
        <v>1</v>
      </c>
      <c r="F4992" s="12">
        <v>0</v>
      </c>
    </row>
    <row r="4993" spans="3:6">
      <c r="C4993" s="12"/>
      <c r="D4993" s="12"/>
      <c r="E4993" t="b">
        <f t="shared" si="77"/>
        <v>1</v>
      </c>
      <c r="F4993" s="12">
        <v>0</v>
      </c>
    </row>
    <row r="4994" spans="3:6">
      <c r="C4994" s="12"/>
      <c r="D4994" s="12"/>
      <c r="E4994" t="b">
        <f t="shared" si="77"/>
        <v>1</v>
      </c>
      <c r="F4994" s="12">
        <v>0</v>
      </c>
    </row>
    <row r="4995" spans="3:6">
      <c r="C4995" s="12"/>
      <c r="D4995" s="12"/>
      <c r="E4995" t="b">
        <f t="shared" ref="E4995:E5058" si="78">F4995=C4995</f>
        <v>1</v>
      </c>
      <c r="F4995" s="12">
        <v>0</v>
      </c>
    </row>
    <row r="4996" spans="3:6">
      <c r="C4996" s="12"/>
      <c r="D4996" s="12"/>
      <c r="E4996" t="b">
        <f t="shared" si="78"/>
        <v>1</v>
      </c>
      <c r="F4996" s="12">
        <v>0</v>
      </c>
    </row>
    <row r="4997" spans="3:6">
      <c r="C4997" s="12"/>
      <c r="D4997" s="12"/>
      <c r="E4997" t="b">
        <f t="shared" si="78"/>
        <v>1</v>
      </c>
      <c r="F4997" s="12">
        <v>0</v>
      </c>
    </row>
    <row r="4998" spans="3:6">
      <c r="C4998" s="12"/>
      <c r="D4998" s="12"/>
      <c r="E4998" t="b">
        <f t="shared" si="78"/>
        <v>1</v>
      </c>
      <c r="F4998" s="12">
        <v>0</v>
      </c>
    </row>
    <row r="4999" spans="3:6">
      <c r="C4999" s="12"/>
      <c r="D4999" s="12"/>
      <c r="E4999" t="b">
        <f t="shared" si="78"/>
        <v>1</v>
      </c>
      <c r="F4999" s="12">
        <v>0</v>
      </c>
    </row>
    <row r="5000" spans="3:6">
      <c r="C5000" s="12"/>
      <c r="D5000" s="12"/>
      <c r="E5000" t="b">
        <f t="shared" si="78"/>
        <v>1</v>
      </c>
      <c r="F5000" s="12">
        <v>0</v>
      </c>
    </row>
    <row r="5001" spans="3:6">
      <c r="C5001" s="12"/>
      <c r="D5001" s="12"/>
      <c r="E5001" t="b">
        <f t="shared" si="78"/>
        <v>1</v>
      </c>
      <c r="F5001" s="12">
        <v>0</v>
      </c>
    </row>
    <row r="5002" spans="3:6">
      <c r="C5002" s="12"/>
      <c r="D5002" s="12"/>
      <c r="E5002" t="b">
        <f t="shared" si="78"/>
        <v>1</v>
      </c>
      <c r="F5002" s="12">
        <v>0</v>
      </c>
    </row>
    <row r="5003" spans="3:6">
      <c r="C5003" s="12"/>
      <c r="D5003" s="12"/>
      <c r="E5003" t="b">
        <f t="shared" si="78"/>
        <v>1</v>
      </c>
      <c r="F5003" s="12">
        <v>0</v>
      </c>
    </row>
    <row r="5004" spans="3:6">
      <c r="C5004" s="12"/>
      <c r="D5004" s="12"/>
      <c r="E5004" t="b">
        <f t="shared" si="78"/>
        <v>1</v>
      </c>
      <c r="F5004" s="12">
        <v>0</v>
      </c>
    </row>
    <row r="5005" spans="3:6">
      <c r="C5005" s="12"/>
      <c r="D5005" s="12"/>
      <c r="E5005" t="b">
        <f t="shared" si="78"/>
        <v>1</v>
      </c>
      <c r="F5005" s="12">
        <v>0</v>
      </c>
    </row>
    <row r="5006" spans="3:6">
      <c r="C5006" s="12"/>
      <c r="D5006" s="12"/>
      <c r="E5006" t="b">
        <f t="shared" si="78"/>
        <v>1</v>
      </c>
      <c r="F5006" s="12">
        <v>0</v>
      </c>
    </row>
    <row r="5007" spans="3:6">
      <c r="C5007" s="12"/>
      <c r="D5007" s="12"/>
      <c r="E5007" t="b">
        <f t="shared" si="78"/>
        <v>1</v>
      </c>
      <c r="F5007" s="12">
        <v>0</v>
      </c>
    </row>
    <row r="5008" spans="3:6">
      <c r="C5008" s="12"/>
      <c r="D5008" s="12"/>
      <c r="E5008" t="b">
        <f t="shared" si="78"/>
        <v>1</v>
      </c>
      <c r="F5008" s="12">
        <v>0</v>
      </c>
    </row>
    <row r="5009" spans="3:6">
      <c r="C5009" s="12"/>
      <c r="D5009" s="12"/>
      <c r="E5009" t="b">
        <f t="shared" si="78"/>
        <v>1</v>
      </c>
      <c r="F5009" s="12">
        <v>0</v>
      </c>
    </row>
    <row r="5010" spans="3:6">
      <c r="C5010" s="12"/>
      <c r="D5010" s="12"/>
      <c r="E5010" t="b">
        <f t="shared" si="78"/>
        <v>1</v>
      </c>
      <c r="F5010" s="12">
        <v>0</v>
      </c>
    </row>
    <row r="5011" spans="3:6">
      <c r="C5011" s="12"/>
      <c r="D5011" s="12"/>
      <c r="E5011" t="b">
        <f t="shared" si="78"/>
        <v>1</v>
      </c>
      <c r="F5011" s="12">
        <v>0</v>
      </c>
    </row>
    <row r="5012" spans="3:6">
      <c r="C5012" s="12"/>
      <c r="D5012" s="12"/>
      <c r="E5012" t="b">
        <f t="shared" si="78"/>
        <v>1</v>
      </c>
      <c r="F5012" s="12">
        <v>0</v>
      </c>
    </row>
    <row r="5013" spans="3:6">
      <c r="C5013" s="12"/>
      <c r="D5013" s="12"/>
      <c r="E5013" t="b">
        <f t="shared" si="78"/>
        <v>1</v>
      </c>
      <c r="F5013" s="12">
        <v>0</v>
      </c>
    </row>
    <row r="5014" spans="3:6">
      <c r="C5014" s="12"/>
      <c r="D5014" s="12"/>
      <c r="E5014" t="b">
        <f t="shared" si="78"/>
        <v>1</v>
      </c>
      <c r="F5014" s="12">
        <v>0</v>
      </c>
    </row>
    <row r="5015" spans="3:6">
      <c r="C5015" s="12"/>
      <c r="D5015" s="12"/>
      <c r="E5015" t="b">
        <f t="shared" si="78"/>
        <v>1</v>
      </c>
      <c r="F5015" s="12">
        <v>0</v>
      </c>
    </row>
    <row r="5016" spans="3:6">
      <c r="C5016" s="12"/>
      <c r="D5016" s="12"/>
      <c r="E5016" t="b">
        <f t="shared" si="78"/>
        <v>1</v>
      </c>
      <c r="F5016" s="12">
        <v>0</v>
      </c>
    </row>
    <row r="5017" spans="3:6">
      <c r="C5017" s="12"/>
      <c r="D5017" s="12"/>
      <c r="E5017" t="b">
        <f t="shared" si="78"/>
        <v>1</v>
      </c>
      <c r="F5017" s="12">
        <v>0</v>
      </c>
    </row>
    <row r="5018" spans="3:6">
      <c r="C5018" s="12"/>
      <c r="D5018" s="12"/>
      <c r="E5018" t="b">
        <f t="shared" si="78"/>
        <v>1</v>
      </c>
      <c r="F5018" s="12">
        <v>0</v>
      </c>
    </row>
    <row r="5019" spans="3:6">
      <c r="C5019" s="12"/>
      <c r="D5019" s="12"/>
      <c r="E5019" t="b">
        <f t="shared" si="78"/>
        <v>1</v>
      </c>
      <c r="F5019" s="12">
        <v>0</v>
      </c>
    </row>
    <row r="5020" spans="3:6">
      <c r="C5020" s="12"/>
      <c r="D5020" s="12"/>
      <c r="E5020" t="b">
        <f t="shared" si="78"/>
        <v>1</v>
      </c>
      <c r="F5020" s="12">
        <v>0</v>
      </c>
    </row>
    <row r="5021" spans="3:6">
      <c r="C5021" s="12"/>
      <c r="D5021" s="12"/>
      <c r="E5021" t="b">
        <f t="shared" si="78"/>
        <v>1</v>
      </c>
      <c r="F5021" s="12">
        <v>0</v>
      </c>
    </row>
    <row r="5022" spans="3:6">
      <c r="C5022" s="12"/>
      <c r="D5022" s="12"/>
      <c r="E5022" t="b">
        <f t="shared" si="78"/>
        <v>1</v>
      </c>
      <c r="F5022" s="12">
        <v>0</v>
      </c>
    </row>
    <row r="5023" spans="3:6">
      <c r="C5023" s="12"/>
      <c r="D5023" s="12"/>
      <c r="E5023" t="b">
        <f t="shared" si="78"/>
        <v>1</v>
      </c>
      <c r="F5023" s="12">
        <v>0</v>
      </c>
    </row>
    <row r="5024" spans="3:6">
      <c r="C5024" s="12"/>
      <c r="D5024" s="12"/>
      <c r="E5024" t="b">
        <f t="shared" si="78"/>
        <v>1</v>
      </c>
      <c r="F5024" s="12">
        <v>0</v>
      </c>
    </row>
    <row r="5025" spans="3:6">
      <c r="C5025" s="12"/>
      <c r="D5025" s="12"/>
      <c r="E5025" t="b">
        <f t="shared" si="78"/>
        <v>1</v>
      </c>
      <c r="F5025" s="12">
        <v>0</v>
      </c>
    </row>
    <row r="5026" spans="3:6">
      <c r="C5026" s="12"/>
      <c r="D5026" s="12"/>
      <c r="E5026" t="b">
        <f t="shared" si="78"/>
        <v>1</v>
      </c>
      <c r="F5026" s="12">
        <v>0</v>
      </c>
    </row>
    <row r="5027" spans="3:6">
      <c r="C5027" s="12"/>
      <c r="D5027" s="12"/>
      <c r="E5027" t="b">
        <f t="shared" si="78"/>
        <v>1</v>
      </c>
      <c r="F5027" s="12">
        <v>0</v>
      </c>
    </row>
    <row r="5028" spans="3:6">
      <c r="C5028" s="12"/>
      <c r="D5028" s="12"/>
      <c r="E5028" t="b">
        <f t="shared" si="78"/>
        <v>1</v>
      </c>
      <c r="F5028" s="12">
        <v>0</v>
      </c>
    </row>
    <row r="5029" spans="3:6">
      <c r="C5029" s="12"/>
      <c r="D5029" s="12"/>
      <c r="E5029" t="b">
        <f t="shared" si="78"/>
        <v>1</v>
      </c>
      <c r="F5029" s="12">
        <v>0</v>
      </c>
    </row>
    <row r="5030" spans="3:6">
      <c r="C5030" s="12"/>
      <c r="D5030" s="12"/>
      <c r="E5030" t="b">
        <f t="shared" si="78"/>
        <v>1</v>
      </c>
      <c r="F5030" s="12">
        <v>0</v>
      </c>
    </row>
    <row r="5031" spans="3:6">
      <c r="C5031" s="12"/>
      <c r="D5031" s="12"/>
      <c r="E5031" t="b">
        <f t="shared" si="78"/>
        <v>1</v>
      </c>
      <c r="F5031" s="12">
        <v>0</v>
      </c>
    </row>
    <row r="5032" spans="3:6">
      <c r="C5032" s="12"/>
      <c r="D5032" s="12"/>
      <c r="E5032" t="b">
        <f t="shared" si="78"/>
        <v>1</v>
      </c>
      <c r="F5032" s="12">
        <v>0</v>
      </c>
    </row>
    <row r="5033" spans="3:6">
      <c r="C5033" s="12"/>
      <c r="D5033" s="12"/>
      <c r="E5033" t="b">
        <f t="shared" si="78"/>
        <v>1</v>
      </c>
      <c r="F5033" s="12">
        <v>0</v>
      </c>
    </row>
    <row r="5034" spans="3:6">
      <c r="C5034" s="12"/>
      <c r="D5034" s="12"/>
      <c r="E5034" t="b">
        <f t="shared" si="78"/>
        <v>1</v>
      </c>
      <c r="F5034" s="12">
        <v>0</v>
      </c>
    </row>
    <row r="5035" spans="3:6">
      <c r="C5035" s="12"/>
      <c r="D5035" s="12"/>
      <c r="E5035" t="b">
        <f t="shared" si="78"/>
        <v>1</v>
      </c>
      <c r="F5035" s="12">
        <v>0</v>
      </c>
    </row>
    <row r="5036" spans="3:6">
      <c r="C5036" s="12"/>
      <c r="D5036" s="12"/>
      <c r="E5036" t="b">
        <f t="shared" si="78"/>
        <v>1</v>
      </c>
      <c r="F5036" s="12">
        <v>0</v>
      </c>
    </row>
    <row r="5037" spans="3:6">
      <c r="C5037" s="12"/>
      <c r="D5037" s="12"/>
      <c r="E5037" t="b">
        <f t="shared" si="78"/>
        <v>1</v>
      </c>
      <c r="F5037" s="12">
        <v>0</v>
      </c>
    </row>
    <row r="5038" spans="3:6">
      <c r="C5038" s="12"/>
      <c r="D5038" s="12"/>
      <c r="E5038" t="b">
        <f t="shared" si="78"/>
        <v>1</v>
      </c>
      <c r="F5038" s="12">
        <v>0</v>
      </c>
    </row>
    <row r="5039" spans="3:6">
      <c r="C5039" s="12"/>
      <c r="D5039" s="12"/>
      <c r="E5039" t="b">
        <f t="shared" si="78"/>
        <v>1</v>
      </c>
      <c r="F5039" s="12">
        <v>0</v>
      </c>
    </row>
    <row r="5040" spans="3:6">
      <c r="C5040" s="12"/>
      <c r="D5040" s="12"/>
      <c r="E5040" t="b">
        <f t="shared" si="78"/>
        <v>1</v>
      </c>
      <c r="F5040" s="12">
        <v>0</v>
      </c>
    </row>
    <row r="5041" spans="3:6">
      <c r="C5041" s="12"/>
      <c r="D5041" s="12"/>
      <c r="E5041" t="b">
        <f t="shared" si="78"/>
        <v>1</v>
      </c>
      <c r="F5041" s="12">
        <v>0</v>
      </c>
    </row>
    <row r="5042" spans="3:6">
      <c r="C5042" s="12"/>
      <c r="D5042" s="12"/>
      <c r="E5042" t="b">
        <f t="shared" si="78"/>
        <v>1</v>
      </c>
      <c r="F5042" s="12">
        <v>0</v>
      </c>
    </row>
    <row r="5043" spans="3:6">
      <c r="C5043" s="12"/>
      <c r="D5043" s="12"/>
      <c r="E5043" t="b">
        <f t="shared" si="78"/>
        <v>1</v>
      </c>
      <c r="F5043" s="12">
        <v>0</v>
      </c>
    </row>
    <row r="5044" spans="3:6">
      <c r="C5044" s="12"/>
      <c r="D5044" s="12"/>
      <c r="E5044" t="b">
        <f t="shared" si="78"/>
        <v>1</v>
      </c>
      <c r="F5044" s="12">
        <v>0</v>
      </c>
    </row>
    <row r="5045" spans="3:6">
      <c r="C5045" s="12"/>
      <c r="D5045" s="12"/>
      <c r="E5045" t="b">
        <f t="shared" si="78"/>
        <v>1</v>
      </c>
      <c r="F5045" s="12">
        <v>0</v>
      </c>
    </row>
    <row r="5046" spans="3:6">
      <c r="C5046" s="12"/>
      <c r="D5046" s="12"/>
      <c r="E5046" t="b">
        <f t="shared" si="78"/>
        <v>1</v>
      </c>
      <c r="F5046" s="12">
        <v>0</v>
      </c>
    </row>
    <row r="5047" spans="3:6">
      <c r="C5047" s="12"/>
      <c r="D5047" s="12"/>
      <c r="E5047" t="b">
        <f t="shared" si="78"/>
        <v>1</v>
      </c>
      <c r="F5047" s="12">
        <v>0</v>
      </c>
    </row>
    <row r="5048" spans="3:6">
      <c r="C5048" s="12"/>
      <c r="D5048" s="12"/>
      <c r="E5048" t="b">
        <f t="shared" si="78"/>
        <v>1</v>
      </c>
      <c r="F5048" s="12">
        <v>0</v>
      </c>
    </row>
    <row r="5049" spans="3:6">
      <c r="C5049" s="12"/>
      <c r="D5049" s="12"/>
      <c r="E5049" t="b">
        <f t="shared" si="78"/>
        <v>1</v>
      </c>
      <c r="F5049" s="12">
        <v>0</v>
      </c>
    </row>
    <row r="5050" spans="3:6">
      <c r="C5050" s="12"/>
      <c r="D5050" s="12"/>
      <c r="E5050" t="b">
        <f t="shared" si="78"/>
        <v>1</v>
      </c>
      <c r="F5050" s="12">
        <v>0</v>
      </c>
    </row>
    <row r="5051" spans="3:6">
      <c r="C5051" s="12"/>
      <c r="D5051" s="12"/>
      <c r="E5051" t="b">
        <f t="shared" si="78"/>
        <v>1</v>
      </c>
      <c r="F5051" s="12">
        <v>0</v>
      </c>
    </row>
    <row r="5052" spans="3:6">
      <c r="C5052" s="12"/>
      <c r="D5052" s="12"/>
      <c r="E5052" t="b">
        <f t="shared" si="78"/>
        <v>1</v>
      </c>
      <c r="F5052" s="12">
        <v>0</v>
      </c>
    </row>
    <row r="5053" spans="3:6">
      <c r="C5053" s="12"/>
      <c r="D5053" s="12"/>
      <c r="E5053" t="b">
        <f t="shared" si="78"/>
        <v>1</v>
      </c>
      <c r="F5053" s="12">
        <v>0</v>
      </c>
    </row>
    <row r="5054" spans="3:6">
      <c r="C5054" s="12"/>
      <c r="D5054" s="12"/>
      <c r="E5054" t="b">
        <f t="shared" si="78"/>
        <v>1</v>
      </c>
      <c r="F5054" s="12">
        <v>0</v>
      </c>
    </row>
    <row r="5055" spans="3:6">
      <c r="C5055" s="12"/>
      <c r="D5055" s="12"/>
      <c r="E5055" t="b">
        <f t="shared" si="78"/>
        <v>1</v>
      </c>
      <c r="F5055" s="12">
        <v>0</v>
      </c>
    </row>
    <row r="5056" spans="3:6">
      <c r="C5056" s="12"/>
      <c r="D5056" s="12"/>
      <c r="E5056" t="b">
        <f t="shared" si="78"/>
        <v>1</v>
      </c>
      <c r="F5056" s="12">
        <v>0</v>
      </c>
    </row>
    <row r="5057" spans="3:6">
      <c r="C5057" s="12"/>
      <c r="D5057" s="12"/>
      <c r="E5057" t="b">
        <f t="shared" si="78"/>
        <v>1</v>
      </c>
      <c r="F5057" s="12">
        <v>0</v>
      </c>
    </row>
    <row r="5058" spans="3:6">
      <c r="C5058" s="12"/>
      <c r="D5058" s="12"/>
      <c r="E5058" t="b">
        <f t="shared" si="78"/>
        <v>1</v>
      </c>
      <c r="F5058" s="12">
        <v>0</v>
      </c>
    </row>
    <row r="5059" spans="3:6">
      <c r="C5059" s="12"/>
      <c r="D5059" s="12"/>
      <c r="E5059" t="b">
        <f t="shared" ref="E5059:E5122" si="79">F5059=C5059</f>
        <v>1</v>
      </c>
      <c r="F5059" s="12">
        <v>0</v>
      </c>
    </row>
    <row r="5060" spans="3:6">
      <c r="C5060" s="12"/>
      <c r="D5060" s="12"/>
      <c r="E5060" t="b">
        <f t="shared" si="79"/>
        <v>1</v>
      </c>
      <c r="F5060" s="12">
        <v>0</v>
      </c>
    </row>
    <row r="5061" spans="3:6">
      <c r="C5061" s="12"/>
      <c r="D5061" s="12"/>
      <c r="E5061" t="b">
        <f t="shared" si="79"/>
        <v>1</v>
      </c>
      <c r="F5061" s="12">
        <v>0</v>
      </c>
    </row>
    <row r="5062" spans="3:6">
      <c r="C5062" s="12"/>
      <c r="D5062" s="12"/>
      <c r="E5062" t="b">
        <f t="shared" si="79"/>
        <v>1</v>
      </c>
      <c r="F5062" s="12">
        <v>0</v>
      </c>
    </row>
    <row r="5063" spans="3:6">
      <c r="C5063" s="12"/>
      <c r="D5063" s="12"/>
      <c r="E5063" t="b">
        <f t="shared" si="79"/>
        <v>1</v>
      </c>
      <c r="F5063" s="12">
        <v>0</v>
      </c>
    </row>
    <row r="5064" spans="3:6">
      <c r="C5064" s="12"/>
      <c r="D5064" s="12"/>
      <c r="E5064" t="b">
        <f t="shared" si="79"/>
        <v>1</v>
      </c>
      <c r="F5064" s="12">
        <v>0</v>
      </c>
    </row>
    <row r="5065" spans="3:6">
      <c r="C5065" s="12"/>
      <c r="D5065" s="12"/>
      <c r="E5065" t="b">
        <f t="shared" si="79"/>
        <v>1</v>
      </c>
      <c r="F5065" s="12">
        <v>0</v>
      </c>
    </row>
    <row r="5066" spans="3:6">
      <c r="C5066" s="12"/>
      <c r="D5066" s="12"/>
      <c r="E5066" t="b">
        <f t="shared" si="79"/>
        <v>1</v>
      </c>
      <c r="F5066" s="12">
        <v>0</v>
      </c>
    </row>
    <row r="5067" spans="3:6">
      <c r="C5067" s="12"/>
      <c r="D5067" s="12"/>
      <c r="E5067" t="b">
        <f t="shared" si="79"/>
        <v>1</v>
      </c>
      <c r="F5067" s="12">
        <v>0</v>
      </c>
    </row>
    <row r="5068" spans="3:6">
      <c r="C5068" s="12"/>
      <c r="D5068" s="12"/>
      <c r="E5068" t="b">
        <f t="shared" si="79"/>
        <v>1</v>
      </c>
      <c r="F5068" s="12">
        <v>0</v>
      </c>
    </row>
    <row r="5069" spans="3:6">
      <c r="C5069" s="12"/>
      <c r="D5069" s="12"/>
      <c r="E5069" t="b">
        <f t="shared" si="79"/>
        <v>1</v>
      </c>
      <c r="F5069" s="12">
        <v>0</v>
      </c>
    </row>
    <row r="5070" spans="3:6">
      <c r="C5070" s="12"/>
      <c r="D5070" s="12"/>
      <c r="E5070" t="b">
        <f t="shared" si="79"/>
        <v>1</v>
      </c>
      <c r="F5070" s="12">
        <v>0</v>
      </c>
    </row>
    <row r="5071" spans="3:6">
      <c r="C5071" s="12"/>
      <c r="D5071" s="12"/>
      <c r="E5071" t="b">
        <f t="shared" si="79"/>
        <v>1</v>
      </c>
      <c r="F5071" s="12">
        <v>0</v>
      </c>
    </row>
    <row r="5072" spans="3:6">
      <c r="C5072" s="12"/>
      <c r="D5072" s="12"/>
      <c r="E5072" t="b">
        <f t="shared" si="79"/>
        <v>1</v>
      </c>
      <c r="F5072" s="12">
        <v>0</v>
      </c>
    </row>
    <row r="5073" spans="3:6">
      <c r="C5073" s="12"/>
      <c r="D5073" s="12"/>
      <c r="E5073" t="b">
        <f t="shared" si="79"/>
        <v>1</v>
      </c>
      <c r="F5073" s="12">
        <v>0</v>
      </c>
    </row>
    <row r="5074" spans="3:6">
      <c r="C5074" s="12"/>
      <c r="D5074" s="12"/>
      <c r="E5074" t="b">
        <f t="shared" si="79"/>
        <v>1</v>
      </c>
      <c r="F5074" s="12">
        <v>0</v>
      </c>
    </row>
    <row r="5075" spans="3:6">
      <c r="C5075" s="12"/>
      <c r="D5075" s="12"/>
      <c r="E5075" t="b">
        <f t="shared" si="79"/>
        <v>1</v>
      </c>
      <c r="F5075" s="12">
        <v>0</v>
      </c>
    </row>
    <row r="5076" spans="3:6">
      <c r="C5076" s="12"/>
      <c r="D5076" s="12"/>
      <c r="E5076" t="b">
        <f t="shared" si="79"/>
        <v>1</v>
      </c>
      <c r="F5076" s="12">
        <v>0</v>
      </c>
    </row>
    <row r="5077" spans="3:6">
      <c r="C5077" s="12"/>
      <c r="D5077" s="12"/>
      <c r="E5077" t="b">
        <f t="shared" si="79"/>
        <v>1</v>
      </c>
      <c r="F5077" s="12">
        <v>0</v>
      </c>
    </row>
    <row r="5078" spans="3:6">
      <c r="C5078" s="12"/>
      <c r="D5078" s="12"/>
      <c r="E5078" t="b">
        <f t="shared" si="79"/>
        <v>1</v>
      </c>
      <c r="F5078" s="12">
        <v>0</v>
      </c>
    </row>
    <row r="5079" spans="3:6">
      <c r="C5079" s="12"/>
      <c r="D5079" s="12"/>
      <c r="E5079" t="b">
        <f t="shared" si="79"/>
        <v>1</v>
      </c>
      <c r="F5079" s="12">
        <v>0</v>
      </c>
    </row>
    <row r="5080" spans="3:6">
      <c r="C5080" s="12"/>
      <c r="D5080" s="12"/>
      <c r="E5080" t="b">
        <f t="shared" si="79"/>
        <v>1</v>
      </c>
      <c r="F5080" s="12">
        <v>0</v>
      </c>
    </row>
    <row r="5081" spans="3:6">
      <c r="C5081" s="12"/>
      <c r="D5081" s="12"/>
      <c r="E5081" t="b">
        <f t="shared" si="79"/>
        <v>1</v>
      </c>
      <c r="F5081" s="12">
        <v>0</v>
      </c>
    </row>
    <row r="5082" spans="3:6">
      <c r="C5082" s="12"/>
      <c r="D5082" s="12"/>
      <c r="E5082" t="b">
        <f t="shared" si="79"/>
        <v>1</v>
      </c>
      <c r="F5082" s="12">
        <v>0</v>
      </c>
    </row>
    <row r="5083" spans="3:6">
      <c r="C5083" s="12"/>
      <c r="D5083" s="12"/>
      <c r="E5083" t="b">
        <f t="shared" si="79"/>
        <v>1</v>
      </c>
      <c r="F5083" s="12">
        <v>0</v>
      </c>
    </row>
    <row r="5084" spans="3:6">
      <c r="C5084" s="12"/>
      <c r="D5084" s="12"/>
      <c r="E5084" t="b">
        <f t="shared" si="79"/>
        <v>1</v>
      </c>
      <c r="F5084" s="12">
        <v>0</v>
      </c>
    </row>
    <row r="5085" spans="3:6">
      <c r="C5085" s="12"/>
      <c r="D5085" s="12"/>
      <c r="E5085" t="b">
        <f t="shared" si="79"/>
        <v>1</v>
      </c>
      <c r="F5085" s="12">
        <v>0</v>
      </c>
    </row>
    <row r="5086" spans="3:6">
      <c r="C5086" s="12"/>
      <c r="D5086" s="12"/>
      <c r="E5086" t="b">
        <f t="shared" si="79"/>
        <v>1</v>
      </c>
      <c r="F5086" s="12">
        <v>0</v>
      </c>
    </row>
    <row r="5087" spans="3:6">
      <c r="C5087" s="12"/>
      <c r="D5087" s="12"/>
      <c r="E5087" t="b">
        <f t="shared" si="79"/>
        <v>1</v>
      </c>
      <c r="F5087" s="12">
        <v>0</v>
      </c>
    </row>
    <row r="5088" spans="3:6">
      <c r="C5088" s="12"/>
      <c r="D5088" s="12"/>
      <c r="E5088" t="b">
        <f t="shared" si="79"/>
        <v>1</v>
      </c>
      <c r="F5088" s="12">
        <v>0</v>
      </c>
    </row>
    <row r="5089" spans="3:6">
      <c r="C5089" s="12"/>
      <c r="D5089" s="12"/>
      <c r="E5089" t="b">
        <f t="shared" si="79"/>
        <v>1</v>
      </c>
      <c r="F5089" s="12">
        <v>0</v>
      </c>
    </row>
    <row r="5090" spans="3:6">
      <c r="C5090" s="12"/>
      <c r="D5090" s="12"/>
      <c r="E5090" t="b">
        <f t="shared" si="79"/>
        <v>1</v>
      </c>
      <c r="F5090" s="12">
        <v>0</v>
      </c>
    </row>
    <row r="5091" spans="3:6">
      <c r="C5091" s="12"/>
      <c r="D5091" s="12"/>
      <c r="E5091" t="b">
        <f t="shared" si="79"/>
        <v>1</v>
      </c>
      <c r="F5091" s="12">
        <v>0</v>
      </c>
    </row>
    <row r="5092" spans="3:6">
      <c r="C5092" s="12"/>
      <c r="D5092" s="12"/>
      <c r="E5092" t="b">
        <f t="shared" si="79"/>
        <v>1</v>
      </c>
      <c r="F5092" s="12">
        <v>0</v>
      </c>
    </row>
    <row r="5093" spans="3:6">
      <c r="C5093" s="12"/>
      <c r="D5093" s="12"/>
      <c r="E5093" t="b">
        <f t="shared" si="79"/>
        <v>1</v>
      </c>
      <c r="F5093" s="12">
        <v>0</v>
      </c>
    </row>
    <row r="5094" spans="3:6">
      <c r="C5094" s="12"/>
      <c r="D5094" s="12"/>
      <c r="E5094" t="b">
        <f t="shared" si="79"/>
        <v>1</v>
      </c>
      <c r="F5094" s="12">
        <v>0</v>
      </c>
    </row>
    <row r="5095" spans="3:6">
      <c r="C5095" s="12"/>
      <c r="D5095" s="12"/>
      <c r="E5095" t="b">
        <f t="shared" si="79"/>
        <v>1</v>
      </c>
      <c r="F5095" s="12">
        <v>0</v>
      </c>
    </row>
    <row r="5096" spans="3:6">
      <c r="C5096" s="12"/>
      <c r="D5096" s="12"/>
      <c r="E5096" t="b">
        <f t="shared" si="79"/>
        <v>1</v>
      </c>
      <c r="F5096" s="12">
        <v>0</v>
      </c>
    </row>
    <row r="5097" spans="3:6">
      <c r="C5097" s="12"/>
      <c r="D5097" s="12"/>
      <c r="E5097" t="b">
        <f t="shared" si="79"/>
        <v>1</v>
      </c>
      <c r="F5097" s="12">
        <v>0</v>
      </c>
    </row>
    <row r="5098" spans="3:6">
      <c r="C5098" s="12"/>
      <c r="D5098" s="12"/>
      <c r="E5098" t="b">
        <f t="shared" si="79"/>
        <v>1</v>
      </c>
      <c r="F5098" s="12">
        <v>0</v>
      </c>
    </row>
    <row r="5099" spans="3:6">
      <c r="C5099" s="12"/>
      <c r="D5099" s="12"/>
      <c r="E5099" t="b">
        <f t="shared" si="79"/>
        <v>1</v>
      </c>
      <c r="F5099" s="12">
        <v>0</v>
      </c>
    </row>
    <row r="5100" spans="3:6">
      <c r="C5100" s="12"/>
      <c r="D5100" s="12"/>
      <c r="E5100" t="b">
        <f t="shared" si="79"/>
        <v>1</v>
      </c>
      <c r="F5100" s="12">
        <v>0</v>
      </c>
    </row>
    <row r="5101" spans="3:6">
      <c r="C5101" s="12"/>
      <c r="D5101" s="12"/>
      <c r="E5101" t="b">
        <f t="shared" si="79"/>
        <v>1</v>
      </c>
      <c r="F5101" s="12">
        <v>0</v>
      </c>
    </row>
    <row r="5102" spans="3:6">
      <c r="C5102" s="12"/>
      <c r="D5102" s="12"/>
      <c r="E5102" t="b">
        <f t="shared" si="79"/>
        <v>1</v>
      </c>
      <c r="F5102" s="12">
        <v>0</v>
      </c>
    </row>
    <row r="5103" spans="3:6">
      <c r="C5103" s="12"/>
      <c r="D5103" s="12"/>
      <c r="E5103" t="b">
        <f t="shared" si="79"/>
        <v>1</v>
      </c>
      <c r="F5103" s="12">
        <v>0</v>
      </c>
    </row>
    <row r="5104" spans="3:6">
      <c r="C5104" s="12"/>
      <c r="D5104" s="12"/>
      <c r="E5104" t="b">
        <f t="shared" si="79"/>
        <v>1</v>
      </c>
      <c r="F5104" s="12">
        <v>0</v>
      </c>
    </row>
    <row r="5105" spans="3:6">
      <c r="C5105" s="12"/>
      <c r="D5105" s="12"/>
      <c r="E5105" t="b">
        <f t="shared" si="79"/>
        <v>1</v>
      </c>
      <c r="F5105" s="12">
        <v>0</v>
      </c>
    </row>
    <row r="5106" spans="3:6">
      <c r="C5106" s="12"/>
      <c r="D5106" s="12"/>
      <c r="E5106" t="b">
        <f t="shared" si="79"/>
        <v>1</v>
      </c>
      <c r="F5106" s="12">
        <v>0</v>
      </c>
    </row>
    <row r="5107" spans="3:6">
      <c r="C5107" s="12"/>
      <c r="D5107" s="12"/>
      <c r="E5107" t="b">
        <f t="shared" si="79"/>
        <v>1</v>
      </c>
      <c r="F5107" s="12">
        <v>0</v>
      </c>
    </row>
    <row r="5108" spans="3:6">
      <c r="C5108" s="12"/>
      <c r="D5108" s="12"/>
      <c r="E5108" t="b">
        <f t="shared" si="79"/>
        <v>1</v>
      </c>
      <c r="F5108" s="12">
        <v>0</v>
      </c>
    </row>
    <row r="5109" spans="3:6">
      <c r="C5109" s="12"/>
      <c r="D5109" s="12"/>
      <c r="E5109" t="b">
        <f t="shared" si="79"/>
        <v>1</v>
      </c>
      <c r="F5109" s="12">
        <v>0</v>
      </c>
    </row>
    <row r="5110" spans="3:6">
      <c r="C5110" s="12"/>
      <c r="D5110" s="12"/>
      <c r="E5110" t="b">
        <f t="shared" si="79"/>
        <v>1</v>
      </c>
      <c r="F5110" s="12">
        <v>0</v>
      </c>
    </row>
    <row r="5111" spans="3:6">
      <c r="C5111" s="12"/>
      <c r="D5111" s="12"/>
      <c r="E5111" t="b">
        <f t="shared" si="79"/>
        <v>1</v>
      </c>
      <c r="F5111" s="12">
        <v>0</v>
      </c>
    </row>
    <row r="5112" spans="3:6">
      <c r="C5112" s="12"/>
      <c r="D5112" s="12"/>
      <c r="E5112" t="b">
        <f t="shared" si="79"/>
        <v>1</v>
      </c>
      <c r="F5112" s="12">
        <v>0</v>
      </c>
    </row>
    <row r="5113" spans="3:6">
      <c r="C5113" s="12"/>
      <c r="D5113" s="12"/>
      <c r="E5113" t="b">
        <f t="shared" si="79"/>
        <v>1</v>
      </c>
      <c r="F5113" s="12">
        <v>0</v>
      </c>
    </row>
    <row r="5114" spans="3:6">
      <c r="C5114" s="12"/>
      <c r="D5114" s="12"/>
      <c r="E5114" t="b">
        <f t="shared" si="79"/>
        <v>1</v>
      </c>
      <c r="F5114" s="12">
        <v>0</v>
      </c>
    </row>
    <row r="5115" spans="3:6">
      <c r="C5115" s="12"/>
      <c r="D5115" s="12"/>
      <c r="E5115" t="b">
        <f t="shared" si="79"/>
        <v>1</v>
      </c>
      <c r="F5115" s="12">
        <v>0</v>
      </c>
    </row>
    <row r="5116" spans="3:6">
      <c r="C5116" s="12"/>
      <c r="D5116" s="12"/>
      <c r="E5116" t="b">
        <f t="shared" si="79"/>
        <v>1</v>
      </c>
      <c r="F5116" s="12">
        <v>0</v>
      </c>
    </row>
    <row r="5117" spans="3:6">
      <c r="C5117" s="12"/>
      <c r="D5117" s="12"/>
      <c r="E5117" t="b">
        <f t="shared" si="79"/>
        <v>1</v>
      </c>
      <c r="F5117" s="12">
        <v>0</v>
      </c>
    </row>
    <row r="5118" spans="3:6">
      <c r="C5118" s="12"/>
      <c r="D5118" s="12"/>
      <c r="E5118" t="b">
        <f t="shared" si="79"/>
        <v>1</v>
      </c>
      <c r="F5118" s="12">
        <v>0</v>
      </c>
    </row>
    <row r="5119" spans="3:6">
      <c r="C5119" s="12"/>
      <c r="D5119" s="12"/>
      <c r="E5119" t="b">
        <f t="shared" si="79"/>
        <v>1</v>
      </c>
      <c r="F5119" s="12">
        <v>0</v>
      </c>
    </row>
    <row r="5120" spans="3:6">
      <c r="C5120" s="12"/>
      <c r="D5120" s="12"/>
      <c r="E5120" t="b">
        <f t="shared" si="79"/>
        <v>1</v>
      </c>
      <c r="F5120" s="12">
        <v>0</v>
      </c>
    </row>
    <row r="5121" spans="3:6">
      <c r="C5121" s="12"/>
      <c r="D5121" s="12"/>
      <c r="E5121" t="b">
        <f t="shared" si="79"/>
        <v>1</v>
      </c>
      <c r="F5121" s="12">
        <v>0</v>
      </c>
    </row>
    <row r="5122" spans="3:6">
      <c r="C5122" s="12"/>
      <c r="D5122" s="12"/>
      <c r="E5122" t="b">
        <f t="shared" si="79"/>
        <v>1</v>
      </c>
      <c r="F5122" s="12">
        <v>0</v>
      </c>
    </row>
    <row r="5123" spans="3:6">
      <c r="C5123" s="12"/>
      <c r="D5123" s="12"/>
      <c r="E5123" t="b">
        <f t="shared" ref="E5123:E5186" si="80">F5123=C5123</f>
        <v>1</v>
      </c>
      <c r="F5123" s="12">
        <v>0</v>
      </c>
    </row>
    <row r="5124" spans="3:6">
      <c r="C5124" s="12"/>
      <c r="D5124" s="12"/>
      <c r="E5124" t="b">
        <f t="shared" si="80"/>
        <v>1</v>
      </c>
      <c r="F5124" s="12">
        <v>0</v>
      </c>
    </row>
    <row r="5125" spans="3:6">
      <c r="C5125" s="12"/>
      <c r="D5125" s="12"/>
      <c r="E5125" t="b">
        <f t="shared" si="80"/>
        <v>1</v>
      </c>
      <c r="F5125" s="12">
        <v>0</v>
      </c>
    </row>
    <row r="5126" spans="3:6">
      <c r="C5126" s="12"/>
      <c r="D5126" s="12"/>
      <c r="E5126" t="b">
        <f t="shared" si="80"/>
        <v>1</v>
      </c>
      <c r="F5126" s="12">
        <v>0</v>
      </c>
    </row>
    <row r="5127" spans="3:6">
      <c r="C5127" s="12"/>
      <c r="D5127" s="12"/>
      <c r="E5127" t="b">
        <f t="shared" si="80"/>
        <v>1</v>
      </c>
      <c r="F5127" s="12">
        <v>0</v>
      </c>
    </row>
    <row r="5128" spans="3:6">
      <c r="C5128" s="12"/>
      <c r="D5128" s="12"/>
      <c r="E5128" t="b">
        <f t="shared" si="80"/>
        <v>1</v>
      </c>
      <c r="F5128" s="12">
        <v>0</v>
      </c>
    </row>
    <row r="5129" spans="3:6">
      <c r="C5129" s="12"/>
      <c r="D5129" s="12"/>
      <c r="E5129" t="b">
        <f t="shared" si="80"/>
        <v>1</v>
      </c>
      <c r="F5129" s="12">
        <v>0</v>
      </c>
    </row>
    <row r="5130" spans="3:6">
      <c r="C5130" s="12"/>
      <c r="D5130" s="12"/>
      <c r="E5130" t="b">
        <f t="shared" si="80"/>
        <v>1</v>
      </c>
      <c r="F5130" s="12">
        <v>0</v>
      </c>
    </row>
    <row r="5131" spans="3:6">
      <c r="C5131" s="12"/>
      <c r="D5131" s="12"/>
      <c r="E5131" t="b">
        <f t="shared" si="80"/>
        <v>1</v>
      </c>
      <c r="F5131" s="12">
        <v>0</v>
      </c>
    </row>
    <row r="5132" spans="3:6">
      <c r="C5132" s="12"/>
      <c r="D5132" s="12"/>
      <c r="E5132" t="b">
        <f t="shared" si="80"/>
        <v>1</v>
      </c>
      <c r="F5132" s="12">
        <v>0</v>
      </c>
    </row>
    <row r="5133" spans="3:6">
      <c r="C5133" s="12"/>
      <c r="D5133" s="12"/>
      <c r="E5133" t="b">
        <f t="shared" si="80"/>
        <v>1</v>
      </c>
      <c r="F5133" s="12">
        <v>0</v>
      </c>
    </row>
    <row r="5134" spans="3:6">
      <c r="C5134" s="12"/>
      <c r="D5134" s="12"/>
      <c r="E5134" t="b">
        <f t="shared" si="80"/>
        <v>1</v>
      </c>
      <c r="F5134" s="12">
        <v>0</v>
      </c>
    </row>
    <row r="5135" spans="3:6">
      <c r="C5135" s="12"/>
      <c r="D5135" s="12"/>
      <c r="E5135" t="b">
        <f t="shared" si="80"/>
        <v>1</v>
      </c>
      <c r="F5135" s="12">
        <v>0</v>
      </c>
    </row>
    <row r="5136" spans="3:6">
      <c r="C5136" s="12"/>
      <c r="D5136" s="12"/>
      <c r="E5136" t="b">
        <f t="shared" si="80"/>
        <v>1</v>
      </c>
      <c r="F5136" s="12">
        <v>0</v>
      </c>
    </row>
    <row r="5137" spans="3:6">
      <c r="C5137" s="12"/>
      <c r="D5137" s="12"/>
      <c r="E5137" t="b">
        <f t="shared" si="80"/>
        <v>1</v>
      </c>
      <c r="F5137" s="12">
        <v>0</v>
      </c>
    </row>
    <row r="5138" spans="3:6">
      <c r="C5138" s="12"/>
      <c r="D5138" s="12"/>
      <c r="E5138" t="b">
        <f t="shared" si="80"/>
        <v>1</v>
      </c>
      <c r="F5138" s="12">
        <v>0</v>
      </c>
    </row>
    <row r="5139" spans="3:6">
      <c r="C5139" s="12"/>
      <c r="D5139" s="12"/>
      <c r="E5139" t="b">
        <f t="shared" si="80"/>
        <v>1</v>
      </c>
      <c r="F5139" s="12">
        <v>0</v>
      </c>
    </row>
    <row r="5140" spans="3:6">
      <c r="C5140" s="12"/>
      <c r="D5140" s="12"/>
      <c r="E5140" t="b">
        <f t="shared" si="80"/>
        <v>1</v>
      </c>
      <c r="F5140" s="12">
        <v>0</v>
      </c>
    </row>
    <row r="5141" spans="3:6">
      <c r="C5141" s="12"/>
      <c r="D5141" s="12"/>
      <c r="E5141" t="b">
        <f t="shared" si="80"/>
        <v>1</v>
      </c>
      <c r="F5141" s="12">
        <v>0</v>
      </c>
    </row>
    <row r="5142" spans="3:6">
      <c r="C5142" s="12"/>
      <c r="D5142" s="12"/>
      <c r="E5142" t="b">
        <f t="shared" si="80"/>
        <v>1</v>
      </c>
      <c r="F5142" s="12">
        <v>0</v>
      </c>
    </row>
    <row r="5143" spans="3:6">
      <c r="C5143" s="12"/>
      <c r="D5143" s="12"/>
      <c r="E5143" t="b">
        <f t="shared" si="80"/>
        <v>1</v>
      </c>
      <c r="F5143" s="12">
        <v>0</v>
      </c>
    </row>
    <row r="5144" spans="3:6">
      <c r="C5144" s="12"/>
      <c r="D5144" s="12"/>
      <c r="E5144" t="b">
        <f t="shared" si="80"/>
        <v>1</v>
      </c>
      <c r="F5144" s="12">
        <v>0</v>
      </c>
    </row>
    <row r="5145" spans="3:6">
      <c r="C5145" s="12"/>
      <c r="D5145" s="12"/>
      <c r="E5145" t="b">
        <f t="shared" si="80"/>
        <v>1</v>
      </c>
      <c r="F5145" s="12">
        <v>0</v>
      </c>
    </row>
    <row r="5146" spans="3:6">
      <c r="C5146" s="12"/>
      <c r="D5146" s="12"/>
      <c r="E5146" t="b">
        <f t="shared" si="80"/>
        <v>1</v>
      </c>
      <c r="F5146" s="12">
        <v>0</v>
      </c>
    </row>
    <row r="5147" spans="3:6">
      <c r="C5147" s="12"/>
      <c r="D5147" s="12"/>
      <c r="E5147" t="b">
        <f t="shared" si="80"/>
        <v>1</v>
      </c>
      <c r="F5147" s="12">
        <v>0</v>
      </c>
    </row>
    <row r="5148" spans="3:6">
      <c r="C5148" s="12"/>
      <c r="D5148" s="12"/>
      <c r="E5148" t="b">
        <f t="shared" si="80"/>
        <v>1</v>
      </c>
      <c r="F5148" s="12">
        <v>0</v>
      </c>
    </row>
    <row r="5149" spans="3:6">
      <c r="C5149" s="12"/>
      <c r="D5149" s="12"/>
      <c r="E5149" t="b">
        <f t="shared" si="80"/>
        <v>1</v>
      </c>
      <c r="F5149" s="12">
        <v>0</v>
      </c>
    </row>
    <row r="5150" spans="3:6">
      <c r="C5150" s="12"/>
      <c r="D5150" s="12"/>
      <c r="E5150" t="b">
        <f t="shared" si="80"/>
        <v>1</v>
      </c>
      <c r="F5150" s="12">
        <v>0</v>
      </c>
    </row>
    <row r="5151" spans="3:6">
      <c r="C5151" s="12"/>
      <c r="D5151" s="12"/>
      <c r="E5151" t="b">
        <f t="shared" si="80"/>
        <v>1</v>
      </c>
      <c r="F5151" s="12">
        <v>0</v>
      </c>
    </row>
    <row r="5152" spans="3:6">
      <c r="C5152" s="12"/>
      <c r="D5152" s="12"/>
      <c r="E5152" t="b">
        <f t="shared" si="80"/>
        <v>1</v>
      </c>
      <c r="F5152" s="12">
        <v>0</v>
      </c>
    </row>
    <row r="5153" spans="3:6">
      <c r="C5153" s="12"/>
      <c r="D5153" s="12"/>
      <c r="E5153" t="b">
        <f t="shared" si="80"/>
        <v>1</v>
      </c>
      <c r="F5153" s="12">
        <v>0</v>
      </c>
    </row>
    <row r="5154" spans="3:6">
      <c r="C5154" s="12"/>
      <c r="D5154" s="12"/>
      <c r="E5154" t="b">
        <f t="shared" si="80"/>
        <v>1</v>
      </c>
      <c r="F5154" s="12">
        <v>0</v>
      </c>
    </row>
    <row r="5155" spans="3:6">
      <c r="C5155" s="12"/>
      <c r="D5155" s="12"/>
      <c r="E5155" t="b">
        <f t="shared" si="80"/>
        <v>1</v>
      </c>
      <c r="F5155" s="12">
        <v>0</v>
      </c>
    </row>
    <row r="5156" spans="3:6">
      <c r="C5156" s="12"/>
      <c r="D5156" s="12"/>
      <c r="E5156" t="b">
        <f t="shared" si="80"/>
        <v>1</v>
      </c>
      <c r="F5156" s="12">
        <v>0</v>
      </c>
    </row>
    <row r="5157" spans="3:6">
      <c r="C5157" s="12"/>
      <c r="D5157" s="12"/>
      <c r="E5157" t="b">
        <f t="shared" si="80"/>
        <v>1</v>
      </c>
      <c r="F5157" s="12">
        <v>0</v>
      </c>
    </row>
    <row r="5158" spans="3:6">
      <c r="C5158" s="12"/>
      <c r="D5158" s="12"/>
      <c r="E5158" t="b">
        <f t="shared" si="80"/>
        <v>1</v>
      </c>
      <c r="F5158" s="12">
        <v>0</v>
      </c>
    </row>
    <row r="5159" spans="3:6">
      <c r="C5159" s="12"/>
      <c r="D5159" s="12"/>
      <c r="E5159" t="b">
        <f t="shared" si="80"/>
        <v>1</v>
      </c>
      <c r="F5159" s="12">
        <v>0</v>
      </c>
    </row>
    <row r="5160" spans="3:6">
      <c r="C5160" s="12"/>
      <c r="D5160" s="12"/>
      <c r="E5160" t="b">
        <f t="shared" si="80"/>
        <v>1</v>
      </c>
      <c r="F5160" s="12">
        <v>0</v>
      </c>
    </row>
    <row r="5161" spans="3:6">
      <c r="C5161" s="12"/>
      <c r="D5161" s="12"/>
      <c r="E5161" t="b">
        <f t="shared" si="80"/>
        <v>1</v>
      </c>
      <c r="F5161" s="12">
        <v>0</v>
      </c>
    </row>
    <row r="5162" spans="3:6">
      <c r="C5162" s="12"/>
      <c r="D5162" s="12"/>
      <c r="E5162" t="b">
        <f t="shared" si="80"/>
        <v>1</v>
      </c>
      <c r="F5162" s="12">
        <v>0</v>
      </c>
    </row>
    <row r="5163" spans="3:6">
      <c r="C5163" s="12"/>
      <c r="D5163" s="12"/>
      <c r="E5163" t="b">
        <f t="shared" si="80"/>
        <v>1</v>
      </c>
      <c r="F5163" s="12">
        <v>0</v>
      </c>
    </row>
    <row r="5164" spans="3:6">
      <c r="C5164" s="12"/>
      <c r="D5164" s="12"/>
      <c r="E5164" t="b">
        <f t="shared" si="80"/>
        <v>1</v>
      </c>
      <c r="F5164" s="12">
        <v>0</v>
      </c>
    </row>
    <row r="5165" spans="3:6">
      <c r="C5165" s="12"/>
      <c r="D5165" s="12"/>
      <c r="E5165" t="b">
        <f t="shared" si="80"/>
        <v>1</v>
      </c>
      <c r="F5165" s="12">
        <v>0</v>
      </c>
    </row>
    <row r="5166" spans="3:6">
      <c r="C5166" s="12"/>
      <c r="D5166" s="12"/>
      <c r="E5166" t="b">
        <f t="shared" si="80"/>
        <v>1</v>
      </c>
      <c r="F5166" s="12">
        <v>0</v>
      </c>
    </row>
    <row r="5167" spans="3:6">
      <c r="C5167" s="12"/>
      <c r="D5167" s="12"/>
      <c r="E5167" t="b">
        <f t="shared" si="80"/>
        <v>1</v>
      </c>
      <c r="F5167" s="12">
        <v>0</v>
      </c>
    </row>
    <row r="5168" spans="3:6">
      <c r="C5168" s="12"/>
      <c r="D5168" s="12"/>
      <c r="E5168" t="b">
        <f t="shared" si="80"/>
        <v>1</v>
      </c>
      <c r="F5168" s="12">
        <v>0</v>
      </c>
    </row>
    <row r="5169" spans="3:6">
      <c r="C5169" s="12"/>
      <c r="D5169" s="12"/>
      <c r="E5169" t="b">
        <f t="shared" si="80"/>
        <v>1</v>
      </c>
      <c r="F5169" s="12">
        <v>0</v>
      </c>
    </row>
    <row r="5170" spans="3:6">
      <c r="C5170" s="12"/>
      <c r="D5170" s="12"/>
      <c r="E5170" t="b">
        <f t="shared" si="80"/>
        <v>1</v>
      </c>
      <c r="F5170" s="12">
        <v>0</v>
      </c>
    </row>
    <row r="5171" spans="3:6">
      <c r="C5171" s="12"/>
      <c r="D5171" s="12"/>
      <c r="E5171" t="b">
        <f t="shared" si="80"/>
        <v>1</v>
      </c>
      <c r="F5171" s="12">
        <v>0</v>
      </c>
    </row>
    <row r="5172" spans="3:6">
      <c r="C5172" s="12"/>
      <c r="D5172" s="12"/>
      <c r="E5172" t="b">
        <f t="shared" si="80"/>
        <v>1</v>
      </c>
      <c r="F5172" s="12">
        <v>0</v>
      </c>
    </row>
    <row r="5173" spans="3:6">
      <c r="C5173" s="12"/>
      <c r="D5173" s="12"/>
      <c r="E5173" t="b">
        <f t="shared" si="80"/>
        <v>1</v>
      </c>
      <c r="F5173" s="12">
        <v>0</v>
      </c>
    </row>
    <row r="5174" spans="3:6">
      <c r="C5174" s="12"/>
      <c r="D5174" s="12"/>
      <c r="E5174" t="b">
        <f t="shared" si="80"/>
        <v>1</v>
      </c>
      <c r="F5174" s="12">
        <v>0</v>
      </c>
    </row>
    <row r="5175" spans="3:6">
      <c r="C5175" s="12"/>
      <c r="D5175" s="12"/>
      <c r="E5175" t="b">
        <f t="shared" si="80"/>
        <v>1</v>
      </c>
      <c r="F5175" s="12">
        <v>0</v>
      </c>
    </row>
    <row r="5176" spans="3:6">
      <c r="C5176" s="12"/>
      <c r="D5176" s="12"/>
      <c r="E5176" t="b">
        <f t="shared" si="80"/>
        <v>1</v>
      </c>
      <c r="F5176" s="12">
        <v>0</v>
      </c>
    </row>
    <row r="5177" spans="3:6">
      <c r="C5177" s="12"/>
      <c r="D5177" s="12"/>
      <c r="E5177" t="b">
        <f t="shared" si="80"/>
        <v>1</v>
      </c>
      <c r="F5177" s="12">
        <v>0</v>
      </c>
    </row>
    <row r="5178" spans="3:6">
      <c r="C5178" s="12"/>
      <c r="D5178" s="12"/>
      <c r="E5178" t="b">
        <f t="shared" si="80"/>
        <v>1</v>
      </c>
      <c r="F5178" s="12">
        <v>0</v>
      </c>
    </row>
    <row r="5179" spans="3:6">
      <c r="C5179" s="12"/>
      <c r="D5179" s="12"/>
      <c r="E5179" t="b">
        <f t="shared" si="80"/>
        <v>1</v>
      </c>
      <c r="F5179" s="12">
        <v>0</v>
      </c>
    </row>
    <row r="5180" spans="3:6">
      <c r="C5180" s="12"/>
      <c r="D5180" s="12"/>
      <c r="E5180" t="b">
        <f t="shared" si="80"/>
        <v>1</v>
      </c>
      <c r="F5180" s="12">
        <v>0</v>
      </c>
    </row>
    <row r="5181" spans="3:6">
      <c r="C5181" s="12"/>
      <c r="D5181" s="12"/>
      <c r="E5181" t="b">
        <f t="shared" si="80"/>
        <v>1</v>
      </c>
      <c r="F5181" s="12">
        <v>0</v>
      </c>
    </row>
    <row r="5182" spans="3:6">
      <c r="C5182" s="12"/>
      <c r="D5182" s="12"/>
      <c r="E5182" t="b">
        <f t="shared" si="80"/>
        <v>1</v>
      </c>
      <c r="F5182" s="12">
        <v>0</v>
      </c>
    </row>
    <row r="5183" spans="3:6">
      <c r="C5183" s="12"/>
      <c r="D5183" s="12"/>
      <c r="E5183" t="b">
        <f t="shared" si="80"/>
        <v>1</v>
      </c>
      <c r="F5183" s="12">
        <v>0</v>
      </c>
    </row>
    <row r="5184" spans="3:6">
      <c r="C5184" s="12"/>
      <c r="D5184" s="12"/>
      <c r="E5184" t="b">
        <f t="shared" si="80"/>
        <v>1</v>
      </c>
      <c r="F5184" s="12">
        <v>0</v>
      </c>
    </row>
    <row r="5185" spans="3:6">
      <c r="C5185" s="12"/>
      <c r="D5185" s="12"/>
      <c r="E5185" t="b">
        <f t="shared" si="80"/>
        <v>1</v>
      </c>
      <c r="F5185" s="12">
        <v>0</v>
      </c>
    </row>
    <row r="5186" spans="3:6">
      <c r="C5186" s="12"/>
      <c r="D5186" s="12"/>
      <c r="E5186" t="b">
        <f t="shared" si="80"/>
        <v>1</v>
      </c>
      <c r="F5186" s="12">
        <v>0</v>
      </c>
    </row>
    <row r="5187" spans="3:6">
      <c r="C5187" s="12"/>
      <c r="D5187" s="12"/>
      <c r="E5187" t="b">
        <f t="shared" ref="E5187:E5250" si="81">F5187=C5187</f>
        <v>1</v>
      </c>
      <c r="F5187" s="12">
        <v>0</v>
      </c>
    </row>
    <row r="5188" spans="3:6">
      <c r="C5188" s="12"/>
      <c r="D5188" s="12"/>
      <c r="E5188" t="b">
        <f t="shared" si="81"/>
        <v>1</v>
      </c>
      <c r="F5188" s="12">
        <v>0</v>
      </c>
    </row>
    <row r="5189" spans="3:6">
      <c r="C5189" s="12"/>
      <c r="D5189" s="12"/>
      <c r="E5189" t="b">
        <f t="shared" si="81"/>
        <v>1</v>
      </c>
      <c r="F5189" s="12">
        <v>0</v>
      </c>
    </row>
    <row r="5190" spans="3:6">
      <c r="C5190" s="12"/>
      <c r="D5190" s="12"/>
      <c r="E5190" t="b">
        <f t="shared" si="81"/>
        <v>1</v>
      </c>
      <c r="F5190" s="12">
        <v>0</v>
      </c>
    </row>
    <row r="5191" spans="3:6">
      <c r="C5191" s="12"/>
      <c r="D5191" s="12"/>
      <c r="E5191" t="b">
        <f t="shared" si="81"/>
        <v>1</v>
      </c>
      <c r="F5191" s="12">
        <v>0</v>
      </c>
    </row>
    <row r="5192" spans="3:6">
      <c r="C5192" s="12"/>
      <c r="D5192" s="12"/>
      <c r="E5192" t="b">
        <f t="shared" si="81"/>
        <v>1</v>
      </c>
      <c r="F5192" s="12">
        <v>0</v>
      </c>
    </row>
    <row r="5193" spans="3:6">
      <c r="C5193" s="12"/>
      <c r="D5193" s="12"/>
      <c r="E5193" t="b">
        <f t="shared" si="81"/>
        <v>1</v>
      </c>
      <c r="F5193" s="12">
        <v>0</v>
      </c>
    </row>
    <row r="5194" spans="3:6">
      <c r="C5194" s="12"/>
      <c r="D5194" s="12"/>
      <c r="E5194" t="b">
        <f t="shared" si="81"/>
        <v>1</v>
      </c>
      <c r="F5194" s="12">
        <v>0</v>
      </c>
    </row>
    <row r="5195" spans="3:6">
      <c r="C5195" s="12"/>
      <c r="D5195" s="12"/>
      <c r="E5195" t="b">
        <f t="shared" si="81"/>
        <v>1</v>
      </c>
      <c r="F5195" s="12">
        <v>0</v>
      </c>
    </row>
    <row r="5196" spans="3:6">
      <c r="C5196" s="12"/>
      <c r="D5196" s="12"/>
      <c r="E5196" t="b">
        <f t="shared" si="81"/>
        <v>1</v>
      </c>
      <c r="F5196" s="12">
        <v>0</v>
      </c>
    </row>
    <row r="5197" spans="3:6">
      <c r="C5197" s="12"/>
      <c r="D5197" s="12"/>
      <c r="E5197" t="b">
        <f t="shared" si="81"/>
        <v>1</v>
      </c>
      <c r="F5197" s="12">
        <v>0</v>
      </c>
    </row>
    <row r="5198" spans="3:6">
      <c r="C5198" s="12"/>
      <c r="D5198" s="12"/>
      <c r="E5198" t="b">
        <f t="shared" si="81"/>
        <v>1</v>
      </c>
      <c r="F5198" s="12">
        <v>0</v>
      </c>
    </row>
    <row r="5199" spans="3:6">
      <c r="C5199" s="12"/>
      <c r="D5199" s="12"/>
      <c r="E5199" t="b">
        <f t="shared" si="81"/>
        <v>1</v>
      </c>
      <c r="F5199" s="12">
        <v>0</v>
      </c>
    </row>
    <row r="5200" spans="3:6">
      <c r="C5200" s="12"/>
      <c r="D5200" s="12"/>
      <c r="E5200" t="b">
        <f t="shared" si="81"/>
        <v>1</v>
      </c>
      <c r="F5200" s="12">
        <v>0</v>
      </c>
    </row>
    <row r="5201" spans="3:6">
      <c r="C5201" s="12"/>
      <c r="D5201" s="12"/>
      <c r="E5201" t="b">
        <f t="shared" si="81"/>
        <v>1</v>
      </c>
      <c r="F5201" s="12">
        <v>0</v>
      </c>
    </row>
    <row r="5202" spans="3:6">
      <c r="C5202" s="12"/>
      <c r="D5202" s="12"/>
      <c r="E5202" t="b">
        <f t="shared" si="81"/>
        <v>1</v>
      </c>
      <c r="F5202" s="12">
        <v>0</v>
      </c>
    </row>
    <row r="5203" spans="3:6">
      <c r="C5203" s="12"/>
      <c r="D5203" s="12"/>
      <c r="E5203" t="b">
        <f t="shared" si="81"/>
        <v>1</v>
      </c>
      <c r="F5203" s="12">
        <v>0</v>
      </c>
    </row>
    <row r="5204" spans="3:6">
      <c r="C5204" s="12"/>
      <c r="D5204" s="12"/>
      <c r="E5204" t="b">
        <f t="shared" si="81"/>
        <v>1</v>
      </c>
      <c r="F5204" s="12">
        <v>0</v>
      </c>
    </row>
    <row r="5205" spans="3:6">
      <c r="C5205" s="12"/>
      <c r="D5205" s="12"/>
      <c r="E5205" t="b">
        <f t="shared" si="81"/>
        <v>1</v>
      </c>
      <c r="F5205" s="12">
        <v>0</v>
      </c>
    </row>
    <row r="5206" spans="3:6">
      <c r="C5206" s="12"/>
      <c r="D5206" s="12"/>
      <c r="E5206" t="b">
        <f t="shared" si="81"/>
        <v>1</v>
      </c>
      <c r="F5206" s="12">
        <v>0</v>
      </c>
    </row>
    <row r="5207" spans="3:6">
      <c r="C5207" s="12"/>
      <c r="D5207" s="12"/>
      <c r="E5207" t="b">
        <f t="shared" si="81"/>
        <v>1</v>
      </c>
      <c r="F5207" s="12">
        <v>0</v>
      </c>
    </row>
    <row r="5208" spans="3:6">
      <c r="C5208" s="12"/>
      <c r="D5208" s="12"/>
      <c r="E5208" t="b">
        <f t="shared" si="81"/>
        <v>1</v>
      </c>
      <c r="F5208" s="12">
        <v>0</v>
      </c>
    </row>
    <row r="5209" spans="3:6">
      <c r="C5209" s="12"/>
      <c r="D5209" s="12"/>
      <c r="E5209" t="b">
        <f t="shared" si="81"/>
        <v>1</v>
      </c>
      <c r="F5209" s="12">
        <v>0</v>
      </c>
    </row>
    <row r="5210" spans="3:6">
      <c r="C5210" s="12"/>
      <c r="D5210" s="12"/>
      <c r="E5210" t="b">
        <f t="shared" si="81"/>
        <v>1</v>
      </c>
      <c r="F5210" s="12">
        <v>0</v>
      </c>
    </row>
    <row r="5211" spans="3:6">
      <c r="C5211" s="12"/>
      <c r="D5211" s="12"/>
      <c r="E5211" t="b">
        <f t="shared" si="81"/>
        <v>1</v>
      </c>
      <c r="F5211" s="12">
        <v>0</v>
      </c>
    </row>
    <row r="5212" spans="3:6">
      <c r="C5212" s="12"/>
      <c r="D5212" s="12"/>
      <c r="E5212" t="b">
        <f t="shared" si="81"/>
        <v>1</v>
      </c>
      <c r="F5212" s="12">
        <v>0</v>
      </c>
    </row>
    <row r="5213" spans="3:6">
      <c r="C5213" s="12"/>
      <c r="D5213" s="12"/>
      <c r="E5213" t="b">
        <f t="shared" si="81"/>
        <v>1</v>
      </c>
      <c r="F5213" s="12">
        <v>0</v>
      </c>
    </row>
    <row r="5214" spans="3:6">
      <c r="C5214" s="12"/>
      <c r="D5214" s="12"/>
      <c r="E5214" t="b">
        <f t="shared" si="81"/>
        <v>1</v>
      </c>
      <c r="F5214" s="12">
        <v>0</v>
      </c>
    </row>
    <row r="5215" spans="3:6">
      <c r="C5215" s="12"/>
      <c r="D5215" s="12"/>
      <c r="E5215" t="b">
        <f t="shared" si="81"/>
        <v>1</v>
      </c>
      <c r="F5215" s="12">
        <v>0</v>
      </c>
    </row>
    <row r="5216" spans="3:6">
      <c r="C5216" s="12"/>
      <c r="D5216" s="12"/>
      <c r="E5216" t="b">
        <f t="shared" si="81"/>
        <v>1</v>
      </c>
      <c r="F5216" s="12">
        <v>0</v>
      </c>
    </row>
    <row r="5217" spans="3:6">
      <c r="C5217" s="12"/>
      <c r="D5217" s="12"/>
      <c r="E5217" t="b">
        <f t="shared" si="81"/>
        <v>1</v>
      </c>
      <c r="F5217" s="12">
        <v>0</v>
      </c>
    </row>
    <row r="5218" spans="3:6">
      <c r="C5218" s="12"/>
      <c r="D5218" s="12"/>
      <c r="E5218" t="b">
        <f t="shared" si="81"/>
        <v>1</v>
      </c>
      <c r="F5218" s="12">
        <v>0</v>
      </c>
    </row>
    <row r="5219" spans="3:6">
      <c r="C5219" s="12"/>
      <c r="D5219" s="12"/>
      <c r="E5219" t="b">
        <f t="shared" si="81"/>
        <v>1</v>
      </c>
      <c r="F5219" s="12">
        <v>0</v>
      </c>
    </row>
    <row r="5220" spans="3:6">
      <c r="C5220" s="12"/>
      <c r="D5220" s="12"/>
      <c r="E5220" t="b">
        <f t="shared" si="81"/>
        <v>1</v>
      </c>
      <c r="F5220" s="12">
        <v>0</v>
      </c>
    </row>
    <row r="5221" spans="3:6">
      <c r="C5221" s="12"/>
      <c r="D5221" s="12"/>
      <c r="E5221" t="b">
        <f t="shared" si="81"/>
        <v>1</v>
      </c>
      <c r="F5221" s="12">
        <v>0</v>
      </c>
    </row>
    <row r="5222" spans="3:6">
      <c r="C5222" s="12"/>
      <c r="D5222" s="12"/>
      <c r="E5222" t="b">
        <f t="shared" si="81"/>
        <v>1</v>
      </c>
      <c r="F5222" s="12">
        <v>0</v>
      </c>
    </row>
    <row r="5223" spans="3:6">
      <c r="C5223" s="12"/>
      <c r="D5223" s="12"/>
      <c r="E5223" t="b">
        <f t="shared" si="81"/>
        <v>1</v>
      </c>
      <c r="F5223" s="12">
        <v>0</v>
      </c>
    </row>
    <row r="5224" spans="3:6">
      <c r="C5224" s="12"/>
      <c r="D5224" s="12"/>
      <c r="E5224" t="b">
        <f t="shared" si="81"/>
        <v>1</v>
      </c>
      <c r="F5224" s="12">
        <v>0</v>
      </c>
    </row>
    <row r="5225" spans="3:6">
      <c r="C5225" s="12"/>
      <c r="D5225" s="12"/>
      <c r="E5225" t="b">
        <f t="shared" si="81"/>
        <v>1</v>
      </c>
      <c r="F5225" s="12">
        <v>0</v>
      </c>
    </row>
    <row r="5226" spans="3:6">
      <c r="C5226" s="12"/>
      <c r="D5226" s="12"/>
      <c r="E5226" t="b">
        <f t="shared" si="81"/>
        <v>1</v>
      </c>
      <c r="F5226" s="12">
        <v>0</v>
      </c>
    </row>
    <row r="5227" spans="3:6">
      <c r="C5227" s="12"/>
      <c r="D5227" s="12"/>
      <c r="E5227" t="b">
        <f t="shared" si="81"/>
        <v>1</v>
      </c>
      <c r="F5227" s="12">
        <v>0</v>
      </c>
    </row>
    <row r="5228" spans="3:6">
      <c r="C5228" s="12"/>
      <c r="D5228" s="12"/>
      <c r="E5228" t="b">
        <f t="shared" si="81"/>
        <v>1</v>
      </c>
      <c r="F5228" s="12">
        <v>0</v>
      </c>
    </row>
    <row r="5229" spans="3:6">
      <c r="C5229" s="12"/>
      <c r="D5229" s="12"/>
      <c r="E5229" t="b">
        <f t="shared" si="81"/>
        <v>1</v>
      </c>
      <c r="F5229" s="12">
        <v>0</v>
      </c>
    </row>
    <row r="5230" spans="3:6">
      <c r="C5230" s="12"/>
      <c r="D5230" s="12"/>
      <c r="E5230" t="b">
        <f t="shared" si="81"/>
        <v>1</v>
      </c>
      <c r="F5230" s="12">
        <v>0</v>
      </c>
    </row>
    <row r="5231" spans="3:6">
      <c r="C5231" s="12"/>
      <c r="D5231" s="12"/>
      <c r="E5231" t="b">
        <f t="shared" si="81"/>
        <v>1</v>
      </c>
      <c r="F5231" s="12">
        <v>0</v>
      </c>
    </row>
    <row r="5232" spans="3:6">
      <c r="C5232" s="12"/>
      <c r="D5232" s="12"/>
      <c r="E5232" t="b">
        <f t="shared" si="81"/>
        <v>1</v>
      </c>
      <c r="F5232" s="12">
        <v>0</v>
      </c>
    </row>
    <row r="5233" spans="3:6">
      <c r="C5233" s="12"/>
      <c r="D5233" s="12"/>
      <c r="E5233" t="b">
        <f t="shared" si="81"/>
        <v>1</v>
      </c>
      <c r="F5233" s="12">
        <v>0</v>
      </c>
    </row>
    <row r="5234" spans="3:6">
      <c r="C5234" s="12"/>
      <c r="D5234" s="12"/>
      <c r="E5234" t="b">
        <f t="shared" si="81"/>
        <v>1</v>
      </c>
      <c r="F5234" s="12">
        <v>0</v>
      </c>
    </row>
    <row r="5235" spans="3:6">
      <c r="C5235" s="12"/>
      <c r="D5235" s="12"/>
      <c r="E5235" t="b">
        <f t="shared" si="81"/>
        <v>1</v>
      </c>
      <c r="F5235" s="12">
        <v>0</v>
      </c>
    </row>
    <row r="5236" spans="3:6">
      <c r="C5236" s="12"/>
      <c r="D5236" s="12"/>
      <c r="E5236" t="b">
        <f t="shared" si="81"/>
        <v>1</v>
      </c>
      <c r="F5236" s="12">
        <v>0</v>
      </c>
    </row>
    <row r="5237" spans="3:6">
      <c r="C5237" s="12"/>
      <c r="D5237" s="12"/>
      <c r="E5237" t="b">
        <f t="shared" si="81"/>
        <v>1</v>
      </c>
      <c r="F5237" s="12">
        <v>0</v>
      </c>
    </row>
    <row r="5238" spans="3:6">
      <c r="C5238" s="12"/>
      <c r="D5238" s="12"/>
      <c r="E5238" t="b">
        <f t="shared" si="81"/>
        <v>1</v>
      </c>
      <c r="F5238" s="12">
        <v>0</v>
      </c>
    </row>
    <row r="5239" spans="3:6">
      <c r="C5239" s="12"/>
      <c r="D5239" s="12"/>
      <c r="E5239" t="b">
        <f t="shared" si="81"/>
        <v>1</v>
      </c>
      <c r="F5239" s="12">
        <v>0</v>
      </c>
    </row>
    <row r="5240" spans="3:6">
      <c r="C5240" s="12"/>
      <c r="D5240" s="12"/>
      <c r="E5240" t="b">
        <f t="shared" si="81"/>
        <v>1</v>
      </c>
      <c r="F5240" s="12">
        <v>0</v>
      </c>
    </row>
    <row r="5241" spans="3:6">
      <c r="C5241" s="12"/>
      <c r="D5241" s="12"/>
      <c r="E5241" t="b">
        <f t="shared" si="81"/>
        <v>1</v>
      </c>
      <c r="F5241" s="12">
        <v>0</v>
      </c>
    </row>
    <row r="5242" spans="3:6">
      <c r="C5242" s="12"/>
      <c r="D5242" s="12"/>
      <c r="E5242" t="b">
        <f t="shared" si="81"/>
        <v>1</v>
      </c>
      <c r="F5242" s="12">
        <v>0</v>
      </c>
    </row>
    <row r="5243" spans="3:6">
      <c r="C5243" s="12"/>
      <c r="D5243" s="12"/>
      <c r="E5243" t="b">
        <f t="shared" si="81"/>
        <v>1</v>
      </c>
      <c r="F5243" s="12">
        <v>0</v>
      </c>
    </row>
    <row r="5244" spans="3:6">
      <c r="C5244" s="12"/>
      <c r="D5244" s="12"/>
      <c r="E5244" t="b">
        <f t="shared" si="81"/>
        <v>1</v>
      </c>
      <c r="F5244" s="12">
        <v>0</v>
      </c>
    </row>
    <row r="5245" spans="3:6">
      <c r="C5245" s="12"/>
      <c r="D5245" s="12"/>
      <c r="E5245" t="b">
        <f t="shared" si="81"/>
        <v>1</v>
      </c>
      <c r="F5245" s="12">
        <v>0</v>
      </c>
    </row>
    <row r="5246" spans="3:6">
      <c r="C5246" s="12"/>
      <c r="D5246" s="12"/>
      <c r="E5246" t="b">
        <f t="shared" si="81"/>
        <v>1</v>
      </c>
      <c r="F5246" s="12">
        <v>0</v>
      </c>
    </row>
    <row r="5247" spans="3:6">
      <c r="C5247" s="12"/>
      <c r="D5247" s="12"/>
      <c r="E5247" t="b">
        <f t="shared" si="81"/>
        <v>1</v>
      </c>
      <c r="F5247" s="12">
        <v>0</v>
      </c>
    </row>
    <row r="5248" spans="3:6">
      <c r="C5248" s="12"/>
      <c r="D5248" s="12"/>
      <c r="E5248" t="b">
        <f t="shared" si="81"/>
        <v>1</v>
      </c>
      <c r="F5248" s="12">
        <v>0</v>
      </c>
    </row>
    <row r="5249" spans="3:6">
      <c r="C5249" s="12"/>
      <c r="D5249" s="12"/>
      <c r="E5249" t="b">
        <f t="shared" si="81"/>
        <v>1</v>
      </c>
      <c r="F5249" s="12">
        <v>0</v>
      </c>
    </row>
    <row r="5250" spans="3:6">
      <c r="C5250" s="12"/>
      <c r="D5250" s="12"/>
      <c r="E5250" t="b">
        <f t="shared" si="81"/>
        <v>1</v>
      </c>
      <c r="F5250" s="12">
        <v>0</v>
      </c>
    </row>
    <row r="5251" spans="3:6">
      <c r="C5251" s="12"/>
      <c r="D5251" s="12"/>
      <c r="E5251" t="b">
        <f t="shared" ref="E5251:E5314" si="82">F5251=C5251</f>
        <v>1</v>
      </c>
      <c r="F5251" s="12">
        <v>0</v>
      </c>
    </row>
    <row r="5252" spans="3:6">
      <c r="C5252" s="12"/>
      <c r="D5252" s="12"/>
      <c r="E5252" t="b">
        <f t="shared" si="82"/>
        <v>1</v>
      </c>
      <c r="F5252" s="12">
        <v>0</v>
      </c>
    </row>
    <row r="5253" spans="3:6">
      <c r="C5253" s="12"/>
      <c r="D5253" s="12"/>
      <c r="E5253" t="b">
        <f t="shared" si="82"/>
        <v>1</v>
      </c>
      <c r="F5253" s="12">
        <v>0</v>
      </c>
    </row>
    <row r="5254" spans="3:6">
      <c r="C5254" s="12"/>
      <c r="D5254" s="12"/>
      <c r="E5254" t="b">
        <f t="shared" si="82"/>
        <v>1</v>
      </c>
      <c r="F5254" s="12">
        <v>0</v>
      </c>
    </row>
    <row r="5255" spans="3:6">
      <c r="C5255" s="12"/>
      <c r="D5255" s="12"/>
      <c r="E5255" t="b">
        <f t="shared" si="82"/>
        <v>1</v>
      </c>
      <c r="F5255" s="12">
        <v>0</v>
      </c>
    </row>
    <row r="5256" spans="3:6">
      <c r="C5256" s="12"/>
      <c r="D5256" s="12"/>
      <c r="E5256" t="b">
        <f t="shared" si="82"/>
        <v>1</v>
      </c>
      <c r="F5256" s="12">
        <v>0</v>
      </c>
    </row>
    <row r="5257" spans="3:6">
      <c r="C5257" s="12"/>
      <c r="D5257" s="12"/>
      <c r="E5257" t="b">
        <f t="shared" si="82"/>
        <v>1</v>
      </c>
      <c r="F5257" s="12">
        <v>0</v>
      </c>
    </row>
    <row r="5258" spans="3:6">
      <c r="C5258" s="12"/>
      <c r="D5258" s="12"/>
      <c r="E5258" t="b">
        <f t="shared" si="82"/>
        <v>1</v>
      </c>
      <c r="F5258" s="12">
        <v>0</v>
      </c>
    </row>
    <row r="5259" spans="3:6">
      <c r="C5259" s="12"/>
      <c r="D5259" s="12"/>
      <c r="E5259" t="b">
        <f t="shared" si="82"/>
        <v>1</v>
      </c>
      <c r="F5259" s="12">
        <v>0</v>
      </c>
    </row>
    <row r="5260" spans="3:6">
      <c r="C5260" s="12"/>
      <c r="D5260" s="12"/>
      <c r="E5260" t="b">
        <f t="shared" si="82"/>
        <v>1</v>
      </c>
      <c r="F5260" s="12">
        <v>0</v>
      </c>
    </row>
    <row r="5261" spans="3:6">
      <c r="C5261" s="12"/>
      <c r="D5261" s="12"/>
      <c r="E5261" t="b">
        <f t="shared" si="82"/>
        <v>1</v>
      </c>
      <c r="F5261" s="12">
        <v>0</v>
      </c>
    </row>
    <row r="5262" spans="3:6">
      <c r="C5262" s="12"/>
      <c r="D5262" s="12"/>
      <c r="E5262" t="b">
        <f t="shared" si="82"/>
        <v>1</v>
      </c>
      <c r="F5262" s="12">
        <v>0</v>
      </c>
    </row>
    <row r="5263" spans="3:6">
      <c r="C5263" s="12"/>
      <c r="D5263" s="12"/>
      <c r="E5263" t="b">
        <f t="shared" si="82"/>
        <v>1</v>
      </c>
      <c r="F5263" s="12">
        <v>0</v>
      </c>
    </row>
    <row r="5264" spans="3:6">
      <c r="C5264" s="12"/>
      <c r="D5264" s="12"/>
      <c r="E5264" t="b">
        <f t="shared" si="82"/>
        <v>1</v>
      </c>
      <c r="F5264" s="12">
        <v>0</v>
      </c>
    </row>
    <row r="5265" spans="3:6">
      <c r="C5265" s="12"/>
      <c r="D5265" s="12"/>
      <c r="E5265" t="b">
        <f t="shared" si="82"/>
        <v>1</v>
      </c>
      <c r="F5265" s="12">
        <v>0</v>
      </c>
    </row>
    <row r="5266" spans="3:6">
      <c r="C5266" s="12"/>
      <c r="D5266" s="12"/>
      <c r="E5266" t="b">
        <f t="shared" si="82"/>
        <v>1</v>
      </c>
      <c r="F5266" s="12">
        <v>0</v>
      </c>
    </row>
    <row r="5267" spans="3:6">
      <c r="C5267" s="12"/>
      <c r="D5267" s="12"/>
      <c r="E5267" t="b">
        <f t="shared" si="82"/>
        <v>1</v>
      </c>
      <c r="F5267" s="12">
        <v>0</v>
      </c>
    </row>
    <row r="5268" spans="3:6">
      <c r="C5268" s="12"/>
      <c r="D5268" s="12"/>
      <c r="E5268" t="b">
        <f t="shared" si="82"/>
        <v>1</v>
      </c>
      <c r="F5268" s="12">
        <v>0</v>
      </c>
    </row>
    <row r="5269" spans="3:6">
      <c r="C5269" s="12"/>
      <c r="D5269" s="12"/>
      <c r="E5269" t="b">
        <f t="shared" si="82"/>
        <v>1</v>
      </c>
      <c r="F5269" s="12">
        <v>0</v>
      </c>
    </row>
    <row r="5270" spans="3:6">
      <c r="C5270" s="12"/>
      <c r="D5270" s="12"/>
      <c r="E5270" t="b">
        <f t="shared" si="82"/>
        <v>1</v>
      </c>
      <c r="F5270" s="12">
        <v>0</v>
      </c>
    </row>
    <row r="5271" spans="3:6">
      <c r="C5271" s="12"/>
      <c r="D5271" s="12"/>
      <c r="E5271" t="b">
        <f t="shared" si="82"/>
        <v>1</v>
      </c>
      <c r="F5271" s="12">
        <v>0</v>
      </c>
    </row>
    <row r="5272" spans="3:6">
      <c r="C5272" s="12"/>
      <c r="D5272" s="12"/>
      <c r="E5272" t="b">
        <f t="shared" si="82"/>
        <v>1</v>
      </c>
      <c r="F5272" s="12">
        <v>0</v>
      </c>
    </row>
    <row r="5273" spans="3:6">
      <c r="C5273" s="12"/>
      <c r="D5273" s="12"/>
      <c r="E5273" t="b">
        <f t="shared" si="82"/>
        <v>1</v>
      </c>
      <c r="F5273" s="12">
        <v>0</v>
      </c>
    </row>
    <row r="5274" spans="3:6">
      <c r="C5274" s="12"/>
      <c r="D5274" s="12"/>
      <c r="E5274" t="b">
        <f t="shared" si="82"/>
        <v>1</v>
      </c>
      <c r="F5274" s="12">
        <v>0</v>
      </c>
    </row>
    <row r="5275" spans="3:6">
      <c r="C5275" s="12"/>
      <c r="D5275" s="12"/>
      <c r="E5275" t="b">
        <f t="shared" si="82"/>
        <v>1</v>
      </c>
      <c r="F5275" s="12">
        <v>0</v>
      </c>
    </row>
    <row r="5276" spans="3:6">
      <c r="C5276" s="12"/>
      <c r="D5276" s="12"/>
      <c r="E5276" t="b">
        <f t="shared" si="82"/>
        <v>1</v>
      </c>
      <c r="F5276" s="12">
        <v>0</v>
      </c>
    </row>
    <row r="5277" spans="3:6">
      <c r="C5277" s="12"/>
      <c r="D5277" s="12"/>
      <c r="E5277" t="b">
        <f t="shared" si="82"/>
        <v>1</v>
      </c>
      <c r="F5277" s="12">
        <v>0</v>
      </c>
    </row>
    <row r="5278" spans="3:6">
      <c r="C5278" s="12"/>
      <c r="D5278" s="12"/>
      <c r="E5278" t="b">
        <f t="shared" si="82"/>
        <v>1</v>
      </c>
      <c r="F5278" s="12">
        <v>0</v>
      </c>
    </row>
    <row r="5279" spans="3:6">
      <c r="C5279" s="12"/>
      <c r="D5279" s="12"/>
      <c r="E5279" t="b">
        <f t="shared" si="82"/>
        <v>1</v>
      </c>
      <c r="F5279" s="12">
        <v>0</v>
      </c>
    </row>
    <row r="5280" spans="3:6">
      <c r="C5280" s="12"/>
      <c r="D5280" s="12"/>
      <c r="E5280" t="b">
        <f t="shared" si="82"/>
        <v>1</v>
      </c>
      <c r="F5280" s="12">
        <v>0</v>
      </c>
    </row>
    <row r="5281" spans="3:6">
      <c r="C5281" s="12"/>
      <c r="D5281" s="12"/>
      <c r="E5281" t="b">
        <f t="shared" si="82"/>
        <v>1</v>
      </c>
      <c r="F5281" s="12">
        <v>0</v>
      </c>
    </row>
    <row r="5282" spans="3:6">
      <c r="C5282" s="12"/>
      <c r="D5282" s="12"/>
      <c r="E5282" t="b">
        <f t="shared" si="82"/>
        <v>1</v>
      </c>
      <c r="F5282" s="12">
        <v>0</v>
      </c>
    </row>
    <row r="5283" spans="3:6">
      <c r="C5283" s="12"/>
      <c r="D5283" s="12"/>
      <c r="E5283" t="b">
        <f t="shared" si="82"/>
        <v>1</v>
      </c>
      <c r="F5283" s="12">
        <v>0</v>
      </c>
    </row>
    <row r="5284" spans="3:6">
      <c r="C5284" s="12"/>
      <c r="D5284" s="12"/>
      <c r="E5284" t="b">
        <f t="shared" si="82"/>
        <v>1</v>
      </c>
      <c r="F5284" s="12">
        <v>0</v>
      </c>
    </row>
    <row r="5285" spans="3:6">
      <c r="C5285" s="12"/>
      <c r="D5285" s="12"/>
      <c r="E5285" t="b">
        <f t="shared" si="82"/>
        <v>1</v>
      </c>
      <c r="F5285" s="12">
        <v>0</v>
      </c>
    </row>
    <row r="5286" spans="3:6">
      <c r="C5286" s="12"/>
      <c r="D5286" s="12"/>
      <c r="E5286" t="b">
        <f t="shared" si="82"/>
        <v>1</v>
      </c>
      <c r="F5286" s="12">
        <v>0</v>
      </c>
    </row>
    <row r="5287" spans="3:6">
      <c r="C5287" s="12"/>
      <c r="D5287" s="12"/>
      <c r="E5287" t="b">
        <f t="shared" si="82"/>
        <v>1</v>
      </c>
      <c r="F5287" s="12">
        <v>0</v>
      </c>
    </row>
    <row r="5288" spans="3:6">
      <c r="C5288" s="12"/>
      <c r="D5288" s="12"/>
      <c r="E5288" t="b">
        <f t="shared" si="82"/>
        <v>1</v>
      </c>
      <c r="F5288" s="12">
        <v>0</v>
      </c>
    </row>
    <row r="5289" spans="3:6">
      <c r="C5289" s="12"/>
      <c r="D5289" s="12"/>
      <c r="E5289" t="b">
        <f t="shared" si="82"/>
        <v>1</v>
      </c>
      <c r="F5289" s="12">
        <v>0</v>
      </c>
    </row>
    <row r="5290" spans="3:6">
      <c r="C5290" s="12"/>
      <c r="D5290" s="12"/>
      <c r="E5290" t="b">
        <f t="shared" si="82"/>
        <v>1</v>
      </c>
      <c r="F5290" s="12">
        <v>0</v>
      </c>
    </row>
    <row r="5291" spans="3:6">
      <c r="C5291" s="12"/>
      <c r="D5291" s="12"/>
      <c r="E5291" t="b">
        <f t="shared" si="82"/>
        <v>1</v>
      </c>
      <c r="F5291" s="12">
        <v>0</v>
      </c>
    </row>
    <row r="5292" spans="3:6">
      <c r="C5292" s="12"/>
      <c r="D5292" s="12"/>
      <c r="E5292" t="b">
        <f t="shared" si="82"/>
        <v>1</v>
      </c>
      <c r="F5292" s="12">
        <v>0</v>
      </c>
    </row>
    <row r="5293" spans="3:6">
      <c r="C5293" s="12"/>
      <c r="D5293" s="12"/>
      <c r="E5293" t="b">
        <f t="shared" si="82"/>
        <v>1</v>
      </c>
      <c r="F5293" s="12">
        <v>0</v>
      </c>
    </row>
    <row r="5294" spans="3:6">
      <c r="C5294" s="12"/>
      <c r="D5294" s="12"/>
      <c r="E5294" t="b">
        <f t="shared" si="82"/>
        <v>1</v>
      </c>
      <c r="F5294" s="12">
        <v>0</v>
      </c>
    </row>
    <row r="5295" spans="3:6">
      <c r="C5295" s="12"/>
      <c r="D5295" s="12"/>
      <c r="E5295" t="b">
        <f t="shared" si="82"/>
        <v>1</v>
      </c>
      <c r="F5295" s="12">
        <v>0</v>
      </c>
    </row>
    <row r="5296" spans="3:6">
      <c r="C5296" s="12"/>
      <c r="D5296" s="12"/>
      <c r="E5296" t="b">
        <f t="shared" si="82"/>
        <v>1</v>
      </c>
      <c r="F5296" s="12">
        <v>0</v>
      </c>
    </row>
    <row r="5297" spans="3:6">
      <c r="C5297" s="12"/>
      <c r="D5297" s="12"/>
      <c r="E5297" t="b">
        <f t="shared" si="82"/>
        <v>1</v>
      </c>
      <c r="F5297" s="12">
        <v>0</v>
      </c>
    </row>
    <row r="5298" spans="3:6">
      <c r="C5298" s="12"/>
      <c r="D5298" s="12"/>
      <c r="E5298" t="b">
        <f t="shared" si="82"/>
        <v>1</v>
      </c>
      <c r="F5298" s="12">
        <v>0</v>
      </c>
    </row>
    <row r="5299" spans="3:6">
      <c r="C5299" s="12"/>
      <c r="D5299" s="12"/>
      <c r="E5299" t="b">
        <f t="shared" si="82"/>
        <v>1</v>
      </c>
      <c r="F5299" s="12">
        <v>0</v>
      </c>
    </row>
    <row r="5300" spans="3:6">
      <c r="C5300" s="12"/>
      <c r="D5300" s="12"/>
      <c r="E5300" t="b">
        <f t="shared" si="82"/>
        <v>1</v>
      </c>
      <c r="F5300" s="12">
        <v>0</v>
      </c>
    </row>
    <row r="5301" spans="3:6">
      <c r="C5301" s="12"/>
      <c r="D5301" s="12"/>
      <c r="E5301" t="b">
        <f t="shared" si="82"/>
        <v>1</v>
      </c>
      <c r="F5301" s="12">
        <v>0</v>
      </c>
    </row>
    <row r="5302" spans="3:6">
      <c r="C5302" s="12"/>
      <c r="D5302" s="12"/>
      <c r="E5302" t="b">
        <f t="shared" si="82"/>
        <v>1</v>
      </c>
      <c r="F5302" s="12">
        <v>0</v>
      </c>
    </row>
    <row r="5303" spans="3:6">
      <c r="C5303" s="12"/>
      <c r="D5303" s="12"/>
      <c r="E5303" t="b">
        <f t="shared" si="82"/>
        <v>1</v>
      </c>
      <c r="F5303" s="12">
        <v>0</v>
      </c>
    </row>
    <row r="5304" spans="3:6">
      <c r="C5304" s="12"/>
      <c r="D5304" s="12"/>
      <c r="E5304" t="b">
        <f t="shared" si="82"/>
        <v>1</v>
      </c>
      <c r="F5304" s="12">
        <v>0</v>
      </c>
    </row>
    <row r="5305" spans="3:6">
      <c r="C5305" s="12"/>
      <c r="D5305" s="12"/>
      <c r="E5305" t="b">
        <f t="shared" si="82"/>
        <v>1</v>
      </c>
      <c r="F5305" s="12">
        <v>0</v>
      </c>
    </row>
    <row r="5306" spans="3:6">
      <c r="C5306" s="12"/>
      <c r="D5306" s="12"/>
      <c r="E5306" t="b">
        <f t="shared" si="82"/>
        <v>1</v>
      </c>
      <c r="F5306" s="12">
        <v>0</v>
      </c>
    </row>
    <row r="5307" spans="3:6">
      <c r="C5307" s="12"/>
      <c r="D5307" s="12"/>
      <c r="E5307" t="b">
        <f t="shared" si="82"/>
        <v>1</v>
      </c>
      <c r="F5307" s="12">
        <v>0</v>
      </c>
    </row>
    <row r="5308" spans="3:6">
      <c r="C5308" s="12"/>
      <c r="D5308" s="12"/>
      <c r="E5308" t="b">
        <f t="shared" si="82"/>
        <v>1</v>
      </c>
      <c r="F5308" s="12">
        <v>0</v>
      </c>
    </row>
    <row r="5309" spans="3:6">
      <c r="C5309" s="12"/>
      <c r="D5309" s="12"/>
      <c r="E5309" t="b">
        <f t="shared" si="82"/>
        <v>1</v>
      </c>
      <c r="F5309" s="12">
        <v>0</v>
      </c>
    </row>
    <row r="5310" spans="3:6">
      <c r="C5310" s="12"/>
      <c r="D5310" s="12"/>
      <c r="E5310" t="b">
        <f t="shared" si="82"/>
        <v>1</v>
      </c>
      <c r="F5310" s="12">
        <v>0</v>
      </c>
    </row>
    <row r="5311" spans="3:6">
      <c r="C5311" s="12"/>
      <c r="D5311" s="12"/>
      <c r="E5311" t="b">
        <f t="shared" si="82"/>
        <v>1</v>
      </c>
      <c r="F5311" s="12">
        <v>0</v>
      </c>
    </row>
    <row r="5312" spans="3:6">
      <c r="C5312" s="12"/>
      <c r="D5312" s="12"/>
      <c r="E5312" t="b">
        <f t="shared" si="82"/>
        <v>1</v>
      </c>
      <c r="F5312" s="12">
        <v>0</v>
      </c>
    </row>
    <row r="5313" spans="3:6">
      <c r="C5313" s="12"/>
      <c r="D5313" s="12"/>
      <c r="E5313" t="b">
        <f t="shared" si="82"/>
        <v>1</v>
      </c>
      <c r="F5313" s="12">
        <v>0</v>
      </c>
    </row>
    <row r="5314" spans="3:6">
      <c r="C5314" s="12"/>
      <c r="D5314" s="12"/>
      <c r="E5314" t="b">
        <f t="shared" si="82"/>
        <v>1</v>
      </c>
      <c r="F5314" s="12">
        <v>0</v>
      </c>
    </row>
    <row r="5315" spans="3:6">
      <c r="C5315" s="12"/>
      <c r="D5315" s="12"/>
      <c r="E5315" t="b">
        <f t="shared" ref="E5315:E5378" si="83">F5315=C5315</f>
        <v>1</v>
      </c>
      <c r="F5315" s="12">
        <v>0</v>
      </c>
    </row>
    <row r="5316" spans="3:6">
      <c r="C5316" s="12"/>
      <c r="D5316" s="12"/>
      <c r="E5316" t="b">
        <f t="shared" si="83"/>
        <v>1</v>
      </c>
      <c r="F5316" s="12">
        <v>0</v>
      </c>
    </row>
    <row r="5317" spans="3:6">
      <c r="C5317" s="12"/>
      <c r="D5317" s="12"/>
      <c r="E5317" t="b">
        <f t="shared" si="83"/>
        <v>1</v>
      </c>
      <c r="F5317" s="12">
        <v>0</v>
      </c>
    </row>
    <row r="5318" spans="3:6">
      <c r="C5318" s="12"/>
      <c r="D5318" s="12"/>
      <c r="E5318" t="b">
        <f t="shared" si="83"/>
        <v>1</v>
      </c>
      <c r="F5318" s="12">
        <v>0</v>
      </c>
    </row>
    <row r="5319" spans="3:6">
      <c r="C5319" s="12"/>
      <c r="D5319" s="12"/>
      <c r="E5319" t="b">
        <f t="shared" si="83"/>
        <v>1</v>
      </c>
      <c r="F5319" s="12">
        <v>0</v>
      </c>
    </row>
    <row r="5320" spans="3:6">
      <c r="C5320" s="12"/>
      <c r="D5320" s="12"/>
      <c r="E5320" t="b">
        <f t="shared" si="83"/>
        <v>1</v>
      </c>
      <c r="F5320" s="12">
        <v>0</v>
      </c>
    </row>
    <row r="5321" spans="3:6">
      <c r="C5321" s="12"/>
      <c r="D5321" s="12"/>
      <c r="E5321" t="b">
        <f t="shared" si="83"/>
        <v>1</v>
      </c>
      <c r="F5321" s="12">
        <v>0</v>
      </c>
    </row>
    <row r="5322" spans="3:6">
      <c r="C5322" s="12"/>
      <c r="D5322" s="12"/>
      <c r="E5322" t="b">
        <f t="shared" si="83"/>
        <v>1</v>
      </c>
      <c r="F5322" s="12">
        <v>0</v>
      </c>
    </row>
    <row r="5323" spans="3:6">
      <c r="C5323" s="12"/>
      <c r="D5323" s="12"/>
      <c r="E5323" t="b">
        <f t="shared" si="83"/>
        <v>1</v>
      </c>
      <c r="F5323" s="12">
        <v>0</v>
      </c>
    </row>
    <row r="5324" spans="3:6">
      <c r="C5324" s="12"/>
      <c r="D5324" s="12"/>
      <c r="E5324" t="b">
        <f t="shared" si="83"/>
        <v>1</v>
      </c>
      <c r="F5324" s="12">
        <v>0</v>
      </c>
    </row>
    <row r="5325" spans="3:6">
      <c r="C5325" s="12"/>
      <c r="D5325" s="12"/>
      <c r="E5325" t="b">
        <f t="shared" si="83"/>
        <v>1</v>
      </c>
      <c r="F5325" s="12">
        <v>0</v>
      </c>
    </row>
    <row r="5326" spans="3:6">
      <c r="C5326" s="12"/>
      <c r="D5326" s="12"/>
      <c r="E5326" t="b">
        <f t="shared" si="83"/>
        <v>1</v>
      </c>
      <c r="F5326" s="12">
        <v>0</v>
      </c>
    </row>
    <row r="5327" spans="3:6">
      <c r="C5327" s="12"/>
      <c r="D5327" s="12"/>
      <c r="E5327" t="b">
        <f t="shared" si="83"/>
        <v>1</v>
      </c>
      <c r="F5327" s="12">
        <v>0</v>
      </c>
    </row>
    <row r="5328" spans="3:6">
      <c r="C5328" s="12"/>
      <c r="D5328" s="12"/>
      <c r="E5328" t="b">
        <f t="shared" si="83"/>
        <v>1</v>
      </c>
      <c r="F5328" s="12">
        <v>0</v>
      </c>
    </row>
    <row r="5329" spans="3:6">
      <c r="C5329" s="12"/>
      <c r="D5329" s="12"/>
      <c r="E5329" t="b">
        <f t="shared" si="83"/>
        <v>1</v>
      </c>
      <c r="F5329" s="12">
        <v>0</v>
      </c>
    </row>
    <row r="5330" spans="3:6">
      <c r="C5330" s="12"/>
      <c r="D5330" s="12"/>
      <c r="E5330" t="b">
        <f t="shared" si="83"/>
        <v>1</v>
      </c>
      <c r="F5330" s="12">
        <v>0</v>
      </c>
    </row>
    <row r="5331" spans="3:6">
      <c r="C5331" s="12"/>
      <c r="D5331" s="12"/>
      <c r="E5331" t="b">
        <f t="shared" si="83"/>
        <v>1</v>
      </c>
      <c r="F5331" s="12">
        <v>0</v>
      </c>
    </row>
    <row r="5332" spans="3:6">
      <c r="C5332" s="12"/>
      <c r="D5332" s="12"/>
      <c r="E5332" t="b">
        <f t="shared" si="83"/>
        <v>1</v>
      </c>
      <c r="F5332" s="12">
        <v>0</v>
      </c>
    </row>
    <row r="5333" spans="3:6">
      <c r="C5333" s="12"/>
      <c r="D5333" s="12"/>
      <c r="E5333" t="b">
        <f t="shared" si="83"/>
        <v>1</v>
      </c>
      <c r="F5333" s="12">
        <v>0</v>
      </c>
    </row>
    <row r="5334" spans="3:6">
      <c r="C5334" s="12"/>
      <c r="D5334" s="12"/>
      <c r="E5334" t="b">
        <f t="shared" si="83"/>
        <v>1</v>
      </c>
      <c r="F5334" s="12">
        <v>0</v>
      </c>
    </row>
    <row r="5335" spans="3:6">
      <c r="C5335" s="12"/>
      <c r="D5335" s="12"/>
      <c r="E5335" t="b">
        <f t="shared" si="83"/>
        <v>1</v>
      </c>
      <c r="F5335" s="12">
        <v>0</v>
      </c>
    </row>
    <row r="5336" spans="3:6">
      <c r="C5336" s="12"/>
      <c r="D5336" s="12"/>
      <c r="E5336" t="b">
        <f t="shared" si="83"/>
        <v>1</v>
      </c>
      <c r="F5336" s="12">
        <v>0</v>
      </c>
    </row>
    <row r="5337" spans="3:6">
      <c r="C5337" s="12"/>
      <c r="D5337" s="12"/>
      <c r="E5337" t="b">
        <f t="shared" si="83"/>
        <v>1</v>
      </c>
      <c r="F5337" s="12">
        <v>0</v>
      </c>
    </row>
    <row r="5338" spans="3:6">
      <c r="C5338" s="12"/>
      <c r="D5338" s="12"/>
      <c r="E5338" t="b">
        <f t="shared" si="83"/>
        <v>1</v>
      </c>
      <c r="F5338" s="12">
        <v>0</v>
      </c>
    </row>
    <row r="5339" spans="3:6">
      <c r="C5339" s="12"/>
      <c r="D5339" s="12"/>
      <c r="E5339" t="b">
        <f t="shared" si="83"/>
        <v>1</v>
      </c>
      <c r="F5339" s="12">
        <v>0</v>
      </c>
    </row>
    <row r="5340" spans="3:6">
      <c r="C5340" s="12"/>
      <c r="D5340" s="12"/>
      <c r="E5340" t="b">
        <f t="shared" si="83"/>
        <v>1</v>
      </c>
      <c r="F5340" s="12">
        <v>0</v>
      </c>
    </row>
    <row r="5341" spans="3:6">
      <c r="C5341" s="12"/>
      <c r="D5341" s="12"/>
      <c r="E5341" t="b">
        <f t="shared" si="83"/>
        <v>1</v>
      </c>
      <c r="F5341" s="12">
        <v>0</v>
      </c>
    </row>
    <row r="5342" spans="3:6">
      <c r="C5342" s="12"/>
      <c r="D5342" s="12"/>
      <c r="E5342" t="b">
        <f t="shared" si="83"/>
        <v>1</v>
      </c>
      <c r="F5342" s="12">
        <v>0</v>
      </c>
    </row>
    <row r="5343" spans="3:6">
      <c r="C5343" s="12"/>
      <c r="D5343" s="12"/>
      <c r="E5343" t="b">
        <f t="shared" si="83"/>
        <v>1</v>
      </c>
      <c r="F5343" s="12">
        <v>0</v>
      </c>
    </row>
    <row r="5344" spans="3:6">
      <c r="C5344" s="12"/>
      <c r="D5344" s="12"/>
      <c r="E5344" t="b">
        <f t="shared" si="83"/>
        <v>1</v>
      </c>
      <c r="F5344" s="12">
        <v>0</v>
      </c>
    </row>
    <row r="5345" spans="3:6">
      <c r="C5345" s="12"/>
      <c r="D5345" s="12"/>
      <c r="E5345" t="b">
        <f t="shared" si="83"/>
        <v>1</v>
      </c>
      <c r="F5345" s="12">
        <v>0</v>
      </c>
    </row>
    <row r="5346" spans="3:6">
      <c r="C5346" s="12"/>
      <c r="D5346" s="12"/>
      <c r="E5346" t="b">
        <f t="shared" si="83"/>
        <v>1</v>
      </c>
      <c r="F5346" s="12">
        <v>0</v>
      </c>
    </row>
    <row r="5347" spans="3:6">
      <c r="C5347" s="12"/>
      <c r="D5347" s="12"/>
      <c r="E5347" t="b">
        <f t="shared" si="83"/>
        <v>1</v>
      </c>
      <c r="F5347" s="12">
        <v>0</v>
      </c>
    </row>
    <row r="5348" spans="3:6">
      <c r="C5348" s="12"/>
      <c r="D5348" s="12"/>
      <c r="E5348" t="b">
        <f t="shared" si="83"/>
        <v>1</v>
      </c>
      <c r="F5348" s="12">
        <v>0</v>
      </c>
    </row>
    <row r="5349" spans="3:6">
      <c r="C5349" s="12"/>
      <c r="D5349" s="12"/>
      <c r="E5349" t="b">
        <f t="shared" si="83"/>
        <v>1</v>
      </c>
      <c r="F5349" s="12">
        <v>0</v>
      </c>
    </row>
    <row r="5350" spans="3:6">
      <c r="C5350" s="12"/>
      <c r="D5350" s="12"/>
      <c r="E5350" t="b">
        <f t="shared" si="83"/>
        <v>1</v>
      </c>
      <c r="F5350" s="12">
        <v>0</v>
      </c>
    </row>
    <row r="5351" spans="3:6">
      <c r="C5351" s="12"/>
      <c r="D5351" s="12"/>
      <c r="E5351" t="b">
        <f t="shared" si="83"/>
        <v>1</v>
      </c>
      <c r="F5351" s="12">
        <v>0</v>
      </c>
    </row>
    <row r="5352" spans="3:6">
      <c r="C5352" s="12"/>
      <c r="D5352" s="12"/>
      <c r="E5352" t="b">
        <f t="shared" si="83"/>
        <v>1</v>
      </c>
      <c r="F5352" s="12">
        <v>0</v>
      </c>
    </row>
    <row r="5353" spans="3:6">
      <c r="C5353" s="12"/>
      <c r="D5353" s="12"/>
      <c r="E5353" t="b">
        <f t="shared" si="83"/>
        <v>1</v>
      </c>
      <c r="F5353" s="12">
        <v>0</v>
      </c>
    </row>
    <row r="5354" spans="3:6">
      <c r="C5354" s="12"/>
      <c r="D5354" s="12"/>
      <c r="E5354" t="b">
        <f t="shared" si="83"/>
        <v>1</v>
      </c>
      <c r="F5354" s="12">
        <v>0</v>
      </c>
    </row>
    <row r="5355" spans="3:6">
      <c r="C5355" s="12"/>
      <c r="D5355" s="12"/>
      <c r="E5355" t="b">
        <f t="shared" si="83"/>
        <v>1</v>
      </c>
      <c r="F5355" s="12">
        <v>0</v>
      </c>
    </row>
    <row r="5356" spans="3:6">
      <c r="C5356" s="12"/>
      <c r="D5356" s="12"/>
      <c r="E5356" t="b">
        <f t="shared" si="83"/>
        <v>1</v>
      </c>
      <c r="F5356" s="12">
        <v>0</v>
      </c>
    </row>
    <row r="5357" spans="3:6">
      <c r="C5357" s="12"/>
      <c r="D5357" s="12"/>
      <c r="E5357" t="b">
        <f t="shared" si="83"/>
        <v>1</v>
      </c>
      <c r="F5357" s="12">
        <v>0</v>
      </c>
    </row>
    <row r="5358" spans="3:6">
      <c r="C5358" s="12"/>
      <c r="D5358" s="12"/>
      <c r="E5358" t="b">
        <f t="shared" si="83"/>
        <v>1</v>
      </c>
      <c r="F5358" s="12">
        <v>0</v>
      </c>
    </row>
    <row r="5359" spans="3:6">
      <c r="C5359" s="12"/>
      <c r="D5359" s="12"/>
      <c r="E5359" t="b">
        <f t="shared" si="83"/>
        <v>1</v>
      </c>
      <c r="F5359" s="12">
        <v>0</v>
      </c>
    </row>
    <row r="5360" spans="3:6">
      <c r="C5360" s="12"/>
      <c r="D5360" s="12"/>
      <c r="E5360" t="b">
        <f t="shared" si="83"/>
        <v>1</v>
      </c>
      <c r="F5360" s="12">
        <v>0</v>
      </c>
    </row>
    <row r="5361" spans="3:6">
      <c r="C5361" s="12"/>
      <c r="D5361" s="12"/>
      <c r="E5361" t="b">
        <f t="shared" si="83"/>
        <v>1</v>
      </c>
      <c r="F5361" s="12">
        <v>0</v>
      </c>
    </row>
    <row r="5362" spans="3:6">
      <c r="C5362" s="12"/>
      <c r="D5362" s="12"/>
      <c r="E5362" t="b">
        <f t="shared" si="83"/>
        <v>1</v>
      </c>
      <c r="F5362" s="12">
        <v>0</v>
      </c>
    </row>
    <row r="5363" spans="3:6">
      <c r="C5363" s="12"/>
      <c r="D5363" s="12"/>
      <c r="E5363" t="b">
        <f t="shared" si="83"/>
        <v>1</v>
      </c>
      <c r="F5363" s="12">
        <v>0</v>
      </c>
    </row>
    <row r="5364" spans="3:6">
      <c r="C5364" s="12"/>
      <c r="D5364" s="12"/>
      <c r="E5364" t="b">
        <f t="shared" si="83"/>
        <v>1</v>
      </c>
      <c r="F5364" s="12">
        <v>0</v>
      </c>
    </row>
    <row r="5365" spans="3:6">
      <c r="C5365" s="12"/>
      <c r="D5365" s="12"/>
      <c r="E5365" t="b">
        <f t="shared" si="83"/>
        <v>1</v>
      </c>
      <c r="F5365" s="12">
        <v>0</v>
      </c>
    </row>
    <row r="5366" spans="3:6">
      <c r="C5366" s="12"/>
      <c r="D5366" s="12"/>
      <c r="E5366" t="b">
        <f t="shared" si="83"/>
        <v>1</v>
      </c>
      <c r="F5366" s="12">
        <v>0</v>
      </c>
    </row>
    <row r="5367" spans="3:6">
      <c r="C5367" s="12"/>
      <c r="D5367" s="12"/>
      <c r="E5367" t="b">
        <f t="shared" si="83"/>
        <v>1</v>
      </c>
      <c r="F5367" s="12">
        <v>0</v>
      </c>
    </row>
    <row r="5368" spans="3:6">
      <c r="C5368" s="12"/>
      <c r="D5368" s="12"/>
      <c r="E5368" t="b">
        <f t="shared" si="83"/>
        <v>1</v>
      </c>
      <c r="F5368" s="12">
        <v>0</v>
      </c>
    </row>
    <row r="5369" spans="3:6">
      <c r="C5369" s="12"/>
      <c r="D5369" s="12"/>
      <c r="E5369" t="b">
        <f t="shared" si="83"/>
        <v>1</v>
      </c>
      <c r="F5369" s="12">
        <v>0</v>
      </c>
    </row>
    <row r="5370" spans="3:6">
      <c r="C5370" s="12"/>
      <c r="D5370" s="12"/>
      <c r="E5370" t="b">
        <f t="shared" si="83"/>
        <v>1</v>
      </c>
      <c r="F5370" s="12">
        <v>0</v>
      </c>
    </row>
    <row r="5371" spans="3:6">
      <c r="C5371" s="12"/>
      <c r="D5371" s="12"/>
      <c r="E5371" t="b">
        <f t="shared" si="83"/>
        <v>1</v>
      </c>
      <c r="F5371" s="12">
        <v>0</v>
      </c>
    </row>
    <row r="5372" spans="3:6">
      <c r="C5372" s="12"/>
      <c r="D5372" s="12"/>
      <c r="E5372" t="b">
        <f t="shared" si="83"/>
        <v>1</v>
      </c>
      <c r="F5372" s="12">
        <v>0</v>
      </c>
    </row>
    <row r="5373" spans="3:6">
      <c r="C5373" s="12"/>
      <c r="D5373" s="12"/>
      <c r="E5373" t="b">
        <f t="shared" si="83"/>
        <v>1</v>
      </c>
      <c r="F5373" s="12">
        <v>0</v>
      </c>
    </row>
    <row r="5374" spans="3:6">
      <c r="C5374" s="12"/>
      <c r="D5374" s="12"/>
      <c r="E5374" t="b">
        <f t="shared" si="83"/>
        <v>1</v>
      </c>
      <c r="F5374" s="12">
        <v>0</v>
      </c>
    </row>
    <row r="5375" spans="3:6">
      <c r="C5375" s="12"/>
      <c r="D5375" s="12"/>
      <c r="E5375" t="b">
        <f t="shared" si="83"/>
        <v>1</v>
      </c>
      <c r="F5375" s="12">
        <v>0</v>
      </c>
    </row>
    <row r="5376" spans="3:6">
      <c r="C5376" s="12"/>
      <c r="D5376" s="12"/>
      <c r="E5376" t="b">
        <f t="shared" si="83"/>
        <v>1</v>
      </c>
      <c r="F5376" s="12">
        <v>0</v>
      </c>
    </row>
    <row r="5377" spans="3:6">
      <c r="C5377" s="12"/>
      <c r="D5377" s="12"/>
      <c r="E5377" t="b">
        <f t="shared" si="83"/>
        <v>1</v>
      </c>
      <c r="F5377" s="12">
        <v>0</v>
      </c>
    </row>
    <row r="5378" spans="3:6">
      <c r="C5378" s="12"/>
      <c r="D5378" s="12"/>
      <c r="E5378" t="b">
        <f t="shared" si="83"/>
        <v>1</v>
      </c>
      <c r="F5378" s="12">
        <v>0</v>
      </c>
    </row>
    <row r="5379" spans="3:6">
      <c r="C5379" s="12"/>
      <c r="D5379" s="12"/>
      <c r="E5379" t="b">
        <f t="shared" ref="E5379:E5442" si="84">F5379=C5379</f>
        <v>1</v>
      </c>
      <c r="F5379" s="12">
        <v>0</v>
      </c>
    </row>
    <row r="5380" spans="3:6">
      <c r="C5380" s="12"/>
      <c r="D5380" s="12"/>
      <c r="E5380" t="b">
        <f t="shared" si="84"/>
        <v>1</v>
      </c>
      <c r="F5380" s="12">
        <v>0</v>
      </c>
    </row>
    <row r="5381" spans="3:6">
      <c r="C5381" s="12"/>
      <c r="D5381" s="12"/>
      <c r="E5381" t="b">
        <f t="shared" si="84"/>
        <v>1</v>
      </c>
      <c r="F5381" s="12">
        <v>0</v>
      </c>
    </row>
    <row r="5382" spans="3:6">
      <c r="C5382" s="12"/>
      <c r="D5382" s="12"/>
      <c r="E5382" t="b">
        <f t="shared" si="84"/>
        <v>1</v>
      </c>
      <c r="F5382" s="12">
        <v>0</v>
      </c>
    </row>
    <row r="5383" spans="3:6">
      <c r="C5383" s="12"/>
      <c r="D5383" s="12"/>
      <c r="E5383" t="b">
        <f t="shared" si="84"/>
        <v>1</v>
      </c>
      <c r="F5383" s="12">
        <v>0</v>
      </c>
    </row>
    <row r="5384" spans="3:6">
      <c r="C5384" s="12"/>
      <c r="D5384" s="12"/>
      <c r="E5384" t="b">
        <f t="shared" si="84"/>
        <v>1</v>
      </c>
      <c r="F5384" s="12">
        <v>0</v>
      </c>
    </row>
    <row r="5385" spans="3:6">
      <c r="C5385" s="12"/>
      <c r="D5385" s="12"/>
      <c r="E5385" t="b">
        <f t="shared" si="84"/>
        <v>1</v>
      </c>
      <c r="F5385" s="12">
        <v>0</v>
      </c>
    </row>
    <row r="5386" spans="3:6">
      <c r="C5386" s="12"/>
      <c r="D5386" s="12"/>
      <c r="E5386" t="b">
        <f t="shared" si="84"/>
        <v>1</v>
      </c>
      <c r="F5386" s="12">
        <v>0</v>
      </c>
    </row>
    <row r="5387" spans="3:6">
      <c r="C5387" s="12"/>
      <c r="D5387" s="12"/>
      <c r="E5387" t="b">
        <f t="shared" si="84"/>
        <v>1</v>
      </c>
      <c r="F5387" s="12">
        <v>0</v>
      </c>
    </row>
    <row r="5388" spans="3:6">
      <c r="C5388" s="12"/>
      <c r="D5388" s="12"/>
      <c r="E5388" t="b">
        <f t="shared" si="84"/>
        <v>1</v>
      </c>
      <c r="F5388" s="12">
        <v>0</v>
      </c>
    </row>
    <row r="5389" spans="3:6">
      <c r="C5389" s="12"/>
      <c r="D5389" s="12"/>
      <c r="E5389" t="b">
        <f t="shared" si="84"/>
        <v>1</v>
      </c>
      <c r="F5389" s="12">
        <v>0</v>
      </c>
    </row>
    <row r="5390" spans="3:6">
      <c r="C5390" s="12"/>
      <c r="D5390" s="12"/>
      <c r="E5390" t="b">
        <f t="shared" si="84"/>
        <v>1</v>
      </c>
      <c r="F5390" s="12">
        <v>0</v>
      </c>
    </row>
    <row r="5391" spans="3:6">
      <c r="C5391" s="12"/>
      <c r="D5391" s="12"/>
      <c r="E5391" t="b">
        <f t="shared" si="84"/>
        <v>1</v>
      </c>
      <c r="F5391" s="12">
        <v>0</v>
      </c>
    </row>
    <row r="5392" spans="3:6">
      <c r="C5392" s="12"/>
      <c r="D5392" s="12"/>
      <c r="E5392" t="b">
        <f t="shared" si="84"/>
        <v>1</v>
      </c>
      <c r="F5392" s="12">
        <v>0</v>
      </c>
    </row>
    <row r="5393" spans="3:6">
      <c r="C5393" s="12"/>
      <c r="D5393" s="12"/>
      <c r="E5393" t="b">
        <f t="shared" si="84"/>
        <v>1</v>
      </c>
      <c r="F5393" s="12">
        <v>0</v>
      </c>
    </row>
    <row r="5394" spans="3:6">
      <c r="C5394" s="12"/>
      <c r="D5394" s="12"/>
      <c r="E5394" t="b">
        <f t="shared" si="84"/>
        <v>1</v>
      </c>
      <c r="F5394" s="12">
        <v>0</v>
      </c>
    </row>
    <row r="5395" spans="3:6">
      <c r="C5395" s="12"/>
      <c r="D5395" s="12"/>
      <c r="E5395" t="b">
        <f t="shared" si="84"/>
        <v>1</v>
      </c>
      <c r="F5395" s="12">
        <v>0</v>
      </c>
    </row>
    <row r="5396" spans="3:6">
      <c r="C5396" s="12"/>
      <c r="D5396" s="12"/>
      <c r="E5396" t="b">
        <f t="shared" si="84"/>
        <v>1</v>
      </c>
      <c r="F5396" s="12">
        <v>0</v>
      </c>
    </row>
    <row r="5397" spans="3:6">
      <c r="C5397" s="12"/>
      <c r="D5397" s="12"/>
      <c r="E5397" t="b">
        <f t="shared" si="84"/>
        <v>1</v>
      </c>
      <c r="F5397" s="12">
        <v>0</v>
      </c>
    </row>
    <row r="5398" spans="3:6">
      <c r="C5398" s="12"/>
      <c r="D5398" s="12"/>
      <c r="E5398" t="b">
        <f t="shared" si="84"/>
        <v>1</v>
      </c>
      <c r="F5398" s="12">
        <v>0</v>
      </c>
    </row>
    <row r="5399" spans="3:6">
      <c r="C5399" s="12"/>
      <c r="D5399" s="12"/>
      <c r="E5399" t="b">
        <f t="shared" si="84"/>
        <v>1</v>
      </c>
      <c r="F5399" s="12">
        <v>0</v>
      </c>
    </row>
    <row r="5400" spans="3:6">
      <c r="C5400" s="12"/>
      <c r="D5400" s="12"/>
      <c r="E5400" t="b">
        <f t="shared" si="84"/>
        <v>1</v>
      </c>
      <c r="F5400" s="12">
        <v>0</v>
      </c>
    </row>
    <row r="5401" spans="3:6">
      <c r="C5401" s="12"/>
      <c r="D5401" s="12"/>
      <c r="E5401" t="b">
        <f t="shared" si="84"/>
        <v>1</v>
      </c>
      <c r="F5401" s="12">
        <v>0</v>
      </c>
    </row>
    <row r="5402" spans="3:6">
      <c r="C5402" s="12"/>
      <c r="D5402" s="12"/>
      <c r="E5402" t="b">
        <f t="shared" si="84"/>
        <v>1</v>
      </c>
      <c r="F5402" s="12">
        <v>0</v>
      </c>
    </row>
    <row r="5403" spans="3:6">
      <c r="C5403" s="12"/>
      <c r="D5403" s="12"/>
      <c r="E5403" t="b">
        <f t="shared" si="84"/>
        <v>1</v>
      </c>
      <c r="F5403" s="12">
        <v>0</v>
      </c>
    </row>
    <row r="5404" spans="3:6">
      <c r="C5404" s="12"/>
      <c r="D5404" s="12"/>
      <c r="E5404" t="b">
        <f t="shared" si="84"/>
        <v>1</v>
      </c>
      <c r="F5404" s="12">
        <v>0</v>
      </c>
    </row>
    <row r="5405" spans="3:6">
      <c r="C5405" s="12"/>
      <c r="D5405" s="12"/>
      <c r="E5405" t="b">
        <f t="shared" si="84"/>
        <v>1</v>
      </c>
      <c r="F5405" s="12">
        <v>0</v>
      </c>
    </row>
    <row r="5406" spans="3:6">
      <c r="C5406" s="12"/>
      <c r="D5406" s="12"/>
      <c r="E5406" t="b">
        <f t="shared" si="84"/>
        <v>1</v>
      </c>
      <c r="F5406" s="12">
        <v>0</v>
      </c>
    </row>
    <row r="5407" spans="3:6">
      <c r="C5407" s="12"/>
      <c r="D5407" s="12"/>
      <c r="E5407" t="b">
        <f t="shared" si="84"/>
        <v>1</v>
      </c>
      <c r="F5407" s="12">
        <v>0</v>
      </c>
    </row>
    <row r="5408" spans="3:6">
      <c r="C5408" s="12"/>
      <c r="D5408" s="12"/>
      <c r="E5408" t="b">
        <f t="shared" si="84"/>
        <v>1</v>
      </c>
      <c r="F5408" s="12">
        <v>0</v>
      </c>
    </row>
    <row r="5409" spans="3:6">
      <c r="C5409" s="12"/>
      <c r="D5409" s="12"/>
      <c r="E5409" t="b">
        <f t="shared" si="84"/>
        <v>1</v>
      </c>
      <c r="F5409" s="12">
        <v>0</v>
      </c>
    </row>
    <row r="5410" spans="3:6">
      <c r="C5410" s="12"/>
      <c r="D5410" s="12"/>
      <c r="E5410" t="b">
        <f t="shared" si="84"/>
        <v>1</v>
      </c>
      <c r="F5410" s="12">
        <v>0</v>
      </c>
    </row>
    <row r="5411" spans="3:6">
      <c r="C5411" s="12"/>
      <c r="D5411" s="12"/>
      <c r="E5411" t="b">
        <f t="shared" si="84"/>
        <v>1</v>
      </c>
      <c r="F5411" s="12">
        <v>0</v>
      </c>
    </row>
    <row r="5412" spans="3:6">
      <c r="C5412" s="12"/>
      <c r="D5412" s="12"/>
      <c r="E5412" t="b">
        <f t="shared" si="84"/>
        <v>1</v>
      </c>
      <c r="F5412" s="12">
        <v>0</v>
      </c>
    </row>
    <row r="5413" spans="3:6">
      <c r="C5413" s="12"/>
      <c r="D5413" s="12"/>
      <c r="E5413" t="b">
        <f t="shared" si="84"/>
        <v>1</v>
      </c>
      <c r="F5413" s="12">
        <v>0</v>
      </c>
    </row>
    <row r="5414" spans="3:6">
      <c r="C5414" s="12"/>
      <c r="D5414" s="12"/>
      <c r="E5414" t="b">
        <f t="shared" si="84"/>
        <v>1</v>
      </c>
      <c r="F5414" s="12">
        <v>0</v>
      </c>
    </row>
    <row r="5415" spans="3:6">
      <c r="C5415" s="12"/>
      <c r="D5415" s="12"/>
      <c r="E5415" t="b">
        <f t="shared" si="84"/>
        <v>1</v>
      </c>
      <c r="F5415" s="12">
        <v>0</v>
      </c>
    </row>
    <row r="5416" spans="3:6">
      <c r="C5416" s="12"/>
      <c r="D5416" s="12"/>
      <c r="E5416" t="b">
        <f t="shared" si="84"/>
        <v>1</v>
      </c>
      <c r="F5416" s="12">
        <v>0</v>
      </c>
    </row>
    <row r="5417" spans="3:6">
      <c r="C5417" s="12"/>
      <c r="D5417" s="12"/>
      <c r="E5417" t="b">
        <f t="shared" si="84"/>
        <v>1</v>
      </c>
      <c r="F5417" s="12">
        <v>0</v>
      </c>
    </row>
    <row r="5418" spans="3:6">
      <c r="C5418" s="12"/>
      <c r="D5418" s="12"/>
      <c r="E5418" t="b">
        <f t="shared" si="84"/>
        <v>1</v>
      </c>
      <c r="F5418" s="12">
        <v>0</v>
      </c>
    </row>
    <row r="5419" spans="3:6">
      <c r="C5419" s="12"/>
      <c r="D5419" s="12"/>
      <c r="E5419" t="b">
        <f t="shared" si="84"/>
        <v>1</v>
      </c>
      <c r="F5419" s="12">
        <v>0</v>
      </c>
    </row>
    <row r="5420" spans="3:6">
      <c r="C5420" s="12"/>
      <c r="D5420" s="12"/>
      <c r="E5420" t="b">
        <f t="shared" si="84"/>
        <v>1</v>
      </c>
      <c r="F5420" s="12">
        <v>0</v>
      </c>
    </row>
    <row r="5421" spans="3:6">
      <c r="C5421" s="12"/>
      <c r="D5421" s="12"/>
      <c r="E5421" t="b">
        <f t="shared" si="84"/>
        <v>1</v>
      </c>
      <c r="F5421" s="12">
        <v>0</v>
      </c>
    </row>
    <row r="5422" spans="3:6">
      <c r="C5422" s="12"/>
      <c r="D5422" s="12"/>
      <c r="E5422" t="b">
        <f t="shared" si="84"/>
        <v>1</v>
      </c>
      <c r="F5422" s="12">
        <v>0</v>
      </c>
    </row>
    <row r="5423" spans="3:6">
      <c r="C5423" s="12"/>
      <c r="D5423" s="12"/>
      <c r="E5423" t="b">
        <f t="shared" si="84"/>
        <v>1</v>
      </c>
      <c r="F5423" s="12">
        <v>0</v>
      </c>
    </row>
    <row r="5424" spans="3:6">
      <c r="C5424" s="12"/>
      <c r="D5424" s="12"/>
      <c r="E5424" t="b">
        <f t="shared" si="84"/>
        <v>1</v>
      </c>
      <c r="F5424" s="12">
        <v>0</v>
      </c>
    </row>
    <row r="5425" spans="3:6">
      <c r="C5425" s="12"/>
      <c r="D5425" s="12"/>
      <c r="E5425" t="b">
        <f t="shared" si="84"/>
        <v>1</v>
      </c>
      <c r="F5425" s="12">
        <v>0</v>
      </c>
    </row>
    <row r="5426" spans="3:6">
      <c r="C5426" s="12"/>
      <c r="D5426" s="12"/>
      <c r="E5426" t="b">
        <f t="shared" si="84"/>
        <v>1</v>
      </c>
      <c r="F5426" s="12">
        <v>0</v>
      </c>
    </row>
    <row r="5427" spans="3:6">
      <c r="C5427" s="12"/>
      <c r="D5427" s="12"/>
      <c r="E5427" t="b">
        <f t="shared" si="84"/>
        <v>1</v>
      </c>
      <c r="F5427" s="12">
        <v>0</v>
      </c>
    </row>
    <row r="5428" spans="3:6">
      <c r="C5428" s="12"/>
      <c r="D5428" s="12"/>
      <c r="E5428" t="b">
        <f t="shared" si="84"/>
        <v>1</v>
      </c>
      <c r="F5428" s="12">
        <v>0</v>
      </c>
    </row>
    <row r="5429" spans="3:6">
      <c r="C5429" s="12"/>
      <c r="D5429" s="12"/>
      <c r="E5429" t="b">
        <f t="shared" si="84"/>
        <v>1</v>
      </c>
      <c r="F5429" s="12">
        <v>0</v>
      </c>
    </row>
    <row r="5430" spans="3:6">
      <c r="C5430" s="12"/>
      <c r="D5430" s="12"/>
      <c r="E5430" t="b">
        <f t="shared" si="84"/>
        <v>1</v>
      </c>
      <c r="F5430" s="12">
        <v>0</v>
      </c>
    </row>
    <row r="5431" spans="3:6">
      <c r="C5431" s="12"/>
      <c r="D5431" s="12"/>
      <c r="E5431" t="b">
        <f t="shared" si="84"/>
        <v>1</v>
      </c>
      <c r="F5431" s="12">
        <v>0</v>
      </c>
    </row>
    <row r="5432" spans="3:6">
      <c r="C5432" s="12"/>
      <c r="D5432" s="12"/>
      <c r="E5432" t="b">
        <f t="shared" si="84"/>
        <v>1</v>
      </c>
      <c r="F5432" s="12">
        <v>0</v>
      </c>
    </row>
    <row r="5433" spans="3:6">
      <c r="C5433" s="12"/>
      <c r="D5433" s="12"/>
      <c r="E5433" t="b">
        <f t="shared" si="84"/>
        <v>1</v>
      </c>
      <c r="F5433" s="12">
        <v>0</v>
      </c>
    </row>
    <row r="5434" spans="3:6">
      <c r="C5434" s="12"/>
      <c r="D5434" s="12"/>
      <c r="E5434" t="b">
        <f t="shared" si="84"/>
        <v>1</v>
      </c>
      <c r="F5434" s="12">
        <v>0</v>
      </c>
    </row>
    <row r="5435" spans="3:6">
      <c r="C5435" s="12"/>
      <c r="D5435" s="12"/>
      <c r="E5435" t="b">
        <f t="shared" si="84"/>
        <v>1</v>
      </c>
      <c r="F5435" s="12">
        <v>0</v>
      </c>
    </row>
    <row r="5436" spans="3:6">
      <c r="C5436" s="12"/>
      <c r="D5436" s="12"/>
      <c r="E5436" t="b">
        <f t="shared" si="84"/>
        <v>1</v>
      </c>
      <c r="F5436" s="12">
        <v>0</v>
      </c>
    </row>
    <row r="5437" spans="3:6">
      <c r="C5437" s="12"/>
      <c r="D5437" s="12"/>
      <c r="E5437" t="b">
        <f t="shared" si="84"/>
        <v>1</v>
      </c>
      <c r="F5437" s="12">
        <v>0</v>
      </c>
    </row>
    <row r="5438" spans="3:6">
      <c r="C5438" s="12"/>
      <c r="D5438" s="12"/>
      <c r="E5438" t="b">
        <f t="shared" si="84"/>
        <v>1</v>
      </c>
      <c r="F5438" s="12">
        <v>0</v>
      </c>
    </row>
    <row r="5439" spans="3:6">
      <c r="C5439" s="12"/>
      <c r="D5439" s="12"/>
      <c r="E5439" t="b">
        <f t="shared" si="84"/>
        <v>1</v>
      </c>
      <c r="F5439" s="12">
        <v>0</v>
      </c>
    </row>
    <row r="5440" spans="3:6">
      <c r="C5440" s="12"/>
      <c r="D5440" s="12"/>
      <c r="E5440" t="b">
        <f t="shared" si="84"/>
        <v>1</v>
      </c>
      <c r="F5440" s="12">
        <v>0</v>
      </c>
    </row>
    <row r="5441" spans="3:6">
      <c r="C5441" s="12"/>
      <c r="D5441" s="12"/>
      <c r="E5441" t="b">
        <f t="shared" si="84"/>
        <v>1</v>
      </c>
      <c r="F5441" s="12">
        <v>0</v>
      </c>
    </row>
    <row r="5442" spans="3:6">
      <c r="C5442" s="12"/>
      <c r="D5442" s="12"/>
      <c r="E5442" t="b">
        <f t="shared" si="84"/>
        <v>1</v>
      </c>
      <c r="F5442" s="12">
        <v>0</v>
      </c>
    </row>
    <row r="5443" spans="3:6">
      <c r="C5443" s="12"/>
      <c r="D5443" s="12"/>
      <c r="E5443" t="b">
        <f t="shared" ref="E5443:E5506" si="85">F5443=C5443</f>
        <v>1</v>
      </c>
      <c r="F5443" s="12">
        <v>0</v>
      </c>
    </row>
    <row r="5444" spans="3:6">
      <c r="C5444" s="12"/>
      <c r="D5444" s="12"/>
      <c r="E5444" t="b">
        <f t="shared" si="85"/>
        <v>1</v>
      </c>
      <c r="F5444" s="12">
        <v>0</v>
      </c>
    </row>
    <row r="5445" spans="3:6">
      <c r="C5445" s="12"/>
      <c r="D5445" s="12"/>
      <c r="E5445" t="b">
        <f t="shared" si="85"/>
        <v>1</v>
      </c>
      <c r="F5445" s="12">
        <v>0</v>
      </c>
    </row>
    <row r="5446" spans="3:6">
      <c r="C5446" s="12"/>
      <c r="D5446" s="12"/>
      <c r="E5446" t="b">
        <f t="shared" si="85"/>
        <v>1</v>
      </c>
      <c r="F5446" s="12">
        <v>0</v>
      </c>
    </row>
    <row r="5447" spans="3:6">
      <c r="C5447" s="12"/>
      <c r="D5447" s="12"/>
      <c r="E5447" t="b">
        <f t="shared" si="85"/>
        <v>1</v>
      </c>
      <c r="F5447" s="12">
        <v>0</v>
      </c>
    </row>
    <row r="5448" spans="3:6">
      <c r="C5448" s="12"/>
      <c r="D5448" s="12"/>
      <c r="E5448" t="b">
        <f t="shared" si="85"/>
        <v>1</v>
      </c>
      <c r="F5448" s="12">
        <v>0</v>
      </c>
    </row>
    <row r="5449" spans="3:6">
      <c r="C5449" s="12"/>
      <c r="D5449" s="12"/>
      <c r="E5449" t="b">
        <f t="shared" si="85"/>
        <v>1</v>
      </c>
      <c r="F5449" s="12">
        <v>0</v>
      </c>
    </row>
    <row r="5450" spans="3:6">
      <c r="C5450" s="12"/>
      <c r="D5450" s="12"/>
      <c r="E5450" t="b">
        <f t="shared" si="85"/>
        <v>1</v>
      </c>
      <c r="F5450" s="12">
        <v>0</v>
      </c>
    </row>
    <row r="5451" spans="3:6">
      <c r="C5451" s="12"/>
      <c r="D5451" s="12"/>
      <c r="E5451" t="b">
        <f t="shared" si="85"/>
        <v>1</v>
      </c>
      <c r="F5451" s="12">
        <v>0</v>
      </c>
    </row>
    <row r="5452" spans="3:6">
      <c r="C5452" s="12"/>
      <c r="D5452" s="12"/>
      <c r="E5452" t="b">
        <f t="shared" si="85"/>
        <v>1</v>
      </c>
      <c r="F5452" s="12">
        <v>0</v>
      </c>
    </row>
    <row r="5453" spans="3:6">
      <c r="C5453" s="12"/>
      <c r="D5453" s="12"/>
      <c r="E5453" t="b">
        <f t="shared" si="85"/>
        <v>1</v>
      </c>
      <c r="F5453" s="12">
        <v>0</v>
      </c>
    </row>
    <row r="5454" spans="3:6">
      <c r="C5454" s="12"/>
      <c r="D5454" s="12"/>
      <c r="E5454" t="b">
        <f t="shared" si="85"/>
        <v>1</v>
      </c>
      <c r="F5454" s="12">
        <v>0</v>
      </c>
    </row>
    <row r="5455" spans="3:6">
      <c r="C5455" s="12"/>
      <c r="D5455" s="12"/>
      <c r="E5455" t="b">
        <f t="shared" si="85"/>
        <v>1</v>
      </c>
      <c r="F5455" s="12">
        <v>0</v>
      </c>
    </row>
    <row r="5456" spans="3:6">
      <c r="C5456" s="12"/>
      <c r="D5456" s="12"/>
      <c r="E5456" t="b">
        <f t="shared" si="85"/>
        <v>1</v>
      </c>
      <c r="F5456" s="12">
        <v>0</v>
      </c>
    </row>
    <row r="5457" spans="3:6">
      <c r="C5457" s="12"/>
      <c r="D5457" s="12"/>
      <c r="E5457" t="b">
        <f t="shared" si="85"/>
        <v>1</v>
      </c>
      <c r="F5457" s="12">
        <v>0</v>
      </c>
    </row>
    <row r="5458" spans="3:6">
      <c r="C5458" s="12"/>
      <c r="D5458" s="12"/>
      <c r="E5458" t="b">
        <f t="shared" si="85"/>
        <v>1</v>
      </c>
      <c r="F5458" s="12">
        <v>0</v>
      </c>
    </row>
    <row r="5459" spans="3:6">
      <c r="C5459" s="12"/>
      <c r="D5459" s="12"/>
      <c r="E5459" t="b">
        <f t="shared" si="85"/>
        <v>1</v>
      </c>
      <c r="F5459" s="12">
        <v>0</v>
      </c>
    </row>
    <row r="5460" spans="3:6">
      <c r="C5460" s="12"/>
      <c r="D5460" s="12"/>
      <c r="E5460" t="b">
        <f t="shared" si="85"/>
        <v>1</v>
      </c>
      <c r="F5460" s="12">
        <v>0</v>
      </c>
    </row>
    <row r="5461" spans="3:6">
      <c r="C5461" s="12"/>
      <c r="D5461" s="12"/>
      <c r="E5461" t="b">
        <f t="shared" si="85"/>
        <v>1</v>
      </c>
      <c r="F5461" s="12">
        <v>0</v>
      </c>
    </row>
    <row r="5462" spans="3:6">
      <c r="C5462" s="12"/>
      <c r="D5462" s="12"/>
      <c r="E5462" t="b">
        <f t="shared" si="85"/>
        <v>1</v>
      </c>
      <c r="F5462" s="12">
        <v>0</v>
      </c>
    </row>
    <row r="5463" spans="3:6">
      <c r="C5463" s="12"/>
      <c r="D5463" s="12"/>
      <c r="E5463" t="b">
        <f t="shared" si="85"/>
        <v>1</v>
      </c>
      <c r="F5463" s="12">
        <v>0</v>
      </c>
    </row>
    <row r="5464" spans="3:6">
      <c r="C5464" s="12"/>
      <c r="D5464" s="12"/>
      <c r="E5464" t="b">
        <f t="shared" si="85"/>
        <v>1</v>
      </c>
      <c r="F5464" s="12">
        <v>0</v>
      </c>
    </row>
    <row r="5465" spans="3:6">
      <c r="C5465" s="12"/>
      <c r="D5465" s="12"/>
      <c r="E5465" t="b">
        <f t="shared" si="85"/>
        <v>1</v>
      </c>
      <c r="F5465" s="12">
        <v>0</v>
      </c>
    </row>
    <row r="5466" spans="3:6">
      <c r="C5466" s="12"/>
      <c r="D5466" s="12"/>
      <c r="E5466" t="b">
        <f t="shared" si="85"/>
        <v>1</v>
      </c>
      <c r="F5466" s="12">
        <v>0</v>
      </c>
    </row>
    <row r="5467" spans="3:6">
      <c r="C5467" s="12"/>
      <c r="D5467" s="12"/>
      <c r="E5467" t="b">
        <f t="shared" si="85"/>
        <v>1</v>
      </c>
      <c r="F5467" s="12">
        <v>0</v>
      </c>
    </row>
    <row r="5468" spans="3:6">
      <c r="C5468" s="12"/>
      <c r="D5468" s="12"/>
      <c r="E5468" t="b">
        <f t="shared" si="85"/>
        <v>1</v>
      </c>
      <c r="F5468" s="12">
        <v>0</v>
      </c>
    </row>
    <row r="5469" spans="3:6">
      <c r="C5469" s="12"/>
      <c r="D5469" s="12"/>
      <c r="E5469" t="b">
        <f t="shared" si="85"/>
        <v>1</v>
      </c>
      <c r="F5469" s="12">
        <v>0</v>
      </c>
    </row>
    <row r="5470" spans="3:6">
      <c r="C5470" s="12"/>
      <c r="D5470" s="12"/>
      <c r="E5470" t="b">
        <f t="shared" si="85"/>
        <v>1</v>
      </c>
      <c r="F5470" s="12">
        <v>0</v>
      </c>
    </row>
    <row r="5471" spans="3:6">
      <c r="C5471" s="12"/>
      <c r="D5471" s="12"/>
      <c r="E5471" t="b">
        <f t="shared" si="85"/>
        <v>1</v>
      </c>
      <c r="F5471" s="12">
        <v>0</v>
      </c>
    </row>
    <row r="5472" spans="3:6">
      <c r="C5472" s="12"/>
      <c r="D5472" s="12"/>
      <c r="E5472" t="b">
        <f t="shared" si="85"/>
        <v>1</v>
      </c>
      <c r="F5472" s="12">
        <v>0</v>
      </c>
    </row>
    <row r="5473" spans="3:6">
      <c r="C5473" s="12"/>
      <c r="D5473" s="12"/>
      <c r="E5473" t="b">
        <f t="shared" si="85"/>
        <v>1</v>
      </c>
      <c r="F5473" s="12">
        <v>0</v>
      </c>
    </row>
    <row r="5474" spans="3:6">
      <c r="C5474" s="12"/>
      <c r="D5474" s="12"/>
      <c r="E5474" t="b">
        <f t="shared" si="85"/>
        <v>1</v>
      </c>
      <c r="F5474" s="12">
        <v>0</v>
      </c>
    </row>
    <row r="5475" spans="3:6">
      <c r="C5475" s="12"/>
      <c r="D5475" s="12"/>
      <c r="E5475" t="b">
        <f t="shared" si="85"/>
        <v>1</v>
      </c>
      <c r="F5475" s="12">
        <v>0</v>
      </c>
    </row>
    <row r="5476" spans="3:6">
      <c r="C5476" s="12"/>
      <c r="D5476" s="12"/>
      <c r="E5476" t="b">
        <f t="shared" si="85"/>
        <v>1</v>
      </c>
      <c r="F5476" s="12">
        <v>0</v>
      </c>
    </row>
    <row r="5477" spans="3:6">
      <c r="C5477" s="12"/>
      <c r="D5477" s="12"/>
      <c r="E5477" t="b">
        <f t="shared" si="85"/>
        <v>1</v>
      </c>
      <c r="F5477" s="12">
        <v>0</v>
      </c>
    </row>
    <row r="5478" spans="3:6">
      <c r="C5478" s="12"/>
      <c r="D5478" s="12"/>
      <c r="E5478" t="b">
        <f t="shared" si="85"/>
        <v>1</v>
      </c>
      <c r="F5478" s="12">
        <v>0</v>
      </c>
    </row>
    <row r="5479" spans="3:6">
      <c r="C5479" s="12"/>
      <c r="D5479" s="12"/>
      <c r="E5479" t="b">
        <f t="shared" si="85"/>
        <v>1</v>
      </c>
      <c r="F5479" s="12">
        <v>0</v>
      </c>
    </row>
    <row r="5480" spans="3:6">
      <c r="C5480" s="12"/>
      <c r="D5480" s="12"/>
      <c r="E5480" t="b">
        <f t="shared" si="85"/>
        <v>1</v>
      </c>
      <c r="F5480" s="12">
        <v>0</v>
      </c>
    </row>
    <row r="5481" spans="3:6">
      <c r="C5481" s="12"/>
      <c r="D5481" s="12"/>
      <c r="E5481" t="b">
        <f t="shared" si="85"/>
        <v>1</v>
      </c>
      <c r="F5481" s="12">
        <v>0</v>
      </c>
    </row>
    <row r="5482" spans="3:6">
      <c r="C5482" s="12"/>
      <c r="D5482" s="12"/>
      <c r="E5482" t="b">
        <f t="shared" si="85"/>
        <v>1</v>
      </c>
      <c r="F5482" s="12">
        <v>0</v>
      </c>
    </row>
    <row r="5483" spans="3:6">
      <c r="C5483" s="12"/>
      <c r="D5483" s="12"/>
      <c r="E5483" t="b">
        <f t="shared" si="85"/>
        <v>1</v>
      </c>
      <c r="F5483" s="12">
        <v>0</v>
      </c>
    </row>
    <row r="5484" spans="3:6">
      <c r="C5484" s="12"/>
      <c r="D5484" s="12"/>
      <c r="E5484" t="b">
        <f t="shared" si="85"/>
        <v>1</v>
      </c>
      <c r="F5484" s="12">
        <v>0</v>
      </c>
    </row>
    <row r="5485" spans="3:6">
      <c r="C5485" s="12"/>
      <c r="D5485" s="12"/>
      <c r="E5485" t="b">
        <f t="shared" si="85"/>
        <v>1</v>
      </c>
      <c r="F5485" s="12">
        <v>0</v>
      </c>
    </row>
    <row r="5486" spans="3:6">
      <c r="C5486" s="12"/>
      <c r="D5486" s="12"/>
      <c r="E5486" t="b">
        <f t="shared" si="85"/>
        <v>1</v>
      </c>
      <c r="F5486" s="12">
        <v>0</v>
      </c>
    </row>
    <row r="5487" spans="3:6">
      <c r="C5487" s="12"/>
      <c r="D5487" s="12"/>
      <c r="E5487" t="b">
        <f t="shared" si="85"/>
        <v>1</v>
      </c>
      <c r="F5487" s="12">
        <v>0</v>
      </c>
    </row>
    <row r="5488" spans="3:6">
      <c r="C5488" s="12"/>
      <c r="D5488" s="12"/>
      <c r="E5488" t="b">
        <f t="shared" si="85"/>
        <v>1</v>
      </c>
      <c r="F5488" s="12">
        <v>0</v>
      </c>
    </row>
    <row r="5489" spans="3:6">
      <c r="C5489" s="12"/>
      <c r="D5489" s="12"/>
      <c r="E5489" t="b">
        <f t="shared" si="85"/>
        <v>1</v>
      </c>
      <c r="F5489" s="12">
        <v>0</v>
      </c>
    </row>
    <row r="5490" spans="3:6">
      <c r="C5490" s="12"/>
      <c r="D5490" s="12"/>
      <c r="E5490" t="b">
        <f t="shared" si="85"/>
        <v>1</v>
      </c>
      <c r="F5490" s="12">
        <v>0</v>
      </c>
    </row>
    <row r="5491" spans="3:6">
      <c r="C5491" s="12"/>
      <c r="D5491" s="12"/>
      <c r="E5491" t="b">
        <f t="shared" si="85"/>
        <v>1</v>
      </c>
      <c r="F5491" s="12">
        <v>0</v>
      </c>
    </row>
    <row r="5492" spans="3:6">
      <c r="C5492" s="12"/>
      <c r="D5492" s="12"/>
      <c r="E5492" t="b">
        <f t="shared" si="85"/>
        <v>1</v>
      </c>
      <c r="F5492" s="12">
        <v>0</v>
      </c>
    </row>
    <row r="5493" spans="3:6">
      <c r="C5493" s="12"/>
      <c r="D5493" s="12"/>
      <c r="E5493" t="b">
        <f t="shared" si="85"/>
        <v>1</v>
      </c>
      <c r="F5493" s="12">
        <v>0</v>
      </c>
    </row>
    <row r="5494" spans="3:6">
      <c r="C5494" s="12"/>
      <c r="D5494" s="12"/>
      <c r="E5494" t="b">
        <f t="shared" si="85"/>
        <v>1</v>
      </c>
      <c r="F5494" s="12">
        <v>0</v>
      </c>
    </row>
    <row r="5495" spans="3:6">
      <c r="C5495" s="12"/>
      <c r="D5495" s="12"/>
      <c r="E5495" t="b">
        <f t="shared" si="85"/>
        <v>1</v>
      </c>
      <c r="F5495" s="12">
        <v>0</v>
      </c>
    </row>
    <row r="5496" spans="3:6">
      <c r="C5496" s="12"/>
      <c r="D5496" s="12"/>
      <c r="E5496" t="b">
        <f t="shared" si="85"/>
        <v>1</v>
      </c>
      <c r="F5496" s="12">
        <v>0</v>
      </c>
    </row>
    <row r="5497" spans="3:6">
      <c r="C5497" s="12"/>
      <c r="D5497" s="12"/>
      <c r="E5497" t="b">
        <f t="shared" si="85"/>
        <v>1</v>
      </c>
      <c r="F5497" s="12">
        <v>0</v>
      </c>
    </row>
    <row r="5498" spans="3:6">
      <c r="C5498" s="12"/>
      <c r="D5498" s="12"/>
      <c r="E5498" t="b">
        <f t="shared" si="85"/>
        <v>1</v>
      </c>
      <c r="F5498" s="12">
        <v>0</v>
      </c>
    </row>
    <row r="5499" spans="3:6">
      <c r="C5499" s="12"/>
      <c r="D5499" s="12"/>
      <c r="E5499" t="b">
        <f t="shared" si="85"/>
        <v>1</v>
      </c>
      <c r="F5499" s="12">
        <v>0</v>
      </c>
    </row>
    <row r="5500" spans="3:6">
      <c r="C5500" s="12"/>
      <c r="D5500" s="12"/>
      <c r="E5500" t="b">
        <f t="shared" si="85"/>
        <v>1</v>
      </c>
      <c r="F5500" s="12">
        <v>0</v>
      </c>
    </row>
    <row r="5501" spans="3:6">
      <c r="C5501" s="12"/>
      <c r="D5501" s="12"/>
      <c r="E5501" t="b">
        <f t="shared" si="85"/>
        <v>1</v>
      </c>
      <c r="F5501" s="12">
        <v>0</v>
      </c>
    </row>
    <row r="5502" spans="3:6">
      <c r="C5502" s="12"/>
      <c r="D5502" s="12"/>
      <c r="E5502" t="b">
        <f t="shared" si="85"/>
        <v>1</v>
      </c>
      <c r="F5502" s="12">
        <v>0</v>
      </c>
    </row>
    <row r="5503" spans="3:6">
      <c r="C5503" s="12"/>
      <c r="D5503" s="12"/>
      <c r="E5503" t="b">
        <f t="shared" si="85"/>
        <v>1</v>
      </c>
      <c r="F5503" s="12">
        <v>0</v>
      </c>
    </row>
    <row r="5504" spans="3:6">
      <c r="C5504" s="12"/>
      <c r="D5504" s="12"/>
      <c r="E5504" t="b">
        <f t="shared" si="85"/>
        <v>1</v>
      </c>
      <c r="F5504" s="12">
        <v>0</v>
      </c>
    </row>
    <row r="5505" spans="3:6">
      <c r="C5505" s="12"/>
      <c r="D5505" s="12"/>
      <c r="E5505" t="b">
        <f t="shared" si="85"/>
        <v>1</v>
      </c>
      <c r="F5505" s="12">
        <v>0</v>
      </c>
    </row>
    <row r="5506" spans="3:6">
      <c r="C5506" s="12"/>
      <c r="D5506" s="12"/>
      <c r="E5506" t="b">
        <f t="shared" si="85"/>
        <v>1</v>
      </c>
      <c r="F5506" s="12">
        <v>0</v>
      </c>
    </row>
    <row r="5507" spans="3:6">
      <c r="C5507" s="12"/>
      <c r="D5507" s="12"/>
      <c r="E5507" t="b">
        <f t="shared" ref="E5507:E5570" si="86">F5507=C5507</f>
        <v>1</v>
      </c>
      <c r="F5507" s="12">
        <v>0</v>
      </c>
    </row>
    <row r="5508" spans="3:6">
      <c r="C5508" s="12"/>
      <c r="D5508" s="12"/>
      <c r="E5508" t="b">
        <f t="shared" si="86"/>
        <v>1</v>
      </c>
      <c r="F5508" s="12">
        <v>0</v>
      </c>
    </row>
    <row r="5509" spans="3:6">
      <c r="C5509" s="12"/>
      <c r="D5509" s="12"/>
      <c r="E5509" t="b">
        <f t="shared" si="86"/>
        <v>1</v>
      </c>
      <c r="F5509" s="12">
        <v>0</v>
      </c>
    </row>
    <row r="5510" spans="3:6">
      <c r="C5510" s="12"/>
      <c r="D5510" s="12"/>
      <c r="E5510" t="b">
        <f t="shared" si="86"/>
        <v>1</v>
      </c>
      <c r="F5510" s="12">
        <v>0</v>
      </c>
    </row>
    <row r="5511" spans="3:6">
      <c r="C5511" s="12"/>
      <c r="D5511" s="12"/>
      <c r="E5511" t="b">
        <f t="shared" si="86"/>
        <v>1</v>
      </c>
      <c r="F5511" s="12">
        <v>0</v>
      </c>
    </row>
    <row r="5512" spans="3:6">
      <c r="C5512" s="12"/>
      <c r="D5512" s="12"/>
      <c r="E5512" t="b">
        <f t="shared" si="86"/>
        <v>1</v>
      </c>
      <c r="F5512" s="12">
        <v>0</v>
      </c>
    </row>
    <row r="5513" spans="3:6">
      <c r="C5513" s="12"/>
      <c r="D5513" s="12"/>
      <c r="E5513" t="b">
        <f t="shared" si="86"/>
        <v>1</v>
      </c>
      <c r="F5513" s="12">
        <v>0</v>
      </c>
    </row>
    <row r="5514" spans="3:6">
      <c r="C5514" s="12"/>
      <c r="D5514" s="12"/>
      <c r="E5514" t="b">
        <f t="shared" si="86"/>
        <v>1</v>
      </c>
      <c r="F5514" s="12">
        <v>0</v>
      </c>
    </row>
    <row r="5515" spans="3:6">
      <c r="C5515" s="12"/>
      <c r="D5515" s="12"/>
      <c r="E5515" t="b">
        <f t="shared" si="86"/>
        <v>1</v>
      </c>
      <c r="F5515" s="12">
        <v>0</v>
      </c>
    </row>
    <row r="5516" spans="3:6">
      <c r="C5516" s="12"/>
      <c r="D5516" s="12"/>
      <c r="E5516" t="b">
        <f t="shared" si="86"/>
        <v>1</v>
      </c>
      <c r="F5516" s="12">
        <v>0</v>
      </c>
    </row>
    <row r="5517" spans="3:6">
      <c r="C5517" s="12"/>
      <c r="D5517" s="12"/>
      <c r="E5517" t="b">
        <f t="shared" si="86"/>
        <v>1</v>
      </c>
      <c r="F5517" s="12">
        <v>0</v>
      </c>
    </row>
    <row r="5518" spans="3:6">
      <c r="C5518" s="12"/>
      <c r="D5518" s="12"/>
      <c r="E5518" t="b">
        <f t="shared" si="86"/>
        <v>1</v>
      </c>
      <c r="F5518" s="12">
        <v>0</v>
      </c>
    </row>
    <row r="5519" spans="3:6">
      <c r="C5519" s="12"/>
      <c r="D5519" s="12"/>
      <c r="E5519" t="b">
        <f t="shared" si="86"/>
        <v>1</v>
      </c>
      <c r="F5519" s="12">
        <v>0</v>
      </c>
    </row>
    <row r="5520" spans="3:6">
      <c r="C5520" s="12"/>
      <c r="D5520" s="12"/>
      <c r="E5520" t="b">
        <f t="shared" si="86"/>
        <v>1</v>
      </c>
      <c r="F5520" s="12">
        <v>0</v>
      </c>
    </row>
    <row r="5521" spans="3:6">
      <c r="C5521" s="12"/>
      <c r="D5521" s="12"/>
      <c r="E5521" t="b">
        <f t="shared" si="86"/>
        <v>1</v>
      </c>
      <c r="F5521" s="12">
        <v>0</v>
      </c>
    </row>
    <row r="5522" spans="3:6">
      <c r="C5522" s="12"/>
      <c r="D5522" s="12"/>
      <c r="E5522" t="b">
        <f t="shared" si="86"/>
        <v>1</v>
      </c>
      <c r="F5522" s="12">
        <v>0</v>
      </c>
    </row>
    <row r="5523" spans="3:6">
      <c r="C5523" s="12"/>
      <c r="D5523" s="12"/>
      <c r="E5523" t="b">
        <f t="shared" si="86"/>
        <v>1</v>
      </c>
      <c r="F5523" s="12">
        <v>0</v>
      </c>
    </row>
    <row r="5524" spans="3:6">
      <c r="C5524" s="12"/>
      <c r="D5524" s="12"/>
      <c r="E5524" t="b">
        <f t="shared" si="86"/>
        <v>1</v>
      </c>
      <c r="F5524" s="12">
        <v>0</v>
      </c>
    </row>
    <row r="5525" spans="3:6">
      <c r="C5525" s="12"/>
      <c r="D5525" s="12"/>
      <c r="E5525" t="b">
        <f t="shared" si="86"/>
        <v>1</v>
      </c>
      <c r="F5525" s="12">
        <v>0</v>
      </c>
    </row>
    <row r="5526" spans="3:6">
      <c r="C5526" s="12"/>
      <c r="D5526" s="12"/>
      <c r="E5526" t="b">
        <f t="shared" si="86"/>
        <v>1</v>
      </c>
      <c r="F5526" s="12">
        <v>0</v>
      </c>
    </row>
    <row r="5527" spans="3:6">
      <c r="C5527" s="12"/>
      <c r="D5527" s="12"/>
      <c r="E5527" t="b">
        <f t="shared" si="86"/>
        <v>1</v>
      </c>
      <c r="F5527" s="12">
        <v>0</v>
      </c>
    </row>
    <row r="5528" spans="3:6">
      <c r="C5528" s="12"/>
      <c r="D5528" s="12"/>
      <c r="E5528" t="b">
        <f t="shared" si="86"/>
        <v>1</v>
      </c>
      <c r="F5528" s="12">
        <v>0</v>
      </c>
    </row>
    <row r="5529" spans="3:6">
      <c r="C5529" s="12"/>
      <c r="D5529" s="12"/>
      <c r="E5529" t="b">
        <f t="shared" si="86"/>
        <v>1</v>
      </c>
      <c r="F5529" s="12">
        <v>0</v>
      </c>
    </row>
    <row r="5530" spans="3:6">
      <c r="C5530" s="12"/>
      <c r="D5530" s="12"/>
      <c r="E5530" t="b">
        <f t="shared" si="86"/>
        <v>1</v>
      </c>
      <c r="F5530" s="12">
        <v>0</v>
      </c>
    </row>
    <row r="5531" spans="3:6">
      <c r="C5531" s="12"/>
      <c r="D5531" s="12"/>
      <c r="E5531" t="b">
        <f t="shared" si="86"/>
        <v>1</v>
      </c>
      <c r="F5531" s="12">
        <v>0</v>
      </c>
    </row>
    <row r="5532" spans="3:6">
      <c r="C5532" s="12"/>
      <c r="D5532" s="12"/>
      <c r="E5532" t="b">
        <f t="shared" si="86"/>
        <v>1</v>
      </c>
      <c r="F5532" s="12">
        <v>0</v>
      </c>
    </row>
    <row r="5533" spans="3:6">
      <c r="C5533" s="12"/>
      <c r="D5533" s="12"/>
      <c r="E5533" t="b">
        <f t="shared" si="86"/>
        <v>1</v>
      </c>
      <c r="F5533" s="12">
        <v>0</v>
      </c>
    </row>
    <row r="5534" spans="3:6">
      <c r="C5534" s="12"/>
      <c r="D5534" s="12"/>
      <c r="E5534" t="b">
        <f t="shared" si="86"/>
        <v>1</v>
      </c>
      <c r="F5534" s="12">
        <v>0</v>
      </c>
    </row>
    <row r="5535" spans="3:6">
      <c r="C5535" s="12"/>
      <c r="D5535" s="12"/>
      <c r="E5535" t="b">
        <f t="shared" si="86"/>
        <v>1</v>
      </c>
      <c r="F5535" s="12">
        <v>0</v>
      </c>
    </row>
    <row r="5536" spans="3:6">
      <c r="C5536" s="12"/>
      <c r="D5536" s="12"/>
      <c r="E5536" t="b">
        <f t="shared" si="86"/>
        <v>1</v>
      </c>
      <c r="F5536" s="12">
        <v>0</v>
      </c>
    </row>
    <row r="5537" spans="3:6">
      <c r="C5537" s="12"/>
      <c r="D5537" s="12"/>
      <c r="E5537" t="b">
        <f t="shared" si="86"/>
        <v>1</v>
      </c>
      <c r="F5537" s="12">
        <v>0</v>
      </c>
    </row>
    <row r="5538" spans="3:6">
      <c r="C5538" s="12"/>
      <c r="D5538" s="12"/>
      <c r="E5538" t="b">
        <f t="shared" si="86"/>
        <v>1</v>
      </c>
      <c r="F5538" s="12">
        <v>0</v>
      </c>
    </row>
    <row r="5539" spans="3:6">
      <c r="C5539" s="12"/>
      <c r="D5539" s="12"/>
      <c r="E5539" t="b">
        <f t="shared" si="86"/>
        <v>1</v>
      </c>
      <c r="F5539" s="12">
        <v>0</v>
      </c>
    </row>
    <row r="5540" spans="3:6">
      <c r="C5540" s="12"/>
      <c r="D5540" s="12"/>
      <c r="E5540" t="b">
        <f t="shared" si="86"/>
        <v>1</v>
      </c>
      <c r="F5540" s="12">
        <v>0</v>
      </c>
    </row>
    <row r="5541" spans="3:6">
      <c r="C5541" s="12"/>
      <c r="D5541" s="12"/>
      <c r="E5541" t="b">
        <f t="shared" si="86"/>
        <v>1</v>
      </c>
      <c r="F5541" s="12">
        <v>0</v>
      </c>
    </row>
    <row r="5542" spans="3:6">
      <c r="C5542" s="12"/>
      <c r="D5542" s="12"/>
      <c r="E5542" t="b">
        <f t="shared" si="86"/>
        <v>1</v>
      </c>
      <c r="F5542" s="12">
        <v>0</v>
      </c>
    </row>
    <row r="5543" spans="3:6">
      <c r="C5543" s="12"/>
      <c r="D5543" s="12"/>
      <c r="E5543" t="b">
        <f t="shared" si="86"/>
        <v>1</v>
      </c>
      <c r="F5543" s="12">
        <v>0</v>
      </c>
    </row>
    <row r="5544" spans="3:6">
      <c r="C5544" s="12"/>
      <c r="D5544" s="12"/>
      <c r="E5544" t="b">
        <f t="shared" si="86"/>
        <v>1</v>
      </c>
      <c r="F5544" s="12">
        <v>0</v>
      </c>
    </row>
    <row r="5545" spans="3:6">
      <c r="C5545" s="12"/>
      <c r="D5545" s="12"/>
      <c r="E5545" t="b">
        <f t="shared" si="86"/>
        <v>1</v>
      </c>
      <c r="F5545" s="12">
        <v>0</v>
      </c>
    </row>
    <row r="5546" spans="3:6">
      <c r="C5546" s="12"/>
      <c r="D5546" s="12"/>
      <c r="E5546" t="b">
        <f t="shared" si="86"/>
        <v>1</v>
      </c>
      <c r="F5546" s="12">
        <v>0</v>
      </c>
    </row>
    <row r="5547" spans="3:6">
      <c r="C5547" s="12"/>
      <c r="D5547" s="12"/>
      <c r="E5547" t="b">
        <f t="shared" si="86"/>
        <v>1</v>
      </c>
      <c r="F5547" s="12">
        <v>0</v>
      </c>
    </row>
    <row r="5548" spans="3:6">
      <c r="C5548" s="12"/>
      <c r="D5548" s="12"/>
      <c r="E5548" t="b">
        <f t="shared" si="86"/>
        <v>1</v>
      </c>
      <c r="F5548" s="12">
        <v>0</v>
      </c>
    </row>
    <row r="5549" spans="3:6">
      <c r="C5549" s="12"/>
      <c r="D5549" s="12"/>
      <c r="E5549" t="b">
        <f t="shared" si="86"/>
        <v>1</v>
      </c>
      <c r="F5549" s="12">
        <v>0</v>
      </c>
    </row>
    <row r="5550" spans="3:6">
      <c r="C5550" s="12"/>
      <c r="D5550" s="12"/>
      <c r="E5550" t="b">
        <f t="shared" si="86"/>
        <v>1</v>
      </c>
      <c r="F5550" s="12">
        <v>0</v>
      </c>
    </row>
    <row r="5551" spans="3:6">
      <c r="C5551" s="12"/>
      <c r="D5551" s="12"/>
      <c r="E5551" t="b">
        <f t="shared" si="86"/>
        <v>1</v>
      </c>
      <c r="F5551" s="12">
        <v>0</v>
      </c>
    </row>
    <row r="5552" spans="3:6">
      <c r="C5552" s="12"/>
      <c r="D5552" s="12"/>
      <c r="E5552" t="b">
        <f t="shared" si="86"/>
        <v>1</v>
      </c>
      <c r="F5552" s="12">
        <v>0</v>
      </c>
    </row>
    <row r="5553" spans="3:6">
      <c r="C5553" s="12"/>
      <c r="D5553" s="12"/>
      <c r="E5553" t="b">
        <f t="shared" si="86"/>
        <v>1</v>
      </c>
      <c r="F5553" s="12">
        <v>0</v>
      </c>
    </row>
    <row r="5554" spans="3:6">
      <c r="C5554" s="12"/>
      <c r="D5554" s="12"/>
      <c r="E5554" t="b">
        <f t="shared" si="86"/>
        <v>1</v>
      </c>
      <c r="F5554" s="12">
        <v>0</v>
      </c>
    </row>
    <row r="5555" spans="3:6">
      <c r="C5555" s="12"/>
      <c r="D5555" s="12"/>
      <c r="E5555" t="b">
        <f t="shared" si="86"/>
        <v>1</v>
      </c>
      <c r="F5555" s="12">
        <v>0</v>
      </c>
    </row>
    <row r="5556" spans="3:6">
      <c r="C5556" s="12"/>
      <c r="D5556" s="12"/>
      <c r="E5556" t="b">
        <f t="shared" si="86"/>
        <v>1</v>
      </c>
      <c r="F5556" s="12">
        <v>0</v>
      </c>
    </row>
    <row r="5557" spans="3:6">
      <c r="C5557" s="12"/>
      <c r="D5557" s="12"/>
      <c r="E5557" t="b">
        <f t="shared" si="86"/>
        <v>1</v>
      </c>
      <c r="F5557" s="12">
        <v>0</v>
      </c>
    </row>
    <row r="5558" spans="3:6">
      <c r="C5558" s="12"/>
      <c r="D5558" s="12"/>
      <c r="E5558" t="b">
        <f t="shared" si="86"/>
        <v>1</v>
      </c>
      <c r="F5558" s="12">
        <v>0</v>
      </c>
    </row>
    <row r="5559" spans="3:6">
      <c r="C5559" s="12"/>
      <c r="D5559" s="12"/>
      <c r="E5559" t="b">
        <f t="shared" si="86"/>
        <v>1</v>
      </c>
      <c r="F5559" s="12">
        <v>0</v>
      </c>
    </row>
    <row r="5560" spans="3:6">
      <c r="C5560" s="12"/>
      <c r="D5560" s="12"/>
      <c r="E5560" t="b">
        <f t="shared" si="86"/>
        <v>1</v>
      </c>
      <c r="F5560" s="12">
        <v>0</v>
      </c>
    </row>
    <row r="5561" spans="3:6">
      <c r="C5561" s="12"/>
      <c r="D5561" s="12"/>
      <c r="E5561" t="b">
        <f t="shared" si="86"/>
        <v>1</v>
      </c>
      <c r="F5561" s="12">
        <v>0</v>
      </c>
    </row>
    <row r="5562" spans="3:6">
      <c r="C5562" s="12"/>
      <c r="D5562" s="12"/>
      <c r="E5562" t="b">
        <f t="shared" si="86"/>
        <v>1</v>
      </c>
      <c r="F5562" s="12">
        <v>0</v>
      </c>
    </row>
    <row r="5563" spans="3:6">
      <c r="C5563" s="12"/>
      <c r="D5563" s="12"/>
      <c r="E5563" t="b">
        <f t="shared" si="86"/>
        <v>1</v>
      </c>
      <c r="F5563" s="12">
        <v>0</v>
      </c>
    </row>
    <row r="5564" spans="3:6">
      <c r="C5564" s="12"/>
      <c r="D5564" s="12"/>
      <c r="E5564" t="b">
        <f t="shared" si="86"/>
        <v>1</v>
      </c>
      <c r="F5564" s="12">
        <v>0</v>
      </c>
    </row>
    <row r="5565" spans="3:6">
      <c r="C5565" s="12"/>
      <c r="D5565" s="12"/>
      <c r="E5565" t="b">
        <f t="shared" si="86"/>
        <v>1</v>
      </c>
      <c r="F5565" s="12">
        <v>0</v>
      </c>
    </row>
    <row r="5566" spans="3:6">
      <c r="C5566" s="12"/>
      <c r="D5566" s="12"/>
      <c r="E5566" t="b">
        <f t="shared" si="86"/>
        <v>1</v>
      </c>
      <c r="F5566" s="12">
        <v>0</v>
      </c>
    </row>
    <row r="5567" spans="3:6">
      <c r="C5567" s="12"/>
      <c r="D5567" s="12"/>
      <c r="E5567" t="b">
        <f t="shared" si="86"/>
        <v>1</v>
      </c>
      <c r="F5567" s="12">
        <v>0</v>
      </c>
    </row>
    <row r="5568" spans="3:6">
      <c r="C5568" s="12"/>
      <c r="D5568" s="12"/>
      <c r="E5568" t="b">
        <f t="shared" si="86"/>
        <v>1</v>
      </c>
      <c r="F5568" s="12">
        <v>0</v>
      </c>
    </row>
    <row r="5569" spans="3:6">
      <c r="C5569" s="12"/>
      <c r="D5569" s="12"/>
      <c r="E5569" t="b">
        <f t="shared" si="86"/>
        <v>1</v>
      </c>
      <c r="F5569" s="12">
        <v>0</v>
      </c>
    </row>
    <row r="5570" spans="3:6">
      <c r="C5570" s="12"/>
      <c r="D5570" s="12"/>
      <c r="E5570" t="b">
        <f t="shared" si="86"/>
        <v>1</v>
      </c>
      <c r="F5570" s="12">
        <v>0</v>
      </c>
    </row>
    <row r="5571" spans="3:6">
      <c r="C5571" s="12"/>
      <c r="D5571" s="12"/>
      <c r="E5571" t="b">
        <f t="shared" ref="E5571:E5634" si="87">F5571=C5571</f>
        <v>1</v>
      </c>
      <c r="F5571" s="12">
        <v>0</v>
      </c>
    </row>
    <row r="5572" spans="3:6">
      <c r="C5572" s="12"/>
      <c r="D5572" s="12"/>
      <c r="E5572" t="b">
        <f t="shared" si="87"/>
        <v>1</v>
      </c>
      <c r="F5572" s="12">
        <v>0</v>
      </c>
    </row>
    <row r="5573" spans="3:6">
      <c r="C5573" s="12"/>
      <c r="D5573" s="12"/>
      <c r="E5573" t="b">
        <f t="shared" si="87"/>
        <v>1</v>
      </c>
      <c r="F5573" s="12">
        <v>0</v>
      </c>
    </row>
    <row r="5574" spans="3:6">
      <c r="C5574" s="12"/>
      <c r="D5574" s="12"/>
      <c r="E5574" t="b">
        <f t="shared" si="87"/>
        <v>1</v>
      </c>
      <c r="F5574" s="12">
        <v>0</v>
      </c>
    </row>
    <row r="5575" spans="3:6">
      <c r="C5575" s="12"/>
      <c r="D5575" s="12"/>
      <c r="E5575" t="b">
        <f t="shared" si="87"/>
        <v>1</v>
      </c>
      <c r="F5575" s="12">
        <v>0</v>
      </c>
    </row>
    <row r="5576" spans="3:6">
      <c r="C5576" s="12"/>
      <c r="D5576" s="12"/>
      <c r="E5576" t="b">
        <f t="shared" si="87"/>
        <v>1</v>
      </c>
      <c r="F5576" s="12">
        <v>0</v>
      </c>
    </row>
    <row r="5577" spans="3:6">
      <c r="C5577" s="12"/>
      <c r="D5577" s="12"/>
      <c r="E5577" t="b">
        <f t="shared" si="87"/>
        <v>1</v>
      </c>
      <c r="F5577" s="12">
        <v>0</v>
      </c>
    </row>
    <row r="5578" spans="3:6">
      <c r="C5578" s="12"/>
      <c r="D5578" s="12"/>
      <c r="E5578" t="b">
        <f t="shared" si="87"/>
        <v>1</v>
      </c>
      <c r="F5578" s="12">
        <v>0</v>
      </c>
    </row>
    <row r="5579" spans="3:6">
      <c r="C5579" s="12"/>
      <c r="D5579" s="12"/>
      <c r="E5579" t="b">
        <f t="shared" si="87"/>
        <v>1</v>
      </c>
      <c r="F5579" s="12">
        <v>0</v>
      </c>
    </row>
    <row r="5580" spans="3:6">
      <c r="C5580" s="12"/>
      <c r="D5580" s="12"/>
      <c r="E5580" t="b">
        <f t="shared" si="87"/>
        <v>1</v>
      </c>
      <c r="F5580" s="12">
        <v>0</v>
      </c>
    </row>
    <row r="5581" spans="3:6">
      <c r="C5581" s="12"/>
      <c r="D5581" s="12"/>
      <c r="E5581" t="b">
        <f t="shared" si="87"/>
        <v>1</v>
      </c>
      <c r="F5581" s="12">
        <v>0</v>
      </c>
    </row>
    <row r="5582" spans="3:6">
      <c r="C5582" s="12"/>
      <c r="D5582" s="12"/>
      <c r="E5582" t="b">
        <f t="shared" si="87"/>
        <v>1</v>
      </c>
      <c r="F5582" s="12">
        <v>0</v>
      </c>
    </row>
    <row r="5583" spans="3:6">
      <c r="C5583" s="12"/>
      <c r="D5583" s="12"/>
      <c r="E5583" t="b">
        <f t="shared" si="87"/>
        <v>1</v>
      </c>
      <c r="F5583" s="12">
        <v>0</v>
      </c>
    </row>
    <row r="5584" spans="3:6">
      <c r="C5584" s="12"/>
      <c r="D5584" s="12"/>
      <c r="E5584" t="b">
        <f t="shared" si="87"/>
        <v>1</v>
      </c>
      <c r="F5584" s="12">
        <v>0</v>
      </c>
    </row>
    <row r="5585" spans="3:6">
      <c r="C5585" s="12"/>
      <c r="D5585" s="12"/>
      <c r="E5585" t="b">
        <f t="shared" si="87"/>
        <v>1</v>
      </c>
      <c r="F5585" s="12">
        <v>0</v>
      </c>
    </row>
    <row r="5586" spans="3:6">
      <c r="C5586" s="12"/>
      <c r="D5586" s="12"/>
      <c r="E5586" t="b">
        <f t="shared" si="87"/>
        <v>1</v>
      </c>
      <c r="F5586" s="12">
        <v>0</v>
      </c>
    </row>
    <row r="5587" spans="3:6">
      <c r="C5587" s="12"/>
      <c r="D5587" s="12"/>
      <c r="E5587" t="b">
        <f t="shared" si="87"/>
        <v>1</v>
      </c>
      <c r="F5587" s="12">
        <v>0</v>
      </c>
    </row>
    <row r="5588" spans="3:6">
      <c r="C5588" s="12"/>
      <c r="D5588" s="12"/>
      <c r="E5588" t="b">
        <f t="shared" si="87"/>
        <v>1</v>
      </c>
      <c r="F5588" s="12">
        <v>0</v>
      </c>
    </row>
    <row r="5589" spans="3:6">
      <c r="C5589" s="12"/>
      <c r="D5589" s="12"/>
      <c r="E5589" t="b">
        <f t="shared" si="87"/>
        <v>1</v>
      </c>
      <c r="F5589" s="12">
        <v>0</v>
      </c>
    </row>
    <row r="5590" spans="3:6">
      <c r="C5590" s="12"/>
      <c r="D5590" s="12"/>
      <c r="E5590" t="b">
        <f t="shared" si="87"/>
        <v>1</v>
      </c>
      <c r="F5590" s="12">
        <v>0</v>
      </c>
    </row>
    <row r="5591" spans="3:6">
      <c r="C5591" s="12"/>
      <c r="D5591" s="12"/>
      <c r="E5591" t="b">
        <f t="shared" si="87"/>
        <v>1</v>
      </c>
      <c r="F5591" s="12">
        <v>0</v>
      </c>
    </row>
    <row r="5592" spans="3:6">
      <c r="C5592" s="12"/>
      <c r="D5592" s="12"/>
      <c r="E5592" t="b">
        <f t="shared" si="87"/>
        <v>1</v>
      </c>
      <c r="F5592" s="12">
        <v>0</v>
      </c>
    </row>
    <row r="5593" spans="3:6">
      <c r="C5593" s="12"/>
      <c r="D5593" s="12"/>
      <c r="E5593" t="b">
        <f t="shared" si="87"/>
        <v>1</v>
      </c>
      <c r="F5593" s="12">
        <v>0</v>
      </c>
    </row>
    <row r="5594" spans="3:6">
      <c r="C5594" s="12"/>
      <c r="D5594" s="12"/>
      <c r="E5594" t="b">
        <f t="shared" si="87"/>
        <v>1</v>
      </c>
      <c r="F5594" s="12">
        <v>0</v>
      </c>
    </row>
    <row r="5595" spans="3:6">
      <c r="C5595" s="12"/>
      <c r="D5595" s="12"/>
      <c r="E5595" t="b">
        <f t="shared" si="87"/>
        <v>1</v>
      </c>
      <c r="F5595" s="12">
        <v>0</v>
      </c>
    </row>
    <row r="5596" spans="3:6">
      <c r="C5596" s="12"/>
      <c r="D5596" s="12"/>
      <c r="E5596" t="b">
        <f t="shared" si="87"/>
        <v>1</v>
      </c>
      <c r="F5596" s="12">
        <v>0</v>
      </c>
    </row>
    <row r="5597" spans="3:6">
      <c r="C5597" s="12"/>
      <c r="D5597" s="12"/>
      <c r="E5597" t="b">
        <f t="shared" si="87"/>
        <v>1</v>
      </c>
      <c r="F5597" s="12">
        <v>0</v>
      </c>
    </row>
    <row r="5598" spans="3:6">
      <c r="C5598" s="12"/>
      <c r="D5598" s="12"/>
      <c r="E5598" t="b">
        <f t="shared" si="87"/>
        <v>1</v>
      </c>
      <c r="F5598" s="12">
        <v>0</v>
      </c>
    </row>
    <row r="5599" spans="3:6">
      <c r="C5599" s="12"/>
      <c r="D5599" s="12"/>
      <c r="E5599" t="b">
        <f t="shared" si="87"/>
        <v>1</v>
      </c>
      <c r="F5599" s="12">
        <v>0</v>
      </c>
    </row>
    <row r="5600" spans="3:6">
      <c r="C5600" s="12"/>
      <c r="D5600" s="12"/>
      <c r="E5600" t="b">
        <f t="shared" si="87"/>
        <v>1</v>
      </c>
      <c r="F5600" s="12">
        <v>0</v>
      </c>
    </row>
    <row r="5601" spans="3:6">
      <c r="C5601" s="12"/>
      <c r="D5601" s="12"/>
      <c r="E5601" t="b">
        <f t="shared" si="87"/>
        <v>1</v>
      </c>
      <c r="F5601" s="12">
        <v>0</v>
      </c>
    </row>
    <row r="5602" spans="3:6">
      <c r="C5602" s="12"/>
      <c r="D5602" s="12"/>
      <c r="E5602" t="b">
        <f t="shared" si="87"/>
        <v>1</v>
      </c>
      <c r="F5602" s="12">
        <v>0</v>
      </c>
    </row>
    <row r="5603" spans="3:6">
      <c r="C5603" s="12"/>
      <c r="D5603" s="12"/>
      <c r="E5603" t="b">
        <f t="shared" si="87"/>
        <v>1</v>
      </c>
      <c r="F5603" s="12">
        <v>0</v>
      </c>
    </row>
    <row r="5604" spans="3:6">
      <c r="C5604" s="12"/>
      <c r="D5604" s="12"/>
      <c r="E5604" t="b">
        <f t="shared" si="87"/>
        <v>1</v>
      </c>
      <c r="F5604" s="12">
        <v>0</v>
      </c>
    </row>
    <row r="5605" spans="3:6">
      <c r="C5605" s="12"/>
      <c r="D5605" s="12"/>
      <c r="E5605" t="b">
        <f t="shared" si="87"/>
        <v>1</v>
      </c>
      <c r="F5605" s="12">
        <v>0</v>
      </c>
    </row>
    <row r="5606" spans="3:6">
      <c r="C5606" s="12"/>
      <c r="D5606" s="12"/>
      <c r="E5606" t="b">
        <f t="shared" si="87"/>
        <v>1</v>
      </c>
      <c r="F5606" s="12">
        <v>0</v>
      </c>
    </row>
    <row r="5607" spans="3:6">
      <c r="C5607" s="12"/>
      <c r="D5607" s="12"/>
      <c r="E5607" t="b">
        <f t="shared" si="87"/>
        <v>1</v>
      </c>
      <c r="F5607" s="12">
        <v>0</v>
      </c>
    </row>
    <row r="5608" spans="3:6">
      <c r="C5608" s="12"/>
      <c r="D5608" s="12"/>
      <c r="E5608" t="b">
        <f t="shared" si="87"/>
        <v>1</v>
      </c>
      <c r="F5608" s="12">
        <v>0</v>
      </c>
    </row>
    <row r="5609" spans="3:6">
      <c r="C5609" s="12"/>
      <c r="D5609" s="12"/>
      <c r="E5609" t="b">
        <f t="shared" si="87"/>
        <v>1</v>
      </c>
      <c r="F5609" s="12">
        <v>0</v>
      </c>
    </row>
    <row r="5610" spans="3:6">
      <c r="C5610" s="12"/>
      <c r="D5610" s="12"/>
      <c r="E5610" t="b">
        <f t="shared" si="87"/>
        <v>1</v>
      </c>
      <c r="F5610" s="12">
        <v>0</v>
      </c>
    </row>
    <row r="5611" spans="3:6">
      <c r="C5611" s="12"/>
      <c r="D5611" s="12"/>
      <c r="E5611" t="b">
        <f t="shared" si="87"/>
        <v>1</v>
      </c>
      <c r="F5611" s="12">
        <v>0</v>
      </c>
    </row>
    <row r="5612" spans="3:6">
      <c r="C5612" s="12"/>
      <c r="D5612" s="12"/>
      <c r="E5612" t="b">
        <f t="shared" si="87"/>
        <v>1</v>
      </c>
      <c r="F5612" s="12">
        <v>0</v>
      </c>
    </row>
    <row r="5613" spans="3:6">
      <c r="C5613" s="12"/>
      <c r="D5613" s="12"/>
      <c r="E5613" t="b">
        <f t="shared" si="87"/>
        <v>1</v>
      </c>
      <c r="F5613" s="12">
        <v>0</v>
      </c>
    </row>
    <row r="5614" spans="3:6">
      <c r="C5614" s="12"/>
      <c r="D5614" s="12"/>
      <c r="E5614" t="b">
        <f t="shared" si="87"/>
        <v>1</v>
      </c>
      <c r="F5614" s="12">
        <v>0</v>
      </c>
    </row>
    <row r="5615" spans="3:6">
      <c r="C5615" s="12"/>
      <c r="D5615" s="12"/>
      <c r="E5615" t="b">
        <f t="shared" si="87"/>
        <v>1</v>
      </c>
      <c r="F5615" s="12">
        <v>0</v>
      </c>
    </row>
    <row r="5616" spans="3:6">
      <c r="C5616" s="12"/>
      <c r="D5616" s="12"/>
      <c r="E5616" t="b">
        <f t="shared" si="87"/>
        <v>1</v>
      </c>
      <c r="F5616" s="12">
        <v>0</v>
      </c>
    </row>
    <row r="5617" spans="3:6">
      <c r="C5617" s="12"/>
      <c r="D5617" s="12"/>
      <c r="E5617" t="b">
        <f t="shared" si="87"/>
        <v>1</v>
      </c>
      <c r="F5617" s="12">
        <v>0</v>
      </c>
    </row>
    <row r="5618" spans="3:6">
      <c r="C5618" s="12"/>
      <c r="D5618" s="12"/>
      <c r="E5618" t="b">
        <f t="shared" si="87"/>
        <v>1</v>
      </c>
      <c r="F5618" s="12">
        <v>0</v>
      </c>
    </row>
    <row r="5619" spans="3:6">
      <c r="C5619" s="12"/>
      <c r="D5619" s="12"/>
      <c r="E5619" t="b">
        <f t="shared" si="87"/>
        <v>1</v>
      </c>
      <c r="F5619" s="12">
        <v>0</v>
      </c>
    </row>
    <row r="5620" spans="3:6">
      <c r="C5620" s="12"/>
      <c r="D5620" s="12"/>
      <c r="E5620" t="b">
        <f t="shared" si="87"/>
        <v>1</v>
      </c>
      <c r="F5620" s="12">
        <v>0</v>
      </c>
    </row>
    <row r="5621" spans="3:6">
      <c r="C5621" s="12"/>
      <c r="D5621" s="12"/>
      <c r="E5621" t="b">
        <f t="shared" si="87"/>
        <v>1</v>
      </c>
      <c r="F5621" s="12">
        <v>0</v>
      </c>
    </row>
    <row r="5622" spans="3:6">
      <c r="C5622" s="12"/>
      <c r="D5622" s="12"/>
      <c r="E5622" t="b">
        <f t="shared" si="87"/>
        <v>1</v>
      </c>
      <c r="F5622" s="12">
        <v>0</v>
      </c>
    </row>
    <row r="5623" spans="3:6">
      <c r="C5623" s="12"/>
      <c r="D5623" s="12"/>
      <c r="E5623" t="b">
        <f t="shared" si="87"/>
        <v>1</v>
      </c>
      <c r="F5623" s="12">
        <v>0</v>
      </c>
    </row>
    <row r="5624" spans="3:6">
      <c r="C5624" s="12"/>
      <c r="D5624" s="12"/>
      <c r="E5624" t="b">
        <f t="shared" si="87"/>
        <v>1</v>
      </c>
      <c r="F5624" s="12">
        <v>0</v>
      </c>
    </row>
    <row r="5625" spans="3:6">
      <c r="C5625" s="12"/>
      <c r="D5625" s="12"/>
      <c r="E5625" t="b">
        <f t="shared" si="87"/>
        <v>1</v>
      </c>
      <c r="F5625" s="12">
        <v>0</v>
      </c>
    </row>
    <row r="5626" spans="3:6">
      <c r="C5626" s="12"/>
      <c r="D5626" s="12"/>
      <c r="E5626" t="b">
        <f t="shared" si="87"/>
        <v>1</v>
      </c>
      <c r="F5626" s="12">
        <v>0</v>
      </c>
    </row>
    <row r="5627" spans="3:6">
      <c r="C5627" s="12"/>
      <c r="D5627" s="12"/>
      <c r="E5627" t="b">
        <f t="shared" si="87"/>
        <v>1</v>
      </c>
      <c r="F5627" s="12">
        <v>0</v>
      </c>
    </row>
    <row r="5628" spans="3:6">
      <c r="C5628" s="12"/>
      <c r="D5628" s="12"/>
      <c r="E5628" t="b">
        <f t="shared" si="87"/>
        <v>1</v>
      </c>
      <c r="F5628" s="12">
        <v>0</v>
      </c>
    </row>
    <row r="5629" spans="3:6">
      <c r="C5629" s="12"/>
      <c r="D5629" s="12"/>
      <c r="E5629" t="b">
        <f t="shared" si="87"/>
        <v>1</v>
      </c>
      <c r="F5629" s="12">
        <v>0</v>
      </c>
    </row>
    <row r="5630" spans="3:6">
      <c r="C5630" s="12"/>
      <c r="D5630" s="12"/>
      <c r="E5630" t="b">
        <f t="shared" si="87"/>
        <v>1</v>
      </c>
      <c r="F5630" s="12">
        <v>0</v>
      </c>
    </row>
    <row r="5631" spans="3:6">
      <c r="C5631" s="12"/>
      <c r="D5631" s="12"/>
      <c r="E5631" t="b">
        <f t="shared" si="87"/>
        <v>1</v>
      </c>
      <c r="F5631" s="12">
        <v>0</v>
      </c>
    </row>
    <row r="5632" spans="3:6">
      <c r="C5632" s="12"/>
      <c r="D5632" s="12"/>
      <c r="E5632" t="b">
        <f t="shared" si="87"/>
        <v>1</v>
      </c>
      <c r="F5632" s="12">
        <v>0</v>
      </c>
    </row>
    <row r="5633" spans="3:6">
      <c r="C5633" s="12"/>
      <c r="D5633" s="12"/>
      <c r="E5633" t="b">
        <f t="shared" si="87"/>
        <v>1</v>
      </c>
      <c r="F5633" s="12">
        <v>0</v>
      </c>
    </row>
    <row r="5634" spans="3:6">
      <c r="C5634" s="12"/>
      <c r="D5634" s="12"/>
      <c r="E5634" t="b">
        <f t="shared" si="87"/>
        <v>1</v>
      </c>
      <c r="F5634" s="12">
        <v>0</v>
      </c>
    </row>
    <row r="5635" spans="3:6">
      <c r="C5635" s="12"/>
      <c r="D5635" s="12"/>
      <c r="E5635" t="b">
        <f t="shared" ref="E5635:E5698" si="88">F5635=C5635</f>
        <v>1</v>
      </c>
      <c r="F5635" s="12">
        <v>0</v>
      </c>
    </row>
    <row r="5636" spans="3:6">
      <c r="C5636" s="12"/>
      <c r="D5636" s="12"/>
      <c r="E5636" t="b">
        <f t="shared" si="88"/>
        <v>1</v>
      </c>
      <c r="F5636" s="12">
        <v>0</v>
      </c>
    </row>
    <row r="5637" spans="3:6">
      <c r="C5637" s="12"/>
      <c r="D5637" s="12"/>
      <c r="E5637" t="b">
        <f t="shared" si="88"/>
        <v>1</v>
      </c>
      <c r="F5637" s="12">
        <v>0</v>
      </c>
    </row>
    <row r="5638" spans="3:6">
      <c r="C5638" s="12"/>
      <c r="D5638" s="12"/>
      <c r="E5638" t="b">
        <f t="shared" si="88"/>
        <v>1</v>
      </c>
      <c r="F5638" s="12">
        <v>0</v>
      </c>
    </row>
    <row r="5639" spans="3:6">
      <c r="C5639" s="12"/>
      <c r="D5639" s="12"/>
      <c r="E5639" t="b">
        <f t="shared" si="88"/>
        <v>1</v>
      </c>
      <c r="F5639" s="12">
        <v>0</v>
      </c>
    </row>
    <row r="5640" spans="3:6">
      <c r="C5640" s="12"/>
      <c r="D5640" s="12"/>
      <c r="E5640" t="b">
        <f t="shared" si="88"/>
        <v>1</v>
      </c>
      <c r="F5640" s="12">
        <v>0</v>
      </c>
    </row>
    <row r="5641" spans="3:6">
      <c r="C5641" s="12"/>
      <c r="D5641" s="12"/>
      <c r="E5641" t="b">
        <f t="shared" si="88"/>
        <v>1</v>
      </c>
      <c r="F5641" s="12">
        <v>0</v>
      </c>
    </row>
    <row r="5642" spans="3:6">
      <c r="C5642" s="12"/>
      <c r="D5642" s="12"/>
      <c r="E5642" t="b">
        <f t="shared" si="88"/>
        <v>1</v>
      </c>
      <c r="F5642" s="12">
        <v>0</v>
      </c>
    </row>
    <row r="5643" spans="3:6">
      <c r="C5643" s="12"/>
      <c r="D5643" s="12"/>
      <c r="E5643" t="b">
        <f t="shared" si="88"/>
        <v>1</v>
      </c>
      <c r="F5643" s="12">
        <v>0</v>
      </c>
    </row>
    <row r="5644" spans="3:6">
      <c r="C5644" s="12"/>
      <c r="D5644" s="12"/>
      <c r="E5644" t="b">
        <f t="shared" si="88"/>
        <v>1</v>
      </c>
      <c r="F5644" s="12">
        <v>0</v>
      </c>
    </row>
    <row r="5645" spans="3:6">
      <c r="C5645" s="12"/>
      <c r="D5645" s="12"/>
      <c r="E5645" t="b">
        <f t="shared" si="88"/>
        <v>1</v>
      </c>
      <c r="F5645" s="12">
        <v>0</v>
      </c>
    </row>
    <row r="5646" spans="3:6">
      <c r="C5646" s="12"/>
      <c r="D5646" s="12"/>
      <c r="E5646" t="b">
        <f t="shared" si="88"/>
        <v>1</v>
      </c>
      <c r="F5646" s="12">
        <v>0</v>
      </c>
    </row>
    <row r="5647" spans="3:6">
      <c r="C5647" s="12"/>
      <c r="D5647" s="12"/>
      <c r="E5647" t="b">
        <f t="shared" si="88"/>
        <v>1</v>
      </c>
      <c r="F5647" s="12">
        <v>0</v>
      </c>
    </row>
    <row r="5648" spans="3:6">
      <c r="C5648" s="12"/>
      <c r="D5648" s="12"/>
      <c r="E5648" t="b">
        <f t="shared" si="88"/>
        <v>1</v>
      </c>
      <c r="F5648" s="12">
        <v>0</v>
      </c>
    </row>
    <row r="5649" spans="3:6">
      <c r="C5649" s="12"/>
      <c r="D5649" s="12"/>
      <c r="E5649" t="b">
        <f t="shared" si="88"/>
        <v>1</v>
      </c>
      <c r="F5649" s="12">
        <v>0</v>
      </c>
    </row>
    <row r="5650" spans="3:6">
      <c r="C5650" s="12"/>
      <c r="D5650" s="12"/>
      <c r="E5650" t="b">
        <f t="shared" si="88"/>
        <v>1</v>
      </c>
      <c r="F5650" s="12">
        <v>0</v>
      </c>
    </row>
    <row r="5651" spans="3:6">
      <c r="C5651" s="12"/>
      <c r="D5651" s="12"/>
      <c r="E5651" t="b">
        <f t="shared" si="88"/>
        <v>1</v>
      </c>
      <c r="F5651" s="12">
        <v>0</v>
      </c>
    </row>
    <row r="5652" spans="3:6">
      <c r="C5652" s="12"/>
      <c r="D5652" s="12"/>
      <c r="E5652" t="b">
        <f t="shared" si="88"/>
        <v>1</v>
      </c>
      <c r="F5652" s="12">
        <v>0</v>
      </c>
    </row>
    <row r="5653" spans="3:6">
      <c r="C5653" s="12"/>
      <c r="D5653" s="12"/>
      <c r="E5653" t="b">
        <f t="shared" si="88"/>
        <v>1</v>
      </c>
      <c r="F5653" s="12">
        <v>0</v>
      </c>
    </row>
    <row r="5654" spans="3:6">
      <c r="C5654" s="12"/>
      <c r="D5654" s="12"/>
      <c r="E5654" t="b">
        <f t="shared" si="88"/>
        <v>1</v>
      </c>
      <c r="F5654" s="12">
        <v>0</v>
      </c>
    </row>
    <row r="5655" spans="3:6">
      <c r="C5655" s="12"/>
      <c r="D5655" s="12"/>
      <c r="E5655" t="b">
        <f t="shared" si="88"/>
        <v>1</v>
      </c>
      <c r="F5655" s="12">
        <v>0</v>
      </c>
    </row>
    <row r="5656" spans="3:6">
      <c r="C5656" s="12"/>
      <c r="D5656" s="12"/>
      <c r="E5656" t="b">
        <f t="shared" si="88"/>
        <v>1</v>
      </c>
      <c r="F5656" s="12">
        <v>0</v>
      </c>
    </row>
    <row r="5657" spans="3:6">
      <c r="C5657" s="12"/>
      <c r="D5657" s="12"/>
      <c r="E5657" t="b">
        <f t="shared" si="88"/>
        <v>1</v>
      </c>
      <c r="F5657" s="12">
        <v>0</v>
      </c>
    </row>
    <row r="5658" spans="3:6">
      <c r="C5658" s="12"/>
      <c r="D5658" s="12"/>
      <c r="E5658" t="b">
        <f t="shared" si="88"/>
        <v>1</v>
      </c>
      <c r="F5658" s="12">
        <v>0</v>
      </c>
    </row>
    <row r="5659" spans="3:6">
      <c r="C5659" s="12"/>
      <c r="D5659" s="12"/>
      <c r="E5659" t="b">
        <f t="shared" si="88"/>
        <v>1</v>
      </c>
      <c r="F5659" s="12">
        <v>0</v>
      </c>
    </row>
    <row r="5660" spans="3:6">
      <c r="C5660" s="12"/>
      <c r="D5660" s="12"/>
      <c r="E5660" t="b">
        <f t="shared" si="88"/>
        <v>1</v>
      </c>
      <c r="F5660" s="12">
        <v>0</v>
      </c>
    </row>
    <row r="5661" spans="3:6">
      <c r="C5661" s="12"/>
      <c r="D5661" s="12"/>
      <c r="E5661" t="b">
        <f t="shared" si="88"/>
        <v>1</v>
      </c>
      <c r="F5661" s="12">
        <v>0</v>
      </c>
    </row>
    <row r="5662" spans="3:6">
      <c r="C5662" s="12"/>
      <c r="D5662" s="12"/>
      <c r="E5662" t="b">
        <f t="shared" si="88"/>
        <v>1</v>
      </c>
      <c r="F5662" s="12">
        <v>0</v>
      </c>
    </row>
    <row r="5663" spans="3:6">
      <c r="C5663" s="12"/>
      <c r="D5663" s="12"/>
      <c r="E5663" t="b">
        <f t="shared" si="88"/>
        <v>1</v>
      </c>
      <c r="F5663" s="12">
        <v>0</v>
      </c>
    </row>
    <row r="5664" spans="3:6">
      <c r="C5664" s="12"/>
      <c r="D5664" s="12"/>
      <c r="E5664" t="b">
        <f t="shared" si="88"/>
        <v>1</v>
      </c>
      <c r="F5664" s="12">
        <v>0</v>
      </c>
    </row>
    <row r="5665" spans="3:6">
      <c r="C5665" s="12"/>
      <c r="D5665" s="12"/>
      <c r="E5665" t="b">
        <f t="shared" si="88"/>
        <v>1</v>
      </c>
      <c r="F5665" s="12">
        <v>0</v>
      </c>
    </row>
    <row r="5666" spans="3:6">
      <c r="C5666" s="12"/>
      <c r="D5666" s="12"/>
      <c r="E5666" t="b">
        <f t="shared" si="88"/>
        <v>1</v>
      </c>
      <c r="F5666" s="12">
        <v>0</v>
      </c>
    </row>
    <row r="5667" spans="3:6">
      <c r="C5667" s="12"/>
      <c r="D5667" s="12"/>
      <c r="E5667" t="b">
        <f t="shared" si="88"/>
        <v>1</v>
      </c>
      <c r="F5667" s="12">
        <v>0</v>
      </c>
    </row>
    <row r="5668" spans="3:6">
      <c r="C5668" s="12"/>
      <c r="D5668" s="12"/>
      <c r="E5668" t="b">
        <f t="shared" si="88"/>
        <v>1</v>
      </c>
      <c r="F5668" s="12">
        <v>0</v>
      </c>
    </row>
    <row r="5669" spans="3:6">
      <c r="C5669" s="12"/>
      <c r="D5669" s="12"/>
      <c r="E5669" t="b">
        <f t="shared" si="88"/>
        <v>1</v>
      </c>
      <c r="F5669" s="12">
        <v>0</v>
      </c>
    </row>
    <row r="5670" spans="3:6">
      <c r="C5670" s="12"/>
      <c r="D5670" s="12"/>
      <c r="E5670" t="b">
        <f t="shared" si="88"/>
        <v>1</v>
      </c>
      <c r="F5670" s="12">
        <v>0</v>
      </c>
    </row>
    <row r="5671" spans="3:6">
      <c r="C5671" s="12"/>
      <c r="D5671" s="12"/>
      <c r="E5671" t="b">
        <f t="shared" si="88"/>
        <v>1</v>
      </c>
      <c r="F5671" s="12">
        <v>0</v>
      </c>
    </row>
    <row r="5672" spans="3:6">
      <c r="C5672" s="12"/>
      <c r="D5672" s="12"/>
      <c r="E5672" t="b">
        <f t="shared" si="88"/>
        <v>1</v>
      </c>
      <c r="F5672" s="12">
        <v>0</v>
      </c>
    </row>
    <row r="5673" spans="3:6">
      <c r="C5673" s="12"/>
      <c r="D5673" s="12"/>
      <c r="E5673" t="b">
        <f t="shared" si="88"/>
        <v>1</v>
      </c>
      <c r="F5673" s="12">
        <v>0</v>
      </c>
    </row>
    <row r="5674" spans="3:6">
      <c r="C5674" s="12"/>
      <c r="D5674" s="12"/>
      <c r="E5674" t="b">
        <f t="shared" si="88"/>
        <v>1</v>
      </c>
      <c r="F5674" s="12">
        <v>0</v>
      </c>
    </row>
    <row r="5675" spans="3:6">
      <c r="C5675" s="12"/>
      <c r="D5675" s="12"/>
      <c r="E5675" t="b">
        <f t="shared" si="88"/>
        <v>1</v>
      </c>
      <c r="F5675" s="12">
        <v>0</v>
      </c>
    </row>
    <row r="5676" spans="3:6">
      <c r="C5676" s="12"/>
      <c r="D5676" s="12"/>
      <c r="E5676" t="b">
        <f t="shared" si="88"/>
        <v>1</v>
      </c>
      <c r="F5676" s="12">
        <v>0</v>
      </c>
    </row>
    <row r="5677" spans="3:6">
      <c r="C5677" s="12"/>
      <c r="D5677" s="12"/>
      <c r="E5677" t="b">
        <f t="shared" si="88"/>
        <v>1</v>
      </c>
      <c r="F5677" s="12">
        <v>0</v>
      </c>
    </row>
    <row r="5678" spans="3:6">
      <c r="C5678" s="12"/>
      <c r="D5678" s="12"/>
      <c r="E5678" t="b">
        <f t="shared" si="88"/>
        <v>1</v>
      </c>
      <c r="F5678" s="12">
        <v>0</v>
      </c>
    </row>
    <row r="5679" spans="3:6">
      <c r="C5679" s="12"/>
      <c r="D5679" s="12"/>
      <c r="E5679" t="b">
        <f t="shared" si="88"/>
        <v>1</v>
      </c>
      <c r="F5679" s="12">
        <v>0</v>
      </c>
    </row>
    <row r="5680" spans="3:6">
      <c r="C5680" s="12"/>
      <c r="D5680" s="12"/>
      <c r="E5680" t="b">
        <f t="shared" si="88"/>
        <v>1</v>
      </c>
      <c r="F5680" s="12">
        <v>0</v>
      </c>
    </row>
    <row r="5681" spans="3:6">
      <c r="C5681" s="12"/>
      <c r="D5681" s="12"/>
      <c r="E5681" t="b">
        <f t="shared" si="88"/>
        <v>1</v>
      </c>
      <c r="F5681" s="12">
        <v>0</v>
      </c>
    </row>
    <row r="5682" spans="3:6">
      <c r="C5682" s="12"/>
      <c r="D5682" s="12"/>
      <c r="E5682" t="b">
        <f t="shared" si="88"/>
        <v>1</v>
      </c>
      <c r="F5682" s="12">
        <v>0</v>
      </c>
    </row>
    <row r="5683" spans="3:6">
      <c r="C5683" s="12"/>
      <c r="D5683" s="12"/>
      <c r="E5683" t="b">
        <f t="shared" si="88"/>
        <v>1</v>
      </c>
      <c r="F5683" s="12">
        <v>0</v>
      </c>
    </row>
    <row r="5684" spans="3:6">
      <c r="C5684" s="12"/>
      <c r="D5684" s="12"/>
      <c r="E5684" t="b">
        <f t="shared" si="88"/>
        <v>1</v>
      </c>
      <c r="F5684" s="12">
        <v>0</v>
      </c>
    </row>
    <row r="5685" spans="3:6">
      <c r="C5685" s="12"/>
      <c r="D5685" s="12"/>
      <c r="E5685" t="b">
        <f t="shared" si="88"/>
        <v>1</v>
      </c>
      <c r="F5685" s="12">
        <v>0</v>
      </c>
    </row>
    <row r="5686" spans="3:6">
      <c r="C5686" s="12"/>
      <c r="D5686" s="12"/>
      <c r="E5686" t="b">
        <f t="shared" si="88"/>
        <v>1</v>
      </c>
      <c r="F5686" s="12">
        <v>0</v>
      </c>
    </row>
    <row r="5687" spans="3:6">
      <c r="C5687" s="12"/>
      <c r="D5687" s="12"/>
      <c r="E5687" t="b">
        <f t="shared" si="88"/>
        <v>1</v>
      </c>
      <c r="F5687" s="12">
        <v>0</v>
      </c>
    </row>
    <row r="5688" spans="3:6">
      <c r="C5688" s="12"/>
      <c r="D5688" s="12"/>
      <c r="E5688" t="b">
        <f t="shared" si="88"/>
        <v>1</v>
      </c>
      <c r="F5688" s="12">
        <v>0</v>
      </c>
    </row>
    <row r="5689" spans="3:6">
      <c r="C5689" s="12"/>
      <c r="D5689" s="12"/>
      <c r="E5689" t="b">
        <f t="shared" si="88"/>
        <v>1</v>
      </c>
      <c r="F5689" s="12">
        <v>0</v>
      </c>
    </row>
    <row r="5690" spans="3:6">
      <c r="C5690" s="12"/>
      <c r="D5690" s="12"/>
      <c r="E5690" t="b">
        <f t="shared" si="88"/>
        <v>1</v>
      </c>
      <c r="F5690" s="12">
        <v>0</v>
      </c>
    </row>
    <row r="5691" spans="3:6">
      <c r="C5691" s="12"/>
      <c r="D5691" s="12"/>
      <c r="E5691" t="b">
        <f t="shared" si="88"/>
        <v>1</v>
      </c>
      <c r="F5691" s="12">
        <v>0</v>
      </c>
    </row>
    <row r="5692" spans="3:6">
      <c r="C5692" s="12"/>
      <c r="D5692" s="12"/>
      <c r="E5692" t="b">
        <f t="shared" si="88"/>
        <v>1</v>
      </c>
      <c r="F5692" s="12">
        <v>0</v>
      </c>
    </row>
    <row r="5693" spans="3:6">
      <c r="C5693" s="12"/>
      <c r="D5693" s="12"/>
      <c r="E5693" t="b">
        <f t="shared" si="88"/>
        <v>1</v>
      </c>
      <c r="F5693" s="12">
        <v>0</v>
      </c>
    </row>
    <row r="5694" spans="3:6">
      <c r="C5694" s="12"/>
      <c r="D5694" s="12"/>
      <c r="E5694" t="b">
        <f t="shared" si="88"/>
        <v>1</v>
      </c>
      <c r="F5694" s="12">
        <v>0</v>
      </c>
    </row>
    <row r="5695" spans="3:6">
      <c r="C5695" s="12"/>
      <c r="D5695" s="12"/>
      <c r="E5695" t="b">
        <f t="shared" si="88"/>
        <v>1</v>
      </c>
      <c r="F5695" s="12">
        <v>0</v>
      </c>
    </row>
    <row r="5696" spans="3:6">
      <c r="C5696" s="12"/>
      <c r="D5696" s="12"/>
      <c r="E5696" t="b">
        <f t="shared" si="88"/>
        <v>1</v>
      </c>
      <c r="F5696" s="12">
        <v>0</v>
      </c>
    </row>
    <row r="5697" spans="3:6">
      <c r="C5697" s="12"/>
      <c r="D5697" s="12"/>
      <c r="E5697" t="b">
        <f t="shared" si="88"/>
        <v>1</v>
      </c>
      <c r="F5697" s="12">
        <v>0</v>
      </c>
    </row>
    <row r="5698" spans="3:6">
      <c r="C5698" s="12"/>
      <c r="D5698" s="12"/>
      <c r="E5698" t="b">
        <f t="shared" si="88"/>
        <v>1</v>
      </c>
      <c r="F5698" s="12">
        <v>0</v>
      </c>
    </row>
    <row r="5699" spans="3:6">
      <c r="C5699" s="12"/>
      <c r="D5699" s="12"/>
      <c r="E5699" t="b">
        <f t="shared" ref="E5699:E5762" si="89">F5699=C5699</f>
        <v>1</v>
      </c>
      <c r="F5699" s="12">
        <v>0</v>
      </c>
    </row>
    <row r="5700" spans="3:6">
      <c r="C5700" s="12"/>
      <c r="D5700" s="12"/>
      <c r="E5700" t="b">
        <f t="shared" si="89"/>
        <v>1</v>
      </c>
      <c r="F5700" s="12">
        <v>0</v>
      </c>
    </row>
    <row r="5701" spans="3:6">
      <c r="C5701" s="12"/>
      <c r="D5701" s="12"/>
      <c r="E5701" t="b">
        <f t="shared" si="89"/>
        <v>1</v>
      </c>
      <c r="F5701" s="12">
        <v>0</v>
      </c>
    </row>
    <row r="5702" spans="3:6">
      <c r="C5702" s="12"/>
      <c r="D5702" s="12"/>
      <c r="E5702" t="b">
        <f t="shared" si="89"/>
        <v>1</v>
      </c>
      <c r="F5702" s="12">
        <v>0</v>
      </c>
    </row>
    <row r="5703" spans="3:6">
      <c r="C5703" s="12"/>
      <c r="D5703" s="12"/>
      <c r="E5703" t="b">
        <f t="shared" si="89"/>
        <v>1</v>
      </c>
      <c r="F5703" s="12">
        <v>0</v>
      </c>
    </row>
    <row r="5704" spans="3:6">
      <c r="C5704" s="12"/>
      <c r="D5704" s="12"/>
      <c r="E5704" t="b">
        <f t="shared" si="89"/>
        <v>1</v>
      </c>
      <c r="F5704" s="12">
        <v>0</v>
      </c>
    </row>
    <row r="5705" spans="3:6">
      <c r="C5705" s="12"/>
      <c r="D5705" s="12"/>
      <c r="E5705" t="b">
        <f t="shared" si="89"/>
        <v>1</v>
      </c>
      <c r="F5705" s="12">
        <v>0</v>
      </c>
    </row>
    <row r="5706" spans="3:6">
      <c r="C5706" s="12"/>
      <c r="D5706" s="12"/>
      <c r="E5706" t="b">
        <f t="shared" si="89"/>
        <v>1</v>
      </c>
      <c r="F5706" s="12">
        <v>0</v>
      </c>
    </row>
    <row r="5707" spans="3:6">
      <c r="C5707" s="12"/>
      <c r="D5707" s="12"/>
      <c r="E5707" t="b">
        <f t="shared" si="89"/>
        <v>1</v>
      </c>
      <c r="F5707" s="12">
        <v>0</v>
      </c>
    </row>
    <row r="5708" spans="3:6">
      <c r="C5708" s="12"/>
      <c r="D5708" s="12"/>
      <c r="E5708" t="b">
        <f t="shared" si="89"/>
        <v>1</v>
      </c>
      <c r="F5708" s="12">
        <v>0</v>
      </c>
    </row>
    <row r="5709" spans="3:6">
      <c r="C5709" s="12"/>
      <c r="D5709" s="12"/>
      <c r="E5709" t="b">
        <f t="shared" si="89"/>
        <v>1</v>
      </c>
      <c r="F5709" s="12">
        <v>0</v>
      </c>
    </row>
    <row r="5710" spans="3:6">
      <c r="C5710" s="12"/>
      <c r="D5710" s="12"/>
      <c r="E5710" t="b">
        <f t="shared" si="89"/>
        <v>1</v>
      </c>
      <c r="F5710" s="12">
        <v>0</v>
      </c>
    </row>
    <row r="5711" spans="3:6">
      <c r="C5711" s="12"/>
      <c r="D5711" s="12"/>
      <c r="E5711" t="b">
        <f t="shared" si="89"/>
        <v>1</v>
      </c>
      <c r="F5711" s="12">
        <v>0</v>
      </c>
    </row>
    <row r="5712" spans="3:6">
      <c r="C5712" s="12"/>
      <c r="D5712" s="12"/>
      <c r="E5712" t="b">
        <f t="shared" si="89"/>
        <v>1</v>
      </c>
      <c r="F5712" s="12">
        <v>0</v>
      </c>
    </row>
    <row r="5713" spans="3:6">
      <c r="C5713" s="12"/>
      <c r="D5713" s="12"/>
      <c r="E5713" t="b">
        <f t="shared" si="89"/>
        <v>1</v>
      </c>
      <c r="F5713" s="12">
        <v>0</v>
      </c>
    </row>
    <row r="5714" spans="3:6">
      <c r="C5714" s="12"/>
      <c r="D5714" s="12"/>
      <c r="E5714" t="b">
        <f t="shared" si="89"/>
        <v>1</v>
      </c>
      <c r="F5714" s="12">
        <v>0</v>
      </c>
    </row>
    <row r="5715" spans="3:6">
      <c r="C5715" s="12"/>
      <c r="D5715" s="12"/>
      <c r="E5715" t="b">
        <f t="shared" si="89"/>
        <v>1</v>
      </c>
      <c r="F5715" s="12">
        <v>0</v>
      </c>
    </row>
    <row r="5716" spans="3:6">
      <c r="C5716" s="12"/>
      <c r="D5716" s="12"/>
      <c r="E5716" t="b">
        <f t="shared" si="89"/>
        <v>1</v>
      </c>
      <c r="F5716" s="12">
        <v>0</v>
      </c>
    </row>
    <row r="5717" spans="3:6">
      <c r="C5717" s="12"/>
      <c r="D5717" s="12"/>
      <c r="E5717" t="b">
        <f t="shared" si="89"/>
        <v>1</v>
      </c>
      <c r="F5717" s="12">
        <v>0</v>
      </c>
    </row>
    <row r="5718" spans="3:6">
      <c r="C5718" s="12"/>
      <c r="D5718" s="12"/>
      <c r="E5718" t="b">
        <f t="shared" si="89"/>
        <v>1</v>
      </c>
      <c r="F5718" s="12">
        <v>0</v>
      </c>
    </row>
    <row r="5719" spans="3:6">
      <c r="C5719" s="12"/>
      <c r="D5719" s="12"/>
      <c r="E5719" t="b">
        <f t="shared" si="89"/>
        <v>1</v>
      </c>
      <c r="F5719" s="12">
        <v>0</v>
      </c>
    </row>
    <row r="5720" spans="3:6">
      <c r="C5720" s="12"/>
      <c r="D5720" s="12"/>
      <c r="E5720" t="b">
        <f t="shared" si="89"/>
        <v>1</v>
      </c>
      <c r="F5720" s="12">
        <v>0</v>
      </c>
    </row>
    <row r="5721" spans="3:6">
      <c r="C5721" s="12"/>
      <c r="D5721" s="12"/>
      <c r="E5721" t="b">
        <f t="shared" si="89"/>
        <v>1</v>
      </c>
      <c r="F5721" s="12">
        <v>0</v>
      </c>
    </row>
    <row r="5722" spans="3:6">
      <c r="C5722" s="12"/>
      <c r="D5722" s="12"/>
      <c r="E5722" t="b">
        <f t="shared" si="89"/>
        <v>1</v>
      </c>
      <c r="F5722" s="12">
        <v>0</v>
      </c>
    </row>
    <row r="5723" spans="3:6">
      <c r="C5723" s="12"/>
      <c r="D5723" s="12"/>
      <c r="E5723" t="b">
        <f t="shared" si="89"/>
        <v>1</v>
      </c>
      <c r="F5723" s="12">
        <v>0</v>
      </c>
    </row>
    <row r="5724" spans="3:6">
      <c r="C5724" s="12"/>
      <c r="D5724" s="12"/>
      <c r="E5724" t="b">
        <f t="shared" si="89"/>
        <v>1</v>
      </c>
      <c r="F5724" s="12">
        <v>0</v>
      </c>
    </row>
    <row r="5725" spans="3:6">
      <c r="C5725" s="12"/>
      <c r="D5725" s="12"/>
      <c r="E5725" t="b">
        <f t="shared" si="89"/>
        <v>1</v>
      </c>
      <c r="F5725" s="12">
        <v>0</v>
      </c>
    </row>
    <row r="5726" spans="3:6">
      <c r="C5726" s="12"/>
      <c r="D5726" s="12"/>
      <c r="E5726" t="b">
        <f t="shared" si="89"/>
        <v>1</v>
      </c>
      <c r="F5726" s="12">
        <v>0</v>
      </c>
    </row>
    <row r="5727" spans="3:6">
      <c r="C5727" s="12"/>
      <c r="D5727" s="12"/>
      <c r="E5727" t="b">
        <f t="shared" si="89"/>
        <v>1</v>
      </c>
      <c r="F5727" s="12">
        <v>0</v>
      </c>
    </row>
    <row r="5728" spans="3:6">
      <c r="C5728" s="12"/>
      <c r="D5728" s="12"/>
      <c r="E5728" t="b">
        <f t="shared" si="89"/>
        <v>1</v>
      </c>
      <c r="F5728" s="12">
        <v>0</v>
      </c>
    </row>
    <row r="5729" spans="3:6">
      <c r="C5729" s="12"/>
      <c r="D5729" s="12"/>
      <c r="E5729" t="b">
        <f t="shared" si="89"/>
        <v>1</v>
      </c>
      <c r="F5729" s="12">
        <v>0</v>
      </c>
    </row>
    <row r="5730" spans="3:6">
      <c r="C5730" s="12"/>
      <c r="D5730" s="12"/>
      <c r="E5730" t="b">
        <f t="shared" si="89"/>
        <v>1</v>
      </c>
      <c r="F5730" s="12">
        <v>0</v>
      </c>
    </row>
    <row r="5731" spans="3:6">
      <c r="C5731" s="12"/>
      <c r="D5731" s="12"/>
      <c r="E5731" t="b">
        <f t="shared" si="89"/>
        <v>1</v>
      </c>
      <c r="F5731" s="12">
        <v>0</v>
      </c>
    </row>
    <row r="5732" spans="3:6">
      <c r="C5732" s="12"/>
      <c r="D5732" s="12"/>
      <c r="E5732" t="b">
        <f t="shared" si="89"/>
        <v>1</v>
      </c>
      <c r="F5732" s="12">
        <v>0</v>
      </c>
    </row>
    <row r="5733" spans="3:6">
      <c r="C5733" s="12"/>
      <c r="D5733" s="12"/>
      <c r="E5733" t="b">
        <f t="shared" si="89"/>
        <v>1</v>
      </c>
      <c r="F5733" s="12">
        <v>0</v>
      </c>
    </row>
    <row r="5734" spans="3:6">
      <c r="C5734" s="12"/>
      <c r="D5734" s="12"/>
      <c r="E5734" t="b">
        <f t="shared" si="89"/>
        <v>1</v>
      </c>
      <c r="F5734" s="12">
        <v>0</v>
      </c>
    </row>
    <row r="5735" spans="3:6">
      <c r="C5735" s="12"/>
      <c r="D5735" s="12"/>
      <c r="E5735" t="b">
        <f t="shared" si="89"/>
        <v>1</v>
      </c>
      <c r="F5735" s="12">
        <v>0</v>
      </c>
    </row>
    <row r="5736" spans="3:6">
      <c r="C5736" s="12"/>
      <c r="D5736" s="12"/>
      <c r="E5736" t="b">
        <f t="shared" si="89"/>
        <v>1</v>
      </c>
      <c r="F5736" s="12">
        <v>0</v>
      </c>
    </row>
    <row r="5737" spans="3:6">
      <c r="C5737" s="12"/>
      <c r="D5737" s="12"/>
      <c r="E5737" t="b">
        <f t="shared" si="89"/>
        <v>1</v>
      </c>
      <c r="F5737" s="12">
        <v>0</v>
      </c>
    </row>
    <row r="5738" spans="3:6">
      <c r="C5738" s="12"/>
      <c r="D5738" s="12"/>
      <c r="E5738" t="b">
        <f t="shared" si="89"/>
        <v>1</v>
      </c>
      <c r="F5738" s="12">
        <v>0</v>
      </c>
    </row>
    <row r="5739" spans="3:6">
      <c r="C5739" s="12"/>
      <c r="D5739" s="12"/>
      <c r="E5739" t="b">
        <f t="shared" si="89"/>
        <v>1</v>
      </c>
      <c r="F5739" s="12">
        <v>0</v>
      </c>
    </row>
    <row r="5740" spans="3:6">
      <c r="C5740" s="12"/>
      <c r="D5740" s="12"/>
      <c r="E5740" t="b">
        <f t="shared" si="89"/>
        <v>1</v>
      </c>
      <c r="F5740" s="12">
        <v>0</v>
      </c>
    </row>
    <row r="5741" spans="3:6">
      <c r="C5741" s="12"/>
      <c r="D5741" s="12"/>
      <c r="E5741" t="b">
        <f t="shared" si="89"/>
        <v>1</v>
      </c>
      <c r="F5741" s="12">
        <v>0</v>
      </c>
    </row>
    <row r="5742" spans="3:6">
      <c r="C5742" s="12"/>
      <c r="D5742" s="12"/>
      <c r="E5742" t="b">
        <f t="shared" si="89"/>
        <v>1</v>
      </c>
      <c r="F5742" s="12">
        <v>0</v>
      </c>
    </row>
    <row r="5743" spans="3:6">
      <c r="C5743" s="12"/>
      <c r="D5743" s="12"/>
      <c r="E5743" t="b">
        <f t="shared" si="89"/>
        <v>1</v>
      </c>
      <c r="F5743" s="12">
        <v>0</v>
      </c>
    </row>
    <row r="5744" spans="3:6">
      <c r="C5744" s="12"/>
      <c r="D5744" s="12"/>
      <c r="E5744" t="b">
        <f t="shared" si="89"/>
        <v>1</v>
      </c>
      <c r="F5744" s="12">
        <v>0</v>
      </c>
    </row>
    <row r="5745" spans="3:6">
      <c r="C5745" s="12"/>
      <c r="D5745" s="12"/>
      <c r="E5745" t="b">
        <f t="shared" si="89"/>
        <v>1</v>
      </c>
      <c r="F5745" s="12">
        <v>0</v>
      </c>
    </row>
    <row r="5746" spans="3:6">
      <c r="C5746" s="12"/>
      <c r="D5746" s="12"/>
      <c r="E5746" t="b">
        <f t="shared" si="89"/>
        <v>1</v>
      </c>
      <c r="F5746" s="12">
        <v>0</v>
      </c>
    </row>
    <row r="5747" spans="3:6">
      <c r="C5747" s="12"/>
      <c r="D5747" s="12"/>
      <c r="E5747" t="b">
        <f t="shared" si="89"/>
        <v>1</v>
      </c>
      <c r="F5747" s="12">
        <v>0</v>
      </c>
    </row>
    <row r="5748" spans="3:6">
      <c r="C5748" s="12"/>
      <c r="D5748" s="12"/>
      <c r="E5748" t="b">
        <f t="shared" si="89"/>
        <v>1</v>
      </c>
      <c r="F5748" s="12">
        <v>0</v>
      </c>
    </row>
    <row r="5749" spans="3:6">
      <c r="C5749" s="12"/>
      <c r="D5749" s="12"/>
      <c r="E5749" t="b">
        <f t="shared" si="89"/>
        <v>1</v>
      </c>
      <c r="F5749" s="12">
        <v>0</v>
      </c>
    </row>
    <row r="5750" spans="3:6">
      <c r="C5750" s="12"/>
      <c r="D5750" s="12"/>
      <c r="E5750" t="b">
        <f t="shared" si="89"/>
        <v>1</v>
      </c>
      <c r="F5750" s="12">
        <v>0</v>
      </c>
    </row>
    <row r="5751" spans="3:6">
      <c r="C5751" s="12"/>
      <c r="D5751" s="12"/>
      <c r="E5751" t="b">
        <f t="shared" si="89"/>
        <v>1</v>
      </c>
      <c r="F5751" s="12">
        <v>0</v>
      </c>
    </row>
    <row r="5752" spans="3:6">
      <c r="C5752" s="12"/>
      <c r="D5752" s="12"/>
      <c r="E5752" t="b">
        <f t="shared" si="89"/>
        <v>1</v>
      </c>
      <c r="F5752" s="12">
        <v>0</v>
      </c>
    </row>
    <row r="5753" spans="3:6">
      <c r="C5753" s="12"/>
      <c r="D5753" s="12"/>
      <c r="E5753" t="b">
        <f t="shared" si="89"/>
        <v>1</v>
      </c>
      <c r="F5753" s="12">
        <v>0</v>
      </c>
    </row>
    <row r="5754" spans="3:6">
      <c r="C5754" s="12"/>
      <c r="D5754" s="12"/>
      <c r="E5754" t="b">
        <f t="shared" si="89"/>
        <v>1</v>
      </c>
      <c r="F5754" s="12">
        <v>0</v>
      </c>
    </row>
    <row r="5755" spans="3:6">
      <c r="C5755" s="12"/>
      <c r="D5755" s="12"/>
      <c r="E5755" t="b">
        <f t="shared" si="89"/>
        <v>1</v>
      </c>
      <c r="F5755" s="12">
        <v>0</v>
      </c>
    </row>
    <row r="5756" spans="3:6">
      <c r="C5756" s="12"/>
      <c r="D5756" s="12"/>
      <c r="E5756" t="b">
        <f t="shared" si="89"/>
        <v>1</v>
      </c>
      <c r="F5756" s="12">
        <v>0</v>
      </c>
    </row>
    <row r="5757" spans="3:6">
      <c r="C5757" s="12"/>
      <c r="D5757" s="12"/>
      <c r="E5757" t="b">
        <f t="shared" si="89"/>
        <v>1</v>
      </c>
      <c r="F5757" s="12">
        <v>0</v>
      </c>
    </row>
    <row r="5758" spans="3:6">
      <c r="C5758" s="12"/>
      <c r="D5758" s="12"/>
      <c r="E5758" t="b">
        <f t="shared" si="89"/>
        <v>1</v>
      </c>
      <c r="F5758" s="12">
        <v>0</v>
      </c>
    </row>
    <row r="5759" spans="3:6">
      <c r="C5759" s="12"/>
      <c r="D5759" s="12"/>
      <c r="E5759" t="b">
        <f t="shared" si="89"/>
        <v>1</v>
      </c>
      <c r="F5759" s="12">
        <v>0</v>
      </c>
    </row>
    <row r="5760" spans="3:6">
      <c r="C5760" s="12"/>
      <c r="D5760" s="12"/>
      <c r="E5760" t="b">
        <f t="shared" si="89"/>
        <v>1</v>
      </c>
      <c r="F5760" s="12">
        <v>0</v>
      </c>
    </row>
    <row r="5761" spans="3:6">
      <c r="C5761" s="12"/>
      <c r="D5761" s="12"/>
      <c r="E5761" t="b">
        <f t="shared" si="89"/>
        <v>1</v>
      </c>
      <c r="F5761" s="12">
        <v>0</v>
      </c>
    </row>
    <row r="5762" spans="3:6">
      <c r="C5762" s="12"/>
      <c r="D5762" s="12"/>
      <c r="E5762" t="b">
        <f t="shared" si="89"/>
        <v>1</v>
      </c>
      <c r="F5762" s="12">
        <v>0</v>
      </c>
    </row>
    <row r="5763" spans="3:6">
      <c r="C5763" s="12"/>
      <c r="D5763" s="12"/>
      <c r="E5763" t="b">
        <f t="shared" ref="E5763:E5826" si="90">F5763=C5763</f>
        <v>1</v>
      </c>
      <c r="F5763" s="12">
        <v>0</v>
      </c>
    </row>
    <row r="5764" spans="3:6">
      <c r="C5764" s="12"/>
      <c r="D5764" s="12"/>
      <c r="E5764" t="b">
        <f t="shared" si="90"/>
        <v>1</v>
      </c>
      <c r="F5764" s="12">
        <v>0</v>
      </c>
    </row>
    <row r="5765" spans="3:6">
      <c r="C5765" s="12"/>
      <c r="D5765" s="12"/>
      <c r="E5765" t="b">
        <f t="shared" si="90"/>
        <v>1</v>
      </c>
      <c r="F5765" s="12">
        <v>0</v>
      </c>
    </row>
    <row r="5766" spans="3:6">
      <c r="C5766" s="12"/>
      <c r="D5766" s="12"/>
      <c r="E5766" t="b">
        <f t="shared" si="90"/>
        <v>1</v>
      </c>
      <c r="F5766" s="12">
        <v>0</v>
      </c>
    </row>
    <row r="5767" spans="3:6">
      <c r="C5767" s="12"/>
      <c r="D5767" s="12"/>
      <c r="E5767" t="b">
        <f t="shared" si="90"/>
        <v>1</v>
      </c>
      <c r="F5767" s="12">
        <v>0</v>
      </c>
    </row>
    <row r="5768" spans="3:6">
      <c r="C5768" s="12"/>
      <c r="D5768" s="12"/>
      <c r="E5768" t="b">
        <f t="shared" si="90"/>
        <v>1</v>
      </c>
      <c r="F5768" s="12">
        <v>0</v>
      </c>
    </row>
    <row r="5769" spans="3:6">
      <c r="C5769" s="12"/>
      <c r="D5769" s="12"/>
      <c r="E5769" t="b">
        <f t="shared" si="90"/>
        <v>1</v>
      </c>
      <c r="F5769" s="12">
        <v>0</v>
      </c>
    </row>
    <row r="5770" spans="3:6">
      <c r="C5770" s="12"/>
      <c r="D5770" s="12"/>
      <c r="E5770" t="b">
        <f t="shared" si="90"/>
        <v>1</v>
      </c>
      <c r="F5770" s="12">
        <v>0</v>
      </c>
    </row>
    <row r="5771" spans="3:6">
      <c r="C5771" s="12"/>
      <c r="D5771" s="12"/>
      <c r="E5771" t="b">
        <f t="shared" si="90"/>
        <v>1</v>
      </c>
      <c r="F5771" s="12">
        <v>0</v>
      </c>
    </row>
    <row r="5772" spans="3:6">
      <c r="C5772" s="12"/>
      <c r="D5772" s="12"/>
      <c r="E5772" t="b">
        <f t="shared" si="90"/>
        <v>1</v>
      </c>
      <c r="F5772" s="12">
        <v>0</v>
      </c>
    </row>
    <row r="5773" spans="3:6">
      <c r="C5773" s="12"/>
      <c r="D5773" s="12"/>
      <c r="E5773" t="b">
        <f t="shared" si="90"/>
        <v>1</v>
      </c>
      <c r="F5773" s="12">
        <v>0</v>
      </c>
    </row>
    <row r="5774" spans="3:6">
      <c r="C5774" s="12"/>
      <c r="D5774" s="12"/>
      <c r="E5774" t="b">
        <f t="shared" si="90"/>
        <v>1</v>
      </c>
      <c r="F5774" s="12">
        <v>0</v>
      </c>
    </row>
    <row r="5775" spans="3:6">
      <c r="C5775" s="12"/>
      <c r="D5775" s="12"/>
      <c r="E5775" t="b">
        <f t="shared" si="90"/>
        <v>1</v>
      </c>
      <c r="F5775" s="12">
        <v>0</v>
      </c>
    </row>
    <row r="5776" spans="3:6">
      <c r="C5776" s="12"/>
      <c r="D5776" s="12"/>
      <c r="E5776" t="b">
        <f t="shared" si="90"/>
        <v>1</v>
      </c>
      <c r="F5776" s="12">
        <v>0</v>
      </c>
    </row>
    <row r="5777" spans="3:6">
      <c r="C5777" s="12"/>
      <c r="D5777" s="12"/>
      <c r="E5777" t="b">
        <f t="shared" si="90"/>
        <v>1</v>
      </c>
      <c r="F5777" s="12">
        <v>0</v>
      </c>
    </row>
    <row r="5778" spans="3:6">
      <c r="C5778" s="12"/>
      <c r="D5778" s="12"/>
      <c r="E5778" t="b">
        <f t="shared" si="90"/>
        <v>1</v>
      </c>
      <c r="F5778" s="12">
        <v>0</v>
      </c>
    </row>
    <row r="5779" spans="3:6">
      <c r="C5779" s="12"/>
      <c r="D5779" s="12"/>
      <c r="E5779" t="b">
        <f t="shared" si="90"/>
        <v>1</v>
      </c>
      <c r="F5779" s="12">
        <v>0</v>
      </c>
    </row>
    <row r="5780" spans="3:6">
      <c r="C5780" s="12"/>
      <c r="D5780" s="12"/>
      <c r="E5780" t="b">
        <f t="shared" si="90"/>
        <v>1</v>
      </c>
      <c r="F5780" s="12">
        <v>0</v>
      </c>
    </row>
    <row r="5781" spans="3:6">
      <c r="C5781" s="12"/>
      <c r="D5781" s="12"/>
      <c r="E5781" t="b">
        <f t="shared" si="90"/>
        <v>1</v>
      </c>
      <c r="F5781" s="12">
        <v>0</v>
      </c>
    </row>
    <row r="5782" spans="3:6">
      <c r="C5782" s="12"/>
      <c r="D5782" s="12"/>
      <c r="E5782" t="b">
        <f t="shared" si="90"/>
        <v>1</v>
      </c>
      <c r="F5782" s="12">
        <v>0</v>
      </c>
    </row>
    <row r="5783" spans="3:6">
      <c r="C5783" s="12"/>
      <c r="D5783" s="12"/>
      <c r="E5783" t="b">
        <f t="shared" si="90"/>
        <v>1</v>
      </c>
      <c r="F5783" s="12">
        <v>0</v>
      </c>
    </row>
    <row r="5784" spans="3:6">
      <c r="C5784" s="12"/>
      <c r="D5784" s="12"/>
      <c r="E5784" t="b">
        <f t="shared" si="90"/>
        <v>1</v>
      </c>
      <c r="F5784" s="12">
        <v>0</v>
      </c>
    </row>
    <row r="5785" spans="3:6">
      <c r="C5785" s="12"/>
      <c r="D5785" s="12"/>
      <c r="E5785" t="b">
        <f t="shared" si="90"/>
        <v>1</v>
      </c>
      <c r="F5785" s="12">
        <v>0</v>
      </c>
    </row>
    <row r="5786" spans="3:6">
      <c r="C5786" s="12"/>
      <c r="D5786" s="12"/>
      <c r="E5786" t="b">
        <f t="shared" si="90"/>
        <v>1</v>
      </c>
      <c r="F5786" s="12">
        <v>0</v>
      </c>
    </row>
    <row r="5787" spans="3:6">
      <c r="C5787" s="12"/>
      <c r="D5787" s="12"/>
      <c r="E5787" t="b">
        <f t="shared" si="90"/>
        <v>1</v>
      </c>
      <c r="F5787" s="12">
        <v>0</v>
      </c>
    </row>
    <row r="5788" spans="3:6">
      <c r="C5788" s="12"/>
      <c r="D5788" s="12"/>
      <c r="E5788" t="b">
        <f t="shared" si="90"/>
        <v>1</v>
      </c>
      <c r="F5788" s="12">
        <v>0</v>
      </c>
    </row>
    <row r="5789" spans="3:6">
      <c r="C5789" s="12"/>
      <c r="D5789" s="12"/>
      <c r="E5789" t="b">
        <f t="shared" si="90"/>
        <v>1</v>
      </c>
      <c r="F5789" s="12">
        <v>0</v>
      </c>
    </row>
    <row r="5790" spans="3:6">
      <c r="C5790" s="12"/>
      <c r="D5790" s="12"/>
      <c r="E5790" t="b">
        <f t="shared" si="90"/>
        <v>1</v>
      </c>
      <c r="F5790" s="12">
        <v>0</v>
      </c>
    </row>
    <row r="5791" spans="3:6">
      <c r="C5791" s="12"/>
      <c r="D5791" s="12"/>
      <c r="E5791" t="b">
        <f t="shared" si="90"/>
        <v>1</v>
      </c>
      <c r="F5791" s="12">
        <v>0</v>
      </c>
    </row>
    <row r="5792" spans="3:6">
      <c r="C5792" s="12"/>
      <c r="D5792" s="12"/>
      <c r="E5792" t="b">
        <f t="shared" si="90"/>
        <v>1</v>
      </c>
      <c r="F5792" s="12">
        <v>0</v>
      </c>
    </row>
    <row r="5793" spans="3:6">
      <c r="C5793" s="12"/>
      <c r="D5793" s="12"/>
      <c r="E5793" t="b">
        <f t="shared" si="90"/>
        <v>1</v>
      </c>
      <c r="F5793" s="12">
        <v>0</v>
      </c>
    </row>
    <row r="5794" spans="3:6">
      <c r="C5794" s="12"/>
      <c r="D5794" s="12"/>
      <c r="E5794" t="b">
        <f t="shared" si="90"/>
        <v>1</v>
      </c>
      <c r="F5794" s="12">
        <v>0</v>
      </c>
    </row>
    <row r="5795" spans="3:6">
      <c r="C5795" s="12"/>
      <c r="D5795" s="12"/>
      <c r="E5795" t="b">
        <f t="shared" si="90"/>
        <v>1</v>
      </c>
      <c r="F5795" s="12">
        <v>0</v>
      </c>
    </row>
    <row r="5796" spans="3:6">
      <c r="C5796" s="12"/>
      <c r="D5796" s="12"/>
      <c r="E5796" t="b">
        <f t="shared" si="90"/>
        <v>1</v>
      </c>
      <c r="F5796" s="12">
        <v>0</v>
      </c>
    </row>
    <row r="5797" spans="3:6">
      <c r="C5797" s="12"/>
      <c r="D5797" s="12"/>
      <c r="E5797" t="b">
        <f t="shared" si="90"/>
        <v>1</v>
      </c>
      <c r="F5797" s="12">
        <v>0</v>
      </c>
    </row>
    <row r="5798" spans="3:6">
      <c r="C5798" s="12"/>
      <c r="D5798" s="12"/>
      <c r="E5798" t="b">
        <f t="shared" si="90"/>
        <v>1</v>
      </c>
      <c r="F5798" s="12">
        <v>0</v>
      </c>
    </row>
    <row r="5799" spans="3:6">
      <c r="C5799" s="12"/>
      <c r="D5799" s="12"/>
      <c r="E5799" t="b">
        <f t="shared" si="90"/>
        <v>1</v>
      </c>
      <c r="F5799" s="12">
        <v>0</v>
      </c>
    </row>
    <row r="5800" spans="3:6">
      <c r="C5800" s="12"/>
      <c r="D5800" s="12"/>
      <c r="E5800" t="b">
        <f t="shared" si="90"/>
        <v>1</v>
      </c>
      <c r="F5800" s="12">
        <v>0</v>
      </c>
    </row>
    <row r="5801" spans="3:6">
      <c r="C5801" s="12"/>
      <c r="D5801" s="12"/>
      <c r="E5801" t="b">
        <f t="shared" si="90"/>
        <v>1</v>
      </c>
      <c r="F5801" s="12">
        <v>0</v>
      </c>
    </row>
    <row r="5802" spans="3:6">
      <c r="C5802" s="12"/>
      <c r="D5802" s="12"/>
      <c r="E5802" t="b">
        <f t="shared" si="90"/>
        <v>1</v>
      </c>
      <c r="F5802" s="12">
        <v>0</v>
      </c>
    </row>
    <row r="5803" spans="3:6">
      <c r="C5803" s="12"/>
      <c r="D5803" s="12"/>
      <c r="E5803" t="b">
        <f t="shared" si="90"/>
        <v>1</v>
      </c>
      <c r="F5803" s="12">
        <v>0</v>
      </c>
    </row>
    <row r="5804" spans="3:6">
      <c r="C5804" s="12"/>
      <c r="D5804" s="12"/>
      <c r="E5804" t="b">
        <f t="shared" si="90"/>
        <v>1</v>
      </c>
      <c r="F5804" s="12">
        <v>0</v>
      </c>
    </row>
    <row r="5805" spans="3:6">
      <c r="C5805" s="12"/>
      <c r="D5805" s="12"/>
      <c r="E5805" t="b">
        <f t="shared" si="90"/>
        <v>1</v>
      </c>
      <c r="F5805" s="12">
        <v>0</v>
      </c>
    </row>
    <row r="5806" spans="3:6">
      <c r="C5806" s="12"/>
      <c r="D5806" s="12"/>
      <c r="E5806" t="b">
        <f t="shared" si="90"/>
        <v>1</v>
      </c>
      <c r="F5806" s="12">
        <v>0</v>
      </c>
    </row>
    <row r="5807" spans="3:6">
      <c r="C5807" s="12"/>
      <c r="D5807" s="12"/>
      <c r="E5807" t="b">
        <f t="shared" si="90"/>
        <v>1</v>
      </c>
      <c r="F5807" s="12">
        <v>0</v>
      </c>
    </row>
    <row r="5808" spans="3:6">
      <c r="C5808" s="12"/>
      <c r="D5808" s="12"/>
      <c r="E5808" t="b">
        <f t="shared" si="90"/>
        <v>1</v>
      </c>
      <c r="F5808" s="12">
        <v>0</v>
      </c>
    </row>
    <row r="5809" spans="3:6">
      <c r="C5809" s="12"/>
      <c r="D5809" s="12"/>
      <c r="E5809" t="b">
        <f t="shared" si="90"/>
        <v>1</v>
      </c>
      <c r="F5809" s="12">
        <v>0</v>
      </c>
    </row>
    <row r="5810" spans="3:6">
      <c r="C5810" s="12"/>
      <c r="D5810" s="12"/>
      <c r="E5810" t="b">
        <f t="shared" si="90"/>
        <v>1</v>
      </c>
      <c r="F5810" s="12">
        <v>0</v>
      </c>
    </row>
    <row r="5811" spans="3:6">
      <c r="C5811" s="12"/>
      <c r="D5811" s="12"/>
      <c r="E5811" t="b">
        <f t="shared" si="90"/>
        <v>1</v>
      </c>
      <c r="F5811" s="12">
        <v>0</v>
      </c>
    </row>
    <row r="5812" spans="3:6">
      <c r="C5812" s="12"/>
      <c r="D5812" s="12"/>
      <c r="E5812" t="b">
        <f t="shared" si="90"/>
        <v>1</v>
      </c>
      <c r="F5812" s="12">
        <v>0</v>
      </c>
    </row>
    <row r="5813" spans="3:6">
      <c r="C5813" s="12"/>
      <c r="D5813" s="12"/>
      <c r="E5813" t="b">
        <f t="shared" si="90"/>
        <v>1</v>
      </c>
      <c r="F5813" s="12">
        <v>0</v>
      </c>
    </row>
    <row r="5814" spans="3:6">
      <c r="C5814" s="12"/>
      <c r="D5814" s="12"/>
      <c r="E5814" t="b">
        <f t="shared" si="90"/>
        <v>1</v>
      </c>
      <c r="F5814" s="12">
        <v>0</v>
      </c>
    </row>
    <row r="5815" spans="3:6">
      <c r="C5815" s="12"/>
      <c r="D5815" s="12"/>
      <c r="E5815" t="b">
        <f t="shared" si="90"/>
        <v>1</v>
      </c>
      <c r="F5815" s="12">
        <v>0</v>
      </c>
    </row>
    <row r="5816" spans="3:6">
      <c r="C5816" s="12"/>
      <c r="D5816" s="12"/>
      <c r="E5816" t="b">
        <f t="shared" si="90"/>
        <v>1</v>
      </c>
      <c r="F5816" s="12">
        <v>0</v>
      </c>
    </row>
    <row r="5817" spans="3:6">
      <c r="C5817" s="12"/>
      <c r="D5817" s="12"/>
      <c r="E5817" t="b">
        <f t="shared" si="90"/>
        <v>1</v>
      </c>
      <c r="F5817" s="12">
        <v>0</v>
      </c>
    </row>
    <row r="5818" spans="3:6">
      <c r="C5818" s="12"/>
      <c r="D5818" s="12"/>
      <c r="E5818" t="b">
        <f t="shared" si="90"/>
        <v>1</v>
      </c>
      <c r="F5818" s="12">
        <v>0</v>
      </c>
    </row>
    <row r="5819" spans="3:6">
      <c r="C5819" s="12"/>
      <c r="D5819" s="12"/>
      <c r="E5819" t="b">
        <f t="shared" si="90"/>
        <v>1</v>
      </c>
      <c r="F5819" s="12">
        <v>0</v>
      </c>
    </row>
    <row r="5820" spans="3:6">
      <c r="C5820" s="12"/>
      <c r="D5820" s="12"/>
      <c r="E5820" t="b">
        <f t="shared" si="90"/>
        <v>1</v>
      </c>
      <c r="F5820" s="12">
        <v>0</v>
      </c>
    </row>
    <row r="5821" spans="3:6">
      <c r="C5821" s="12"/>
      <c r="D5821" s="12"/>
      <c r="E5821" t="b">
        <f t="shared" si="90"/>
        <v>1</v>
      </c>
      <c r="F5821" s="12">
        <v>0</v>
      </c>
    </row>
    <row r="5822" spans="3:6">
      <c r="C5822" s="12"/>
      <c r="D5822" s="12"/>
      <c r="E5822" t="b">
        <f t="shared" si="90"/>
        <v>1</v>
      </c>
      <c r="F5822" s="12">
        <v>0</v>
      </c>
    </row>
    <row r="5823" spans="3:6">
      <c r="C5823" s="12"/>
      <c r="D5823" s="12"/>
      <c r="E5823" t="b">
        <f t="shared" si="90"/>
        <v>1</v>
      </c>
      <c r="F5823" s="12">
        <v>0</v>
      </c>
    </row>
    <row r="5824" spans="3:6">
      <c r="C5824" s="12"/>
      <c r="D5824" s="12"/>
      <c r="E5824" t="b">
        <f t="shared" si="90"/>
        <v>1</v>
      </c>
      <c r="F5824" s="12">
        <v>0</v>
      </c>
    </row>
    <row r="5825" spans="3:6">
      <c r="C5825" s="12"/>
      <c r="D5825" s="12"/>
      <c r="E5825" t="b">
        <f t="shared" si="90"/>
        <v>1</v>
      </c>
      <c r="F5825" s="12">
        <v>0</v>
      </c>
    </row>
    <row r="5826" spans="3:6">
      <c r="C5826" s="12"/>
      <c r="D5826" s="12"/>
      <c r="E5826" t="b">
        <f t="shared" si="90"/>
        <v>1</v>
      </c>
      <c r="F5826" s="12">
        <v>0</v>
      </c>
    </row>
    <row r="5827" spans="3:6">
      <c r="C5827" s="12"/>
      <c r="D5827" s="12"/>
      <c r="E5827" t="b">
        <f t="shared" ref="E5827:E5890" si="91">F5827=C5827</f>
        <v>1</v>
      </c>
      <c r="F5827" s="12">
        <v>0</v>
      </c>
    </row>
    <row r="5828" spans="3:6">
      <c r="C5828" s="12"/>
      <c r="D5828" s="12"/>
      <c r="E5828" t="b">
        <f t="shared" si="91"/>
        <v>1</v>
      </c>
      <c r="F5828" s="12">
        <v>0</v>
      </c>
    </row>
    <row r="5829" spans="3:6">
      <c r="C5829" s="12"/>
      <c r="D5829" s="12"/>
      <c r="E5829" t="b">
        <f t="shared" si="91"/>
        <v>1</v>
      </c>
      <c r="F5829" s="12">
        <v>0</v>
      </c>
    </row>
    <row r="5830" spans="3:6">
      <c r="C5830" s="12"/>
      <c r="D5830" s="12"/>
      <c r="E5830" t="b">
        <f t="shared" si="91"/>
        <v>1</v>
      </c>
      <c r="F5830" s="12">
        <v>0</v>
      </c>
    </row>
    <row r="5831" spans="3:6">
      <c r="C5831" s="12"/>
      <c r="D5831" s="12"/>
      <c r="E5831" t="b">
        <f t="shared" si="91"/>
        <v>1</v>
      </c>
      <c r="F5831" s="12">
        <v>0</v>
      </c>
    </row>
    <row r="5832" spans="3:6">
      <c r="C5832" s="12"/>
      <c r="D5832" s="12"/>
      <c r="E5832" t="b">
        <f t="shared" si="91"/>
        <v>1</v>
      </c>
      <c r="F5832" s="12">
        <v>0</v>
      </c>
    </row>
    <row r="5833" spans="3:6">
      <c r="C5833" s="12"/>
      <c r="D5833" s="12"/>
      <c r="E5833" t="b">
        <f t="shared" si="91"/>
        <v>1</v>
      </c>
      <c r="F5833" s="12">
        <v>0</v>
      </c>
    </row>
    <row r="5834" spans="3:6">
      <c r="C5834" s="12"/>
      <c r="D5834" s="12"/>
      <c r="E5834" t="b">
        <f t="shared" si="91"/>
        <v>1</v>
      </c>
      <c r="F5834" s="12">
        <v>0</v>
      </c>
    </row>
    <row r="5835" spans="3:6">
      <c r="C5835" s="12"/>
      <c r="D5835" s="12"/>
      <c r="E5835" t="b">
        <f t="shared" si="91"/>
        <v>1</v>
      </c>
      <c r="F5835" s="12">
        <v>0</v>
      </c>
    </row>
    <row r="5836" spans="3:6">
      <c r="C5836" s="12"/>
      <c r="D5836" s="12"/>
      <c r="E5836" t="b">
        <f t="shared" si="91"/>
        <v>1</v>
      </c>
      <c r="F5836" s="12">
        <v>0</v>
      </c>
    </row>
    <row r="5837" spans="3:6">
      <c r="C5837" s="12"/>
      <c r="D5837" s="12"/>
      <c r="E5837" t="b">
        <f t="shared" si="91"/>
        <v>1</v>
      </c>
      <c r="F5837" s="12">
        <v>0</v>
      </c>
    </row>
    <row r="5838" spans="3:6">
      <c r="C5838" s="12"/>
      <c r="D5838" s="12"/>
      <c r="E5838" t="b">
        <f t="shared" si="91"/>
        <v>1</v>
      </c>
      <c r="F5838" s="12">
        <v>0</v>
      </c>
    </row>
    <row r="5839" spans="3:6">
      <c r="C5839" s="12"/>
      <c r="D5839" s="12"/>
      <c r="E5839" t="b">
        <f t="shared" si="91"/>
        <v>1</v>
      </c>
      <c r="F5839" s="12">
        <v>0</v>
      </c>
    </row>
    <row r="5840" spans="3:6">
      <c r="C5840" s="12"/>
      <c r="D5840" s="12"/>
      <c r="E5840" t="b">
        <f t="shared" si="91"/>
        <v>1</v>
      </c>
      <c r="F5840" s="12">
        <v>0</v>
      </c>
    </row>
    <row r="5841" spans="3:6">
      <c r="C5841" s="12"/>
      <c r="D5841" s="12"/>
      <c r="E5841" t="b">
        <f t="shared" si="91"/>
        <v>1</v>
      </c>
      <c r="F5841" s="12">
        <v>0</v>
      </c>
    </row>
    <row r="5842" spans="3:6">
      <c r="C5842" s="12"/>
      <c r="D5842" s="12"/>
      <c r="E5842" t="b">
        <f t="shared" si="91"/>
        <v>1</v>
      </c>
      <c r="F5842" s="12">
        <v>0</v>
      </c>
    </row>
    <row r="5843" spans="3:6">
      <c r="C5843" s="12"/>
      <c r="D5843" s="12"/>
      <c r="E5843" t="b">
        <f t="shared" si="91"/>
        <v>1</v>
      </c>
      <c r="F5843" s="12">
        <v>0</v>
      </c>
    </row>
    <row r="5844" spans="3:6">
      <c r="C5844" s="12"/>
      <c r="D5844" s="12"/>
      <c r="E5844" t="b">
        <f t="shared" si="91"/>
        <v>1</v>
      </c>
      <c r="F5844" s="12">
        <v>0</v>
      </c>
    </row>
    <row r="5845" spans="3:6">
      <c r="C5845" s="12"/>
      <c r="D5845" s="12"/>
      <c r="E5845" t="b">
        <f t="shared" si="91"/>
        <v>1</v>
      </c>
      <c r="F5845" s="12">
        <v>0</v>
      </c>
    </row>
    <row r="5846" spans="3:6">
      <c r="C5846" s="12"/>
      <c r="D5846" s="12"/>
      <c r="E5846" t="b">
        <f t="shared" si="91"/>
        <v>1</v>
      </c>
      <c r="F5846" s="12">
        <v>0</v>
      </c>
    </row>
    <row r="5847" spans="3:6">
      <c r="C5847" s="12"/>
      <c r="D5847" s="12"/>
      <c r="E5847" t="b">
        <f t="shared" si="91"/>
        <v>1</v>
      </c>
      <c r="F5847" s="12">
        <v>0</v>
      </c>
    </row>
    <row r="5848" spans="3:6">
      <c r="C5848" s="12"/>
      <c r="D5848" s="12"/>
      <c r="E5848" t="b">
        <f t="shared" si="91"/>
        <v>1</v>
      </c>
      <c r="F5848" s="12">
        <v>0</v>
      </c>
    </row>
    <row r="5849" spans="3:6">
      <c r="C5849" s="12"/>
      <c r="D5849" s="12"/>
      <c r="E5849" t="b">
        <f t="shared" si="91"/>
        <v>1</v>
      </c>
      <c r="F5849" s="12">
        <v>0</v>
      </c>
    </row>
    <row r="5850" spans="3:6">
      <c r="C5850" s="12"/>
      <c r="D5850" s="12"/>
      <c r="E5850" t="b">
        <f t="shared" si="91"/>
        <v>1</v>
      </c>
      <c r="F5850" s="12">
        <v>0</v>
      </c>
    </row>
    <row r="5851" spans="3:6">
      <c r="C5851" s="12"/>
      <c r="D5851" s="12"/>
      <c r="E5851" t="b">
        <f t="shared" si="91"/>
        <v>1</v>
      </c>
      <c r="F5851" s="12">
        <v>0</v>
      </c>
    </row>
    <row r="5852" spans="3:6">
      <c r="C5852" s="12"/>
      <c r="D5852" s="12"/>
      <c r="E5852" t="b">
        <f t="shared" si="91"/>
        <v>1</v>
      </c>
      <c r="F5852" s="12">
        <v>0</v>
      </c>
    </row>
    <row r="5853" spans="3:6">
      <c r="C5853" s="12"/>
      <c r="D5853" s="12"/>
      <c r="E5853" t="b">
        <f t="shared" si="91"/>
        <v>1</v>
      </c>
      <c r="F5853" s="12">
        <v>0</v>
      </c>
    </row>
    <row r="5854" spans="3:6">
      <c r="C5854" s="12"/>
      <c r="D5854" s="12"/>
      <c r="E5854" t="b">
        <f t="shared" si="91"/>
        <v>1</v>
      </c>
      <c r="F5854" s="12">
        <v>0</v>
      </c>
    </row>
    <row r="5855" spans="3:6">
      <c r="C5855" s="12"/>
      <c r="D5855" s="12"/>
      <c r="E5855" t="b">
        <f t="shared" si="91"/>
        <v>1</v>
      </c>
      <c r="F5855" s="12">
        <v>0</v>
      </c>
    </row>
    <row r="5856" spans="3:6">
      <c r="C5856" s="12"/>
      <c r="D5856" s="12"/>
      <c r="E5856" t="b">
        <f t="shared" si="91"/>
        <v>1</v>
      </c>
      <c r="F5856" s="12">
        <v>0</v>
      </c>
    </row>
    <row r="5857" spans="3:6">
      <c r="C5857" s="12"/>
      <c r="D5857" s="12"/>
      <c r="E5857" t="b">
        <f t="shared" si="91"/>
        <v>1</v>
      </c>
      <c r="F5857" s="12">
        <v>0</v>
      </c>
    </row>
    <row r="5858" spans="3:6">
      <c r="C5858" s="12"/>
      <c r="D5858" s="12"/>
      <c r="E5858" t="b">
        <f t="shared" si="91"/>
        <v>1</v>
      </c>
      <c r="F5858" s="12">
        <v>0</v>
      </c>
    </row>
    <row r="5859" spans="3:6">
      <c r="C5859" s="12"/>
      <c r="D5859" s="12"/>
      <c r="E5859" t="b">
        <f t="shared" si="91"/>
        <v>1</v>
      </c>
      <c r="F5859" s="12">
        <v>0</v>
      </c>
    </row>
    <row r="5860" spans="3:6">
      <c r="C5860" s="12"/>
      <c r="D5860" s="12"/>
      <c r="E5860" t="b">
        <f t="shared" si="91"/>
        <v>1</v>
      </c>
      <c r="F5860" s="12">
        <v>0</v>
      </c>
    </row>
    <row r="5861" spans="3:6">
      <c r="C5861" s="12"/>
      <c r="D5861" s="12"/>
      <c r="E5861" t="b">
        <f t="shared" si="91"/>
        <v>1</v>
      </c>
      <c r="F5861" s="12">
        <v>0</v>
      </c>
    </row>
    <row r="5862" spans="3:6">
      <c r="C5862" s="12"/>
      <c r="D5862" s="12"/>
      <c r="E5862" t="b">
        <f t="shared" si="91"/>
        <v>1</v>
      </c>
      <c r="F5862" s="12">
        <v>0</v>
      </c>
    </row>
    <row r="5863" spans="3:6">
      <c r="C5863" s="12"/>
      <c r="D5863" s="12"/>
      <c r="E5863" t="b">
        <f t="shared" si="91"/>
        <v>1</v>
      </c>
      <c r="F5863" s="12">
        <v>0</v>
      </c>
    </row>
    <row r="5864" spans="3:6">
      <c r="C5864" s="12"/>
      <c r="D5864" s="12"/>
      <c r="E5864" t="b">
        <f t="shared" si="91"/>
        <v>1</v>
      </c>
      <c r="F5864" s="12">
        <v>0</v>
      </c>
    </row>
    <row r="5865" spans="3:6">
      <c r="C5865" s="12"/>
      <c r="D5865" s="12"/>
      <c r="E5865" t="b">
        <f t="shared" si="91"/>
        <v>1</v>
      </c>
      <c r="F5865" s="12">
        <v>0</v>
      </c>
    </row>
    <row r="5866" spans="3:6">
      <c r="C5866" s="12"/>
      <c r="D5866" s="12"/>
      <c r="E5866" t="b">
        <f t="shared" si="91"/>
        <v>1</v>
      </c>
      <c r="F5866" s="12">
        <v>0</v>
      </c>
    </row>
    <row r="5867" spans="3:6">
      <c r="C5867" s="12"/>
      <c r="D5867" s="12"/>
      <c r="E5867" t="b">
        <f t="shared" si="91"/>
        <v>1</v>
      </c>
      <c r="F5867" s="12">
        <v>0</v>
      </c>
    </row>
    <row r="5868" spans="3:6">
      <c r="C5868" s="12"/>
      <c r="D5868" s="12"/>
      <c r="E5868" t="b">
        <f t="shared" si="91"/>
        <v>1</v>
      </c>
      <c r="F5868" s="12">
        <v>0</v>
      </c>
    </row>
    <row r="5869" spans="3:6">
      <c r="C5869" s="12"/>
      <c r="D5869" s="12"/>
      <c r="E5869" t="b">
        <f t="shared" si="91"/>
        <v>1</v>
      </c>
      <c r="F5869" s="12">
        <v>0</v>
      </c>
    </row>
    <row r="5870" spans="3:6">
      <c r="C5870" s="12"/>
      <c r="D5870" s="12"/>
      <c r="E5870" t="b">
        <f t="shared" si="91"/>
        <v>1</v>
      </c>
      <c r="F5870" s="12">
        <v>0</v>
      </c>
    </row>
    <row r="5871" spans="3:6">
      <c r="C5871" s="12"/>
      <c r="D5871" s="12"/>
      <c r="E5871" t="b">
        <f t="shared" si="91"/>
        <v>1</v>
      </c>
      <c r="F5871" s="12">
        <v>0</v>
      </c>
    </row>
    <row r="5872" spans="3:6">
      <c r="C5872" s="12"/>
      <c r="D5872" s="12"/>
      <c r="E5872" t="b">
        <f t="shared" si="91"/>
        <v>1</v>
      </c>
      <c r="F5872" s="12">
        <v>0</v>
      </c>
    </row>
    <row r="5873" spans="3:6">
      <c r="C5873" s="12"/>
      <c r="D5873" s="12"/>
      <c r="E5873" t="b">
        <f t="shared" si="91"/>
        <v>1</v>
      </c>
      <c r="F5873" s="12">
        <v>0</v>
      </c>
    </row>
    <row r="5874" spans="3:6">
      <c r="C5874" s="12"/>
      <c r="D5874" s="12"/>
      <c r="E5874" t="b">
        <f t="shared" si="91"/>
        <v>1</v>
      </c>
      <c r="F5874" s="12">
        <v>0</v>
      </c>
    </row>
    <row r="5875" spans="3:6">
      <c r="C5875" s="12"/>
      <c r="D5875" s="12"/>
      <c r="E5875" t="b">
        <f t="shared" si="91"/>
        <v>1</v>
      </c>
      <c r="F5875" s="12">
        <v>0</v>
      </c>
    </row>
    <row r="5876" spans="3:6">
      <c r="C5876" s="12"/>
      <c r="D5876" s="12"/>
      <c r="E5876" t="b">
        <f t="shared" si="91"/>
        <v>1</v>
      </c>
      <c r="F5876" s="12">
        <v>0</v>
      </c>
    </row>
    <row r="5877" spans="3:6">
      <c r="C5877" s="12"/>
      <c r="D5877" s="12"/>
      <c r="E5877" t="b">
        <f t="shared" si="91"/>
        <v>1</v>
      </c>
      <c r="F5877" s="12">
        <v>0</v>
      </c>
    </row>
    <row r="5878" spans="3:6">
      <c r="C5878" s="12"/>
      <c r="D5878" s="12"/>
      <c r="E5878" t="b">
        <f t="shared" si="91"/>
        <v>1</v>
      </c>
      <c r="F5878" s="12">
        <v>0</v>
      </c>
    </row>
    <row r="5879" spans="3:6">
      <c r="C5879" s="12"/>
      <c r="D5879" s="12"/>
      <c r="E5879" t="b">
        <f t="shared" si="91"/>
        <v>1</v>
      </c>
      <c r="F5879" s="12">
        <v>0</v>
      </c>
    </row>
    <row r="5880" spans="3:6">
      <c r="C5880" s="12"/>
      <c r="D5880" s="12"/>
      <c r="E5880" t="b">
        <f t="shared" si="91"/>
        <v>1</v>
      </c>
      <c r="F5880" s="12">
        <v>0</v>
      </c>
    </row>
    <row r="5881" spans="3:6">
      <c r="C5881" s="12"/>
      <c r="D5881" s="12"/>
      <c r="E5881" t="b">
        <f t="shared" si="91"/>
        <v>1</v>
      </c>
      <c r="F5881" s="12">
        <v>0</v>
      </c>
    </row>
    <row r="5882" spans="3:6">
      <c r="C5882" s="12"/>
      <c r="D5882" s="12"/>
      <c r="E5882" t="b">
        <f t="shared" si="91"/>
        <v>1</v>
      </c>
      <c r="F5882" s="12">
        <v>0</v>
      </c>
    </row>
    <row r="5883" spans="3:6">
      <c r="C5883" s="12"/>
      <c r="D5883" s="12"/>
      <c r="E5883" t="b">
        <f t="shared" si="91"/>
        <v>1</v>
      </c>
      <c r="F5883" s="12">
        <v>0</v>
      </c>
    </row>
    <row r="5884" spans="3:6">
      <c r="C5884" s="12"/>
      <c r="D5884" s="12"/>
      <c r="E5884" t="b">
        <f t="shared" si="91"/>
        <v>1</v>
      </c>
      <c r="F5884" s="12">
        <v>0</v>
      </c>
    </row>
    <row r="5885" spans="3:6">
      <c r="C5885" s="12"/>
      <c r="D5885" s="12"/>
      <c r="E5885" t="b">
        <f t="shared" si="91"/>
        <v>1</v>
      </c>
      <c r="F5885" s="12">
        <v>0</v>
      </c>
    </row>
    <row r="5886" spans="3:6">
      <c r="C5886" s="12"/>
      <c r="D5886" s="12"/>
      <c r="E5886" t="b">
        <f t="shared" si="91"/>
        <v>1</v>
      </c>
      <c r="F5886" s="12">
        <v>0</v>
      </c>
    </row>
    <row r="5887" spans="3:6">
      <c r="C5887" s="12"/>
      <c r="D5887" s="12"/>
      <c r="E5887" t="b">
        <f t="shared" si="91"/>
        <v>1</v>
      </c>
      <c r="F5887" s="12">
        <v>0</v>
      </c>
    </row>
    <row r="5888" spans="3:6">
      <c r="C5888" s="12"/>
      <c r="D5888" s="12"/>
      <c r="E5888" t="b">
        <f t="shared" si="91"/>
        <v>1</v>
      </c>
      <c r="F5888" s="12">
        <v>0</v>
      </c>
    </row>
    <row r="5889" spans="3:6">
      <c r="C5889" s="12"/>
      <c r="D5889" s="12"/>
      <c r="E5889" t="b">
        <f t="shared" si="91"/>
        <v>1</v>
      </c>
      <c r="F5889" s="12">
        <v>0</v>
      </c>
    </row>
    <row r="5890" spans="3:6">
      <c r="C5890" s="12"/>
      <c r="D5890" s="12"/>
      <c r="E5890" t="b">
        <f t="shared" si="91"/>
        <v>1</v>
      </c>
      <c r="F5890" s="12">
        <v>0</v>
      </c>
    </row>
    <row r="5891" spans="3:6">
      <c r="C5891" s="12"/>
      <c r="D5891" s="12"/>
      <c r="E5891" t="b">
        <f t="shared" ref="E5891:E5954" si="92">F5891=C5891</f>
        <v>1</v>
      </c>
      <c r="F5891" s="12">
        <v>0</v>
      </c>
    </row>
    <row r="5892" spans="3:6">
      <c r="C5892" s="12"/>
      <c r="D5892" s="12"/>
      <c r="E5892" t="b">
        <f t="shared" si="92"/>
        <v>1</v>
      </c>
      <c r="F5892" s="12">
        <v>0</v>
      </c>
    </row>
    <row r="5893" spans="3:6">
      <c r="C5893" s="12"/>
      <c r="D5893" s="12"/>
      <c r="E5893" t="b">
        <f t="shared" si="92"/>
        <v>1</v>
      </c>
      <c r="F5893" s="12">
        <v>0</v>
      </c>
    </row>
    <row r="5894" spans="3:6">
      <c r="C5894" s="12"/>
      <c r="D5894" s="12"/>
      <c r="E5894" t="b">
        <f t="shared" si="92"/>
        <v>1</v>
      </c>
      <c r="F5894" s="12">
        <v>0</v>
      </c>
    </row>
    <row r="5895" spans="3:6">
      <c r="C5895" s="12"/>
      <c r="D5895" s="12"/>
      <c r="E5895" t="b">
        <f t="shared" si="92"/>
        <v>1</v>
      </c>
      <c r="F5895" s="12">
        <v>0</v>
      </c>
    </row>
    <row r="5896" spans="3:6">
      <c r="C5896" s="12"/>
      <c r="D5896" s="12"/>
      <c r="E5896" t="b">
        <f t="shared" si="92"/>
        <v>1</v>
      </c>
      <c r="F5896" s="12">
        <v>0</v>
      </c>
    </row>
    <row r="5897" spans="3:6">
      <c r="C5897" s="12"/>
      <c r="D5897" s="12"/>
      <c r="E5897" t="b">
        <f t="shared" si="92"/>
        <v>1</v>
      </c>
      <c r="F5897" s="12">
        <v>0</v>
      </c>
    </row>
    <row r="5898" spans="3:6">
      <c r="C5898" s="12"/>
      <c r="D5898" s="12"/>
      <c r="E5898" t="b">
        <f t="shared" si="92"/>
        <v>1</v>
      </c>
      <c r="F5898" s="12">
        <v>0</v>
      </c>
    </row>
    <row r="5899" spans="3:6">
      <c r="C5899" s="12"/>
      <c r="D5899" s="12"/>
      <c r="E5899" t="b">
        <f t="shared" si="92"/>
        <v>1</v>
      </c>
      <c r="F5899" s="12">
        <v>0</v>
      </c>
    </row>
    <row r="5900" spans="3:6">
      <c r="C5900" s="12"/>
      <c r="D5900" s="12"/>
      <c r="E5900" t="b">
        <f t="shared" si="92"/>
        <v>1</v>
      </c>
      <c r="F5900" s="12">
        <v>0</v>
      </c>
    </row>
    <row r="5901" spans="3:6">
      <c r="C5901" s="12"/>
      <c r="D5901" s="12"/>
      <c r="E5901" t="b">
        <f t="shared" si="92"/>
        <v>1</v>
      </c>
      <c r="F5901" s="12">
        <v>0</v>
      </c>
    </row>
    <row r="5902" spans="3:6">
      <c r="C5902" s="12"/>
      <c r="D5902" s="12"/>
      <c r="E5902" t="b">
        <f t="shared" si="92"/>
        <v>1</v>
      </c>
      <c r="F5902" s="12">
        <v>0</v>
      </c>
    </row>
    <row r="5903" spans="3:6">
      <c r="C5903" s="12"/>
      <c r="D5903" s="12"/>
      <c r="E5903" t="b">
        <f t="shared" si="92"/>
        <v>1</v>
      </c>
      <c r="F5903" s="12">
        <v>0</v>
      </c>
    </row>
    <row r="5904" spans="3:6">
      <c r="C5904" s="12"/>
      <c r="D5904" s="12"/>
      <c r="E5904" t="b">
        <f t="shared" si="92"/>
        <v>1</v>
      </c>
      <c r="F5904" s="12">
        <v>0</v>
      </c>
    </row>
    <row r="5905" spans="3:6">
      <c r="C5905" s="12"/>
      <c r="D5905" s="12"/>
      <c r="E5905" t="b">
        <f t="shared" si="92"/>
        <v>1</v>
      </c>
      <c r="F5905" s="12">
        <v>0</v>
      </c>
    </row>
    <row r="5906" spans="3:6">
      <c r="C5906" s="12"/>
      <c r="D5906" s="12"/>
      <c r="E5906" t="b">
        <f t="shared" si="92"/>
        <v>1</v>
      </c>
      <c r="F5906" s="12">
        <v>0</v>
      </c>
    </row>
    <row r="5907" spans="3:6">
      <c r="C5907" s="12"/>
      <c r="D5907" s="12"/>
      <c r="E5907" t="b">
        <f t="shared" si="92"/>
        <v>1</v>
      </c>
      <c r="F5907" s="12">
        <v>0</v>
      </c>
    </row>
    <row r="5908" spans="3:6">
      <c r="C5908" s="12"/>
      <c r="D5908" s="12"/>
      <c r="E5908" t="b">
        <f t="shared" si="92"/>
        <v>1</v>
      </c>
      <c r="F5908" s="12">
        <v>0</v>
      </c>
    </row>
    <row r="5909" spans="3:6">
      <c r="C5909" s="12"/>
      <c r="D5909" s="12"/>
      <c r="E5909" t="b">
        <f t="shared" si="92"/>
        <v>1</v>
      </c>
      <c r="F5909" s="12">
        <v>0</v>
      </c>
    </row>
    <row r="5910" spans="3:6">
      <c r="C5910" s="12"/>
      <c r="D5910" s="12"/>
      <c r="E5910" t="b">
        <f t="shared" si="92"/>
        <v>1</v>
      </c>
      <c r="F5910" s="12">
        <v>0</v>
      </c>
    </row>
    <row r="5911" spans="3:6">
      <c r="C5911" s="12"/>
      <c r="D5911" s="12"/>
      <c r="E5911" t="b">
        <f t="shared" si="92"/>
        <v>1</v>
      </c>
      <c r="F5911" s="12">
        <v>0</v>
      </c>
    </row>
    <row r="5912" spans="3:6">
      <c r="C5912" s="12"/>
      <c r="D5912" s="12"/>
      <c r="E5912" t="b">
        <f t="shared" si="92"/>
        <v>1</v>
      </c>
      <c r="F5912" s="12">
        <v>0</v>
      </c>
    </row>
    <row r="5913" spans="3:6">
      <c r="C5913" s="12"/>
      <c r="D5913" s="12"/>
      <c r="E5913" t="b">
        <f t="shared" si="92"/>
        <v>1</v>
      </c>
      <c r="F5913" s="12">
        <v>0</v>
      </c>
    </row>
    <row r="5914" spans="3:6">
      <c r="C5914" s="12"/>
      <c r="D5914" s="12"/>
      <c r="E5914" t="b">
        <f t="shared" si="92"/>
        <v>1</v>
      </c>
      <c r="F5914" s="12">
        <v>0</v>
      </c>
    </row>
    <row r="5915" spans="3:6">
      <c r="C5915" s="12"/>
      <c r="D5915" s="12"/>
      <c r="E5915" t="b">
        <f t="shared" si="92"/>
        <v>1</v>
      </c>
      <c r="F5915" s="12">
        <v>0</v>
      </c>
    </row>
    <row r="5916" spans="3:6">
      <c r="C5916" s="12"/>
      <c r="D5916" s="12"/>
      <c r="E5916" t="b">
        <f t="shared" si="92"/>
        <v>1</v>
      </c>
      <c r="F5916" s="12">
        <v>0</v>
      </c>
    </row>
    <row r="5917" spans="3:6">
      <c r="C5917" s="12"/>
      <c r="D5917" s="12"/>
      <c r="E5917" t="b">
        <f t="shared" si="92"/>
        <v>1</v>
      </c>
      <c r="F5917" s="12">
        <v>0</v>
      </c>
    </row>
    <row r="5918" spans="3:6">
      <c r="C5918" s="12"/>
      <c r="D5918" s="12"/>
      <c r="E5918" t="b">
        <f t="shared" si="92"/>
        <v>1</v>
      </c>
      <c r="F5918" s="12">
        <v>0</v>
      </c>
    </row>
    <row r="5919" spans="3:6">
      <c r="C5919" s="12"/>
      <c r="D5919" s="12"/>
      <c r="E5919" t="b">
        <f t="shared" si="92"/>
        <v>1</v>
      </c>
      <c r="F5919" s="12">
        <v>0</v>
      </c>
    </row>
    <row r="5920" spans="3:6">
      <c r="C5920" s="12"/>
      <c r="D5920" s="12"/>
      <c r="E5920" t="b">
        <f t="shared" si="92"/>
        <v>1</v>
      </c>
      <c r="F5920" s="12">
        <v>0</v>
      </c>
    </row>
    <row r="5921" spans="3:6">
      <c r="C5921" s="12"/>
      <c r="D5921" s="12"/>
      <c r="E5921" t="b">
        <f t="shared" si="92"/>
        <v>1</v>
      </c>
      <c r="F5921" s="12">
        <v>0</v>
      </c>
    </row>
    <row r="5922" spans="3:6">
      <c r="C5922" s="12"/>
      <c r="D5922" s="12"/>
      <c r="E5922" t="b">
        <f t="shared" si="92"/>
        <v>1</v>
      </c>
      <c r="F5922" s="12">
        <v>0</v>
      </c>
    </row>
    <row r="5923" spans="3:6">
      <c r="C5923" s="12"/>
      <c r="D5923" s="12"/>
      <c r="E5923" t="b">
        <f t="shared" si="92"/>
        <v>1</v>
      </c>
      <c r="F5923" s="12">
        <v>0</v>
      </c>
    </row>
    <row r="5924" spans="3:6">
      <c r="C5924" s="12"/>
      <c r="D5924" s="12"/>
      <c r="E5924" t="b">
        <f t="shared" si="92"/>
        <v>1</v>
      </c>
      <c r="F5924" s="12">
        <v>0</v>
      </c>
    </row>
    <row r="5925" spans="3:6">
      <c r="C5925" s="12"/>
      <c r="D5925" s="12"/>
      <c r="E5925" t="b">
        <f t="shared" si="92"/>
        <v>1</v>
      </c>
      <c r="F5925" s="12">
        <v>0</v>
      </c>
    </row>
    <row r="5926" spans="3:6">
      <c r="C5926" s="12"/>
      <c r="D5926" s="12"/>
      <c r="E5926" t="b">
        <f t="shared" si="92"/>
        <v>1</v>
      </c>
      <c r="F5926" s="12">
        <v>0</v>
      </c>
    </row>
    <row r="5927" spans="3:6">
      <c r="C5927" s="12"/>
      <c r="D5927" s="12"/>
      <c r="E5927" t="b">
        <f t="shared" si="92"/>
        <v>1</v>
      </c>
      <c r="F5927" s="12">
        <v>0</v>
      </c>
    </row>
    <row r="5928" spans="3:6">
      <c r="C5928" s="12"/>
      <c r="D5928" s="12"/>
      <c r="E5928" t="b">
        <f t="shared" si="92"/>
        <v>1</v>
      </c>
      <c r="F5928" s="12">
        <v>0</v>
      </c>
    </row>
    <row r="5929" spans="3:6">
      <c r="C5929" s="12"/>
      <c r="D5929" s="12"/>
      <c r="E5929" t="b">
        <f t="shared" si="92"/>
        <v>1</v>
      </c>
      <c r="F5929" s="12">
        <v>0</v>
      </c>
    </row>
    <row r="5930" spans="3:6">
      <c r="C5930" s="12"/>
      <c r="D5930" s="12"/>
      <c r="E5930" t="b">
        <f t="shared" si="92"/>
        <v>1</v>
      </c>
      <c r="F5930" s="12">
        <v>0</v>
      </c>
    </row>
    <row r="5931" spans="3:6">
      <c r="C5931" s="12"/>
      <c r="D5931" s="12"/>
      <c r="E5931" t="b">
        <f t="shared" si="92"/>
        <v>1</v>
      </c>
      <c r="F5931" s="12">
        <v>0</v>
      </c>
    </row>
    <row r="5932" spans="3:6">
      <c r="C5932" s="12"/>
      <c r="D5932" s="12"/>
      <c r="E5932" t="b">
        <f t="shared" si="92"/>
        <v>1</v>
      </c>
      <c r="F5932" s="12">
        <v>0</v>
      </c>
    </row>
    <row r="5933" spans="3:6">
      <c r="C5933" s="12"/>
      <c r="D5933" s="12"/>
      <c r="E5933" t="b">
        <f t="shared" si="92"/>
        <v>1</v>
      </c>
      <c r="F5933" s="12">
        <v>0</v>
      </c>
    </row>
    <row r="5934" spans="3:6">
      <c r="C5934" s="12"/>
      <c r="D5934" s="12"/>
      <c r="E5934" t="b">
        <f t="shared" si="92"/>
        <v>1</v>
      </c>
      <c r="F5934" s="12">
        <v>0</v>
      </c>
    </row>
    <row r="5935" spans="3:6">
      <c r="C5935" s="12"/>
      <c r="D5935" s="12"/>
      <c r="E5935" t="b">
        <f t="shared" si="92"/>
        <v>1</v>
      </c>
      <c r="F5935" s="12">
        <v>0</v>
      </c>
    </row>
    <row r="5936" spans="3:6">
      <c r="C5936" s="12"/>
      <c r="D5936" s="12"/>
      <c r="E5936" t="b">
        <f t="shared" si="92"/>
        <v>1</v>
      </c>
      <c r="F5936" s="12">
        <v>0</v>
      </c>
    </row>
    <row r="5937" spans="3:6">
      <c r="C5937" s="12"/>
      <c r="D5937" s="12"/>
      <c r="E5937" t="b">
        <f t="shared" si="92"/>
        <v>1</v>
      </c>
      <c r="F5937" s="12">
        <v>0</v>
      </c>
    </row>
    <row r="5938" spans="3:6">
      <c r="C5938" s="12"/>
      <c r="D5938" s="12"/>
      <c r="E5938" t="b">
        <f t="shared" si="92"/>
        <v>1</v>
      </c>
      <c r="F5938" s="12">
        <v>0</v>
      </c>
    </row>
    <row r="5939" spans="3:6">
      <c r="C5939" s="12"/>
      <c r="D5939" s="12"/>
      <c r="E5939" t="b">
        <f t="shared" si="92"/>
        <v>1</v>
      </c>
      <c r="F5939" s="12">
        <v>0</v>
      </c>
    </row>
    <row r="5940" spans="3:6">
      <c r="C5940" s="12"/>
      <c r="D5940" s="12"/>
      <c r="E5940" t="b">
        <f t="shared" si="92"/>
        <v>1</v>
      </c>
      <c r="F5940" s="12">
        <v>0</v>
      </c>
    </row>
    <row r="5941" spans="3:6">
      <c r="C5941" s="12"/>
      <c r="D5941" s="12"/>
      <c r="E5941" t="b">
        <f t="shared" si="92"/>
        <v>1</v>
      </c>
      <c r="F5941" s="12">
        <v>0</v>
      </c>
    </row>
    <row r="5942" spans="3:6">
      <c r="C5942" s="12"/>
      <c r="D5942" s="12"/>
      <c r="E5942" t="b">
        <f t="shared" si="92"/>
        <v>1</v>
      </c>
      <c r="F5942" s="12">
        <v>0</v>
      </c>
    </row>
    <row r="5943" spans="3:6">
      <c r="C5943" s="12"/>
      <c r="D5943" s="12"/>
      <c r="E5943" t="b">
        <f t="shared" si="92"/>
        <v>1</v>
      </c>
      <c r="F5943" s="12">
        <v>0</v>
      </c>
    </row>
    <row r="5944" spans="3:6">
      <c r="C5944" s="12"/>
      <c r="D5944" s="12"/>
      <c r="E5944" t="b">
        <f t="shared" si="92"/>
        <v>1</v>
      </c>
      <c r="F5944" s="12">
        <v>0</v>
      </c>
    </row>
    <row r="5945" spans="3:6">
      <c r="C5945" s="12"/>
      <c r="D5945" s="12"/>
      <c r="E5945" t="b">
        <f t="shared" si="92"/>
        <v>1</v>
      </c>
      <c r="F5945" s="12">
        <v>0</v>
      </c>
    </row>
    <row r="5946" spans="3:6">
      <c r="C5946" s="12"/>
      <c r="D5946" s="12"/>
      <c r="E5946" t="b">
        <f t="shared" si="92"/>
        <v>1</v>
      </c>
      <c r="F5946" s="12">
        <v>0</v>
      </c>
    </row>
    <row r="5947" spans="3:6">
      <c r="C5947" s="12"/>
      <c r="D5947" s="12"/>
      <c r="E5947" t="b">
        <f t="shared" si="92"/>
        <v>1</v>
      </c>
      <c r="F5947" s="12">
        <v>0</v>
      </c>
    </row>
    <row r="5948" spans="3:6">
      <c r="C5948" s="12"/>
      <c r="D5948" s="12"/>
      <c r="E5948" t="b">
        <f t="shared" si="92"/>
        <v>1</v>
      </c>
      <c r="F5948" s="12">
        <v>0</v>
      </c>
    </row>
    <row r="5949" spans="3:6">
      <c r="C5949" s="12"/>
      <c r="D5949" s="12"/>
      <c r="E5949" t="b">
        <f t="shared" si="92"/>
        <v>1</v>
      </c>
      <c r="F5949" s="12">
        <v>0</v>
      </c>
    </row>
    <row r="5950" spans="3:6">
      <c r="C5950" s="12"/>
      <c r="D5950" s="12"/>
      <c r="E5950" t="b">
        <f t="shared" si="92"/>
        <v>1</v>
      </c>
      <c r="F5950" s="12">
        <v>0</v>
      </c>
    </row>
    <row r="5951" spans="3:6">
      <c r="C5951" s="12"/>
      <c r="D5951" s="12"/>
      <c r="E5951" t="b">
        <f t="shared" si="92"/>
        <v>1</v>
      </c>
      <c r="F5951" s="12">
        <v>0</v>
      </c>
    </row>
    <row r="5952" spans="3:6">
      <c r="C5952" s="12"/>
      <c r="D5952" s="12"/>
      <c r="E5952" t="b">
        <f t="shared" si="92"/>
        <v>1</v>
      </c>
      <c r="F5952" s="12">
        <v>0</v>
      </c>
    </row>
    <row r="5953" spans="3:6">
      <c r="C5953" s="12"/>
      <c r="D5953" s="12"/>
      <c r="E5953" t="b">
        <f t="shared" si="92"/>
        <v>1</v>
      </c>
      <c r="F5953" s="12">
        <v>0</v>
      </c>
    </row>
    <row r="5954" spans="3:6">
      <c r="C5954" s="12"/>
      <c r="D5954" s="12"/>
      <c r="E5954" t="b">
        <f t="shared" si="92"/>
        <v>1</v>
      </c>
      <c r="F5954" s="12">
        <v>0</v>
      </c>
    </row>
    <row r="5955" spans="3:6">
      <c r="C5955" s="12"/>
      <c r="D5955" s="12"/>
      <c r="E5955" t="b">
        <f t="shared" ref="E5955:E6018" si="93">F5955=C5955</f>
        <v>1</v>
      </c>
      <c r="F5955" s="12">
        <v>0</v>
      </c>
    </row>
    <row r="5956" spans="3:6">
      <c r="C5956" s="12"/>
      <c r="D5956" s="12"/>
      <c r="E5956" t="b">
        <f t="shared" si="93"/>
        <v>1</v>
      </c>
      <c r="F5956" s="12">
        <v>0</v>
      </c>
    </row>
    <row r="5957" spans="3:6">
      <c r="C5957" s="12"/>
      <c r="D5957" s="12"/>
      <c r="E5957" t="b">
        <f t="shared" si="93"/>
        <v>1</v>
      </c>
      <c r="F5957" s="12">
        <v>0</v>
      </c>
    </row>
    <row r="5958" spans="3:6">
      <c r="C5958" s="12"/>
      <c r="D5958" s="12"/>
      <c r="E5958" t="b">
        <f t="shared" si="93"/>
        <v>1</v>
      </c>
      <c r="F5958" s="12">
        <v>0</v>
      </c>
    </row>
    <row r="5959" spans="3:6">
      <c r="C5959" s="12"/>
      <c r="D5959" s="12"/>
      <c r="E5959" t="b">
        <f t="shared" si="93"/>
        <v>1</v>
      </c>
      <c r="F5959" s="12">
        <v>0</v>
      </c>
    </row>
    <row r="5960" spans="3:6">
      <c r="C5960" s="12"/>
      <c r="D5960" s="12"/>
      <c r="E5960" t="b">
        <f t="shared" si="93"/>
        <v>1</v>
      </c>
      <c r="F5960" s="12">
        <v>0</v>
      </c>
    </row>
    <row r="5961" spans="3:6">
      <c r="C5961" s="12"/>
      <c r="D5961" s="12"/>
      <c r="E5961" t="b">
        <f t="shared" si="93"/>
        <v>1</v>
      </c>
      <c r="F5961" s="12">
        <v>0</v>
      </c>
    </row>
    <row r="5962" spans="3:6">
      <c r="C5962" s="12"/>
      <c r="D5962" s="12"/>
      <c r="E5962" t="b">
        <f t="shared" si="93"/>
        <v>1</v>
      </c>
      <c r="F5962" s="12">
        <v>0</v>
      </c>
    </row>
    <row r="5963" spans="3:6">
      <c r="C5963" s="12"/>
      <c r="D5963" s="12"/>
      <c r="E5963" t="b">
        <f t="shared" si="93"/>
        <v>1</v>
      </c>
      <c r="F5963" s="12">
        <v>0</v>
      </c>
    </row>
    <row r="5964" spans="3:6">
      <c r="C5964" s="12"/>
      <c r="D5964" s="12"/>
      <c r="E5964" t="b">
        <f t="shared" si="93"/>
        <v>1</v>
      </c>
      <c r="F5964" s="12">
        <v>0</v>
      </c>
    </row>
    <row r="5965" spans="3:6">
      <c r="C5965" s="12"/>
      <c r="D5965" s="12"/>
      <c r="E5965" t="b">
        <f t="shared" si="93"/>
        <v>1</v>
      </c>
      <c r="F5965" s="12">
        <v>0</v>
      </c>
    </row>
    <row r="5966" spans="3:6">
      <c r="C5966" s="12"/>
      <c r="D5966" s="12"/>
      <c r="E5966" t="b">
        <f t="shared" si="93"/>
        <v>1</v>
      </c>
      <c r="F5966" s="12">
        <v>0</v>
      </c>
    </row>
    <row r="5967" spans="3:6">
      <c r="C5967" s="12"/>
      <c r="D5967" s="12"/>
      <c r="E5967" t="b">
        <f t="shared" si="93"/>
        <v>1</v>
      </c>
      <c r="F5967" s="12">
        <v>0</v>
      </c>
    </row>
    <row r="5968" spans="3:6">
      <c r="C5968" s="12"/>
      <c r="D5968" s="12"/>
      <c r="E5968" t="b">
        <f t="shared" si="93"/>
        <v>1</v>
      </c>
      <c r="F5968" s="12">
        <v>0</v>
      </c>
    </row>
    <row r="5969" spans="3:6">
      <c r="C5969" s="12"/>
      <c r="D5969" s="12"/>
      <c r="E5969" t="b">
        <f t="shared" si="93"/>
        <v>1</v>
      </c>
      <c r="F5969" s="12">
        <v>0</v>
      </c>
    </row>
    <row r="5970" spans="3:6">
      <c r="C5970" s="12"/>
      <c r="D5970" s="12"/>
      <c r="E5970" t="b">
        <f t="shared" si="93"/>
        <v>1</v>
      </c>
      <c r="F5970" s="12">
        <v>0</v>
      </c>
    </row>
    <row r="5971" spans="3:6">
      <c r="C5971" s="12"/>
      <c r="D5971" s="12"/>
      <c r="E5971" t="b">
        <f t="shared" si="93"/>
        <v>1</v>
      </c>
      <c r="F5971" s="12">
        <v>0</v>
      </c>
    </row>
    <row r="5972" spans="3:6">
      <c r="C5972" s="12"/>
      <c r="D5972" s="12"/>
      <c r="E5972" t="b">
        <f t="shared" si="93"/>
        <v>1</v>
      </c>
      <c r="F5972" s="12">
        <v>0</v>
      </c>
    </row>
    <row r="5973" spans="3:6">
      <c r="C5973" s="12"/>
      <c r="D5973" s="12"/>
      <c r="E5973" t="b">
        <f t="shared" si="93"/>
        <v>1</v>
      </c>
      <c r="F5973" s="12">
        <v>0</v>
      </c>
    </row>
    <row r="5974" spans="3:6">
      <c r="C5974" s="12"/>
      <c r="D5974" s="12"/>
      <c r="E5974" t="b">
        <f t="shared" si="93"/>
        <v>1</v>
      </c>
      <c r="F5974" s="12">
        <v>0</v>
      </c>
    </row>
    <row r="5975" spans="3:6">
      <c r="C5975" s="12"/>
      <c r="D5975" s="12"/>
      <c r="E5975" t="b">
        <f t="shared" si="93"/>
        <v>1</v>
      </c>
      <c r="F5975" s="12">
        <v>0</v>
      </c>
    </row>
    <row r="5976" spans="3:6">
      <c r="C5976" s="12"/>
      <c r="D5976" s="12"/>
      <c r="E5976" t="b">
        <f t="shared" si="93"/>
        <v>1</v>
      </c>
      <c r="F5976" s="12">
        <v>0</v>
      </c>
    </row>
    <row r="5977" spans="3:6">
      <c r="C5977" s="12"/>
      <c r="D5977" s="12"/>
      <c r="E5977" t="b">
        <f t="shared" si="93"/>
        <v>1</v>
      </c>
      <c r="F5977" s="12">
        <v>0</v>
      </c>
    </row>
    <row r="5978" spans="3:6">
      <c r="C5978" s="12"/>
      <c r="D5978" s="12"/>
      <c r="E5978" t="b">
        <f t="shared" si="93"/>
        <v>1</v>
      </c>
      <c r="F5978" s="12">
        <v>0</v>
      </c>
    </row>
    <row r="5979" spans="3:6">
      <c r="C5979" s="12"/>
      <c r="D5979" s="12"/>
      <c r="E5979" t="b">
        <f t="shared" si="93"/>
        <v>1</v>
      </c>
      <c r="F5979" s="12">
        <v>0</v>
      </c>
    </row>
    <row r="5980" spans="3:6">
      <c r="C5980" s="12"/>
      <c r="D5980" s="12"/>
      <c r="E5980" t="b">
        <f t="shared" si="93"/>
        <v>1</v>
      </c>
      <c r="F5980" s="12">
        <v>0</v>
      </c>
    </row>
    <row r="5981" spans="3:6">
      <c r="C5981" s="12"/>
      <c r="D5981" s="12"/>
      <c r="E5981" t="b">
        <f t="shared" si="93"/>
        <v>1</v>
      </c>
      <c r="F5981" s="12">
        <v>0</v>
      </c>
    </row>
    <row r="5982" spans="3:6">
      <c r="C5982" s="12"/>
      <c r="D5982" s="12"/>
      <c r="E5982" t="b">
        <f t="shared" si="93"/>
        <v>1</v>
      </c>
      <c r="F5982" s="12">
        <v>0</v>
      </c>
    </row>
    <row r="5983" spans="3:6">
      <c r="C5983" s="12"/>
      <c r="D5983" s="12"/>
      <c r="E5983" t="b">
        <f t="shared" si="93"/>
        <v>1</v>
      </c>
      <c r="F5983" s="12">
        <v>0</v>
      </c>
    </row>
    <row r="5984" spans="3:6">
      <c r="C5984" s="12"/>
      <c r="D5984" s="12"/>
      <c r="E5984" t="b">
        <f t="shared" si="93"/>
        <v>1</v>
      </c>
      <c r="F5984" s="12">
        <v>0</v>
      </c>
    </row>
    <row r="5985" spans="3:6">
      <c r="C5985" s="12"/>
      <c r="D5985" s="12"/>
      <c r="E5985" t="b">
        <f t="shared" si="93"/>
        <v>1</v>
      </c>
      <c r="F5985" s="12">
        <v>0</v>
      </c>
    </row>
    <row r="5986" spans="3:6">
      <c r="C5986" s="12"/>
      <c r="D5986" s="12"/>
      <c r="E5986" t="b">
        <f t="shared" si="93"/>
        <v>1</v>
      </c>
      <c r="F5986" s="12">
        <v>0</v>
      </c>
    </row>
    <row r="5987" spans="3:6">
      <c r="C5987" s="12"/>
      <c r="D5987" s="12"/>
      <c r="E5987" t="b">
        <f t="shared" si="93"/>
        <v>1</v>
      </c>
      <c r="F5987" s="12">
        <v>0</v>
      </c>
    </row>
    <row r="5988" spans="3:6">
      <c r="C5988" s="12"/>
      <c r="D5988" s="12"/>
      <c r="E5988" t="b">
        <f t="shared" si="93"/>
        <v>1</v>
      </c>
      <c r="F5988" s="12">
        <v>0</v>
      </c>
    </row>
    <row r="5989" spans="3:6">
      <c r="C5989" s="12"/>
      <c r="D5989" s="12"/>
      <c r="E5989" t="b">
        <f t="shared" si="93"/>
        <v>1</v>
      </c>
      <c r="F5989" s="12">
        <v>0</v>
      </c>
    </row>
    <row r="5990" spans="3:6">
      <c r="C5990" s="12"/>
      <c r="D5990" s="12"/>
      <c r="E5990" t="b">
        <f t="shared" si="93"/>
        <v>1</v>
      </c>
      <c r="F5990" s="12">
        <v>0</v>
      </c>
    </row>
    <row r="5991" spans="3:6">
      <c r="C5991" s="12"/>
      <c r="D5991" s="12"/>
      <c r="E5991" t="b">
        <f t="shared" si="93"/>
        <v>1</v>
      </c>
      <c r="F5991" s="12">
        <v>0</v>
      </c>
    </row>
    <row r="5992" spans="3:6">
      <c r="C5992" s="12"/>
      <c r="D5992" s="12"/>
      <c r="E5992" t="b">
        <f t="shared" si="93"/>
        <v>1</v>
      </c>
      <c r="F5992" s="12">
        <v>0</v>
      </c>
    </row>
    <row r="5993" spans="3:6">
      <c r="C5993" s="12"/>
      <c r="D5993" s="12"/>
      <c r="E5993" t="b">
        <f t="shared" si="93"/>
        <v>1</v>
      </c>
      <c r="F5993" s="12">
        <v>0</v>
      </c>
    </row>
    <row r="5994" spans="3:6">
      <c r="C5994" s="12"/>
      <c r="D5994" s="12"/>
      <c r="E5994" t="b">
        <f t="shared" si="93"/>
        <v>1</v>
      </c>
      <c r="F5994" s="12">
        <v>0</v>
      </c>
    </row>
    <row r="5995" spans="3:6">
      <c r="C5995" s="12"/>
      <c r="D5995" s="12"/>
      <c r="E5995" t="b">
        <f t="shared" si="93"/>
        <v>1</v>
      </c>
      <c r="F5995" s="12">
        <v>0</v>
      </c>
    </row>
    <row r="5996" spans="3:6">
      <c r="C5996" s="12"/>
      <c r="D5996" s="12"/>
      <c r="E5996" t="b">
        <f t="shared" si="93"/>
        <v>1</v>
      </c>
      <c r="F5996" s="12">
        <v>0</v>
      </c>
    </row>
    <row r="5997" spans="3:6">
      <c r="C5997" s="12"/>
      <c r="D5997" s="12"/>
      <c r="E5997" t="b">
        <f t="shared" si="93"/>
        <v>1</v>
      </c>
      <c r="F5997" s="12">
        <v>0</v>
      </c>
    </row>
    <row r="5998" spans="3:6">
      <c r="C5998" s="12"/>
      <c r="D5998" s="12"/>
      <c r="E5998" t="b">
        <f t="shared" si="93"/>
        <v>1</v>
      </c>
      <c r="F5998" s="12">
        <v>0</v>
      </c>
    </row>
    <row r="5999" spans="3:6">
      <c r="C5999" s="12"/>
      <c r="D5999" s="12"/>
      <c r="E5999" t="b">
        <f t="shared" si="93"/>
        <v>1</v>
      </c>
      <c r="F5999" s="12">
        <v>0</v>
      </c>
    </row>
    <row r="6000" spans="3:6">
      <c r="C6000" s="12"/>
      <c r="D6000" s="12"/>
      <c r="E6000" t="b">
        <f t="shared" si="93"/>
        <v>1</v>
      </c>
      <c r="F6000" s="12">
        <v>0</v>
      </c>
    </row>
    <row r="6001" spans="3:6">
      <c r="C6001" s="12"/>
      <c r="D6001" s="12"/>
      <c r="E6001" t="b">
        <f t="shared" si="93"/>
        <v>1</v>
      </c>
      <c r="F6001" s="12">
        <v>0</v>
      </c>
    </row>
    <row r="6002" spans="3:6">
      <c r="C6002" s="12"/>
      <c r="D6002" s="12"/>
      <c r="E6002" t="b">
        <f t="shared" si="93"/>
        <v>1</v>
      </c>
      <c r="F6002" s="12">
        <v>0</v>
      </c>
    </row>
    <row r="6003" spans="3:6">
      <c r="C6003" s="12"/>
      <c r="D6003" s="12"/>
      <c r="E6003" t="b">
        <f t="shared" si="93"/>
        <v>1</v>
      </c>
      <c r="F6003" s="12">
        <v>0</v>
      </c>
    </row>
    <row r="6004" spans="3:6">
      <c r="C6004" s="12"/>
      <c r="D6004" s="12"/>
      <c r="E6004" t="b">
        <f t="shared" si="93"/>
        <v>1</v>
      </c>
      <c r="F6004" s="12">
        <v>0</v>
      </c>
    </row>
    <row r="6005" spans="3:6">
      <c r="C6005" s="12"/>
      <c r="D6005" s="12"/>
      <c r="E6005" t="b">
        <f t="shared" si="93"/>
        <v>1</v>
      </c>
      <c r="F6005" s="12">
        <v>0</v>
      </c>
    </row>
    <row r="6006" spans="3:6">
      <c r="C6006" s="12"/>
      <c r="D6006" s="12"/>
      <c r="E6006" t="b">
        <f t="shared" si="93"/>
        <v>1</v>
      </c>
      <c r="F6006" s="12">
        <v>0</v>
      </c>
    </row>
    <row r="6007" spans="3:6">
      <c r="C6007" s="12"/>
      <c r="D6007" s="12"/>
      <c r="E6007" t="b">
        <f t="shared" si="93"/>
        <v>1</v>
      </c>
      <c r="F6007" s="12">
        <v>0</v>
      </c>
    </row>
    <row r="6008" spans="3:6">
      <c r="C6008" s="12"/>
      <c r="D6008" s="12"/>
      <c r="E6008" t="b">
        <f t="shared" si="93"/>
        <v>1</v>
      </c>
      <c r="F6008" s="12">
        <v>0</v>
      </c>
    </row>
    <row r="6009" spans="3:6">
      <c r="C6009" s="12"/>
      <c r="D6009" s="12"/>
      <c r="E6009" t="b">
        <f t="shared" si="93"/>
        <v>1</v>
      </c>
      <c r="F6009" s="12">
        <v>0</v>
      </c>
    </row>
    <row r="6010" spans="3:6">
      <c r="C6010" s="12"/>
      <c r="D6010" s="12"/>
      <c r="E6010" t="b">
        <f t="shared" si="93"/>
        <v>1</v>
      </c>
      <c r="F6010" s="12">
        <v>0</v>
      </c>
    </row>
    <row r="6011" spans="3:6">
      <c r="C6011" s="12"/>
      <c r="D6011" s="12"/>
      <c r="E6011" t="b">
        <f t="shared" si="93"/>
        <v>1</v>
      </c>
      <c r="F6011" s="12">
        <v>0</v>
      </c>
    </row>
    <row r="6012" spans="3:6">
      <c r="C6012" s="12"/>
      <c r="D6012" s="12"/>
      <c r="E6012" t="b">
        <f t="shared" si="93"/>
        <v>1</v>
      </c>
      <c r="F6012" s="12">
        <v>0</v>
      </c>
    </row>
    <row r="6013" spans="3:6">
      <c r="C6013" s="12"/>
      <c r="D6013" s="12"/>
      <c r="E6013" t="b">
        <f t="shared" si="93"/>
        <v>1</v>
      </c>
      <c r="F6013" s="12">
        <v>0</v>
      </c>
    </row>
    <row r="6014" spans="3:6">
      <c r="C6014" s="12"/>
      <c r="D6014" s="12"/>
      <c r="E6014" t="b">
        <f t="shared" si="93"/>
        <v>1</v>
      </c>
      <c r="F6014" s="12">
        <v>0</v>
      </c>
    </row>
    <row r="6015" spans="3:6">
      <c r="C6015" s="12"/>
      <c r="D6015" s="12"/>
      <c r="E6015" t="b">
        <f t="shared" si="93"/>
        <v>1</v>
      </c>
      <c r="F6015" s="12">
        <v>0</v>
      </c>
    </row>
    <row r="6016" spans="3:6">
      <c r="C6016" s="12"/>
      <c r="D6016" s="12"/>
      <c r="E6016" t="b">
        <f t="shared" si="93"/>
        <v>1</v>
      </c>
      <c r="F6016" s="12">
        <v>0</v>
      </c>
    </row>
    <row r="6017" spans="3:6">
      <c r="C6017" s="12"/>
      <c r="D6017" s="12"/>
      <c r="E6017" t="b">
        <f t="shared" si="93"/>
        <v>1</v>
      </c>
      <c r="F6017" s="12">
        <v>0</v>
      </c>
    </row>
    <row r="6018" spans="3:6">
      <c r="C6018" s="12"/>
      <c r="D6018" s="12"/>
      <c r="E6018" t="b">
        <f t="shared" si="93"/>
        <v>1</v>
      </c>
      <c r="F6018" s="12">
        <v>0</v>
      </c>
    </row>
    <row r="6019" spans="3:6">
      <c r="C6019" s="12"/>
      <c r="D6019" s="12"/>
      <c r="E6019" t="b">
        <f t="shared" ref="E6019:E6082" si="94">F6019=C6019</f>
        <v>1</v>
      </c>
      <c r="F6019" s="12">
        <v>0</v>
      </c>
    </row>
    <row r="6020" spans="3:6">
      <c r="C6020" s="12"/>
      <c r="D6020" s="12"/>
      <c r="E6020" t="b">
        <f t="shared" si="94"/>
        <v>1</v>
      </c>
      <c r="F6020" s="12">
        <v>0</v>
      </c>
    </row>
    <row r="6021" spans="3:6">
      <c r="C6021" s="12"/>
      <c r="D6021" s="12"/>
      <c r="E6021" t="b">
        <f t="shared" si="94"/>
        <v>1</v>
      </c>
      <c r="F6021" s="12">
        <v>0</v>
      </c>
    </row>
    <row r="6022" spans="3:6">
      <c r="C6022" s="12"/>
      <c r="D6022" s="12"/>
      <c r="E6022" t="b">
        <f t="shared" si="94"/>
        <v>1</v>
      </c>
      <c r="F6022" s="12">
        <v>0</v>
      </c>
    </row>
    <row r="6023" spans="3:6">
      <c r="C6023" s="12"/>
      <c r="D6023" s="12"/>
      <c r="E6023" t="b">
        <f t="shared" si="94"/>
        <v>1</v>
      </c>
      <c r="F6023" s="12">
        <v>0</v>
      </c>
    </row>
    <row r="6024" spans="3:6">
      <c r="C6024" s="12"/>
      <c r="D6024" s="12"/>
      <c r="E6024" t="b">
        <f t="shared" si="94"/>
        <v>1</v>
      </c>
      <c r="F6024" s="12">
        <v>0</v>
      </c>
    </row>
    <row r="6025" spans="3:6">
      <c r="C6025" s="12"/>
      <c r="D6025" s="12"/>
      <c r="E6025" t="b">
        <f t="shared" si="94"/>
        <v>1</v>
      </c>
      <c r="F6025" s="12">
        <v>0</v>
      </c>
    </row>
    <row r="6026" spans="3:6">
      <c r="C6026" s="12"/>
      <c r="D6026" s="12"/>
      <c r="E6026" t="b">
        <f t="shared" si="94"/>
        <v>1</v>
      </c>
      <c r="F6026" s="12">
        <v>0</v>
      </c>
    </row>
    <row r="6027" spans="3:6">
      <c r="C6027" s="12"/>
      <c r="D6027" s="12"/>
      <c r="E6027" t="b">
        <f t="shared" si="94"/>
        <v>1</v>
      </c>
      <c r="F6027" s="12">
        <v>0</v>
      </c>
    </row>
    <row r="6028" spans="3:6">
      <c r="C6028" s="12"/>
      <c r="D6028" s="12"/>
      <c r="E6028" t="b">
        <f t="shared" si="94"/>
        <v>1</v>
      </c>
      <c r="F6028" s="12">
        <v>0</v>
      </c>
    </row>
    <row r="6029" spans="3:6">
      <c r="C6029" s="12"/>
      <c r="D6029" s="12"/>
      <c r="E6029" t="b">
        <f t="shared" si="94"/>
        <v>1</v>
      </c>
      <c r="F6029" s="12">
        <v>0</v>
      </c>
    </row>
    <row r="6030" spans="3:6">
      <c r="C6030" s="12"/>
      <c r="D6030" s="12"/>
      <c r="E6030" t="b">
        <f t="shared" si="94"/>
        <v>1</v>
      </c>
      <c r="F6030" s="12">
        <v>0</v>
      </c>
    </row>
    <row r="6031" spans="3:6">
      <c r="C6031" s="12"/>
      <c r="D6031" s="12"/>
      <c r="E6031" t="b">
        <f t="shared" si="94"/>
        <v>1</v>
      </c>
      <c r="F6031" s="12">
        <v>0</v>
      </c>
    </row>
    <row r="6032" spans="3:6">
      <c r="C6032" s="12"/>
      <c r="D6032" s="12"/>
      <c r="E6032" t="b">
        <f t="shared" si="94"/>
        <v>1</v>
      </c>
      <c r="F6032" s="12">
        <v>0</v>
      </c>
    </row>
    <row r="6033" spans="3:6">
      <c r="C6033" s="12"/>
      <c r="D6033" s="12"/>
      <c r="E6033" t="b">
        <f t="shared" si="94"/>
        <v>1</v>
      </c>
      <c r="F6033" s="12">
        <v>0</v>
      </c>
    </row>
    <row r="6034" spans="3:6">
      <c r="C6034" s="12"/>
      <c r="D6034" s="12"/>
      <c r="E6034" t="b">
        <f t="shared" si="94"/>
        <v>1</v>
      </c>
      <c r="F6034" s="12">
        <v>0</v>
      </c>
    </row>
    <row r="6035" spans="3:6">
      <c r="C6035" s="12"/>
      <c r="D6035" s="12"/>
      <c r="E6035" t="b">
        <f t="shared" si="94"/>
        <v>1</v>
      </c>
      <c r="F6035" s="12">
        <v>0</v>
      </c>
    </row>
    <row r="6036" spans="3:6">
      <c r="C6036" s="12"/>
      <c r="D6036" s="12"/>
      <c r="E6036" t="b">
        <f t="shared" si="94"/>
        <v>1</v>
      </c>
      <c r="F6036" s="12">
        <v>0</v>
      </c>
    </row>
    <row r="6037" spans="3:6">
      <c r="C6037" s="12"/>
      <c r="D6037" s="12"/>
      <c r="E6037" t="b">
        <f t="shared" si="94"/>
        <v>1</v>
      </c>
      <c r="F6037" s="12">
        <v>0</v>
      </c>
    </row>
    <row r="6038" spans="3:6">
      <c r="C6038" s="12"/>
      <c r="D6038" s="12"/>
      <c r="E6038" t="b">
        <f t="shared" si="94"/>
        <v>1</v>
      </c>
      <c r="F6038" s="12">
        <v>0</v>
      </c>
    </row>
    <row r="6039" spans="3:6">
      <c r="C6039" s="12"/>
      <c r="D6039" s="12"/>
      <c r="E6039" t="b">
        <f t="shared" si="94"/>
        <v>1</v>
      </c>
      <c r="F6039" s="12">
        <v>0</v>
      </c>
    </row>
    <row r="6040" spans="3:6">
      <c r="C6040" s="12"/>
      <c r="D6040" s="12"/>
      <c r="E6040" t="b">
        <f t="shared" si="94"/>
        <v>1</v>
      </c>
      <c r="F6040" s="12">
        <v>0</v>
      </c>
    </row>
    <row r="6041" spans="3:6">
      <c r="C6041" s="12"/>
      <c r="D6041" s="12"/>
      <c r="E6041" t="b">
        <f t="shared" si="94"/>
        <v>1</v>
      </c>
      <c r="F6041" s="12">
        <v>0</v>
      </c>
    </row>
    <row r="6042" spans="3:6">
      <c r="C6042" s="12"/>
      <c r="D6042" s="12"/>
      <c r="E6042" t="b">
        <f t="shared" si="94"/>
        <v>1</v>
      </c>
      <c r="F6042" s="12">
        <v>0</v>
      </c>
    </row>
    <row r="6043" spans="3:6">
      <c r="C6043" s="12"/>
      <c r="D6043" s="12"/>
      <c r="E6043" t="b">
        <f t="shared" si="94"/>
        <v>1</v>
      </c>
      <c r="F6043" s="12">
        <v>0</v>
      </c>
    </row>
    <row r="6044" spans="3:6">
      <c r="C6044" s="12"/>
      <c r="D6044" s="12"/>
      <c r="E6044" t="b">
        <f t="shared" si="94"/>
        <v>1</v>
      </c>
      <c r="F6044" s="12">
        <v>0</v>
      </c>
    </row>
    <row r="6045" spans="3:6">
      <c r="C6045" s="12"/>
      <c r="D6045" s="12"/>
      <c r="E6045" t="b">
        <f t="shared" si="94"/>
        <v>1</v>
      </c>
      <c r="F6045" s="12">
        <v>0</v>
      </c>
    </row>
    <row r="6046" spans="3:6">
      <c r="C6046" s="12"/>
      <c r="D6046" s="12"/>
      <c r="E6046" t="b">
        <f t="shared" si="94"/>
        <v>1</v>
      </c>
      <c r="F6046" s="12">
        <v>0</v>
      </c>
    </row>
    <row r="6047" spans="3:6">
      <c r="C6047" s="12"/>
      <c r="D6047" s="12"/>
      <c r="E6047" t="b">
        <f t="shared" si="94"/>
        <v>1</v>
      </c>
      <c r="F6047" s="12">
        <v>0</v>
      </c>
    </row>
    <row r="6048" spans="3:6">
      <c r="C6048" s="12"/>
      <c r="D6048" s="12"/>
      <c r="E6048" t="b">
        <f t="shared" si="94"/>
        <v>1</v>
      </c>
      <c r="F6048" s="12">
        <v>0</v>
      </c>
    </row>
    <row r="6049" spans="3:6">
      <c r="C6049" s="12"/>
      <c r="D6049" s="12"/>
      <c r="E6049" t="b">
        <f t="shared" si="94"/>
        <v>1</v>
      </c>
      <c r="F6049" s="12">
        <v>0</v>
      </c>
    </row>
    <row r="6050" spans="3:6">
      <c r="C6050" s="12"/>
      <c r="D6050" s="12"/>
      <c r="E6050" t="b">
        <f t="shared" si="94"/>
        <v>1</v>
      </c>
      <c r="F6050" s="12">
        <v>0</v>
      </c>
    </row>
    <row r="6051" spans="3:6">
      <c r="C6051" s="12"/>
      <c r="D6051" s="12"/>
      <c r="E6051" t="b">
        <f t="shared" si="94"/>
        <v>1</v>
      </c>
      <c r="F6051" s="12">
        <v>0</v>
      </c>
    </row>
    <row r="6052" spans="3:6">
      <c r="C6052" s="12"/>
      <c r="D6052" s="12"/>
      <c r="E6052" t="b">
        <f t="shared" si="94"/>
        <v>1</v>
      </c>
      <c r="F6052" s="12">
        <v>0</v>
      </c>
    </row>
    <row r="6053" spans="3:6">
      <c r="C6053" s="12"/>
      <c r="D6053" s="12"/>
      <c r="E6053" t="b">
        <f t="shared" si="94"/>
        <v>1</v>
      </c>
      <c r="F6053" s="12">
        <v>0</v>
      </c>
    </row>
    <row r="6054" spans="3:6">
      <c r="C6054" s="12"/>
      <c r="D6054" s="12"/>
      <c r="E6054" t="b">
        <f t="shared" si="94"/>
        <v>1</v>
      </c>
      <c r="F6054" s="12">
        <v>0</v>
      </c>
    </row>
    <row r="6055" spans="3:6">
      <c r="C6055" s="12"/>
      <c r="D6055" s="12"/>
      <c r="E6055" t="b">
        <f t="shared" si="94"/>
        <v>1</v>
      </c>
      <c r="F6055" s="12">
        <v>0</v>
      </c>
    </row>
    <row r="6056" spans="3:6">
      <c r="C6056" s="12"/>
      <c r="D6056" s="12"/>
      <c r="E6056" t="b">
        <f t="shared" si="94"/>
        <v>1</v>
      </c>
      <c r="F6056" s="12">
        <v>0</v>
      </c>
    </row>
    <row r="6057" spans="3:6">
      <c r="C6057" s="12"/>
      <c r="D6057" s="12"/>
      <c r="E6057" t="b">
        <f t="shared" si="94"/>
        <v>1</v>
      </c>
      <c r="F6057" s="12">
        <v>0</v>
      </c>
    </row>
    <row r="6058" spans="3:6">
      <c r="C6058" s="12"/>
      <c r="D6058" s="12"/>
      <c r="E6058" t="b">
        <f t="shared" si="94"/>
        <v>1</v>
      </c>
      <c r="F6058" s="12">
        <v>0</v>
      </c>
    </row>
    <row r="6059" spans="3:6">
      <c r="C6059" s="12"/>
      <c r="D6059" s="12"/>
      <c r="E6059" t="b">
        <f t="shared" si="94"/>
        <v>1</v>
      </c>
      <c r="F6059" s="12">
        <v>0</v>
      </c>
    </row>
    <row r="6060" spans="3:6">
      <c r="C6060" s="12"/>
      <c r="D6060" s="12"/>
      <c r="E6060" t="b">
        <f t="shared" si="94"/>
        <v>1</v>
      </c>
      <c r="F6060" s="12">
        <v>0</v>
      </c>
    </row>
    <row r="6061" spans="3:6">
      <c r="C6061" s="12"/>
      <c r="D6061" s="12"/>
      <c r="E6061" t="b">
        <f t="shared" si="94"/>
        <v>1</v>
      </c>
      <c r="F6061" s="12">
        <v>0</v>
      </c>
    </row>
    <row r="6062" spans="3:6">
      <c r="C6062" s="12"/>
      <c r="D6062" s="12"/>
      <c r="E6062" t="b">
        <f t="shared" si="94"/>
        <v>1</v>
      </c>
      <c r="F6062" s="12">
        <v>0</v>
      </c>
    </row>
    <row r="6063" spans="3:6">
      <c r="C6063" s="12"/>
      <c r="D6063" s="12"/>
      <c r="E6063" t="b">
        <f t="shared" si="94"/>
        <v>1</v>
      </c>
      <c r="F6063" s="12">
        <v>0</v>
      </c>
    </row>
    <row r="6064" spans="3:6">
      <c r="C6064" s="12"/>
      <c r="D6064" s="12"/>
      <c r="E6064" t="b">
        <f t="shared" si="94"/>
        <v>1</v>
      </c>
      <c r="F6064" s="12">
        <v>0</v>
      </c>
    </row>
    <row r="6065" spans="3:6">
      <c r="C6065" s="12"/>
      <c r="D6065" s="12"/>
      <c r="E6065" t="b">
        <f t="shared" si="94"/>
        <v>1</v>
      </c>
      <c r="F6065" s="12">
        <v>0</v>
      </c>
    </row>
    <row r="6066" spans="3:6">
      <c r="C6066" s="12"/>
      <c r="D6066" s="12"/>
      <c r="E6066" t="b">
        <f t="shared" si="94"/>
        <v>1</v>
      </c>
      <c r="F6066" s="12">
        <v>0</v>
      </c>
    </row>
    <row r="6067" spans="3:6">
      <c r="C6067" s="12"/>
      <c r="D6067" s="12"/>
      <c r="E6067" t="b">
        <f t="shared" si="94"/>
        <v>1</v>
      </c>
      <c r="F6067" s="12">
        <v>0</v>
      </c>
    </row>
    <row r="6068" spans="3:6">
      <c r="C6068" s="12"/>
      <c r="D6068" s="12"/>
      <c r="E6068" t="b">
        <f t="shared" si="94"/>
        <v>1</v>
      </c>
      <c r="F6068" s="12">
        <v>0</v>
      </c>
    </row>
    <row r="6069" spans="3:6">
      <c r="C6069" s="12"/>
      <c r="D6069" s="12"/>
      <c r="E6069" t="b">
        <f t="shared" si="94"/>
        <v>1</v>
      </c>
      <c r="F6069" s="12">
        <v>0</v>
      </c>
    </row>
    <row r="6070" spans="3:6">
      <c r="C6070" s="12"/>
      <c r="D6070" s="12"/>
      <c r="E6070" t="b">
        <f t="shared" si="94"/>
        <v>1</v>
      </c>
      <c r="F6070" s="12">
        <v>0</v>
      </c>
    </row>
    <row r="6071" spans="3:6">
      <c r="C6071" s="12"/>
      <c r="D6071" s="12"/>
      <c r="E6071" t="b">
        <f t="shared" si="94"/>
        <v>1</v>
      </c>
      <c r="F6071" s="12">
        <v>0</v>
      </c>
    </row>
    <row r="6072" spans="3:6">
      <c r="C6072" s="12"/>
      <c r="D6072" s="12"/>
      <c r="E6072" t="b">
        <f t="shared" si="94"/>
        <v>1</v>
      </c>
      <c r="F6072" s="12">
        <v>0</v>
      </c>
    </row>
    <row r="6073" spans="3:6">
      <c r="C6073" s="12"/>
      <c r="D6073" s="12"/>
      <c r="E6073" t="b">
        <f t="shared" si="94"/>
        <v>1</v>
      </c>
      <c r="F6073" s="12">
        <v>0</v>
      </c>
    </row>
    <row r="6074" spans="3:6">
      <c r="C6074" s="12"/>
      <c r="D6074" s="12"/>
      <c r="E6074" t="b">
        <f t="shared" si="94"/>
        <v>1</v>
      </c>
      <c r="F6074" s="12">
        <v>0</v>
      </c>
    </row>
    <row r="6075" spans="3:6">
      <c r="C6075" s="12"/>
      <c r="D6075" s="12"/>
      <c r="E6075" t="b">
        <f t="shared" si="94"/>
        <v>1</v>
      </c>
      <c r="F6075" s="12">
        <v>0</v>
      </c>
    </row>
    <row r="6076" spans="3:6">
      <c r="C6076" s="12"/>
      <c r="D6076" s="12"/>
      <c r="E6076" t="b">
        <f t="shared" si="94"/>
        <v>1</v>
      </c>
      <c r="F6076" s="12">
        <v>0</v>
      </c>
    </row>
    <row r="6077" spans="3:6">
      <c r="C6077" s="12"/>
      <c r="D6077" s="12"/>
      <c r="E6077" t="b">
        <f t="shared" si="94"/>
        <v>1</v>
      </c>
      <c r="F6077" s="12">
        <v>0</v>
      </c>
    </row>
    <row r="6078" spans="3:6">
      <c r="C6078" s="12"/>
      <c r="D6078" s="12"/>
      <c r="E6078" t="b">
        <f t="shared" si="94"/>
        <v>1</v>
      </c>
      <c r="F6078" s="12">
        <v>0</v>
      </c>
    </row>
    <row r="6079" spans="3:6">
      <c r="C6079" s="12"/>
      <c r="D6079" s="12"/>
      <c r="E6079" t="b">
        <f t="shared" si="94"/>
        <v>1</v>
      </c>
      <c r="F6079" s="12">
        <v>0</v>
      </c>
    </row>
    <row r="6080" spans="3:6">
      <c r="C6080" s="12"/>
      <c r="D6080" s="12"/>
      <c r="E6080" t="b">
        <f t="shared" si="94"/>
        <v>1</v>
      </c>
      <c r="F6080" s="12">
        <v>0</v>
      </c>
    </row>
    <row r="6081" spans="3:6">
      <c r="C6081" s="12"/>
      <c r="D6081" s="12"/>
      <c r="E6081" t="b">
        <f t="shared" si="94"/>
        <v>1</v>
      </c>
      <c r="F6081" s="12">
        <v>0</v>
      </c>
    </row>
    <row r="6082" spans="3:6">
      <c r="C6082" s="12"/>
      <c r="D6082" s="12"/>
      <c r="E6082" t="b">
        <f t="shared" si="94"/>
        <v>1</v>
      </c>
      <c r="F6082" s="12">
        <v>0</v>
      </c>
    </row>
    <row r="6083" spans="3:6">
      <c r="C6083" s="12"/>
      <c r="D6083" s="12"/>
      <c r="E6083" t="b">
        <f t="shared" ref="E6083:E6146" si="95">F6083=C6083</f>
        <v>1</v>
      </c>
      <c r="F6083" s="12">
        <v>0</v>
      </c>
    </row>
    <row r="6084" spans="3:6">
      <c r="C6084" s="12"/>
      <c r="D6084" s="12"/>
      <c r="E6084" t="b">
        <f t="shared" si="95"/>
        <v>1</v>
      </c>
      <c r="F6084" s="12">
        <v>0</v>
      </c>
    </row>
    <row r="6085" spans="3:6">
      <c r="C6085" s="12"/>
      <c r="D6085" s="12"/>
      <c r="E6085" t="b">
        <f t="shared" si="95"/>
        <v>1</v>
      </c>
      <c r="F6085" s="12">
        <v>0</v>
      </c>
    </row>
    <row r="6086" spans="3:6">
      <c r="C6086" s="12"/>
      <c r="D6086" s="12"/>
      <c r="E6086" t="b">
        <f t="shared" si="95"/>
        <v>1</v>
      </c>
      <c r="F6086" s="12">
        <v>0</v>
      </c>
    </row>
    <row r="6087" spans="3:6">
      <c r="C6087" s="12"/>
      <c r="D6087" s="12"/>
      <c r="E6087" t="b">
        <f t="shared" si="95"/>
        <v>1</v>
      </c>
      <c r="F6087" s="12">
        <v>0</v>
      </c>
    </row>
    <row r="6088" spans="3:6">
      <c r="C6088" s="12"/>
      <c r="D6088" s="12"/>
      <c r="E6088" t="b">
        <f t="shared" si="95"/>
        <v>1</v>
      </c>
      <c r="F6088" s="12">
        <v>0</v>
      </c>
    </row>
    <row r="6089" spans="3:6">
      <c r="C6089" s="12"/>
      <c r="D6089" s="12"/>
      <c r="E6089" t="b">
        <f t="shared" si="95"/>
        <v>1</v>
      </c>
      <c r="F6089" s="12">
        <v>0</v>
      </c>
    </row>
    <row r="6090" spans="3:6">
      <c r="C6090" s="12"/>
      <c r="D6090" s="12"/>
      <c r="E6090" t="b">
        <f t="shared" si="95"/>
        <v>1</v>
      </c>
      <c r="F6090" s="12">
        <v>0</v>
      </c>
    </row>
    <row r="6091" spans="3:6">
      <c r="C6091" s="12"/>
      <c r="D6091" s="12"/>
      <c r="E6091" t="b">
        <f t="shared" si="95"/>
        <v>1</v>
      </c>
      <c r="F6091" s="12">
        <v>0</v>
      </c>
    </row>
    <row r="6092" spans="3:6">
      <c r="C6092" s="12"/>
      <c r="D6092" s="12"/>
      <c r="E6092" t="b">
        <f t="shared" si="95"/>
        <v>1</v>
      </c>
      <c r="F6092" s="12">
        <v>0</v>
      </c>
    </row>
    <row r="6093" spans="3:6">
      <c r="C6093" s="12"/>
      <c r="D6093" s="12"/>
      <c r="E6093" t="b">
        <f t="shared" si="95"/>
        <v>1</v>
      </c>
      <c r="F6093" s="12">
        <v>0</v>
      </c>
    </row>
    <row r="6094" spans="3:6">
      <c r="C6094" s="12"/>
      <c r="D6094" s="12"/>
      <c r="E6094" t="b">
        <f t="shared" si="95"/>
        <v>1</v>
      </c>
      <c r="F6094" s="12">
        <v>0</v>
      </c>
    </row>
    <row r="6095" spans="3:6">
      <c r="C6095" s="12"/>
      <c r="D6095" s="12"/>
      <c r="E6095" t="b">
        <f t="shared" si="95"/>
        <v>1</v>
      </c>
      <c r="F6095" s="12">
        <v>0</v>
      </c>
    </row>
    <row r="6096" spans="3:6">
      <c r="C6096" s="12"/>
      <c r="D6096" s="12"/>
      <c r="E6096" t="b">
        <f t="shared" si="95"/>
        <v>1</v>
      </c>
      <c r="F6096" s="12">
        <v>0</v>
      </c>
    </row>
    <row r="6097" spans="3:6">
      <c r="C6097" s="12"/>
      <c r="D6097" s="12"/>
      <c r="E6097" t="b">
        <f t="shared" si="95"/>
        <v>1</v>
      </c>
      <c r="F6097" s="12">
        <v>0</v>
      </c>
    </row>
    <row r="6098" spans="3:6">
      <c r="C6098" s="12"/>
      <c r="D6098" s="12"/>
      <c r="E6098" t="b">
        <f t="shared" si="95"/>
        <v>1</v>
      </c>
      <c r="F6098" s="12">
        <v>0</v>
      </c>
    </row>
    <row r="6099" spans="3:6">
      <c r="C6099" s="12"/>
      <c r="D6099" s="12"/>
      <c r="E6099" t="b">
        <f t="shared" si="95"/>
        <v>1</v>
      </c>
      <c r="F6099" s="12">
        <v>0</v>
      </c>
    </row>
    <row r="6100" spans="3:6">
      <c r="C6100" s="12"/>
      <c r="D6100" s="12"/>
      <c r="E6100" t="b">
        <f t="shared" si="95"/>
        <v>1</v>
      </c>
      <c r="F6100" s="12">
        <v>0</v>
      </c>
    </row>
    <row r="6101" spans="3:6">
      <c r="C6101" s="12"/>
      <c r="D6101" s="12"/>
      <c r="E6101" t="b">
        <f t="shared" si="95"/>
        <v>1</v>
      </c>
      <c r="F6101" s="12">
        <v>0</v>
      </c>
    </row>
    <row r="6102" spans="3:6">
      <c r="C6102" s="12"/>
      <c r="D6102" s="12"/>
      <c r="E6102" t="b">
        <f t="shared" si="95"/>
        <v>1</v>
      </c>
      <c r="F6102" s="12">
        <v>0</v>
      </c>
    </row>
    <row r="6103" spans="3:6">
      <c r="C6103" s="12"/>
      <c r="D6103" s="12"/>
      <c r="E6103" t="b">
        <f t="shared" si="95"/>
        <v>1</v>
      </c>
      <c r="F6103" s="12">
        <v>0</v>
      </c>
    </row>
    <row r="6104" spans="3:6">
      <c r="C6104" s="12"/>
      <c r="D6104" s="12"/>
      <c r="E6104" t="b">
        <f t="shared" si="95"/>
        <v>1</v>
      </c>
      <c r="F6104" s="12">
        <v>0</v>
      </c>
    </row>
    <row r="6105" spans="3:6">
      <c r="C6105" s="12"/>
      <c r="D6105" s="12"/>
      <c r="E6105" t="b">
        <f t="shared" si="95"/>
        <v>1</v>
      </c>
      <c r="F6105" s="12">
        <v>0</v>
      </c>
    </row>
    <row r="6106" spans="3:6">
      <c r="C6106" s="12"/>
      <c r="D6106" s="12"/>
      <c r="E6106" t="b">
        <f t="shared" si="95"/>
        <v>1</v>
      </c>
      <c r="F6106" s="12">
        <v>0</v>
      </c>
    </row>
    <row r="6107" spans="3:6">
      <c r="C6107" s="12"/>
      <c r="D6107" s="12"/>
      <c r="E6107" t="b">
        <f t="shared" si="95"/>
        <v>1</v>
      </c>
      <c r="F6107" s="12">
        <v>0</v>
      </c>
    </row>
    <row r="6108" spans="3:6">
      <c r="C6108" s="12"/>
      <c r="D6108" s="12"/>
      <c r="E6108" t="b">
        <f t="shared" si="95"/>
        <v>1</v>
      </c>
      <c r="F6108" s="12">
        <v>0</v>
      </c>
    </row>
    <row r="6109" spans="3:6">
      <c r="C6109" s="12"/>
      <c r="D6109" s="12"/>
      <c r="E6109" t="b">
        <f t="shared" si="95"/>
        <v>1</v>
      </c>
      <c r="F6109" s="12">
        <v>0</v>
      </c>
    </row>
    <row r="6110" spans="3:6">
      <c r="C6110" s="12"/>
      <c r="D6110" s="12"/>
      <c r="E6110" t="b">
        <f t="shared" si="95"/>
        <v>1</v>
      </c>
      <c r="F6110" s="12">
        <v>0</v>
      </c>
    </row>
    <row r="6111" spans="3:6">
      <c r="C6111" s="12"/>
      <c r="D6111" s="12"/>
      <c r="E6111" t="b">
        <f t="shared" si="95"/>
        <v>1</v>
      </c>
      <c r="F6111" s="12">
        <v>0</v>
      </c>
    </row>
    <row r="6112" spans="3:6">
      <c r="C6112" s="12"/>
      <c r="D6112" s="12"/>
      <c r="E6112" t="b">
        <f t="shared" si="95"/>
        <v>1</v>
      </c>
      <c r="F6112" s="12">
        <v>0</v>
      </c>
    </row>
    <row r="6113" spans="3:6">
      <c r="C6113" s="12"/>
      <c r="D6113" s="12"/>
      <c r="E6113" t="b">
        <f t="shared" si="95"/>
        <v>1</v>
      </c>
      <c r="F6113" s="12">
        <v>0</v>
      </c>
    </row>
    <row r="6114" spans="3:6">
      <c r="C6114" s="12"/>
      <c r="D6114" s="12"/>
      <c r="E6114" t="b">
        <f t="shared" si="95"/>
        <v>1</v>
      </c>
      <c r="F6114" s="12">
        <v>0</v>
      </c>
    </row>
    <row r="6115" spans="3:6">
      <c r="C6115" s="12"/>
      <c r="D6115" s="12"/>
      <c r="E6115" t="b">
        <f t="shared" si="95"/>
        <v>1</v>
      </c>
      <c r="F6115" s="12">
        <v>0</v>
      </c>
    </row>
    <row r="6116" spans="3:6">
      <c r="C6116" s="12"/>
      <c r="D6116" s="12"/>
      <c r="E6116" t="b">
        <f t="shared" si="95"/>
        <v>1</v>
      </c>
      <c r="F6116" s="12">
        <v>0</v>
      </c>
    </row>
    <row r="6117" spans="3:6">
      <c r="C6117" s="12"/>
      <c r="D6117" s="12"/>
      <c r="E6117" t="b">
        <f t="shared" si="95"/>
        <v>1</v>
      </c>
      <c r="F6117" s="12">
        <v>0</v>
      </c>
    </row>
    <row r="6118" spans="3:6">
      <c r="C6118" s="12"/>
      <c r="D6118" s="12"/>
      <c r="E6118" t="b">
        <f t="shared" si="95"/>
        <v>1</v>
      </c>
      <c r="F6118" s="12">
        <v>0</v>
      </c>
    </row>
    <row r="6119" spans="3:6">
      <c r="C6119" s="12"/>
      <c r="D6119" s="12"/>
      <c r="E6119" t="b">
        <f t="shared" si="95"/>
        <v>1</v>
      </c>
      <c r="F6119" s="12">
        <v>0</v>
      </c>
    </row>
    <row r="6120" spans="3:6">
      <c r="C6120" s="12"/>
      <c r="D6120" s="12"/>
      <c r="E6120" t="b">
        <f t="shared" si="95"/>
        <v>1</v>
      </c>
      <c r="F6120" s="12">
        <v>0</v>
      </c>
    </row>
    <row r="6121" spans="3:6">
      <c r="C6121" s="12"/>
      <c r="D6121" s="12"/>
      <c r="E6121" t="b">
        <f t="shared" si="95"/>
        <v>1</v>
      </c>
      <c r="F6121" s="12">
        <v>0</v>
      </c>
    </row>
    <row r="6122" spans="3:6">
      <c r="C6122" s="12"/>
      <c r="D6122" s="12"/>
      <c r="E6122" t="b">
        <f t="shared" si="95"/>
        <v>1</v>
      </c>
      <c r="F6122" s="12">
        <v>0</v>
      </c>
    </row>
    <row r="6123" spans="3:6">
      <c r="C6123" s="12"/>
      <c r="D6123" s="12"/>
      <c r="E6123" t="b">
        <f t="shared" si="95"/>
        <v>1</v>
      </c>
      <c r="F6123" s="12">
        <v>0</v>
      </c>
    </row>
    <row r="6124" spans="3:6">
      <c r="C6124" s="12"/>
      <c r="D6124" s="12"/>
      <c r="E6124" t="b">
        <f t="shared" si="95"/>
        <v>1</v>
      </c>
      <c r="F6124" s="12">
        <v>0</v>
      </c>
    </row>
    <row r="6125" spans="3:6">
      <c r="C6125" s="12"/>
      <c r="D6125" s="12"/>
      <c r="E6125" t="b">
        <f t="shared" si="95"/>
        <v>1</v>
      </c>
      <c r="F6125" s="12">
        <v>0</v>
      </c>
    </row>
    <row r="6126" spans="3:6">
      <c r="C6126" s="12"/>
      <c r="D6126" s="12"/>
      <c r="E6126" t="b">
        <f t="shared" si="95"/>
        <v>1</v>
      </c>
      <c r="F6126" s="12">
        <v>0</v>
      </c>
    </row>
    <row r="6127" spans="3:6">
      <c r="C6127" s="12"/>
      <c r="D6127" s="12"/>
      <c r="E6127" t="b">
        <f t="shared" si="95"/>
        <v>1</v>
      </c>
      <c r="F6127" s="12">
        <v>0</v>
      </c>
    </row>
    <row r="6128" spans="3:6">
      <c r="C6128" s="12"/>
      <c r="D6128" s="12"/>
      <c r="E6128" t="b">
        <f t="shared" si="95"/>
        <v>1</v>
      </c>
      <c r="F6128" s="12">
        <v>0</v>
      </c>
    </row>
    <row r="6129" spans="3:6">
      <c r="C6129" s="12"/>
      <c r="D6129" s="12"/>
      <c r="E6129" t="b">
        <f t="shared" si="95"/>
        <v>1</v>
      </c>
      <c r="F6129" s="12">
        <v>0</v>
      </c>
    </row>
    <row r="6130" spans="3:6">
      <c r="C6130" s="12"/>
      <c r="D6130" s="12"/>
      <c r="E6130" t="b">
        <f t="shared" si="95"/>
        <v>1</v>
      </c>
      <c r="F6130" s="12">
        <v>0</v>
      </c>
    </row>
    <row r="6131" spans="3:6">
      <c r="C6131" s="12"/>
      <c r="D6131" s="12"/>
      <c r="E6131" t="b">
        <f t="shared" si="95"/>
        <v>1</v>
      </c>
      <c r="F6131" s="12">
        <v>0</v>
      </c>
    </row>
    <row r="6132" spans="3:6">
      <c r="C6132" s="12"/>
      <c r="D6132" s="12"/>
      <c r="E6132" t="b">
        <f t="shared" si="95"/>
        <v>1</v>
      </c>
      <c r="F6132" s="12">
        <v>0</v>
      </c>
    </row>
    <row r="6133" spans="3:6">
      <c r="C6133" s="12"/>
      <c r="D6133" s="12"/>
      <c r="E6133" t="b">
        <f t="shared" si="95"/>
        <v>1</v>
      </c>
      <c r="F6133" s="12">
        <v>0</v>
      </c>
    </row>
    <row r="6134" spans="3:6">
      <c r="C6134" s="12"/>
      <c r="D6134" s="12"/>
      <c r="E6134" t="b">
        <f t="shared" si="95"/>
        <v>1</v>
      </c>
      <c r="F6134" s="12">
        <v>0</v>
      </c>
    </row>
    <row r="6135" spans="3:6">
      <c r="C6135" s="12"/>
      <c r="D6135" s="12"/>
      <c r="E6135" t="b">
        <f t="shared" si="95"/>
        <v>1</v>
      </c>
      <c r="F6135" s="12">
        <v>0</v>
      </c>
    </row>
    <row r="6136" spans="3:6">
      <c r="C6136" s="12"/>
      <c r="D6136" s="12"/>
      <c r="E6136" t="b">
        <f t="shared" si="95"/>
        <v>1</v>
      </c>
      <c r="F6136" s="12">
        <v>0</v>
      </c>
    </row>
    <row r="6137" spans="3:6">
      <c r="C6137" s="12"/>
      <c r="D6137" s="12"/>
      <c r="E6137" t="b">
        <f t="shared" si="95"/>
        <v>1</v>
      </c>
      <c r="F6137" s="12">
        <v>0</v>
      </c>
    </row>
    <row r="6138" spans="3:6">
      <c r="C6138" s="12"/>
      <c r="D6138" s="12"/>
      <c r="E6138" t="b">
        <f t="shared" si="95"/>
        <v>1</v>
      </c>
      <c r="F6138" s="12">
        <v>0</v>
      </c>
    </row>
    <row r="6139" spans="3:6">
      <c r="C6139" s="12"/>
      <c r="D6139" s="12"/>
      <c r="E6139" t="b">
        <f t="shared" si="95"/>
        <v>1</v>
      </c>
      <c r="F6139" s="12">
        <v>0</v>
      </c>
    </row>
    <row r="6140" spans="3:6">
      <c r="C6140" s="12"/>
      <c r="D6140" s="12"/>
      <c r="E6140" t="b">
        <f t="shared" si="95"/>
        <v>1</v>
      </c>
      <c r="F6140" s="12">
        <v>0</v>
      </c>
    </row>
    <row r="6141" spans="3:6">
      <c r="C6141" s="12"/>
      <c r="D6141" s="12"/>
      <c r="E6141" t="b">
        <f t="shared" si="95"/>
        <v>1</v>
      </c>
      <c r="F6141" s="12">
        <v>0</v>
      </c>
    </row>
    <row r="6142" spans="3:6">
      <c r="C6142" s="12"/>
      <c r="D6142" s="12"/>
      <c r="E6142" t="b">
        <f t="shared" si="95"/>
        <v>1</v>
      </c>
      <c r="F6142" s="12">
        <v>0</v>
      </c>
    </row>
    <row r="6143" spans="3:6">
      <c r="C6143" s="12"/>
      <c r="D6143" s="12"/>
      <c r="E6143" t="b">
        <f t="shared" si="95"/>
        <v>1</v>
      </c>
      <c r="F6143" s="12">
        <v>0</v>
      </c>
    </row>
    <row r="6144" spans="3:6">
      <c r="C6144" s="12"/>
      <c r="D6144" s="12"/>
      <c r="E6144" t="b">
        <f t="shared" si="95"/>
        <v>1</v>
      </c>
      <c r="F6144" s="12">
        <v>0</v>
      </c>
    </row>
    <row r="6145" spans="3:6">
      <c r="C6145" s="12"/>
      <c r="D6145" s="12"/>
      <c r="E6145" t="b">
        <f t="shared" si="95"/>
        <v>1</v>
      </c>
      <c r="F6145" s="12">
        <v>0</v>
      </c>
    </row>
    <row r="6146" spans="3:6">
      <c r="C6146" s="12"/>
      <c r="D6146" s="12"/>
      <c r="E6146" t="b">
        <f t="shared" si="95"/>
        <v>1</v>
      </c>
      <c r="F6146" s="12">
        <v>0</v>
      </c>
    </row>
    <row r="6147" spans="3:6">
      <c r="C6147" s="12"/>
      <c r="D6147" s="12"/>
      <c r="E6147" t="b">
        <f t="shared" ref="E6147:E6210" si="96">F6147=C6147</f>
        <v>1</v>
      </c>
      <c r="F6147" s="12">
        <v>0</v>
      </c>
    </row>
    <row r="6148" spans="3:6">
      <c r="C6148" s="12"/>
      <c r="D6148" s="12"/>
      <c r="E6148" t="b">
        <f t="shared" si="96"/>
        <v>1</v>
      </c>
      <c r="F6148" s="12">
        <v>0</v>
      </c>
    </row>
    <row r="6149" spans="3:6">
      <c r="C6149" s="12"/>
      <c r="D6149" s="12"/>
      <c r="E6149" t="b">
        <f t="shared" si="96"/>
        <v>1</v>
      </c>
      <c r="F6149" s="12">
        <v>0</v>
      </c>
    </row>
    <row r="6150" spans="3:6">
      <c r="C6150" s="12"/>
      <c r="D6150" s="12"/>
      <c r="E6150" t="b">
        <f t="shared" si="96"/>
        <v>1</v>
      </c>
      <c r="F6150" s="12">
        <v>0</v>
      </c>
    </row>
    <row r="6151" spans="3:6">
      <c r="C6151" s="12"/>
      <c r="D6151" s="12"/>
      <c r="E6151" t="b">
        <f t="shared" si="96"/>
        <v>1</v>
      </c>
      <c r="F6151" s="12">
        <v>0</v>
      </c>
    </row>
    <row r="6152" spans="3:6">
      <c r="C6152" s="12"/>
      <c r="D6152" s="12"/>
      <c r="E6152" t="b">
        <f t="shared" si="96"/>
        <v>1</v>
      </c>
      <c r="F6152" s="12">
        <v>0</v>
      </c>
    </row>
    <row r="6153" spans="3:6">
      <c r="C6153" s="12"/>
      <c r="D6153" s="12"/>
      <c r="E6153" t="b">
        <f t="shared" si="96"/>
        <v>1</v>
      </c>
      <c r="F6153" s="12">
        <v>0</v>
      </c>
    </row>
    <row r="6154" spans="3:6">
      <c r="C6154" s="12"/>
      <c r="D6154" s="12"/>
      <c r="E6154" t="b">
        <f t="shared" si="96"/>
        <v>1</v>
      </c>
      <c r="F6154" s="12">
        <v>0</v>
      </c>
    </row>
    <row r="6155" spans="3:6">
      <c r="C6155" s="12"/>
      <c r="D6155" s="12"/>
      <c r="E6155" t="b">
        <f t="shared" si="96"/>
        <v>1</v>
      </c>
      <c r="F6155" s="12">
        <v>0</v>
      </c>
    </row>
    <row r="6156" spans="3:6">
      <c r="C6156" s="12"/>
      <c r="D6156" s="12"/>
      <c r="E6156" t="b">
        <f t="shared" si="96"/>
        <v>1</v>
      </c>
      <c r="F6156" s="12">
        <v>0</v>
      </c>
    </row>
    <row r="6157" spans="3:6">
      <c r="C6157" s="12"/>
      <c r="D6157" s="12"/>
      <c r="E6157" t="b">
        <f t="shared" si="96"/>
        <v>1</v>
      </c>
      <c r="F6157" s="12">
        <v>0</v>
      </c>
    </row>
    <row r="6158" spans="3:6">
      <c r="C6158" s="12"/>
      <c r="D6158" s="12"/>
      <c r="E6158" t="b">
        <f t="shared" si="96"/>
        <v>1</v>
      </c>
      <c r="F6158" s="12">
        <v>0</v>
      </c>
    </row>
    <row r="6159" spans="3:6">
      <c r="C6159" s="12"/>
      <c r="D6159" s="12"/>
      <c r="E6159" t="b">
        <f t="shared" si="96"/>
        <v>1</v>
      </c>
      <c r="F6159" s="12">
        <v>0</v>
      </c>
    </row>
    <row r="6160" spans="3:6">
      <c r="C6160" s="12"/>
      <c r="D6160" s="12"/>
      <c r="E6160" t="b">
        <f t="shared" si="96"/>
        <v>1</v>
      </c>
      <c r="F6160" s="12">
        <v>0</v>
      </c>
    </row>
    <row r="6161" spans="3:6">
      <c r="C6161" s="12"/>
      <c r="D6161" s="12"/>
      <c r="E6161" t="b">
        <f t="shared" si="96"/>
        <v>1</v>
      </c>
      <c r="F6161" s="12">
        <v>0</v>
      </c>
    </row>
    <row r="6162" spans="3:6">
      <c r="C6162" s="12"/>
      <c r="D6162" s="12"/>
      <c r="E6162" t="b">
        <f t="shared" si="96"/>
        <v>1</v>
      </c>
      <c r="F6162" s="12">
        <v>0</v>
      </c>
    </row>
    <row r="6163" spans="3:6">
      <c r="C6163" s="12"/>
      <c r="D6163" s="12"/>
      <c r="E6163" t="b">
        <f t="shared" si="96"/>
        <v>1</v>
      </c>
      <c r="F6163" s="12">
        <v>0</v>
      </c>
    </row>
    <row r="6164" spans="3:6">
      <c r="C6164" s="12"/>
      <c r="D6164" s="12"/>
      <c r="E6164" t="b">
        <f t="shared" si="96"/>
        <v>1</v>
      </c>
      <c r="F6164" s="12">
        <v>0</v>
      </c>
    </row>
    <row r="6165" spans="3:6">
      <c r="C6165" s="12"/>
      <c r="D6165" s="12"/>
      <c r="E6165" t="b">
        <f t="shared" si="96"/>
        <v>1</v>
      </c>
      <c r="F6165" s="12">
        <v>0</v>
      </c>
    </row>
    <row r="6166" spans="3:6">
      <c r="C6166" s="12"/>
      <c r="D6166" s="12"/>
      <c r="E6166" t="b">
        <f t="shared" si="96"/>
        <v>1</v>
      </c>
      <c r="F6166" s="12">
        <v>0</v>
      </c>
    </row>
    <row r="6167" spans="3:6">
      <c r="C6167" s="12"/>
      <c r="D6167" s="12"/>
      <c r="E6167" t="b">
        <f t="shared" si="96"/>
        <v>1</v>
      </c>
      <c r="F6167" s="12">
        <v>0</v>
      </c>
    </row>
    <row r="6168" spans="3:6">
      <c r="C6168" s="12"/>
      <c r="D6168" s="12"/>
      <c r="E6168" t="b">
        <f t="shared" si="96"/>
        <v>1</v>
      </c>
      <c r="F6168" s="12">
        <v>0</v>
      </c>
    </row>
    <row r="6169" spans="3:6">
      <c r="C6169" s="12"/>
      <c r="D6169" s="12"/>
      <c r="E6169" t="b">
        <f t="shared" si="96"/>
        <v>1</v>
      </c>
      <c r="F6169" s="12">
        <v>0</v>
      </c>
    </row>
    <row r="6170" spans="3:6">
      <c r="C6170" s="12"/>
      <c r="D6170" s="12"/>
      <c r="E6170" t="b">
        <f t="shared" si="96"/>
        <v>1</v>
      </c>
      <c r="F6170" s="12">
        <v>0</v>
      </c>
    </row>
    <row r="6171" spans="3:6">
      <c r="C6171" s="12"/>
      <c r="D6171" s="12"/>
      <c r="E6171" t="b">
        <f t="shared" si="96"/>
        <v>1</v>
      </c>
      <c r="F6171" s="12">
        <v>0</v>
      </c>
    </row>
    <row r="6172" spans="3:6">
      <c r="C6172" s="12"/>
      <c r="D6172" s="12"/>
      <c r="E6172" t="b">
        <f t="shared" si="96"/>
        <v>1</v>
      </c>
      <c r="F6172" s="12">
        <v>0</v>
      </c>
    </row>
    <row r="6173" spans="3:6">
      <c r="C6173" s="12"/>
      <c r="D6173" s="12"/>
      <c r="E6173" t="b">
        <f t="shared" si="96"/>
        <v>1</v>
      </c>
      <c r="F6173" s="12">
        <v>0</v>
      </c>
    </row>
    <row r="6174" spans="3:6">
      <c r="C6174" s="12"/>
      <c r="D6174" s="12"/>
      <c r="E6174" t="b">
        <f t="shared" si="96"/>
        <v>1</v>
      </c>
      <c r="F6174" s="12">
        <v>0</v>
      </c>
    </row>
    <row r="6175" spans="3:6">
      <c r="C6175" s="12"/>
      <c r="D6175" s="12"/>
      <c r="E6175" t="b">
        <f t="shared" si="96"/>
        <v>1</v>
      </c>
      <c r="F6175" s="12">
        <v>0</v>
      </c>
    </row>
    <row r="6176" spans="3:6">
      <c r="C6176" s="12"/>
      <c r="D6176" s="12"/>
      <c r="E6176" t="b">
        <f t="shared" si="96"/>
        <v>1</v>
      </c>
      <c r="F6176" s="12">
        <v>0</v>
      </c>
    </row>
    <row r="6177" spans="3:6">
      <c r="C6177" s="12"/>
      <c r="D6177" s="12"/>
      <c r="E6177" t="b">
        <f t="shared" si="96"/>
        <v>1</v>
      </c>
      <c r="F6177" s="12">
        <v>0</v>
      </c>
    </row>
    <row r="6178" spans="3:6">
      <c r="C6178" s="12"/>
      <c r="D6178" s="12"/>
      <c r="E6178" t="b">
        <f t="shared" si="96"/>
        <v>1</v>
      </c>
      <c r="F6178" s="12">
        <v>0</v>
      </c>
    </row>
    <row r="6179" spans="3:6">
      <c r="C6179" s="12"/>
      <c r="D6179" s="12"/>
      <c r="E6179" t="b">
        <f t="shared" si="96"/>
        <v>1</v>
      </c>
      <c r="F6179" s="12">
        <v>0</v>
      </c>
    </row>
    <row r="6180" spans="3:6">
      <c r="C6180" s="12"/>
      <c r="D6180" s="12"/>
      <c r="E6180" t="b">
        <f t="shared" si="96"/>
        <v>1</v>
      </c>
      <c r="F6180" s="12">
        <v>0</v>
      </c>
    </row>
    <row r="6181" spans="3:6">
      <c r="C6181" s="12"/>
      <c r="D6181" s="12"/>
      <c r="E6181" t="b">
        <f t="shared" si="96"/>
        <v>1</v>
      </c>
      <c r="F6181" s="12">
        <v>0</v>
      </c>
    </row>
    <row r="6182" spans="3:6">
      <c r="C6182" s="12"/>
      <c r="D6182" s="12"/>
      <c r="E6182" t="b">
        <f t="shared" si="96"/>
        <v>1</v>
      </c>
      <c r="F6182" s="12">
        <v>0</v>
      </c>
    </row>
    <row r="6183" spans="3:6">
      <c r="C6183" s="12"/>
      <c r="D6183" s="12"/>
      <c r="E6183" t="b">
        <f t="shared" si="96"/>
        <v>1</v>
      </c>
      <c r="F6183" s="12">
        <v>0</v>
      </c>
    </row>
    <row r="6184" spans="3:6">
      <c r="C6184" s="12"/>
      <c r="D6184" s="12"/>
      <c r="E6184" t="b">
        <f t="shared" si="96"/>
        <v>1</v>
      </c>
      <c r="F6184" s="12">
        <v>0</v>
      </c>
    </row>
    <row r="6185" spans="3:6">
      <c r="C6185" s="12"/>
      <c r="D6185" s="12"/>
      <c r="E6185" t="b">
        <f t="shared" si="96"/>
        <v>1</v>
      </c>
      <c r="F6185" s="12">
        <v>0</v>
      </c>
    </row>
    <row r="6186" spans="3:6">
      <c r="C6186" s="12"/>
      <c r="D6186" s="12"/>
      <c r="E6186" t="b">
        <f t="shared" si="96"/>
        <v>1</v>
      </c>
      <c r="F6186" s="12">
        <v>0</v>
      </c>
    </row>
    <row r="6187" spans="3:6">
      <c r="C6187" s="12"/>
      <c r="D6187" s="12"/>
      <c r="E6187" t="b">
        <f t="shared" si="96"/>
        <v>1</v>
      </c>
      <c r="F6187" s="12">
        <v>0</v>
      </c>
    </row>
    <row r="6188" spans="3:6">
      <c r="C6188" s="12"/>
      <c r="D6188" s="12"/>
      <c r="E6188" t="b">
        <f t="shared" si="96"/>
        <v>1</v>
      </c>
      <c r="F6188" s="12">
        <v>0</v>
      </c>
    </row>
    <row r="6189" spans="3:6">
      <c r="C6189" s="12"/>
      <c r="D6189" s="12"/>
      <c r="E6189" t="b">
        <f t="shared" si="96"/>
        <v>1</v>
      </c>
      <c r="F6189" s="12">
        <v>0</v>
      </c>
    </row>
    <row r="6190" spans="3:6">
      <c r="C6190" s="12"/>
      <c r="D6190" s="12"/>
      <c r="E6190" t="b">
        <f t="shared" si="96"/>
        <v>1</v>
      </c>
      <c r="F6190" s="12">
        <v>0</v>
      </c>
    </row>
    <row r="6191" spans="3:6">
      <c r="C6191" s="12"/>
      <c r="D6191" s="12"/>
      <c r="E6191" t="b">
        <f t="shared" si="96"/>
        <v>1</v>
      </c>
      <c r="F6191" s="12">
        <v>0</v>
      </c>
    </row>
    <row r="6192" spans="3:6">
      <c r="C6192" s="12"/>
      <c r="D6192" s="12"/>
      <c r="E6192" t="b">
        <f t="shared" si="96"/>
        <v>1</v>
      </c>
      <c r="F6192" s="12">
        <v>0</v>
      </c>
    </row>
    <row r="6193" spans="3:6">
      <c r="C6193" s="12"/>
      <c r="D6193" s="12"/>
      <c r="E6193" t="b">
        <f t="shared" si="96"/>
        <v>1</v>
      </c>
      <c r="F6193" s="12">
        <v>0</v>
      </c>
    </row>
    <row r="6194" spans="3:6">
      <c r="C6194" s="12"/>
      <c r="D6194" s="12"/>
      <c r="E6194" t="b">
        <f t="shared" si="96"/>
        <v>1</v>
      </c>
      <c r="F6194" s="12">
        <v>0</v>
      </c>
    </row>
    <row r="6195" spans="3:6">
      <c r="C6195" s="12"/>
      <c r="D6195" s="12"/>
      <c r="E6195" t="b">
        <f t="shared" si="96"/>
        <v>1</v>
      </c>
      <c r="F6195" s="12">
        <v>0</v>
      </c>
    </row>
    <row r="6196" spans="3:6">
      <c r="C6196" s="12"/>
      <c r="D6196" s="12"/>
      <c r="E6196" t="b">
        <f t="shared" si="96"/>
        <v>1</v>
      </c>
      <c r="F6196" s="12">
        <v>0</v>
      </c>
    </row>
    <row r="6197" spans="3:6">
      <c r="C6197" s="12"/>
      <c r="D6197" s="12"/>
      <c r="E6197" t="b">
        <f t="shared" si="96"/>
        <v>1</v>
      </c>
      <c r="F6197" s="12">
        <v>0</v>
      </c>
    </row>
    <row r="6198" spans="3:6">
      <c r="C6198" s="12"/>
      <c r="D6198" s="12"/>
      <c r="E6198" t="b">
        <f t="shared" si="96"/>
        <v>1</v>
      </c>
      <c r="F6198" s="12">
        <v>0</v>
      </c>
    </row>
    <row r="6199" spans="3:6">
      <c r="C6199" s="12"/>
      <c r="D6199" s="12"/>
      <c r="E6199" t="b">
        <f t="shared" si="96"/>
        <v>1</v>
      </c>
      <c r="F6199" s="12">
        <v>0</v>
      </c>
    </row>
    <row r="6200" spans="3:6">
      <c r="C6200" s="12"/>
      <c r="D6200" s="12"/>
      <c r="E6200" t="b">
        <f t="shared" si="96"/>
        <v>1</v>
      </c>
      <c r="F6200" s="12">
        <v>0</v>
      </c>
    </row>
    <row r="6201" spans="3:6">
      <c r="C6201" s="12"/>
      <c r="D6201" s="12"/>
      <c r="E6201" t="b">
        <f t="shared" si="96"/>
        <v>1</v>
      </c>
      <c r="F6201" s="12">
        <v>0</v>
      </c>
    </row>
    <row r="6202" spans="3:6">
      <c r="C6202" s="12"/>
      <c r="D6202" s="12"/>
      <c r="E6202" t="b">
        <f t="shared" si="96"/>
        <v>1</v>
      </c>
      <c r="F6202" s="12">
        <v>0</v>
      </c>
    </row>
    <row r="6203" spans="3:6">
      <c r="C6203" s="12"/>
      <c r="D6203" s="12"/>
      <c r="E6203" t="b">
        <f t="shared" si="96"/>
        <v>1</v>
      </c>
      <c r="F6203" s="12">
        <v>0</v>
      </c>
    </row>
    <row r="6204" spans="3:6">
      <c r="C6204" s="12"/>
      <c r="D6204" s="12"/>
      <c r="E6204" t="b">
        <f t="shared" si="96"/>
        <v>1</v>
      </c>
      <c r="F6204" s="12">
        <v>0</v>
      </c>
    </row>
    <row r="6205" spans="3:6">
      <c r="C6205" s="12"/>
      <c r="D6205" s="12"/>
      <c r="E6205" t="b">
        <f t="shared" si="96"/>
        <v>1</v>
      </c>
      <c r="F6205" s="12">
        <v>0</v>
      </c>
    </row>
    <row r="6206" spans="3:6">
      <c r="C6206" s="12"/>
      <c r="D6206" s="12"/>
      <c r="E6206" t="b">
        <f t="shared" si="96"/>
        <v>1</v>
      </c>
      <c r="F6206" s="12">
        <v>0</v>
      </c>
    </row>
    <row r="6207" spans="3:6">
      <c r="C6207" s="12"/>
      <c r="D6207" s="12"/>
      <c r="E6207" t="b">
        <f t="shared" si="96"/>
        <v>1</v>
      </c>
      <c r="F6207" s="12">
        <v>0</v>
      </c>
    </row>
    <row r="6208" spans="3:6">
      <c r="C6208" s="12"/>
      <c r="D6208" s="12"/>
      <c r="E6208" t="b">
        <f t="shared" si="96"/>
        <v>1</v>
      </c>
      <c r="F6208" s="12">
        <v>0</v>
      </c>
    </row>
    <row r="6209" spans="3:6">
      <c r="C6209" s="12"/>
      <c r="D6209" s="12"/>
      <c r="E6209" t="b">
        <f t="shared" si="96"/>
        <v>1</v>
      </c>
      <c r="F6209" s="12">
        <v>0</v>
      </c>
    </row>
    <row r="6210" spans="3:6">
      <c r="C6210" s="12"/>
      <c r="D6210" s="12"/>
      <c r="E6210" t="b">
        <f t="shared" si="96"/>
        <v>1</v>
      </c>
      <c r="F6210" s="12">
        <v>0</v>
      </c>
    </row>
    <row r="6211" spans="3:6">
      <c r="C6211" s="12"/>
      <c r="D6211" s="12"/>
      <c r="E6211" t="b">
        <f t="shared" ref="E6211:E6274" si="97">F6211=C6211</f>
        <v>1</v>
      </c>
      <c r="F6211" s="12">
        <v>0</v>
      </c>
    </row>
    <row r="6212" spans="3:6">
      <c r="C6212" s="12"/>
      <c r="D6212" s="12"/>
      <c r="E6212" t="b">
        <f t="shared" si="97"/>
        <v>1</v>
      </c>
      <c r="F6212" s="12">
        <v>0</v>
      </c>
    </row>
    <row r="6213" spans="3:6">
      <c r="C6213" s="12"/>
      <c r="D6213" s="12"/>
      <c r="E6213" t="b">
        <f t="shared" si="97"/>
        <v>1</v>
      </c>
      <c r="F6213" s="12">
        <v>0</v>
      </c>
    </row>
    <row r="6214" spans="3:6">
      <c r="C6214" s="12"/>
      <c r="D6214" s="12"/>
      <c r="E6214" t="b">
        <f t="shared" si="97"/>
        <v>1</v>
      </c>
      <c r="F6214" s="12">
        <v>0</v>
      </c>
    </row>
    <row r="6215" spans="3:6">
      <c r="C6215" s="12"/>
      <c r="D6215" s="12"/>
      <c r="E6215" t="b">
        <f t="shared" si="97"/>
        <v>1</v>
      </c>
      <c r="F6215" s="12">
        <v>0</v>
      </c>
    </row>
    <row r="6216" spans="3:6">
      <c r="C6216" s="12"/>
      <c r="D6216" s="12"/>
      <c r="E6216" t="b">
        <f t="shared" si="97"/>
        <v>1</v>
      </c>
      <c r="F6216" s="12">
        <v>0</v>
      </c>
    </row>
    <row r="6217" spans="3:6">
      <c r="C6217" s="12"/>
      <c r="D6217" s="12"/>
      <c r="E6217" t="b">
        <f t="shared" si="97"/>
        <v>1</v>
      </c>
      <c r="F6217" s="12">
        <v>0</v>
      </c>
    </row>
    <row r="6218" spans="3:6">
      <c r="C6218" s="12"/>
      <c r="D6218" s="12"/>
      <c r="E6218" t="b">
        <f t="shared" si="97"/>
        <v>1</v>
      </c>
      <c r="F6218" s="12">
        <v>0</v>
      </c>
    </row>
    <row r="6219" spans="3:6">
      <c r="C6219" s="12"/>
      <c r="D6219" s="12"/>
      <c r="E6219" t="b">
        <f t="shared" si="97"/>
        <v>1</v>
      </c>
      <c r="F6219" s="12">
        <v>0</v>
      </c>
    </row>
    <row r="6220" spans="3:6">
      <c r="C6220" s="12"/>
      <c r="D6220" s="12"/>
      <c r="E6220" t="b">
        <f t="shared" si="97"/>
        <v>1</v>
      </c>
      <c r="F6220" s="12">
        <v>0</v>
      </c>
    </row>
    <row r="6221" spans="3:6">
      <c r="C6221" s="12"/>
      <c r="D6221" s="12"/>
      <c r="E6221" t="b">
        <f t="shared" si="97"/>
        <v>1</v>
      </c>
      <c r="F6221" s="12">
        <v>0</v>
      </c>
    </row>
    <row r="6222" spans="3:6">
      <c r="C6222" s="12"/>
      <c r="D6222" s="12"/>
      <c r="E6222" t="b">
        <f t="shared" si="97"/>
        <v>1</v>
      </c>
      <c r="F6222" s="12">
        <v>0</v>
      </c>
    </row>
    <row r="6223" spans="3:6">
      <c r="C6223" s="12"/>
      <c r="D6223" s="12"/>
      <c r="E6223" t="b">
        <f t="shared" si="97"/>
        <v>1</v>
      </c>
      <c r="F6223" s="12">
        <v>0</v>
      </c>
    </row>
    <row r="6224" spans="3:6">
      <c r="C6224" s="12"/>
      <c r="D6224" s="12"/>
      <c r="E6224" t="b">
        <f t="shared" si="97"/>
        <v>1</v>
      </c>
      <c r="F6224" s="12">
        <v>0</v>
      </c>
    </row>
    <row r="6225" spans="3:6">
      <c r="C6225" s="12"/>
      <c r="D6225" s="12"/>
      <c r="E6225" t="b">
        <f t="shared" si="97"/>
        <v>1</v>
      </c>
      <c r="F6225" s="12">
        <v>0</v>
      </c>
    </row>
    <row r="6226" spans="3:6">
      <c r="C6226" s="12"/>
      <c r="D6226" s="12"/>
      <c r="E6226" t="b">
        <f t="shared" si="97"/>
        <v>1</v>
      </c>
      <c r="F6226" s="12">
        <v>0</v>
      </c>
    </row>
    <row r="6227" spans="3:6">
      <c r="C6227" s="12"/>
      <c r="D6227" s="12"/>
      <c r="E6227" t="b">
        <f t="shared" si="97"/>
        <v>1</v>
      </c>
      <c r="F6227" s="12">
        <v>0</v>
      </c>
    </row>
    <row r="6228" spans="3:6">
      <c r="C6228" s="12"/>
      <c r="D6228" s="12"/>
      <c r="E6228" t="b">
        <f t="shared" si="97"/>
        <v>1</v>
      </c>
      <c r="F6228" s="12">
        <v>0</v>
      </c>
    </row>
    <row r="6229" spans="3:6">
      <c r="C6229" s="12"/>
      <c r="D6229" s="12"/>
      <c r="E6229" t="b">
        <f t="shared" si="97"/>
        <v>1</v>
      </c>
      <c r="F6229" s="12">
        <v>0</v>
      </c>
    </row>
    <row r="6230" spans="3:6">
      <c r="C6230" s="12"/>
      <c r="D6230" s="12"/>
      <c r="E6230" t="b">
        <f t="shared" si="97"/>
        <v>1</v>
      </c>
      <c r="F6230" s="12">
        <v>0</v>
      </c>
    </row>
    <row r="6231" spans="3:6">
      <c r="C6231" s="12"/>
      <c r="D6231" s="12"/>
      <c r="E6231" t="b">
        <f t="shared" si="97"/>
        <v>1</v>
      </c>
      <c r="F6231" s="12">
        <v>0</v>
      </c>
    </row>
    <row r="6232" spans="3:6">
      <c r="C6232" s="12"/>
      <c r="D6232" s="12"/>
      <c r="E6232" t="b">
        <f t="shared" si="97"/>
        <v>1</v>
      </c>
      <c r="F6232" s="12">
        <v>0</v>
      </c>
    </row>
    <row r="6233" spans="3:6">
      <c r="C6233" s="12"/>
      <c r="D6233" s="12"/>
      <c r="E6233" t="b">
        <f t="shared" si="97"/>
        <v>1</v>
      </c>
      <c r="F6233" s="12">
        <v>0</v>
      </c>
    </row>
    <row r="6234" spans="3:6">
      <c r="C6234" s="12"/>
      <c r="D6234" s="12"/>
      <c r="E6234" t="b">
        <f t="shared" si="97"/>
        <v>1</v>
      </c>
      <c r="F6234" s="12">
        <v>0</v>
      </c>
    </row>
    <row r="6235" spans="3:6">
      <c r="C6235" s="12"/>
      <c r="D6235" s="12"/>
      <c r="E6235" t="b">
        <f t="shared" si="97"/>
        <v>1</v>
      </c>
      <c r="F6235" s="12">
        <v>0</v>
      </c>
    </row>
    <row r="6236" spans="3:6">
      <c r="C6236" s="12"/>
      <c r="D6236" s="12"/>
      <c r="E6236" t="b">
        <f t="shared" si="97"/>
        <v>1</v>
      </c>
      <c r="F6236" s="12">
        <v>0</v>
      </c>
    </row>
    <row r="6237" spans="3:6">
      <c r="C6237" s="12"/>
      <c r="D6237" s="12"/>
      <c r="E6237" t="b">
        <f t="shared" si="97"/>
        <v>1</v>
      </c>
      <c r="F6237" s="12">
        <v>0</v>
      </c>
    </row>
    <row r="6238" spans="3:6">
      <c r="C6238" s="12"/>
      <c r="D6238" s="12"/>
      <c r="E6238" t="b">
        <f t="shared" si="97"/>
        <v>1</v>
      </c>
      <c r="F6238" s="12">
        <v>0</v>
      </c>
    </row>
    <row r="6239" spans="3:6">
      <c r="C6239" s="12"/>
      <c r="D6239" s="12"/>
      <c r="E6239" t="b">
        <f t="shared" si="97"/>
        <v>1</v>
      </c>
      <c r="F6239" s="12">
        <v>0</v>
      </c>
    </row>
    <row r="6240" spans="3:6">
      <c r="C6240" s="12"/>
      <c r="D6240" s="12"/>
      <c r="E6240" t="b">
        <f t="shared" si="97"/>
        <v>1</v>
      </c>
      <c r="F6240" s="12">
        <v>0</v>
      </c>
    </row>
    <row r="6241" spans="3:6">
      <c r="C6241" s="12"/>
      <c r="D6241" s="12"/>
      <c r="E6241" t="b">
        <f t="shared" si="97"/>
        <v>1</v>
      </c>
      <c r="F6241" s="12">
        <v>0</v>
      </c>
    </row>
    <row r="6242" spans="3:6">
      <c r="C6242" s="12"/>
      <c r="D6242" s="12"/>
      <c r="E6242" t="b">
        <f t="shared" si="97"/>
        <v>1</v>
      </c>
      <c r="F6242" s="12">
        <v>0</v>
      </c>
    </row>
    <row r="6243" spans="3:6">
      <c r="C6243" s="12"/>
      <c r="D6243" s="12"/>
      <c r="E6243" t="b">
        <f t="shared" si="97"/>
        <v>1</v>
      </c>
      <c r="F6243" s="12">
        <v>0</v>
      </c>
    </row>
    <row r="6244" spans="3:6">
      <c r="C6244" s="12"/>
      <c r="D6244" s="12"/>
      <c r="E6244" t="b">
        <f t="shared" si="97"/>
        <v>1</v>
      </c>
      <c r="F6244" s="12">
        <v>0</v>
      </c>
    </row>
    <row r="6245" spans="3:6">
      <c r="C6245" s="12"/>
      <c r="D6245" s="12"/>
      <c r="E6245" t="b">
        <f t="shared" si="97"/>
        <v>1</v>
      </c>
      <c r="F6245" s="12">
        <v>0</v>
      </c>
    </row>
    <row r="6246" spans="3:6">
      <c r="C6246" s="12"/>
      <c r="D6246" s="12"/>
      <c r="E6246" t="b">
        <f t="shared" si="97"/>
        <v>1</v>
      </c>
      <c r="F6246" s="12">
        <v>0</v>
      </c>
    </row>
    <row r="6247" spans="3:6">
      <c r="C6247" s="12"/>
      <c r="D6247" s="12"/>
      <c r="E6247" t="b">
        <f t="shared" si="97"/>
        <v>1</v>
      </c>
      <c r="F6247" s="12">
        <v>0</v>
      </c>
    </row>
    <row r="6248" spans="3:6">
      <c r="C6248" s="12"/>
      <c r="D6248" s="12"/>
      <c r="E6248" t="b">
        <f t="shared" si="97"/>
        <v>1</v>
      </c>
      <c r="F6248" s="12">
        <v>0</v>
      </c>
    </row>
    <row r="6249" spans="3:6">
      <c r="C6249" s="12"/>
      <c r="D6249" s="12"/>
      <c r="E6249" t="b">
        <f t="shared" si="97"/>
        <v>1</v>
      </c>
      <c r="F6249" s="12">
        <v>0</v>
      </c>
    </row>
    <row r="6250" spans="3:6">
      <c r="C6250" s="12"/>
      <c r="D6250" s="12"/>
      <c r="E6250" t="b">
        <f t="shared" si="97"/>
        <v>1</v>
      </c>
      <c r="F6250" s="12">
        <v>0</v>
      </c>
    </row>
    <row r="6251" spans="3:6">
      <c r="C6251" s="12"/>
      <c r="D6251" s="12"/>
      <c r="E6251" t="b">
        <f t="shared" si="97"/>
        <v>1</v>
      </c>
      <c r="F6251" s="12">
        <v>0</v>
      </c>
    </row>
    <row r="6252" spans="3:6">
      <c r="C6252" s="12"/>
      <c r="D6252" s="12"/>
      <c r="E6252" t="b">
        <f t="shared" si="97"/>
        <v>1</v>
      </c>
      <c r="F6252" s="12">
        <v>0</v>
      </c>
    </row>
    <row r="6253" spans="3:6">
      <c r="C6253" s="12"/>
      <c r="D6253" s="12"/>
      <c r="E6253" t="b">
        <f t="shared" si="97"/>
        <v>1</v>
      </c>
      <c r="F6253" s="12">
        <v>0</v>
      </c>
    </row>
    <row r="6254" spans="3:6">
      <c r="C6254" s="12"/>
      <c r="D6254" s="12"/>
      <c r="E6254" t="b">
        <f t="shared" si="97"/>
        <v>1</v>
      </c>
      <c r="F6254" s="12">
        <v>0</v>
      </c>
    </row>
    <row r="6255" spans="3:6">
      <c r="C6255" s="12"/>
      <c r="D6255" s="12"/>
      <c r="E6255" t="b">
        <f t="shared" si="97"/>
        <v>1</v>
      </c>
      <c r="F6255" s="12">
        <v>0</v>
      </c>
    </row>
    <row r="6256" spans="3:6">
      <c r="C6256" s="12"/>
      <c r="D6256" s="12"/>
      <c r="E6256" t="b">
        <f t="shared" si="97"/>
        <v>1</v>
      </c>
      <c r="F6256" s="12">
        <v>0</v>
      </c>
    </row>
    <row r="6257" spans="3:6">
      <c r="C6257" s="12"/>
      <c r="D6257" s="12"/>
      <c r="E6257" t="b">
        <f t="shared" si="97"/>
        <v>1</v>
      </c>
      <c r="F6257" s="12">
        <v>0</v>
      </c>
    </row>
    <row r="6258" spans="3:6">
      <c r="C6258" s="12"/>
      <c r="D6258" s="12"/>
      <c r="E6258" t="b">
        <f t="shared" si="97"/>
        <v>1</v>
      </c>
      <c r="F6258" s="12">
        <v>0</v>
      </c>
    </row>
    <row r="6259" spans="3:6">
      <c r="C6259" s="12"/>
      <c r="D6259" s="12"/>
      <c r="E6259" t="b">
        <f t="shared" si="97"/>
        <v>1</v>
      </c>
      <c r="F6259" s="12">
        <v>0</v>
      </c>
    </row>
    <row r="6260" spans="3:6">
      <c r="C6260" s="12"/>
      <c r="D6260" s="12"/>
      <c r="E6260" t="b">
        <f t="shared" si="97"/>
        <v>1</v>
      </c>
      <c r="F6260" s="12">
        <v>0</v>
      </c>
    </row>
    <row r="6261" spans="3:6">
      <c r="C6261" s="12"/>
      <c r="D6261" s="12"/>
      <c r="E6261" t="b">
        <f t="shared" si="97"/>
        <v>1</v>
      </c>
      <c r="F6261" s="12">
        <v>0</v>
      </c>
    </row>
    <row r="6262" spans="3:6">
      <c r="C6262" s="12"/>
      <c r="D6262" s="12"/>
      <c r="E6262" t="b">
        <f t="shared" si="97"/>
        <v>1</v>
      </c>
      <c r="F6262" s="12">
        <v>0</v>
      </c>
    </row>
    <row r="6263" spans="3:6">
      <c r="C6263" s="12"/>
      <c r="D6263" s="12"/>
      <c r="E6263" t="b">
        <f t="shared" si="97"/>
        <v>1</v>
      </c>
      <c r="F6263" s="12">
        <v>0</v>
      </c>
    </row>
    <row r="6264" spans="3:6">
      <c r="C6264" s="12"/>
      <c r="D6264" s="12"/>
      <c r="E6264" t="b">
        <f t="shared" si="97"/>
        <v>1</v>
      </c>
      <c r="F6264" s="12">
        <v>0</v>
      </c>
    </row>
    <row r="6265" spans="3:6">
      <c r="C6265" s="12"/>
      <c r="D6265" s="12"/>
      <c r="E6265" t="b">
        <f t="shared" si="97"/>
        <v>1</v>
      </c>
      <c r="F6265" s="12">
        <v>0</v>
      </c>
    </row>
    <row r="6266" spans="3:6">
      <c r="C6266" s="12"/>
      <c r="D6266" s="12"/>
      <c r="E6266" t="b">
        <f t="shared" si="97"/>
        <v>1</v>
      </c>
      <c r="F6266" s="12">
        <v>0</v>
      </c>
    </row>
    <row r="6267" spans="3:6">
      <c r="C6267" s="12"/>
      <c r="D6267" s="12"/>
      <c r="E6267" t="b">
        <f t="shared" si="97"/>
        <v>1</v>
      </c>
      <c r="F6267" s="12">
        <v>0</v>
      </c>
    </row>
    <row r="6268" spans="3:6">
      <c r="C6268" s="12"/>
      <c r="D6268" s="12"/>
      <c r="E6268" t="b">
        <f t="shared" si="97"/>
        <v>1</v>
      </c>
      <c r="F6268" s="12">
        <v>0</v>
      </c>
    </row>
    <row r="6269" spans="3:6">
      <c r="C6269" s="12"/>
      <c r="D6269" s="12"/>
      <c r="E6269" t="b">
        <f t="shared" si="97"/>
        <v>1</v>
      </c>
      <c r="F6269" s="12">
        <v>0</v>
      </c>
    </row>
    <row r="6270" spans="3:6">
      <c r="C6270" s="12"/>
      <c r="D6270" s="12"/>
      <c r="E6270" t="b">
        <f t="shared" si="97"/>
        <v>1</v>
      </c>
      <c r="F6270" s="12">
        <v>0</v>
      </c>
    </row>
    <row r="6271" spans="3:6">
      <c r="C6271" s="12"/>
      <c r="D6271" s="12"/>
      <c r="E6271" t="b">
        <f t="shared" si="97"/>
        <v>1</v>
      </c>
      <c r="F6271" s="12">
        <v>0</v>
      </c>
    </row>
    <row r="6272" spans="3:6">
      <c r="C6272" s="12"/>
      <c r="D6272" s="12"/>
      <c r="E6272" t="b">
        <f t="shared" si="97"/>
        <v>1</v>
      </c>
      <c r="F6272" s="12">
        <v>0</v>
      </c>
    </row>
    <row r="6273" spans="3:6">
      <c r="C6273" s="12"/>
      <c r="D6273" s="12"/>
      <c r="E6273" t="b">
        <f t="shared" si="97"/>
        <v>1</v>
      </c>
      <c r="F6273" s="12">
        <v>0</v>
      </c>
    </row>
    <row r="6274" spans="3:6">
      <c r="C6274" s="12"/>
      <c r="D6274" s="12"/>
      <c r="E6274" t="b">
        <f t="shared" si="97"/>
        <v>1</v>
      </c>
      <c r="F6274" s="12">
        <v>0</v>
      </c>
    </row>
    <row r="6275" spans="3:6">
      <c r="C6275" s="12"/>
      <c r="D6275" s="12"/>
      <c r="E6275" t="b">
        <f t="shared" ref="E6275:E6338" si="98">F6275=C6275</f>
        <v>1</v>
      </c>
      <c r="F6275" s="12">
        <v>0</v>
      </c>
    </row>
    <row r="6276" spans="3:6">
      <c r="C6276" s="12"/>
      <c r="D6276" s="12"/>
      <c r="E6276" t="b">
        <f t="shared" si="98"/>
        <v>1</v>
      </c>
      <c r="F6276" s="12">
        <v>0</v>
      </c>
    </row>
    <row r="6277" spans="3:6">
      <c r="C6277" s="12"/>
      <c r="D6277" s="12"/>
      <c r="E6277" t="b">
        <f t="shared" si="98"/>
        <v>1</v>
      </c>
      <c r="F6277" s="12">
        <v>0</v>
      </c>
    </row>
    <row r="6278" spans="3:6">
      <c r="C6278" s="12"/>
      <c r="D6278" s="12"/>
      <c r="E6278" t="b">
        <f t="shared" si="98"/>
        <v>1</v>
      </c>
      <c r="F6278" s="12">
        <v>0</v>
      </c>
    </row>
    <row r="6279" spans="3:6">
      <c r="C6279" s="12"/>
      <c r="D6279" s="12"/>
      <c r="E6279" t="b">
        <f t="shared" si="98"/>
        <v>1</v>
      </c>
      <c r="F6279" s="12">
        <v>0</v>
      </c>
    </row>
    <row r="6280" spans="3:6">
      <c r="C6280" s="12"/>
      <c r="D6280" s="12"/>
      <c r="E6280" t="b">
        <f t="shared" si="98"/>
        <v>1</v>
      </c>
      <c r="F6280" s="12">
        <v>0</v>
      </c>
    </row>
    <row r="6281" spans="3:6">
      <c r="C6281" s="12"/>
      <c r="D6281" s="12"/>
      <c r="E6281" t="b">
        <f t="shared" si="98"/>
        <v>1</v>
      </c>
      <c r="F6281" s="12">
        <v>0</v>
      </c>
    </row>
    <row r="6282" spans="3:6">
      <c r="C6282" s="12"/>
      <c r="D6282" s="12"/>
      <c r="E6282" t="b">
        <f t="shared" si="98"/>
        <v>1</v>
      </c>
      <c r="F6282" s="12">
        <v>0</v>
      </c>
    </row>
    <row r="6283" spans="3:6">
      <c r="C6283" s="12"/>
      <c r="D6283" s="12"/>
      <c r="E6283" t="b">
        <f t="shared" si="98"/>
        <v>1</v>
      </c>
      <c r="F6283" s="12">
        <v>0</v>
      </c>
    </row>
    <row r="6284" spans="3:6">
      <c r="C6284" s="12"/>
      <c r="D6284" s="12"/>
      <c r="E6284" t="b">
        <f t="shared" si="98"/>
        <v>1</v>
      </c>
      <c r="F6284" s="12">
        <v>0</v>
      </c>
    </row>
    <row r="6285" spans="3:6">
      <c r="C6285" s="12"/>
      <c r="D6285" s="12"/>
      <c r="E6285" t="b">
        <f t="shared" si="98"/>
        <v>1</v>
      </c>
      <c r="F6285" s="12">
        <v>0</v>
      </c>
    </row>
    <row r="6286" spans="3:6">
      <c r="C6286" s="12"/>
      <c r="D6286" s="12"/>
      <c r="E6286" t="b">
        <f t="shared" si="98"/>
        <v>1</v>
      </c>
      <c r="F6286" s="12">
        <v>0</v>
      </c>
    </row>
    <row r="6287" spans="3:6">
      <c r="C6287" s="12"/>
      <c r="D6287" s="12"/>
      <c r="E6287" t="b">
        <f t="shared" si="98"/>
        <v>1</v>
      </c>
      <c r="F6287" s="12">
        <v>0</v>
      </c>
    </row>
    <row r="6288" spans="3:6">
      <c r="C6288" s="12"/>
      <c r="D6288" s="12"/>
      <c r="E6288" t="b">
        <f t="shared" si="98"/>
        <v>1</v>
      </c>
      <c r="F6288" s="12">
        <v>0</v>
      </c>
    </row>
    <row r="6289" spans="3:6">
      <c r="C6289" s="12"/>
      <c r="D6289" s="12"/>
      <c r="E6289" t="b">
        <f t="shared" si="98"/>
        <v>1</v>
      </c>
      <c r="F6289" s="12">
        <v>0</v>
      </c>
    </row>
    <row r="6290" spans="3:6">
      <c r="C6290" s="12"/>
      <c r="D6290" s="12"/>
      <c r="E6290" t="b">
        <f t="shared" si="98"/>
        <v>1</v>
      </c>
      <c r="F6290" s="12">
        <v>0</v>
      </c>
    </row>
    <row r="6291" spans="3:6">
      <c r="C6291" s="12"/>
      <c r="D6291" s="12"/>
      <c r="E6291" t="b">
        <f t="shared" si="98"/>
        <v>1</v>
      </c>
      <c r="F6291" s="12">
        <v>0</v>
      </c>
    </row>
    <row r="6292" spans="3:6">
      <c r="C6292" s="12"/>
      <c r="D6292" s="12"/>
      <c r="E6292" t="b">
        <f t="shared" si="98"/>
        <v>1</v>
      </c>
      <c r="F6292" s="12">
        <v>0</v>
      </c>
    </row>
    <row r="6293" spans="3:6">
      <c r="C6293" s="12"/>
      <c r="D6293" s="12"/>
      <c r="E6293" t="b">
        <f t="shared" si="98"/>
        <v>1</v>
      </c>
      <c r="F6293" s="12">
        <v>0</v>
      </c>
    </row>
    <row r="6294" spans="3:6">
      <c r="C6294" s="12"/>
      <c r="D6294" s="12"/>
      <c r="E6294" t="b">
        <f t="shared" si="98"/>
        <v>1</v>
      </c>
      <c r="F6294" s="12">
        <v>0</v>
      </c>
    </row>
    <row r="6295" spans="3:6">
      <c r="C6295" s="12"/>
      <c r="D6295" s="12"/>
      <c r="E6295" t="b">
        <f t="shared" si="98"/>
        <v>1</v>
      </c>
      <c r="F6295" s="12">
        <v>0</v>
      </c>
    </row>
    <row r="6296" spans="3:6">
      <c r="C6296" s="12"/>
      <c r="D6296" s="12"/>
      <c r="E6296" t="b">
        <f t="shared" si="98"/>
        <v>1</v>
      </c>
      <c r="F6296" s="12">
        <v>0</v>
      </c>
    </row>
    <row r="6297" spans="3:6">
      <c r="C6297" s="12"/>
      <c r="D6297" s="12"/>
      <c r="E6297" t="b">
        <f t="shared" si="98"/>
        <v>1</v>
      </c>
      <c r="F6297" s="12">
        <v>0</v>
      </c>
    </row>
    <row r="6298" spans="3:6">
      <c r="C6298" s="12"/>
      <c r="D6298" s="12"/>
      <c r="E6298" t="b">
        <f t="shared" si="98"/>
        <v>1</v>
      </c>
      <c r="F6298" s="12">
        <v>0</v>
      </c>
    </row>
    <row r="6299" spans="3:6">
      <c r="C6299" s="12"/>
      <c r="D6299" s="12"/>
      <c r="E6299" t="b">
        <f t="shared" si="98"/>
        <v>1</v>
      </c>
      <c r="F6299" s="12">
        <v>0</v>
      </c>
    </row>
    <row r="6300" spans="3:6">
      <c r="C6300" s="12"/>
      <c r="D6300" s="12"/>
      <c r="E6300" t="b">
        <f t="shared" si="98"/>
        <v>1</v>
      </c>
      <c r="F6300" s="12">
        <v>0</v>
      </c>
    </row>
    <row r="6301" spans="3:6">
      <c r="C6301" s="12"/>
      <c r="D6301" s="12"/>
      <c r="E6301" t="b">
        <f t="shared" si="98"/>
        <v>1</v>
      </c>
      <c r="F6301" s="12">
        <v>0</v>
      </c>
    </row>
    <row r="6302" spans="3:6">
      <c r="C6302" s="12"/>
      <c r="D6302" s="12"/>
      <c r="E6302" t="b">
        <f t="shared" si="98"/>
        <v>1</v>
      </c>
      <c r="F6302" s="12">
        <v>0</v>
      </c>
    </row>
    <row r="6303" spans="3:6">
      <c r="C6303" s="12"/>
      <c r="D6303" s="12"/>
      <c r="E6303" t="b">
        <f t="shared" si="98"/>
        <v>1</v>
      </c>
      <c r="F6303" s="12">
        <v>0</v>
      </c>
    </row>
    <row r="6304" spans="3:6">
      <c r="C6304" s="12"/>
      <c r="D6304" s="12"/>
      <c r="E6304" t="b">
        <f t="shared" si="98"/>
        <v>1</v>
      </c>
      <c r="F6304" s="12">
        <v>0</v>
      </c>
    </row>
    <row r="6305" spans="3:6">
      <c r="C6305" s="12"/>
      <c r="D6305" s="12"/>
      <c r="E6305" t="b">
        <f t="shared" si="98"/>
        <v>1</v>
      </c>
      <c r="F6305" s="12">
        <v>0</v>
      </c>
    </row>
    <row r="6306" spans="3:6">
      <c r="C6306" s="12"/>
      <c r="D6306" s="12"/>
      <c r="E6306" t="b">
        <f t="shared" si="98"/>
        <v>1</v>
      </c>
      <c r="F6306" s="12">
        <v>0</v>
      </c>
    </row>
    <row r="6307" spans="3:6">
      <c r="C6307" s="12"/>
      <c r="D6307" s="12"/>
      <c r="E6307" t="b">
        <f t="shared" si="98"/>
        <v>1</v>
      </c>
      <c r="F6307" s="12">
        <v>0</v>
      </c>
    </row>
    <row r="6308" spans="3:6">
      <c r="C6308" s="12"/>
      <c r="D6308" s="12"/>
      <c r="E6308" t="b">
        <f t="shared" si="98"/>
        <v>1</v>
      </c>
      <c r="F6308" s="12">
        <v>0</v>
      </c>
    </row>
    <row r="6309" spans="3:6">
      <c r="C6309" s="12"/>
      <c r="D6309" s="12"/>
      <c r="E6309" t="b">
        <f t="shared" si="98"/>
        <v>1</v>
      </c>
      <c r="F6309" s="12">
        <v>0</v>
      </c>
    </row>
    <row r="6310" spans="3:6">
      <c r="C6310" s="12"/>
      <c r="D6310" s="12"/>
      <c r="E6310" t="b">
        <f t="shared" si="98"/>
        <v>1</v>
      </c>
      <c r="F6310" s="12">
        <v>0</v>
      </c>
    </row>
    <row r="6311" spans="3:6">
      <c r="C6311" s="12"/>
      <c r="D6311" s="12"/>
      <c r="E6311" t="b">
        <f t="shared" si="98"/>
        <v>1</v>
      </c>
      <c r="F6311" s="12">
        <v>0</v>
      </c>
    </row>
    <row r="6312" spans="3:6">
      <c r="C6312" s="12"/>
      <c r="D6312" s="12"/>
      <c r="E6312" t="b">
        <f t="shared" si="98"/>
        <v>1</v>
      </c>
      <c r="F6312" s="12">
        <v>0</v>
      </c>
    </row>
    <row r="6313" spans="3:6">
      <c r="C6313" s="12"/>
      <c r="D6313" s="12"/>
      <c r="E6313" t="b">
        <f t="shared" si="98"/>
        <v>1</v>
      </c>
      <c r="F6313" s="12">
        <v>0</v>
      </c>
    </row>
    <row r="6314" spans="3:6">
      <c r="C6314" s="12"/>
      <c r="D6314" s="12"/>
      <c r="E6314" t="b">
        <f t="shared" si="98"/>
        <v>1</v>
      </c>
      <c r="F6314" s="12">
        <v>0</v>
      </c>
    </row>
    <row r="6315" spans="3:6">
      <c r="C6315" s="12"/>
      <c r="D6315" s="12"/>
      <c r="E6315" t="b">
        <f t="shared" si="98"/>
        <v>1</v>
      </c>
      <c r="F6315" s="12">
        <v>0</v>
      </c>
    </row>
    <row r="6316" spans="3:6">
      <c r="C6316" s="12"/>
      <c r="D6316" s="12"/>
      <c r="E6316" t="b">
        <f t="shared" si="98"/>
        <v>1</v>
      </c>
      <c r="F6316" s="12">
        <v>0</v>
      </c>
    </row>
    <row r="6317" spans="3:6">
      <c r="C6317" s="12"/>
      <c r="D6317" s="12"/>
      <c r="E6317" t="b">
        <f t="shared" si="98"/>
        <v>1</v>
      </c>
      <c r="F6317" s="12">
        <v>0</v>
      </c>
    </row>
    <row r="6318" spans="3:6">
      <c r="C6318" s="12"/>
      <c r="D6318" s="12"/>
      <c r="E6318" t="b">
        <f t="shared" si="98"/>
        <v>1</v>
      </c>
      <c r="F6318" s="12">
        <v>0</v>
      </c>
    </row>
    <row r="6319" spans="3:6">
      <c r="C6319" s="12"/>
      <c r="D6319" s="12"/>
      <c r="E6319" t="b">
        <f t="shared" si="98"/>
        <v>1</v>
      </c>
      <c r="F6319" s="12">
        <v>0</v>
      </c>
    </row>
    <row r="6320" spans="3:6">
      <c r="C6320" s="12"/>
      <c r="D6320" s="12"/>
      <c r="E6320" t="b">
        <f t="shared" si="98"/>
        <v>1</v>
      </c>
      <c r="F6320" s="12">
        <v>0</v>
      </c>
    </row>
    <row r="6321" spans="3:6">
      <c r="C6321" s="12"/>
      <c r="D6321" s="12"/>
      <c r="E6321" t="b">
        <f t="shared" si="98"/>
        <v>1</v>
      </c>
      <c r="F6321" s="12">
        <v>0</v>
      </c>
    </row>
    <row r="6322" spans="3:6">
      <c r="C6322" s="12"/>
      <c r="D6322" s="12"/>
      <c r="E6322" t="b">
        <f t="shared" si="98"/>
        <v>1</v>
      </c>
      <c r="F6322" s="12">
        <v>0</v>
      </c>
    </row>
    <row r="6323" spans="3:6">
      <c r="C6323" s="12"/>
      <c r="D6323" s="12"/>
      <c r="E6323" t="b">
        <f t="shared" si="98"/>
        <v>1</v>
      </c>
      <c r="F6323" s="12">
        <v>0</v>
      </c>
    </row>
    <row r="6324" spans="3:6">
      <c r="C6324" s="12"/>
      <c r="D6324" s="12"/>
      <c r="E6324" t="b">
        <f t="shared" si="98"/>
        <v>1</v>
      </c>
      <c r="F6324" s="12">
        <v>0</v>
      </c>
    </row>
    <row r="6325" spans="3:6">
      <c r="C6325" s="12"/>
      <c r="D6325" s="12"/>
      <c r="E6325" t="b">
        <f t="shared" si="98"/>
        <v>1</v>
      </c>
      <c r="F6325" s="12">
        <v>0</v>
      </c>
    </row>
    <row r="6326" spans="3:6">
      <c r="C6326" s="12"/>
      <c r="D6326" s="12"/>
      <c r="E6326" t="b">
        <f t="shared" si="98"/>
        <v>1</v>
      </c>
      <c r="F6326" s="12">
        <v>0</v>
      </c>
    </row>
    <row r="6327" spans="3:6">
      <c r="C6327" s="12"/>
      <c r="D6327" s="12"/>
      <c r="E6327" t="b">
        <f t="shared" si="98"/>
        <v>1</v>
      </c>
      <c r="F6327" s="12">
        <v>0</v>
      </c>
    </row>
    <row r="6328" spans="3:6">
      <c r="C6328" s="12"/>
      <c r="D6328" s="12"/>
      <c r="E6328" t="b">
        <f t="shared" si="98"/>
        <v>1</v>
      </c>
      <c r="F6328" s="12">
        <v>0</v>
      </c>
    </row>
    <row r="6329" spans="3:6">
      <c r="C6329" s="12"/>
      <c r="D6329" s="12"/>
      <c r="E6329" t="b">
        <f t="shared" si="98"/>
        <v>1</v>
      </c>
      <c r="F6329" s="12">
        <v>0</v>
      </c>
    </row>
    <row r="6330" spans="3:6">
      <c r="C6330" s="12"/>
      <c r="D6330" s="12"/>
      <c r="E6330" t="b">
        <f t="shared" si="98"/>
        <v>1</v>
      </c>
      <c r="F6330" s="12">
        <v>0</v>
      </c>
    </row>
    <row r="6331" spans="3:6">
      <c r="C6331" s="12"/>
      <c r="D6331" s="12"/>
      <c r="E6331" t="b">
        <f t="shared" si="98"/>
        <v>1</v>
      </c>
      <c r="F6331" s="12">
        <v>0</v>
      </c>
    </row>
    <row r="6332" spans="3:6">
      <c r="C6332" s="12"/>
      <c r="D6332" s="12"/>
      <c r="E6332" t="b">
        <f t="shared" si="98"/>
        <v>1</v>
      </c>
      <c r="F6332" s="12">
        <v>0</v>
      </c>
    </row>
    <row r="6333" spans="3:6">
      <c r="C6333" s="12"/>
      <c r="D6333" s="12"/>
      <c r="E6333" t="b">
        <f t="shared" si="98"/>
        <v>1</v>
      </c>
      <c r="F6333" s="12">
        <v>0</v>
      </c>
    </row>
    <row r="6334" spans="3:6">
      <c r="C6334" s="12"/>
      <c r="D6334" s="12"/>
      <c r="E6334" t="b">
        <f t="shared" si="98"/>
        <v>1</v>
      </c>
      <c r="F6334" s="12">
        <v>0</v>
      </c>
    </row>
    <row r="6335" spans="3:6">
      <c r="C6335" s="12"/>
      <c r="D6335" s="12"/>
      <c r="E6335" t="b">
        <f t="shared" si="98"/>
        <v>1</v>
      </c>
      <c r="F6335" s="12">
        <v>0</v>
      </c>
    </row>
    <row r="6336" spans="3:6">
      <c r="C6336" s="12"/>
      <c r="D6336" s="12"/>
      <c r="E6336" t="b">
        <f t="shared" si="98"/>
        <v>1</v>
      </c>
      <c r="F6336" s="12">
        <v>0</v>
      </c>
    </row>
    <row r="6337" spans="3:6">
      <c r="C6337" s="12"/>
      <c r="D6337" s="12"/>
      <c r="E6337" t="b">
        <f t="shared" si="98"/>
        <v>1</v>
      </c>
      <c r="F6337" s="12">
        <v>0</v>
      </c>
    </row>
    <row r="6338" spans="3:6">
      <c r="C6338" s="12"/>
      <c r="D6338" s="12"/>
      <c r="E6338" t="b">
        <f t="shared" si="98"/>
        <v>1</v>
      </c>
      <c r="F6338" s="12">
        <v>0</v>
      </c>
    </row>
    <row r="6339" spans="3:6">
      <c r="C6339" s="12"/>
      <c r="D6339" s="12"/>
      <c r="E6339" t="b">
        <f t="shared" ref="E6339:E6402" si="99">F6339=C6339</f>
        <v>1</v>
      </c>
      <c r="F6339" s="12">
        <v>0</v>
      </c>
    </row>
    <row r="6340" spans="3:6">
      <c r="C6340" s="12"/>
      <c r="D6340" s="12"/>
      <c r="E6340" t="b">
        <f t="shared" si="99"/>
        <v>1</v>
      </c>
      <c r="F6340" s="12">
        <v>0</v>
      </c>
    </row>
    <row r="6341" spans="3:6">
      <c r="C6341" s="12"/>
      <c r="D6341" s="12"/>
      <c r="E6341" t="b">
        <f t="shared" si="99"/>
        <v>1</v>
      </c>
      <c r="F6341" s="12">
        <v>0</v>
      </c>
    </row>
    <row r="6342" spans="3:6">
      <c r="C6342" s="12"/>
      <c r="D6342" s="12"/>
      <c r="E6342" t="b">
        <f t="shared" si="99"/>
        <v>1</v>
      </c>
      <c r="F6342" s="12">
        <v>0</v>
      </c>
    </row>
    <row r="6343" spans="3:6">
      <c r="C6343" s="12"/>
      <c r="D6343" s="12"/>
      <c r="E6343" t="b">
        <f t="shared" si="99"/>
        <v>1</v>
      </c>
      <c r="F6343" s="12">
        <v>0</v>
      </c>
    </row>
    <row r="6344" spans="3:6">
      <c r="C6344" s="12"/>
      <c r="D6344" s="12"/>
      <c r="E6344" t="b">
        <f t="shared" si="99"/>
        <v>1</v>
      </c>
      <c r="F6344" s="12">
        <v>0</v>
      </c>
    </row>
    <row r="6345" spans="3:6">
      <c r="C6345" s="12"/>
      <c r="D6345" s="12"/>
      <c r="E6345" t="b">
        <f t="shared" si="99"/>
        <v>1</v>
      </c>
      <c r="F6345" s="12">
        <v>0</v>
      </c>
    </row>
    <row r="6346" spans="3:6">
      <c r="C6346" s="12"/>
      <c r="D6346" s="12"/>
      <c r="E6346" t="b">
        <f t="shared" si="99"/>
        <v>1</v>
      </c>
      <c r="F6346" s="12">
        <v>0</v>
      </c>
    </row>
    <row r="6347" spans="3:6">
      <c r="C6347" s="12"/>
      <c r="D6347" s="12"/>
      <c r="E6347" t="b">
        <f t="shared" si="99"/>
        <v>1</v>
      </c>
      <c r="F6347" s="12">
        <v>0</v>
      </c>
    </row>
    <row r="6348" spans="3:6">
      <c r="C6348" s="12"/>
      <c r="D6348" s="12"/>
      <c r="E6348" t="b">
        <f t="shared" si="99"/>
        <v>1</v>
      </c>
      <c r="F6348" s="12">
        <v>0</v>
      </c>
    </row>
    <row r="6349" spans="3:6">
      <c r="C6349" s="12"/>
      <c r="D6349" s="12"/>
      <c r="E6349" t="b">
        <f t="shared" si="99"/>
        <v>1</v>
      </c>
      <c r="F6349" s="12">
        <v>0</v>
      </c>
    </row>
    <row r="6350" spans="3:6">
      <c r="C6350" s="12"/>
      <c r="D6350" s="12"/>
      <c r="E6350" t="b">
        <f t="shared" si="99"/>
        <v>1</v>
      </c>
      <c r="F6350" s="12">
        <v>0</v>
      </c>
    </row>
    <row r="6351" spans="3:6">
      <c r="C6351" s="12"/>
      <c r="D6351" s="12"/>
      <c r="E6351" t="b">
        <f t="shared" si="99"/>
        <v>1</v>
      </c>
      <c r="F6351" s="12">
        <v>0</v>
      </c>
    </row>
    <row r="6352" spans="3:6">
      <c r="C6352" s="12"/>
      <c r="D6352" s="12"/>
      <c r="E6352" t="b">
        <f t="shared" si="99"/>
        <v>1</v>
      </c>
      <c r="F6352" s="12">
        <v>0</v>
      </c>
    </row>
    <row r="6353" spans="3:6">
      <c r="C6353" s="12"/>
      <c r="D6353" s="12"/>
      <c r="E6353" t="b">
        <f t="shared" si="99"/>
        <v>1</v>
      </c>
      <c r="F6353" s="12">
        <v>0</v>
      </c>
    </row>
    <row r="6354" spans="3:6">
      <c r="C6354" s="12"/>
      <c r="D6354" s="12"/>
      <c r="E6354" t="b">
        <f t="shared" si="99"/>
        <v>1</v>
      </c>
      <c r="F6354" s="12">
        <v>0</v>
      </c>
    </row>
    <row r="6355" spans="3:6">
      <c r="C6355" s="12"/>
      <c r="D6355" s="12"/>
      <c r="E6355" t="b">
        <f t="shared" si="99"/>
        <v>1</v>
      </c>
      <c r="F6355" s="12">
        <v>0</v>
      </c>
    </row>
    <row r="6356" spans="3:6">
      <c r="C6356" s="12"/>
      <c r="D6356" s="12"/>
      <c r="E6356" t="b">
        <f t="shared" si="99"/>
        <v>1</v>
      </c>
      <c r="F6356" s="12">
        <v>0</v>
      </c>
    </row>
    <row r="6357" spans="3:6">
      <c r="C6357" s="12"/>
      <c r="D6357" s="12"/>
      <c r="E6357" t="b">
        <f t="shared" si="99"/>
        <v>1</v>
      </c>
      <c r="F6357" s="12">
        <v>0</v>
      </c>
    </row>
    <row r="6358" spans="3:6">
      <c r="C6358" s="12"/>
      <c r="D6358" s="12"/>
      <c r="E6358" t="b">
        <f t="shared" si="99"/>
        <v>1</v>
      </c>
      <c r="F6358" s="12">
        <v>0</v>
      </c>
    </row>
    <row r="6359" spans="3:6">
      <c r="C6359" s="12"/>
      <c r="D6359" s="12"/>
      <c r="E6359" t="b">
        <f t="shared" si="99"/>
        <v>1</v>
      </c>
      <c r="F6359" s="12">
        <v>0</v>
      </c>
    </row>
    <row r="6360" spans="3:6">
      <c r="C6360" s="12"/>
      <c r="D6360" s="12"/>
      <c r="E6360" t="b">
        <f t="shared" si="99"/>
        <v>1</v>
      </c>
      <c r="F6360" s="12">
        <v>0</v>
      </c>
    </row>
    <row r="6361" spans="3:6">
      <c r="C6361" s="12"/>
      <c r="D6361" s="12"/>
      <c r="E6361" t="b">
        <f t="shared" si="99"/>
        <v>1</v>
      </c>
      <c r="F6361" s="12">
        <v>0</v>
      </c>
    </row>
    <row r="6362" spans="3:6">
      <c r="C6362" s="12"/>
      <c r="D6362" s="12"/>
      <c r="E6362" t="b">
        <f t="shared" si="99"/>
        <v>1</v>
      </c>
      <c r="F6362" s="12">
        <v>0</v>
      </c>
    </row>
    <row r="6363" spans="3:6">
      <c r="C6363" s="12"/>
      <c r="D6363" s="12"/>
      <c r="E6363" t="b">
        <f t="shared" si="99"/>
        <v>1</v>
      </c>
      <c r="F6363" s="12">
        <v>0</v>
      </c>
    </row>
    <row r="6364" spans="3:6">
      <c r="C6364" s="12"/>
      <c r="D6364" s="12"/>
      <c r="E6364" t="b">
        <f t="shared" si="99"/>
        <v>1</v>
      </c>
      <c r="F6364" s="12">
        <v>0</v>
      </c>
    </row>
    <row r="6365" spans="3:6">
      <c r="C6365" s="12"/>
      <c r="D6365" s="12"/>
      <c r="E6365" t="b">
        <f t="shared" si="99"/>
        <v>1</v>
      </c>
      <c r="F6365" s="12">
        <v>0</v>
      </c>
    </row>
    <row r="6366" spans="3:6">
      <c r="C6366" s="12"/>
      <c r="D6366" s="12"/>
      <c r="E6366" t="b">
        <f t="shared" si="99"/>
        <v>1</v>
      </c>
      <c r="F6366" s="12">
        <v>0</v>
      </c>
    </row>
    <row r="6367" spans="3:6">
      <c r="C6367" s="12"/>
      <c r="D6367" s="12"/>
      <c r="E6367" t="b">
        <f t="shared" si="99"/>
        <v>1</v>
      </c>
      <c r="F6367" s="12">
        <v>0</v>
      </c>
    </row>
    <row r="6368" spans="3:6">
      <c r="C6368" s="12"/>
      <c r="D6368" s="12"/>
      <c r="E6368" t="b">
        <f t="shared" si="99"/>
        <v>1</v>
      </c>
      <c r="F6368" s="12">
        <v>0</v>
      </c>
    </row>
    <row r="6369" spans="3:6">
      <c r="C6369" s="12"/>
      <c r="D6369" s="12"/>
      <c r="E6369" t="b">
        <f t="shared" si="99"/>
        <v>1</v>
      </c>
      <c r="F6369" s="12">
        <v>0</v>
      </c>
    </row>
    <row r="6370" spans="3:6">
      <c r="C6370" s="12"/>
      <c r="D6370" s="12"/>
      <c r="E6370" t="b">
        <f t="shared" si="99"/>
        <v>1</v>
      </c>
      <c r="F6370" s="12">
        <v>0</v>
      </c>
    </row>
    <row r="6371" spans="3:6">
      <c r="C6371" s="12"/>
      <c r="D6371" s="12"/>
      <c r="E6371" t="b">
        <f t="shared" si="99"/>
        <v>1</v>
      </c>
      <c r="F6371" s="12">
        <v>0</v>
      </c>
    </row>
    <row r="6372" spans="3:6">
      <c r="C6372" s="12"/>
      <c r="D6372" s="12"/>
      <c r="E6372" t="b">
        <f t="shared" si="99"/>
        <v>1</v>
      </c>
      <c r="F6372" s="12">
        <v>0</v>
      </c>
    </row>
    <row r="6373" spans="3:6">
      <c r="C6373" s="12"/>
      <c r="D6373" s="12"/>
      <c r="E6373" t="b">
        <f t="shared" si="99"/>
        <v>1</v>
      </c>
      <c r="F6373" s="12">
        <v>0</v>
      </c>
    </row>
    <row r="6374" spans="3:6">
      <c r="C6374" s="12"/>
      <c r="D6374" s="12"/>
      <c r="E6374" t="b">
        <f t="shared" si="99"/>
        <v>1</v>
      </c>
      <c r="F6374" s="12">
        <v>0</v>
      </c>
    </row>
    <row r="6375" spans="3:6">
      <c r="C6375" s="12"/>
      <c r="D6375" s="12"/>
      <c r="E6375" t="b">
        <f t="shared" si="99"/>
        <v>1</v>
      </c>
      <c r="F6375" s="12">
        <v>0</v>
      </c>
    </row>
    <row r="6376" spans="3:6">
      <c r="C6376" s="12"/>
      <c r="D6376" s="12"/>
      <c r="E6376" t="b">
        <f t="shared" si="99"/>
        <v>1</v>
      </c>
      <c r="F6376" s="12">
        <v>0</v>
      </c>
    </row>
    <row r="6377" spans="3:6">
      <c r="C6377" s="12"/>
      <c r="D6377" s="12"/>
      <c r="E6377" t="b">
        <f t="shared" si="99"/>
        <v>1</v>
      </c>
      <c r="F6377" s="12">
        <v>0</v>
      </c>
    </row>
    <row r="6378" spans="3:6">
      <c r="C6378" s="12"/>
      <c r="D6378" s="12"/>
      <c r="E6378" t="b">
        <f t="shared" si="99"/>
        <v>1</v>
      </c>
      <c r="F6378" s="12">
        <v>0</v>
      </c>
    </row>
    <row r="6379" spans="3:6">
      <c r="C6379" s="12"/>
      <c r="D6379" s="12"/>
      <c r="E6379" t="b">
        <f t="shared" si="99"/>
        <v>1</v>
      </c>
      <c r="F6379" s="12">
        <v>0</v>
      </c>
    </row>
    <row r="6380" spans="3:6">
      <c r="C6380" s="12"/>
      <c r="D6380" s="12"/>
      <c r="E6380" t="b">
        <f t="shared" si="99"/>
        <v>1</v>
      </c>
      <c r="F6380" s="12">
        <v>0</v>
      </c>
    </row>
    <row r="6381" spans="3:6">
      <c r="C6381" s="12"/>
      <c r="D6381" s="12"/>
      <c r="E6381" t="b">
        <f t="shared" si="99"/>
        <v>1</v>
      </c>
      <c r="F6381" s="12">
        <v>0</v>
      </c>
    </row>
    <row r="6382" spans="3:6">
      <c r="C6382" s="12"/>
      <c r="D6382" s="12"/>
      <c r="E6382" t="b">
        <f t="shared" si="99"/>
        <v>1</v>
      </c>
      <c r="F6382" s="12">
        <v>0</v>
      </c>
    </row>
    <row r="6383" spans="3:6">
      <c r="C6383" s="12"/>
      <c r="D6383" s="12"/>
      <c r="E6383" t="b">
        <f t="shared" si="99"/>
        <v>1</v>
      </c>
      <c r="F6383" s="12">
        <v>0</v>
      </c>
    </row>
    <row r="6384" spans="3:6">
      <c r="C6384" s="12"/>
      <c r="D6384" s="12"/>
      <c r="E6384" t="b">
        <f t="shared" si="99"/>
        <v>1</v>
      </c>
      <c r="F6384" s="12">
        <v>0</v>
      </c>
    </row>
    <row r="6385" spans="3:6">
      <c r="C6385" s="12"/>
      <c r="D6385" s="12"/>
      <c r="E6385" t="b">
        <f t="shared" si="99"/>
        <v>1</v>
      </c>
      <c r="F6385" s="12">
        <v>0</v>
      </c>
    </row>
    <row r="6386" spans="3:6">
      <c r="C6386" s="12"/>
      <c r="D6386" s="12"/>
      <c r="E6386" t="b">
        <f t="shared" si="99"/>
        <v>1</v>
      </c>
      <c r="F6386" s="12">
        <v>0</v>
      </c>
    </row>
    <row r="6387" spans="3:6">
      <c r="C6387" s="12"/>
      <c r="D6387" s="12"/>
      <c r="E6387" t="b">
        <f t="shared" si="99"/>
        <v>1</v>
      </c>
      <c r="F6387" s="12">
        <v>0</v>
      </c>
    </row>
    <row r="6388" spans="3:6">
      <c r="C6388" s="12"/>
      <c r="D6388" s="12"/>
      <c r="E6388" t="b">
        <f t="shared" si="99"/>
        <v>1</v>
      </c>
      <c r="F6388" s="12">
        <v>0</v>
      </c>
    </row>
    <row r="6389" spans="3:6">
      <c r="C6389" s="12"/>
      <c r="D6389" s="12"/>
      <c r="E6389" t="b">
        <f t="shared" si="99"/>
        <v>1</v>
      </c>
      <c r="F6389" s="12">
        <v>0</v>
      </c>
    </row>
    <row r="6390" spans="3:6">
      <c r="C6390" s="12"/>
      <c r="D6390" s="12"/>
      <c r="E6390" t="b">
        <f t="shared" si="99"/>
        <v>1</v>
      </c>
      <c r="F6390" s="12">
        <v>0</v>
      </c>
    </row>
    <row r="6391" spans="3:6">
      <c r="C6391" s="12"/>
      <c r="D6391" s="12"/>
      <c r="E6391" t="b">
        <f t="shared" si="99"/>
        <v>1</v>
      </c>
      <c r="F6391" s="12">
        <v>0</v>
      </c>
    </row>
    <row r="6392" spans="3:6">
      <c r="C6392" s="12"/>
      <c r="D6392" s="12"/>
      <c r="E6392" t="b">
        <f t="shared" si="99"/>
        <v>1</v>
      </c>
      <c r="F6392" s="12">
        <v>0</v>
      </c>
    </row>
    <row r="6393" spans="3:6">
      <c r="C6393" s="12"/>
      <c r="D6393" s="12"/>
      <c r="E6393" t="b">
        <f t="shared" si="99"/>
        <v>1</v>
      </c>
      <c r="F6393" s="12">
        <v>0</v>
      </c>
    </row>
    <row r="6394" spans="3:6">
      <c r="C6394" s="12"/>
      <c r="D6394" s="12"/>
      <c r="E6394" t="b">
        <f t="shared" si="99"/>
        <v>1</v>
      </c>
      <c r="F6394" s="12">
        <v>0</v>
      </c>
    </row>
    <row r="6395" spans="3:6">
      <c r="C6395" s="12"/>
      <c r="D6395" s="12"/>
      <c r="E6395" t="b">
        <f t="shared" si="99"/>
        <v>1</v>
      </c>
      <c r="F6395" s="12">
        <v>0</v>
      </c>
    </row>
    <row r="6396" spans="3:6">
      <c r="C6396" s="12"/>
      <c r="D6396" s="12"/>
      <c r="E6396" t="b">
        <f t="shared" si="99"/>
        <v>1</v>
      </c>
      <c r="F6396" s="12">
        <v>0</v>
      </c>
    </row>
    <row r="6397" spans="3:6">
      <c r="C6397" s="12"/>
      <c r="D6397" s="12"/>
      <c r="E6397" t="b">
        <f t="shared" si="99"/>
        <v>1</v>
      </c>
      <c r="F6397" s="12">
        <v>0</v>
      </c>
    </row>
    <row r="6398" spans="3:6">
      <c r="C6398" s="12"/>
      <c r="D6398" s="12"/>
      <c r="E6398" t="b">
        <f t="shared" si="99"/>
        <v>1</v>
      </c>
      <c r="F6398" s="12">
        <v>0</v>
      </c>
    </row>
    <row r="6399" spans="3:6">
      <c r="C6399" s="12"/>
      <c r="D6399" s="12"/>
      <c r="E6399" t="b">
        <f t="shared" si="99"/>
        <v>1</v>
      </c>
      <c r="F6399" s="12">
        <v>0</v>
      </c>
    </row>
    <row r="6400" spans="3:6">
      <c r="C6400" s="12"/>
      <c r="D6400" s="12"/>
      <c r="E6400" t="b">
        <f t="shared" si="99"/>
        <v>1</v>
      </c>
      <c r="F6400" s="12">
        <v>0</v>
      </c>
    </row>
    <row r="6401" spans="3:6">
      <c r="C6401" s="12"/>
      <c r="D6401" s="12"/>
      <c r="E6401" t="b">
        <f t="shared" si="99"/>
        <v>1</v>
      </c>
      <c r="F6401" s="12">
        <v>0</v>
      </c>
    </row>
    <row r="6402" spans="3:6">
      <c r="C6402" s="12"/>
      <c r="D6402" s="12"/>
      <c r="E6402" t="b">
        <f t="shared" si="99"/>
        <v>1</v>
      </c>
      <c r="F6402" s="12">
        <v>0</v>
      </c>
    </row>
    <row r="6403" spans="3:6">
      <c r="C6403" s="12"/>
      <c r="D6403" s="12"/>
      <c r="E6403" t="b">
        <f t="shared" ref="E6403:E6466" si="100">F6403=C6403</f>
        <v>1</v>
      </c>
      <c r="F6403" s="12">
        <v>0</v>
      </c>
    </row>
    <row r="6404" spans="3:6">
      <c r="C6404" s="12"/>
      <c r="D6404" s="12"/>
      <c r="E6404" t="b">
        <f t="shared" si="100"/>
        <v>1</v>
      </c>
      <c r="F6404" s="12">
        <v>0</v>
      </c>
    </row>
    <row r="6405" spans="3:6">
      <c r="C6405" s="12"/>
      <c r="D6405" s="12"/>
      <c r="E6405" t="b">
        <f t="shared" si="100"/>
        <v>1</v>
      </c>
      <c r="F6405" s="12">
        <v>0</v>
      </c>
    </row>
    <row r="6406" spans="3:6">
      <c r="C6406" s="12"/>
      <c r="D6406" s="12"/>
      <c r="E6406" t="b">
        <f t="shared" si="100"/>
        <v>1</v>
      </c>
      <c r="F6406" s="12">
        <v>0</v>
      </c>
    </row>
    <row r="6407" spans="3:6">
      <c r="C6407" s="12"/>
      <c r="D6407" s="12"/>
      <c r="E6407" t="b">
        <f t="shared" si="100"/>
        <v>1</v>
      </c>
      <c r="F6407" s="12">
        <v>0</v>
      </c>
    </row>
    <row r="6408" spans="3:6">
      <c r="C6408" s="12"/>
      <c r="D6408" s="12"/>
      <c r="E6408" t="b">
        <f t="shared" si="100"/>
        <v>1</v>
      </c>
      <c r="F6408" s="12">
        <v>0</v>
      </c>
    </row>
    <row r="6409" spans="3:6">
      <c r="C6409" s="12"/>
      <c r="D6409" s="12"/>
      <c r="E6409" t="b">
        <f t="shared" si="100"/>
        <v>1</v>
      </c>
      <c r="F6409" s="12">
        <v>0</v>
      </c>
    </row>
    <row r="6410" spans="3:6">
      <c r="C6410" s="12"/>
      <c r="D6410" s="12"/>
      <c r="E6410" t="b">
        <f t="shared" si="100"/>
        <v>1</v>
      </c>
      <c r="F6410" s="12">
        <v>0</v>
      </c>
    </row>
    <row r="6411" spans="3:6">
      <c r="C6411" s="12"/>
      <c r="D6411" s="12"/>
      <c r="E6411" t="b">
        <f t="shared" si="100"/>
        <v>1</v>
      </c>
      <c r="F6411" s="12">
        <v>0</v>
      </c>
    </row>
    <row r="6412" spans="3:6">
      <c r="C6412" s="12"/>
      <c r="D6412" s="12"/>
      <c r="E6412" t="b">
        <f t="shared" si="100"/>
        <v>1</v>
      </c>
      <c r="F6412" s="12">
        <v>0</v>
      </c>
    </row>
    <row r="6413" spans="3:6">
      <c r="C6413" s="12"/>
      <c r="D6413" s="12"/>
      <c r="E6413" t="b">
        <f t="shared" si="100"/>
        <v>1</v>
      </c>
      <c r="F6413" s="12">
        <v>0</v>
      </c>
    </row>
    <row r="6414" spans="3:6">
      <c r="C6414" s="12"/>
      <c r="D6414" s="12"/>
      <c r="E6414" t="b">
        <f t="shared" si="100"/>
        <v>1</v>
      </c>
      <c r="F6414" s="12">
        <v>0</v>
      </c>
    </row>
    <row r="6415" spans="3:6">
      <c r="C6415" s="12"/>
      <c r="D6415" s="12"/>
      <c r="E6415" t="b">
        <f t="shared" si="100"/>
        <v>1</v>
      </c>
      <c r="F6415" s="12">
        <v>0</v>
      </c>
    </row>
    <row r="6416" spans="3:6">
      <c r="C6416" s="12"/>
      <c r="D6416" s="12"/>
      <c r="E6416" t="b">
        <f t="shared" si="100"/>
        <v>1</v>
      </c>
      <c r="F6416" s="12">
        <v>0</v>
      </c>
    </row>
    <row r="6417" spans="3:6">
      <c r="C6417" s="12"/>
      <c r="D6417" s="12"/>
      <c r="E6417" t="b">
        <f t="shared" si="100"/>
        <v>1</v>
      </c>
      <c r="F6417" s="12">
        <v>0</v>
      </c>
    </row>
    <row r="6418" spans="3:6">
      <c r="C6418" s="12"/>
      <c r="D6418" s="12"/>
      <c r="E6418" t="b">
        <f t="shared" si="100"/>
        <v>1</v>
      </c>
      <c r="F6418" s="12">
        <v>0</v>
      </c>
    </row>
    <row r="6419" spans="3:6">
      <c r="C6419" s="12"/>
      <c r="D6419" s="12"/>
      <c r="E6419" t="b">
        <f t="shared" si="100"/>
        <v>1</v>
      </c>
      <c r="F6419" s="12">
        <v>0</v>
      </c>
    </row>
    <row r="6420" spans="3:6">
      <c r="C6420" s="12"/>
      <c r="D6420" s="12"/>
      <c r="E6420" t="b">
        <f t="shared" si="100"/>
        <v>1</v>
      </c>
      <c r="F6420" s="12">
        <v>0</v>
      </c>
    </row>
    <row r="6421" spans="3:6">
      <c r="C6421" s="12"/>
      <c r="D6421" s="12"/>
      <c r="E6421" t="b">
        <f t="shared" si="100"/>
        <v>1</v>
      </c>
      <c r="F6421" s="12">
        <v>0</v>
      </c>
    </row>
    <row r="6422" spans="3:6">
      <c r="C6422" s="12"/>
      <c r="D6422" s="12"/>
      <c r="E6422" t="b">
        <f t="shared" si="100"/>
        <v>1</v>
      </c>
      <c r="F6422" s="12">
        <v>0</v>
      </c>
    </row>
    <row r="6423" spans="3:6">
      <c r="C6423" s="12"/>
      <c r="D6423" s="12"/>
      <c r="E6423" t="b">
        <f t="shared" si="100"/>
        <v>1</v>
      </c>
      <c r="F6423" s="12">
        <v>0</v>
      </c>
    </row>
    <row r="6424" spans="3:6">
      <c r="C6424" s="12"/>
      <c r="D6424" s="12"/>
      <c r="E6424" t="b">
        <f t="shared" si="100"/>
        <v>1</v>
      </c>
      <c r="F6424" s="12">
        <v>0</v>
      </c>
    </row>
    <row r="6425" spans="3:6">
      <c r="C6425" s="12"/>
      <c r="D6425" s="12"/>
      <c r="E6425" t="b">
        <f t="shared" si="100"/>
        <v>1</v>
      </c>
      <c r="F6425" s="12">
        <v>0</v>
      </c>
    </row>
    <row r="6426" spans="3:6">
      <c r="C6426" s="12"/>
      <c r="D6426" s="12"/>
      <c r="E6426" t="b">
        <f t="shared" si="100"/>
        <v>1</v>
      </c>
      <c r="F6426" s="12">
        <v>0</v>
      </c>
    </row>
    <row r="6427" spans="3:6">
      <c r="C6427" s="12"/>
      <c r="D6427" s="12"/>
      <c r="E6427" t="b">
        <f t="shared" si="100"/>
        <v>1</v>
      </c>
      <c r="F6427" s="12">
        <v>0</v>
      </c>
    </row>
    <row r="6428" spans="3:6">
      <c r="C6428" s="12"/>
      <c r="D6428" s="12"/>
      <c r="E6428" t="b">
        <f t="shared" si="100"/>
        <v>1</v>
      </c>
      <c r="F6428" s="12">
        <v>0</v>
      </c>
    </row>
    <row r="6429" spans="3:6">
      <c r="C6429" s="12"/>
      <c r="D6429" s="12"/>
      <c r="E6429" t="b">
        <f t="shared" si="100"/>
        <v>1</v>
      </c>
      <c r="F6429" s="12">
        <v>0</v>
      </c>
    </row>
    <row r="6430" spans="3:6">
      <c r="C6430" s="12"/>
      <c r="D6430" s="12"/>
      <c r="E6430" t="b">
        <f t="shared" si="100"/>
        <v>1</v>
      </c>
      <c r="F6430" s="12">
        <v>0</v>
      </c>
    </row>
    <row r="6431" spans="3:6">
      <c r="C6431" s="12"/>
      <c r="D6431" s="12"/>
      <c r="E6431" t="b">
        <f t="shared" si="100"/>
        <v>1</v>
      </c>
      <c r="F6431" s="12">
        <v>0</v>
      </c>
    </row>
    <row r="6432" spans="3:6">
      <c r="C6432" s="12"/>
      <c r="D6432" s="12"/>
      <c r="E6432" t="b">
        <f t="shared" si="100"/>
        <v>1</v>
      </c>
      <c r="F6432" s="12">
        <v>0</v>
      </c>
    </row>
    <row r="6433" spans="3:6">
      <c r="C6433" s="12"/>
      <c r="D6433" s="12"/>
      <c r="E6433" t="b">
        <f t="shared" si="100"/>
        <v>1</v>
      </c>
      <c r="F6433" s="12">
        <v>0</v>
      </c>
    </row>
    <row r="6434" spans="3:6">
      <c r="C6434" s="12"/>
      <c r="D6434" s="12"/>
      <c r="E6434" t="b">
        <f t="shared" si="100"/>
        <v>1</v>
      </c>
      <c r="F6434" s="12">
        <v>0</v>
      </c>
    </row>
    <row r="6435" spans="3:6">
      <c r="C6435" s="12"/>
      <c r="D6435" s="12"/>
      <c r="E6435" t="b">
        <f t="shared" si="100"/>
        <v>1</v>
      </c>
      <c r="F6435" s="12">
        <v>0</v>
      </c>
    </row>
    <row r="6436" spans="3:6">
      <c r="C6436" s="12"/>
      <c r="D6436" s="12"/>
      <c r="E6436" t="b">
        <f t="shared" si="100"/>
        <v>1</v>
      </c>
      <c r="F6436" s="12">
        <v>0</v>
      </c>
    </row>
    <row r="6437" spans="3:6">
      <c r="C6437" s="12"/>
      <c r="D6437" s="12"/>
      <c r="E6437" t="b">
        <f t="shared" si="100"/>
        <v>1</v>
      </c>
      <c r="F6437" s="12">
        <v>0</v>
      </c>
    </row>
    <row r="6438" spans="3:6">
      <c r="C6438" s="12"/>
      <c r="D6438" s="12"/>
      <c r="E6438" t="b">
        <f t="shared" si="100"/>
        <v>1</v>
      </c>
      <c r="F6438" s="12">
        <v>0</v>
      </c>
    </row>
    <row r="6439" spans="3:6">
      <c r="C6439" s="12"/>
      <c r="D6439" s="12"/>
      <c r="E6439" t="b">
        <f t="shared" si="100"/>
        <v>1</v>
      </c>
      <c r="F6439" s="12">
        <v>0</v>
      </c>
    </row>
    <row r="6440" spans="3:6">
      <c r="C6440" s="12"/>
      <c r="D6440" s="12"/>
      <c r="E6440" t="b">
        <f t="shared" si="100"/>
        <v>1</v>
      </c>
      <c r="F6440" s="12">
        <v>0</v>
      </c>
    </row>
    <row r="6441" spans="3:6">
      <c r="C6441" s="12"/>
      <c r="D6441" s="12"/>
      <c r="E6441" t="b">
        <f t="shared" si="100"/>
        <v>1</v>
      </c>
      <c r="F6441" s="12">
        <v>0</v>
      </c>
    </row>
    <row r="6442" spans="3:6">
      <c r="C6442" s="12"/>
      <c r="D6442" s="12"/>
      <c r="E6442" t="b">
        <f t="shared" si="100"/>
        <v>1</v>
      </c>
      <c r="F6442" s="12">
        <v>0</v>
      </c>
    </row>
    <row r="6443" spans="3:6">
      <c r="C6443" s="12"/>
      <c r="D6443" s="12"/>
      <c r="E6443" t="b">
        <f t="shared" si="100"/>
        <v>1</v>
      </c>
      <c r="F6443" s="12">
        <v>0</v>
      </c>
    </row>
    <row r="6444" spans="3:6">
      <c r="C6444" s="12"/>
      <c r="D6444" s="12"/>
      <c r="E6444" t="b">
        <f t="shared" si="100"/>
        <v>1</v>
      </c>
      <c r="F6444" s="12">
        <v>0</v>
      </c>
    </row>
    <row r="6445" spans="3:6">
      <c r="C6445" s="12"/>
      <c r="D6445" s="12"/>
      <c r="E6445" t="b">
        <f t="shared" si="100"/>
        <v>1</v>
      </c>
      <c r="F6445" s="12">
        <v>0</v>
      </c>
    </row>
    <row r="6446" spans="3:6">
      <c r="C6446" s="12"/>
      <c r="D6446" s="12"/>
      <c r="E6446" t="b">
        <f t="shared" si="100"/>
        <v>1</v>
      </c>
      <c r="F6446" s="12">
        <v>0</v>
      </c>
    </row>
    <row r="6447" spans="3:6">
      <c r="C6447" s="12"/>
      <c r="D6447" s="12"/>
      <c r="E6447" t="b">
        <f t="shared" si="100"/>
        <v>1</v>
      </c>
      <c r="F6447" s="12">
        <v>0</v>
      </c>
    </row>
    <row r="6448" spans="3:6">
      <c r="C6448" s="12"/>
      <c r="D6448" s="12"/>
      <c r="E6448" t="b">
        <f t="shared" si="100"/>
        <v>1</v>
      </c>
      <c r="F6448" s="12">
        <v>0</v>
      </c>
    </row>
    <row r="6449" spans="3:6">
      <c r="C6449" s="12"/>
      <c r="D6449" s="12"/>
      <c r="E6449" t="b">
        <f t="shared" si="100"/>
        <v>1</v>
      </c>
      <c r="F6449" s="12">
        <v>0</v>
      </c>
    </row>
    <row r="6450" spans="3:6">
      <c r="C6450" s="12"/>
      <c r="D6450" s="12"/>
      <c r="E6450" t="b">
        <f t="shared" si="100"/>
        <v>1</v>
      </c>
      <c r="F6450" s="12">
        <v>0</v>
      </c>
    </row>
    <row r="6451" spans="3:6">
      <c r="C6451" s="12"/>
      <c r="D6451" s="12"/>
      <c r="E6451" t="b">
        <f t="shared" si="100"/>
        <v>1</v>
      </c>
      <c r="F6451" s="12">
        <v>0</v>
      </c>
    </row>
    <row r="6452" spans="3:6">
      <c r="C6452" s="12"/>
      <c r="D6452" s="12"/>
      <c r="E6452" t="b">
        <f t="shared" si="100"/>
        <v>1</v>
      </c>
      <c r="F6452" s="12">
        <v>0</v>
      </c>
    </row>
    <row r="6453" spans="3:6">
      <c r="C6453" s="12"/>
      <c r="D6453" s="12"/>
      <c r="E6453" t="b">
        <f t="shared" si="100"/>
        <v>1</v>
      </c>
      <c r="F6453" s="12">
        <v>0</v>
      </c>
    </row>
    <row r="6454" spans="3:6">
      <c r="C6454" s="12"/>
      <c r="D6454" s="12"/>
      <c r="E6454" t="b">
        <f t="shared" si="100"/>
        <v>1</v>
      </c>
      <c r="F6454" s="12">
        <v>0</v>
      </c>
    </row>
    <row r="6455" spans="3:6">
      <c r="C6455" s="12"/>
      <c r="D6455" s="12"/>
      <c r="E6455" t="b">
        <f t="shared" si="100"/>
        <v>1</v>
      </c>
      <c r="F6455" s="12">
        <v>0</v>
      </c>
    </row>
    <row r="6456" spans="3:6">
      <c r="C6456" s="12"/>
      <c r="D6456" s="12"/>
      <c r="E6456" t="b">
        <f t="shared" si="100"/>
        <v>1</v>
      </c>
      <c r="F6456" s="12">
        <v>0</v>
      </c>
    </row>
    <row r="6457" spans="3:6">
      <c r="C6457" s="12"/>
      <c r="D6457" s="12"/>
      <c r="E6457" t="b">
        <f t="shared" si="100"/>
        <v>1</v>
      </c>
      <c r="F6457" s="12">
        <v>0</v>
      </c>
    </row>
    <row r="6458" spans="3:6">
      <c r="C6458" s="12"/>
      <c r="D6458" s="12"/>
      <c r="E6458" t="b">
        <f t="shared" si="100"/>
        <v>1</v>
      </c>
      <c r="F6458" s="12">
        <v>0</v>
      </c>
    </row>
    <row r="6459" spans="3:6">
      <c r="C6459" s="12"/>
      <c r="D6459" s="12"/>
      <c r="E6459" t="b">
        <f t="shared" si="100"/>
        <v>1</v>
      </c>
      <c r="F6459" s="12">
        <v>0</v>
      </c>
    </row>
    <row r="6460" spans="3:6">
      <c r="C6460" s="12"/>
      <c r="D6460" s="12"/>
      <c r="E6460" t="b">
        <f t="shared" si="100"/>
        <v>1</v>
      </c>
      <c r="F6460" s="12">
        <v>0</v>
      </c>
    </row>
    <row r="6461" spans="3:6">
      <c r="C6461" s="12"/>
      <c r="D6461" s="12"/>
      <c r="E6461" t="b">
        <f t="shared" si="100"/>
        <v>1</v>
      </c>
      <c r="F6461" s="12">
        <v>0</v>
      </c>
    </row>
    <row r="6462" spans="3:6">
      <c r="C6462" s="12"/>
      <c r="D6462" s="12"/>
      <c r="E6462" t="b">
        <f t="shared" si="100"/>
        <v>1</v>
      </c>
      <c r="F6462" s="12">
        <v>0</v>
      </c>
    </row>
    <row r="6463" spans="3:6">
      <c r="C6463" s="12"/>
      <c r="D6463" s="12"/>
      <c r="E6463" t="b">
        <f t="shared" si="100"/>
        <v>1</v>
      </c>
      <c r="F6463" s="12">
        <v>0</v>
      </c>
    </row>
    <row r="6464" spans="3:6">
      <c r="C6464" s="12"/>
      <c r="D6464" s="12"/>
      <c r="E6464" t="b">
        <f t="shared" si="100"/>
        <v>1</v>
      </c>
      <c r="F6464" s="12">
        <v>0</v>
      </c>
    </row>
    <row r="6465" spans="3:6">
      <c r="C6465" s="12"/>
      <c r="D6465" s="12"/>
      <c r="E6465" t="b">
        <f t="shared" si="100"/>
        <v>1</v>
      </c>
      <c r="F6465" s="12">
        <v>0</v>
      </c>
    </row>
    <row r="6466" spans="3:6">
      <c r="C6466" s="12"/>
      <c r="D6466" s="12"/>
      <c r="E6466" t="b">
        <f t="shared" si="100"/>
        <v>1</v>
      </c>
      <c r="F6466" s="12">
        <v>0</v>
      </c>
    </row>
    <row r="6467" spans="3:6">
      <c r="C6467" s="12"/>
      <c r="D6467" s="12"/>
      <c r="E6467" t="b">
        <f t="shared" ref="E6467:E6530" si="101">F6467=C6467</f>
        <v>1</v>
      </c>
      <c r="F6467" s="12">
        <v>0</v>
      </c>
    </row>
    <row r="6468" spans="3:6">
      <c r="C6468" s="12"/>
      <c r="D6468" s="12"/>
      <c r="E6468" t="b">
        <f t="shared" si="101"/>
        <v>1</v>
      </c>
      <c r="F6468" s="12">
        <v>0</v>
      </c>
    </row>
    <row r="6469" spans="3:6">
      <c r="C6469" s="12"/>
      <c r="D6469" s="12"/>
      <c r="E6469" t="b">
        <f t="shared" si="101"/>
        <v>1</v>
      </c>
      <c r="F6469" s="12">
        <v>0</v>
      </c>
    </row>
    <row r="6470" spans="3:6">
      <c r="C6470" s="12"/>
      <c r="D6470" s="12"/>
      <c r="E6470" t="b">
        <f t="shared" si="101"/>
        <v>1</v>
      </c>
      <c r="F6470" s="12">
        <v>0</v>
      </c>
    </row>
    <row r="6471" spans="3:6">
      <c r="C6471" s="12"/>
      <c r="D6471" s="12"/>
      <c r="E6471" t="b">
        <f t="shared" si="101"/>
        <v>1</v>
      </c>
      <c r="F6471" s="12">
        <v>0</v>
      </c>
    </row>
    <row r="6472" spans="3:6">
      <c r="C6472" s="12"/>
      <c r="D6472" s="12"/>
      <c r="E6472" t="b">
        <f t="shared" si="101"/>
        <v>1</v>
      </c>
      <c r="F6472" s="12">
        <v>0</v>
      </c>
    </row>
    <row r="6473" spans="3:6">
      <c r="C6473" s="12"/>
      <c r="D6473" s="12"/>
      <c r="E6473" t="b">
        <f t="shared" si="101"/>
        <v>1</v>
      </c>
      <c r="F6473" s="12">
        <v>0</v>
      </c>
    </row>
    <row r="6474" spans="3:6">
      <c r="C6474" s="12"/>
      <c r="D6474" s="12"/>
      <c r="E6474" t="b">
        <f t="shared" si="101"/>
        <v>1</v>
      </c>
      <c r="F6474" s="12">
        <v>0</v>
      </c>
    </row>
    <row r="6475" spans="3:6">
      <c r="C6475" s="12"/>
      <c r="D6475" s="12"/>
      <c r="E6475" t="b">
        <f t="shared" si="101"/>
        <v>1</v>
      </c>
      <c r="F6475" s="12">
        <v>0</v>
      </c>
    </row>
    <row r="6476" spans="3:6">
      <c r="C6476" s="12"/>
      <c r="D6476" s="12"/>
      <c r="E6476" t="b">
        <f t="shared" si="101"/>
        <v>1</v>
      </c>
      <c r="F6476" s="12">
        <v>0</v>
      </c>
    </row>
    <row r="6477" spans="3:6">
      <c r="C6477" s="12"/>
      <c r="D6477" s="12"/>
      <c r="E6477" t="b">
        <f t="shared" si="101"/>
        <v>1</v>
      </c>
      <c r="F6477" s="12">
        <v>0</v>
      </c>
    </row>
    <row r="6478" spans="3:6">
      <c r="C6478" s="12"/>
      <c r="D6478" s="12"/>
      <c r="E6478" t="b">
        <f t="shared" si="101"/>
        <v>1</v>
      </c>
      <c r="F6478" s="12">
        <v>0</v>
      </c>
    </row>
    <row r="6479" spans="3:6">
      <c r="C6479" s="12"/>
      <c r="D6479" s="12"/>
      <c r="E6479" t="b">
        <f t="shared" si="101"/>
        <v>1</v>
      </c>
      <c r="F6479" s="12">
        <v>0</v>
      </c>
    </row>
    <row r="6480" spans="3:6">
      <c r="C6480" s="12"/>
      <c r="D6480" s="12"/>
      <c r="E6480" t="b">
        <f t="shared" si="101"/>
        <v>1</v>
      </c>
      <c r="F6480" s="12">
        <v>0</v>
      </c>
    </row>
    <row r="6481" spans="3:6">
      <c r="C6481" s="12"/>
      <c r="D6481" s="12"/>
      <c r="E6481" t="b">
        <f t="shared" si="101"/>
        <v>1</v>
      </c>
      <c r="F6481" s="12">
        <v>0</v>
      </c>
    </row>
    <row r="6482" spans="3:6">
      <c r="C6482" s="12"/>
      <c r="D6482" s="12"/>
      <c r="E6482" t="b">
        <f t="shared" si="101"/>
        <v>1</v>
      </c>
      <c r="F6482" s="12">
        <v>0</v>
      </c>
    </row>
    <row r="6483" spans="3:6">
      <c r="C6483" s="12"/>
      <c r="D6483" s="12"/>
      <c r="E6483" t="b">
        <f t="shared" si="101"/>
        <v>1</v>
      </c>
      <c r="F6483" s="12">
        <v>0</v>
      </c>
    </row>
    <row r="6484" spans="3:6">
      <c r="C6484" s="12"/>
      <c r="D6484" s="12"/>
      <c r="E6484" t="b">
        <f t="shared" si="101"/>
        <v>1</v>
      </c>
      <c r="F6484" s="12">
        <v>0</v>
      </c>
    </row>
    <row r="6485" spans="3:6">
      <c r="C6485" s="12"/>
      <c r="D6485" s="12"/>
      <c r="E6485" t="b">
        <f t="shared" si="101"/>
        <v>1</v>
      </c>
      <c r="F6485" s="12">
        <v>0</v>
      </c>
    </row>
    <row r="6486" spans="3:6">
      <c r="C6486" s="12"/>
      <c r="D6486" s="12"/>
      <c r="E6486" t="b">
        <f t="shared" si="101"/>
        <v>1</v>
      </c>
      <c r="F6486" s="12">
        <v>0</v>
      </c>
    </row>
    <row r="6487" spans="3:6">
      <c r="C6487" s="12"/>
      <c r="D6487" s="12"/>
      <c r="E6487" t="b">
        <f t="shared" si="101"/>
        <v>1</v>
      </c>
      <c r="F6487" s="12">
        <v>0</v>
      </c>
    </row>
    <row r="6488" spans="3:6">
      <c r="C6488" s="12"/>
      <c r="D6488" s="12"/>
      <c r="E6488" t="b">
        <f t="shared" si="101"/>
        <v>1</v>
      </c>
      <c r="F6488" s="12">
        <v>0</v>
      </c>
    </row>
    <row r="6489" spans="3:6">
      <c r="C6489" s="12"/>
      <c r="D6489" s="12"/>
      <c r="E6489" t="b">
        <f t="shared" si="101"/>
        <v>1</v>
      </c>
      <c r="F6489" s="12">
        <v>0</v>
      </c>
    </row>
    <row r="6490" spans="3:6">
      <c r="C6490" s="12"/>
      <c r="D6490" s="12"/>
      <c r="E6490" t="b">
        <f t="shared" si="101"/>
        <v>1</v>
      </c>
      <c r="F6490" s="12">
        <v>0</v>
      </c>
    </row>
    <row r="6491" spans="3:6">
      <c r="C6491" s="12"/>
      <c r="D6491" s="12"/>
      <c r="E6491" t="b">
        <f t="shared" si="101"/>
        <v>1</v>
      </c>
      <c r="F6491" s="12">
        <v>0</v>
      </c>
    </row>
    <row r="6492" spans="3:6">
      <c r="C6492" s="12"/>
      <c r="D6492" s="12"/>
      <c r="E6492" t="b">
        <f t="shared" si="101"/>
        <v>1</v>
      </c>
      <c r="F6492" s="12">
        <v>0</v>
      </c>
    </row>
    <row r="6493" spans="3:6">
      <c r="C6493" s="12"/>
      <c r="D6493" s="12"/>
      <c r="E6493" t="b">
        <f t="shared" si="101"/>
        <v>1</v>
      </c>
      <c r="F6493" s="12">
        <v>0</v>
      </c>
    </row>
    <row r="6494" spans="3:6">
      <c r="C6494" s="12"/>
      <c r="D6494" s="12"/>
      <c r="E6494" t="b">
        <f t="shared" si="101"/>
        <v>1</v>
      </c>
      <c r="F6494" s="12">
        <v>0</v>
      </c>
    </row>
    <row r="6495" spans="3:6">
      <c r="C6495" s="12"/>
      <c r="D6495" s="12"/>
      <c r="E6495" t="b">
        <f t="shared" si="101"/>
        <v>1</v>
      </c>
      <c r="F6495" s="12">
        <v>0</v>
      </c>
    </row>
    <row r="6496" spans="3:6">
      <c r="C6496" s="12"/>
      <c r="D6496" s="12"/>
      <c r="E6496" t="b">
        <f t="shared" si="101"/>
        <v>1</v>
      </c>
      <c r="F6496" s="12">
        <v>0</v>
      </c>
    </row>
    <row r="6497" spans="3:6">
      <c r="C6497" s="12"/>
      <c r="D6497" s="12"/>
      <c r="E6497" t="b">
        <f t="shared" si="101"/>
        <v>1</v>
      </c>
      <c r="F6497" s="12">
        <v>0</v>
      </c>
    </row>
    <row r="6498" spans="3:6">
      <c r="C6498" s="12"/>
      <c r="D6498" s="12"/>
      <c r="E6498" t="b">
        <f t="shared" si="101"/>
        <v>1</v>
      </c>
      <c r="F6498" s="12">
        <v>0</v>
      </c>
    </row>
    <row r="6499" spans="3:6">
      <c r="C6499" s="12"/>
      <c r="D6499" s="12"/>
      <c r="E6499" t="b">
        <f t="shared" si="101"/>
        <v>1</v>
      </c>
      <c r="F6499" s="12">
        <v>0</v>
      </c>
    </row>
    <row r="6500" spans="3:6">
      <c r="C6500" s="12"/>
      <c r="D6500" s="12"/>
      <c r="E6500" t="b">
        <f t="shared" si="101"/>
        <v>1</v>
      </c>
      <c r="F6500" s="12">
        <v>0</v>
      </c>
    </row>
    <row r="6501" spans="3:6">
      <c r="C6501" s="12"/>
      <c r="D6501" s="12"/>
      <c r="E6501" t="b">
        <f t="shared" si="101"/>
        <v>1</v>
      </c>
      <c r="F6501" s="12">
        <v>0</v>
      </c>
    </row>
    <row r="6502" spans="3:6">
      <c r="C6502" s="12"/>
      <c r="D6502" s="12"/>
      <c r="E6502" t="b">
        <f t="shared" si="101"/>
        <v>1</v>
      </c>
      <c r="F6502" s="12">
        <v>0</v>
      </c>
    </row>
    <row r="6503" spans="3:6">
      <c r="C6503" s="12"/>
      <c r="D6503" s="12"/>
      <c r="E6503" t="b">
        <f t="shared" si="101"/>
        <v>1</v>
      </c>
      <c r="F6503" s="12">
        <v>0</v>
      </c>
    </row>
    <row r="6504" spans="3:6">
      <c r="C6504" s="12"/>
      <c r="D6504" s="12"/>
      <c r="E6504" t="b">
        <f t="shared" si="101"/>
        <v>1</v>
      </c>
      <c r="F6504" s="12">
        <v>0</v>
      </c>
    </row>
    <row r="6505" spans="3:6">
      <c r="C6505" s="12"/>
      <c r="D6505" s="12"/>
      <c r="E6505" t="b">
        <f t="shared" si="101"/>
        <v>1</v>
      </c>
      <c r="F6505" s="12">
        <v>0</v>
      </c>
    </row>
    <row r="6506" spans="3:6">
      <c r="C6506" s="12"/>
      <c r="D6506" s="12"/>
      <c r="E6506" t="b">
        <f t="shared" si="101"/>
        <v>1</v>
      </c>
      <c r="F6506" s="12">
        <v>0</v>
      </c>
    </row>
    <row r="6507" spans="3:6">
      <c r="C6507" s="12"/>
      <c r="D6507" s="12"/>
      <c r="E6507" t="b">
        <f t="shared" si="101"/>
        <v>1</v>
      </c>
      <c r="F6507" s="12">
        <v>0</v>
      </c>
    </row>
    <row r="6508" spans="3:6">
      <c r="C6508" s="12"/>
      <c r="D6508" s="12"/>
      <c r="E6508" t="b">
        <f t="shared" si="101"/>
        <v>1</v>
      </c>
      <c r="F6508" s="12">
        <v>0</v>
      </c>
    </row>
    <row r="6509" spans="3:6">
      <c r="C6509" s="12"/>
      <c r="D6509" s="12"/>
      <c r="E6509" t="b">
        <f t="shared" si="101"/>
        <v>1</v>
      </c>
      <c r="F6509" s="12">
        <v>0</v>
      </c>
    </row>
    <row r="6510" spans="3:6">
      <c r="C6510" s="12"/>
      <c r="D6510" s="12"/>
      <c r="E6510" t="b">
        <f t="shared" si="101"/>
        <v>1</v>
      </c>
      <c r="F6510" s="12">
        <v>0</v>
      </c>
    </row>
    <row r="6511" spans="3:6">
      <c r="C6511" s="12"/>
      <c r="D6511" s="12"/>
      <c r="E6511" t="b">
        <f t="shared" si="101"/>
        <v>1</v>
      </c>
      <c r="F6511" s="12">
        <v>0</v>
      </c>
    </row>
    <row r="6512" spans="3:6">
      <c r="C6512" s="12"/>
      <c r="D6512" s="12"/>
      <c r="E6512" t="b">
        <f t="shared" si="101"/>
        <v>1</v>
      </c>
      <c r="F6512" s="12">
        <v>0</v>
      </c>
    </row>
    <row r="6513" spans="3:6">
      <c r="C6513" s="12"/>
      <c r="D6513" s="12"/>
      <c r="E6513" t="b">
        <f t="shared" si="101"/>
        <v>1</v>
      </c>
      <c r="F6513" s="12">
        <v>0</v>
      </c>
    </row>
    <row r="6514" spans="3:6">
      <c r="C6514" s="12"/>
      <c r="D6514" s="12"/>
      <c r="E6514" t="b">
        <f t="shared" si="101"/>
        <v>1</v>
      </c>
      <c r="F6514" s="12">
        <v>0</v>
      </c>
    </row>
    <row r="6515" spans="3:6">
      <c r="C6515" s="12"/>
      <c r="D6515" s="12"/>
      <c r="E6515" t="b">
        <f t="shared" si="101"/>
        <v>1</v>
      </c>
      <c r="F6515" s="12">
        <v>0</v>
      </c>
    </row>
    <row r="6516" spans="3:6">
      <c r="C6516" s="12"/>
      <c r="D6516" s="12"/>
      <c r="E6516" t="b">
        <f t="shared" si="101"/>
        <v>1</v>
      </c>
      <c r="F6516" s="12">
        <v>0</v>
      </c>
    </row>
    <row r="6517" spans="3:6">
      <c r="C6517" s="12"/>
      <c r="D6517" s="12"/>
      <c r="E6517" t="b">
        <f t="shared" si="101"/>
        <v>1</v>
      </c>
      <c r="F6517" s="12">
        <v>0</v>
      </c>
    </row>
    <row r="6518" spans="3:6">
      <c r="C6518" s="12"/>
      <c r="D6518" s="12"/>
      <c r="E6518" t="b">
        <f t="shared" si="101"/>
        <v>1</v>
      </c>
      <c r="F6518" s="12">
        <v>0</v>
      </c>
    </row>
    <row r="6519" spans="3:6">
      <c r="C6519" s="12"/>
      <c r="D6519" s="12"/>
      <c r="E6519" t="b">
        <f t="shared" si="101"/>
        <v>1</v>
      </c>
      <c r="F6519" s="12">
        <v>0</v>
      </c>
    </row>
    <row r="6520" spans="3:6">
      <c r="C6520" s="12"/>
      <c r="D6520" s="12"/>
      <c r="E6520" t="b">
        <f t="shared" si="101"/>
        <v>1</v>
      </c>
      <c r="F6520" s="12">
        <v>0</v>
      </c>
    </row>
    <row r="6521" spans="3:6">
      <c r="C6521" s="12"/>
      <c r="D6521" s="12"/>
      <c r="E6521" t="b">
        <f t="shared" si="101"/>
        <v>1</v>
      </c>
      <c r="F6521" s="12">
        <v>0</v>
      </c>
    </row>
    <row r="6522" spans="3:6">
      <c r="C6522" s="12"/>
      <c r="D6522" s="12"/>
      <c r="E6522" t="b">
        <f t="shared" si="101"/>
        <v>1</v>
      </c>
      <c r="F6522" s="12">
        <v>0</v>
      </c>
    </row>
    <row r="6523" spans="3:6">
      <c r="C6523" s="12"/>
      <c r="D6523" s="12"/>
      <c r="E6523" t="b">
        <f t="shared" si="101"/>
        <v>1</v>
      </c>
      <c r="F6523" s="12">
        <v>0</v>
      </c>
    </row>
    <row r="6524" spans="3:6">
      <c r="C6524" s="12"/>
      <c r="D6524" s="12"/>
      <c r="E6524" t="b">
        <f t="shared" si="101"/>
        <v>1</v>
      </c>
      <c r="F6524" s="12">
        <v>0</v>
      </c>
    </row>
    <row r="6525" spans="3:6">
      <c r="C6525" s="12"/>
      <c r="D6525" s="12"/>
      <c r="E6525" t="b">
        <f t="shared" si="101"/>
        <v>1</v>
      </c>
      <c r="F6525" s="12">
        <v>0</v>
      </c>
    </row>
    <row r="6526" spans="3:6">
      <c r="C6526" s="12"/>
      <c r="D6526" s="12"/>
      <c r="E6526" t="b">
        <f t="shared" si="101"/>
        <v>1</v>
      </c>
      <c r="F6526" s="12">
        <v>0</v>
      </c>
    </row>
    <row r="6527" spans="3:6">
      <c r="C6527" s="12"/>
      <c r="D6527" s="12"/>
      <c r="E6527" t="b">
        <f t="shared" si="101"/>
        <v>1</v>
      </c>
      <c r="F6527" s="12">
        <v>0</v>
      </c>
    </row>
    <row r="6528" spans="3:6">
      <c r="C6528" s="12"/>
      <c r="D6528" s="12"/>
      <c r="E6528" t="b">
        <f t="shared" si="101"/>
        <v>1</v>
      </c>
      <c r="F6528" s="12">
        <v>0</v>
      </c>
    </row>
    <row r="6529" spans="3:6">
      <c r="C6529" s="12"/>
      <c r="D6529" s="12"/>
      <c r="E6529" t="b">
        <f t="shared" si="101"/>
        <v>1</v>
      </c>
      <c r="F6529" s="12">
        <v>0</v>
      </c>
    </row>
    <row r="6530" spans="3:6">
      <c r="C6530" s="12"/>
      <c r="D6530" s="12"/>
      <c r="E6530" t="b">
        <f t="shared" si="101"/>
        <v>1</v>
      </c>
      <c r="F6530" s="12">
        <v>0</v>
      </c>
    </row>
    <row r="6531" spans="3:6">
      <c r="C6531" s="12"/>
      <c r="D6531" s="12"/>
      <c r="E6531" t="b">
        <f t="shared" ref="E6531:E6594" si="102">F6531=C6531</f>
        <v>1</v>
      </c>
      <c r="F6531" s="12">
        <v>0</v>
      </c>
    </row>
    <row r="6532" spans="3:6">
      <c r="C6532" s="12"/>
      <c r="D6532" s="12"/>
      <c r="E6532" t="b">
        <f t="shared" si="102"/>
        <v>1</v>
      </c>
      <c r="F6532" s="12">
        <v>0</v>
      </c>
    </row>
    <row r="6533" spans="3:6">
      <c r="C6533" s="12"/>
      <c r="D6533" s="12"/>
      <c r="E6533" t="b">
        <f t="shared" si="102"/>
        <v>1</v>
      </c>
      <c r="F6533" s="12">
        <v>0</v>
      </c>
    </row>
    <row r="6534" spans="3:6">
      <c r="C6534" s="12"/>
      <c r="D6534" s="12"/>
      <c r="E6534" t="b">
        <f t="shared" si="102"/>
        <v>1</v>
      </c>
      <c r="F6534" s="12">
        <v>0</v>
      </c>
    </row>
    <row r="6535" spans="3:6">
      <c r="C6535" s="12"/>
      <c r="D6535" s="12"/>
      <c r="E6535" t="b">
        <f t="shared" si="102"/>
        <v>1</v>
      </c>
      <c r="F6535" s="12">
        <v>0</v>
      </c>
    </row>
    <row r="6536" spans="3:6">
      <c r="C6536" s="12"/>
      <c r="D6536" s="12"/>
      <c r="E6536" t="b">
        <f t="shared" si="102"/>
        <v>1</v>
      </c>
      <c r="F6536" s="12">
        <v>0</v>
      </c>
    </row>
    <row r="6537" spans="3:6">
      <c r="C6537" s="12"/>
      <c r="D6537" s="12"/>
      <c r="E6537" t="b">
        <f t="shared" si="102"/>
        <v>1</v>
      </c>
      <c r="F6537" s="12">
        <v>0</v>
      </c>
    </row>
    <row r="6538" spans="3:6">
      <c r="C6538" s="12"/>
      <c r="D6538" s="12"/>
      <c r="E6538" t="b">
        <f t="shared" si="102"/>
        <v>1</v>
      </c>
      <c r="F6538" s="12">
        <v>0</v>
      </c>
    </row>
    <row r="6539" spans="3:6">
      <c r="C6539" s="12"/>
      <c r="D6539" s="12"/>
      <c r="E6539" t="b">
        <f t="shared" si="102"/>
        <v>1</v>
      </c>
      <c r="F6539" s="12">
        <v>0</v>
      </c>
    </row>
    <row r="6540" spans="3:6">
      <c r="C6540" s="12"/>
      <c r="D6540" s="12"/>
      <c r="E6540" t="b">
        <f t="shared" si="102"/>
        <v>1</v>
      </c>
      <c r="F6540" s="12">
        <v>0</v>
      </c>
    </row>
    <row r="6541" spans="3:6">
      <c r="C6541" s="12"/>
      <c r="D6541" s="12"/>
      <c r="E6541" t="b">
        <f t="shared" si="102"/>
        <v>1</v>
      </c>
      <c r="F6541" s="12">
        <v>0</v>
      </c>
    </row>
    <row r="6542" spans="3:6">
      <c r="C6542" s="12"/>
      <c r="D6542" s="12"/>
      <c r="E6542" t="b">
        <f t="shared" si="102"/>
        <v>1</v>
      </c>
      <c r="F6542" s="12">
        <v>0</v>
      </c>
    </row>
    <row r="6543" spans="3:6">
      <c r="C6543" s="12"/>
      <c r="D6543" s="12"/>
      <c r="E6543" t="b">
        <f t="shared" si="102"/>
        <v>1</v>
      </c>
      <c r="F6543" s="12">
        <v>0</v>
      </c>
    </row>
    <row r="6544" spans="3:6">
      <c r="C6544" s="12"/>
      <c r="D6544" s="12"/>
      <c r="E6544" t="b">
        <f t="shared" si="102"/>
        <v>1</v>
      </c>
      <c r="F6544" s="12">
        <v>0</v>
      </c>
    </row>
    <row r="6545" spans="3:6">
      <c r="C6545" s="12"/>
      <c r="D6545" s="12"/>
      <c r="E6545" t="b">
        <f t="shared" si="102"/>
        <v>1</v>
      </c>
      <c r="F6545" s="12">
        <v>0</v>
      </c>
    </row>
    <row r="6546" spans="3:6">
      <c r="C6546" s="12"/>
      <c r="D6546" s="12"/>
      <c r="E6546" t="b">
        <f t="shared" si="102"/>
        <v>1</v>
      </c>
      <c r="F6546" s="12">
        <v>0</v>
      </c>
    </row>
    <row r="6547" spans="3:6">
      <c r="C6547" s="12"/>
      <c r="D6547" s="12"/>
      <c r="E6547" t="b">
        <f t="shared" si="102"/>
        <v>1</v>
      </c>
      <c r="F6547" s="12">
        <v>0</v>
      </c>
    </row>
    <row r="6548" spans="3:6">
      <c r="C6548" s="12"/>
      <c r="D6548" s="12"/>
      <c r="E6548" t="b">
        <f t="shared" si="102"/>
        <v>1</v>
      </c>
      <c r="F6548" s="12">
        <v>0</v>
      </c>
    </row>
    <row r="6549" spans="3:6">
      <c r="C6549" s="12"/>
      <c r="D6549" s="12"/>
      <c r="E6549" t="b">
        <f t="shared" si="102"/>
        <v>1</v>
      </c>
      <c r="F6549" s="12">
        <v>0</v>
      </c>
    </row>
    <row r="6550" spans="3:6">
      <c r="C6550" s="12"/>
      <c r="D6550" s="12"/>
      <c r="E6550" t="b">
        <f t="shared" si="102"/>
        <v>1</v>
      </c>
      <c r="F6550" s="12">
        <v>0</v>
      </c>
    </row>
    <row r="6551" spans="3:6">
      <c r="C6551" s="12"/>
      <c r="D6551" s="12"/>
      <c r="E6551" t="b">
        <f t="shared" si="102"/>
        <v>1</v>
      </c>
      <c r="F6551" s="12">
        <v>0</v>
      </c>
    </row>
    <row r="6552" spans="3:6">
      <c r="C6552" s="12"/>
      <c r="D6552" s="12"/>
      <c r="E6552" t="b">
        <f t="shared" si="102"/>
        <v>1</v>
      </c>
      <c r="F6552" s="12">
        <v>0</v>
      </c>
    </row>
    <row r="6553" spans="3:6">
      <c r="C6553" s="12"/>
      <c r="D6553" s="12"/>
      <c r="E6553" t="b">
        <f t="shared" si="102"/>
        <v>1</v>
      </c>
      <c r="F6553" s="12">
        <v>0</v>
      </c>
    </row>
    <row r="6554" spans="3:6">
      <c r="C6554" s="12"/>
      <c r="D6554" s="12"/>
      <c r="E6554" t="b">
        <f t="shared" si="102"/>
        <v>1</v>
      </c>
      <c r="F6554" s="12">
        <v>0</v>
      </c>
    </row>
    <row r="6555" spans="3:6">
      <c r="C6555" s="12"/>
      <c r="D6555" s="12"/>
      <c r="E6555" t="b">
        <f t="shared" si="102"/>
        <v>1</v>
      </c>
      <c r="F6555" s="12">
        <v>0</v>
      </c>
    </row>
    <row r="6556" spans="3:6">
      <c r="C6556" s="12"/>
      <c r="D6556" s="12"/>
      <c r="E6556" t="b">
        <f t="shared" si="102"/>
        <v>1</v>
      </c>
      <c r="F6556" s="12">
        <v>0</v>
      </c>
    </row>
    <row r="6557" spans="3:6">
      <c r="C6557" s="12"/>
      <c r="D6557" s="12"/>
      <c r="E6557" t="b">
        <f t="shared" si="102"/>
        <v>1</v>
      </c>
      <c r="F6557" s="12">
        <v>0</v>
      </c>
    </row>
    <row r="6558" spans="3:6">
      <c r="C6558" s="12"/>
      <c r="D6558" s="12"/>
      <c r="E6558" t="b">
        <f t="shared" si="102"/>
        <v>1</v>
      </c>
      <c r="F6558" s="12">
        <v>0</v>
      </c>
    </row>
    <row r="6559" spans="3:6">
      <c r="C6559" s="12"/>
      <c r="D6559" s="12"/>
      <c r="E6559" t="b">
        <f t="shared" si="102"/>
        <v>1</v>
      </c>
      <c r="F6559" s="12">
        <v>0</v>
      </c>
    </row>
    <row r="6560" spans="3:6">
      <c r="C6560" s="12"/>
      <c r="D6560" s="12"/>
      <c r="E6560" t="b">
        <f t="shared" si="102"/>
        <v>1</v>
      </c>
      <c r="F6560" s="12">
        <v>0</v>
      </c>
    </row>
    <row r="6561" spans="3:6">
      <c r="C6561" s="12"/>
      <c r="D6561" s="12"/>
      <c r="E6561" t="b">
        <f t="shared" si="102"/>
        <v>1</v>
      </c>
      <c r="F6561" s="12">
        <v>0</v>
      </c>
    </row>
    <row r="6562" spans="3:6">
      <c r="C6562" s="12"/>
      <c r="D6562" s="12"/>
      <c r="E6562" t="b">
        <f t="shared" si="102"/>
        <v>1</v>
      </c>
      <c r="F6562" s="12">
        <v>0</v>
      </c>
    </row>
    <row r="6563" spans="3:6">
      <c r="C6563" s="12"/>
      <c r="D6563" s="12"/>
      <c r="E6563" t="b">
        <f t="shared" si="102"/>
        <v>1</v>
      </c>
      <c r="F6563" s="12">
        <v>0</v>
      </c>
    </row>
    <row r="6564" spans="3:6">
      <c r="C6564" s="12"/>
      <c r="D6564" s="12"/>
      <c r="E6564" t="b">
        <f t="shared" si="102"/>
        <v>1</v>
      </c>
      <c r="F6564" s="12">
        <v>0</v>
      </c>
    </row>
    <row r="6565" spans="3:6">
      <c r="C6565" s="12"/>
      <c r="D6565" s="12"/>
      <c r="E6565" t="b">
        <f t="shared" si="102"/>
        <v>1</v>
      </c>
      <c r="F6565" s="12">
        <v>0</v>
      </c>
    </row>
    <row r="6566" spans="3:6">
      <c r="C6566" s="12"/>
      <c r="D6566" s="12"/>
      <c r="E6566" t="b">
        <f t="shared" si="102"/>
        <v>1</v>
      </c>
      <c r="F6566" s="12">
        <v>0</v>
      </c>
    </row>
    <row r="6567" spans="3:6">
      <c r="C6567" s="12"/>
      <c r="D6567" s="12"/>
      <c r="E6567" t="b">
        <f t="shared" si="102"/>
        <v>1</v>
      </c>
      <c r="F6567" s="12">
        <v>0</v>
      </c>
    </row>
    <row r="6568" spans="3:6">
      <c r="C6568" s="12"/>
      <c r="D6568" s="12"/>
      <c r="E6568" t="b">
        <f t="shared" si="102"/>
        <v>1</v>
      </c>
      <c r="F6568" s="12">
        <v>0</v>
      </c>
    </row>
    <row r="6569" spans="3:6">
      <c r="C6569" s="12"/>
      <c r="D6569" s="12"/>
      <c r="E6569" t="b">
        <f t="shared" si="102"/>
        <v>1</v>
      </c>
      <c r="F6569" s="12">
        <v>0</v>
      </c>
    </row>
    <row r="6570" spans="3:6">
      <c r="C6570" s="12"/>
      <c r="D6570" s="12"/>
      <c r="E6570" t="b">
        <f t="shared" si="102"/>
        <v>1</v>
      </c>
      <c r="F6570" s="12">
        <v>0</v>
      </c>
    </row>
    <row r="6571" spans="3:6">
      <c r="C6571" s="12"/>
      <c r="D6571" s="12"/>
      <c r="E6571" t="b">
        <f t="shared" si="102"/>
        <v>1</v>
      </c>
      <c r="F6571" s="12">
        <v>0</v>
      </c>
    </row>
    <row r="6572" spans="3:6">
      <c r="C6572" s="12"/>
      <c r="D6572" s="12"/>
      <c r="E6572" t="b">
        <f t="shared" si="102"/>
        <v>1</v>
      </c>
      <c r="F6572" s="12">
        <v>0</v>
      </c>
    </row>
    <row r="6573" spans="3:6">
      <c r="C6573" s="12"/>
      <c r="D6573" s="12"/>
      <c r="E6573" t="b">
        <f t="shared" si="102"/>
        <v>1</v>
      </c>
      <c r="F6573" s="12">
        <v>0</v>
      </c>
    </row>
    <row r="6574" spans="3:6">
      <c r="C6574" s="12"/>
      <c r="D6574" s="12"/>
      <c r="E6574" t="b">
        <f t="shared" si="102"/>
        <v>1</v>
      </c>
      <c r="F6574" s="12">
        <v>0</v>
      </c>
    </row>
    <row r="6575" spans="3:6">
      <c r="C6575" s="12"/>
      <c r="D6575" s="12"/>
      <c r="E6575" t="b">
        <f t="shared" si="102"/>
        <v>1</v>
      </c>
      <c r="F6575" s="12">
        <v>0</v>
      </c>
    </row>
    <row r="6576" spans="3:6">
      <c r="C6576" s="12"/>
      <c r="D6576" s="12"/>
      <c r="E6576" t="b">
        <f t="shared" si="102"/>
        <v>1</v>
      </c>
      <c r="F6576" s="12">
        <v>0</v>
      </c>
    </row>
    <row r="6577" spans="3:6">
      <c r="C6577" s="12"/>
      <c r="D6577" s="12"/>
      <c r="E6577" t="b">
        <f t="shared" si="102"/>
        <v>1</v>
      </c>
      <c r="F6577" s="12">
        <v>0</v>
      </c>
    </row>
    <row r="6578" spans="3:6">
      <c r="C6578" s="12"/>
      <c r="D6578" s="12"/>
      <c r="E6578" t="b">
        <f t="shared" si="102"/>
        <v>1</v>
      </c>
      <c r="F6578" s="12">
        <v>0</v>
      </c>
    </row>
    <row r="6579" spans="3:6">
      <c r="C6579" s="12"/>
      <c r="D6579" s="12"/>
      <c r="E6579" t="b">
        <f t="shared" si="102"/>
        <v>1</v>
      </c>
      <c r="F6579" s="12">
        <v>0</v>
      </c>
    </row>
    <row r="6580" spans="3:6">
      <c r="C6580" s="12"/>
      <c r="D6580" s="12"/>
      <c r="E6580" t="b">
        <f t="shared" si="102"/>
        <v>1</v>
      </c>
      <c r="F6580" s="12">
        <v>0</v>
      </c>
    </row>
    <row r="6581" spans="3:6">
      <c r="C6581" s="12"/>
      <c r="D6581" s="12"/>
      <c r="E6581" t="b">
        <f t="shared" si="102"/>
        <v>1</v>
      </c>
      <c r="F6581" s="12">
        <v>0</v>
      </c>
    </row>
    <row r="6582" spans="3:6">
      <c r="C6582" s="12"/>
      <c r="D6582" s="12"/>
      <c r="E6582" t="b">
        <f t="shared" si="102"/>
        <v>1</v>
      </c>
      <c r="F6582" s="12">
        <v>0</v>
      </c>
    </row>
    <row r="6583" spans="3:6">
      <c r="C6583" s="12"/>
      <c r="D6583" s="12"/>
      <c r="E6583" t="b">
        <f t="shared" si="102"/>
        <v>1</v>
      </c>
      <c r="F6583" s="12">
        <v>0</v>
      </c>
    </row>
    <row r="6584" spans="3:6">
      <c r="C6584" s="12"/>
      <c r="D6584" s="12"/>
      <c r="E6584" t="b">
        <f t="shared" si="102"/>
        <v>1</v>
      </c>
      <c r="F6584" s="12">
        <v>0</v>
      </c>
    </row>
    <row r="6585" spans="3:6">
      <c r="C6585" s="12"/>
      <c r="D6585" s="12"/>
      <c r="E6585" t="b">
        <f t="shared" si="102"/>
        <v>1</v>
      </c>
      <c r="F6585" s="12">
        <v>0</v>
      </c>
    </row>
    <row r="6586" spans="3:6">
      <c r="C6586" s="12"/>
      <c r="D6586" s="12"/>
      <c r="E6586" t="b">
        <f t="shared" si="102"/>
        <v>1</v>
      </c>
      <c r="F6586" s="12">
        <v>0</v>
      </c>
    </row>
    <row r="6587" spans="3:6">
      <c r="C6587" s="12"/>
      <c r="D6587" s="12"/>
      <c r="E6587" t="b">
        <f t="shared" si="102"/>
        <v>1</v>
      </c>
      <c r="F6587" s="12">
        <v>0</v>
      </c>
    </row>
    <row r="6588" spans="3:6">
      <c r="C6588" s="12"/>
      <c r="D6588" s="12"/>
      <c r="E6588" t="b">
        <f t="shared" si="102"/>
        <v>1</v>
      </c>
      <c r="F6588" s="12">
        <v>0</v>
      </c>
    </row>
    <row r="6589" spans="3:6">
      <c r="C6589" s="12"/>
      <c r="D6589" s="12"/>
      <c r="E6589" t="b">
        <f t="shared" si="102"/>
        <v>1</v>
      </c>
      <c r="F6589" s="12">
        <v>0</v>
      </c>
    </row>
    <row r="6590" spans="3:6">
      <c r="C6590" s="12"/>
      <c r="D6590" s="12"/>
      <c r="E6590" t="b">
        <f t="shared" si="102"/>
        <v>1</v>
      </c>
      <c r="F6590" s="12">
        <v>0</v>
      </c>
    </row>
    <row r="6591" spans="3:6">
      <c r="C6591" s="12"/>
      <c r="D6591" s="12"/>
      <c r="E6591" t="b">
        <f t="shared" si="102"/>
        <v>1</v>
      </c>
      <c r="F6591" s="12">
        <v>0</v>
      </c>
    </row>
    <row r="6592" spans="3:6">
      <c r="C6592" s="12"/>
      <c r="D6592" s="12"/>
      <c r="E6592" t="b">
        <f t="shared" si="102"/>
        <v>1</v>
      </c>
      <c r="F6592" s="12">
        <v>0</v>
      </c>
    </row>
    <row r="6593" spans="3:6">
      <c r="C6593" s="12"/>
      <c r="D6593" s="12"/>
      <c r="E6593" t="b">
        <f t="shared" si="102"/>
        <v>1</v>
      </c>
      <c r="F6593" s="12">
        <v>0</v>
      </c>
    </row>
    <row r="6594" spans="3:6">
      <c r="C6594" s="12"/>
      <c r="D6594" s="12"/>
      <c r="E6594" t="b">
        <f t="shared" si="102"/>
        <v>1</v>
      </c>
      <c r="F6594" s="12">
        <v>0</v>
      </c>
    </row>
    <row r="6595" spans="3:6">
      <c r="C6595" s="12"/>
      <c r="D6595" s="12"/>
      <c r="E6595" t="b">
        <f t="shared" ref="E6595:E6658" si="103">F6595=C6595</f>
        <v>1</v>
      </c>
      <c r="F6595" s="12">
        <v>0</v>
      </c>
    </row>
    <row r="6596" spans="3:6">
      <c r="C6596" s="12"/>
      <c r="D6596" s="12"/>
      <c r="E6596" t="b">
        <f t="shared" si="103"/>
        <v>1</v>
      </c>
      <c r="F6596" s="12">
        <v>0</v>
      </c>
    </row>
    <row r="6597" spans="3:6">
      <c r="C6597" s="12"/>
      <c r="D6597" s="12"/>
      <c r="E6597" t="b">
        <f t="shared" si="103"/>
        <v>1</v>
      </c>
      <c r="F6597" s="12">
        <v>0</v>
      </c>
    </row>
    <row r="6598" spans="3:6">
      <c r="C6598" s="12"/>
      <c r="D6598" s="12"/>
      <c r="E6598" t="b">
        <f t="shared" si="103"/>
        <v>1</v>
      </c>
      <c r="F6598" s="12">
        <v>0</v>
      </c>
    </row>
    <row r="6599" spans="3:6">
      <c r="C6599" s="12"/>
      <c r="D6599" s="12"/>
      <c r="E6599" t="b">
        <f t="shared" si="103"/>
        <v>1</v>
      </c>
      <c r="F6599" s="12">
        <v>0</v>
      </c>
    </row>
    <row r="6600" spans="3:6">
      <c r="C6600" s="12"/>
      <c r="D6600" s="12"/>
      <c r="E6600" t="b">
        <f t="shared" si="103"/>
        <v>1</v>
      </c>
      <c r="F6600" s="12">
        <v>0</v>
      </c>
    </row>
    <row r="6601" spans="3:6">
      <c r="C6601" s="12"/>
      <c r="D6601" s="12"/>
      <c r="E6601" t="b">
        <f t="shared" si="103"/>
        <v>1</v>
      </c>
      <c r="F6601" s="12">
        <v>0</v>
      </c>
    </row>
    <row r="6602" spans="3:6">
      <c r="C6602" s="12"/>
      <c r="D6602" s="12"/>
      <c r="E6602" t="b">
        <f t="shared" si="103"/>
        <v>1</v>
      </c>
      <c r="F6602" s="12">
        <v>0</v>
      </c>
    </row>
    <row r="6603" spans="3:6">
      <c r="C6603" s="12"/>
      <c r="D6603" s="12"/>
      <c r="E6603" t="b">
        <f t="shared" si="103"/>
        <v>1</v>
      </c>
      <c r="F6603" s="12">
        <v>0</v>
      </c>
    </row>
    <row r="6604" spans="3:6">
      <c r="C6604" s="12"/>
      <c r="D6604" s="12"/>
      <c r="E6604" t="b">
        <f t="shared" si="103"/>
        <v>1</v>
      </c>
      <c r="F6604" s="12">
        <v>0</v>
      </c>
    </row>
    <row r="6605" spans="3:6">
      <c r="C6605" s="12"/>
      <c r="D6605" s="12"/>
      <c r="E6605" t="b">
        <f t="shared" si="103"/>
        <v>1</v>
      </c>
      <c r="F6605" s="12">
        <v>0</v>
      </c>
    </row>
    <row r="6606" spans="3:6">
      <c r="C6606" s="12"/>
      <c r="D6606" s="12"/>
      <c r="E6606" t="b">
        <f t="shared" si="103"/>
        <v>1</v>
      </c>
      <c r="F6606" s="12">
        <v>0</v>
      </c>
    </row>
    <row r="6607" spans="3:6">
      <c r="C6607" s="12"/>
      <c r="D6607" s="12"/>
      <c r="E6607" t="b">
        <f t="shared" si="103"/>
        <v>1</v>
      </c>
      <c r="F6607" s="12">
        <v>0</v>
      </c>
    </row>
    <row r="6608" spans="3:6">
      <c r="C6608" s="12"/>
      <c r="D6608" s="12"/>
      <c r="E6608" t="b">
        <f t="shared" si="103"/>
        <v>1</v>
      </c>
      <c r="F6608" s="12">
        <v>0</v>
      </c>
    </row>
    <row r="6609" spans="3:6">
      <c r="C6609" s="12"/>
      <c r="D6609" s="12"/>
      <c r="E6609" t="b">
        <f t="shared" si="103"/>
        <v>1</v>
      </c>
      <c r="F6609" s="12">
        <v>0</v>
      </c>
    </row>
    <row r="6610" spans="3:6">
      <c r="C6610" s="12"/>
      <c r="D6610" s="12"/>
      <c r="E6610" t="b">
        <f t="shared" si="103"/>
        <v>1</v>
      </c>
      <c r="F6610" s="12">
        <v>0</v>
      </c>
    </row>
    <row r="6611" spans="3:6">
      <c r="C6611" s="12"/>
      <c r="D6611" s="12"/>
      <c r="E6611" t="b">
        <f t="shared" si="103"/>
        <v>1</v>
      </c>
      <c r="F6611" s="12">
        <v>0</v>
      </c>
    </row>
    <row r="6612" spans="3:6">
      <c r="C6612" s="12"/>
      <c r="D6612" s="12"/>
      <c r="E6612" t="b">
        <f t="shared" si="103"/>
        <v>1</v>
      </c>
      <c r="F6612" s="12">
        <v>0</v>
      </c>
    </row>
    <row r="6613" spans="3:6">
      <c r="C6613" s="12"/>
      <c r="D6613" s="12"/>
      <c r="E6613" t="b">
        <f t="shared" si="103"/>
        <v>1</v>
      </c>
      <c r="F6613" s="12">
        <v>0</v>
      </c>
    </row>
    <row r="6614" spans="3:6">
      <c r="C6614" s="12"/>
      <c r="D6614" s="12"/>
      <c r="E6614" t="b">
        <f t="shared" si="103"/>
        <v>1</v>
      </c>
      <c r="F6614" s="12">
        <v>0</v>
      </c>
    </row>
    <row r="6615" spans="3:6">
      <c r="C6615" s="12"/>
      <c r="D6615" s="12"/>
      <c r="E6615" t="b">
        <f t="shared" si="103"/>
        <v>1</v>
      </c>
      <c r="F6615" s="12">
        <v>0</v>
      </c>
    </row>
    <row r="6616" spans="3:6">
      <c r="C6616" s="12"/>
      <c r="D6616" s="12"/>
      <c r="E6616" t="b">
        <f t="shared" si="103"/>
        <v>1</v>
      </c>
      <c r="F6616" s="12">
        <v>0</v>
      </c>
    </row>
    <row r="6617" spans="3:6">
      <c r="C6617" s="12"/>
      <c r="D6617" s="12"/>
      <c r="E6617" t="b">
        <f t="shared" si="103"/>
        <v>1</v>
      </c>
      <c r="F6617" s="12">
        <v>0</v>
      </c>
    </row>
    <row r="6618" spans="3:6">
      <c r="C6618" s="12"/>
      <c r="D6618" s="12"/>
      <c r="E6618" t="b">
        <f t="shared" si="103"/>
        <v>1</v>
      </c>
      <c r="F6618" s="12">
        <v>0</v>
      </c>
    </row>
    <row r="6619" spans="3:6">
      <c r="C6619" s="12"/>
      <c r="D6619" s="12"/>
      <c r="E6619" t="b">
        <f t="shared" si="103"/>
        <v>1</v>
      </c>
      <c r="F6619" s="12">
        <v>0</v>
      </c>
    </row>
    <row r="6620" spans="3:6">
      <c r="C6620" s="12"/>
      <c r="D6620" s="12"/>
      <c r="E6620" t="b">
        <f t="shared" si="103"/>
        <v>1</v>
      </c>
      <c r="F6620" s="12">
        <v>0</v>
      </c>
    </row>
    <row r="6621" spans="3:6">
      <c r="C6621" s="12"/>
      <c r="D6621" s="12"/>
      <c r="E6621" t="b">
        <f t="shared" si="103"/>
        <v>1</v>
      </c>
      <c r="F6621" s="12">
        <v>0</v>
      </c>
    </row>
    <row r="6622" spans="3:6">
      <c r="C6622" s="12"/>
      <c r="D6622" s="12"/>
      <c r="E6622" t="b">
        <f t="shared" si="103"/>
        <v>1</v>
      </c>
      <c r="F6622" s="12">
        <v>0</v>
      </c>
    </row>
    <row r="6623" spans="3:6">
      <c r="C6623" s="12"/>
      <c r="D6623" s="12"/>
      <c r="E6623" t="b">
        <f t="shared" si="103"/>
        <v>1</v>
      </c>
      <c r="F6623" s="12">
        <v>0</v>
      </c>
    </row>
    <row r="6624" spans="3:6">
      <c r="C6624" s="12"/>
      <c r="D6624" s="12"/>
      <c r="E6624" t="b">
        <f t="shared" si="103"/>
        <v>1</v>
      </c>
      <c r="F6624" s="12">
        <v>0</v>
      </c>
    </row>
    <row r="6625" spans="3:6">
      <c r="C6625" s="12"/>
      <c r="D6625" s="12"/>
      <c r="E6625" t="b">
        <f t="shared" si="103"/>
        <v>1</v>
      </c>
      <c r="F6625" s="12">
        <v>0</v>
      </c>
    </row>
    <row r="6626" spans="3:6">
      <c r="C6626" s="12"/>
      <c r="D6626" s="12"/>
      <c r="E6626" t="b">
        <f t="shared" si="103"/>
        <v>1</v>
      </c>
      <c r="F6626" s="12">
        <v>0</v>
      </c>
    </row>
    <row r="6627" spans="3:6">
      <c r="C6627" s="12"/>
      <c r="D6627" s="12"/>
      <c r="E6627" t="b">
        <f t="shared" si="103"/>
        <v>1</v>
      </c>
      <c r="F6627" s="12">
        <v>0</v>
      </c>
    </row>
    <row r="6628" spans="3:6">
      <c r="C6628" s="12"/>
      <c r="D6628" s="12"/>
      <c r="E6628" t="b">
        <f t="shared" si="103"/>
        <v>1</v>
      </c>
      <c r="F6628" s="12">
        <v>0</v>
      </c>
    </row>
    <row r="6629" spans="3:6">
      <c r="C6629" s="12"/>
      <c r="D6629" s="12"/>
      <c r="E6629" t="b">
        <f t="shared" si="103"/>
        <v>1</v>
      </c>
      <c r="F6629" s="12">
        <v>0</v>
      </c>
    </row>
    <row r="6630" spans="3:6">
      <c r="C6630" s="12"/>
      <c r="D6630" s="12"/>
      <c r="E6630" t="b">
        <f t="shared" si="103"/>
        <v>1</v>
      </c>
      <c r="F6630" s="12">
        <v>0</v>
      </c>
    </row>
    <row r="6631" spans="3:6">
      <c r="C6631" s="12"/>
      <c r="D6631" s="12"/>
      <c r="E6631" t="b">
        <f t="shared" si="103"/>
        <v>1</v>
      </c>
      <c r="F6631" s="12">
        <v>0</v>
      </c>
    </row>
    <row r="6632" spans="3:6">
      <c r="C6632" s="12"/>
      <c r="D6632" s="12"/>
      <c r="E6632" t="b">
        <f t="shared" si="103"/>
        <v>1</v>
      </c>
      <c r="F6632" s="12">
        <v>0</v>
      </c>
    </row>
    <row r="6633" spans="3:6">
      <c r="C6633" s="12"/>
      <c r="D6633" s="12"/>
      <c r="E6633" t="b">
        <f t="shared" si="103"/>
        <v>1</v>
      </c>
      <c r="F6633" s="12">
        <v>0</v>
      </c>
    </row>
    <row r="6634" spans="3:6">
      <c r="C6634" s="12"/>
      <c r="D6634" s="12"/>
      <c r="E6634" t="b">
        <f t="shared" si="103"/>
        <v>1</v>
      </c>
      <c r="F6634" s="12">
        <v>0</v>
      </c>
    </row>
    <row r="6635" spans="3:6">
      <c r="C6635" s="12"/>
      <c r="D6635" s="12"/>
      <c r="E6635" t="b">
        <f t="shared" si="103"/>
        <v>1</v>
      </c>
      <c r="F6635" s="12">
        <v>0</v>
      </c>
    </row>
    <row r="6636" spans="3:6">
      <c r="C6636" s="12"/>
      <c r="D6636" s="12"/>
      <c r="E6636" t="b">
        <f t="shared" si="103"/>
        <v>1</v>
      </c>
      <c r="F6636" s="12">
        <v>0</v>
      </c>
    </row>
    <row r="6637" spans="3:6">
      <c r="C6637" s="12"/>
      <c r="D6637" s="12"/>
      <c r="E6637" t="b">
        <f t="shared" si="103"/>
        <v>1</v>
      </c>
      <c r="F6637" s="12">
        <v>0</v>
      </c>
    </row>
    <row r="6638" spans="3:6">
      <c r="C6638" s="12"/>
      <c r="D6638" s="12"/>
      <c r="E6638" t="b">
        <f t="shared" si="103"/>
        <v>1</v>
      </c>
      <c r="F6638" s="12">
        <v>0</v>
      </c>
    </row>
    <row r="6639" spans="3:6">
      <c r="C6639" s="12"/>
      <c r="D6639" s="12"/>
      <c r="E6639" t="b">
        <f t="shared" si="103"/>
        <v>1</v>
      </c>
      <c r="F6639" s="12">
        <v>0</v>
      </c>
    </row>
    <row r="6640" spans="3:6">
      <c r="C6640" s="12"/>
      <c r="D6640" s="12"/>
      <c r="E6640" t="b">
        <f t="shared" si="103"/>
        <v>1</v>
      </c>
      <c r="F6640" s="12">
        <v>0</v>
      </c>
    </row>
    <row r="6641" spans="3:6">
      <c r="C6641" s="12"/>
      <c r="D6641" s="12"/>
      <c r="E6641" t="b">
        <f t="shared" si="103"/>
        <v>1</v>
      </c>
      <c r="F6641" s="12">
        <v>0</v>
      </c>
    </row>
    <row r="6642" spans="3:6">
      <c r="C6642" s="12"/>
      <c r="D6642" s="12"/>
      <c r="E6642" t="b">
        <f t="shared" si="103"/>
        <v>1</v>
      </c>
      <c r="F6642" s="12">
        <v>0</v>
      </c>
    </row>
    <row r="6643" spans="3:6">
      <c r="C6643" s="12"/>
      <c r="D6643" s="12"/>
      <c r="E6643" t="b">
        <f t="shared" si="103"/>
        <v>1</v>
      </c>
      <c r="F6643" s="12">
        <v>0</v>
      </c>
    </row>
    <row r="6644" spans="3:6">
      <c r="C6644" s="12"/>
      <c r="D6644" s="12"/>
      <c r="E6644" t="b">
        <f t="shared" si="103"/>
        <v>1</v>
      </c>
      <c r="F6644" s="12">
        <v>0</v>
      </c>
    </row>
    <row r="6645" spans="3:6">
      <c r="C6645" s="12"/>
      <c r="D6645" s="12"/>
      <c r="E6645" t="b">
        <f t="shared" si="103"/>
        <v>1</v>
      </c>
      <c r="F6645" s="12">
        <v>0</v>
      </c>
    </row>
    <row r="6646" spans="3:6">
      <c r="C6646" s="12"/>
      <c r="D6646" s="12"/>
      <c r="E6646" t="b">
        <f t="shared" si="103"/>
        <v>1</v>
      </c>
      <c r="F6646" s="12">
        <v>0</v>
      </c>
    </row>
    <row r="6647" spans="3:6">
      <c r="C6647" s="12"/>
      <c r="D6647" s="12"/>
      <c r="E6647" t="b">
        <f t="shared" si="103"/>
        <v>1</v>
      </c>
      <c r="F6647" s="12">
        <v>0</v>
      </c>
    </row>
    <row r="6648" spans="3:6">
      <c r="C6648" s="12"/>
      <c r="D6648" s="12"/>
      <c r="E6648" t="b">
        <f t="shared" si="103"/>
        <v>1</v>
      </c>
      <c r="F6648" s="12">
        <v>0</v>
      </c>
    </row>
    <row r="6649" spans="3:6">
      <c r="C6649" s="12"/>
      <c r="D6649" s="12"/>
      <c r="E6649" t="b">
        <f t="shared" si="103"/>
        <v>1</v>
      </c>
      <c r="F6649" s="12">
        <v>0</v>
      </c>
    </row>
    <row r="6650" spans="3:6">
      <c r="C6650" s="12"/>
      <c r="D6650" s="12"/>
      <c r="E6650" t="b">
        <f t="shared" si="103"/>
        <v>1</v>
      </c>
      <c r="F6650" s="12">
        <v>0</v>
      </c>
    </row>
    <row r="6651" spans="3:6">
      <c r="C6651" s="12"/>
      <c r="D6651" s="12"/>
      <c r="E6651" t="b">
        <f t="shared" si="103"/>
        <v>1</v>
      </c>
      <c r="F6651" s="12">
        <v>0</v>
      </c>
    </row>
    <row r="6652" spans="3:6">
      <c r="C6652" s="12"/>
      <c r="D6652" s="12"/>
      <c r="E6652" t="b">
        <f t="shared" si="103"/>
        <v>1</v>
      </c>
      <c r="F6652" s="12">
        <v>0</v>
      </c>
    </row>
    <row r="6653" spans="3:6">
      <c r="C6653" s="12"/>
      <c r="D6653" s="12"/>
      <c r="E6653" t="b">
        <f t="shared" si="103"/>
        <v>1</v>
      </c>
      <c r="F6653" s="12">
        <v>0</v>
      </c>
    </row>
    <row r="6654" spans="3:6">
      <c r="C6654" s="12"/>
      <c r="D6654" s="12"/>
      <c r="E6654" t="b">
        <f t="shared" si="103"/>
        <v>1</v>
      </c>
      <c r="F6654" s="12">
        <v>0</v>
      </c>
    </row>
    <row r="6655" spans="3:6">
      <c r="C6655" s="12"/>
      <c r="D6655" s="12"/>
      <c r="E6655" t="b">
        <f t="shared" si="103"/>
        <v>1</v>
      </c>
      <c r="F6655" s="12">
        <v>0</v>
      </c>
    </row>
    <row r="6656" spans="3:6">
      <c r="C6656" s="12"/>
      <c r="D6656" s="12"/>
      <c r="E6656" t="b">
        <f t="shared" si="103"/>
        <v>1</v>
      </c>
      <c r="F6656" s="12">
        <v>0</v>
      </c>
    </row>
    <row r="6657" spans="3:6">
      <c r="C6657" s="12"/>
      <c r="D6657" s="12"/>
      <c r="E6657" t="b">
        <f t="shared" si="103"/>
        <v>1</v>
      </c>
      <c r="F6657" s="12">
        <v>0</v>
      </c>
    </row>
    <row r="6658" spans="3:6">
      <c r="C6658" s="12"/>
      <c r="D6658" s="12"/>
      <c r="E6658" t="b">
        <f t="shared" si="103"/>
        <v>1</v>
      </c>
      <c r="F6658" s="12">
        <v>0</v>
      </c>
    </row>
    <row r="6659" spans="3:6">
      <c r="C6659" s="12"/>
      <c r="D6659" s="12"/>
      <c r="E6659" t="b">
        <f t="shared" ref="E6659:E6722" si="104">F6659=C6659</f>
        <v>1</v>
      </c>
      <c r="F6659" s="12">
        <v>0</v>
      </c>
    </row>
    <row r="6660" spans="3:6">
      <c r="C6660" s="12"/>
      <c r="D6660" s="12"/>
      <c r="E6660" t="b">
        <f t="shared" si="104"/>
        <v>1</v>
      </c>
      <c r="F6660" s="12">
        <v>0</v>
      </c>
    </row>
    <row r="6661" spans="3:6">
      <c r="C6661" s="12"/>
      <c r="D6661" s="12"/>
      <c r="E6661" t="b">
        <f t="shared" si="104"/>
        <v>1</v>
      </c>
      <c r="F6661" s="12">
        <v>0</v>
      </c>
    </row>
    <row r="6662" spans="3:6">
      <c r="C6662" s="12"/>
      <c r="D6662" s="12"/>
      <c r="E6662" t="b">
        <f t="shared" si="104"/>
        <v>1</v>
      </c>
      <c r="F6662" s="12">
        <v>0</v>
      </c>
    </row>
    <row r="6663" spans="3:6">
      <c r="C6663" s="12"/>
      <c r="D6663" s="12"/>
      <c r="E6663" t="b">
        <f t="shared" si="104"/>
        <v>1</v>
      </c>
      <c r="F6663" s="12">
        <v>0</v>
      </c>
    </row>
    <row r="6664" spans="3:6">
      <c r="C6664" s="12"/>
      <c r="D6664" s="12"/>
      <c r="E6664" t="b">
        <f t="shared" si="104"/>
        <v>1</v>
      </c>
      <c r="F6664" s="12">
        <v>0</v>
      </c>
    </row>
    <row r="6665" spans="3:6">
      <c r="C6665" s="12"/>
      <c r="D6665" s="12"/>
      <c r="E6665" t="b">
        <f t="shared" si="104"/>
        <v>1</v>
      </c>
      <c r="F6665" s="12">
        <v>0</v>
      </c>
    </row>
    <row r="6666" spans="3:6">
      <c r="C6666" s="12"/>
      <c r="D6666" s="12"/>
      <c r="E6666" t="b">
        <f t="shared" si="104"/>
        <v>1</v>
      </c>
      <c r="F6666" s="12">
        <v>0</v>
      </c>
    </row>
    <row r="6667" spans="3:6">
      <c r="C6667" s="12"/>
      <c r="D6667" s="12"/>
      <c r="E6667" t="b">
        <f t="shared" si="104"/>
        <v>1</v>
      </c>
      <c r="F6667" s="12">
        <v>0</v>
      </c>
    </row>
    <row r="6668" spans="3:6">
      <c r="C6668" s="12"/>
      <c r="D6668" s="12"/>
      <c r="E6668" t="b">
        <f t="shared" si="104"/>
        <v>1</v>
      </c>
      <c r="F6668" s="12">
        <v>0</v>
      </c>
    </row>
    <row r="6669" spans="3:6">
      <c r="C6669" s="12"/>
      <c r="D6669" s="12"/>
      <c r="E6669" t="b">
        <f t="shared" si="104"/>
        <v>1</v>
      </c>
      <c r="F6669" s="12">
        <v>0</v>
      </c>
    </row>
    <row r="6670" spans="3:6">
      <c r="C6670" s="12"/>
      <c r="D6670" s="12"/>
      <c r="E6670" t="b">
        <f t="shared" si="104"/>
        <v>1</v>
      </c>
      <c r="F6670" s="12">
        <v>0</v>
      </c>
    </row>
    <row r="6671" spans="3:6">
      <c r="C6671" s="12"/>
      <c r="D6671" s="12"/>
      <c r="E6671" t="b">
        <f t="shared" si="104"/>
        <v>1</v>
      </c>
      <c r="F6671" s="12">
        <v>0</v>
      </c>
    </row>
    <row r="6672" spans="3:6">
      <c r="C6672" s="12"/>
      <c r="D6672" s="12"/>
      <c r="E6672" t="b">
        <f t="shared" si="104"/>
        <v>1</v>
      </c>
      <c r="F6672" s="12">
        <v>0</v>
      </c>
    </row>
    <row r="6673" spans="3:6">
      <c r="C6673" s="12"/>
      <c r="D6673" s="12"/>
      <c r="E6673" t="b">
        <f t="shared" si="104"/>
        <v>1</v>
      </c>
      <c r="F6673" s="12">
        <v>0</v>
      </c>
    </row>
    <row r="6674" spans="3:6">
      <c r="C6674" s="12"/>
      <c r="D6674" s="12"/>
      <c r="E6674" t="b">
        <f t="shared" si="104"/>
        <v>1</v>
      </c>
      <c r="F6674" s="12">
        <v>0</v>
      </c>
    </row>
    <row r="6675" spans="3:6">
      <c r="C6675" s="12"/>
      <c r="D6675" s="12"/>
      <c r="E6675" t="b">
        <f t="shared" si="104"/>
        <v>1</v>
      </c>
      <c r="F6675" s="12">
        <v>0</v>
      </c>
    </row>
    <row r="6676" spans="3:6">
      <c r="C6676" s="12"/>
      <c r="D6676" s="12"/>
      <c r="E6676" t="b">
        <f t="shared" si="104"/>
        <v>1</v>
      </c>
      <c r="F6676" s="12">
        <v>0</v>
      </c>
    </row>
    <row r="6677" spans="3:6">
      <c r="C6677" s="12"/>
      <c r="D6677" s="12"/>
      <c r="E6677" t="b">
        <f t="shared" si="104"/>
        <v>1</v>
      </c>
      <c r="F6677" s="12">
        <v>0</v>
      </c>
    </row>
    <row r="6678" spans="3:6">
      <c r="C6678" s="12"/>
      <c r="D6678" s="12"/>
      <c r="E6678" t="b">
        <f t="shared" si="104"/>
        <v>1</v>
      </c>
      <c r="F6678" s="12">
        <v>0</v>
      </c>
    </row>
    <row r="6679" spans="3:6">
      <c r="C6679" s="12"/>
      <c r="D6679" s="12"/>
      <c r="E6679" t="b">
        <f t="shared" si="104"/>
        <v>1</v>
      </c>
      <c r="F6679" s="12">
        <v>0</v>
      </c>
    </row>
    <row r="6680" spans="3:6">
      <c r="C6680" s="12"/>
      <c r="D6680" s="12"/>
      <c r="E6680" t="b">
        <f t="shared" si="104"/>
        <v>1</v>
      </c>
      <c r="F6680" s="12">
        <v>0</v>
      </c>
    </row>
    <row r="6681" spans="3:6">
      <c r="C6681" s="12"/>
      <c r="D6681" s="12"/>
      <c r="E6681" t="b">
        <f t="shared" si="104"/>
        <v>1</v>
      </c>
      <c r="F6681" s="12">
        <v>0</v>
      </c>
    </row>
    <row r="6682" spans="3:6">
      <c r="C6682" s="12"/>
      <c r="D6682" s="12"/>
      <c r="E6682" t="b">
        <f t="shared" si="104"/>
        <v>1</v>
      </c>
      <c r="F6682" s="12">
        <v>0</v>
      </c>
    </row>
    <row r="6683" spans="3:6">
      <c r="C6683" s="12"/>
      <c r="D6683" s="12"/>
      <c r="E6683" t="b">
        <f t="shared" si="104"/>
        <v>1</v>
      </c>
      <c r="F6683" s="12">
        <v>0</v>
      </c>
    </row>
    <row r="6684" spans="3:6">
      <c r="C6684" s="12"/>
      <c r="D6684" s="12"/>
      <c r="E6684" t="b">
        <f t="shared" si="104"/>
        <v>1</v>
      </c>
      <c r="F6684" s="12">
        <v>0</v>
      </c>
    </row>
    <row r="6685" spans="3:6">
      <c r="C6685" s="12"/>
      <c r="D6685" s="12"/>
      <c r="E6685" t="b">
        <f t="shared" si="104"/>
        <v>1</v>
      </c>
      <c r="F6685" s="12">
        <v>0</v>
      </c>
    </row>
    <row r="6686" spans="3:6">
      <c r="C6686" s="12"/>
      <c r="D6686" s="12"/>
      <c r="E6686" t="b">
        <f t="shared" si="104"/>
        <v>1</v>
      </c>
      <c r="F6686" s="12">
        <v>0</v>
      </c>
    </row>
    <row r="6687" spans="3:6">
      <c r="C6687" s="12"/>
      <c r="D6687" s="12"/>
      <c r="E6687" t="b">
        <f t="shared" si="104"/>
        <v>1</v>
      </c>
      <c r="F6687" s="12">
        <v>0</v>
      </c>
    </row>
    <row r="6688" spans="3:6">
      <c r="C6688" s="12"/>
      <c r="D6688" s="12"/>
      <c r="E6688" t="b">
        <f t="shared" si="104"/>
        <v>1</v>
      </c>
      <c r="F6688" s="12">
        <v>0</v>
      </c>
    </row>
    <row r="6689" spans="3:6">
      <c r="C6689" s="12"/>
      <c r="D6689" s="12"/>
      <c r="E6689" t="b">
        <f t="shared" si="104"/>
        <v>1</v>
      </c>
      <c r="F6689" s="12">
        <v>0</v>
      </c>
    </row>
    <row r="6690" spans="3:6">
      <c r="C6690" s="12"/>
      <c r="D6690" s="12"/>
      <c r="E6690" t="b">
        <f t="shared" si="104"/>
        <v>1</v>
      </c>
      <c r="F6690" s="12">
        <v>0</v>
      </c>
    </row>
    <row r="6691" spans="3:6">
      <c r="C6691" s="12"/>
      <c r="D6691" s="12"/>
      <c r="E6691" t="b">
        <f t="shared" si="104"/>
        <v>1</v>
      </c>
      <c r="F6691" s="12">
        <v>0</v>
      </c>
    </row>
    <row r="6692" spans="3:6">
      <c r="C6692" s="12"/>
      <c r="D6692" s="12"/>
      <c r="E6692" t="b">
        <f t="shared" si="104"/>
        <v>1</v>
      </c>
      <c r="F6692" s="12">
        <v>0</v>
      </c>
    </row>
    <row r="6693" spans="3:6">
      <c r="C6693" s="12"/>
      <c r="D6693" s="12"/>
      <c r="E6693" t="b">
        <f t="shared" si="104"/>
        <v>1</v>
      </c>
      <c r="F6693" s="12">
        <v>0</v>
      </c>
    </row>
    <row r="6694" spans="3:6">
      <c r="C6694" s="12"/>
      <c r="D6694" s="12"/>
      <c r="E6694" t="b">
        <f t="shared" si="104"/>
        <v>1</v>
      </c>
      <c r="F6694" s="12">
        <v>0</v>
      </c>
    </row>
    <row r="6695" spans="3:6">
      <c r="C6695" s="12"/>
      <c r="D6695" s="12"/>
      <c r="E6695" t="b">
        <f t="shared" si="104"/>
        <v>1</v>
      </c>
      <c r="F6695" s="12">
        <v>0</v>
      </c>
    </row>
    <row r="6696" spans="3:6">
      <c r="C6696" s="12"/>
      <c r="D6696" s="12"/>
      <c r="E6696" t="b">
        <f t="shared" si="104"/>
        <v>1</v>
      </c>
      <c r="F6696" s="12">
        <v>0</v>
      </c>
    </row>
    <row r="6697" spans="3:6">
      <c r="C6697" s="12"/>
      <c r="D6697" s="12"/>
      <c r="E6697" t="b">
        <f t="shared" si="104"/>
        <v>1</v>
      </c>
      <c r="F6697" s="12">
        <v>0</v>
      </c>
    </row>
    <row r="6698" spans="3:6">
      <c r="C6698" s="12"/>
      <c r="D6698" s="12"/>
      <c r="E6698" t="b">
        <f t="shared" si="104"/>
        <v>1</v>
      </c>
      <c r="F6698" s="12">
        <v>0</v>
      </c>
    </row>
    <row r="6699" spans="3:6">
      <c r="C6699" s="12"/>
      <c r="D6699" s="12"/>
      <c r="E6699" t="b">
        <f t="shared" si="104"/>
        <v>1</v>
      </c>
      <c r="F6699" s="12">
        <v>0</v>
      </c>
    </row>
    <row r="6700" spans="3:6">
      <c r="C6700" s="12"/>
      <c r="D6700" s="12"/>
      <c r="E6700" t="b">
        <f t="shared" si="104"/>
        <v>1</v>
      </c>
      <c r="F6700" s="12">
        <v>0</v>
      </c>
    </row>
    <row r="6701" spans="3:6">
      <c r="C6701" s="12"/>
      <c r="D6701" s="12"/>
      <c r="E6701" t="b">
        <f t="shared" si="104"/>
        <v>1</v>
      </c>
      <c r="F6701" s="12">
        <v>0</v>
      </c>
    </row>
    <row r="6702" spans="3:6">
      <c r="C6702" s="12"/>
      <c r="D6702" s="12"/>
      <c r="E6702" t="b">
        <f t="shared" si="104"/>
        <v>1</v>
      </c>
      <c r="F6702" s="12">
        <v>0</v>
      </c>
    </row>
    <row r="6703" spans="3:6">
      <c r="C6703" s="12"/>
      <c r="D6703" s="12"/>
      <c r="E6703" t="b">
        <f t="shared" si="104"/>
        <v>1</v>
      </c>
      <c r="F6703" s="12">
        <v>0</v>
      </c>
    </row>
    <row r="6704" spans="3:6">
      <c r="C6704" s="12"/>
      <c r="D6704" s="12"/>
      <c r="E6704" t="b">
        <f t="shared" si="104"/>
        <v>1</v>
      </c>
      <c r="F6704" s="12">
        <v>0</v>
      </c>
    </row>
    <row r="6705" spans="3:6">
      <c r="C6705" s="12"/>
      <c r="D6705" s="12"/>
      <c r="E6705" t="b">
        <f t="shared" si="104"/>
        <v>1</v>
      </c>
      <c r="F6705" s="12">
        <v>0</v>
      </c>
    </row>
    <row r="6706" spans="3:6">
      <c r="C6706" s="12"/>
      <c r="D6706" s="12"/>
      <c r="E6706" t="b">
        <f t="shared" si="104"/>
        <v>1</v>
      </c>
      <c r="F6706" s="12">
        <v>0</v>
      </c>
    </row>
    <row r="6707" spans="3:6">
      <c r="C6707" s="12"/>
      <c r="D6707" s="12"/>
      <c r="E6707" t="b">
        <f t="shared" si="104"/>
        <v>1</v>
      </c>
      <c r="F6707" s="12">
        <v>0</v>
      </c>
    </row>
    <row r="6708" spans="3:6">
      <c r="C6708" s="12"/>
      <c r="D6708" s="12"/>
      <c r="E6708" t="b">
        <f t="shared" si="104"/>
        <v>1</v>
      </c>
      <c r="F6708" s="12">
        <v>0</v>
      </c>
    </row>
    <row r="6709" spans="3:6">
      <c r="C6709" s="12"/>
      <c r="D6709" s="12"/>
      <c r="E6709" t="b">
        <f t="shared" si="104"/>
        <v>1</v>
      </c>
      <c r="F6709" s="12">
        <v>0</v>
      </c>
    </row>
    <row r="6710" spans="3:6">
      <c r="C6710" s="12"/>
      <c r="D6710" s="12"/>
      <c r="E6710" t="b">
        <f t="shared" si="104"/>
        <v>1</v>
      </c>
      <c r="F6710" s="12">
        <v>0</v>
      </c>
    </row>
    <row r="6711" spans="3:6">
      <c r="C6711" s="12"/>
      <c r="D6711" s="12"/>
      <c r="E6711" t="b">
        <f t="shared" si="104"/>
        <v>1</v>
      </c>
      <c r="F6711" s="12">
        <v>0</v>
      </c>
    </row>
    <row r="6712" spans="3:6">
      <c r="C6712" s="12"/>
      <c r="D6712" s="12"/>
      <c r="E6712" t="b">
        <f t="shared" si="104"/>
        <v>1</v>
      </c>
      <c r="F6712" s="12">
        <v>0</v>
      </c>
    </row>
    <row r="6713" spans="3:6">
      <c r="C6713" s="12"/>
      <c r="D6713" s="12"/>
      <c r="E6713" t="b">
        <f t="shared" si="104"/>
        <v>1</v>
      </c>
      <c r="F6713" s="12">
        <v>0</v>
      </c>
    </row>
    <row r="6714" spans="3:6">
      <c r="C6714" s="12"/>
      <c r="D6714" s="12"/>
      <c r="E6714" t="b">
        <f t="shared" si="104"/>
        <v>1</v>
      </c>
      <c r="F6714" s="12">
        <v>0</v>
      </c>
    </row>
    <row r="6715" spans="3:6">
      <c r="C6715" s="12"/>
      <c r="D6715" s="12"/>
      <c r="E6715" t="b">
        <f t="shared" si="104"/>
        <v>1</v>
      </c>
      <c r="F6715" s="12">
        <v>0</v>
      </c>
    </row>
    <row r="6716" spans="3:6">
      <c r="C6716" s="12"/>
      <c r="D6716" s="12"/>
      <c r="E6716" t="b">
        <f t="shared" si="104"/>
        <v>1</v>
      </c>
      <c r="F6716" s="12">
        <v>0</v>
      </c>
    </row>
    <row r="6717" spans="3:6">
      <c r="C6717" s="12"/>
      <c r="D6717" s="12"/>
      <c r="E6717" t="b">
        <f t="shared" si="104"/>
        <v>1</v>
      </c>
      <c r="F6717" s="12">
        <v>0</v>
      </c>
    </row>
    <row r="6718" spans="3:6">
      <c r="C6718" s="12"/>
      <c r="D6718" s="12"/>
      <c r="E6718" t="b">
        <f t="shared" si="104"/>
        <v>1</v>
      </c>
      <c r="F6718" s="12">
        <v>0</v>
      </c>
    </row>
    <row r="6719" spans="3:6">
      <c r="C6719" s="12"/>
      <c r="D6719" s="12"/>
      <c r="E6719" t="b">
        <f t="shared" si="104"/>
        <v>1</v>
      </c>
      <c r="F6719" s="12">
        <v>0</v>
      </c>
    </row>
    <row r="6720" spans="3:6">
      <c r="C6720" s="12"/>
      <c r="D6720" s="12"/>
      <c r="E6720" t="b">
        <f t="shared" si="104"/>
        <v>1</v>
      </c>
      <c r="F6720" s="12">
        <v>0</v>
      </c>
    </row>
    <row r="6721" spans="3:6">
      <c r="C6721" s="12"/>
      <c r="D6721" s="12"/>
      <c r="E6721" t="b">
        <f t="shared" si="104"/>
        <v>1</v>
      </c>
      <c r="F6721" s="12">
        <v>0</v>
      </c>
    </row>
    <row r="6722" spans="3:6">
      <c r="C6722" s="12"/>
      <c r="D6722" s="12"/>
      <c r="E6722" t="b">
        <f t="shared" si="104"/>
        <v>1</v>
      </c>
      <c r="F6722" s="12">
        <v>0</v>
      </c>
    </row>
    <row r="6723" spans="3:6">
      <c r="C6723" s="12"/>
      <c r="D6723" s="12"/>
      <c r="E6723" t="b">
        <f t="shared" ref="E6723:E6786" si="105">F6723=C6723</f>
        <v>1</v>
      </c>
      <c r="F6723" s="12">
        <v>0</v>
      </c>
    </row>
    <row r="6724" spans="3:6">
      <c r="C6724" s="12"/>
      <c r="D6724" s="12"/>
      <c r="E6724" t="b">
        <f t="shared" si="105"/>
        <v>1</v>
      </c>
      <c r="F6724" s="12">
        <v>0</v>
      </c>
    </row>
    <row r="6725" spans="3:6">
      <c r="C6725" s="12"/>
      <c r="D6725" s="12"/>
      <c r="E6725" t="b">
        <f t="shared" si="105"/>
        <v>1</v>
      </c>
      <c r="F6725" s="12">
        <v>0</v>
      </c>
    </row>
    <row r="6726" spans="3:6">
      <c r="C6726" s="12"/>
      <c r="D6726" s="12"/>
      <c r="E6726" t="b">
        <f t="shared" si="105"/>
        <v>1</v>
      </c>
      <c r="F6726" s="12">
        <v>0</v>
      </c>
    </row>
    <row r="6727" spans="3:6">
      <c r="C6727" s="12"/>
      <c r="D6727" s="12"/>
      <c r="E6727" t="b">
        <f t="shared" si="105"/>
        <v>1</v>
      </c>
      <c r="F6727" s="12">
        <v>0</v>
      </c>
    </row>
    <row r="6728" spans="3:6">
      <c r="C6728" s="12"/>
      <c r="D6728" s="12"/>
      <c r="E6728" t="b">
        <f t="shared" si="105"/>
        <v>1</v>
      </c>
      <c r="F6728" s="12">
        <v>0</v>
      </c>
    </row>
    <row r="6729" spans="3:6">
      <c r="C6729" s="12"/>
      <c r="D6729" s="12"/>
      <c r="E6729" t="b">
        <f t="shared" si="105"/>
        <v>1</v>
      </c>
      <c r="F6729" s="12">
        <v>0</v>
      </c>
    </row>
    <row r="6730" spans="3:6">
      <c r="C6730" s="12"/>
      <c r="D6730" s="12"/>
      <c r="E6730" t="b">
        <f t="shared" si="105"/>
        <v>1</v>
      </c>
      <c r="F6730" s="12">
        <v>0</v>
      </c>
    </row>
    <row r="6731" spans="3:6">
      <c r="C6731" s="12"/>
      <c r="D6731" s="12"/>
      <c r="E6731" t="b">
        <f t="shared" si="105"/>
        <v>1</v>
      </c>
      <c r="F6731" s="12">
        <v>0</v>
      </c>
    </row>
    <row r="6732" spans="3:6">
      <c r="C6732" s="12"/>
      <c r="D6732" s="12"/>
      <c r="E6732" t="b">
        <f t="shared" si="105"/>
        <v>1</v>
      </c>
      <c r="F6732" s="12">
        <v>0</v>
      </c>
    </row>
    <row r="6733" spans="3:6">
      <c r="C6733" s="12"/>
      <c r="D6733" s="12"/>
      <c r="E6733" t="b">
        <f t="shared" si="105"/>
        <v>1</v>
      </c>
      <c r="F6733" s="12">
        <v>0</v>
      </c>
    </row>
    <row r="6734" spans="3:6">
      <c r="C6734" s="12"/>
      <c r="D6734" s="12"/>
      <c r="E6734" t="b">
        <f t="shared" si="105"/>
        <v>1</v>
      </c>
      <c r="F6734" s="12">
        <v>0</v>
      </c>
    </row>
    <row r="6735" spans="3:6">
      <c r="C6735" s="12"/>
      <c r="D6735" s="12"/>
      <c r="E6735" t="b">
        <f t="shared" si="105"/>
        <v>1</v>
      </c>
      <c r="F6735" s="12">
        <v>0</v>
      </c>
    </row>
    <row r="6736" spans="3:6">
      <c r="C6736" s="12"/>
      <c r="D6736" s="12"/>
      <c r="E6736" t="b">
        <f t="shared" si="105"/>
        <v>1</v>
      </c>
      <c r="F6736" s="12">
        <v>0</v>
      </c>
    </row>
    <row r="6737" spans="3:6">
      <c r="C6737" s="12"/>
      <c r="D6737" s="12"/>
      <c r="E6737" t="b">
        <f t="shared" si="105"/>
        <v>1</v>
      </c>
      <c r="F6737" s="12">
        <v>0</v>
      </c>
    </row>
    <row r="6738" spans="3:6">
      <c r="C6738" s="12"/>
      <c r="D6738" s="12"/>
      <c r="E6738" t="b">
        <f t="shared" si="105"/>
        <v>1</v>
      </c>
      <c r="F6738" s="12">
        <v>0</v>
      </c>
    </row>
    <row r="6739" spans="3:6">
      <c r="C6739" s="12"/>
      <c r="D6739" s="12"/>
      <c r="E6739" t="b">
        <f t="shared" si="105"/>
        <v>1</v>
      </c>
      <c r="F6739" s="12">
        <v>0</v>
      </c>
    </row>
    <row r="6740" spans="3:6">
      <c r="C6740" s="12"/>
      <c r="D6740" s="12"/>
      <c r="E6740" t="b">
        <f t="shared" si="105"/>
        <v>1</v>
      </c>
      <c r="F6740" s="12">
        <v>0</v>
      </c>
    </row>
    <row r="6741" spans="3:6">
      <c r="C6741" s="12"/>
      <c r="D6741" s="12"/>
      <c r="E6741" t="b">
        <f t="shared" si="105"/>
        <v>1</v>
      </c>
      <c r="F6741" s="12">
        <v>0</v>
      </c>
    </row>
    <row r="6742" spans="3:6">
      <c r="C6742" s="12"/>
      <c r="D6742" s="12"/>
      <c r="E6742" t="b">
        <f t="shared" si="105"/>
        <v>1</v>
      </c>
      <c r="F6742" s="12">
        <v>0</v>
      </c>
    </row>
    <row r="6743" spans="3:6">
      <c r="C6743" s="12"/>
      <c r="D6743" s="12"/>
      <c r="E6743" t="b">
        <f t="shared" si="105"/>
        <v>1</v>
      </c>
      <c r="F6743" s="12">
        <v>0</v>
      </c>
    </row>
    <row r="6744" spans="3:6">
      <c r="C6744" s="12"/>
      <c r="D6744" s="12"/>
      <c r="E6744" t="b">
        <f t="shared" si="105"/>
        <v>1</v>
      </c>
      <c r="F6744" s="12">
        <v>0</v>
      </c>
    </row>
    <row r="6745" spans="3:6">
      <c r="C6745" s="12"/>
      <c r="D6745" s="12"/>
      <c r="E6745" t="b">
        <f t="shared" si="105"/>
        <v>1</v>
      </c>
      <c r="F6745" s="12">
        <v>0</v>
      </c>
    </row>
    <row r="6746" spans="3:6">
      <c r="C6746" s="12"/>
      <c r="D6746" s="12"/>
      <c r="E6746" t="b">
        <f t="shared" si="105"/>
        <v>1</v>
      </c>
      <c r="F6746" s="12">
        <v>0</v>
      </c>
    </row>
    <row r="6747" spans="3:6">
      <c r="C6747" s="12"/>
      <c r="D6747" s="12"/>
      <c r="E6747" t="b">
        <f t="shared" si="105"/>
        <v>1</v>
      </c>
      <c r="F6747" s="12">
        <v>0</v>
      </c>
    </row>
    <row r="6748" spans="3:6">
      <c r="C6748" s="12"/>
      <c r="D6748" s="12"/>
      <c r="E6748" t="b">
        <f t="shared" si="105"/>
        <v>1</v>
      </c>
      <c r="F6748" s="12">
        <v>0</v>
      </c>
    </row>
    <row r="6749" spans="3:6">
      <c r="C6749" s="12"/>
      <c r="D6749" s="12"/>
      <c r="E6749" t="b">
        <f t="shared" si="105"/>
        <v>1</v>
      </c>
      <c r="F6749" s="12">
        <v>0</v>
      </c>
    </row>
    <row r="6750" spans="3:6">
      <c r="C6750" s="12"/>
      <c r="D6750" s="12"/>
      <c r="E6750" t="b">
        <f t="shared" si="105"/>
        <v>1</v>
      </c>
      <c r="F6750" s="12">
        <v>0</v>
      </c>
    </row>
    <row r="6751" spans="3:6">
      <c r="C6751" s="12"/>
      <c r="D6751" s="12"/>
      <c r="E6751" t="b">
        <f t="shared" si="105"/>
        <v>1</v>
      </c>
      <c r="F6751" s="12">
        <v>0</v>
      </c>
    </row>
    <row r="6752" spans="3:6">
      <c r="C6752" s="12"/>
      <c r="D6752" s="12"/>
      <c r="E6752" t="b">
        <f t="shared" si="105"/>
        <v>1</v>
      </c>
      <c r="F6752" s="12">
        <v>0</v>
      </c>
    </row>
    <row r="6753" spans="3:6">
      <c r="C6753" s="12"/>
      <c r="D6753" s="12"/>
      <c r="E6753" t="b">
        <f t="shared" si="105"/>
        <v>1</v>
      </c>
      <c r="F6753" s="12">
        <v>0</v>
      </c>
    </row>
    <row r="6754" spans="3:6">
      <c r="C6754" s="12"/>
      <c r="D6754" s="12"/>
      <c r="E6754" t="b">
        <f t="shared" si="105"/>
        <v>1</v>
      </c>
      <c r="F6754" s="12">
        <v>0</v>
      </c>
    </row>
    <row r="6755" spans="3:6">
      <c r="C6755" s="12"/>
      <c r="D6755" s="12"/>
      <c r="E6755" t="b">
        <f t="shared" si="105"/>
        <v>1</v>
      </c>
      <c r="F6755" s="12">
        <v>0</v>
      </c>
    </row>
    <row r="6756" spans="3:6">
      <c r="C6756" s="12"/>
      <c r="D6756" s="12"/>
      <c r="E6756" t="b">
        <f t="shared" si="105"/>
        <v>1</v>
      </c>
      <c r="F6756" s="12">
        <v>0</v>
      </c>
    </row>
    <row r="6757" spans="3:6">
      <c r="C6757" s="12"/>
      <c r="D6757" s="12"/>
      <c r="E6757" t="b">
        <f t="shared" si="105"/>
        <v>1</v>
      </c>
      <c r="F6757" s="12">
        <v>0</v>
      </c>
    </row>
    <row r="6758" spans="3:6">
      <c r="C6758" s="12"/>
      <c r="D6758" s="12"/>
      <c r="E6758" t="b">
        <f t="shared" si="105"/>
        <v>1</v>
      </c>
      <c r="F6758" s="12">
        <v>0</v>
      </c>
    </row>
    <row r="6759" spans="3:6">
      <c r="C6759" s="12"/>
      <c r="D6759" s="12"/>
      <c r="E6759" t="b">
        <f t="shared" si="105"/>
        <v>1</v>
      </c>
      <c r="F6759" s="12">
        <v>0</v>
      </c>
    </row>
    <row r="6760" spans="3:6">
      <c r="C6760" s="12"/>
      <c r="D6760" s="12"/>
      <c r="E6760" t="b">
        <f t="shared" si="105"/>
        <v>1</v>
      </c>
      <c r="F6760" s="12">
        <v>0</v>
      </c>
    </row>
    <row r="6761" spans="3:6">
      <c r="C6761" s="12"/>
      <c r="D6761" s="12"/>
      <c r="E6761" t="b">
        <f t="shared" si="105"/>
        <v>1</v>
      </c>
      <c r="F6761" s="12">
        <v>0</v>
      </c>
    </row>
    <row r="6762" spans="3:6">
      <c r="C6762" s="12"/>
      <c r="D6762" s="12"/>
      <c r="E6762" t="b">
        <f t="shared" si="105"/>
        <v>1</v>
      </c>
      <c r="F6762" s="12">
        <v>0</v>
      </c>
    </row>
    <row r="6763" spans="3:6">
      <c r="C6763" s="12"/>
      <c r="D6763" s="12"/>
      <c r="E6763" t="b">
        <f t="shared" si="105"/>
        <v>1</v>
      </c>
      <c r="F6763" s="12">
        <v>0</v>
      </c>
    </row>
    <row r="6764" spans="3:6">
      <c r="C6764" s="12"/>
      <c r="D6764" s="12"/>
      <c r="E6764" t="b">
        <f t="shared" si="105"/>
        <v>1</v>
      </c>
      <c r="F6764" s="12">
        <v>0</v>
      </c>
    </row>
    <row r="6765" spans="3:6">
      <c r="C6765" s="12"/>
      <c r="D6765" s="12"/>
      <c r="E6765" t="b">
        <f t="shared" si="105"/>
        <v>1</v>
      </c>
      <c r="F6765" s="12">
        <v>0</v>
      </c>
    </row>
    <row r="6766" spans="3:6">
      <c r="C6766" s="12"/>
      <c r="D6766" s="12"/>
      <c r="E6766" t="b">
        <f t="shared" si="105"/>
        <v>1</v>
      </c>
      <c r="F6766" s="12">
        <v>0</v>
      </c>
    </row>
    <row r="6767" spans="3:6">
      <c r="C6767" s="12"/>
      <c r="D6767" s="12"/>
      <c r="E6767" t="b">
        <f t="shared" si="105"/>
        <v>1</v>
      </c>
      <c r="F6767" s="12">
        <v>0</v>
      </c>
    </row>
    <row r="6768" spans="3:6">
      <c r="C6768" s="12"/>
      <c r="D6768" s="12"/>
      <c r="E6768" t="b">
        <f t="shared" si="105"/>
        <v>1</v>
      </c>
      <c r="F6768" s="12">
        <v>0</v>
      </c>
    </row>
    <row r="6769" spans="3:6">
      <c r="C6769" s="12"/>
      <c r="D6769" s="12"/>
      <c r="E6769" t="b">
        <f t="shared" si="105"/>
        <v>1</v>
      </c>
      <c r="F6769" s="12">
        <v>0</v>
      </c>
    </row>
    <row r="6770" spans="3:6">
      <c r="C6770" s="12"/>
      <c r="D6770" s="12"/>
      <c r="E6770" t="b">
        <f t="shared" si="105"/>
        <v>1</v>
      </c>
      <c r="F6770" s="12">
        <v>0</v>
      </c>
    </row>
    <row r="6771" spans="3:6">
      <c r="C6771" s="12"/>
      <c r="D6771" s="12"/>
      <c r="E6771" t="b">
        <f t="shared" si="105"/>
        <v>1</v>
      </c>
      <c r="F6771" s="12">
        <v>0</v>
      </c>
    </row>
    <row r="6772" spans="3:6">
      <c r="C6772" s="12"/>
      <c r="D6772" s="12"/>
      <c r="E6772" t="b">
        <f t="shared" si="105"/>
        <v>1</v>
      </c>
      <c r="F6772" s="12">
        <v>0</v>
      </c>
    </row>
    <row r="6773" spans="3:6">
      <c r="C6773" s="12"/>
      <c r="D6773" s="12"/>
      <c r="E6773" t="b">
        <f t="shared" si="105"/>
        <v>1</v>
      </c>
      <c r="F6773" s="12">
        <v>0</v>
      </c>
    </row>
    <row r="6774" spans="3:6">
      <c r="C6774" s="12"/>
      <c r="D6774" s="12"/>
      <c r="E6774" t="b">
        <f t="shared" si="105"/>
        <v>1</v>
      </c>
      <c r="F6774" s="12">
        <v>0</v>
      </c>
    </row>
    <row r="6775" spans="3:6">
      <c r="C6775" s="12"/>
      <c r="D6775" s="12"/>
      <c r="E6775" t="b">
        <f t="shared" si="105"/>
        <v>1</v>
      </c>
      <c r="F6775" s="12">
        <v>0</v>
      </c>
    </row>
    <row r="6776" spans="3:6">
      <c r="C6776" s="12"/>
      <c r="D6776" s="12"/>
      <c r="E6776" t="b">
        <f t="shared" si="105"/>
        <v>1</v>
      </c>
      <c r="F6776" s="12">
        <v>0</v>
      </c>
    </row>
    <row r="6777" spans="3:6">
      <c r="C6777" s="12"/>
      <c r="D6777" s="12"/>
      <c r="E6777" t="b">
        <f t="shared" si="105"/>
        <v>1</v>
      </c>
      <c r="F6777" s="12">
        <v>0</v>
      </c>
    </row>
    <row r="6778" spans="3:6">
      <c r="C6778" s="12"/>
      <c r="D6778" s="12"/>
      <c r="E6778" t="b">
        <f t="shared" si="105"/>
        <v>1</v>
      </c>
      <c r="F6778" s="12">
        <v>0</v>
      </c>
    </row>
    <row r="6779" spans="3:6">
      <c r="C6779" s="12"/>
      <c r="D6779" s="12"/>
      <c r="E6779" t="b">
        <f t="shared" si="105"/>
        <v>1</v>
      </c>
      <c r="F6779" s="12">
        <v>0</v>
      </c>
    </row>
    <row r="6780" spans="3:6">
      <c r="C6780" s="12"/>
      <c r="D6780" s="12"/>
      <c r="E6780" t="b">
        <f t="shared" si="105"/>
        <v>1</v>
      </c>
      <c r="F6780" s="12">
        <v>0</v>
      </c>
    </row>
    <row r="6781" spans="3:6">
      <c r="C6781" s="12"/>
      <c r="D6781" s="12"/>
      <c r="E6781" t="b">
        <f t="shared" si="105"/>
        <v>1</v>
      </c>
      <c r="F6781" s="12">
        <v>0</v>
      </c>
    </row>
    <row r="6782" spans="3:6">
      <c r="C6782" s="12"/>
      <c r="D6782" s="12"/>
      <c r="E6782" t="b">
        <f t="shared" si="105"/>
        <v>1</v>
      </c>
      <c r="F6782" s="12">
        <v>0</v>
      </c>
    </row>
    <row r="6783" spans="3:6">
      <c r="C6783" s="12"/>
      <c r="D6783" s="12"/>
      <c r="E6783" t="b">
        <f t="shared" si="105"/>
        <v>1</v>
      </c>
      <c r="F6783" s="12">
        <v>0</v>
      </c>
    </row>
    <row r="6784" spans="3:6">
      <c r="C6784" s="12"/>
      <c r="D6784" s="12"/>
      <c r="E6784" t="b">
        <f t="shared" si="105"/>
        <v>1</v>
      </c>
      <c r="F6784" s="12">
        <v>0</v>
      </c>
    </row>
    <row r="6785" spans="3:6">
      <c r="C6785" s="12"/>
      <c r="D6785" s="12"/>
      <c r="E6785" t="b">
        <f t="shared" si="105"/>
        <v>1</v>
      </c>
      <c r="F6785" s="12">
        <v>0</v>
      </c>
    </row>
    <row r="6786" spans="3:6">
      <c r="C6786" s="12"/>
      <c r="D6786" s="12"/>
      <c r="E6786" t="b">
        <f t="shared" si="105"/>
        <v>1</v>
      </c>
      <c r="F6786" s="12">
        <v>0</v>
      </c>
    </row>
    <row r="6787" spans="3:6">
      <c r="C6787" s="12"/>
      <c r="D6787" s="12"/>
      <c r="E6787" t="b">
        <f t="shared" ref="E6787:E6850" si="106">F6787=C6787</f>
        <v>1</v>
      </c>
      <c r="F6787" s="12">
        <v>0</v>
      </c>
    </row>
    <row r="6788" spans="3:6">
      <c r="C6788" s="12"/>
      <c r="D6788" s="12"/>
      <c r="E6788" t="b">
        <f t="shared" si="106"/>
        <v>1</v>
      </c>
      <c r="F6788" s="12">
        <v>0</v>
      </c>
    </row>
    <row r="6789" spans="3:6">
      <c r="C6789" s="12"/>
      <c r="D6789" s="12"/>
      <c r="E6789" t="b">
        <f t="shared" si="106"/>
        <v>1</v>
      </c>
      <c r="F6789" s="12">
        <v>0</v>
      </c>
    </row>
    <row r="6790" spans="3:6">
      <c r="C6790" s="12"/>
      <c r="D6790" s="12"/>
      <c r="E6790" t="b">
        <f t="shared" si="106"/>
        <v>1</v>
      </c>
      <c r="F6790" s="12">
        <v>0</v>
      </c>
    </row>
    <row r="6791" spans="3:6">
      <c r="C6791" s="12"/>
      <c r="D6791" s="12"/>
      <c r="E6791" t="b">
        <f t="shared" si="106"/>
        <v>1</v>
      </c>
      <c r="F6791" s="12">
        <v>0</v>
      </c>
    </row>
    <row r="6792" spans="3:6">
      <c r="C6792" s="12"/>
      <c r="D6792" s="12"/>
      <c r="E6792" t="b">
        <f t="shared" si="106"/>
        <v>1</v>
      </c>
      <c r="F6792" s="12">
        <v>0</v>
      </c>
    </row>
    <row r="6793" spans="3:6">
      <c r="C6793" s="12"/>
      <c r="D6793" s="12"/>
      <c r="E6793" t="b">
        <f t="shared" si="106"/>
        <v>1</v>
      </c>
      <c r="F6793" s="12">
        <v>0</v>
      </c>
    </row>
    <row r="6794" spans="3:6">
      <c r="C6794" s="12"/>
      <c r="D6794" s="12"/>
      <c r="E6794" t="b">
        <f t="shared" si="106"/>
        <v>1</v>
      </c>
      <c r="F6794" s="12">
        <v>0</v>
      </c>
    </row>
    <row r="6795" spans="3:6">
      <c r="C6795" s="12"/>
      <c r="D6795" s="12"/>
      <c r="E6795" t="b">
        <f t="shared" si="106"/>
        <v>1</v>
      </c>
      <c r="F6795" s="12">
        <v>0</v>
      </c>
    </row>
    <row r="6796" spans="3:6">
      <c r="C6796" s="12"/>
      <c r="D6796" s="12"/>
      <c r="E6796" t="b">
        <f t="shared" si="106"/>
        <v>1</v>
      </c>
      <c r="F6796" s="12">
        <v>0</v>
      </c>
    </row>
    <row r="6797" spans="3:6">
      <c r="C6797" s="12"/>
      <c r="D6797" s="12"/>
      <c r="E6797" t="b">
        <f t="shared" si="106"/>
        <v>1</v>
      </c>
      <c r="F6797" s="12">
        <v>0</v>
      </c>
    </row>
    <row r="6798" spans="3:6">
      <c r="C6798" s="12"/>
      <c r="D6798" s="12"/>
      <c r="E6798" t="b">
        <f t="shared" si="106"/>
        <v>1</v>
      </c>
      <c r="F6798" s="12">
        <v>0</v>
      </c>
    </row>
    <row r="6799" spans="3:6">
      <c r="C6799" s="12"/>
      <c r="D6799" s="12"/>
      <c r="E6799" t="b">
        <f t="shared" si="106"/>
        <v>1</v>
      </c>
      <c r="F6799" s="12">
        <v>0</v>
      </c>
    </row>
    <row r="6800" spans="3:6">
      <c r="C6800" s="12"/>
      <c r="D6800" s="12"/>
      <c r="E6800" t="b">
        <f t="shared" si="106"/>
        <v>1</v>
      </c>
      <c r="F6800" s="12">
        <v>0</v>
      </c>
    </row>
    <row r="6801" spans="3:6">
      <c r="C6801" s="12"/>
      <c r="D6801" s="12"/>
      <c r="E6801" t="b">
        <f t="shared" si="106"/>
        <v>1</v>
      </c>
      <c r="F6801" s="12">
        <v>0</v>
      </c>
    </row>
    <row r="6802" spans="3:6">
      <c r="C6802" s="12"/>
      <c r="D6802" s="12"/>
      <c r="E6802" t="b">
        <f t="shared" si="106"/>
        <v>1</v>
      </c>
      <c r="F6802" s="12">
        <v>0</v>
      </c>
    </row>
    <row r="6803" spans="3:6">
      <c r="C6803" s="12"/>
      <c r="D6803" s="12"/>
      <c r="E6803" t="b">
        <f t="shared" si="106"/>
        <v>1</v>
      </c>
      <c r="F6803" s="12">
        <v>0</v>
      </c>
    </row>
    <row r="6804" spans="3:6">
      <c r="C6804" s="12"/>
      <c r="D6804" s="12"/>
      <c r="E6804" t="b">
        <f t="shared" si="106"/>
        <v>1</v>
      </c>
      <c r="F6804" s="12">
        <v>0</v>
      </c>
    </row>
    <row r="6805" spans="3:6">
      <c r="C6805" s="12"/>
      <c r="D6805" s="12"/>
      <c r="E6805" t="b">
        <f t="shared" si="106"/>
        <v>1</v>
      </c>
      <c r="F6805" s="12">
        <v>0</v>
      </c>
    </row>
    <row r="6806" spans="3:6">
      <c r="C6806" s="12"/>
      <c r="D6806" s="12"/>
      <c r="E6806" t="b">
        <f t="shared" si="106"/>
        <v>1</v>
      </c>
      <c r="F6806" s="12">
        <v>0</v>
      </c>
    </row>
    <row r="6807" spans="3:6">
      <c r="C6807" s="12"/>
      <c r="D6807" s="12"/>
      <c r="E6807" t="b">
        <f t="shared" si="106"/>
        <v>1</v>
      </c>
      <c r="F6807" s="12">
        <v>0</v>
      </c>
    </row>
    <row r="6808" spans="3:6">
      <c r="C6808" s="12"/>
      <c r="D6808" s="12"/>
      <c r="E6808" t="b">
        <f t="shared" si="106"/>
        <v>1</v>
      </c>
      <c r="F6808" s="12">
        <v>0</v>
      </c>
    </row>
    <row r="6809" spans="3:6">
      <c r="C6809" s="12"/>
      <c r="D6809" s="12"/>
      <c r="E6809" t="b">
        <f t="shared" si="106"/>
        <v>1</v>
      </c>
      <c r="F6809" s="12">
        <v>0</v>
      </c>
    </row>
    <row r="6810" spans="3:6">
      <c r="C6810" s="12"/>
      <c r="D6810" s="12"/>
      <c r="E6810" t="b">
        <f t="shared" si="106"/>
        <v>1</v>
      </c>
      <c r="F6810" s="12">
        <v>0</v>
      </c>
    </row>
    <row r="6811" spans="3:6">
      <c r="C6811" s="12"/>
      <c r="D6811" s="12"/>
      <c r="E6811" t="b">
        <f t="shared" si="106"/>
        <v>1</v>
      </c>
      <c r="F6811" s="12">
        <v>0</v>
      </c>
    </row>
    <row r="6812" spans="3:6">
      <c r="C6812" s="12"/>
      <c r="D6812" s="12"/>
      <c r="E6812" t="b">
        <f t="shared" si="106"/>
        <v>1</v>
      </c>
      <c r="F6812" s="12">
        <v>0</v>
      </c>
    </row>
    <row r="6813" spans="3:6">
      <c r="C6813" s="12"/>
      <c r="D6813" s="12"/>
      <c r="E6813" t="b">
        <f t="shared" si="106"/>
        <v>1</v>
      </c>
      <c r="F6813" s="12">
        <v>0</v>
      </c>
    </row>
    <row r="6814" spans="3:6">
      <c r="C6814" s="12"/>
      <c r="D6814" s="12"/>
      <c r="E6814" t="b">
        <f t="shared" si="106"/>
        <v>1</v>
      </c>
      <c r="F6814" s="12">
        <v>0</v>
      </c>
    </row>
    <row r="6815" spans="3:6">
      <c r="C6815" s="12"/>
      <c r="D6815" s="12"/>
      <c r="E6815" t="b">
        <f t="shared" si="106"/>
        <v>1</v>
      </c>
      <c r="F6815" s="12">
        <v>0</v>
      </c>
    </row>
    <row r="6816" spans="3:6">
      <c r="C6816" s="12"/>
      <c r="D6816" s="12"/>
      <c r="E6816" t="b">
        <f t="shared" si="106"/>
        <v>1</v>
      </c>
      <c r="F6816" s="12">
        <v>0</v>
      </c>
    </row>
    <row r="6817" spans="3:6">
      <c r="C6817" s="12"/>
      <c r="D6817" s="12"/>
      <c r="E6817" t="b">
        <f t="shared" si="106"/>
        <v>1</v>
      </c>
      <c r="F6817" s="12">
        <v>0</v>
      </c>
    </row>
    <row r="6818" spans="3:6">
      <c r="C6818" s="12"/>
      <c r="D6818" s="12"/>
      <c r="E6818" t="b">
        <f t="shared" si="106"/>
        <v>1</v>
      </c>
      <c r="F6818" s="12">
        <v>0</v>
      </c>
    </row>
    <row r="6819" spans="3:6">
      <c r="C6819" s="12"/>
      <c r="D6819" s="12"/>
      <c r="E6819" t="b">
        <f t="shared" si="106"/>
        <v>1</v>
      </c>
      <c r="F6819" s="12">
        <v>0</v>
      </c>
    </row>
    <row r="6820" spans="3:6">
      <c r="C6820" s="12"/>
      <c r="D6820" s="12"/>
      <c r="E6820" t="b">
        <f t="shared" si="106"/>
        <v>1</v>
      </c>
      <c r="F6820" s="12">
        <v>0</v>
      </c>
    </row>
    <row r="6821" spans="3:6">
      <c r="C6821" s="12"/>
      <c r="D6821" s="12"/>
      <c r="E6821" t="b">
        <f t="shared" si="106"/>
        <v>1</v>
      </c>
      <c r="F6821" s="12">
        <v>0</v>
      </c>
    </row>
    <row r="6822" spans="3:6">
      <c r="C6822" s="12"/>
      <c r="D6822" s="12"/>
      <c r="E6822" t="b">
        <f t="shared" si="106"/>
        <v>1</v>
      </c>
      <c r="F6822" s="12">
        <v>0</v>
      </c>
    </row>
    <row r="6823" spans="3:6">
      <c r="C6823" s="12"/>
      <c r="D6823" s="12"/>
      <c r="E6823" t="b">
        <f t="shared" si="106"/>
        <v>1</v>
      </c>
      <c r="F6823" s="12">
        <v>0</v>
      </c>
    </row>
    <row r="6824" spans="3:6">
      <c r="C6824" s="12"/>
      <c r="D6824" s="12"/>
      <c r="E6824" t="b">
        <f t="shared" si="106"/>
        <v>1</v>
      </c>
      <c r="F6824" s="12">
        <v>0</v>
      </c>
    </row>
    <row r="6825" spans="3:6">
      <c r="C6825" s="12"/>
      <c r="D6825" s="12"/>
      <c r="E6825" t="b">
        <f t="shared" si="106"/>
        <v>1</v>
      </c>
      <c r="F6825" s="12">
        <v>0</v>
      </c>
    </row>
    <row r="6826" spans="3:6">
      <c r="C6826" s="12"/>
      <c r="D6826" s="12"/>
      <c r="E6826" t="b">
        <f t="shared" si="106"/>
        <v>1</v>
      </c>
      <c r="F6826" s="12">
        <v>0</v>
      </c>
    </row>
    <row r="6827" spans="3:6">
      <c r="C6827" s="12"/>
      <c r="D6827" s="12"/>
      <c r="E6827" t="b">
        <f t="shared" si="106"/>
        <v>1</v>
      </c>
      <c r="F6827" s="12">
        <v>0</v>
      </c>
    </row>
    <row r="6828" spans="3:6">
      <c r="C6828" s="12"/>
      <c r="D6828" s="12"/>
      <c r="E6828" t="b">
        <f t="shared" si="106"/>
        <v>1</v>
      </c>
      <c r="F6828" s="12">
        <v>0</v>
      </c>
    </row>
    <row r="6829" spans="3:6">
      <c r="C6829" s="12"/>
      <c r="D6829" s="12"/>
      <c r="E6829" t="b">
        <f t="shared" si="106"/>
        <v>1</v>
      </c>
      <c r="F6829" s="12">
        <v>0</v>
      </c>
    </row>
    <row r="6830" spans="3:6">
      <c r="C6830" s="12"/>
      <c r="D6830" s="12"/>
      <c r="E6830" t="b">
        <f t="shared" si="106"/>
        <v>1</v>
      </c>
      <c r="F6830" s="12">
        <v>0</v>
      </c>
    </row>
    <row r="6831" spans="3:6">
      <c r="C6831" s="12"/>
      <c r="D6831" s="12"/>
      <c r="E6831" t="b">
        <f t="shared" si="106"/>
        <v>1</v>
      </c>
      <c r="F6831" s="12">
        <v>0</v>
      </c>
    </row>
    <row r="6832" spans="3:6">
      <c r="C6832" s="12"/>
      <c r="D6832" s="12"/>
      <c r="E6832" t="b">
        <f t="shared" si="106"/>
        <v>1</v>
      </c>
      <c r="F6832" s="12">
        <v>0</v>
      </c>
    </row>
    <row r="6833" spans="3:6">
      <c r="C6833" s="12"/>
      <c r="D6833" s="12"/>
      <c r="E6833" t="b">
        <f t="shared" si="106"/>
        <v>1</v>
      </c>
      <c r="F6833" s="12">
        <v>0</v>
      </c>
    </row>
    <row r="6834" spans="3:6">
      <c r="C6834" s="12"/>
      <c r="D6834" s="12"/>
      <c r="E6834" t="b">
        <f t="shared" si="106"/>
        <v>1</v>
      </c>
      <c r="F6834" s="12">
        <v>0</v>
      </c>
    </row>
    <row r="6835" spans="3:6">
      <c r="C6835" s="12"/>
      <c r="D6835" s="12"/>
      <c r="E6835" t="b">
        <f t="shared" si="106"/>
        <v>1</v>
      </c>
      <c r="F6835" s="12">
        <v>0</v>
      </c>
    </row>
    <row r="6836" spans="3:6">
      <c r="C6836" s="12"/>
      <c r="D6836" s="12"/>
      <c r="E6836" t="b">
        <f t="shared" si="106"/>
        <v>1</v>
      </c>
      <c r="F6836" s="12">
        <v>0</v>
      </c>
    </row>
    <row r="6837" spans="3:6">
      <c r="C6837" s="12"/>
      <c r="D6837" s="12"/>
      <c r="E6837" t="b">
        <f t="shared" si="106"/>
        <v>1</v>
      </c>
      <c r="F6837" s="12">
        <v>0</v>
      </c>
    </row>
    <row r="6838" spans="3:6">
      <c r="C6838" s="12"/>
      <c r="D6838" s="12"/>
      <c r="E6838" t="b">
        <f t="shared" si="106"/>
        <v>1</v>
      </c>
      <c r="F6838" s="12">
        <v>0</v>
      </c>
    </row>
    <row r="6839" spans="3:6">
      <c r="C6839" s="12"/>
      <c r="D6839" s="12"/>
      <c r="E6839" t="b">
        <f t="shared" si="106"/>
        <v>1</v>
      </c>
      <c r="F6839" s="12">
        <v>0</v>
      </c>
    </row>
    <row r="6840" spans="3:6">
      <c r="C6840" s="12"/>
      <c r="D6840" s="12"/>
      <c r="E6840" t="b">
        <f t="shared" si="106"/>
        <v>1</v>
      </c>
      <c r="F6840" s="12">
        <v>0</v>
      </c>
    </row>
    <row r="6841" spans="3:6">
      <c r="C6841" s="12"/>
      <c r="D6841" s="12"/>
      <c r="E6841" t="b">
        <f t="shared" si="106"/>
        <v>1</v>
      </c>
      <c r="F6841" s="12">
        <v>0</v>
      </c>
    </row>
    <row r="6842" spans="3:6">
      <c r="C6842" s="12"/>
      <c r="D6842" s="12"/>
      <c r="E6842" t="b">
        <f t="shared" si="106"/>
        <v>1</v>
      </c>
      <c r="F6842" s="12">
        <v>0</v>
      </c>
    </row>
    <row r="6843" spans="3:6">
      <c r="C6843" s="12"/>
      <c r="D6843" s="12"/>
      <c r="E6843" t="b">
        <f t="shared" si="106"/>
        <v>1</v>
      </c>
      <c r="F6843" s="12">
        <v>0</v>
      </c>
    </row>
    <row r="6844" spans="3:6">
      <c r="C6844" s="12"/>
      <c r="D6844" s="12"/>
      <c r="E6844" t="b">
        <f t="shared" si="106"/>
        <v>1</v>
      </c>
      <c r="F6844" s="12">
        <v>0</v>
      </c>
    </row>
    <row r="6845" spans="3:6">
      <c r="C6845" s="12"/>
      <c r="D6845" s="12"/>
      <c r="E6845" t="b">
        <f t="shared" si="106"/>
        <v>1</v>
      </c>
      <c r="F6845" s="12">
        <v>0</v>
      </c>
    </row>
    <row r="6846" spans="3:6">
      <c r="C6846" s="12"/>
      <c r="D6846" s="12"/>
      <c r="E6846" t="b">
        <f t="shared" si="106"/>
        <v>1</v>
      </c>
      <c r="F6846" s="12">
        <v>0</v>
      </c>
    </row>
    <row r="6847" spans="3:6">
      <c r="C6847" s="12"/>
      <c r="D6847" s="12"/>
      <c r="E6847" t="b">
        <f t="shared" si="106"/>
        <v>1</v>
      </c>
      <c r="F6847" s="12">
        <v>0</v>
      </c>
    </row>
    <row r="6848" spans="3:6">
      <c r="C6848" s="12"/>
      <c r="D6848" s="12"/>
      <c r="E6848" t="b">
        <f t="shared" si="106"/>
        <v>1</v>
      </c>
      <c r="F6848" s="12">
        <v>0</v>
      </c>
    </row>
    <row r="6849" spans="3:6">
      <c r="C6849" s="12"/>
      <c r="D6849" s="12"/>
      <c r="E6849" t="b">
        <f t="shared" si="106"/>
        <v>1</v>
      </c>
      <c r="F6849" s="12">
        <v>0</v>
      </c>
    </row>
    <row r="6850" spans="3:6">
      <c r="C6850" s="12"/>
      <c r="D6850" s="12"/>
      <c r="E6850" t="b">
        <f t="shared" si="106"/>
        <v>1</v>
      </c>
      <c r="F6850" s="12">
        <v>0</v>
      </c>
    </row>
    <row r="6851" spans="3:6">
      <c r="C6851" s="12"/>
      <c r="D6851" s="12"/>
      <c r="E6851" t="b">
        <f t="shared" ref="E6851:E6914" si="107">F6851=C6851</f>
        <v>1</v>
      </c>
      <c r="F6851" s="12">
        <v>0</v>
      </c>
    </row>
    <row r="6852" spans="3:6">
      <c r="C6852" s="12"/>
      <c r="D6852" s="12"/>
      <c r="E6852" t="b">
        <f t="shared" si="107"/>
        <v>1</v>
      </c>
      <c r="F6852" s="12">
        <v>0</v>
      </c>
    </row>
    <row r="6853" spans="3:6">
      <c r="C6853" s="12"/>
      <c r="D6853" s="12"/>
      <c r="E6853" t="b">
        <f t="shared" si="107"/>
        <v>1</v>
      </c>
      <c r="F6853" s="12">
        <v>0</v>
      </c>
    </row>
    <row r="6854" spans="3:6">
      <c r="C6854" s="12"/>
      <c r="D6854" s="12"/>
      <c r="E6854" t="b">
        <f t="shared" si="107"/>
        <v>1</v>
      </c>
      <c r="F6854" s="12">
        <v>0</v>
      </c>
    </row>
    <row r="6855" spans="3:6">
      <c r="C6855" s="12"/>
      <c r="D6855" s="12"/>
      <c r="E6855" t="b">
        <f t="shared" si="107"/>
        <v>1</v>
      </c>
      <c r="F6855" s="12">
        <v>0</v>
      </c>
    </row>
    <row r="6856" spans="3:6">
      <c r="C6856" s="12"/>
      <c r="D6856" s="12"/>
      <c r="E6856" t="b">
        <f t="shared" si="107"/>
        <v>1</v>
      </c>
      <c r="F6856" s="12">
        <v>0</v>
      </c>
    </row>
    <row r="6857" spans="3:6">
      <c r="C6857" s="12"/>
      <c r="D6857" s="12"/>
      <c r="E6857" t="b">
        <f t="shared" si="107"/>
        <v>1</v>
      </c>
      <c r="F6857" s="12">
        <v>0</v>
      </c>
    </row>
    <row r="6858" spans="3:6">
      <c r="C6858" s="12"/>
      <c r="D6858" s="12"/>
      <c r="E6858" t="b">
        <f t="shared" si="107"/>
        <v>1</v>
      </c>
      <c r="F6858" s="12">
        <v>0</v>
      </c>
    </row>
    <row r="6859" spans="3:6">
      <c r="C6859" s="12"/>
      <c r="D6859" s="12"/>
      <c r="E6859" t="b">
        <f t="shared" si="107"/>
        <v>1</v>
      </c>
      <c r="F6859" s="12">
        <v>0</v>
      </c>
    </row>
    <row r="6860" spans="3:6">
      <c r="C6860" s="12"/>
      <c r="D6860" s="12"/>
      <c r="E6860" t="b">
        <f t="shared" si="107"/>
        <v>1</v>
      </c>
      <c r="F6860" s="12">
        <v>0</v>
      </c>
    </row>
    <row r="6861" spans="3:6">
      <c r="C6861" s="12"/>
      <c r="D6861" s="12"/>
      <c r="E6861" t="b">
        <f t="shared" si="107"/>
        <v>1</v>
      </c>
      <c r="F6861" s="12">
        <v>0</v>
      </c>
    </row>
    <row r="6862" spans="3:6">
      <c r="C6862" s="12"/>
      <c r="D6862" s="12"/>
      <c r="E6862" t="b">
        <f t="shared" si="107"/>
        <v>1</v>
      </c>
      <c r="F6862" s="12">
        <v>0</v>
      </c>
    </row>
    <row r="6863" spans="3:6">
      <c r="C6863" s="12"/>
      <c r="D6863" s="12"/>
      <c r="E6863" t="b">
        <f t="shared" si="107"/>
        <v>1</v>
      </c>
      <c r="F6863" s="12">
        <v>0</v>
      </c>
    </row>
    <row r="6864" spans="3:6">
      <c r="C6864" s="12"/>
      <c r="D6864" s="12"/>
      <c r="E6864" t="b">
        <f t="shared" si="107"/>
        <v>1</v>
      </c>
      <c r="F6864" s="12">
        <v>0</v>
      </c>
    </row>
    <row r="6865" spans="3:6">
      <c r="C6865" s="12"/>
      <c r="D6865" s="12"/>
      <c r="E6865" t="b">
        <f t="shared" si="107"/>
        <v>1</v>
      </c>
      <c r="F6865" s="12">
        <v>0</v>
      </c>
    </row>
    <row r="6866" spans="3:6">
      <c r="C6866" s="12"/>
      <c r="D6866" s="12"/>
      <c r="E6866" t="b">
        <f t="shared" si="107"/>
        <v>1</v>
      </c>
      <c r="F6866" s="12">
        <v>0</v>
      </c>
    </row>
    <row r="6867" spans="3:6">
      <c r="C6867" s="12"/>
      <c r="D6867" s="12"/>
      <c r="E6867" t="b">
        <f t="shared" si="107"/>
        <v>1</v>
      </c>
      <c r="F6867" s="12">
        <v>0</v>
      </c>
    </row>
    <row r="6868" spans="3:6">
      <c r="C6868" s="12"/>
      <c r="D6868" s="12"/>
      <c r="E6868" t="b">
        <f t="shared" si="107"/>
        <v>1</v>
      </c>
      <c r="F6868" s="12">
        <v>0</v>
      </c>
    </row>
    <row r="6869" spans="3:6">
      <c r="C6869" s="12"/>
      <c r="D6869" s="12"/>
      <c r="E6869" t="b">
        <f t="shared" si="107"/>
        <v>1</v>
      </c>
      <c r="F6869" s="12">
        <v>0</v>
      </c>
    </row>
    <row r="6870" spans="3:6">
      <c r="C6870" s="12"/>
      <c r="D6870" s="12"/>
      <c r="E6870" t="b">
        <f t="shared" si="107"/>
        <v>1</v>
      </c>
      <c r="F6870" s="12">
        <v>0</v>
      </c>
    </row>
    <row r="6871" spans="3:6">
      <c r="C6871" s="12"/>
      <c r="D6871" s="12"/>
      <c r="E6871" t="b">
        <f t="shared" si="107"/>
        <v>1</v>
      </c>
      <c r="F6871" s="12">
        <v>0</v>
      </c>
    </row>
    <row r="6872" spans="3:6">
      <c r="C6872" s="12"/>
      <c r="D6872" s="12"/>
      <c r="E6872" t="b">
        <f t="shared" si="107"/>
        <v>1</v>
      </c>
      <c r="F6872" s="12">
        <v>0</v>
      </c>
    </row>
    <row r="6873" spans="3:6">
      <c r="C6873" s="12"/>
      <c r="D6873" s="12"/>
      <c r="E6873" t="b">
        <f t="shared" si="107"/>
        <v>1</v>
      </c>
      <c r="F6873" s="12">
        <v>0</v>
      </c>
    </row>
    <row r="6874" spans="3:6">
      <c r="C6874" s="12"/>
      <c r="D6874" s="12"/>
      <c r="E6874" t="b">
        <f t="shared" si="107"/>
        <v>1</v>
      </c>
      <c r="F6874" s="12">
        <v>0</v>
      </c>
    </row>
    <row r="6875" spans="3:6">
      <c r="C6875" s="12"/>
      <c r="D6875" s="12"/>
      <c r="E6875" t="b">
        <f t="shared" si="107"/>
        <v>1</v>
      </c>
      <c r="F6875" s="12">
        <v>0</v>
      </c>
    </row>
    <row r="6876" spans="3:6">
      <c r="C6876" s="12"/>
      <c r="D6876" s="12"/>
      <c r="E6876" t="b">
        <f t="shared" si="107"/>
        <v>1</v>
      </c>
      <c r="F6876" s="12">
        <v>0</v>
      </c>
    </row>
    <row r="6877" spans="3:6">
      <c r="C6877" s="12"/>
      <c r="D6877" s="12"/>
      <c r="E6877" t="b">
        <f t="shared" si="107"/>
        <v>1</v>
      </c>
      <c r="F6877" s="12">
        <v>0</v>
      </c>
    </row>
    <row r="6878" spans="3:6">
      <c r="C6878" s="12"/>
      <c r="D6878" s="12"/>
      <c r="E6878" t="b">
        <f t="shared" si="107"/>
        <v>1</v>
      </c>
      <c r="F6878" s="12">
        <v>0</v>
      </c>
    </row>
    <row r="6879" spans="3:6">
      <c r="C6879" s="12"/>
      <c r="D6879" s="12"/>
      <c r="E6879" t="b">
        <f t="shared" si="107"/>
        <v>1</v>
      </c>
      <c r="F6879" s="12">
        <v>0</v>
      </c>
    </row>
    <row r="6880" spans="3:6">
      <c r="C6880" s="12"/>
      <c r="D6880" s="12"/>
      <c r="E6880" t="b">
        <f t="shared" si="107"/>
        <v>1</v>
      </c>
      <c r="F6880" s="12">
        <v>0</v>
      </c>
    </row>
    <row r="6881" spans="3:6">
      <c r="C6881" s="12"/>
      <c r="D6881" s="12"/>
      <c r="E6881" t="b">
        <f t="shared" si="107"/>
        <v>1</v>
      </c>
      <c r="F6881" s="12">
        <v>0</v>
      </c>
    </row>
    <row r="6882" spans="3:6">
      <c r="C6882" s="12"/>
      <c r="D6882" s="12"/>
      <c r="E6882" t="b">
        <f t="shared" si="107"/>
        <v>1</v>
      </c>
      <c r="F6882" s="12">
        <v>0</v>
      </c>
    </row>
    <row r="6883" spans="3:6">
      <c r="C6883" s="12"/>
      <c r="D6883" s="12"/>
      <c r="E6883" t="b">
        <f t="shared" si="107"/>
        <v>1</v>
      </c>
      <c r="F6883" s="12">
        <v>0</v>
      </c>
    </row>
    <row r="6884" spans="3:6">
      <c r="C6884" s="12"/>
      <c r="D6884" s="12"/>
      <c r="E6884" t="b">
        <f t="shared" si="107"/>
        <v>1</v>
      </c>
      <c r="F6884" s="12">
        <v>0</v>
      </c>
    </row>
    <row r="6885" spans="3:6">
      <c r="C6885" s="12"/>
      <c r="D6885" s="12"/>
      <c r="E6885" t="b">
        <f t="shared" si="107"/>
        <v>1</v>
      </c>
      <c r="F6885" s="12">
        <v>0</v>
      </c>
    </row>
    <row r="6886" spans="3:6">
      <c r="C6886" s="12"/>
      <c r="D6886" s="12"/>
      <c r="E6886" t="b">
        <f t="shared" si="107"/>
        <v>1</v>
      </c>
      <c r="F6886" s="12">
        <v>0</v>
      </c>
    </row>
    <row r="6887" spans="3:6">
      <c r="C6887" s="12"/>
      <c r="D6887" s="12"/>
      <c r="E6887" t="b">
        <f t="shared" si="107"/>
        <v>1</v>
      </c>
      <c r="F6887" s="12">
        <v>0</v>
      </c>
    </row>
    <row r="6888" spans="3:6">
      <c r="C6888" s="12"/>
      <c r="D6888" s="12"/>
      <c r="E6888" t="b">
        <f t="shared" si="107"/>
        <v>1</v>
      </c>
      <c r="F6888" s="12">
        <v>0</v>
      </c>
    </row>
    <row r="6889" spans="3:6">
      <c r="C6889" s="12"/>
      <c r="D6889" s="12"/>
      <c r="E6889" t="b">
        <f t="shared" si="107"/>
        <v>1</v>
      </c>
      <c r="F6889" s="12">
        <v>0</v>
      </c>
    </row>
    <row r="6890" spans="3:6">
      <c r="C6890" s="12"/>
      <c r="D6890" s="12"/>
      <c r="E6890" t="b">
        <f t="shared" si="107"/>
        <v>1</v>
      </c>
      <c r="F6890" s="12">
        <v>0</v>
      </c>
    </row>
    <row r="6891" spans="3:6">
      <c r="C6891" s="12"/>
      <c r="D6891" s="12"/>
      <c r="E6891" t="b">
        <f t="shared" si="107"/>
        <v>1</v>
      </c>
      <c r="F6891" s="12">
        <v>0</v>
      </c>
    </row>
    <row r="6892" spans="3:6">
      <c r="C6892" s="12"/>
      <c r="D6892" s="12"/>
      <c r="E6892" t="b">
        <f t="shared" si="107"/>
        <v>1</v>
      </c>
      <c r="F6892" s="12">
        <v>0</v>
      </c>
    </row>
    <row r="6893" spans="3:6">
      <c r="C6893" s="12"/>
      <c r="D6893" s="12"/>
      <c r="E6893" t="b">
        <f t="shared" si="107"/>
        <v>1</v>
      </c>
      <c r="F6893" s="12">
        <v>0</v>
      </c>
    </row>
    <row r="6894" spans="3:6">
      <c r="C6894" s="12"/>
      <c r="D6894" s="12"/>
      <c r="E6894" t="b">
        <f t="shared" si="107"/>
        <v>1</v>
      </c>
      <c r="F6894" s="12">
        <v>0</v>
      </c>
    </row>
    <row r="6895" spans="3:6">
      <c r="C6895" s="12"/>
      <c r="D6895" s="12"/>
      <c r="E6895" t="b">
        <f t="shared" si="107"/>
        <v>1</v>
      </c>
      <c r="F6895" s="12">
        <v>0</v>
      </c>
    </row>
    <row r="6896" spans="3:6">
      <c r="C6896" s="12"/>
      <c r="D6896" s="12"/>
      <c r="E6896" t="b">
        <f t="shared" si="107"/>
        <v>1</v>
      </c>
      <c r="F6896" s="12">
        <v>0</v>
      </c>
    </row>
    <row r="6897" spans="3:6">
      <c r="C6897" s="12"/>
      <c r="D6897" s="12"/>
      <c r="E6897" t="b">
        <f t="shared" si="107"/>
        <v>1</v>
      </c>
      <c r="F6897" s="12">
        <v>0</v>
      </c>
    </row>
    <row r="6898" spans="3:6">
      <c r="C6898" s="12"/>
      <c r="D6898" s="12"/>
      <c r="E6898" t="b">
        <f t="shared" si="107"/>
        <v>1</v>
      </c>
      <c r="F6898" s="12">
        <v>0</v>
      </c>
    </row>
    <row r="6899" spans="3:6">
      <c r="C6899" s="12"/>
      <c r="D6899" s="12"/>
      <c r="E6899" t="b">
        <f t="shared" si="107"/>
        <v>1</v>
      </c>
      <c r="F6899" s="12">
        <v>0</v>
      </c>
    </row>
    <row r="6900" spans="3:6">
      <c r="C6900" s="12"/>
      <c r="D6900" s="12"/>
      <c r="E6900" t="b">
        <f t="shared" si="107"/>
        <v>1</v>
      </c>
      <c r="F6900" s="12">
        <v>0</v>
      </c>
    </row>
    <row r="6901" spans="3:6">
      <c r="C6901" s="12"/>
      <c r="D6901" s="12"/>
      <c r="E6901" t="b">
        <f t="shared" si="107"/>
        <v>1</v>
      </c>
      <c r="F6901" s="12">
        <v>0</v>
      </c>
    </row>
    <row r="6902" spans="3:6">
      <c r="C6902" s="12"/>
      <c r="D6902" s="12"/>
      <c r="E6902" t="b">
        <f t="shared" si="107"/>
        <v>1</v>
      </c>
      <c r="F6902" s="12">
        <v>0</v>
      </c>
    </row>
    <row r="6903" spans="3:6">
      <c r="C6903" s="12"/>
      <c r="D6903" s="12"/>
      <c r="E6903" t="b">
        <f t="shared" si="107"/>
        <v>1</v>
      </c>
      <c r="F6903" s="12">
        <v>0</v>
      </c>
    </row>
    <row r="6904" spans="3:6">
      <c r="C6904" s="12"/>
      <c r="D6904" s="12"/>
      <c r="E6904" t="b">
        <f t="shared" si="107"/>
        <v>1</v>
      </c>
      <c r="F6904" s="12">
        <v>0</v>
      </c>
    </row>
    <row r="6905" spans="3:6">
      <c r="C6905" s="12"/>
      <c r="D6905" s="12"/>
      <c r="E6905" t="b">
        <f t="shared" si="107"/>
        <v>1</v>
      </c>
      <c r="F6905" s="12">
        <v>0</v>
      </c>
    </row>
    <row r="6906" spans="3:6">
      <c r="C6906" s="12"/>
      <c r="D6906" s="12"/>
      <c r="E6906" t="b">
        <f t="shared" si="107"/>
        <v>1</v>
      </c>
      <c r="F6906" s="12">
        <v>0</v>
      </c>
    </row>
    <row r="6907" spans="3:6">
      <c r="C6907" s="12"/>
      <c r="D6907" s="12"/>
      <c r="E6907" t="b">
        <f t="shared" si="107"/>
        <v>1</v>
      </c>
      <c r="F6907" s="12">
        <v>0</v>
      </c>
    </row>
    <row r="6908" spans="3:6">
      <c r="C6908" s="12"/>
      <c r="D6908" s="12"/>
      <c r="E6908" t="b">
        <f t="shared" si="107"/>
        <v>1</v>
      </c>
      <c r="F6908" s="12">
        <v>0</v>
      </c>
    </row>
    <row r="6909" spans="3:6">
      <c r="C6909" s="12"/>
      <c r="D6909" s="12"/>
      <c r="E6909" t="b">
        <f t="shared" si="107"/>
        <v>1</v>
      </c>
      <c r="F6909" s="12">
        <v>0</v>
      </c>
    </row>
    <row r="6910" spans="3:6">
      <c r="C6910" s="12"/>
      <c r="D6910" s="12"/>
      <c r="E6910" t="b">
        <f t="shared" si="107"/>
        <v>1</v>
      </c>
      <c r="F6910" s="12">
        <v>0</v>
      </c>
    </row>
    <row r="6911" spans="3:6">
      <c r="C6911" s="12"/>
      <c r="D6911" s="12"/>
      <c r="E6911" t="b">
        <f t="shared" si="107"/>
        <v>1</v>
      </c>
      <c r="F6911" s="12">
        <v>0</v>
      </c>
    </row>
    <row r="6912" spans="3:6">
      <c r="C6912" s="12"/>
      <c r="D6912" s="12"/>
      <c r="E6912" t="b">
        <f t="shared" si="107"/>
        <v>1</v>
      </c>
      <c r="F6912" s="12">
        <v>0</v>
      </c>
    </row>
    <row r="6913" spans="3:6">
      <c r="C6913" s="12"/>
      <c r="D6913" s="12"/>
      <c r="E6913" t="b">
        <f t="shared" si="107"/>
        <v>1</v>
      </c>
      <c r="F6913" s="12">
        <v>0</v>
      </c>
    </row>
    <row r="6914" spans="3:6">
      <c r="C6914" s="12"/>
      <c r="D6914" s="12"/>
      <c r="E6914" t="b">
        <f t="shared" si="107"/>
        <v>1</v>
      </c>
      <c r="F6914" s="12">
        <v>0</v>
      </c>
    </row>
    <row r="6915" spans="3:6">
      <c r="C6915" s="12"/>
      <c r="D6915" s="12"/>
      <c r="E6915" t="b">
        <f t="shared" ref="E6915:E6978" si="108">F6915=C6915</f>
        <v>1</v>
      </c>
      <c r="F6915" s="12">
        <v>0</v>
      </c>
    </row>
    <row r="6916" spans="3:6">
      <c r="C6916" s="12"/>
      <c r="D6916" s="12"/>
      <c r="E6916" t="b">
        <f t="shared" si="108"/>
        <v>1</v>
      </c>
      <c r="F6916" s="12">
        <v>0</v>
      </c>
    </row>
    <row r="6917" spans="3:6">
      <c r="C6917" s="12"/>
      <c r="D6917" s="12"/>
      <c r="E6917" t="b">
        <f t="shared" si="108"/>
        <v>1</v>
      </c>
      <c r="F6917" s="12">
        <v>0</v>
      </c>
    </row>
    <row r="6918" spans="3:6">
      <c r="C6918" s="12"/>
      <c r="D6918" s="12"/>
      <c r="E6918" t="b">
        <f t="shared" si="108"/>
        <v>1</v>
      </c>
      <c r="F6918" s="12">
        <v>0</v>
      </c>
    </row>
    <row r="6919" spans="3:6">
      <c r="C6919" s="12"/>
      <c r="D6919" s="12"/>
      <c r="E6919" t="b">
        <f t="shared" si="108"/>
        <v>1</v>
      </c>
      <c r="F6919" s="12">
        <v>0</v>
      </c>
    </row>
    <row r="6920" spans="3:6">
      <c r="C6920" s="12"/>
      <c r="D6920" s="12"/>
      <c r="E6920" t="b">
        <f t="shared" si="108"/>
        <v>1</v>
      </c>
      <c r="F6920" s="12">
        <v>0</v>
      </c>
    </row>
    <row r="6921" spans="3:6">
      <c r="C6921" s="12"/>
      <c r="D6921" s="12"/>
      <c r="E6921" t="b">
        <f t="shared" si="108"/>
        <v>1</v>
      </c>
      <c r="F6921" s="12">
        <v>0</v>
      </c>
    </row>
    <row r="6922" spans="3:6">
      <c r="C6922" s="12"/>
      <c r="D6922" s="12"/>
      <c r="E6922" t="b">
        <f t="shared" si="108"/>
        <v>1</v>
      </c>
      <c r="F6922" s="12">
        <v>0</v>
      </c>
    </row>
    <row r="6923" spans="3:6">
      <c r="C6923" s="12"/>
      <c r="D6923" s="12"/>
      <c r="E6923" t="b">
        <f t="shared" si="108"/>
        <v>1</v>
      </c>
      <c r="F6923" s="12">
        <v>0</v>
      </c>
    </row>
    <row r="6924" spans="3:6">
      <c r="C6924" s="12"/>
      <c r="D6924" s="12"/>
      <c r="E6924" t="b">
        <f t="shared" si="108"/>
        <v>1</v>
      </c>
      <c r="F6924" s="12">
        <v>0</v>
      </c>
    </row>
    <row r="6925" spans="3:6">
      <c r="C6925" s="12"/>
      <c r="D6925" s="12"/>
      <c r="E6925" t="b">
        <f t="shared" si="108"/>
        <v>1</v>
      </c>
      <c r="F6925" s="12">
        <v>0</v>
      </c>
    </row>
    <row r="6926" spans="3:6">
      <c r="C6926" s="12"/>
      <c r="D6926" s="12"/>
      <c r="E6926" t="b">
        <f t="shared" si="108"/>
        <v>1</v>
      </c>
      <c r="F6926" s="12">
        <v>0</v>
      </c>
    </row>
    <row r="6927" spans="3:6">
      <c r="C6927" s="12"/>
      <c r="D6927" s="12"/>
      <c r="E6927" t="b">
        <f t="shared" si="108"/>
        <v>1</v>
      </c>
      <c r="F6927" s="12">
        <v>0</v>
      </c>
    </row>
    <row r="6928" spans="3:6">
      <c r="C6928" s="12"/>
      <c r="D6928" s="12"/>
      <c r="E6928" t="b">
        <f t="shared" si="108"/>
        <v>1</v>
      </c>
      <c r="F6928" s="12">
        <v>0</v>
      </c>
    </row>
    <row r="6929" spans="3:6">
      <c r="C6929" s="12"/>
      <c r="D6929" s="12"/>
      <c r="E6929" t="b">
        <f t="shared" si="108"/>
        <v>1</v>
      </c>
      <c r="F6929" s="12">
        <v>0</v>
      </c>
    </row>
    <row r="6930" spans="3:6">
      <c r="C6930" s="12"/>
      <c r="D6930" s="12"/>
      <c r="E6930" t="b">
        <f t="shared" si="108"/>
        <v>1</v>
      </c>
      <c r="F6930" s="12">
        <v>0</v>
      </c>
    </row>
    <row r="6931" spans="3:6">
      <c r="C6931" s="12"/>
      <c r="D6931" s="12"/>
      <c r="E6931" t="b">
        <f t="shared" si="108"/>
        <v>1</v>
      </c>
      <c r="F6931" s="12">
        <v>0</v>
      </c>
    </row>
    <row r="6932" spans="3:6">
      <c r="C6932" s="12"/>
      <c r="D6932" s="12"/>
      <c r="E6932" t="b">
        <f t="shared" si="108"/>
        <v>1</v>
      </c>
      <c r="F6932" s="12">
        <v>0</v>
      </c>
    </row>
    <row r="6933" spans="3:6">
      <c r="C6933" s="12"/>
      <c r="D6933" s="12"/>
      <c r="E6933" t="b">
        <f t="shared" si="108"/>
        <v>1</v>
      </c>
      <c r="F6933" s="12">
        <v>0</v>
      </c>
    </row>
    <row r="6934" spans="3:6">
      <c r="C6934" s="12"/>
      <c r="D6934" s="12"/>
      <c r="E6934" t="b">
        <f t="shared" si="108"/>
        <v>1</v>
      </c>
      <c r="F6934" s="12">
        <v>0</v>
      </c>
    </row>
    <row r="6935" spans="3:6">
      <c r="C6935" s="12"/>
      <c r="D6935" s="12"/>
      <c r="E6935" t="b">
        <f t="shared" si="108"/>
        <v>1</v>
      </c>
      <c r="F6935" s="12">
        <v>0</v>
      </c>
    </row>
    <row r="6936" spans="3:6">
      <c r="C6936" s="12"/>
      <c r="D6936" s="12"/>
      <c r="E6936" t="b">
        <f t="shared" si="108"/>
        <v>1</v>
      </c>
      <c r="F6936" s="12">
        <v>0</v>
      </c>
    </row>
    <row r="6937" spans="3:6">
      <c r="C6937" s="12"/>
      <c r="D6937" s="12"/>
      <c r="E6937" t="b">
        <f t="shared" si="108"/>
        <v>1</v>
      </c>
      <c r="F6937" s="12">
        <v>0</v>
      </c>
    </row>
    <row r="6938" spans="3:6">
      <c r="C6938" s="12"/>
      <c r="D6938" s="12"/>
      <c r="E6938" t="b">
        <f t="shared" si="108"/>
        <v>1</v>
      </c>
      <c r="F6938" s="12">
        <v>0</v>
      </c>
    </row>
    <row r="6939" spans="3:6">
      <c r="C6939" s="12"/>
      <c r="D6939" s="12"/>
      <c r="E6939" t="b">
        <f t="shared" si="108"/>
        <v>1</v>
      </c>
      <c r="F6939" s="12">
        <v>0</v>
      </c>
    </row>
    <row r="6940" spans="3:6">
      <c r="C6940" s="12"/>
      <c r="D6940" s="12"/>
      <c r="E6940" t="b">
        <f t="shared" si="108"/>
        <v>1</v>
      </c>
      <c r="F6940" s="12">
        <v>0</v>
      </c>
    </row>
    <row r="6941" spans="3:6">
      <c r="C6941" s="12"/>
      <c r="D6941" s="12"/>
      <c r="E6941" t="b">
        <f t="shared" si="108"/>
        <v>1</v>
      </c>
      <c r="F6941" s="12">
        <v>0</v>
      </c>
    </row>
    <row r="6942" spans="3:6">
      <c r="C6942" s="12"/>
      <c r="D6942" s="12"/>
      <c r="E6942" t="b">
        <f t="shared" si="108"/>
        <v>1</v>
      </c>
      <c r="F6942" s="12">
        <v>0</v>
      </c>
    </row>
    <row r="6943" spans="3:6">
      <c r="C6943" s="12"/>
      <c r="D6943" s="12"/>
      <c r="E6943" t="b">
        <f t="shared" si="108"/>
        <v>1</v>
      </c>
      <c r="F6943" s="12">
        <v>0</v>
      </c>
    </row>
    <row r="6944" spans="3:6">
      <c r="C6944" s="12"/>
      <c r="D6944" s="12"/>
      <c r="E6944" t="b">
        <f t="shared" si="108"/>
        <v>1</v>
      </c>
      <c r="F6944" s="12">
        <v>0</v>
      </c>
    </row>
    <row r="6945" spans="3:6">
      <c r="C6945" s="12"/>
      <c r="D6945" s="12"/>
      <c r="E6945" t="b">
        <f t="shared" si="108"/>
        <v>1</v>
      </c>
      <c r="F6945" s="12">
        <v>0</v>
      </c>
    </row>
    <row r="6946" spans="3:6">
      <c r="C6946" s="12"/>
      <c r="D6946" s="12"/>
      <c r="E6946" t="b">
        <f t="shared" si="108"/>
        <v>1</v>
      </c>
      <c r="F6946" s="12">
        <v>0</v>
      </c>
    </row>
    <row r="6947" spans="3:6">
      <c r="C6947" s="12"/>
      <c r="D6947" s="12"/>
      <c r="E6947" t="b">
        <f t="shared" si="108"/>
        <v>1</v>
      </c>
      <c r="F6947" s="12">
        <v>0</v>
      </c>
    </row>
    <row r="6948" spans="3:6">
      <c r="C6948" s="12"/>
      <c r="D6948" s="12"/>
      <c r="E6948" t="b">
        <f t="shared" si="108"/>
        <v>1</v>
      </c>
      <c r="F6948" s="12">
        <v>0</v>
      </c>
    </row>
    <row r="6949" spans="3:6">
      <c r="C6949" s="12"/>
      <c r="D6949" s="12"/>
      <c r="E6949" t="b">
        <f t="shared" si="108"/>
        <v>1</v>
      </c>
      <c r="F6949" s="12">
        <v>0</v>
      </c>
    </row>
    <row r="6950" spans="3:6">
      <c r="C6950" s="12"/>
      <c r="D6950" s="12"/>
      <c r="E6950" t="b">
        <f t="shared" si="108"/>
        <v>1</v>
      </c>
      <c r="F6950" s="12">
        <v>0</v>
      </c>
    </row>
    <row r="6951" spans="3:6">
      <c r="C6951" s="12"/>
      <c r="D6951" s="12"/>
      <c r="E6951" t="b">
        <f t="shared" si="108"/>
        <v>1</v>
      </c>
      <c r="F6951" s="12">
        <v>0</v>
      </c>
    </row>
    <row r="6952" spans="3:6">
      <c r="C6952" s="12"/>
      <c r="D6952" s="12"/>
      <c r="E6952" t="b">
        <f t="shared" si="108"/>
        <v>1</v>
      </c>
      <c r="F6952" s="12">
        <v>0</v>
      </c>
    </row>
    <row r="6953" spans="3:6">
      <c r="C6953" s="12"/>
      <c r="D6953" s="12"/>
      <c r="E6953" t="b">
        <f t="shared" si="108"/>
        <v>1</v>
      </c>
      <c r="F6953" s="12">
        <v>0</v>
      </c>
    </row>
    <row r="6954" spans="3:6">
      <c r="C6954" s="12"/>
      <c r="D6954" s="12"/>
      <c r="E6954" t="b">
        <f t="shared" si="108"/>
        <v>1</v>
      </c>
      <c r="F6954" s="12">
        <v>0</v>
      </c>
    </row>
    <row r="6955" spans="3:6">
      <c r="C6955" s="12"/>
      <c r="D6955" s="12"/>
      <c r="E6955" t="b">
        <f t="shared" si="108"/>
        <v>1</v>
      </c>
      <c r="F6955" s="12">
        <v>0</v>
      </c>
    </row>
    <row r="6956" spans="3:6">
      <c r="C6956" s="12"/>
      <c r="D6956" s="12"/>
      <c r="E6956" t="b">
        <f t="shared" si="108"/>
        <v>1</v>
      </c>
      <c r="F6956" s="12">
        <v>0</v>
      </c>
    </row>
    <row r="6957" spans="3:6">
      <c r="C6957" s="12"/>
      <c r="D6957" s="12"/>
      <c r="E6957" t="b">
        <f t="shared" si="108"/>
        <v>1</v>
      </c>
      <c r="F6957" s="12">
        <v>0</v>
      </c>
    </row>
    <row r="6958" spans="3:6">
      <c r="C6958" s="12"/>
      <c r="D6958" s="12"/>
      <c r="E6958" t="b">
        <f t="shared" si="108"/>
        <v>1</v>
      </c>
      <c r="F6958" s="12">
        <v>0</v>
      </c>
    </row>
    <row r="6959" spans="3:6">
      <c r="C6959" s="12"/>
      <c r="D6959" s="12"/>
      <c r="E6959" t="b">
        <f t="shared" si="108"/>
        <v>1</v>
      </c>
      <c r="F6959" s="12">
        <v>0</v>
      </c>
    </row>
    <row r="6960" spans="3:6">
      <c r="C6960" s="12"/>
      <c r="D6960" s="12"/>
      <c r="E6960" t="b">
        <f t="shared" si="108"/>
        <v>1</v>
      </c>
      <c r="F6960" s="12">
        <v>0</v>
      </c>
    </row>
    <row r="6961" spans="3:6">
      <c r="C6961" s="12"/>
      <c r="D6961" s="12"/>
      <c r="E6961" t="b">
        <f t="shared" si="108"/>
        <v>1</v>
      </c>
      <c r="F6961" s="12">
        <v>0</v>
      </c>
    </row>
    <row r="6962" spans="3:6">
      <c r="C6962" s="12"/>
      <c r="D6962" s="12"/>
      <c r="E6962" t="b">
        <f t="shared" si="108"/>
        <v>1</v>
      </c>
      <c r="F6962" s="12">
        <v>0</v>
      </c>
    </row>
    <row r="6963" spans="3:6">
      <c r="C6963" s="12"/>
      <c r="D6963" s="12"/>
      <c r="E6963" t="b">
        <f t="shared" si="108"/>
        <v>1</v>
      </c>
      <c r="F6963" s="12">
        <v>0</v>
      </c>
    </row>
    <row r="6964" spans="3:6">
      <c r="C6964" s="12"/>
      <c r="D6964" s="12"/>
      <c r="E6964" t="b">
        <f t="shared" si="108"/>
        <v>1</v>
      </c>
      <c r="F6964" s="12">
        <v>0</v>
      </c>
    </row>
    <row r="6965" spans="3:6">
      <c r="C6965" s="12"/>
      <c r="D6965" s="12"/>
      <c r="E6965" t="b">
        <f t="shared" si="108"/>
        <v>1</v>
      </c>
      <c r="F6965" s="12">
        <v>0</v>
      </c>
    </row>
    <row r="6966" spans="3:6">
      <c r="C6966" s="12"/>
      <c r="D6966" s="12"/>
      <c r="E6966" t="b">
        <f t="shared" si="108"/>
        <v>1</v>
      </c>
      <c r="F6966" s="12">
        <v>0</v>
      </c>
    </row>
    <row r="6967" spans="3:6">
      <c r="C6967" s="12"/>
      <c r="D6967" s="12"/>
      <c r="E6967" t="b">
        <f t="shared" si="108"/>
        <v>1</v>
      </c>
      <c r="F6967" s="12">
        <v>0</v>
      </c>
    </row>
    <row r="6968" spans="3:6">
      <c r="C6968" s="12"/>
      <c r="D6968" s="12"/>
      <c r="E6968" t="b">
        <f t="shared" si="108"/>
        <v>1</v>
      </c>
      <c r="F6968" s="12">
        <v>0</v>
      </c>
    </row>
    <row r="6969" spans="3:6">
      <c r="C6969" s="12"/>
      <c r="D6969" s="12"/>
      <c r="E6969" t="b">
        <f t="shared" si="108"/>
        <v>1</v>
      </c>
      <c r="F6969" s="12">
        <v>0</v>
      </c>
    </row>
    <row r="6970" spans="3:6">
      <c r="C6970" s="12"/>
      <c r="D6970" s="12"/>
      <c r="E6970" t="b">
        <f t="shared" si="108"/>
        <v>1</v>
      </c>
      <c r="F6970" s="12">
        <v>0</v>
      </c>
    </row>
    <row r="6971" spans="3:6">
      <c r="C6971" s="12"/>
      <c r="D6971" s="12"/>
      <c r="E6971" t="b">
        <f t="shared" si="108"/>
        <v>1</v>
      </c>
      <c r="F6971" s="12">
        <v>0</v>
      </c>
    </row>
    <row r="6972" spans="3:6">
      <c r="C6972" s="12"/>
      <c r="D6972" s="12"/>
      <c r="E6972" t="b">
        <f t="shared" si="108"/>
        <v>1</v>
      </c>
      <c r="F6972" s="12">
        <v>0</v>
      </c>
    </row>
    <row r="6973" spans="3:6">
      <c r="C6973" s="12"/>
      <c r="D6973" s="12"/>
      <c r="E6973" t="b">
        <f t="shared" si="108"/>
        <v>1</v>
      </c>
      <c r="F6973" s="12">
        <v>0</v>
      </c>
    </row>
    <row r="6974" spans="3:6">
      <c r="C6974" s="12"/>
      <c r="D6974" s="12"/>
      <c r="E6974" t="b">
        <f t="shared" si="108"/>
        <v>1</v>
      </c>
      <c r="F6974" s="12">
        <v>0</v>
      </c>
    </row>
    <row r="6975" spans="3:6">
      <c r="C6975" s="12"/>
      <c r="D6975" s="12"/>
      <c r="E6975" t="b">
        <f t="shared" si="108"/>
        <v>1</v>
      </c>
      <c r="F6975" s="12">
        <v>0</v>
      </c>
    </row>
    <row r="6976" spans="3:6">
      <c r="C6976" s="12"/>
      <c r="D6976" s="12"/>
      <c r="E6976" t="b">
        <f t="shared" si="108"/>
        <v>1</v>
      </c>
      <c r="F6976" s="12">
        <v>0</v>
      </c>
    </row>
    <row r="6977" spans="3:6">
      <c r="C6977" s="12"/>
      <c r="D6977" s="12"/>
      <c r="E6977" t="b">
        <f t="shared" si="108"/>
        <v>1</v>
      </c>
      <c r="F6977" s="12">
        <v>0</v>
      </c>
    </row>
    <row r="6978" spans="3:6">
      <c r="C6978" s="12"/>
      <c r="D6978" s="12"/>
      <c r="E6978" t="b">
        <f t="shared" si="108"/>
        <v>1</v>
      </c>
      <c r="F6978" s="12">
        <v>0</v>
      </c>
    </row>
    <row r="6979" spans="3:6">
      <c r="C6979" s="12"/>
      <c r="D6979" s="12"/>
      <c r="E6979" t="b">
        <f t="shared" ref="E6979:E7042" si="109">F6979=C6979</f>
        <v>1</v>
      </c>
      <c r="F6979" s="12">
        <v>0</v>
      </c>
    </row>
    <row r="6980" spans="3:6">
      <c r="C6980" s="12"/>
      <c r="D6980" s="12"/>
      <c r="E6980" t="b">
        <f t="shared" si="109"/>
        <v>1</v>
      </c>
      <c r="F6980" s="12">
        <v>0</v>
      </c>
    </row>
    <row r="6981" spans="3:6">
      <c r="C6981" s="12"/>
      <c r="D6981" s="12"/>
      <c r="E6981" t="b">
        <f t="shared" si="109"/>
        <v>1</v>
      </c>
      <c r="F6981" s="12">
        <v>0</v>
      </c>
    </row>
    <row r="6982" spans="3:6">
      <c r="C6982" s="12"/>
      <c r="D6982" s="12"/>
      <c r="E6982" t="b">
        <f t="shared" si="109"/>
        <v>1</v>
      </c>
      <c r="F6982" s="12">
        <v>0</v>
      </c>
    </row>
    <row r="6983" spans="3:6">
      <c r="C6983" s="12"/>
      <c r="D6983" s="12"/>
      <c r="E6983" t="b">
        <f t="shared" si="109"/>
        <v>1</v>
      </c>
      <c r="F6983" s="12">
        <v>0</v>
      </c>
    </row>
    <row r="6984" spans="3:6">
      <c r="C6984" s="12"/>
      <c r="D6984" s="12"/>
      <c r="E6984" t="b">
        <f t="shared" si="109"/>
        <v>1</v>
      </c>
      <c r="F6984" s="12">
        <v>0</v>
      </c>
    </row>
    <row r="6985" spans="3:6">
      <c r="C6985" s="12"/>
      <c r="D6985" s="12"/>
      <c r="E6985" t="b">
        <f t="shared" si="109"/>
        <v>1</v>
      </c>
      <c r="F6985" s="12">
        <v>0</v>
      </c>
    </row>
    <row r="6986" spans="3:6">
      <c r="C6986" s="12"/>
      <c r="D6986" s="12"/>
      <c r="E6986" t="b">
        <f t="shared" si="109"/>
        <v>1</v>
      </c>
      <c r="F6986" s="12">
        <v>0</v>
      </c>
    </row>
    <row r="6987" spans="3:6">
      <c r="C6987" s="12"/>
      <c r="D6987" s="12"/>
      <c r="E6987" t="b">
        <f t="shared" si="109"/>
        <v>1</v>
      </c>
      <c r="F6987" s="12">
        <v>0</v>
      </c>
    </row>
    <row r="6988" spans="3:6">
      <c r="C6988" s="12"/>
      <c r="D6988" s="12"/>
      <c r="E6988" t="b">
        <f t="shared" si="109"/>
        <v>1</v>
      </c>
      <c r="F6988" s="12">
        <v>0</v>
      </c>
    </row>
    <row r="6989" spans="3:6">
      <c r="C6989" s="12"/>
      <c r="D6989" s="12"/>
      <c r="E6989" t="b">
        <f t="shared" si="109"/>
        <v>1</v>
      </c>
      <c r="F6989" s="12">
        <v>0</v>
      </c>
    </row>
    <row r="6990" spans="3:6">
      <c r="C6990" s="12"/>
      <c r="D6990" s="12"/>
      <c r="E6990" t="b">
        <f t="shared" si="109"/>
        <v>1</v>
      </c>
      <c r="F6990" s="12">
        <v>0</v>
      </c>
    </row>
    <row r="6991" spans="3:6">
      <c r="C6991" s="12"/>
      <c r="D6991" s="12"/>
      <c r="E6991" t="b">
        <f t="shared" si="109"/>
        <v>1</v>
      </c>
      <c r="F6991" s="12">
        <v>0</v>
      </c>
    </row>
    <row r="6992" spans="3:6">
      <c r="C6992" s="12"/>
      <c r="D6992" s="12"/>
      <c r="E6992" t="b">
        <f t="shared" si="109"/>
        <v>1</v>
      </c>
      <c r="F6992" s="12">
        <v>0</v>
      </c>
    </row>
    <row r="6993" spans="3:6">
      <c r="C6993" s="12"/>
      <c r="D6993" s="12"/>
      <c r="E6993" t="b">
        <f t="shared" si="109"/>
        <v>1</v>
      </c>
      <c r="F6993" s="12">
        <v>0</v>
      </c>
    </row>
    <row r="6994" spans="3:6">
      <c r="C6994" s="12"/>
      <c r="D6994" s="12"/>
      <c r="E6994" t="b">
        <f t="shared" si="109"/>
        <v>1</v>
      </c>
      <c r="F6994" s="12">
        <v>0</v>
      </c>
    </row>
    <row r="6995" spans="3:6">
      <c r="C6995" s="12"/>
      <c r="D6995" s="12"/>
      <c r="E6995" t="b">
        <f t="shared" si="109"/>
        <v>1</v>
      </c>
      <c r="F6995" s="12">
        <v>0</v>
      </c>
    </row>
    <row r="6996" spans="3:6">
      <c r="C6996" s="12"/>
      <c r="D6996" s="12"/>
      <c r="E6996" t="b">
        <f t="shared" si="109"/>
        <v>1</v>
      </c>
      <c r="F6996" s="12">
        <v>0</v>
      </c>
    </row>
    <row r="6997" spans="3:6">
      <c r="C6997" s="12"/>
      <c r="D6997" s="12"/>
      <c r="E6997" t="b">
        <f t="shared" si="109"/>
        <v>1</v>
      </c>
      <c r="F6997" s="12">
        <v>0</v>
      </c>
    </row>
    <row r="6998" spans="3:6">
      <c r="C6998" s="12"/>
      <c r="D6998" s="12"/>
      <c r="E6998" t="b">
        <f t="shared" si="109"/>
        <v>1</v>
      </c>
      <c r="F6998" s="12">
        <v>0</v>
      </c>
    </row>
    <row r="6999" spans="3:6">
      <c r="C6999" s="12"/>
      <c r="D6999" s="12"/>
      <c r="E6999" t="b">
        <f t="shared" si="109"/>
        <v>1</v>
      </c>
      <c r="F6999" s="12">
        <v>0</v>
      </c>
    </row>
    <row r="7000" spans="3:6">
      <c r="C7000" s="12"/>
      <c r="D7000" s="12"/>
      <c r="E7000" t="b">
        <f t="shared" si="109"/>
        <v>1</v>
      </c>
      <c r="F7000" s="12">
        <v>0</v>
      </c>
    </row>
    <row r="7001" spans="3:6">
      <c r="C7001" s="12"/>
      <c r="D7001" s="12"/>
      <c r="E7001" t="b">
        <f t="shared" si="109"/>
        <v>1</v>
      </c>
      <c r="F7001" s="12">
        <v>0</v>
      </c>
    </row>
    <row r="7002" spans="3:6">
      <c r="C7002" s="12"/>
      <c r="D7002" s="12"/>
      <c r="E7002" t="b">
        <f t="shared" si="109"/>
        <v>1</v>
      </c>
      <c r="F7002" s="12">
        <v>0</v>
      </c>
    </row>
    <row r="7003" spans="3:6">
      <c r="C7003" s="12"/>
      <c r="D7003" s="12"/>
      <c r="E7003" t="b">
        <f t="shared" si="109"/>
        <v>1</v>
      </c>
      <c r="F7003" s="12">
        <v>0</v>
      </c>
    </row>
    <row r="7004" spans="3:6">
      <c r="C7004" s="12"/>
      <c r="D7004" s="12"/>
      <c r="E7004" t="b">
        <f t="shared" si="109"/>
        <v>1</v>
      </c>
      <c r="F7004" s="12">
        <v>0</v>
      </c>
    </row>
    <row r="7005" spans="3:6">
      <c r="C7005" s="12"/>
      <c r="D7005" s="12"/>
      <c r="E7005" t="b">
        <f t="shared" si="109"/>
        <v>1</v>
      </c>
      <c r="F7005" s="12">
        <v>0</v>
      </c>
    </row>
    <row r="7006" spans="3:6">
      <c r="C7006" s="12"/>
      <c r="D7006" s="12"/>
      <c r="E7006" t="b">
        <f t="shared" si="109"/>
        <v>1</v>
      </c>
      <c r="F7006" s="12">
        <v>0</v>
      </c>
    </row>
    <row r="7007" spans="3:6">
      <c r="C7007" s="12"/>
      <c r="D7007" s="12"/>
      <c r="E7007" t="b">
        <f t="shared" si="109"/>
        <v>1</v>
      </c>
      <c r="F7007" s="12">
        <v>0</v>
      </c>
    </row>
    <row r="7008" spans="3:6">
      <c r="C7008" s="12"/>
      <c r="D7008" s="12"/>
      <c r="E7008" t="b">
        <f t="shared" si="109"/>
        <v>1</v>
      </c>
      <c r="F7008" s="12">
        <v>0</v>
      </c>
    </row>
    <row r="7009" spans="3:6">
      <c r="C7009" s="12"/>
      <c r="D7009" s="12"/>
      <c r="E7009" t="b">
        <f t="shared" si="109"/>
        <v>1</v>
      </c>
      <c r="F7009" s="12">
        <v>0</v>
      </c>
    </row>
    <row r="7010" spans="3:6">
      <c r="C7010" s="12"/>
      <c r="D7010" s="12"/>
      <c r="E7010" t="b">
        <f t="shared" si="109"/>
        <v>1</v>
      </c>
      <c r="F7010" s="12">
        <v>0</v>
      </c>
    </row>
    <row r="7011" spans="3:6">
      <c r="C7011" s="12"/>
      <c r="D7011" s="12"/>
      <c r="E7011" t="b">
        <f t="shared" si="109"/>
        <v>1</v>
      </c>
      <c r="F7011" s="12">
        <v>0</v>
      </c>
    </row>
    <row r="7012" spans="3:6">
      <c r="C7012" s="12"/>
      <c r="D7012" s="12"/>
      <c r="E7012" t="b">
        <f t="shared" si="109"/>
        <v>1</v>
      </c>
      <c r="F7012" s="12">
        <v>0</v>
      </c>
    </row>
    <row r="7013" spans="3:6">
      <c r="C7013" s="12"/>
      <c r="D7013" s="12"/>
      <c r="E7013" t="b">
        <f t="shared" si="109"/>
        <v>1</v>
      </c>
      <c r="F7013" s="12">
        <v>0</v>
      </c>
    </row>
    <row r="7014" spans="3:6">
      <c r="C7014" s="12"/>
      <c r="D7014" s="12"/>
      <c r="E7014" t="b">
        <f t="shared" si="109"/>
        <v>1</v>
      </c>
      <c r="F7014" s="12">
        <v>0</v>
      </c>
    </row>
    <row r="7015" spans="3:6">
      <c r="C7015" s="12"/>
      <c r="D7015" s="12"/>
      <c r="E7015" t="b">
        <f t="shared" si="109"/>
        <v>1</v>
      </c>
      <c r="F7015" s="12">
        <v>0</v>
      </c>
    </row>
    <row r="7016" spans="3:6">
      <c r="C7016" s="12"/>
      <c r="D7016" s="12"/>
      <c r="E7016" t="b">
        <f t="shared" si="109"/>
        <v>1</v>
      </c>
      <c r="F7016" s="12">
        <v>0</v>
      </c>
    </row>
    <row r="7017" spans="3:6">
      <c r="C7017" s="12"/>
      <c r="D7017" s="12"/>
      <c r="E7017" t="b">
        <f t="shared" si="109"/>
        <v>1</v>
      </c>
      <c r="F7017" s="12">
        <v>0</v>
      </c>
    </row>
    <row r="7018" spans="3:6">
      <c r="C7018" s="12"/>
      <c r="D7018" s="12"/>
      <c r="E7018" t="b">
        <f t="shared" si="109"/>
        <v>1</v>
      </c>
      <c r="F7018" s="12">
        <v>0</v>
      </c>
    </row>
    <row r="7019" spans="3:6">
      <c r="C7019" s="12"/>
      <c r="D7019" s="12"/>
      <c r="E7019" t="b">
        <f t="shared" si="109"/>
        <v>1</v>
      </c>
      <c r="F7019" s="12">
        <v>0</v>
      </c>
    </row>
    <row r="7020" spans="3:6">
      <c r="C7020" s="12"/>
      <c r="D7020" s="12"/>
      <c r="E7020" t="b">
        <f t="shared" si="109"/>
        <v>1</v>
      </c>
      <c r="F7020" s="12">
        <v>0</v>
      </c>
    </row>
    <row r="7021" spans="3:6">
      <c r="C7021" s="12"/>
      <c r="D7021" s="12"/>
      <c r="E7021" t="b">
        <f t="shared" si="109"/>
        <v>1</v>
      </c>
      <c r="F7021" s="12">
        <v>0</v>
      </c>
    </row>
    <row r="7022" spans="3:6">
      <c r="C7022" s="12"/>
      <c r="D7022" s="12"/>
      <c r="E7022" t="b">
        <f t="shared" si="109"/>
        <v>1</v>
      </c>
      <c r="F7022" s="12">
        <v>0</v>
      </c>
    </row>
    <row r="7023" spans="3:6">
      <c r="C7023" s="12"/>
      <c r="D7023" s="12"/>
      <c r="E7023" t="b">
        <f t="shared" si="109"/>
        <v>1</v>
      </c>
      <c r="F7023" s="12">
        <v>0</v>
      </c>
    </row>
    <row r="7024" spans="3:6">
      <c r="C7024" s="12"/>
      <c r="D7024" s="12"/>
      <c r="E7024" t="b">
        <f t="shared" si="109"/>
        <v>1</v>
      </c>
      <c r="F7024" s="12">
        <v>0</v>
      </c>
    </row>
    <row r="7025" spans="3:6">
      <c r="C7025" s="12"/>
      <c r="D7025" s="12"/>
      <c r="E7025" t="b">
        <f t="shared" si="109"/>
        <v>1</v>
      </c>
      <c r="F7025" s="12">
        <v>0</v>
      </c>
    </row>
    <row r="7026" spans="3:6">
      <c r="C7026" s="12"/>
      <c r="D7026" s="12"/>
      <c r="E7026" t="b">
        <f t="shared" si="109"/>
        <v>1</v>
      </c>
      <c r="F7026" s="12">
        <v>0</v>
      </c>
    </row>
    <row r="7027" spans="3:6">
      <c r="C7027" s="12"/>
      <c r="D7027" s="12"/>
      <c r="E7027" t="b">
        <f t="shared" si="109"/>
        <v>1</v>
      </c>
      <c r="F7027" s="12">
        <v>0</v>
      </c>
    </row>
    <row r="7028" spans="3:6">
      <c r="C7028" s="12"/>
      <c r="D7028" s="12"/>
      <c r="E7028" t="b">
        <f t="shared" si="109"/>
        <v>1</v>
      </c>
      <c r="F7028" s="12">
        <v>0</v>
      </c>
    </row>
    <row r="7029" spans="3:6">
      <c r="C7029" s="12"/>
      <c r="D7029" s="12"/>
      <c r="E7029" t="b">
        <f t="shared" si="109"/>
        <v>1</v>
      </c>
      <c r="F7029" s="12">
        <v>0</v>
      </c>
    </row>
    <row r="7030" spans="3:6">
      <c r="C7030" s="12"/>
      <c r="D7030" s="12"/>
      <c r="E7030" t="b">
        <f t="shared" si="109"/>
        <v>1</v>
      </c>
      <c r="F7030" s="12">
        <v>0</v>
      </c>
    </row>
    <row r="7031" spans="3:6">
      <c r="C7031" s="12"/>
      <c r="D7031" s="12"/>
      <c r="E7031" t="b">
        <f t="shared" si="109"/>
        <v>1</v>
      </c>
      <c r="F7031" s="12">
        <v>0</v>
      </c>
    </row>
    <row r="7032" spans="3:6">
      <c r="C7032" s="12"/>
      <c r="D7032" s="12"/>
      <c r="E7032" t="b">
        <f t="shared" si="109"/>
        <v>1</v>
      </c>
      <c r="F7032" s="12">
        <v>0</v>
      </c>
    </row>
    <row r="7033" spans="3:6">
      <c r="C7033" s="12"/>
      <c r="D7033" s="12"/>
      <c r="E7033" t="b">
        <f t="shared" si="109"/>
        <v>1</v>
      </c>
      <c r="F7033" s="12">
        <v>0</v>
      </c>
    </row>
    <row r="7034" spans="3:6">
      <c r="C7034" s="12"/>
      <c r="D7034" s="12"/>
      <c r="E7034" t="b">
        <f t="shared" si="109"/>
        <v>1</v>
      </c>
      <c r="F7034" s="12">
        <v>0</v>
      </c>
    </row>
    <row r="7035" spans="3:6">
      <c r="C7035" s="12"/>
      <c r="D7035" s="12"/>
      <c r="E7035" t="b">
        <f t="shared" si="109"/>
        <v>1</v>
      </c>
      <c r="F7035" s="12">
        <v>0</v>
      </c>
    </row>
    <row r="7036" spans="3:6">
      <c r="C7036" s="12"/>
      <c r="D7036" s="12"/>
      <c r="E7036" t="b">
        <f t="shared" si="109"/>
        <v>1</v>
      </c>
      <c r="F7036" s="12">
        <v>0</v>
      </c>
    </row>
    <row r="7037" spans="3:6">
      <c r="C7037" s="12"/>
      <c r="D7037" s="12"/>
      <c r="E7037" t="b">
        <f t="shared" si="109"/>
        <v>1</v>
      </c>
      <c r="F7037" s="12">
        <v>0</v>
      </c>
    </row>
    <row r="7038" spans="3:6">
      <c r="C7038" s="12"/>
      <c r="D7038" s="12"/>
      <c r="E7038" t="b">
        <f t="shared" si="109"/>
        <v>1</v>
      </c>
      <c r="F7038" s="12">
        <v>0</v>
      </c>
    </row>
    <row r="7039" spans="3:6">
      <c r="C7039" s="12"/>
      <c r="D7039" s="12"/>
      <c r="E7039" t="b">
        <f t="shared" si="109"/>
        <v>1</v>
      </c>
      <c r="F7039" s="12">
        <v>0</v>
      </c>
    </row>
    <row r="7040" spans="3:6">
      <c r="C7040" s="12"/>
      <c r="D7040" s="12"/>
      <c r="E7040" t="b">
        <f t="shared" si="109"/>
        <v>1</v>
      </c>
      <c r="F7040" s="12">
        <v>0</v>
      </c>
    </row>
    <row r="7041" spans="3:6">
      <c r="C7041" s="12"/>
      <c r="D7041" s="12"/>
      <c r="E7041" t="b">
        <f t="shared" si="109"/>
        <v>1</v>
      </c>
      <c r="F7041" s="12">
        <v>0</v>
      </c>
    </row>
    <row r="7042" spans="3:6">
      <c r="C7042" s="12"/>
      <c r="D7042" s="12"/>
      <c r="E7042" t="b">
        <f t="shared" si="109"/>
        <v>1</v>
      </c>
      <c r="F7042" s="12">
        <v>0</v>
      </c>
    </row>
    <row r="7043" spans="3:6">
      <c r="C7043" s="12"/>
      <c r="D7043" s="12"/>
      <c r="E7043" t="b">
        <f t="shared" ref="E7043:E7106" si="110">F7043=C7043</f>
        <v>1</v>
      </c>
      <c r="F7043" s="12">
        <v>0</v>
      </c>
    </row>
    <row r="7044" spans="3:6">
      <c r="C7044" s="12"/>
      <c r="D7044" s="12"/>
      <c r="E7044" t="b">
        <f t="shared" si="110"/>
        <v>1</v>
      </c>
      <c r="F7044" s="12">
        <v>0</v>
      </c>
    </row>
    <row r="7045" spans="3:6">
      <c r="C7045" s="12"/>
      <c r="D7045" s="12"/>
      <c r="E7045" t="b">
        <f t="shared" si="110"/>
        <v>1</v>
      </c>
      <c r="F7045" s="12">
        <v>0</v>
      </c>
    </row>
    <row r="7046" spans="3:6">
      <c r="C7046" s="12"/>
      <c r="D7046" s="12"/>
      <c r="E7046" t="b">
        <f t="shared" si="110"/>
        <v>1</v>
      </c>
      <c r="F7046" s="12">
        <v>0</v>
      </c>
    </row>
    <row r="7047" spans="3:6">
      <c r="C7047" s="12"/>
      <c r="D7047" s="12"/>
      <c r="E7047" t="b">
        <f t="shared" si="110"/>
        <v>1</v>
      </c>
      <c r="F7047" s="12">
        <v>0</v>
      </c>
    </row>
    <row r="7048" spans="3:6">
      <c r="C7048" s="12"/>
      <c r="D7048" s="12"/>
      <c r="E7048" t="b">
        <f t="shared" si="110"/>
        <v>1</v>
      </c>
      <c r="F7048" s="12">
        <v>0</v>
      </c>
    </row>
    <row r="7049" spans="3:6">
      <c r="C7049" s="12"/>
      <c r="D7049" s="12"/>
      <c r="E7049" t="b">
        <f t="shared" si="110"/>
        <v>1</v>
      </c>
      <c r="F7049" s="12">
        <v>0</v>
      </c>
    </row>
    <row r="7050" spans="3:6">
      <c r="C7050" s="12"/>
      <c r="D7050" s="12"/>
      <c r="E7050" t="b">
        <f t="shared" si="110"/>
        <v>1</v>
      </c>
      <c r="F7050" s="12">
        <v>0</v>
      </c>
    </row>
    <row r="7051" spans="3:6">
      <c r="C7051" s="12"/>
      <c r="D7051" s="12"/>
      <c r="E7051" t="b">
        <f t="shared" si="110"/>
        <v>1</v>
      </c>
      <c r="F7051" s="12">
        <v>0</v>
      </c>
    </row>
    <row r="7052" spans="3:6">
      <c r="C7052" s="12"/>
      <c r="D7052" s="12"/>
      <c r="E7052" t="b">
        <f t="shared" si="110"/>
        <v>1</v>
      </c>
      <c r="F7052" s="12">
        <v>0</v>
      </c>
    </row>
    <row r="7053" spans="3:6">
      <c r="C7053" s="12"/>
      <c r="D7053" s="12"/>
      <c r="E7053" t="b">
        <f t="shared" si="110"/>
        <v>1</v>
      </c>
      <c r="F7053" s="12">
        <v>0</v>
      </c>
    </row>
    <row r="7054" spans="3:6">
      <c r="C7054" s="12"/>
      <c r="D7054" s="12"/>
      <c r="E7054" t="b">
        <f t="shared" si="110"/>
        <v>1</v>
      </c>
      <c r="F7054" s="12">
        <v>0</v>
      </c>
    </row>
    <row r="7055" spans="3:6">
      <c r="C7055" s="12"/>
      <c r="D7055" s="12"/>
      <c r="E7055" t="b">
        <f t="shared" si="110"/>
        <v>1</v>
      </c>
      <c r="F7055" s="12">
        <v>0</v>
      </c>
    </row>
    <row r="7056" spans="3:6">
      <c r="C7056" s="12"/>
      <c r="D7056" s="12"/>
      <c r="E7056" t="b">
        <f t="shared" si="110"/>
        <v>1</v>
      </c>
      <c r="F7056" s="12">
        <v>0</v>
      </c>
    </row>
    <row r="7057" spans="3:6">
      <c r="C7057" s="12"/>
      <c r="D7057" s="12"/>
      <c r="E7057" t="b">
        <f t="shared" si="110"/>
        <v>1</v>
      </c>
      <c r="F7057" s="12">
        <v>0</v>
      </c>
    </row>
    <row r="7058" spans="3:6">
      <c r="C7058" s="12"/>
      <c r="D7058" s="12"/>
      <c r="E7058" t="b">
        <f t="shared" si="110"/>
        <v>1</v>
      </c>
      <c r="F7058" s="12">
        <v>0</v>
      </c>
    </row>
    <row r="7059" spans="3:6">
      <c r="C7059" s="12"/>
      <c r="D7059" s="12"/>
      <c r="E7059" t="b">
        <f t="shared" si="110"/>
        <v>1</v>
      </c>
      <c r="F7059" s="12">
        <v>0</v>
      </c>
    </row>
    <row r="7060" spans="3:6">
      <c r="C7060" s="12"/>
      <c r="D7060" s="12"/>
      <c r="E7060" t="b">
        <f t="shared" si="110"/>
        <v>1</v>
      </c>
      <c r="F7060" s="12">
        <v>0</v>
      </c>
    </row>
    <row r="7061" spans="3:6">
      <c r="C7061" s="12"/>
      <c r="D7061" s="12"/>
      <c r="E7061" t="b">
        <f t="shared" si="110"/>
        <v>1</v>
      </c>
      <c r="F7061" s="12">
        <v>0</v>
      </c>
    </row>
    <row r="7062" spans="3:6">
      <c r="C7062" s="12"/>
      <c r="D7062" s="12"/>
      <c r="E7062" t="b">
        <f t="shared" si="110"/>
        <v>1</v>
      </c>
      <c r="F7062" s="12">
        <v>0</v>
      </c>
    </row>
    <row r="7063" spans="3:6">
      <c r="C7063" s="12"/>
      <c r="D7063" s="12"/>
      <c r="E7063" t="b">
        <f t="shared" si="110"/>
        <v>1</v>
      </c>
      <c r="F7063" s="12">
        <v>0</v>
      </c>
    </row>
    <row r="7064" spans="3:6">
      <c r="C7064" s="12"/>
      <c r="D7064" s="12"/>
      <c r="E7064" t="b">
        <f t="shared" si="110"/>
        <v>1</v>
      </c>
      <c r="F7064" s="12">
        <v>0</v>
      </c>
    </row>
    <row r="7065" spans="3:6">
      <c r="C7065" s="12"/>
      <c r="D7065" s="12"/>
      <c r="E7065" t="b">
        <f t="shared" si="110"/>
        <v>1</v>
      </c>
      <c r="F7065" s="12">
        <v>0</v>
      </c>
    </row>
    <row r="7066" spans="3:6">
      <c r="C7066" s="12"/>
      <c r="D7066" s="12"/>
      <c r="E7066" t="b">
        <f t="shared" si="110"/>
        <v>1</v>
      </c>
      <c r="F7066" s="12">
        <v>0</v>
      </c>
    </row>
    <row r="7067" spans="3:6">
      <c r="C7067" s="12"/>
      <c r="D7067" s="12"/>
      <c r="E7067" t="b">
        <f t="shared" si="110"/>
        <v>1</v>
      </c>
      <c r="F7067" s="12">
        <v>0</v>
      </c>
    </row>
    <row r="7068" spans="3:6">
      <c r="C7068" s="12"/>
      <c r="D7068" s="12"/>
      <c r="E7068" t="b">
        <f t="shared" si="110"/>
        <v>1</v>
      </c>
      <c r="F7068" s="12">
        <v>0</v>
      </c>
    </row>
    <row r="7069" spans="3:6">
      <c r="C7069" s="12"/>
      <c r="D7069" s="12"/>
      <c r="E7069" t="b">
        <f t="shared" si="110"/>
        <v>1</v>
      </c>
      <c r="F7069" s="12">
        <v>0</v>
      </c>
    </row>
    <row r="7070" spans="3:6">
      <c r="C7070" s="12"/>
      <c r="D7070" s="12"/>
      <c r="E7070" t="b">
        <f t="shared" si="110"/>
        <v>1</v>
      </c>
      <c r="F7070" s="12">
        <v>0</v>
      </c>
    </row>
    <row r="7071" spans="3:6">
      <c r="C7071" s="12"/>
      <c r="D7071" s="12"/>
      <c r="E7071" t="b">
        <f t="shared" si="110"/>
        <v>1</v>
      </c>
      <c r="F7071" s="12">
        <v>0</v>
      </c>
    </row>
    <row r="7072" spans="3:6">
      <c r="C7072" s="12"/>
      <c r="D7072" s="12"/>
      <c r="E7072" t="b">
        <f t="shared" si="110"/>
        <v>1</v>
      </c>
      <c r="F7072" s="12">
        <v>0</v>
      </c>
    </row>
    <row r="7073" spans="3:6">
      <c r="C7073" s="12"/>
      <c r="D7073" s="12"/>
      <c r="E7073" t="b">
        <f t="shared" si="110"/>
        <v>1</v>
      </c>
      <c r="F7073" s="12">
        <v>0</v>
      </c>
    </row>
    <row r="7074" spans="3:6">
      <c r="C7074" s="12"/>
      <c r="D7074" s="12"/>
      <c r="E7074" t="b">
        <f t="shared" si="110"/>
        <v>1</v>
      </c>
      <c r="F7074" s="12">
        <v>0</v>
      </c>
    </row>
    <row r="7075" spans="3:6">
      <c r="C7075" s="12"/>
      <c r="D7075" s="12"/>
      <c r="E7075" t="b">
        <f t="shared" si="110"/>
        <v>1</v>
      </c>
      <c r="F7075" s="12">
        <v>0</v>
      </c>
    </row>
    <row r="7076" spans="3:6">
      <c r="C7076" s="12"/>
      <c r="D7076" s="12"/>
      <c r="E7076" t="b">
        <f t="shared" si="110"/>
        <v>1</v>
      </c>
      <c r="F7076" s="12">
        <v>0</v>
      </c>
    </row>
    <row r="7077" spans="3:6">
      <c r="C7077" s="12"/>
      <c r="D7077" s="12"/>
      <c r="E7077" t="b">
        <f t="shared" si="110"/>
        <v>1</v>
      </c>
      <c r="F7077" s="12">
        <v>0</v>
      </c>
    </row>
    <row r="7078" spans="3:6">
      <c r="C7078" s="12"/>
      <c r="D7078" s="12"/>
      <c r="E7078" t="b">
        <f t="shared" si="110"/>
        <v>1</v>
      </c>
      <c r="F7078" s="12">
        <v>0</v>
      </c>
    </row>
    <row r="7079" spans="3:6">
      <c r="C7079" s="12"/>
      <c r="D7079" s="12"/>
      <c r="E7079" t="b">
        <f t="shared" si="110"/>
        <v>1</v>
      </c>
      <c r="F7079" s="12">
        <v>0</v>
      </c>
    </row>
    <row r="7080" spans="3:6">
      <c r="C7080" s="12"/>
      <c r="D7080" s="12"/>
      <c r="E7080" t="b">
        <f t="shared" si="110"/>
        <v>1</v>
      </c>
      <c r="F7080" s="12">
        <v>0</v>
      </c>
    </row>
    <row r="7081" spans="3:6">
      <c r="C7081" s="12"/>
      <c r="D7081" s="12"/>
      <c r="E7081" t="b">
        <f t="shared" si="110"/>
        <v>1</v>
      </c>
      <c r="F7081" s="12">
        <v>0</v>
      </c>
    </row>
    <row r="7082" spans="3:6">
      <c r="C7082" s="12"/>
      <c r="D7082" s="12"/>
      <c r="E7082" t="b">
        <f t="shared" si="110"/>
        <v>1</v>
      </c>
      <c r="F7082" s="12">
        <v>0</v>
      </c>
    </row>
    <row r="7083" spans="3:6">
      <c r="C7083" s="12"/>
      <c r="D7083" s="12"/>
      <c r="E7083" t="b">
        <f t="shared" si="110"/>
        <v>1</v>
      </c>
      <c r="F7083" s="12">
        <v>0</v>
      </c>
    </row>
    <row r="7084" spans="3:6">
      <c r="C7084" s="12"/>
      <c r="D7084" s="12"/>
      <c r="E7084" t="b">
        <f t="shared" si="110"/>
        <v>1</v>
      </c>
      <c r="F7084" s="12">
        <v>0</v>
      </c>
    </row>
    <row r="7085" spans="3:6">
      <c r="C7085" s="12"/>
      <c r="D7085" s="12"/>
      <c r="E7085" t="b">
        <f t="shared" si="110"/>
        <v>1</v>
      </c>
      <c r="F7085" s="12">
        <v>0</v>
      </c>
    </row>
    <row r="7086" spans="3:6">
      <c r="C7086" s="12"/>
      <c r="D7086" s="12"/>
      <c r="E7086" t="b">
        <f t="shared" si="110"/>
        <v>1</v>
      </c>
      <c r="F7086" s="12">
        <v>0</v>
      </c>
    </row>
    <row r="7087" spans="3:6">
      <c r="C7087" s="12"/>
      <c r="D7087" s="12"/>
      <c r="E7087" t="b">
        <f t="shared" si="110"/>
        <v>1</v>
      </c>
      <c r="F7087" s="12">
        <v>0</v>
      </c>
    </row>
    <row r="7088" spans="3:6">
      <c r="C7088" s="12"/>
      <c r="D7088" s="12"/>
      <c r="E7088" t="b">
        <f t="shared" si="110"/>
        <v>1</v>
      </c>
      <c r="F7088" s="12">
        <v>0</v>
      </c>
    </row>
    <row r="7089" spans="3:6">
      <c r="C7089" s="12"/>
      <c r="D7089" s="12"/>
      <c r="E7089" t="b">
        <f t="shared" si="110"/>
        <v>1</v>
      </c>
      <c r="F7089" s="12">
        <v>0</v>
      </c>
    </row>
    <row r="7090" spans="3:6">
      <c r="C7090" s="12"/>
      <c r="D7090" s="12"/>
      <c r="E7090" t="b">
        <f t="shared" si="110"/>
        <v>1</v>
      </c>
      <c r="F7090" s="12">
        <v>0</v>
      </c>
    </row>
    <row r="7091" spans="3:6">
      <c r="C7091" s="12"/>
      <c r="D7091" s="12"/>
      <c r="E7091" t="b">
        <f t="shared" si="110"/>
        <v>1</v>
      </c>
      <c r="F7091" s="12">
        <v>0</v>
      </c>
    </row>
    <row r="7092" spans="3:6">
      <c r="C7092" s="12"/>
      <c r="D7092" s="12"/>
      <c r="E7092" t="b">
        <f t="shared" si="110"/>
        <v>1</v>
      </c>
      <c r="F7092" s="12">
        <v>0</v>
      </c>
    </row>
    <row r="7093" spans="3:6">
      <c r="C7093" s="12"/>
      <c r="D7093" s="12"/>
      <c r="E7093" t="b">
        <f t="shared" si="110"/>
        <v>1</v>
      </c>
      <c r="F7093" s="12">
        <v>0</v>
      </c>
    </row>
    <row r="7094" spans="3:6">
      <c r="C7094" s="12"/>
      <c r="D7094" s="12"/>
      <c r="E7094" t="b">
        <f t="shared" si="110"/>
        <v>1</v>
      </c>
      <c r="F7094" s="12">
        <v>0</v>
      </c>
    </row>
    <row r="7095" spans="3:6">
      <c r="C7095" s="12"/>
      <c r="D7095" s="12"/>
      <c r="E7095" t="b">
        <f t="shared" si="110"/>
        <v>1</v>
      </c>
      <c r="F7095" s="12">
        <v>0</v>
      </c>
    </row>
    <row r="7096" spans="3:6">
      <c r="C7096" s="12"/>
      <c r="D7096" s="12"/>
      <c r="E7096" t="b">
        <f t="shared" si="110"/>
        <v>1</v>
      </c>
      <c r="F7096" s="12">
        <v>0</v>
      </c>
    </row>
    <row r="7097" spans="3:6">
      <c r="C7097" s="12"/>
      <c r="D7097" s="12"/>
      <c r="E7097" t="b">
        <f t="shared" si="110"/>
        <v>1</v>
      </c>
      <c r="F7097" s="12">
        <v>0</v>
      </c>
    </row>
    <row r="7098" spans="3:6">
      <c r="C7098" s="12"/>
      <c r="D7098" s="12"/>
      <c r="E7098" t="b">
        <f t="shared" si="110"/>
        <v>1</v>
      </c>
      <c r="F7098" s="12">
        <v>0</v>
      </c>
    </row>
    <row r="7099" spans="3:6">
      <c r="C7099" s="12"/>
      <c r="D7099" s="12"/>
      <c r="E7099" t="b">
        <f t="shared" si="110"/>
        <v>1</v>
      </c>
      <c r="F7099" s="12">
        <v>0</v>
      </c>
    </row>
    <row r="7100" spans="3:6">
      <c r="C7100" s="12"/>
      <c r="D7100" s="12"/>
      <c r="E7100" t="b">
        <f t="shared" si="110"/>
        <v>1</v>
      </c>
      <c r="F7100" s="12">
        <v>0</v>
      </c>
    </row>
    <row r="7101" spans="3:6">
      <c r="C7101" s="12"/>
      <c r="D7101" s="12"/>
      <c r="E7101" t="b">
        <f t="shared" si="110"/>
        <v>1</v>
      </c>
      <c r="F7101" s="12">
        <v>0</v>
      </c>
    </row>
    <row r="7102" spans="3:6">
      <c r="C7102" s="12"/>
      <c r="D7102" s="12"/>
      <c r="E7102" t="b">
        <f t="shared" si="110"/>
        <v>1</v>
      </c>
      <c r="F7102" s="12">
        <v>0</v>
      </c>
    </row>
    <row r="7103" spans="3:6">
      <c r="C7103" s="12"/>
      <c r="D7103" s="12"/>
      <c r="E7103" t="b">
        <f t="shared" si="110"/>
        <v>1</v>
      </c>
      <c r="F7103" s="12">
        <v>0</v>
      </c>
    </row>
    <row r="7104" spans="3:6">
      <c r="C7104" s="12"/>
      <c r="D7104" s="12"/>
      <c r="E7104" t="b">
        <f t="shared" si="110"/>
        <v>1</v>
      </c>
      <c r="F7104" s="12">
        <v>0</v>
      </c>
    </row>
    <row r="7105" spans="3:6">
      <c r="C7105" s="12"/>
      <c r="D7105" s="12"/>
      <c r="E7105" t="b">
        <f t="shared" si="110"/>
        <v>1</v>
      </c>
      <c r="F7105" s="12">
        <v>0</v>
      </c>
    </row>
    <row r="7106" spans="3:6">
      <c r="C7106" s="12"/>
      <c r="D7106" s="12"/>
      <c r="E7106" t="b">
        <f t="shared" si="110"/>
        <v>1</v>
      </c>
      <c r="F7106" s="12">
        <v>0</v>
      </c>
    </row>
    <row r="7107" spans="3:6">
      <c r="C7107" s="12"/>
      <c r="D7107" s="12"/>
      <c r="E7107" t="b">
        <f t="shared" ref="E7107:E7170" si="111">F7107=C7107</f>
        <v>1</v>
      </c>
      <c r="F7107" s="12">
        <v>0</v>
      </c>
    </row>
    <row r="7108" spans="3:6">
      <c r="C7108" s="12"/>
      <c r="D7108" s="12"/>
      <c r="E7108" t="b">
        <f t="shared" si="111"/>
        <v>1</v>
      </c>
      <c r="F7108" s="12">
        <v>0</v>
      </c>
    </row>
    <row r="7109" spans="3:6">
      <c r="C7109" s="12"/>
      <c r="D7109" s="12"/>
      <c r="E7109" t="b">
        <f t="shared" si="111"/>
        <v>1</v>
      </c>
      <c r="F7109" s="12">
        <v>0</v>
      </c>
    </row>
    <row r="7110" spans="3:6">
      <c r="C7110" s="12"/>
      <c r="D7110" s="12"/>
      <c r="E7110" t="b">
        <f t="shared" si="111"/>
        <v>1</v>
      </c>
      <c r="F7110" s="12">
        <v>0</v>
      </c>
    </row>
    <row r="7111" spans="3:6">
      <c r="C7111" s="12"/>
      <c r="D7111" s="12"/>
      <c r="E7111" t="b">
        <f t="shared" si="111"/>
        <v>1</v>
      </c>
      <c r="F7111" s="12">
        <v>0</v>
      </c>
    </row>
    <row r="7112" spans="3:6">
      <c r="C7112" s="12"/>
      <c r="D7112" s="12"/>
      <c r="E7112" t="b">
        <f t="shared" si="111"/>
        <v>1</v>
      </c>
      <c r="F7112" s="12">
        <v>0</v>
      </c>
    </row>
    <row r="7113" spans="3:6">
      <c r="C7113" s="12"/>
      <c r="D7113" s="12"/>
      <c r="E7113" t="b">
        <f t="shared" si="111"/>
        <v>1</v>
      </c>
      <c r="F7113" s="12">
        <v>0</v>
      </c>
    </row>
    <row r="7114" spans="3:6">
      <c r="C7114" s="12"/>
      <c r="D7114" s="12"/>
      <c r="E7114" t="b">
        <f t="shared" si="111"/>
        <v>1</v>
      </c>
      <c r="F7114" s="12">
        <v>0</v>
      </c>
    </row>
    <row r="7115" spans="3:6">
      <c r="C7115" s="12"/>
      <c r="D7115" s="12"/>
      <c r="E7115" t="b">
        <f t="shared" si="111"/>
        <v>1</v>
      </c>
      <c r="F7115" s="12">
        <v>0</v>
      </c>
    </row>
    <row r="7116" spans="3:6">
      <c r="C7116" s="12"/>
      <c r="D7116" s="12"/>
      <c r="E7116" t="b">
        <f t="shared" si="111"/>
        <v>1</v>
      </c>
      <c r="F7116" s="12">
        <v>0</v>
      </c>
    </row>
    <row r="7117" spans="3:6">
      <c r="C7117" s="12"/>
      <c r="D7117" s="12"/>
      <c r="E7117" t="b">
        <f t="shared" si="111"/>
        <v>1</v>
      </c>
      <c r="F7117" s="12">
        <v>0</v>
      </c>
    </row>
    <row r="7118" spans="3:6">
      <c r="C7118" s="12"/>
      <c r="D7118" s="12"/>
      <c r="E7118" t="b">
        <f t="shared" si="111"/>
        <v>1</v>
      </c>
      <c r="F7118" s="12">
        <v>0</v>
      </c>
    </row>
    <row r="7119" spans="3:6">
      <c r="C7119" s="12"/>
      <c r="D7119" s="12"/>
      <c r="E7119" t="b">
        <f t="shared" si="111"/>
        <v>1</v>
      </c>
      <c r="F7119" s="12">
        <v>0</v>
      </c>
    </row>
    <row r="7120" spans="3:6">
      <c r="C7120" s="12"/>
      <c r="D7120" s="12"/>
      <c r="E7120" t="b">
        <f t="shared" si="111"/>
        <v>1</v>
      </c>
      <c r="F7120" s="12">
        <v>0</v>
      </c>
    </row>
    <row r="7121" spans="3:6">
      <c r="C7121" s="12"/>
      <c r="D7121" s="12"/>
      <c r="E7121" t="b">
        <f t="shared" si="111"/>
        <v>1</v>
      </c>
      <c r="F7121" s="12">
        <v>0</v>
      </c>
    </row>
    <row r="7122" spans="3:6">
      <c r="C7122" s="12"/>
      <c r="D7122" s="12"/>
      <c r="E7122" t="b">
        <f t="shared" si="111"/>
        <v>1</v>
      </c>
      <c r="F7122" s="12">
        <v>0</v>
      </c>
    </row>
    <row r="7123" spans="3:6">
      <c r="C7123" s="12"/>
      <c r="D7123" s="12"/>
      <c r="E7123" t="b">
        <f t="shared" si="111"/>
        <v>1</v>
      </c>
      <c r="F7123" s="12">
        <v>0</v>
      </c>
    </row>
    <row r="7124" spans="3:6">
      <c r="C7124" s="12"/>
      <c r="D7124" s="12"/>
      <c r="E7124" t="b">
        <f t="shared" si="111"/>
        <v>1</v>
      </c>
      <c r="F7124" s="12">
        <v>0</v>
      </c>
    </row>
    <row r="7125" spans="3:6">
      <c r="C7125" s="12"/>
      <c r="D7125" s="12"/>
      <c r="E7125" t="b">
        <f t="shared" si="111"/>
        <v>1</v>
      </c>
      <c r="F7125" s="12">
        <v>0</v>
      </c>
    </row>
    <row r="7126" spans="3:6">
      <c r="C7126" s="12"/>
      <c r="D7126" s="12"/>
      <c r="E7126" t="b">
        <f t="shared" si="111"/>
        <v>1</v>
      </c>
      <c r="F7126" s="12">
        <v>0</v>
      </c>
    </row>
    <row r="7127" spans="3:6">
      <c r="C7127" s="12"/>
      <c r="D7127" s="12"/>
      <c r="E7127" t="b">
        <f t="shared" si="111"/>
        <v>1</v>
      </c>
      <c r="F7127" s="12">
        <v>0</v>
      </c>
    </row>
    <row r="7128" spans="3:6">
      <c r="C7128" s="12"/>
      <c r="D7128" s="12"/>
      <c r="E7128" t="b">
        <f t="shared" si="111"/>
        <v>1</v>
      </c>
      <c r="F7128" s="12">
        <v>0</v>
      </c>
    </row>
    <row r="7129" spans="3:6">
      <c r="C7129" s="12"/>
      <c r="D7129" s="12"/>
      <c r="E7129" t="b">
        <f t="shared" si="111"/>
        <v>1</v>
      </c>
      <c r="F7129" s="12">
        <v>0</v>
      </c>
    </row>
    <row r="7130" spans="3:6">
      <c r="C7130" s="12"/>
      <c r="D7130" s="12"/>
      <c r="E7130" t="b">
        <f t="shared" si="111"/>
        <v>1</v>
      </c>
      <c r="F7130" s="12">
        <v>0</v>
      </c>
    </row>
    <row r="7131" spans="3:6">
      <c r="C7131" s="12"/>
      <c r="D7131" s="12"/>
      <c r="E7131" t="b">
        <f t="shared" si="111"/>
        <v>1</v>
      </c>
      <c r="F7131" s="12">
        <v>0</v>
      </c>
    </row>
    <row r="7132" spans="3:6">
      <c r="C7132" s="12"/>
      <c r="D7132" s="12"/>
      <c r="E7132" t="b">
        <f t="shared" si="111"/>
        <v>1</v>
      </c>
      <c r="F7132" s="12">
        <v>0</v>
      </c>
    </row>
    <row r="7133" spans="3:6">
      <c r="C7133" s="12"/>
      <c r="D7133" s="12"/>
      <c r="E7133" t="b">
        <f t="shared" si="111"/>
        <v>1</v>
      </c>
      <c r="F7133" s="12">
        <v>0</v>
      </c>
    </row>
    <row r="7134" spans="3:6">
      <c r="C7134" s="12"/>
      <c r="D7134" s="12"/>
      <c r="E7134" t="b">
        <f t="shared" si="111"/>
        <v>1</v>
      </c>
      <c r="F7134" s="12">
        <v>0</v>
      </c>
    </row>
    <row r="7135" spans="3:6">
      <c r="C7135" s="12"/>
      <c r="D7135" s="12"/>
      <c r="E7135" t="b">
        <f t="shared" si="111"/>
        <v>1</v>
      </c>
      <c r="F7135" s="12">
        <v>0</v>
      </c>
    </row>
    <row r="7136" spans="3:6">
      <c r="C7136" s="12"/>
      <c r="D7136" s="12"/>
      <c r="E7136" t="b">
        <f t="shared" si="111"/>
        <v>1</v>
      </c>
      <c r="F7136" s="12">
        <v>0</v>
      </c>
    </row>
    <row r="7137" spans="3:6">
      <c r="C7137" s="12"/>
      <c r="D7137" s="12"/>
      <c r="E7137" t="b">
        <f t="shared" si="111"/>
        <v>1</v>
      </c>
      <c r="F7137" s="12">
        <v>0</v>
      </c>
    </row>
    <row r="7138" spans="3:6">
      <c r="C7138" s="12"/>
      <c r="D7138" s="12"/>
      <c r="E7138" t="b">
        <f t="shared" si="111"/>
        <v>1</v>
      </c>
      <c r="F7138" s="12">
        <v>0</v>
      </c>
    </row>
    <row r="7139" spans="3:6">
      <c r="C7139" s="12"/>
      <c r="D7139" s="12"/>
      <c r="E7139" t="b">
        <f t="shared" si="111"/>
        <v>1</v>
      </c>
      <c r="F7139" s="12">
        <v>0</v>
      </c>
    </row>
    <row r="7140" spans="3:6">
      <c r="C7140" s="12"/>
      <c r="D7140" s="12"/>
      <c r="E7140" t="b">
        <f t="shared" si="111"/>
        <v>1</v>
      </c>
      <c r="F7140" s="12">
        <v>0</v>
      </c>
    </row>
    <row r="7141" spans="3:6">
      <c r="C7141" s="12"/>
      <c r="D7141" s="12"/>
      <c r="E7141" t="b">
        <f t="shared" si="111"/>
        <v>1</v>
      </c>
      <c r="F7141" s="12">
        <v>0</v>
      </c>
    </row>
    <row r="7142" spans="3:6">
      <c r="C7142" s="12"/>
      <c r="D7142" s="12"/>
      <c r="E7142" t="b">
        <f t="shared" si="111"/>
        <v>1</v>
      </c>
      <c r="F7142" s="12">
        <v>0</v>
      </c>
    </row>
    <row r="7143" spans="3:6">
      <c r="C7143" s="12"/>
      <c r="D7143" s="12"/>
      <c r="E7143" t="b">
        <f t="shared" si="111"/>
        <v>1</v>
      </c>
      <c r="F7143" s="12">
        <v>0</v>
      </c>
    </row>
    <row r="7144" spans="3:6">
      <c r="C7144" s="12"/>
      <c r="D7144" s="12"/>
      <c r="E7144" t="b">
        <f t="shared" si="111"/>
        <v>1</v>
      </c>
      <c r="F7144" s="12">
        <v>0</v>
      </c>
    </row>
    <row r="7145" spans="3:6">
      <c r="C7145" s="12"/>
      <c r="D7145" s="12"/>
      <c r="E7145" t="b">
        <f t="shared" si="111"/>
        <v>1</v>
      </c>
      <c r="F7145" s="12">
        <v>0</v>
      </c>
    </row>
    <row r="7146" spans="3:6">
      <c r="C7146" s="12"/>
      <c r="D7146" s="12"/>
      <c r="E7146" t="b">
        <f t="shared" si="111"/>
        <v>1</v>
      </c>
      <c r="F7146" s="12">
        <v>0</v>
      </c>
    </row>
    <row r="7147" spans="3:6">
      <c r="C7147" s="12"/>
      <c r="D7147" s="12"/>
      <c r="E7147" t="b">
        <f t="shared" si="111"/>
        <v>1</v>
      </c>
      <c r="F7147" s="12">
        <v>0</v>
      </c>
    </row>
    <row r="7148" spans="3:6">
      <c r="C7148" s="12"/>
      <c r="D7148" s="12"/>
      <c r="E7148" t="b">
        <f t="shared" si="111"/>
        <v>1</v>
      </c>
      <c r="F7148" s="12">
        <v>0</v>
      </c>
    </row>
    <row r="7149" spans="3:6">
      <c r="C7149" s="12"/>
      <c r="D7149" s="12"/>
      <c r="E7149" t="b">
        <f t="shared" si="111"/>
        <v>1</v>
      </c>
      <c r="F7149" s="12">
        <v>0</v>
      </c>
    </row>
    <row r="7150" spans="3:6">
      <c r="C7150" s="12"/>
      <c r="D7150" s="12"/>
      <c r="E7150" t="b">
        <f t="shared" si="111"/>
        <v>1</v>
      </c>
      <c r="F7150" s="12">
        <v>0</v>
      </c>
    </row>
    <row r="7151" spans="3:6">
      <c r="C7151" s="12"/>
      <c r="D7151" s="12"/>
      <c r="E7151" t="b">
        <f t="shared" si="111"/>
        <v>1</v>
      </c>
      <c r="F7151" s="12">
        <v>0</v>
      </c>
    </row>
    <row r="7152" spans="3:6">
      <c r="C7152" s="12"/>
      <c r="D7152" s="12"/>
      <c r="E7152" t="b">
        <f t="shared" si="111"/>
        <v>1</v>
      </c>
      <c r="F7152" s="12">
        <v>0</v>
      </c>
    </row>
    <row r="7153" spans="3:6">
      <c r="C7153" s="12"/>
      <c r="D7153" s="12"/>
      <c r="E7153" t="b">
        <f t="shared" si="111"/>
        <v>1</v>
      </c>
      <c r="F7153" s="12">
        <v>0</v>
      </c>
    </row>
    <row r="7154" spans="3:6">
      <c r="C7154" s="12"/>
      <c r="D7154" s="12"/>
      <c r="E7154" t="b">
        <f t="shared" si="111"/>
        <v>1</v>
      </c>
      <c r="F7154" s="12">
        <v>0</v>
      </c>
    </row>
    <row r="7155" spans="3:6">
      <c r="C7155" s="12"/>
      <c r="D7155" s="12"/>
      <c r="E7155" t="b">
        <f t="shared" si="111"/>
        <v>1</v>
      </c>
      <c r="F7155" s="12">
        <v>0</v>
      </c>
    </row>
    <row r="7156" spans="3:6">
      <c r="C7156" s="12"/>
      <c r="D7156" s="12"/>
      <c r="E7156" t="b">
        <f t="shared" si="111"/>
        <v>1</v>
      </c>
      <c r="F7156" s="12">
        <v>0</v>
      </c>
    </row>
    <row r="7157" spans="3:6">
      <c r="C7157" s="12"/>
      <c r="D7157" s="12"/>
      <c r="E7157" t="b">
        <f t="shared" si="111"/>
        <v>1</v>
      </c>
      <c r="F7157" s="12">
        <v>0</v>
      </c>
    </row>
    <row r="7158" spans="3:6">
      <c r="C7158" s="12"/>
      <c r="D7158" s="12"/>
      <c r="E7158" t="b">
        <f t="shared" si="111"/>
        <v>1</v>
      </c>
      <c r="F7158" s="12">
        <v>0</v>
      </c>
    </row>
    <row r="7159" spans="3:6">
      <c r="C7159" s="12"/>
      <c r="D7159" s="12"/>
      <c r="E7159" t="b">
        <f t="shared" si="111"/>
        <v>1</v>
      </c>
      <c r="F7159" s="12">
        <v>0</v>
      </c>
    </row>
    <row r="7160" spans="3:6">
      <c r="C7160" s="12"/>
      <c r="D7160" s="12"/>
      <c r="E7160" t="b">
        <f t="shared" si="111"/>
        <v>1</v>
      </c>
      <c r="F7160" s="12">
        <v>0</v>
      </c>
    </row>
    <row r="7161" spans="3:6">
      <c r="C7161" s="12"/>
      <c r="D7161" s="12"/>
      <c r="E7161" t="b">
        <f t="shared" si="111"/>
        <v>1</v>
      </c>
      <c r="F7161" s="12">
        <v>0</v>
      </c>
    </row>
    <row r="7162" spans="3:6">
      <c r="C7162" s="12"/>
      <c r="D7162" s="12"/>
      <c r="E7162" t="b">
        <f t="shared" si="111"/>
        <v>1</v>
      </c>
      <c r="F7162" s="12">
        <v>0</v>
      </c>
    </row>
    <row r="7163" spans="3:6">
      <c r="C7163" s="12"/>
      <c r="D7163" s="12"/>
      <c r="E7163" t="b">
        <f t="shared" si="111"/>
        <v>1</v>
      </c>
      <c r="F7163" s="12">
        <v>0</v>
      </c>
    </row>
    <row r="7164" spans="3:6">
      <c r="C7164" s="12"/>
      <c r="D7164" s="12"/>
      <c r="E7164" t="b">
        <f t="shared" si="111"/>
        <v>1</v>
      </c>
      <c r="F7164" s="12">
        <v>0</v>
      </c>
    </row>
    <row r="7165" spans="3:6">
      <c r="C7165" s="12"/>
      <c r="D7165" s="12"/>
      <c r="E7165" t="b">
        <f t="shared" si="111"/>
        <v>1</v>
      </c>
      <c r="F7165" s="12">
        <v>0</v>
      </c>
    </row>
    <row r="7166" spans="3:6">
      <c r="C7166" s="12"/>
      <c r="D7166" s="12"/>
      <c r="E7166" t="b">
        <f t="shared" si="111"/>
        <v>1</v>
      </c>
      <c r="F7166" s="12">
        <v>0</v>
      </c>
    </row>
    <row r="7167" spans="3:6">
      <c r="C7167" s="12"/>
      <c r="D7167" s="12"/>
      <c r="E7167" t="b">
        <f t="shared" si="111"/>
        <v>1</v>
      </c>
      <c r="F7167" s="12">
        <v>0</v>
      </c>
    </row>
    <row r="7168" spans="3:6">
      <c r="C7168" s="12"/>
      <c r="D7168" s="12"/>
      <c r="E7168" t="b">
        <f t="shared" si="111"/>
        <v>1</v>
      </c>
      <c r="F7168" s="12">
        <v>0</v>
      </c>
    </row>
    <row r="7169" spans="3:6">
      <c r="C7169" s="12"/>
      <c r="D7169" s="12"/>
      <c r="E7169" t="b">
        <f t="shared" si="111"/>
        <v>1</v>
      </c>
      <c r="F7169" s="12">
        <v>0</v>
      </c>
    </row>
    <row r="7170" spans="3:6">
      <c r="C7170" s="12"/>
      <c r="D7170" s="12"/>
      <c r="E7170" t="b">
        <f t="shared" si="111"/>
        <v>1</v>
      </c>
      <c r="F7170" s="12">
        <v>0</v>
      </c>
    </row>
    <row r="7171" spans="3:6">
      <c r="C7171" s="12"/>
      <c r="D7171" s="12"/>
      <c r="E7171" t="b">
        <f t="shared" ref="E7171:E7234" si="112">F7171=C7171</f>
        <v>1</v>
      </c>
      <c r="F7171" s="12">
        <v>0</v>
      </c>
    </row>
    <row r="7172" spans="3:6">
      <c r="C7172" s="12"/>
      <c r="D7172" s="12"/>
      <c r="E7172" t="b">
        <f t="shared" si="112"/>
        <v>1</v>
      </c>
      <c r="F7172" s="12">
        <v>0</v>
      </c>
    </row>
    <row r="7173" spans="3:6">
      <c r="C7173" s="12"/>
      <c r="D7173" s="12"/>
      <c r="E7173" t="b">
        <f t="shared" si="112"/>
        <v>1</v>
      </c>
      <c r="F7173" s="12">
        <v>0</v>
      </c>
    </row>
    <row r="7174" spans="3:6">
      <c r="C7174" s="12"/>
      <c r="D7174" s="12"/>
      <c r="E7174" t="b">
        <f t="shared" si="112"/>
        <v>1</v>
      </c>
      <c r="F7174" s="12">
        <v>0</v>
      </c>
    </row>
    <row r="7175" spans="3:6">
      <c r="C7175" s="12"/>
      <c r="D7175" s="12"/>
      <c r="E7175" t="b">
        <f t="shared" si="112"/>
        <v>1</v>
      </c>
      <c r="F7175" s="12">
        <v>0</v>
      </c>
    </row>
    <row r="7176" spans="3:6">
      <c r="C7176" s="12"/>
      <c r="D7176" s="12"/>
      <c r="E7176" t="b">
        <f t="shared" si="112"/>
        <v>1</v>
      </c>
      <c r="F7176" s="12">
        <v>0</v>
      </c>
    </row>
    <row r="7177" spans="3:6">
      <c r="C7177" s="12"/>
      <c r="D7177" s="12"/>
      <c r="E7177" t="b">
        <f t="shared" si="112"/>
        <v>1</v>
      </c>
      <c r="F7177" s="12">
        <v>0</v>
      </c>
    </row>
    <row r="7178" spans="3:6">
      <c r="C7178" s="12"/>
      <c r="D7178" s="12"/>
      <c r="E7178" t="b">
        <f t="shared" si="112"/>
        <v>1</v>
      </c>
      <c r="F7178" s="12">
        <v>0</v>
      </c>
    </row>
    <row r="7179" spans="3:6">
      <c r="C7179" s="12"/>
      <c r="D7179" s="12"/>
      <c r="E7179" t="b">
        <f t="shared" si="112"/>
        <v>1</v>
      </c>
      <c r="F7179" s="12">
        <v>0</v>
      </c>
    </row>
    <row r="7180" spans="3:6">
      <c r="C7180" s="12"/>
      <c r="D7180" s="12"/>
      <c r="E7180" t="b">
        <f t="shared" si="112"/>
        <v>1</v>
      </c>
      <c r="F7180" s="12">
        <v>0</v>
      </c>
    </row>
    <row r="7181" spans="3:6">
      <c r="C7181" s="12"/>
      <c r="D7181" s="12"/>
      <c r="E7181" t="b">
        <f t="shared" si="112"/>
        <v>1</v>
      </c>
      <c r="F7181" s="12">
        <v>0</v>
      </c>
    </row>
    <row r="7182" spans="3:6">
      <c r="C7182" s="12"/>
      <c r="D7182" s="12"/>
      <c r="E7182" t="b">
        <f t="shared" si="112"/>
        <v>1</v>
      </c>
      <c r="F7182" s="12">
        <v>0</v>
      </c>
    </row>
    <row r="7183" spans="3:6">
      <c r="C7183" s="12"/>
      <c r="D7183" s="12"/>
      <c r="E7183" t="b">
        <f t="shared" si="112"/>
        <v>1</v>
      </c>
      <c r="F7183" s="12">
        <v>0</v>
      </c>
    </row>
    <row r="7184" spans="3:6">
      <c r="C7184" s="12"/>
      <c r="D7184" s="12"/>
      <c r="E7184" t="b">
        <f t="shared" si="112"/>
        <v>1</v>
      </c>
      <c r="F7184" s="12">
        <v>0</v>
      </c>
    </row>
    <row r="7185" spans="3:6">
      <c r="C7185" s="12"/>
      <c r="D7185" s="12"/>
      <c r="E7185" t="b">
        <f t="shared" si="112"/>
        <v>1</v>
      </c>
      <c r="F7185" s="12">
        <v>0</v>
      </c>
    </row>
    <row r="7186" spans="3:6">
      <c r="C7186" s="12"/>
      <c r="D7186" s="12"/>
      <c r="E7186" t="b">
        <f t="shared" si="112"/>
        <v>1</v>
      </c>
      <c r="F7186" s="12">
        <v>0</v>
      </c>
    </row>
    <row r="7187" spans="3:6">
      <c r="C7187" s="12"/>
      <c r="D7187" s="12"/>
      <c r="E7187" t="b">
        <f t="shared" si="112"/>
        <v>1</v>
      </c>
      <c r="F7187" s="12">
        <v>0</v>
      </c>
    </row>
    <row r="7188" spans="3:6">
      <c r="C7188" s="12"/>
      <c r="D7188" s="12"/>
      <c r="E7188" t="b">
        <f t="shared" si="112"/>
        <v>1</v>
      </c>
      <c r="F7188" s="12">
        <v>0</v>
      </c>
    </row>
    <row r="7189" spans="3:6">
      <c r="C7189" s="12"/>
      <c r="D7189" s="12"/>
      <c r="E7189" t="b">
        <f t="shared" si="112"/>
        <v>1</v>
      </c>
      <c r="F7189" s="12">
        <v>0</v>
      </c>
    </row>
    <row r="7190" spans="3:6">
      <c r="C7190" s="12"/>
      <c r="D7190" s="12"/>
      <c r="E7190" t="b">
        <f t="shared" si="112"/>
        <v>1</v>
      </c>
      <c r="F7190" s="12">
        <v>0</v>
      </c>
    </row>
    <row r="7191" spans="3:6">
      <c r="C7191" s="12"/>
      <c r="D7191" s="12"/>
      <c r="E7191" t="b">
        <f t="shared" si="112"/>
        <v>1</v>
      </c>
      <c r="F7191" s="12">
        <v>0</v>
      </c>
    </row>
    <row r="7192" spans="3:6">
      <c r="C7192" s="12"/>
      <c r="D7192" s="12"/>
      <c r="E7192" t="b">
        <f t="shared" si="112"/>
        <v>1</v>
      </c>
      <c r="F7192" s="12">
        <v>0</v>
      </c>
    </row>
    <row r="7193" spans="3:6">
      <c r="C7193" s="12"/>
      <c r="D7193" s="12"/>
      <c r="E7193" t="b">
        <f t="shared" si="112"/>
        <v>1</v>
      </c>
      <c r="F7193" s="12">
        <v>0</v>
      </c>
    </row>
    <row r="7194" spans="3:6">
      <c r="C7194" s="12"/>
      <c r="D7194" s="12"/>
      <c r="E7194" t="b">
        <f t="shared" si="112"/>
        <v>1</v>
      </c>
      <c r="F7194" s="12">
        <v>0</v>
      </c>
    </row>
    <row r="7195" spans="3:6">
      <c r="C7195" s="12"/>
      <c r="D7195" s="12"/>
      <c r="E7195" t="b">
        <f t="shared" si="112"/>
        <v>1</v>
      </c>
      <c r="F7195" s="12">
        <v>0</v>
      </c>
    </row>
    <row r="7196" spans="3:6">
      <c r="C7196" s="12"/>
      <c r="D7196" s="12"/>
      <c r="E7196" t="b">
        <f t="shared" si="112"/>
        <v>1</v>
      </c>
      <c r="F7196" s="12">
        <v>0</v>
      </c>
    </row>
    <row r="7197" spans="3:6">
      <c r="C7197" s="12"/>
      <c r="D7197" s="12"/>
      <c r="E7197" t="b">
        <f t="shared" si="112"/>
        <v>1</v>
      </c>
      <c r="F7197" s="12">
        <v>0</v>
      </c>
    </row>
    <row r="7198" spans="3:6">
      <c r="C7198" s="12"/>
      <c r="D7198" s="12"/>
      <c r="E7198" t="b">
        <f t="shared" si="112"/>
        <v>1</v>
      </c>
      <c r="F7198" s="12">
        <v>0</v>
      </c>
    </row>
    <row r="7199" spans="3:6">
      <c r="C7199" s="12"/>
      <c r="D7199" s="12"/>
      <c r="E7199" t="b">
        <f t="shared" si="112"/>
        <v>1</v>
      </c>
      <c r="F7199" s="12">
        <v>0</v>
      </c>
    </row>
    <row r="7200" spans="3:6">
      <c r="C7200" s="12"/>
      <c r="D7200" s="12"/>
      <c r="E7200" t="b">
        <f t="shared" si="112"/>
        <v>1</v>
      </c>
      <c r="F7200" s="12">
        <v>0</v>
      </c>
    </row>
    <row r="7201" spans="3:6">
      <c r="C7201" s="12"/>
      <c r="D7201" s="12"/>
      <c r="E7201" t="b">
        <f t="shared" si="112"/>
        <v>1</v>
      </c>
      <c r="F7201" s="12">
        <v>0</v>
      </c>
    </row>
    <row r="7202" spans="3:6">
      <c r="C7202" s="12"/>
      <c r="D7202" s="12"/>
      <c r="E7202" t="b">
        <f t="shared" si="112"/>
        <v>1</v>
      </c>
      <c r="F7202" s="12">
        <v>0</v>
      </c>
    </row>
    <row r="7203" spans="3:6">
      <c r="C7203" s="12"/>
      <c r="D7203" s="12"/>
      <c r="E7203" t="b">
        <f t="shared" si="112"/>
        <v>1</v>
      </c>
      <c r="F7203" s="12">
        <v>0</v>
      </c>
    </row>
    <row r="7204" spans="3:6">
      <c r="C7204" s="12"/>
      <c r="D7204" s="12"/>
      <c r="E7204" t="b">
        <f t="shared" si="112"/>
        <v>1</v>
      </c>
      <c r="F7204" s="12">
        <v>0</v>
      </c>
    </row>
    <row r="7205" spans="3:6">
      <c r="C7205" s="12"/>
      <c r="D7205" s="12"/>
      <c r="E7205" t="b">
        <f t="shared" si="112"/>
        <v>1</v>
      </c>
      <c r="F7205" s="12">
        <v>0</v>
      </c>
    </row>
    <row r="7206" spans="3:6">
      <c r="C7206" s="12"/>
      <c r="D7206" s="12"/>
      <c r="E7206" t="b">
        <f t="shared" si="112"/>
        <v>1</v>
      </c>
      <c r="F7206" s="12">
        <v>0</v>
      </c>
    </row>
    <row r="7207" spans="3:6">
      <c r="C7207" s="12"/>
      <c r="D7207" s="12"/>
      <c r="E7207" t="b">
        <f t="shared" si="112"/>
        <v>1</v>
      </c>
      <c r="F7207" s="12">
        <v>0</v>
      </c>
    </row>
    <row r="7208" spans="3:6">
      <c r="C7208" s="12"/>
      <c r="D7208" s="12"/>
      <c r="E7208" t="b">
        <f t="shared" si="112"/>
        <v>1</v>
      </c>
      <c r="F7208" s="12">
        <v>0</v>
      </c>
    </row>
    <row r="7209" spans="3:6">
      <c r="C7209" s="12"/>
      <c r="D7209" s="12"/>
      <c r="E7209" t="b">
        <f t="shared" si="112"/>
        <v>1</v>
      </c>
      <c r="F7209" s="12">
        <v>0</v>
      </c>
    </row>
    <row r="7210" spans="3:6">
      <c r="C7210" s="12"/>
      <c r="D7210" s="12"/>
      <c r="E7210" t="b">
        <f t="shared" si="112"/>
        <v>1</v>
      </c>
      <c r="F7210" s="12">
        <v>0</v>
      </c>
    </row>
    <row r="7211" spans="3:6">
      <c r="C7211" s="12"/>
      <c r="D7211" s="12"/>
      <c r="E7211" t="b">
        <f t="shared" si="112"/>
        <v>1</v>
      </c>
      <c r="F7211" s="12">
        <v>0</v>
      </c>
    </row>
    <row r="7212" spans="3:6">
      <c r="C7212" s="12"/>
      <c r="D7212" s="12"/>
      <c r="E7212" t="b">
        <f t="shared" si="112"/>
        <v>1</v>
      </c>
      <c r="F7212" s="12">
        <v>0</v>
      </c>
    </row>
    <row r="7213" spans="3:6">
      <c r="C7213" s="12"/>
      <c r="D7213" s="12"/>
      <c r="E7213" t="b">
        <f t="shared" si="112"/>
        <v>1</v>
      </c>
      <c r="F7213" s="12">
        <v>0</v>
      </c>
    </row>
    <row r="7214" spans="3:6">
      <c r="C7214" s="12"/>
      <c r="D7214" s="12"/>
      <c r="E7214" t="b">
        <f t="shared" si="112"/>
        <v>1</v>
      </c>
      <c r="F7214" s="12">
        <v>0</v>
      </c>
    </row>
    <row r="7215" spans="3:6">
      <c r="C7215" s="12"/>
      <c r="D7215" s="12"/>
      <c r="E7215" t="b">
        <f t="shared" si="112"/>
        <v>1</v>
      </c>
      <c r="F7215" s="12">
        <v>0</v>
      </c>
    </row>
    <row r="7216" spans="3:6">
      <c r="C7216" s="12"/>
      <c r="D7216" s="12"/>
      <c r="E7216" t="b">
        <f t="shared" si="112"/>
        <v>1</v>
      </c>
      <c r="F7216" s="12">
        <v>0</v>
      </c>
    </row>
    <row r="7217" spans="3:6">
      <c r="C7217" s="12"/>
      <c r="D7217" s="12"/>
      <c r="E7217" t="b">
        <f t="shared" si="112"/>
        <v>1</v>
      </c>
      <c r="F7217" s="12">
        <v>0</v>
      </c>
    </row>
    <row r="7218" spans="3:6">
      <c r="C7218" s="12"/>
      <c r="D7218" s="12"/>
      <c r="E7218" t="b">
        <f t="shared" si="112"/>
        <v>1</v>
      </c>
      <c r="F7218" s="12">
        <v>0</v>
      </c>
    </row>
    <row r="7219" spans="3:6">
      <c r="C7219" s="12"/>
      <c r="D7219" s="12"/>
      <c r="E7219" t="b">
        <f t="shared" si="112"/>
        <v>1</v>
      </c>
      <c r="F7219" s="12">
        <v>0</v>
      </c>
    </row>
    <row r="7220" spans="3:6">
      <c r="C7220" s="12"/>
      <c r="D7220" s="12"/>
      <c r="E7220" t="b">
        <f t="shared" si="112"/>
        <v>1</v>
      </c>
      <c r="F7220" s="12">
        <v>0</v>
      </c>
    </row>
    <row r="7221" spans="3:6">
      <c r="C7221" s="12"/>
      <c r="D7221" s="12"/>
      <c r="E7221" t="b">
        <f t="shared" si="112"/>
        <v>1</v>
      </c>
      <c r="F7221" s="12">
        <v>0</v>
      </c>
    </row>
    <row r="7222" spans="3:6">
      <c r="C7222" s="12"/>
      <c r="D7222" s="12"/>
      <c r="E7222" t="b">
        <f t="shared" si="112"/>
        <v>1</v>
      </c>
      <c r="F7222" s="12">
        <v>0</v>
      </c>
    </row>
    <row r="7223" spans="3:6">
      <c r="C7223" s="12"/>
      <c r="D7223" s="12"/>
      <c r="E7223" t="b">
        <f t="shared" si="112"/>
        <v>1</v>
      </c>
      <c r="F7223" s="12">
        <v>0</v>
      </c>
    </row>
    <row r="7224" spans="3:6">
      <c r="C7224" s="12"/>
      <c r="D7224" s="12"/>
      <c r="E7224" t="b">
        <f t="shared" si="112"/>
        <v>1</v>
      </c>
      <c r="F7224" s="12">
        <v>0</v>
      </c>
    </row>
    <row r="7225" spans="3:6">
      <c r="C7225" s="12"/>
      <c r="D7225" s="12"/>
      <c r="E7225" t="b">
        <f t="shared" si="112"/>
        <v>1</v>
      </c>
      <c r="F7225" s="12">
        <v>0</v>
      </c>
    </row>
    <row r="7226" spans="3:6">
      <c r="C7226" s="12"/>
      <c r="D7226" s="12"/>
      <c r="E7226" t="b">
        <f t="shared" si="112"/>
        <v>1</v>
      </c>
      <c r="F7226" s="12">
        <v>0</v>
      </c>
    </row>
    <row r="7227" spans="3:6">
      <c r="C7227" s="12"/>
      <c r="D7227" s="12"/>
      <c r="E7227" t="b">
        <f t="shared" si="112"/>
        <v>1</v>
      </c>
      <c r="F7227" s="12">
        <v>0</v>
      </c>
    </row>
    <row r="7228" spans="3:6">
      <c r="C7228" s="12"/>
      <c r="D7228" s="12"/>
      <c r="E7228" t="b">
        <f t="shared" si="112"/>
        <v>1</v>
      </c>
      <c r="F7228" s="12">
        <v>0</v>
      </c>
    </row>
    <row r="7229" spans="3:6">
      <c r="C7229" s="12"/>
      <c r="D7229" s="12"/>
      <c r="E7229" t="b">
        <f t="shared" si="112"/>
        <v>1</v>
      </c>
      <c r="F7229" s="12">
        <v>0</v>
      </c>
    </row>
    <row r="7230" spans="3:6">
      <c r="C7230" s="12"/>
      <c r="D7230" s="12"/>
      <c r="E7230" t="b">
        <f t="shared" si="112"/>
        <v>1</v>
      </c>
      <c r="F7230" s="12">
        <v>0</v>
      </c>
    </row>
    <row r="7231" spans="3:6">
      <c r="C7231" s="12"/>
      <c r="D7231" s="12"/>
      <c r="E7231" t="b">
        <f t="shared" si="112"/>
        <v>1</v>
      </c>
      <c r="F7231" s="12">
        <v>0</v>
      </c>
    </row>
    <row r="7232" spans="3:6">
      <c r="C7232" s="12"/>
      <c r="D7232" s="12"/>
      <c r="E7232" t="b">
        <f t="shared" si="112"/>
        <v>1</v>
      </c>
      <c r="F7232" s="12">
        <v>0</v>
      </c>
    </row>
    <row r="7233" spans="3:6">
      <c r="C7233" s="12"/>
      <c r="D7233" s="12"/>
      <c r="E7233" t="b">
        <f t="shared" si="112"/>
        <v>1</v>
      </c>
      <c r="F7233" s="12">
        <v>0</v>
      </c>
    </row>
    <row r="7234" spans="3:6">
      <c r="C7234" s="12"/>
      <c r="D7234" s="12"/>
      <c r="E7234" t="b">
        <f t="shared" si="112"/>
        <v>1</v>
      </c>
      <c r="F7234" s="12">
        <v>0</v>
      </c>
    </row>
    <row r="7235" spans="3:6">
      <c r="C7235" s="12"/>
      <c r="D7235" s="12"/>
      <c r="E7235" t="b">
        <f t="shared" ref="E7235:E7298" si="113">F7235=C7235</f>
        <v>1</v>
      </c>
      <c r="F7235" s="12">
        <v>0</v>
      </c>
    </row>
    <row r="7236" spans="3:6">
      <c r="C7236" s="12"/>
      <c r="D7236" s="12"/>
      <c r="E7236" t="b">
        <f t="shared" si="113"/>
        <v>1</v>
      </c>
      <c r="F7236" s="12">
        <v>0</v>
      </c>
    </row>
    <row r="7237" spans="3:6">
      <c r="C7237" s="12"/>
      <c r="D7237" s="12"/>
      <c r="E7237" t="b">
        <f t="shared" si="113"/>
        <v>1</v>
      </c>
      <c r="F7237" s="12">
        <v>0</v>
      </c>
    </row>
    <row r="7238" spans="3:6">
      <c r="C7238" s="12"/>
      <c r="D7238" s="12"/>
      <c r="E7238" t="b">
        <f t="shared" si="113"/>
        <v>1</v>
      </c>
      <c r="F7238" s="12">
        <v>0</v>
      </c>
    </row>
    <row r="7239" spans="3:6">
      <c r="C7239" s="12"/>
      <c r="D7239" s="12"/>
      <c r="E7239" t="b">
        <f t="shared" si="113"/>
        <v>1</v>
      </c>
      <c r="F7239" s="12">
        <v>0</v>
      </c>
    </row>
    <row r="7240" spans="3:6">
      <c r="C7240" s="12"/>
      <c r="D7240" s="12"/>
      <c r="E7240" t="b">
        <f t="shared" si="113"/>
        <v>1</v>
      </c>
      <c r="F7240" s="12">
        <v>0</v>
      </c>
    </row>
    <row r="7241" spans="3:6">
      <c r="C7241" s="12"/>
      <c r="D7241" s="12"/>
      <c r="E7241" t="b">
        <f t="shared" si="113"/>
        <v>1</v>
      </c>
      <c r="F7241" s="12">
        <v>0</v>
      </c>
    </row>
    <row r="7242" spans="3:6">
      <c r="C7242" s="12"/>
      <c r="D7242" s="12"/>
      <c r="E7242" t="b">
        <f t="shared" si="113"/>
        <v>1</v>
      </c>
      <c r="F7242" s="12">
        <v>0</v>
      </c>
    </row>
    <row r="7243" spans="3:6">
      <c r="C7243" s="12"/>
      <c r="D7243" s="12"/>
      <c r="E7243" t="b">
        <f t="shared" si="113"/>
        <v>1</v>
      </c>
      <c r="F7243" s="12">
        <v>0</v>
      </c>
    </row>
    <row r="7244" spans="3:6">
      <c r="C7244" s="12"/>
      <c r="D7244" s="12"/>
      <c r="E7244" t="b">
        <f t="shared" si="113"/>
        <v>1</v>
      </c>
      <c r="F7244" s="12">
        <v>0</v>
      </c>
    </row>
    <row r="7245" spans="3:6">
      <c r="C7245" s="12"/>
      <c r="D7245" s="12"/>
      <c r="E7245" t="b">
        <f t="shared" si="113"/>
        <v>1</v>
      </c>
      <c r="F7245" s="12">
        <v>0</v>
      </c>
    </row>
    <row r="7246" spans="3:6">
      <c r="C7246" s="12"/>
      <c r="D7246" s="12"/>
      <c r="E7246" t="b">
        <f t="shared" si="113"/>
        <v>1</v>
      </c>
      <c r="F7246" s="12">
        <v>0</v>
      </c>
    </row>
    <row r="7247" spans="3:6">
      <c r="C7247" s="12"/>
      <c r="D7247" s="12"/>
      <c r="E7247" t="b">
        <f t="shared" si="113"/>
        <v>1</v>
      </c>
      <c r="F7247" s="12">
        <v>0</v>
      </c>
    </row>
    <row r="7248" spans="3:6">
      <c r="C7248" s="12"/>
      <c r="D7248" s="12"/>
      <c r="E7248" t="b">
        <f t="shared" si="113"/>
        <v>1</v>
      </c>
      <c r="F7248" s="12">
        <v>0</v>
      </c>
    </row>
    <row r="7249" spans="3:6">
      <c r="C7249" s="12"/>
      <c r="D7249" s="12"/>
      <c r="E7249" t="b">
        <f t="shared" si="113"/>
        <v>1</v>
      </c>
      <c r="F7249" s="12">
        <v>0</v>
      </c>
    </row>
    <row r="7250" spans="3:6">
      <c r="C7250" s="12"/>
      <c r="D7250" s="12"/>
      <c r="E7250" t="b">
        <f t="shared" si="113"/>
        <v>1</v>
      </c>
      <c r="F7250" s="12">
        <v>0</v>
      </c>
    </row>
    <row r="7251" spans="3:6">
      <c r="C7251" s="12"/>
      <c r="D7251" s="12"/>
      <c r="E7251" t="b">
        <f t="shared" si="113"/>
        <v>1</v>
      </c>
      <c r="F7251" s="12">
        <v>0</v>
      </c>
    </row>
    <row r="7252" spans="3:6">
      <c r="C7252" s="12"/>
      <c r="D7252" s="12"/>
      <c r="E7252" t="b">
        <f t="shared" si="113"/>
        <v>1</v>
      </c>
      <c r="F7252" s="12">
        <v>0</v>
      </c>
    </row>
    <row r="7253" spans="3:6">
      <c r="C7253" s="12"/>
      <c r="D7253" s="12"/>
      <c r="E7253" t="b">
        <f t="shared" si="113"/>
        <v>1</v>
      </c>
      <c r="F7253" s="12">
        <v>0</v>
      </c>
    </row>
    <row r="7254" spans="3:6">
      <c r="C7254" s="12"/>
      <c r="D7254" s="12"/>
      <c r="E7254" t="b">
        <f t="shared" si="113"/>
        <v>1</v>
      </c>
      <c r="F7254" s="12">
        <v>0</v>
      </c>
    </row>
    <row r="7255" spans="3:6">
      <c r="C7255" s="12"/>
      <c r="D7255" s="12"/>
      <c r="E7255" t="b">
        <f t="shared" si="113"/>
        <v>1</v>
      </c>
      <c r="F7255" s="12">
        <v>0</v>
      </c>
    </row>
    <row r="7256" spans="3:6">
      <c r="C7256" s="12"/>
      <c r="D7256" s="12"/>
      <c r="E7256" t="b">
        <f t="shared" si="113"/>
        <v>1</v>
      </c>
      <c r="F7256" s="12">
        <v>0</v>
      </c>
    </row>
    <row r="7257" spans="3:6">
      <c r="C7257" s="12"/>
      <c r="D7257" s="12"/>
      <c r="E7257" t="b">
        <f t="shared" si="113"/>
        <v>1</v>
      </c>
      <c r="F7257" s="12">
        <v>0</v>
      </c>
    </row>
    <row r="7258" spans="3:6">
      <c r="C7258" s="12"/>
      <c r="D7258" s="12"/>
      <c r="E7258" t="b">
        <f t="shared" si="113"/>
        <v>1</v>
      </c>
      <c r="F7258" s="12">
        <v>0</v>
      </c>
    </row>
    <row r="7259" spans="3:6">
      <c r="C7259" s="12"/>
      <c r="D7259" s="12"/>
      <c r="E7259" t="b">
        <f t="shared" si="113"/>
        <v>1</v>
      </c>
      <c r="F7259" s="12">
        <v>0</v>
      </c>
    </row>
    <row r="7260" spans="3:6">
      <c r="C7260" s="12"/>
      <c r="D7260" s="12"/>
      <c r="E7260" t="b">
        <f t="shared" si="113"/>
        <v>1</v>
      </c>
      <c r="F7260" s="12">
        <v>0</v>
      </c>
    </row>
    <row r="7261" spans="3:6">
      <c r="C7261" s="12"/>
      <c r="D7261" s="12"/>
      <c r="E7261" t="b">
        <f t="shared" si="113"/>
        <v>1</v>
      </c>
      <c r="F7261" s="12">
        <v>0</v>
      </c>
    </row>
    <row r="7262" spans="3:6">
      <c r="C7262" s="12"/>
      <c r="D7262" s="12"/>
      <c r="E7262" t="b">
        <f t="shared" si="113"/>
        <v>1</v>
      </c>
      <c r="F7262" s="12">
        <v>0</v>
      </c>
    </row>
    <row r="7263" spans="3:6">
      <c r="C7263" s="12"/>
      <c r="D7263" s="12"/>
      <c r="E7263" t="b">
        <f t="shared" si="113"/>
        <v>1</v>
      </c>
      <c r="F7263" s="12">
        <v>0</v>
      </c>
    </row>
    <row r="7264" spans="3:6">
      <c r="C7264" s="12"/>
      <c r="D7264" s="12"/>
      <c r="E7264" t="b">
        <f t="shared" si="113"/>
        <v>1</v>
      </c>
      <c r="F7264" s="12">
        <v>0</v>
      </c>
    </row>
    <row r="7265" spans="3:6">
      <c r="C7265" s="12"/>
      <c r="D7265" s="12"/>
      <c r="E7265" t="b">
        <f t="shared" si="113"/>
        <v>1</v>
      </c>
      <c r="F7265" s="12">
        <v>0</v>
      </c>
    </row>
    <row r="7266" spans="3:6">
      <c r="C7266" s="12"/>
      <c r="D7266" s="12"/>
      <c r="E7266" t="b">
        <f t="shared" si="113"/>
        <v>1</v>
      </c>
      <c r="F7266" s="12">
        <v>0</v>
      </c>
    </row>
    <row r="7267" spans="3:6">
      <c r="C7267" s="12"/>
      <c r="D7267" s="12"/>
      <c r="E7267" t="b">
        <f t="shared" si="113"/>
        <v>1</v>
      </c>
      <c r="F7267" s="12">
        <v>0</v>
      </c>
    </row>
    <row r="7268" spans="3:6">
      <c r="C7268" s="12"/>
      <c r="D7268" s="12"/>
      <c r="E7268" t="b">
        <f t="shared" si="113"/>
        <v>1</v>
      </c>
      <c r="F7268" s="12">
        <v>0</v>
      </c>
    </row>
    <row r="7269" spans="3:6">
      <c r="C7269" s="12"/>
      <c r="D7269" s="12"/>
      <c r="E7269" t="b">
        <f t="shared" si="113"/>
        <v>1</v>
      </c>
      <c r="F7269" s="12">
        <v>0</v>
      </c>
    </row>
    <row r="7270" spans="3:6">
      <c r="C7270" s="12"/>
      <c r="D7270" s="12"/>
      <c r="E7270" t="b">
        <f t="shared" si="113"/>
        <v>1</v>
      </c>
      <c r="F7270" s="12">
        <v>0</v>
      </c>
    </row>
    <row r="7271" spans="3:6">
      <c r="C7271" s="12"/>
      <c r="D7271" s="12"/>
      <c r="E7271" t="b">
        <f t="shared" si="113"/>
        <v>1</v>
      </c>
      <c r="F7271" s="12">
        <v>0</v>
      </c>
    </row>
    <row r="7272" spans="3:6">
      <c r="C7272" s="12"/>
      <c r="D7272" s="12"/>
      <c r="E7272" t="b">
        <f t="shared" si="113"/>
        <v>1</v>
      </c>
      <c r="F7272" s="12">
        <v>0</v>
      </c>
    </row>
    <row r="7273" spans="3:6">
      <c r="C7273" s="12"/>
      <c r="D7273" s="12"/>
      <c r="E7273" t="b">
        <f t="shared" si="113"/>
        <v>1</v>
      </c>
      <c r="F7273" s="12">
        <v>0</v>
      </c>
    </row>
    <row r="7274" spans="3:6">
      <c r="C7274" s="12"/>
      <c r="D7274" s="12"/>
      <c r="E7274" t="b">
        <f t="shared" si="113"/>
        <v>1</v>
      </c>
      <c r="F7274" s="12">
        <v>0</v>
      </c>
    </row>
    <row r="7275" spans="3:6">
      <c r="C7275" s="12"/>
      <c r="D7275" s="12"/>
      <c r="E7275" t="b">
        <f t="shared" si="113"/>
        <v>1</v>
      </c>
      <c r="F7275" s="12">
        <v>0</v>
      </c>
    </row>
    <row r="7276" spans="3:6">
      <c r="C7276" s="12"/>
      <c r="D7276" s="12"/>
      <c r="E7276" t="b">
        <f t="shared" si="113"/>
        <v>1</v>
      </c>
      <c r="F7276" s="12">
        <v>0</v>
      </c>
    </row>
    <row r="7277" spans="3:6">
      <c r="C7277" s="12"/>
      <c r="D7277" s="12"/>
      <c r="E7277" t="b">
        <f t="shared" si="113"/>
        <v>1</v>
      </c>
      <c r="F7277" s="12">
        <v>0</v>
      </c>
    </row>
    <row r="7278" spans="3:6">
      <c r="C7278" s="12"/>
      <c r="D7278" s="12"/>
      <c r="E7278" t="b">
        <f t="shared" si="113"/>
        <v>1</v>
      </c>
      <c r="F7278" s="12">
        <v>0</v>
      </c>
    </row>
    <row r="7279" spans="3:6">
      <c r="C7279" s="12"/>
      <c r="D7279" s="12"/>
      <c r="E7279" t="b">
        <f t="shared" si="113"/>
        <v>1</v>
      </c>
      <c r="F7279" s="12">
        <v>0</v>
      </c>
    </row>
    <row r="7280" spans="3:6">
      <c r="C7280" s="12"/>
      <c r="D7280" s="12"/>
      <c r="E7280" t="b">
        <f t="shared" si="113"/>
        <v>1</v>
      </c>
      <c r="F7280" s="12">
        <v>0</v>
      </c>
    </row>
    <row r="7281" spans="3:6">
      <c r="C7281" s="12"/>
      <c r="D7281" s="12"/>
      <c r="E7281" t="b">
        <f t="shared" si="113"/>
        <v>1</v>
      </c>
      <c r="F7281" s="12">
        <v>0</v>
      </c>
    </row>
    <row r="7282" spans="3:6">
      <c r="C7282" s="12"/>
      <c r="D7282" s="12"/>
      <c r="E7282" t="b">
        <f t="shared" si="113"/>
        <v>1</v>
      </c>
      <c r="F7282" s="12">
        <v>0</v>
      </c>
    </row>
    <row r="7283" spans="3:6">
      <c r="C7283" s="12"/>
      <c r="D7283" s="12"/>
      <c r="E7283" t="b">
        <f t="shared" si="113"/>
        <v>1</v>
      </c>
      <c r="F7283" s="12">
        <v>0</v>
      </c>
    </row>
    <row r="7284" spans="3:6">
      <c r="C7284" s="12"/>
      <c r="D7284" s="12"/>
      <c r="E7284" t="b">
        <f t="shared" si="113"/>
        <v>1</v>
      </c>
      <c r="F7284" s="12">
        <v>0</v>
      </c>
    </row>
    <row r="7285" spans="3:6">
      <c r="C7285" s="12"/>
      <c r="D7285" s="12"/>
      <c r="E7285" t="b">
        <f t="shared" si="113"/>
        <v>1</v>
      </c>
      <c r="F7285" s="12">
        <v>0</v>
      </c>
    </row>
    <row r="7286" spans="3:6">
      <c r="C7286" s="12"/>
      <c r="D7286" s="12"/>
      <c r="E7286" t="b">
        <f t="shared" si="113"/>
        <v>1</v>
      </c>
      <c r="F7286" s="12">
        <v>0</v>
      </c>
    </row>
    <row r="7287" spans="3:6">
      <c r="C7287" s="12"/>
      <c r="D7287" s="12"/>
      <c r="E7287" t="b">
        <f t="shared" si="113"/>
        <v>1</v>
      </c>
      <c r="F7287" s="12">
        <v>0</v>
      </c>
    </row>
    <row r="7288" spans="3:6">
      <c r="C7288" s="12"/>
      <c r="D7288" s="12"/>
      <c r="E7288" t="b">
        <f t="shared" si="113"/>
        <v>1</v>
      </c>
      <c r="F7288" s="12">
        <v>0</v>
      </c>
    </row>
    <row r="7289" spans="3:6">
      <c r="C7289" s="12"/>
      <c r="D7289" s="12"/>
      <c r="E7289" t="b">
        <f t="shared" si="113"/>
        <v>1</v>
      </c>
      <c r="F7289" s="12">
        <v>0</v>
      </c>
    </row>
    <row r="7290" spans="3:6">
      <c r="C7290" s="12"/>
      <c r="D7290" s="12"/>
      <c r="E7290" t="b">
        <f t="shared" si="113"/>
        <v>1</v>
      </c>
      <c r="F7290" s="12">
        <v>0</v>
      </c>
    </row>
    <row r="7291" spans="3:6">
      <c r="C7291" s="12"/>
      <c r="D7291" s="12"/>
      <c r="E7291" t="b">
        <f t="shared" si="113"/>
        <v>1</v>
      </c>
      <c r="F7291" s="12">
        <v>0</v>
      </c>
    </row>
    <row r="7292" spans="3:6">
      <c r="C7292" s="12"/>
      <c r="D7292" s="12"/>
      <c r="E7292" t="b">
        <f t="shared" si="113"/>
        <v>1</v>
      </c>
      <c r="F7292" s="12">
        <v>0</v>
      </c>
    </row>
    <row r="7293" spans="3:6">
      <c r="C7293" s="12"/>
      <c r="D7293" s="12"/>
      <c r="E7293" t="b">
        <f t="shared" si="113"/>
        <v>1</v>
      </c>
      <c r="F7293" s="12">
        <v>0</v>
      </c>
    </row>
    <row r="7294" spans="3:6">
      <c r="C7294" s="12"/>
      <c r="D7294" s="12"/>
      <c r="E7294" t="b">
        <f t="shared" si="113"/>
        <v>1</v>
      </c>
      <c r="F7294" s="12">
        <v>0</v>
      </c>
    </row>
    <row r="7295" spans="3:6">
      <c r="C7295" s="12"/>
      <c r="D7295" s="12"/>
      <c r="E7295" t="b">
        <f t="shared" si="113"/>
        <v>1</v>
      </c>
      <c r="F7295" s="12">
        <v>0</v>
      </c>
    </row>
    <row r="7296" spans="3:6">
      <c r="C7296" s="12"/>
      <c r="D7296" s="12"/>
      <c r="E7296" t="b">
        <f t="shared" si="113"/>
        <v>1</v>
      </c>
      <c r="F7296" s="12">
        <v>0</v>
      </c>
    </row>
    <row r="7297" spans="3:6">
      <c r="C7297" s="12"/>
      <c r="D7297" s="12"/>
      <c r="E7297" t="b">
        <f t="shared" si="113"/>
        <v>1</v>
      </c>
      <c r="F7297" s="12">
        <v>0</v>
      </c>
    </row>
    <row r="7298" spans="3:6">
      <c r="C7298" s="12"/>
      <c r="D7298" s="12"/>
      <c r="E7298" t="b">
        <f t="shared" si="113"/>
        <v>1</v>
      </c>
      <c r="F7298" s="12">
        <v>0</v>
      </c>
    </row>
    <row r="7299" spans="3:6">
      <c r="C7299" s="12"/>
      <c r="D7299" s="12"/>
      <c r="E7299" t="b">
        <f t="shared" ref="E7299:E7362" si="114">F7299=C7299</f>
        <v>1</v>
      </c>
      <c r="F7299" s="12">
        <v>0</v>
      </c>
    </row>
    <row r="7300" spans="3:6">
      <c r="C7300" s="12"/>
      <c r="D7300" s="12"/>
      <c r="E7300" t="b">
        <f t="shared" si="114"/>
        <v>1</v>
      </c>
      <c r="F7300" s="12">
        <v>0</v>
      </c>
    </row>
    <row r="7301" spans="3:6">
      <c r="C7301" s="12"/>
      <c r="D7301" s="12"/>
      <c r="E7301" t="b">
        <f t="shared" si="114"/>
        <v>1</v>
      </c>
      <c r="F7301" s="12">
        <v>0</v>
      </c>
    </row>
    <row r="7302" spans="3:6">
      <c r="C7302" s="12"/>
      <c r="D7302" s="12"/>
      <c r="E7302" t="b">
        <f t="shared" si="114"/>
        <v>1</v>
      </c>
      <c r="F7302" s="12">
        <v>0</v>
      </c>
    </row>
    <row r="7303" spans="3:6">
      <c r="C7303" s="12"/>
      <c r="D7303" s="12"/>
      <c r="E7303" t="b">
        <f t="shared" si="114"/>
        <v>1</v>
      </c>
      <c r="F7303" s="12">
        <v>0</v>
      </c>
    </row>
    <row r="7304" spans="3:6">
      <c r="C7304" s="12"/>
      <c r="D7304" s="12"/>
      <c r="E7304" t="b">
        <f t="shared" si="114"/>
        <v>1</v>
      </c>
      <c r="F7304" s="12">
        <v>0</v>
      </c>
    </row>
    <row r="7305" spans="3:6">
      <c r="C7305" s="12"/>
      <c r="D7305" s="12"/>
      <c r="E7305" t="b">
        <f t="shared" si="114"/>
        <v>1</v>
      </c>
      <c r="F7305" s="12">
        <v>0</v>
      </c>
    </row>
    <row r="7306" spans="3:6">
      <c r="C7306" s="12"/>
      <c r="D7306" s="12"/>
      <c r="E7306" t="b">
        <f t="shared" si="114"/>
        <v>1</v>
      </c>
      <c r="F7306" s="12">
        <v>0</v>
      </c>
    </row>
    <row r="7307" spans="3:6">
      <c r="C7307" s="12"/>
      <c r="D7307" s="12"/>
      <c r="E7307" t="b">
        <f t="shared" si="114"/>
        <v>1</v>
      </c>
      <c r="F7307" s="12">
        <v>0</v>
      </c>
    </row>
    <row r="7308" spans="3:6">
      <c r="C7308" s="12"/>
      <c r="D7308" s="12"/>
      <c r="E7308" t="b">
        <f t="shared" si="114"/>
        <v>1</v>
      </c>
      <c r="F7308" s="12">
        <v>0</v>
      </c>
    </row>
    <row r="7309" spans="3:6">
      <c r="C7309" s="12"/>
      <c r="D7309" s="12"/>
      <c r="E7309" t="b">
        <f t="shared" si="114"/>
        <v>1</v>
      </c>
      <c r="F7309" s="12">
        <v>0</v>
      </c>
    </row>
    <row r="7310" spans="3:6">
      <c r="C7310" s="12"/>
      <c r="D7310" s="12"/>
      <c r="E7310" t="b">
        <f t="shared" si="114"/>
        <v>1</v>
      </c>
      <c r="F7310" s="12">
        <v>0</v>
      </c>
    </row>
    <row r="7311" spans="3:6">
      <c r="C7311" s="12"/>
      <c r="D7311" s="12"/>
      <c r="E7311" t="b">
        <f t="shared" si="114"/>
        <v>1</v>
      </c>
      <c r="F7311" s="12">
        <v>0</v>
      </c>
    </row>
    <row r="7312" spans="3:6">
      <c r="C7312" s="12"/>
      <c r="D7312" s="12"/>
      <c r="E7312" t="b">
        <f t="shared" si="114"/>
        <v>1</v>
      </c>
      <c r="F7312" s="12">
        <v>0</v>
      </c>
    </row>
    <row r="7313" spans="3:6">
      <c r="C7313" s="12"/>
      <c r="D7313" s="12"/>
      <c r="E7313" t="b">
        <f t="shared" si="114"/>
        <v>1</v>
      </c>
      <c r="F7313" s="12">
        <v>0</v>
      </c>
    </row>
    <row r="7314" spans="3:6">
      <c r="C7314" s="12"/>
      <c r="D7314" s="12"/>
      <c r="E7314" t="b">
        <f t="shared" si="114"/>
        <v>1</v>
      </c>
      <c r="F7314" s="12">
        <v>0</v>
      </c>
    </row>
    <row r="7315" spans="3:6">
      <c r="C7315" s="12"/>
      <c r="D7315" s="12"/>
      <c r="E7315" t="b">
        <f t="shared" si="114"/>
        <v>1</v>
      </c>
      <c r="F7315" s="12">
        <v>0</v>
      </c>
    </row>
    <row r="7316" spans="3:6">
      <c r="C7316" s="12"/>
      <c r="D7316" s="12"/>
      <c r="E7316" t="b">
        <f t="shared" si="114"/>
        <v>1</v>
      </c>
      <c r="F7316" s="12">
        <v>0</v>
      </c>
    </row>
    <row r="7317" spans="3:6">
      <c r="C7317" s="12"/>
      <c r="D7317" s="12"/>
      <c r="E7317" t="b">
        <f t="shared" si="114"/>
        <v>1</v>
      </c>
      <c r="F7317" s="12">
        <v>0</v>
      </c>
    </row>
    <row r="7318" spans="3:6">
      <c r="C7318" s="12"/>
      <c r="D7318" s="12"/>
      <c r="E7318" t="b">
        <f t="shared" si="114"/>
        <v>1</v>
      </c>
      <c r="F7318" s="12">
        <v>0</v>
      </c>
    </row>
    <row r="7319" spans="3:6">
      <c r="C7319" s="12"/>
      <c r="D7319" s="12"/>
      <c r="E7319" t="b">
        <f t="shared" si="114"/>
        <v>1</v>
      </c>
      <c r="F7319" s="12">
        <v>0</v>
      </c>
    </row>
    <row r="7320" spans="3:6">
      <c r="C7320" s="12"/>
      <c r="D7320" s="12"/>
      <c r="E7320" t="b">
        <f t="shared" si="114"/>
        <v>1</v>
      </c>
      <c r="F7320" s="12">
        <v>0</v>
      </c>
    </row>
    <row r="7321" spans="3:6">
      <c r="C7321" s="12"/>
      <c r="D7321" s="12"/>
      <c r="E7321" t="b">
        <f t="shared" si="114"/>
        <v>1</v>
      </c>
      <c r="F7321" s="12">
        <v>0</v>
      </c>
    </row>
    <row r="7322" spans="3:6">
      <c r="C7322" s="12"/>
      <c r="D7322" s="12"/>
      <c r="E7322" t="b">
        <f t="shared" si="114"/>
        <v>1</v>
      </c>
      <c r="F7322" s="12">
        <v>0</v>
      </c>
    </row>
    <row r="7323" spans="3:6">
      <c r="C7323" s="12"/>
      <c r="D7323" s="12"/>
      <c r="E7323" t="b">
        <f t="shared" si="114"/>
        <v>1</v>
      </c>
      <c r="F7323" s="12">
        <v>0</v>
      </c>
    </row>
    <row r="7324" spans="3:6">
      <c r="C7324" s="12"/>
      <c r="D7324" s="12"/>
      <c r="E7324" t="b">
        <f t="shared" si="114"/>
        <v>1</v>
      </c>
      <c r="F7324" s="12">
        <v>0</v>
      </c>
    </row>
    <row r="7325" spans="3:6">
      <c r="C7325" s="12"/>
      <c r="D7325" s="12"/>
      <c r="E7325" t="b">
        <f t="shared" si="114"/>
        <v>1</v>
      </c>
      <c r="F7325" s="12">
        <v>0</v>
      </c>
    </row>
    <row r="7326" spans="3:6">
      <c r="C7326" s="12"/>
      <c r="D7326" s="12"/>
      <c r="E7326" t="b">
        <f t="shared" si="114"/>
        <v>1</v>
      </c>
      <c r="F7326" s="12">
        <v>0</v>
      </c>
    </row>
    <row r="7327" spans="3:6">
      <c r="C7327" s="12"/>
      <c r="D7327" s="12"/>
      <c r="E7327" t="b">
        <f t="shared" si="114"/>
        <v>1</v>
      </c>
      <c r="F7327" s="12">
        <v>0</v>
      </c>
    </row>
    <row r="7328" spans="3:6">
      <c r="C7328" s="12"/>
      <c r="D7328" s="12"/>
      <c r="E7328" t="b">
        <f t="shared" si="114"/>
        <v>1</v>
      </c>
      <c r="F7328" s="12">
        <v>0</v>
      </c>
    </row>
    <row r="7329" spans="3:6">
      <c r="C7329" s="12"/>
      <c r="D7329" s="12"/>
      <c r="E7329" t="b">
        <f t="shared" si="114"/>
        <v>1</v>
      </c>
      <c r="F7329" s="12">
        <v>0</v>
      </c>
    </row>
    <row r="7330" spans="3:6">
      <c r="C7330" s="12"/>
      <c r="D7330" s="12"/>
      <c r="E7330" t="b">
        <f t="shared" si="114"/>
        <v>1</v>
      </c>
      <c r="F7330" s="12">
        <v>0</v>
      </c>
    </row>
    <row r="7331" spans="3:6">
      <c r="C7331" s="12"/>
      <c r="D7331" s="12"/>
      <c r="E7331" t="b">
        <f t="shared" si="114"/>
        <v>1</v>
      </c>
      <c r="F7331" s="12">
        <v>0</v>
      </c>
    </row>
    <row r="7332" spans="3:6">
      <c r="C7332" s="12"/>
      <c r="D7332" s="12"/>
      <c r="E7332" t="b">
        <f t="shared" si="114"/>
        <v>1</v>
      </c>
      <c r="F7332" s="12">
        <v>0</v>
      </c>
    </row>
    <row r="7333" spans="3:6">
      <c r="C7333" s="12"/>
      <c r="D7333" s="12"/>
      <c r="E7333" t="b">
        <f t="shared" si="114"/>
        <v>1</v>
      </c>
      <c r="F7333" s="12">
        <v>0</v>
      </c>
    </row>
    <row r="7334" spans="3:6">
      <c r="C7334" s="12"/>
      <c r="D7334" s="12"/>
      <c r="E7334" t="b">
        <f t="shared" si="114"/>
        <v>1</v>
      </c>
      <c r="F7334" s="12">
        <v>0</v>
      </c>
    </row>
    <row r="7335" spans="3:6">
      <c r="C7335" s="12"/>
      <c r="D7335" s="12"/>
      <c r="E7335" t="b">
        <f t="shared" si="114"/>
        <v>1</v>
      </c>
      <c r="F7335" s="12">
        <v>0</v>
      </c>
    </row>
    <row r="7336" spans="3:6">
      <c r="C7336" s="12"/>
      <c r="D7336" s="12"/>
      <c r="E7336" t="b">
        <f t="shared" si="114"/>
        <v>1</v>
      </c>
      <c r="F7336" s="12">
        <v>0</v>
      </c>
    </row>
    <row r="7337" spans="3:6">
      <c r="C7337" s="12"/>
      <c r="D7337" s="12"/>
      <c r="E7337" t="b">
        <f t="shared" si="114"/>
        <v>1</v>
      </c>
      <c r="F7337" s="12">
        <v>0</v>
      </c>
    </row>
    <row r="7338" spans="3:6">
      <c r="C7338" s="12"/>
      <c r="D7338" s="12"/>
      <c r="E7338" t="b">
        <f t="shared" si="114"/>
        <v>1</v>
      </c>
      <c r="F7338" s="12">
        <v>0</v>
      </c>
    </row>
    <row r="7339" spans="3:6">
      <c r="C7339" s="12"/>
      <c r="D7339" s="12"/>
      <c r="E7339" t="b">
        <f t="shared" si="114"/>
        <v>1</v>
      </c>
      <c r="F7339" s="12">
        <v>0</v>
      </c>
    </row>
    <row r="7340" spans="3:6">
      <c r="C7340" s="12"/>
      <c r="D7340" s="12"/>
      <c r="E7340" t="b">
        <f t="shared" si="114"/>
        <v>1</v>
      </c>
      <c r="F7340" s="12">
        <v>0</v>
      </c>
    </row>
    <row r="7341" spans="3:6">
      <c r="C7341" s="12"/>
      <c r="D7341" s="12"/>
      <c r="E7341" t="b">
        <f t="shared" si="114"/>
        <v>1</v>
      </c>
      <c r="F7341" s="12">
        <v>0</v>
      </c>
    </row>
    <row r="7342" spans="3:6">
      <c r="C7342" s="12"/>
      <c r="D7342" s="12"/>
      <c r="E7342" t="b">
        <f t="shared" si="114"/>
        <v>1</v>
      </c>
      <c r="F7342" s="12">
        <v>0</v>
      </c>
    </row>
    <row r="7343" spans="3:6">
      <c r="C7343" s="12"/>
      <c r="D7343" s="12"/>
      <c r="E7343" t="b">
        <f t="shared" si="114"/>
        <v>1</v>
      </c>
      <c r="F7343" s="12">
        <v>0</v>
      </c>
    </row>
    <row r="7344" spans="3:6">
      <c r="C7344" s="12"/>
      <c r="D7344" s="12"/>
      <c r="E7344" t="b">
        <f t="shared" si="114"/>
        <v>1</v>
      </c>
      <c r="F7344" s="12">
        <v>0</v>
      </c>
    </row>
    <row r="7345" spans="3:6">
      <c r="C7345" s="12"/>
      <c r="D7345" s="12"/>
      <c r="E7345" t="b">
        <f t="shared" si="114"/>
        <v>1</v>
      </c>
      <c r="F7345" s="12">
        <v>0</v>
      </c>
    </row>
    <row r="7346" spans="3:6">
      <c r="C7346" s="12"/>
      <c r="D7346" s="12"/>
      <c r="E7346" t="b">
        <f t="shared" si="114"/>
        <v>1</v>
      </c>
      <c r="F7346" s="12">
        <v>0</v>
      </c>
    </row>
    <row r="7347" spans="3:6">
      <c r="C7347" s="12"/>
      <c r="D7347" s="12"/>
      <c r="E7347" t="b">
        <f t="shared" si="114"/>
        <v>1</v>
      </c>
      <c r="F7347" s="12">
        <v>0</v>
      </c>
    </row>
    <row r="7348" spans="3:6">
      <c r="C7348" s="12"/>
      <c r="D7348" s="12"/>
      <c r="E7348" t="b">
        <f t="shared" si="114"/>
        <v>1</v>
      </c>
      <c r="F7348" s="12">
        <v>0</v>
      </c>
    </row>
    <row r="7349" spans="3:6">
      <c r="C7349" s="12"/>
      <c r="D7349" s="12"/>
      <c r="E7349" t="b">
        <f t="shared" si="114"/>
        <v>1</v>
      </c>
      <c r="F7349" s="12">
        <v>0</v>
      </c>
    </row>
    <row r="7350" spans="3:6">
      <c r="C7350" s="12"/>
      <c r="D7350" s="12"/>
      <c r="E7350" t="b">
        <f t="shared" si="114"/>
        <v>1</v>
      </c>
      <c r="F7350" s="12">
        <v>0</v>
      </c>
    </row>
    <row r="7351" spans="3:6">
      <c r="C7351" s="12"/>
      <c r="D7351" s="12"/>
      <c r="E7351" t="b">
        <f t="shared" si="114"/>
        <v>1</v>
      </c>
      <c r="F7351" s="12">
        <v>0</v>
      </c>
    </row>
    <row r="7352" spans="3:6">
      <c r="C7352" s="12"/>
      <c r="D7352" s="12"/>
      <c r="E7352" t="b">
        <f t="shared" si="114"/>
        <v>1</v>
      </c>
      <c r="F7352" s="12">
        <v>0</v>
      </c>
    </row>
    <row r="7353" spans="3:6">
      <c r="C7353" s="12"/>
      <c r="D7353" s="12"/>
      <c r="E7353" t="b">
        <f t="shared" si="114"/>
        <v>1</v>
      </c>
      <c r="F7353" s="12">
        <v>0</v>
      </c>
    </row>
    <row r="7354" spans="3:6">
      <c r="C7354" s="12"/>
      <c r="D7354" s="12"/>
      <c r="E7354" t="b">
        <f t="shared" si="114"/>
        <v>1</v>
      </c>
      <c r="F7354" s="12">
        <v>0</v>
      </c>
    </row>
    <row r="7355" spans="3:6">
      <c r="C7355" s="12"/>
      <c r="D7355" s="12"/>
      <c r="E7355" t="b">
        <f t="shared" si="114"/>
        <v>1</v>
      </c>
      <c r="F7355" s="12">
        <v>0</v>
      </c>
    </row>
    <row r="7356" spans="3:6">
      <c r="C7356" s="12"/>
      <c r="D7356" s="12"/>
      <c r="E7356" t="b">
        <f t="shared" si="114"/>
        <v>1</v>
      </c>
      <c r="F7356" s="12">
        <v>0</v>
      </c>
    </row>
    <row r="7357" spans="3:6">
      <c r="C7357" s="12"/>
      <c r="D7357" s="12"/>
      <c r="E7357" t="b">
        <f t="shared" si="114"/>
        <v>1</v>
      </c>
      <c r="F7357" s="12">
        <v>0</v>
      </c>
    </row>
    <row r="7358" spans="3:6">
      <c r="C7358" s="12"/>
      <c r="D7358" s="12"/>
      <c r="E7358" t="b">
        <f t="shared" si="114"/>
        <v>1</v>
      </c>
      <c r="F7358" s="12">
        <v>0</v>
      </c>
    </row>
    <row r="7359" spans="3:6">
      <c r="C7359" s="12"/>
      <c r="D7359" s="12"/>
      <c r="E7359" t="b">
        <f t="shared" si="114"/>
        <v>1</v>
      </c>
      <c r="F7359" s="12">
        <v>0</v>
      </c>
    </row>
    <row r="7360" spans="3:6">
      <c r="C7360" s="12"/>
      <c r="D7360" s="12"/>
      <c r="E7360" t="b">
        <f t="shared" si="114"/>
        <v>1</v>
      </c>
      <c r="F7360" s="12">
        <v>0</v>
      </c>
    </row>
    <row r="7361" spans="3:6">
      <c r="C7361" s="12"/>
      <c r="D7361" s="12"/>
      <c r="E7361" t="b">
        <f t="shared" si="114"/>
        <v>1</v>
      </c>
      <c r="F7361" s="12">
        <v>0</v>
      </c>
    </row>
    <row r="7362" spans="3:6">
      <c r="C7362" s="12"/>
      <c r="D7362" s="12"/>
      <c r="E7362" t="b">
        <f t="shared" si="114"/>
        <v>1</v>
      </c>
      <c r="F7362" s="12">
        <v>0</v>
      </c>
    </row>
    <row r="7363" spans="3:6">
      <c r="C7363" s="12"/>
      <c r="D7363" s="12"/>
      <c r="E7363" t="b">
        <f t="shared" ref="E7363:E7426" si="115">F7363=C7363</f>
        <v>1</v>
      </c>
      <c r="F7363" s="12">
        <v>0</v>
      </c>
    </row>
    <row r="7364" spans="3:6">
      <c r="C7364" s="12"/>
      <c r="D7364" s="12"/>
      <c r="E7364" t="b">
        <f t="shared" si="115"/>
        <v>1</v>
      </c>
      <c r="F7364" s="12">
        <v>0</v>
      </c>
    </row>
    <row r="7365" spans="3:6">
      <c r="C7365" s="12"/>
      <c r="D7365" s="12"/>
      <c r="E7365" t="b">
        <f t="shared" si="115"/>
        <v>1</v>
      </c>
      <c r="F7365" s="12">
        <v>0</v>
      </c>
    </row>
    <row r="7366" spans="3:6">
      <c r="C7366" s="12"/>
      <c r="D7366" s="12"/>
      <c r="E7366" t="b">
        <f t="shared" si="115"/>
        <v>1</v>
      </c>
      <c r="F7366" s="12">
        <v>0</v>
      </c>
    </row>
    <row r="7367" spans="3:6">
      <c r="C7367" s="12"/>
      <c r="D7367" s="12"/>
      <c r="E7367" t="b">
        <f t="shared" si="115"/>
        <v>1</v>
      </c>
      <c r="F7367" s="12">
        <v>0</v>
      </c>
    </row>
    <row r="7368" spans="3:6">
      <c r="C7368" s="12"/>
      <c r="D7368" s="12"/>
      <c r="E7368" t="b">
        <f t="shared" si="115"/>
        <v>1</v>
      </c>
      <c r="F7368" s="12">
        <v>0</v>
      </c>
    </row>
    <row r="7369" spans="3:6">
      <c r="C7369" s="12"/>
      <c r="D7369" s="12"/>
      <c r="E7369" t="b">
        <f t="shared" si="115"/>
        <v>1</v>
      </c>
      <c r="F7369" s="12">
        <v>0</v>
      </c>
    </row>
    <row r="7370" spans="3:6">
      <c r="C7370" s="12"/>
      <c r="D7370" s="12"/>
      <c r="E7370" t="b">
        <f t="shared" si="115"/>
        <v>1</v>
      </c>
      <c r="F7370" s="12">
        <v>0</v>
      </c>
    </row>
    <row r="7371" spans="3:6">
      <c r="C7371" s="12"/>
      <c r="D7371" s="12"/>
      <c r="E7371" t="b">
        <f t="shared" si="115"/>
        <v>1</v>
      </c>
      <c r="F7371" s="12">
        <v>0</v>
      </c>
    </row>
    <row r="7372" spans="3:6">
      <c r="C7372" s="12"/>
      <c r="D7372" s="12"/>
      <c r="E7372" t="b">
        <f t="shared" si="115"/>
        <v>1</v>
      </c>
      <c r="F7372" s="12">
        <v>0</v>
      </c>
    </row>
    <row r="7373" spans="3:6">
      <c r="C7373" s="12"/>
      <c r="D7373" s="12"/>
      <c r="E7373" t="b">
        <f t="shared" si="115"/>
        <v>1</v>
      </c>
      <c r="F7373" s="12">
        <v>0</v>
      </c>
    </row>
    <row r="7374" spans="3:6">
      <c r="C7374" s="12"/>
      <c r="D7374" s="12"/>
      <c r="E7374" t="b">
        <f t="shared" si="115"/>
        <v>1</v>
      </c>
      <c r="F7374" s="12">
        <v>0</v>
      </c>
    </row>
    <row r="7375" spans="3:6">
      <c r="C7375" s="12"/>
      <c r="D7375" s="12"/>
      <c r="E7375" t="b">
        <f t="shared" si="115"/>
        <v>1</v>
      </c>
      <c r="F7375" s="12">
        <v>0</v>
      </c>
    </row>
    <row r="7376" spans="3:6">
      <c r="C7376" s="12"/>
      <c r="D7376" s="12"/>
      <c r="E7376" t="b">
        <f t="shared" si="115"/>
        <v>1</v>
      </c>
      <c r="F7376" s="12">
        <v>0</v>
      </c>
    </row>
    <row r="7377" spans="3:6">
      <c r="C7377" s="12"/>
      <c r="D7377" s="12"/>
      <c r="E7377" t="b">
        <f t="shared" si="115"/>
        <v>1</v>
      </c>
      <c r="F7377" s="12">
        <v>0</v>
      </c>
    </row>
    <row r="7378" spans="3:6">
      <c r="C7378" s="12"/>
      <c r="D7378" s="12"/>
      <c r="E7378" t="b">
        <f t="shared" si="115"/>
        <v>1</v>
      </c>
      <c r="F7378" s="12">
        <v>0</v>
      </c>
    </row>
    <row r="7379" spans="3:6">
      <c r="C7379" s="12"/>
      <c r="D7379" s="12"/>
      <c r="E7379" t="b">
        <f t="shared" si="115"/>
        <v>1</v>
      </c>
      <c r="F7379" s="12">
        <v>0</v>
      </c>
    </row>
    <row r="7380" spans="3:6">
      <c r="C7380" s="12"/>
      <c r="D7380" s="12"/>
      <c r="E7380" t="b">
        <f t="shared" si="115"/>
        <v>1</v>
      </c>
      <c r="F7380" s="12">
        <v>0</v>
      </c>
    </row>
    <row r="7381" spans="3:6">
      <c r="C7381" s="12"/>
      <c r="D7381" s="12"/>
      <c r="E7381" t="b">
        <f t="shared" si="115"/>
        <v>1</v>
      </c>
      <c r="F7381" s="12">
        <v>0</v>
      </c>
    </row>
    <row r="7382" spans="3:6">
      <c r="C7382" s="12"/>
      <c r="D7382" s="12"/>
      <c r="E7382" t="b">
        <f t="shared" si="115"/>
        <v>1</v>
      </c>
      <c r="F7382" s="12">
        <v>0</v>
      </c>
    </row>
    <row r="7383" spans="3:6">
      <c r="C7383" s="12"/>
      <c r="D7383" s="12"/>
      <c r="E7383" t="b">
        <f t="shared" si="115"/>
        <v>1</v>
      </c>
      <c r="F7383" s="12">
        <v>0</v>
      </c>
    </row>
    <row r="7384" spans="3:6">
      <c r="C7384" s="12"/>
      <c r="D7384" s="12"/>
      <c r="E7384" t="b">
        <f t="shared" si="115"/>
        <v>1</v>
      </c>
      <c r="F7384" s="12">
        <v>0</v>
      </c>
    </row>
    <row r="7385" spans="3:6">
      <c r="C7385" s="12"/>
      <c r="D7385" s="12"/>
      <c r="E7385" t="b">
        <f t="shared" si="115"/>
        <v>1</v>
      </c>
      <c r="F7385" s="12">
        <v>0</v>
      </c>
    </row>
    <row r="7386" spans="3:6">
      <c r="C7386" s="12"/>
      <c r="D7386" s="12"/>
      <c r="E7386" t="b">
        <f t="shared" si="115"/>
        <v>1</v>
      </c>
      <c r="F7386" s="12">
        <v>0</v>
      </c>
    </row>
    <row r="7387" spans="3:6">
      <c r="C7387" s="12"/>
      <c r="D7387" s="12"/>
      <c r="E7387" t="b">
        <f t="shared" si="115"/>
        <v>1</v>
      </c>
      <c r="F7387" s="12">
        <v>0</v>
      </c>
    </row>
    <row r="7388" spans="3:6">
      <c r="C7388" s="12"/>
      <c r="D7388" s="12"/>
      <c r="E7388" t="b">
        <f t="shared" si="115"/>
        <v>1</v>
      </c>
      <c r="F7388" s="12">
        <v>0</v>
      </c>
    </row>
    <row r="7389" spans="3:6">
      <c r="C7389" s="12"/>
      <c r="D7389" s="12"/>
      <c r="E7389" t="b">
        <f t="shared" si="115"/>
        <v>1</v>
      </c>
      <c r="F7389" s="12">
        <v>0</v>
      </c>
    </row>
    <row r="7390" spans="3:6">
      <c r="C7390" s="12"/>
      <c r="D7390" s="12"/>
      <c r="E7390" t="b">
        <f t="shared" si="115"/>
        <v>1</v>
      </c>
      <c r="F7390" s="12">
        <v>0</v>
      </c>
    </row>
    <row r="7391" spans="3:6">
      <c r="C7391" s="12"/>
      <c r="D7391" s="12"/>
      <c r="E7391" t="b">
        <f t="shared" si="115"/>
        <v>1</v>
      </c>
      <c r="F7391" s="12">
        <v>0</v>
      </c>
    </row>
    <row r="7392" spans="3:6">
      <c r="C7392" s="12"/>
      <c r="D7392" s="12"/>
      <c r="E7392" t="b">
        <f t="shared" si="115"/>
        <v>1</v>
      </c>
      <c r="F7392" s="12">
        <v>0</v>
      </c>
    </row>
    <row r="7393" spans="3:6">
      <c r="C7393" s="12"/>
      <c r="D7393" s="12"/>
      <c r="E7393" t="b">
        <f t="shared" si="115"/>
        <v>1</v>
      </c>
      <c r="F7393" s="12">
        <v>0</v>
      </c>
    </row>
    <row r="7394" spans="3:6">
      <c r="C7394" s="12"/>
      <c r="D7394" s="12"/>
      <c r="E7394" t="b">
        <f t="shared" si="115"/>
        <v>1</v>
      </c>
      <c r="F7394" s="12">
        <v>0</v>
      </c>
    </row>
    <row r="7395" spans="3:6">
      <c r="C7395" s="12"/>
      <c r="D7395" s="12"/>
      <c r="E7395" t="b">
        <f t="shared" si="115"/>
        <v>1</v>
      </c>
      <c r="F7395" s="12">
        <v>0</v>
      </c>
    </row>
    <row r="7396" spans="3:6">
      <c r="C7396" s="12"/>
      <c r="D7396" s="12"/>
      <c r="E7396" t="b">
        <f t="shared" si="115"/>
        <v>1</v>
      </c>
      <c r="F7396" s="12">
        <v>0</v>
      </c>
    </row>
    <row r="7397" spans="3:6">
      <c r="C7397" s="12"/>
      <c r="D7397" s="12"/>
      <c r="E7397" t="b">
        <f t="shared" si="115"/>
        <v>1</v>
      </c>
      <c r="F7397" s="12">
        <v>0</v>
      </c>
    </row>
    <row r="7398" spans="3:6">
      <c r="C7398" s="12"/>
      <c r="D7398" s="12"/>
      <c r="E7398" t="b">
        <f t="shared" si="115"/>
        <v>1</v>
      </c>
      <c r="F7398" s="12">
        <v>0</v>
      </c>
    </row>
    <row r="7399" spans="3:6">
      <c r="C7399" s="12"/>
      <c r="D7399" s="12"/>
      <c r="E7399" t="b">
        <f t="shared" si="115"/>
        <v>1</v>
      </c>
      <c r="F7399" s="12">
        <v>0</v>
      </c>
    </row>
    <row r="7400" spans="3:6">
      <c r="C7400" s="12"/>
      <c r="D7400" s="12"/>
      <c r="E7400" t="b">
        <f t="shared" si="115"/>
        <v>1</v>
      </c>
      <c r="F7400" s="12">
        <v>0</v>
      </c>
    </row>
    <row r="7401" spans="3:6">
      <c r="C7401" s="12"/>
      <c r="D7401" s="12"/>
      <c r="E7401" t="b">
        <f t="shared" si="115"/>
        <v>1</v>
      </c>
      <c r="F7401" s="12">
        <v>0</v>
      </c>
    </row>
    <row r="7402" spans="3:6">
      <c r="C7402" s="12"/>
      <c r="D7402" s="12"/>
      <c r="E7402" t="b">
        <f t="shared" si="115"/>
        <v>1</v>
      </c>
      <c r="F7402" s="12">
        <v>0</v>
      </c>
    </row>
    <row r="7403" spans="3:6">
      <c r="C7403" s="12"/>
      <c r="D7403" s="12"/>
      <c r="E7403" t="b">
        <f t="shared" si="115"/>
        <v>1</v>
      </c>
      <c r="F7403" s="12">
        <v>0</v>
      </c>
    </row>
    <row r="7404" spans="3:6">
      <c r="C7404" s="12"/>
      <c r="D7404" s="12"/>
      <c r="E7404" t="b">
        <f t="shared" si="115"/>
        <v>1</v>
      </c>
      <c r="F7404" s="12">
        <v>0</v>
      </c>
    </row>
    <row r="7405" spans="3:6">
      <c r="C7405" s="12"/>
      <c r="D7405" s="12"/>
      <c r="E7405" t="b">
        <f t="shared" si="115"/>
        <v>1</v>
      </c>
      <c r="F7405" s="12">
        <v>0</v>
      </c>
    </row>
    <row r="7406" spans="3:6">
      <c r="C7406" s="12"/>
      <c r="D7406" s="12"/>
      <c r="E7406" t="b">
        <f t="shared" si="115"/>
        <v>1</v>
      </c>
      <c r="F7406" s="12">
        <v>0</v>
      </c>
    </row>
    <row r="7407" spans="3:6">
      <c r="C7407" s="12"/>
      <c r="D7407" s="12"/>
      <c r="E7407" t="b">
        <f t="shared" si="115"/>
        <v>1</v>
      </c>
      <c r="F7407" s="12">
        <v>0</v>
      </c>
    </row>
    <row r="7408" spans="3:6">
      <c r="C7408" s="12"/>
      <c r="D7408" s="12"/>
      <c r="E7408" t="b">
        <f t="shared" si="115"/>
        <v>1</v>
      </c>
      <c r="F7408" s="12">
        <v>0</v>
      </c>
    </row>
    <row r="7409" spans="3:6">
      <c r="C7409" s="12"/>
      <c r="D7409" s="12"/>
      <c r="E7409" t="b">
        <f t="shared" si="115"/>
        <v>1</v>
      </c>
      <c r="F7409" s="12">
        <v>0</v>
      </c>
    </row>
    <row r="7410" spans="3:6">
      <c r="C7410" s="12"/>
      <c r="D7410" s="12"/>
      <c r="E7410" t="b">
        <f t="shared" si="115"/>
        <v>1</v>
      </c>
      <c r="F7410" s="12">
        <v>0</v>
      </c>
    </row>
    <row r="7411" spans="3:6">
      <c r="C7411" s="12"/>
      <c r="D7411" s="12"/>
      <c r="E7411" t="b">
        <f t="shared" si="115"/>
        <v>1</v>
      </c>
      <c r="F7411" s="12">
        <v>0</v>
      </c>
    </row>
    <row r="7412" spans="3:6">
      <c r="C7412" s="12"/>
      <c r="D7412" s="12"/>
      <c r="E7412" t="b">
        <f t="shared" si="115"/>
        <v>1</v>
      </c>
      <c r="F7412" s="12">
        <v>0</v>
      </c>
    </row>
    <row r="7413" spans="3:6">
      <c r="C7413" s="12"/>
      <c r="D7413" s="12"/>
      <c r="E7413" t="b">
        <f t="shared" si="115"/>
        <v>1</v>
      </c>
      <c r="F7413" s="12">
        <v>0</v>
      </c>
    </row>
    <row r="7414" spans="3:6">
      <c r="C7414" s="12"/>
      <c r="D7414" s="12"/>
      <c r="E7414" t="b">
        <f t="shared" si="115"/>
        <v>1</v>
      </c>
      <c r="F7414" s="12">
        <v>0</v>
      </c>
    </row>
    <row r="7415" spans="3:6">
      <c r="C7415" s="12"/>
      <c r="D7415" s="12"/>
      <c r="E7415" t="b">
        <f t="shared" si="115"/>
        <v>1</v>
      </c>
      <c r="F7415" s="12">
        <v>0</v>
      </c>
    </row>
    <row r="7416" spans="3:6">
      <c r="C7416" s="12"/>
      <c r="D7416" s="12"/>
      <c r="E7416" t="b">
        <f t="shared" si="115"/>
        <v>1</v>
      </c>
      <c r="F7416" s="12">
        <v>0</v>
      </c>
    </row>
    <row r="7417" spans="3:6">
      <c r="C7417" s="12"/>
      <c r="D7417" s="12"/>
      <c r="E7417" t="b">
        <f t="shared" si="115"/>
        <v>1</v>
      </c>
      <c r="F7417" s="12">
        <v>0</v>
      </c>
    </row>
    <row r="7418" spans="3:6">
      <c r="C7418" s="12"/>
      <c r="D7418" s="12"/>
      <c r="E7418" t="b">
        <f t="shared" si="115"/>
        <v>1</v>
      </c>
      <c r="F7418" s="12">
        <v>0</v>
      </c>
    </row>
    <row r="7419" spans="3:6">
      <c r="C7419" s="12"/>
      <c r="D7419" s="12"/>
      <c r="E7419" t="b">
        <f t="shared" si="115"/>
        <v>1</v>
      </c>
      <c r="F7419" s="12">
        <v>0</v>
      </c>
    </row>
    <row r="7420" spans="3:6">
      <c r="C7420" s="12"/>
      <c r="D7420" s="12"/>
      <c r="E7420" t="b">
        <f t="shared" si="115"/>
        <v>1</v>
      </c>
      <c r="F7420" s="12">
        <v>0</v>
      </c>
    </row>
    <row r="7421" spans="3:6">
      <c r="C7421" s="12"/>
      <c r="D7421" s="12"/>
      <c r="E7421" t="b">
        <f t="shared" si="115"/>
        <v>1</v>
      </c>
      <c r="F7421" s="12">
        <v>0</v>
      </c>
    </row>
    <row r="7422" spans="3:6">
      <c r="C7422" s="12"/>
      <c r="D7422" s="12"/>
      <c r="E7422" t="b">
        <f t="shared" si="115"/>
        <v>1</v>
      </c>
      <c r="F7422" s="12">
        <v>0</v>
      </c>
    </row>
    <row r="7423" spans="3:6">
      <c r="C7423" s="12"/>
      <c r="D7423" s="12"/>
      <c r="E7423" t="b">
        <f t="shared" si="115"/>
        <v>1</v>
      </c>
      <c r="F7423" s="12">
        <v>0</v>
      </c>
    </row>
    <row r="7424" spans="3:6">
      <c r="C7424" s="12"/>
      <c r="D7424" s="12"/>
      <c r="E7424" t="b">
        <f t="shared" si="115"/>
        <v>1</v>
      </c>
      <c r="F7424" s="12">
        <v>0</v>
      </c>
    </row>
    <row r="7425" spans="3:6">
      <c r="C7425" s="12"/>
      <c r="D7425" s="12"/>
      <c r="E7425" t="b">
        <f t="shared" si="115"/>
        <v>1</v>
      </c>
      <c r="F7425" s="12">
        <v>0</v>
      </c>
    </row>
    <row r="7426" spans="3:6">
      <c r="C7426" s="12"/>
      <c r="D7426" s="12"/>
      <c r="E7426" t="b">
        <f t="shared" si="115"/>
        <v>1</v>
      </c>
      <c r="F7426" s="12">
        <v>0</v>
      </c>
    </row>
    <row r="7427" spans="3:6">
      <c r="C7427" s="12"/>
      <c r="D7427" s="12"/>
      <c r="E7427" t="b">
        <f t="shared" ref="E7427:E7490" si="116">F7427=C7427</f>
        <v>1</v>
      </c>
      <c r="F7427" s="12">
        <v>0</v>
      </c>
    </row>
    <row r="7428" spans="3:6">
      <c r="C7428" s="12"/>
      <c r="D7428" s="12"/>
      <c r="E7428" t="b">
        <f t="shared" si="116"/>
        <v>1</v>
      </c>
      <c r="F7428" s="12">
        <v>0</v>
      </c>
    </row>
    <row r="7429" spans="3:6">
      <c r="C7429" s="12"/>
      <c r="D7429" s="12"/>
      <c r="E7429" t="b">
        <f t="shared" si="116"/>
        <v>1</v>
      </c>
      <c r="F7429" s="12">
        <v>0</v>
      </c>
    </row>
    <row r="7430" spans="3:6">
      <c r="C7430" s="12"/>
      <c r="D7430" s="12"/>
      <c r="E7430" t="b">
        <f t="shared" si="116"/>
        <v>1</v>
      </c>
      <c r="F7430" s="12">
        <v>0</v>
      </c>
    </row>
    <row r="7431" spans="3:6">
      <c r="C7431" s="12"/>
      <c r="D7431" s="12"/>
      <c r="E7431" t="b">
        <f t="shared" si="116"/>
        <v>1</v>
      </c>
      <c r="F7431" s="12">
        <v>0</v>
      </c>
    </row>
    <row r="7432" spans="3:6">
      <c r="C7432" s="12"/>
      <c r="D7432" s="12"/>
      <c r="E7432" t="b">
        <f t="shared" si="116"/>
        <v>1</v>
      </c>
      <c r="F7432" s="12">
        <v>0</v>
      </c>
    </row>
    <row r="7433" spans="3:6">
      <c r="C7433" s="12"/>
      <c r="D7433" s="12"/>
      <c r="E7433" t="b">
        <f t="shared" si="116"/>
        <v>1</v>
      </c>
      <c r="F7433" s="12">
        <v>0</v>
      </c>
    </row>
    <row r="7434" spans="3:6">
      <c r="C7434" s="12"/>
      <c r="D7434" s="12"/>
      <c r="E7434" t="b">
        <f t="shared" si="116"/>
        <v>1</v>
      </c>
      <c r="F7434" s="12">
        <v>0</v>
      </c>
    </row>
    <row r="7435" spans="3:6">
      <c r="C7435" s="12"/>
      <c r="D7435" s="12"/>
      <c r="E7435" t="b">
        <f t="shared" si="116"/>
        <v>1</v>
      </c>
      <c r="F7435" s="12">
        <v>0</v>
      </c>
    </row>
    <row r="7436" spans="3:6">
      <c r="C7436" s="12"/>
      <c r="D7436" s="12"/>
      <c r="E7436" t="b">
        <f t="shared" si="116"/>
        <v>1</v>
      </c>
      <c r="F7436" s="12">
        <v>0</v>
      </c>
    </row>
    <row r="7437" spans="3:6">
      <c r="C7437" s="12"/>
      <c r="D7437" s="12"/>
      <c r="E7437" t="b">
        <f t="shared" si="116"/>
        <v>1</v>
      </c>
      <c r="F7437" s="12">
        <v>0</v>
      </c>
    </row>
    <row r="7438" spans="3:6">
      <c r="C7438" s="12"/>
      <c r="D7438" s="12"/>
      <c r="E7438" t="b">
        <f t="shared" si="116"/>
        <v>1</v>
      </c>
      <c r="F7438" s="12">
        <v>0</v>
      </c>
    </row>
    <row r="7439" spans="3:6">
      <c r="C7439" s="12"/>
      <c r="D7439" s="12"/>
      <c r="E7439" t="b">
        <f t="shared" si="116"/>
        <v>1</v>
      </c>
      <c r="F7439" s="12">
        <v>0</v>
      </c>
    </row>
    <row r="7440" spans="3:6">
      <c r="C7440" s="12"/>
      <c r="D7440" s="12"/>
      <c r="E7440" t="b">
        <f t="shared" si="116"/>
        <v>1</v>
      </c>
      <c r="F7440" s="12">
        <v>0</v>
      </c>
    </row>
    <row r="7441" spans="3:6">
      <c r="C7441" s="12"/>
      <c r="D7441" s="12"/>
      <c r="E7441" t="b">
        <f t="shared" si="116"/>
        <v>1</v>
      </c>
      <c r="F7441" s="12">
        <v>0</v>
      </c>
    </row>
    <row r="7442" spans="3:6">
      <c r="C7442" s="12"/>
      <c r="D7442" s="12"/>
      <c r="E7442" t="b">
        <f t="shared" si="116"/>
        <v>1</v>
      </c>
      <c r="F7442" s="12">
        <v>0</v>
      </c>
    </row>
    <row r="7443" spans="3:6">
      <c r="C7443" s="12"/>
      <c r="D7443" s="12"/>
      <c r="E7443" t="b">
        <f t="shared" si="116"/>
        <v>1</v>
      </c>
      <c r="F7443" s="12">
        <v>0</v>
      </c>
    </row>
    <row r="7444" spans="3:6">
      <c r="C7444" s="12"/>
      <c r="D7444" s="12"/>
      <c r="E7444" t="b">
        <f t="shared" si="116"/>
        <v>1</v>
      </c>
      <c r="F7444" s="12">
        <v>0</v>
      </c>
    </row>
    <row r="7445" spans="3:6">
      <c r="C7445" s="12"/>
      <c r="D7445" s="12"/>
      <c r="E7445" t="b">
        <f t="shared" si="116"/>
        <v>1</v>
      </c>
      <c r="F7445" s="12">
        <v>0</v>
      </c>
    </row>
    <row r="7446" spans="3:6">
      <c r="C7446" s="12"/>
      <c r="D7446" s="12"/>
      <c r="E7446" t="b">
        <f t="shared" si="116"/>
        <v>1</v>
      </c>
      <c r="F7446" s="12">
        <v>0</v>
      </c>
    </row>
    <row r="7447" spans="3:6">
      <c r="C7447" s="12"/>
      <c r="D7447" s="12"/>
      <c r="E7447" t="b">
        <f t="shared" si="116"/>
        <v>1</v>
      </c>
      <c r="F7447" s="12">
        <v>0</v>
      </c>
    </row>
    <row r="7448" spans="3:6">
      <c r="C7448" s="12"/>
      <c r="D7448" s="12"/>
      <c r="E7448" t="b">
        <f t="shared" si="116"/>
        <v>1</v>
      </c>
      <c r="F7448" s="12">
        <v>0</v>
      </c>
    </row>
    <row r="7449" spans="3:6">
      <c r="C7449" s="12"/>
      <c r="D7449" s="12"/>
      <c r="E7449" t="b">
        <f t="shared" si="116"/>
        <v>1</v>
      </c>
      <c r="F7449" s="12">
        <v>0</v>
      </c>
    </row>
    <row r="7450" spans="3:6">
      <c r="C7450" s="12"/>
      <c r="D7450" s="12"/>
      <c r="E7450" t="b">
        <f t="shared" si="116"/>
        <v>1</v>
      </c>
      <c r="F7450" s="12">
        <v>0</v>
      </c>
    </row>
    <row r="7451" spans="3:6">
      <c r="C7451" s="12"/>
      <c r="D7451" s="12"/>
      <c r="E7451" t="b">
        <f t="shared" si="116"/>
        <v>1</v>
      </c>
      <c r="F7451" s="12">
        <v>0</v>
      </c>
    </row>
    <row r="7452" spans="3:6">
      <c r="C7452" s="12"/>
      <c r="D7452" s="12"/>
      <c r="E7452" t="b">
        <f t="shared" si="116"/>
        <v>1</v>
      </c>
      <c r="F7452" s="12">
        <v>0</v>
      </c>
    </row>
    <row r="7453" spans="3:6">
      <c r="C7453" s="12"/>
      <c r="D7453" s="12"/>
      <c r="E7453" t="b">
        <f t="shared" si="116"/>
        <v>1</v>
      </c>
      <c r="F7453" s="12">
        <v>0</v>
      </c>
    </row>
    <row r="7454" spans="3:6">
      <c r="C7454" s="12"/>
      <c r="D7454" s="12"/>
      <c r="E7454" t="b">
        <f t="shared" si="116"/>
        <v>1</v>
      </c>
      <c r="F7454" s="12">
        <v>0</v>
      </c>
    </row>
    <row r="7455" spans="3:6">
      <c r="C7455" s="12"/>
      <c r="D7455" s="12"/>
      <c r="E7455" t="b">
        <f t="shared" si="116"/>
        <v>1</v>
      </c>
      <c r="F7455" s="12">
        <v>0</v>
      </c>
    </row>
    <row r="7456" spans="3:6">
      <c r="C7456" s="12"/>
      <c r="D7456" s="12"/>
      <c r="E7456" t="b">
        <f t="shared" si="116"/>
        <v>1</v>
      </c>
      <c r="F7456" s="12">
        <v>0</v>
      </c>
    </row>
    <row r="7457" spans="3:6">
      <c r="C7457" s="12"/>
      <c r="D7457" s="12"/>
      <c r="E7457" t="b">
        <f t="shared" si="116"/>
        <v>1</v>
      </c>
      <c r="F7457" s="12">
        <v>0</v>
      </c>
    </row>
    <row r="7458" spans="3:6">
      <c r="C7458" s="12"/>
      <c r="D7458" s="12"/>
      <c r="E7458" t="b">
        <f t="shared" si="116"/>
        <v>1</v>
      </c>
      <c r="F7458" s="12">
        <v>0</v>
      </c>
    </row>
    <row r="7459" spans="3:6">
      <c r="C7459" s="12"/>
      <c r="D7459" s="12"/>
      <c r="E7459" t="b">
        <f t="shared" si="116"/>
        <v>1</v>
      </c>
      <c r="F7459" s="12">
        <v>0</v>
      </c>
    </row>
    <row r="7460" spans="3:6">
      <c r="C7460" s="12"/>
      <c r="D7460" s="12"/>
      <c r="E7460" t="b">
        <f t="shared" si="116"/>
        <v>1</v>
      </c>
      <c r="F7460" s="12">
        <v>0</v>
      </c>
    </row>
    <row r="7461" spans="3:6">
      <c r="C7461" s="12"/>
      <c r="D7461" s="12"/>
      <c r="E7461" t="b">
        <f t="shared" si="116"/>
        <v>1</v>
      </c>
      <c r="F7461" s="12">
        <v>0</v>
      </c>
    </row>
    <row r="7462" spans="3:6">
      <c r="C7462" s="12"/>
      <c r="D7462" s="12"/>
      <c r="E7462" t="b">
        <f t="shared" si="116"/>
        <v>1</v>
      </c>
      <c r="F7462" s="12">
        <v>0</v>
      </c>
    </row>
    <row r="7463" spans="3:6">
      <c r="C7463" s="12"/>
      <c r="D7463" s="12"/>
      <c r="E7463" t="b">
        <f t="shared" si="116"/>
        <v>1</v>
      </c>
      <c r="F7463" s="12">
        <v>0</v>
      </c>
    </row>
    <row r="7464" spans="3:6">
      <c r="C7464" s="12"/>
      <c r="D7464" s="12"/>
      <c r="E7464" t="b">
        <f t="shared" si="116"/>
        <v>1</v>
      </c>
      <c r="F7464" s="12">
        <v>0</v>
      </c>
    </row>
    <row r="7465" spans="3:6">
      <c r="C7465" s="12"/>
      <c r="D7465" s="12"/>
      <c r="E7465" t="b">
        <f t="shared" si="116"/>
        <v>1</v>
      </c>
      <c r="F7465" s="12">
        <v>0</v>
      </c>
    </row>
    <row r="7466" spans="3:6">
      <c r="C7466" s="12"/>
      <c r="D7466" s="12"/>
      <c r="E7466" t="b">
        <f t="shared" si="116"/>
        <v>1</v>
      </c>
      <c r="F7466" s="12">
        <v>0</v>
      </c>
    </row>
    <row r="7467" spans="3:6">
      <c r="C7467" s="12"/>
      <c r="D7467" s="12"/>
      <c r="E7467" t="b">
        <f t="shared" si="116"/>
        <v>1</v>
      </c>
      <c r="F7467" s="12">
        <v>0</v>
      </c>
    </row>
    <row r="7468" spans="3:6">
      <c r="C7468" s="12"/>
      <c r="D7468" s="12"/>
      <c r="E7468" t="b">
        <f t="shared" si="116"/>
        <v>1</v>
      </c>
      <c r="F7468" s="12">
        <v>0</v>
      </c>
    </row>
    <row r="7469" spans="3:6">
      <c r="C7469" s="12"/>
      <c r="D7469" s="12"/>
      <c r="E7469" t="b">
        <f t="shared" si="116"/>
        <v>1</v>
      </c>
      <c r="F7469" s="12">
        <v>0</v>
      </c>
    </row>
    <row r="7470" spans="3:6">
      <c r="C7470" s="12"/>
      <c r="D7470" s="12"/>
      <c r="E7470" t="b">
        <f t="shared" si="116"/>
        <v>1</v>
      </c>
      <c r="F7470" s="12">
        <v>0</v>
      </c>
    </row>
    <row r="7471" spans="3:6">
      <c r="C7471" s="12"/>
      <c r="D7471" s="12"/>
      <c r="E7471" t="b">
        <f t="shared" si="116"/>
        <v>1</v>
      </c>
      <c r="F7471" s="12">
        <v>0</v>
      </c>
    </row>
    <row r="7472" spans="3:6">
      <c r="C7472" s="12"/>
      <c r="D7472" s="12"/>
      <c r="E7472" t="b">
        <f t="shared" si="116"/>
        <v>1</v>
      </c>
      <c r="F7472" s="12">
        <v>0</v>
      </c>
    </row>
    <row r="7473" spans="3:6">
      <c r="C7473" s="12"/>
      <c r="D7473" s="12"/>
      <c r="E7473" t="b">
        <f t="shared" si="116"/>
        <v>1</v>
      </c>
      <c r="F7473" s="12">
        <v>0</v>
      </c>
    </row>
    <row r="7474" spans="3:6">
      <c r="C7474" s="12"/>
      <c r="D7474" s="12"/>
      <c r="E7474" t="b">
        <f t="shared" si="116"/>
        <v>1</v>
      </c>
      <c r="F7474" s="12">
        <v>0</v>
      </c>
    </row>
    <row r="7475" spans="3:6">
      <c r="C7475" s="12"/>
      <c r="D7475" s="12"/>
      <c r="E7475" t="b">
        <f t="shared" si="116"/>
        <v>1</v>
      </c>
      <c r="F7475" s="12">
        <v>0</v>
      </c>
    </row>
    <row r="7476" spans="3:6">
      <c r="C7476" s="12"/>
      <c r="D7476" s="12"/>
      <c r="E7476" t="b">
        <f t="shared" si="116"/>
        <v>1</v>
      </c>
      <c r="F7476" s="12">
        <v>0</v>
      </c>
    </row>
    <row r="7477" spans="3:6">
      <c r="C7477" s="12"/>
      <c r="D7477" s="12"/>
      <c r="E7477" t="b">
        <f t="shared" si="116"/>
        <v>1</v>
      </c>
      <c r="F7477" s="12">
        <v>0</v>
      </c>
    </row>
    <row r="7478" spans="3:6">
      <c r="C7478" s="12"/>
      <c r="D7478" s="12"/>
      <c r="E7478" t="b">
        <f t="shared" si="116"/>
        <v>1</v>
      </c>
      <c r="F7478" s="12">
        <v>0</v>
      </c>
    </row>
    <row r="7479" spans="3:6">
      <c r="C7479" s="12"/>
      <c r="D7479" s="12"/>
      <c r="E7479" t="b">
        <f t="shared" si="116"/>
        <v>1</v>
      </c>
      <c r="F7479" s="12">
        <v>0</v>
      </c>
    </row>
    <row r="7480" spans="3:6">
      <c r="C7480" s="12"/>
      <c r="D7480" s="12"/>
      <c r="E7480" t="b">
        <f t="shared" si="116"/>
        <v>1</v>
      </c>
      <c r="F7480" s="12">
        <v>0</v>
      </c>
    </row>
    <row r="7481" spans="3:6">
      <c r="C7481" s="12"/>
      <c r="D7481" s="12"/>
      <c r="E7481" t="b">
        <f t="shared" si="116"/>
        <v>1</v>
      </c>
      <c r="F7481" s="12">
        <v>0</v>
      </c>
    </row>
    <row r="7482" spans="3:6">
      <c r="C7482" s="12"/>
      <c r="D7482" s="12"/>
      <c r="E7482" t="b">
        <f t="shared" si="116"/>
        <v>1</v>
      </c>
      <c r="F7482" s="12">
        <v>0</v>
      </c>
    </row>
    <row r="7483" spans="3:6">
      <c r="C7483" s="12"/>
      <c r="D7483" s="12"/>
      <c r="E7483" t="b">
        <f t="shared" si="116"/>
        <v>1</v>
      </c>
      <c r="F7483" s="12">
        <v>0</v>
      </c>
    </row>
    <row r="7484" spans="3:6">
      <c r="C7484" s="12"/>
      <c r="D7484" s="12"/>
      <c r="E7484" t="b">
        <f t="shared" si="116"/>
        <v>1</v>
      </c>
      <c r="F7484" s="12">
        <v>0</v>
      </c>
    </row>
    <row r="7485" spans="3:6">
      <c r="C7485" s="12"/>
      <c r="D7485" s="12"/>
      <c r="E7485" t="b">
        <f t="shared" si="116"/>
        <v>1</v>
      </c>
      <c r="F7485" s="12">
        <v>0</v>
      </c>
    </row>
    <row r="7486" spans="3:6">
      <c r="C7486" s="12"/>
      <c r="D7486" s="12"/>
      <c r="E7486" t="b">
        <f t="shared" si="116"/>
        <v>1</v>
      </c>
      <c r="F7486" s="12">
        <v>0</v>
      </c>
    </row>
    <row r="7487" spans="3:6">
      <c r="C7487" s="12"/>
      <c r="D7487" s="12"/>
      <c r="E7487" t="b">
        <f t="shared" si="116"/>
        <v>1</v>
      </c>
      <c r="F7487" s="12">
        <v>0</v>
      </c>
    </row>
    <row r="7488" spans="3:6">
      <c r="C7488" s="12"/>
      <c r="D7488" s="12"/>
      <c r="E7488" t="b">
        <f t="shared" si="116"/>
        <v>1</v>
      </c>
      <c r="F7488" s="12">
        <v>0</v>
      </c>
    </row>
    <row r="7489" spans="3:6">
      <c r="C7489" s="12"/>
      <c r="D7489" s="12"/>
      <c r="E7489" t="b">
        <f t="shared" si="116"/>
        <v>1</v>
      </c>
      <c r="F7489" s="12">
        <v>0</v>
      </c>
    </row>
    <row r="7490" spans="3:6">
      <c r="C7490" s="12"/>
      <c r="D7490" s="12"/>
      <c r="E7490" t="b">
        <f t="shared" si="116"/>
        <v>1</v>
      </c>
      <c r="F7490" s="12">
        <v>0</v>
      </c>
    </row>
    <row r="7491" spans="3:6">
      <c r="C7491" s="12"/>
      <c r="D7491" s="12"/>
      <c r="E7491" t="b">
        <f t="shared" ref="E7491:E7554" si="117">F7491=C7491</f>
        <v>1</v>
      </c>
      <c r="F7491" s="12">
        <v>0</v>
      </c>
    </row>
    <row r="7492" spans="3:6">
      <c r="C7492" s="12"/>
      <c r="D7492" s="12"/>
      <c r="E7492" t="b">
        <f t="shared" si="117"/>
        <v>1</v>
      </c>
      <c r="F7492" s="12">
        <v>0</v>
      </c>
    </row>
    <row r="7493" spans="3:6">
      <c r="C7493" s="12"/>
      <c r="D7493" s="12"/>
      <c r="E7493" t="b">
        <f t="shared" si="117"/>
        <v>1</v>
      </c>
      <c r="F7493" s="12">
        <v>0</v>
      </c>
    </row>
    <row r="7494" spans="3:6">
      <c r="C7494" s="12"/>
      <c r="D7494" s="12"/>
      <c r="E7494" t="b">
        <f t="shared" si="117"/>
        <v>1</v>
      </c>
      <c r="F7494" s="12">
        <v>0</v>
      </c>
    </row>
    <row r="7495" spans="3:6">
      <c r="C7495" s="12"/>
      <c r="D7495" s="12"/>
      <c r="E7495" t="b">
        <f t="shared" si="117"/>
        <v>1</v>
      </c>
      <c r="F7495" s="12">
        <v>0</v>
      </c>
    </row>
    <row r="7496" spans="3:6">
      <c r="C7496" s="12"/>
      <c r="D7496" s="12"/>
      <c r="E7496" t="b">
        <f t="shared" si="117"/>
        <v>1</v>
      </c>
      <c r="F7496" s="12">
        <v>0</v>
      </c>
    </row>
    <row r="7497" spans="3:6">
      <c r="C7497" s="12"/>
      <c r="D7497" s="12"/>
      <c r="E7497" t="b">
        <f t="shared" si="117"/>
        <v>1</v>
      </c>
      <c r="F7497" s="12">
        <v>0</v>
      </c>
    </row>
    <row r="7498" spans="3:6">
      <c r="C7498" s="12"/>
      <c r="D7498" s="12"/>
      <c r="E7498" t="b">
        <f t="shared" si="117"/>
        <v>1</v>
      </c>
      <c r="F7498" s="12">
        <v>0</v>
      </c>
    </row>
    <row r="7499" spans="3:6">
      <c r="C7499" s="12"/>
      <c r="D7499" s="12"/>
      <c r="E7499" t="b">
        <f t="shared" si="117"/>
        <v>1</v>
      </c>
      <c r="F7499" s="12">
        <v>0</v>
      </c>
    </row>
    <row r="7500" spans="3:6">
      <c r="C7500" s="12"/>
      <c r="D7500" s="12"/>
      <c r="E7500" t="b">
        <f t="shared" si="117"/>
        <v>1</v>
      </c>
      <c r="F7500" s="12">
        <v>0</v>
      </c>
    </row>
    <row r="7501" spans="3:6">
      <c r="C7501" s="12"/>
      <c r="D7501" s="12"/>
      <c r="E7501" t="b">
        <f t="shared" si="117"/>
        <v>1</v>
      </c>
      <c r="F7501" s="12">
        <v>0</v>
      </c>
    </row>
    <row r="7502" spans="3:6">
      <c r="C7502" s="12"/>
      <c r="D7502" s="12"/>
      <c r="E7502" t="b">
        <f t="shared" si="117"/>
        <v>1</v>
      </c>
      <c r="F7502" s="12">
        <v>0</v>
      </c>
    </row>
    <row r="7503" spans="3:6">
      <c r="C7503" s="12"/>
      <c r="D7503" s="12"/>
      <c r="E7503" t="b">
        <f t="shared" si="117"/>
        <v>1</v>
      </c>
      <c r="F7503" s="12">
        <v>0</v>
      </c>
    </row>
    <row r="7504" spans="3:6">
      <c r="C7504" s="12"/>
      <c r="D7504" s="12"/>
      <c r="E7504" t="b">
        <f t="shared" si="117"/>
        <v>1</v>
      </c>
      <c r="F7504" s="12">
        <v>0</v>
      </c>
    </row>
    <row r="7505" spans="3:6">
      <c r="C7505" s="12"/>
      <c r="D7505" s="12"/>
      <c r="E7505" t="b">
        <f t="shared" si="117"/>
        <v>1</v>
      </c>
      <c r="F7505" s="12">
        <v>0</v>
      </c>
    </row>
    <row r="7506" spans="3:6">
      <c r="C7506" s="12"/>
      <c r="D7506" s="12"/>
      <c r="E7506" t="b">
        <f t="shared" si="117"/>
        <v>1</v>
      </c>
      <c r="F7506" s="12">
        <v>0</v>
      </c>
    </row>
    <row r="7507" spans="3:6">
      <c r="C7507" s="12"/>
      <c r="D7507" s="12"/>
      <c r="E7507" t="b">
        <f t="shared" si="117"/>
        <v>1</v>
      </c>
      <c r="F7507" s="12">
        <v>0</v>
      </c>
    </row>
    <row r="7508" spans="3:6">
      <c r="C7508" s="12"/>
      <c r="D7508" s="12"/>
      <c r="E7508" t="b">
        <f t="shared" si="117"/>
        <v>1</v>
      </c>
      <c r="F7508" s="12">
        <v>0</v>
      </c>
    </row>
    <row r="7509" spans="3:6">
      <c r="C7509" s="12"/>
      <c r="D7509" s="12"/>
      <c r="E7509" t="b">
        <f t="shared" si="117"/>
        <v>1</v>
      </c>
      <c r="F7509" s="12">
        <v>0</v>
      </c>
    </row>
    <row r="7510" spans="3:6">
      <c r="C7510" s="12"/>
      <c r="D7510" s="12"/>
      <c r="E7510" t="b">
        <f t="shared" si="117"/>
        <v>1</v>
      </c>
      <c r="F7510" s="12">
        <v>0</v>
      </c>
    </row>
    <row r="7511" spans="3:6">
      <c r="C7511" s="12"/>
      <c r="D7511" s="12"/>
      <c r="E7511" t="b">
        <f t="shared" si="117"/>
        <v>1</v>
      </c>
      <c r="F7511" s="12">
        <v>0</v>
      </c>
    </row>
    <row r="7512" spans="3:6">
      <c r="C7512" s="12"/>
      <c r="D7512" s="12"/>
      <c r="E7512" t="b">
        <f t="shared" si="117"/>
        <v>1</v>
      </c>
      <c r="F7512" s="12">
        <v>0</v>
      </c>
    </row>
    <row r="7513" spans="3:6">
      <c r="C7513" s="12"/>
      <c r="D7513" s="12"/>
      <c r="E7513" t="b">
        <f t="shared" si="117"/>
        <v>1</v>
      </c>
      <c r="F7513" s="12">
        <v>0</v>
      </c>
    </row>
    <row r="7514" spans="3:6">
      <c r="C7514" s="12"/>
      <c r="D7514" s="12"/>
      <c r="E7514" t="b">
        <f t="shared" si="117"/>
        <v>1</v>
      </c>
      <c r="F7514" s="12">
        <v>0</v>
      </c>
    </row>
    <row r="7515" spans="3:6">
      <c r="C7515" s="12"/>
      <c r="D7515" s="12"/>
      <c r="E7515" t="b">
        <f t="shared" si="117"/>
        <v>1</v>
      </c>
      <c r="F7515" s="12">
        <v>0</v>
      </c>
    </row>
    <row r="7516" spans="3:6">
      <c r="C7516" s="12"/>
      <c r="D7516" s="12"/>
      <c r="E7516" t="b">
        <f t="shared" si="117"/>
        <v>1</v>
      </c>
      <c r="F7516" s="12">
        <v>0</v>
      </c>
    </row>
    <row r="7517" spans="3:6">
      <c r="C7517" s="12"/>
      <c r="D7517" s="12"/>
      <c r="E7517" t="b">
        <f t="shared" si="117"/>
        <v>1</v>
      </c>
      <c r="F7517" s="12">
        <v>0</v>
      </c>
    </row>
    <row r="7518" spans="3:6">
      <c r="C7518" s="12"/>
      <c r="D7518" s="12"/>
      <c r="E7518" t="b">
        <f t="shared" si="117"/>
        <v>1</v>
      </c>
      <c r="F7518" s="12">
        <v>0</v>
      </c>
    </row>
    <row r="7519" spans="3:6">
      <c r="C7519" s="12"/>
      <c r="D7519" s="12"/>
      <c r="E7519" t="b">
        <f t="shared" si="117"/>
        <v>1</v>
      </c>
      <c r="F7519" s="12">
        <v>0</v>
      </c>
    </row>
    <row r="7520" spans="3:6">
      <c r="C7520" s="12"/>
      <c r="D7520" s="12"/>
      <c r="E7520" t="b">
        <f t="shared" si="117"/>
        <v>1</v>
      </c>
      <c r="F7520" s="12">
        <v>0</v>
      </c>
    </row>
    <row r="7521" spans="3:6">
      <c r="C7521" s="12"/>
      <c r="D7521" s="12"/>
      <c r="E7521" t="b">
        <f t="shared" si="117"/>
        <v>1</v>
      </c>
      <c r="F7521" s="12">
        <v>0</v>
      </c>
    </row>
    <row r="7522" spans="3:6">
      <c r="C7522" s="12"/>
      <c r="D7522" s="12"/>
      <c r="E7522" t="b">
        <f t="shared" si="117"/>
        <v>1</v>
      </c>
      <c r="F7522" s="12">
        <v>0</v>
      </c>
    </row>
    <row r="7523" spans="3:6">
      <c r="C7523" s="12"/>
      <c r="D7523" s="12"/>
      <c r="E7523" t="b">
        <f t="shared" si="117"/>
        <v>1</v>
      </c>
      <c r="F7523" s="12">
        <v>0</v>
      </c>
    </row>
    <row r="7524" spans="3:6">
      <c r="C7524" s="12"/>
      <c r="D7524" s="12"/>
      <c r="E7524" t="b">
        <f t="shared" si="117"/>
        <v>1</v>
      </c>
      <c r="F7524" s="12">
        <v>0</v>
      </c>
    </row>
    <row r="7525" spans="3:6">
      <c r="C7525" s="12"/>
      <c r="D7525" s="12"/>
      <c r="E7525" t="b">
        <f t="shared" si="117"/>
        <v>1</v>
      </c>
      <c r="F7525" s="12">
        <v>0</v>
      </c>
    </row>
    <row r="7526" spans="3:6">
      <c r="C7526" s="12"/>
      <c r="D7526" s="12"/>
      <c r="E7526" t="b">
        <f t="shared" si="117"/>
        <v>1</v>
      </c>
      <c r="F7526" s="12">
        <v>0</v>
      </c>
    </row>
    <row r="7527" spans="3:6">
      <c r="C7527" s="12"/>
      <c r="D7527" s="12"/>
      <c r="E7527" t="b">
        <f t="shared" si="117"/>
        <v>1</v>
      </c>
      <c r="F7527" s="12">
        <v>0</v>
      </c>
    </row>
    <row r="7528" spans="3:6">
      <c r="C7528" s="12"/>
      <c r="D7528" s="12"/>
      <c r="E7528" t="b">
        <f t="shared" si="117"/>
        <v>1</v>
      </c>
      <c r="F7528" s="12">
        <v>0</v>
      </c>
    </row>
    <row r="7529" spans="3:6">
      <c r="C7529" s="12"/>
      <c r="D7529" s="12"/>
      <c r="E7529" t="b">
        <f t="shared" si="117"/>
        <v>1</v>
      </c>
      <c r="F7529" s="12">
        <v>0</v>
      </c>
    </row>
    <row r="7530" spans="3:6">
      <c r="C7530" s="12"/>
      <c r="D7530" s="12"/>
      <c r="E7530" t="b">
        <f t="shared" si="117"/>
        <v>1</v>
      </c>
      <c r="F7530" s="12">
        <v>0</v>
      </c>
    </row>
    <row r="7531" spans="3:6">
      <c r="C7531" s="12"/>
      <c r="D7531" s="12"/>
      <c r="E7531" t="b">
        <f t="shared" si="117"/>
        <v>1</v>
      </c>
      <c r="F7531" s="12">
        <v>0</v>
      </c>
    </row>
    <row r="7532" spans="3:6">
      <c r="C7532" s="12"/>
      <c r="D7532" s="12"/>
      <c r="E7532" t="b">
        <f t="shared" si="117"/>
        <v>1</v>
      </c>
      <c r="F7532" s="12">
        <v>0</v>
      </c>
    </row>
    <row r="7533" spans="3:6">
      <c r="C7533" s="12"/>
      <c r="D7533" s="12"/>
      <c r="E7533" t="b">
        <f t="shared" si="117"/>
        <v>1</v>
      </c>
      <c r="F7533" s="12">
        <v>0</v>
      </c>
    </row>
    <row r="7534" spans="3:6">
      <c r="C7534" s="12"/>
      <c r="D7534" s="12"/>
      <c r="E7534" t="b">
        <f t="shared" si="117"/>
        <v>1</v>
      </c>
      <c r="F7534" s="12">
        <v>0</v>
      </c>
    </row>
    <row r="7535" spans="3:6">
      <c r="C7535" s="12"/>
      <c r="D7535" s="12"/>
      <c r="E7535" t="b">
        <f t="shared" si="117"/>
        <v>1</v>
      </c>
      <c r="F7535" s="12">
        <v>0</v>
      </c>
    </row>
    <row r="7536" spans="3:6">
      <c r="C7536" s="12"/>
      <c r="D7536" s="12"/>
      <c r="E7536" t="b">
        <f t="shared" si="117"/>
        <v>1</v>
      </c>
      <c r="F7536" s="12">
        <v>0</v>
      </c>
    </row>
    <row r="7537" spans="3:6">
      <c r="C7537" s="12"/>
      <c r="D7537" s="12"/>
      <c r="E7537" t="b">
        <f t="shared" si="117"/>
        <v>1</v>
      </c>
      <c r="F7537" s="12">
        <v>0</v>
      </c>
    </row>
    <row r="7538" spans="3:6">
      <c r="C7538" s="12"/>
      <c r="D7538" s="12"/>
      <c r="E7538" t="b">
        <f t="shared" si="117"/>
        <v>1</v>
      </c>
      <c r="F7538" s="12">
        <v>0</v>
      </c>
    </row>
    <row r="7539" spans="3:6">
      <c r="C7539" s="12"/>
      <c r="D7539" s="12"/>
      <c r="E7539" t="b">
        <f t="shared" si="117"/>
        <v>1</v>
      </c>
      <c r="F7539" s="12">
        <v>0</v>
      </c>
    </row>
    <row r="7540" spans="3:6">
      <c r="C7540" s="12"/>
      <c r="D7540" s="12"/>
      <c r="E7540" t="b">
        <f t="shared" si="117"/>
        <v>1</v>
      </c>
      <c r="F7540" s="12">
        <v>0</v>
      </c>
    </row>
    <row r="7541" spans="3:6">
      <c r="C7541" s="12"/>
      <c r="D7541" s="12"/>
      <c r="E7541" t="b">
        <f t="shared" si="117"/>
        <v>1</v>
      </c>
      <c r="F7541" s="12">
        <v>0</v>
      </c>
    </row>
    <row r="7542" spans="3:6">
      <c r="C7542" s="12"/>
      <c r="D7542" s="12"/>
      <c r="E7542" t="b">
        <f t="shared" si="117"/>
        <v>1</v>
      </c>
      <c r="F7542" s="12">
        <v>0</v>
      </c>
    </row>
    <row r="7543" spans="3:6">
      <c r="C7543" s="12"/>
      <c r="D7543" s="12"/>
      <c r="E7543" t="b">
        <f t="shared" si="117"/>
        <v>1</v>
      </c>
      <c r="F7543" s="12">
        <v>0</v>
      </c>
    </row>
    <row r="7544" spans="3:6">
      <c r="C7544" s="12"/>
      <c r="D7544" s="12"/>
      <c r="E7544" t="b">
        <f t="shared" si="117"/>
        <v>1</v>
      </c>
      <c r="F7544" s="12">
        <v>0</v>
      </c>
    </row>
    <row r="7545" spans="3:6">
      <c r="C7545" s="12"/>
      <c r="D7545" s="12"/>
      <c r="E7545" t="b">
        <f t="shared" si="117"/>
        <v>1</v>
      </c>
      <c r="F7545" s="12">
        <v>0</v>
      </c>
    </row>
    <row r="7546" spans="3:6">
      <c r="C7546" s="12"/>
      <c r="D7546" s="12"/>
      <c r="E7546" t="b">
        <f t="shared" si="117"/>
        <v>1</v>
      </c>
      <c r="F7546" s="12">
        <v>0</v>
      </c>
    </row>
    <row r="7547" spans="3:6">
      <c r="C7547" s="12"/>
      <c r="D7547" s="12"/>
      <c r="E7547" t="b">
        <f t="shared" si="117"/>
        <v>1</v>
      </c>
      <c r="F7547" s="12">
        <v>0</v>
      </c>
    </row>
    <row r="7548" spans="3:6">
      <c r="C7548" s="12"/>
      <c r="D7548" s="12"/>
      <c r="E7548" t="b">
        <f t="shared" si="117"/>
        <v>1</v>
      </c>
      <c r="F7548" s="12">
        <v>0</v>
      </c>
    </row>
    <row r="7549" spans="3:6">
      <c r="C7549" s="12"/>
      <c r="D7549" s="12"/>
      <c r="E7549" t="b">
        <f t="shared" si="117"/>
        <v>1</v>
      </c>
      <c r="F7549" s="12">
        <v>0</v>
      </c>
    </row>
    <row r="7550" spans="3:6">
      <c r="C7550" s="12"/>
      <c r="D7550" s="12"/>
      <c r="E7550" t="b">
        <f t="shared" si="117"/>
        <v>1</v>
      </c>
      <c r="F7550" s="12">
        <v>0</v>
      </c>
    </row>
    <row r="7551" spans="3:6">
      <c r="C7551" s="12"/>
      <c r="D7551" s="12"/>
      <c r="E7551" t="b">
        <f t="shared" si="117"/>
        <v>1</v>
      </c>
      <c r="F7551" s="12">
        <v>0</v>
      </c>
    </row>
    <row r="7552" spans="3:6">
      <c r="C7552" s="12"/>
      <c r="D7552" s="12"/>
      <c r="E7552" t="b">
        <f t="shared" si="117"/>
        <v>1</v>
      </c>
      <c r="F7552" s="12">
        <v>0</v>
      </c>
    </row>
    <row r="7553" spans="3:6">
      <c r="C7553" s="12"/>
      <c r="D7553" s="12"/>
      <c r="E7553" t="b">
        <f t="shared" si="117"/>
        <v>1</v>
      </c>
      <c r="F7553" s="12">
        <v>0</v>
      </c>
    </row>
    <row r="7554" spans="3:6">
      <c r="C7554" s="12"/>
      <c r="D7554" s="12"/>
      <c r="E7554" t="b">
        <f t="shared" si="117"/>
        <v>1</v>
      </c>
      <c r="F7554" s="12">
        <v>0</v>
      </c>
    </row>
    <row r="7555" spans="3:6">
      <c r="C7555" s="12"/>
      <c r="D7555" s="12"/>
      <c r="E7555" t="b">
        <f t="shared" ref="E7555:E7618" si="118">F7555=C7555</f>
        <v>1</v>
      </c>
      <c r="F7555" s="12">
        <v>0</v>
      </c>
    </row>
    <row r="7556" spans="3:6">
      <c r="C7556" s="12"/>
      <c r="D7556" s="12"/>
      <c r="E7556" t="b">
        <f t="shared" si="118"/>
        <v>1</v>
      </c>
      <c r="F7556" s="12">
        <v>0</v>
      </c>
    </row>
    <row r="7557" spans="3:6">
      <c r="C7557" s="12"/>
      <c r="D7557" s="12"/>
      <c r="E7557" t="b">
        <f t="shared" si="118"/>
        <v>1</v>
      </c>
      <c r="F7557" s="12">
        <v>0</v>
      </c>
    </row>
    <row r="7558" spans="3:6">
      <c r="C7558" s="12"/>
      <c r="D7558" s="12"/>
      <c r="E7558" t="b">
        <f t="shared" si="118"/>
        <v>1</v>
      </c>
      <c r="F7558" s="12">
        <v>0</v>
      </c>
    </row>
    <row r="7559" spans="3:6">
      <c r="C7559" s="12"/>
      <c r="D7559" s="12"/>
      <c r="E7559" t="b">
        <f t="shared" si="118"/>
        <v>1</v>
      </c>
      <c r="F7559" s="12">
        <v>0</v>
      </c>
    </row>
    <row r="7560" spans="3:6">
      <c r="C7560" s="12"/>
      <c r="D7560" s="12"/>
      <c r="E7560" t="b">
        <f t="shared" si="118"/>
        <v>1</v>
      </c>
      <c r="F7560" s="12">
        <v>0</v>
      </c>
    </row>
    <row r="7561" spans="3:6">
      <c r="C7561" s="12"/>
      <c r="D7561" s="12"/>
      <c r="E7561" t="b">
        <f t="shared" si="118"/>
        <v>1</v>
      </c>
      <c r="F7561" s="12">
        <v>0</v>
      </c>
    </row>
    <row r="7562" spans="3:6">
      <c r="C7562" s="12"/>
      <c r="D7562" s="12"/>
      <c r="E7562" t="b">
        <f t="shared" si="118"/>
        <v>1</v>
      </c>
      <c r="F7562" s="12">
        <v>0</v>
      </c>
    </row>
    <row r="7563" spans="3:6">
      <c r="C7563" s="12"/>
      <c r="D7563" s="12"/>
      <c r="E7563" t="b">
        <f t="shared" si="118"/>
        <v>1</v>
      </c>
      <c r="F7563" s="12">
        <v>0</v>
      </c>
    </row>
    <row r="7564" spans="3:6">
      <c r="C7564" s="12"/>
      <c r="D7564" s="12"/>
      <c r="E7564" t="b">
        <f t="shared" si="118"/>
        <v>1</v>
      </c>
      <c r="F7564" s="12">
        <v>0</v>
      </c>
    </row>
    <row r="7565" spans="3:6">
      <c r="C7565" s="12"/>
      <c r="D7565" s="12"/>
      <c r="E7565" t="b">
        <f t="shared" si="118"/>
        <v>1</v>
      </c>
      <c r="F7565" s="12">
        <v>0</v>
      </c>
    </row>
    <row r="7566" spans="3:6">
      <c r="C7566" s="12"/>
      <c r="D7566" s="12"/>
      <c r="E7566" t="b">
        <f t="shared" si="118"/>
        <v>1</v>
      </c>
      <c r="F7566" s="12">
        <v>0</v>
      </c>
    </row>
    <row r="7567" spans="3:6">
      <c r="C7567" s="12"/>
      <c r="D7567" s="12"/>
      <c r="E7567" t="b">
        <f t="shared" si="118"/>
        <v>1</v>
      </c>
      <c r="F7567" s="12">
        <v>0</v>
      </c>
    </row>
    <row r="7568" spans="3:6">
      <c r="C7568" s="12"/>
      <c r="D7568" s="12"/>
      <c r="E7568" t="b">
        <f t="shared" si="118"/>
        <v>1</v>
      </c>
      <c r="F7568" s="12">
        <v>0</v>
      </c>
    </row>
    <row r="7569" spans="3:6">
      <c r="C7569" s="12"/>
      <c r="D7569" s="12"/>
      <c r="E7569" t="b">
        <f t="shared" si="118"/>
        <v>1</v>
      </c>
      <c r="F7569" s="12">
        <v>0</v>
      </c>
    </row>
    <row r="7570" spans="3:6">
      <c r="C7570" s="12"/>
      <c r="D7570" s="12"/>
      <c r="E7570" t="b">
        <f t="shared" si="118"/>
        <v>1</v>
      </c>
      <c r="F7570" s="12">
        <v>0</v>
      </c>
    </row>
    <row r="7571" spans="3:6">
      <c r="C7571" s="12"/>
      <c r="D7571" s="12"/>
      <c r="E7571" t="b">
        <f t="shared" si="118"/>
        <v>1</v>
      </c>
      <c r="F7571" s="12">
        <v>0</v>
      </c>
    </row>
    <row r="7572" spans="3:6">
      <c r="C7572" s="12"/>
      <c r="D7572" s="12"/>
      <c r="E7572" t="b">
        <f t="shared" si="118"/>
        <v>1</v>
      </c>
      <c r="F7572" s="12">
        <v>0</v>
      </c>
    </row>
    <row r="7573" spans="3:6">
      <c r="C7573" s="12"/>
      <c r="D7573" s="12"/>
      <c r="E7573" t="b">
        <f t="shared" si="118"/>
        <v>1</v>
      </c>
      <c r="F7573" s="12">
        <v>0</v>
      </c>
    </row>
    <row r="7574" spans="3:6">
      <c r="C7574" s="12"/>
      <c r="D7574" s="12"/>
      <c r="E7574" t="b">
        <f t="shared" si="118"/>
        <v>1</v>
      </c>
      <c r="F7574" s="12">
        <v>0</v>
      </c>
    </row>
    <row r="7575" spans="3:6">
      <c r="C7575" s="12"/>
      <c r="D7575" s="12"/>
      <c r="E7575" t="b">
        <f t="shared" si="118"/>
        <v>1</v>
      </c>
      <c r="F7575" s="12">
        <v>0</v>
      </c>
    </row>
    <row r="7576" spans="3:6">
      <c r="C7576" s="12"/>
      <c r="D7576" s="12"/>
      <c r="E7576" t="b">
        <f t="shared" si="118"/>
        <v>1</v>
      </c>
      <c r="F7576" s="12">
        <v>0</v>
      </c>
    </row>
    <row r="7577" spans="3:6">
      <c r="C7577" s="12"/>
      <c r="D7577" s="12"/>
      <c r="E7577" t="b">
        <f t="shared" si="118"/>
        <v>1</v>
      </c>
      <c r="F7577" s="12">
        <v>0</v>
      </c>
    </row>
    <row r="7578" spans="3:6">
      <c r="C7578" s="12"/>
      <c r="D7578" s="12"/>
      <c r="E7578" t="b">
        <f t="shared" si="118"/>
        <v>1</v>
      </c>
      <c r="F7578" s="12">
        <v>0</v>
      </c>
    </row>
    <row r="7579" spans="3:6">
      <c r="C7579" s="12"/>
      <c r="D7579" s="12"/>
      <c r="E7579" t="b">
        <f t="shared" si="118"/>
        <v>1</v>
      </c>
      <c r="F7579" s="12">
        <v>0</v>
      </c>
    </row>
    <row r="7580" spans="3:6">
      <c r="C7580" s="12"/>
      <c r="D7580" s="12"/>
      <c r="E7580" t="b">
        <f t="shared" si="118"/>
        <v>1</v>
      </c>
      <c r="F7580" s="12">
        <v>0</v>
      </c>
    </row>
    <row r="7581" spans="3:6">
      <c r="C7581" s="12"/>
      <c r="D7581" s="12"/>
      <c r="E7581" t="b">
        <f t="shared" si="118"/>
        <v>1</v>
      </c>
      <c r="F7581" s="12">
        <v>0</v>
      </c>
    </row>
    <row r="7582" spans="3:6">
      <c r="C7582" s="12"/>
      <c r="D7582" s="12"/>
      <c r="E7582" t="b">
        <f t="shared" si="118"/>
        <v>1</v>
      </c>
      <c r="F7582" s="12">
        <v>0</v>
      </c>
    </row>
    <row r="7583" spans="3:6">
      <c r="C7583" s="12"/>
      <c r="D7583" s="12"/>
      <c r="E7583" t="b">
        <f t="shared" si="118"/>
        <v>1</v>
      </c>
      <c r="F7583" s="12">
        <v>0</v>
      </c>
    </row>
    <row r="7584" spans="3:6">
      <c r="C7584" s="12"/>
      <c r="D7584" s="12"/>
      <c r="E7584" t="b">
        <f t="shared" si="118"/>
        <v>1</v>
      </c>
      <c r="F7584" s="12">
        <v>0</v>
      </c>
    </row>
    <row r="7585" spans="3:6">
      <c r="C7585" s="12"/>
      <c r="D7585" s="12"/>
      <c r="E7585" t="b">
        <f t="shared" si="118"/>
        <v>1</v>
      </c>
      <c r="F7585" s="12">
        <v>0</v>
      </c>
    </row>
    <row r="7586" spans="3:6">
      <c r="C7586" s="12"/>
      <c r="D7586" s="12"/>
      <c r="E7586" t="b">
        <f t="shared" si="118"/>
        <v>1</v>
      </c>
      <c r="F7586" s="12">
        <v>0</v>
      </c>
    </row>
    <row r="7587" spans="3:6">
      <c r="C7587" s="12"/>
      <c r="D7587" s="12"/>
      <c r="E7587" t="b">
        <f t="shared" si="118"/>
        <v>1</v>
      </c>
      <c r="F7587" s="12">
        <v>0</v>
      </c>
    </row>
    <row r="7588" spans="3:6">
      <c r="C7588" s="12"/>
      <c r="D7588" s="12"/>
      <c r="E7588" t="b">
        <f t="shared" si="118"/>
        <v>1</v>
      </c>
      <c r="F7588" s="12">
        <v>0</v>
      </c>
    </row>
    <row r="7589" spans="3:6">
      <c r="C7589" s="12"/>
      <c r="D7589" s="12"/>
      <c r="E7589" t="b">
        <f t="shared" si="118"/>
        <v>1</v>
      </c>
      <c r="F7589" s="12">
        <v>0</v>
      </c>
    </row>
    <row r="7590" spans="3:6">
      <c r="C7590" s="12"/>
      <c r="D7590" s="12"/>
      <c r="E7590" t="b">
        <f t="shared" si="118"/>
        <v>1</v>
      </c>
      <c r="F7590" s="12">
        <v>0</v>
      </c>
    </row>
    <row r="7591" spans="3:6">
      <c r="C7591" s="12"/>
      <c r="D7591" s="12"/>
      <c r="E7591" t="b">
        <f t="shared" si="118"/>
        <v>1</v>
      </c>
      <c r="F7591" s="12">
        <v>0</v>
      </c>
    </row>
    <row r="7592" spans="3:6">
      <c r="C7592" s="12"/>
      <c r="D7592" s="12"/>
      <c r="E7592" t="b">
        <f t="shared" si="118"/>
        <v>1</v>
      </c>
      <c r="F7592" s="12">
        <v>0</v>
      </c>
    </row>
    <row r="7593" spans="3:6">
      <c r="C7593" s="12"/>
      <c r="D7593" s="12"/>
      <c r="E7593" t="b">
        <f t="shared" si="118"/>
        <v>1</v>
      </c>
      <c r="F7593" s="12">
        <v>0</v>
      </c>
    </row>
    <row r="7594" spans="3:6">
      <c r="C7594" s="12"/>
      <c r="D7594" s="12"/>
      <c r="E7594" t="b">
        <f t="shared" si="118"/>
        <v>1</v>
      </c>
      <c r="F7594" s="12">
        <v>0</v>
      </c>
    </row>
    <row r="7595" spans="3:6">
      <c r="C7595" s="12"/>
      <c r="D7595" s="12"/>
      <c r="E7595" t="b">
        <f t="shared" si="118"/>
        <v>1</v>
      </c>
      <c r="F7595" s="12">
        <v>0</v>
      </c>
    </row>
    <row r="7596" spans="3:6">
      <c r="C7596" s="12"/>
      <c r="D7596" s="12"/>
      <c r="E7596" t="b">
        <f t="shared" si="118"/>
        <v>1</v>
      </c>
      <c r="F7596" s="12">
        <v>0</v>
      </c>
    </row>
    <row r="7597" spans="3:6">
      <c r="C7597" s="12"/>
      <c r="D7597" s="12"/>
      <c r="E7597" t="b">
        <f t="shared" si="118"/>
        <v>1</v>
      </c>
      <c r="F7597" s="12">
        <v>0</v>
      </c>
    </row>
    <row r="7598" spans="3:6">
      <c r="C7598" s="12"/>
      <c r="D7598" s="12"/>
      <c r="E7598" t="b">
        <f t="shared" si="118"/>
        <v>1</v>
      </c>
      <c r="F7598" s="12">
        <v>0</v>
      </c>
    </row>
    <row r="7599" spans="3:6">
      <c r="C7599" s="12"/>
      <c r="D7599" s="12"/>
      <c r="E7599" t="b">
        <f t="shared" si="118"/>
        <v>1</v>
      </c>
      <c r="F7599" s="12">
        <v>0</v>
      </c>
    </row>
    <row r="7600" spans="3:6">
      <c r="C7600" s="12"/>
      <c r="D7600" s="12"/>
      <c r="E7600" t="b">
        <f t="shared" si="118"/>
        <v>1</v>
      </c>
      <c r="F7600" s="12">
        <v>0</v>
      </c>
    </row>
    <row r="7601" spans="3:6">
      <c r="C7601" s="12"/>
      <c r="D7601" s="12"/>
      <c r="E7601" t="b">
        <f t="shared" si="118"/>
        <v>1</v>
      </c>
      <c r="F7601" s="12">
        <v>0</v>
      </c>
    </row>
    <row r="7602" spans="3:6">
      <c r="C7602" s="12"/>
      <c r="D7602" s="12"/>
      <c r="E7602" t="b">
        <f t="shared" si="118"/>
        <v>1</v>
      </c>
      <c r="F7602" s="12">
        <v>0</v>
      </c>
    </row>
    <row r="7603" spans="3:6">
      <c r="C7603" s="12"/>
      <c r="D7603" s="12"/>
      <c r="E7603" t="b">
        <f t="shared" si="118"/>
        <v>1</v>
      </c>
      <c r="F7603" s="12">
        <v>0</v>
      </c>
    </row>
    <row r="7604" spans="3:6">
      <c r="C7604" s="12"/>
      <c r="D7604" s="12"/>
      <c r="E7604" t="b">
        <f t="shared" si="118"/>
        <v>1</v>
      </c>
      <c r="F7604" s="12">
        <v>0</v>
      </c>
    </row>
    <row r="7605" spans="3:6">
      <c r="C7605" s="12"/>
      <c r="D7605" s="12"/>
      <c r="E7605" t="b">
        <f t="shared" si="118"/>
        <v>1</v>
      </c>
      <c r="F7605" s="12">
        <v>0</v>
      </c>
    </row>
    <row r="7606" spans="3:6">
      <c r="C7606" s="12"/>
      <c r="D7606" s="12"/>
      <c r="E7606" t="b">
        <f t="shared" si="118"/>
        <v>1</v>
      </c>
      <c r="F7606" s="12">
        <v>0</v>
      </c>
    </row>
    <row r="7607" spans="3:6">
      <c r="C7607" s="12"/>
      <c r="D7607" s="12"/>
      <c r="E7607" t="b">
        <f t="shared" si="118"/>
        <v>1</v>
      </c>
      <c r="F7607" s="12">
        <v>0</v>
      </c>
    </row>
    <row r="7608" spans="3:6">
      <c r="C7608" s="12"/>
      <c r="D7608" s="12"/>
      <c r="E7608" t="b">
        <f t="shared" si="118"/>
        <v>1</v>
      </c>
      <c r="F7608" s="12">
        <v>0</v>
      </c>
    </row>
    <row r="7609" spans="3:6">
      <c r="C7609" s="12"/>
      <c r="D7609" s="12"/>
      <c r="E7609" t="b">
        <f t="shared" si="118"/>
        <v>1</v>
      </c>
      <c r="F7609" s="12">
        <v>0</v>
      </c>
    </row>
    <row r="7610" spans="3:6">
      <c r="C7610" s="12"/>
      <c r="D7610" s="12"/>
      <c r="E7610" t="b">
        <f t="shared" si="118"/>
        <v>1</v>
      </c>
      <c r="F7610" s="12">
        <v>0</v>
      </c>
    </row>
    <row r="7611" spans="3:6">
      <c r="C7611" s="12"/>
      <c r="D7611" s="12"/>
      <c r="E7611" t="b">
        <f t="shared" si="118"/>
        <v>1</v>
      </c>
      <c r="F7611" s="12">
        <v>0</v>
      </c>
    </row>
    <row r="7612" spans="3:6">
      <c r="C7612" s="12"/>
      <c r="D7612" s="12"/>
      <c r="E7612" t="b">
        <f t="shared" si="118"/>
        <v>1</v>
      </c>
      <c r="F7612" s="12">
        <v>0</v>
      </c>
    </row>
    <row r="7613" spans="3:6">
      <c r="C7613" s="12"/>
      <c r="D7613" s="12"/>
      <c r="E7613" t="b">
        <f t="shared" si="118"/>
        <v>1</v>
      </c>
      <c r="F7613" s="12">
        <v>0</v>
      </c>
    </row>
    <row r="7614" spans="3:6">
      <c r="C7614" s="12"/>
      <c r="D7614" s="12"/>
      <c r="E7614" t="b">
        <f t="shared" si="118"/>
        <v>1</v>
      </c>
      <c r="F7614" s="12">
        <v>0</v>
      </c>
    </row>
    <row r="7615" spans="3:6">
      <c r="C7615" s="12"/>
      <c r="D7615" s="12"/>
      <c r="E7615" t="b">
        <f t="shared" si="118"/>
        <v>1</v>
      </c>
      <c r="F7615" s="12">
        <v>0</v>
      </c>
    </row>
    <row r="7616" spans="3:6">
      <c r="C7616" s="12"/>
      <c r="D7616" s="12"/>
      <c r="E7616" t="b">
        <f t="shared" si="118"/>
        <v>1</v>
      </c>
      <c r="F7616" s="12">
        <v>0</v>
      </c>
    </row>
    <row r="7617" spans="3:6">
      <c r="C7617" s="12"/>
      <c r="D7617" s="12"/>
      <c r="E7617" t="b">
        <f t="shared" si="118"/>
        <v>1</v>
      </c>
      <c r="F7617" s="12">
        <v>0</v>
      </c>
    </row>
    <row r="7618" spans="3:6">
      <c r="C7618" s="12"/>
      <c r="D7618" s="12"/>
      <c r="E7618" t="b">
        <f t="shared" si="118"/>
        <v>1</v>
      </c>
      <c r="F7618" s="12">
        <v>0</v>
      </c>
    </row>
    <row r="7619" spans="3:6">
      <c r="C7619" s="12"/>
      <c r="D7619" s="12"/>
      <c r="E7619" t="b">
        <f t="shared" ref="E7619:E7682" si="119">F7619=C7619</f>
        <v>1</v>
      </c>
      <c r="F7619" s="12">
        <v>0</v>
      </c>
    </row>
    <row r="7620" spans="3:6">
      <c r="C7620" s="12"/>
      <c r="D7620" s="12"/>
      <c r="E7620" t="b">
        <f t="shared" si="119"/>
        <v>1</v>
      </c>
      <c r="F7620" s="12">
        <v>0</v>
      </c>
    </row>
    <row r="7621" spans="3:6">
      <c r="C7621" s="12"/>
      <c r="D7621" s="12"/>
      <c r="E7621" t="b">
        <f t="shared" si="119"/>
        <v>1</v>
      </c>
      <c r="F7621" s="12">
        <v>0</v>
      </c>
    </row>
    <row r="7622" spans="3:6">
      <c r="C7622" s="12"/>
      <c r="D7622" s="12"/>
      <c r="E7622" t="b">
        <f t="shared" si="119"/>
        <v>1</v>
      </c>
      <c r="F7622" s="12">
        <v>0</v>
      </c>
    </row>
    <row r="7623" spans="3:6">
      <c r="C7623" s="12"/>
      <c r="D7623" s="12"/>
      <c r="E7623" t="b">
        <f t="shared" si="119"/>
        <v>1</v>
      </c>
      <c r="F7623" s="12">
        <v>0</v>
      </c>
    </row>
    <row r="7624" spans="3:6">
      <c r="C7624" s="12"/>
      <c r="D7624" s="12"/>
      <c r="E7624" t="b">
        <f t="shared" si="119"/>
        <v>1</v>
      </c>
      <c r="F7624" s="12">
        <v>0</v>
      </c>
    </row>
    <row r="7625" spans="3:6">
      <c r="C7625" s="12"/>
      <c r="D7625" s="12"/>
      <c r="E7625" t="b">
        <f t="shared" si="119"/>
        <v>1</v>
      </c>
      <c r="F7625" s="12">
        <v>0</v>
      </c>
    </row>
    <row r="7626" spans="3:6">
      <c r="C7626" s="12"/>
      <c r="D7626" s="12"/>
      <c r="E7626" t="b">
        <f t="shared" si="119"/>
        <v>1</v>
      </c>
      <c r="F7626" s="12">
        <v>0</v>
      </c>
    </row>
    <row r="7627" spans="3:6">
      <c r="C7627" s="12"/>
      <c r="D7627" s="12"/>
      <c r="E7627" t="b">
        <f t="shared" si="119"/>
        <v>1</v>
      </c>
      <c r="F7627" s="12">
        <v>0</v>
      </c>
    </row>
    <row r="7628" spans="3:6">
      <c r="C7628" s="12"/>
      <c r="D7628" s="12"/>
      <c r="E7628" t="b">
        <f t="shared" si="119"/>
        <v>1</v>
      </c>
      <c r="F7628" s="12">
        <v>0</v>
      </c>
    </row>
    <row r="7629" spans="3:6">
      <c r="C7629" s="12"/>
      <c r="D7629" s="12"/>
      <c r="E7629" t="b">
        <f t="shared" si="119"/>
        <v>1</v>
      </c>
      <c r="F7629" s="12">
        <v>0</v>
      </c>
    </row>
    <row r="7630" spans="3:6">
      <c r="C7630" s="12"/>
      <c r="D7630" s="12"/>
      <c r="E7630" t="b">
        <f t="shared" si="119"/>
        <v>1</v>
      </c>
      <c r="F7630" s="12">
        <v>0</v>
      </c>
    </row>
    <row r="7631" spans="3:6">
      <c r="C7631" s="12"/>
      <c r="D7631" s="12"/>
      <c r="E7631" t="b">
        <f t="shared" si="119"/>
        <v>1</v>
      </c>
      <c r="F7631" s="12">
        <v>0</v>
      </c>
    </row>
    <row r="7632" spans="3:6">
      <c r="C7632" s="12"/>
      <c r="D7632" s="12"/>
      <c r="E7632" t="b">
        <f t="shared" si="119"/>
        <v>1</v>
      </c>
      <c r="F7632" s="12">
        <v>0</v>
      </c>
    </row>
    <row r="7633" spans="3:6">
      <c r="C7633" s="12"/>
      <c r="D7633" s="12"/>
      <c r="E7633" t="b">
        <f t="shared" si="119"/>
        <v>1</v>
      </c>
      <c r="F7633" s="12">
        <v>0</v>
      </c>
    </row>
    <row r="7634" spans="3:6">
      <c r="C7634" s="12"/>
      <c r="D7634" s="12"/>
      <c r="E7634" t="b">
        <f t="shared" si="119"/>
        <v>1</v>
      </c>
      <c r="F7634" s="12">
        <v>0</v>
      </c>
    </row>
    <row r="7635" spans="3:6">
      <c r="C7635" s="12"/>
      <c r="D7635" s="12"/>
      <c r="E7635" t="b">
        <f t="shared" si="119"/>
        <v>1</v>
      </c>
      <c r="F7635" s="12">
        <v>0</v>
      </c>
    </row>
    <row r="7636" spans="3:6">
      <c r="C7636" s="12"/>
      <c r="D7636" s="12"/>
      <c r="E7636" t="b">
        <f t="shared" si="119"/>
        <v>1</v>
      </c>
      <c r="F7636" s="12">
        <v>0</v>
      </c>
    </row>
    <row r="7637" spans="3:6">
      <c r="C7637" s="12"/>
      <c r="D7637" s="12"/>
      <c r="E7637" t="b">
        <f t="shared" si="119"/>
        <v>1</v>
      </c>
      <c r="F7637" s="12">
        <v>0</v>
      </c>
    </row>
    <row r="7638" spans="3:6">
      <c r="C7638" s="12"/>
      <c r="D7638" s="12"/>
      <c r="E7638" t="b">
        <f t="shared" si="119"/>
        <v>1</v>
      </c>
      <c r="F7638" s="12">
        <v>0</v>
      </c>
    </row>
    <row r="7639" spans="3:6">
      <c r="C7639" s="12"/>
      <c r="D7639" s="12"/>
      <c r="E7639" t="b">
        <f t="shared" si="119"/>
        <v>1</v>
      </c>
      <c r="F7639" s="12">
        <v>0</v>
      </c>
    </row>
    <row r="7640" spans="3:6">
      <c r="C7640" s="12"/>
      <c r="D7640" s="12"/>
      <c r="E7640" t="b">
        <f t="shared" si="119"/>
        <v>1</v>
      </c>
      <c r="F7640" s="12">
        <v>0</v>
      </c>
    </row>
    <row r="7641" spans="3:6">
      <c r="C7641" s="12"/>
      <c r="D7641" s="12"/>
      <c r="E7641" t="b">
        <f t="shared" si="119"/>
        <v>1</v>
      </c>
      <c r="F7641" s="12">
        <v>0</v>
      </c>
    </row>
    <row r="7642" spans="3:6">
      <c r="C7642" s="12"/>
      <c r="D7642" s="12"/>
      <c r="E7642" t="b">
        <f t="shared" si="119"/>
        <v>1</v>
      </c>
      <c r="F7642" s="12">
        <v>0</v>
      </c>
    </row>
    <row r="7643" spans="3:6">
      <c r="C7643" s="12"/>
      <c r="D7643" s="12"/>
      <c r="E7643" t="b">
        <f t="shared" si="119"/>
        <v>1</v>
      </c>
      <c r="F7643" s="12">
        <v>0</v>
      </c>
    </row>
    <row r="7644" spans="3:6">
      <c r="C7644" s="12"/>
      <c r="D7644" s="12"/>
      <c r="E7644" t="b">
        <f t="shared" si="119"/>
        <v>1</v>
      </c>
      <c r="F7644" s="12">
        <v>0</v>
      </c>
    </row>
    <row r="7645" spans="3:6">
      <c r="C7645" s="12"/>
      <c r="D7645" s="12"/>
      <c r="E7645" t="b">
        <f t="shared" si="119"/>
        <v>1</v>
      </c>
      <c r="F7645" s="12">
        <v>0</v>
      </c>
    </row>
    <row r="7646" spans="3:6">
      <c r="C7646" s="12"/>
      <c r="D7646" s="12"/>
      <c r="E7646" t="b">
        <f t="shared" si="119"/>
        <v>1</v>
      </c>
      <c r="F7646" s="12">
        <v>0</v>
      </c>
    </row>
    <row r="7647" spans="3:6">
      <c r="C7647" s="12"/>
      <c r="D7647" s="12"/>
      <c r="E7647" t="b">
        <f t="shared" si="119"/>
        <v>1</v>
      </c>
      <c r="F7647" s="12">
        <v>0</v>
      </c>
    </row>
    <row r="7648" spans="3:6">
      <c r="C7648" s="12"/>
      <c r="D7648" s="12"/>
      <c r="E7648" t="b">
        <f t="shared" si="119"/>
        <v>1</v>
      </c>
      <c r="F7648" s="12">
        <v>0</v>
      </c>
    </row>
    <row r="7649" spans="3:6">
      <c r="C7649" s="12"/>
      <c r="D7649" s="12"/>
      <c r="E7649" t="b">
        <f t="shared" si="119"/>
        <v>1</v>
      </c>
      <c r="F7649" s="12">
        <v>0</v>
      </c>
    </row>
    <row r="7650" spans="3:6">
      <c r="C7650" s="12"/>
      <c r="D7650" s="12"/>
      <c r="E7650" t="b">
        <f t="shared" si="119"/>
        <v>1</v>
      </c>
      <c r="F7650" s="12">
        <v>0</v>
      </c>
    </row>
    <row r="7651" spans="3:6">
      <c r="C7651" s="12"/>
      <c r="D7651" s="12"/>
      <c r="E7651" t="b">
        <f t="shared" si="119"/>
        <v>1</v>
      </c>
      <c r="F7651" s="12">
        <v>0</v>
      </c>
    </row>
    <row r="7652" spans="3:6">
      <c r="C7652" s="12"/>
      <c r="D7652" s="12"/>
      <c r="E7652" t="b">
        <f t="shared" si="119"/>
        <v>1</v>
      </c>
      <c r="F7652" s="12">
        <v>0</v>
      </c>
    </row>
    <row r="7653" spans="3:6">
      <c r="C7653" s="12"/>
      <c r="D7653" s="12"/>
      <c r="E7653" t="b">
        <f t="shared" si="119"/>
        <v>1</v>
      </c>
      <c r="F7653" s="12">
        <v>0</v>
      </c>
    </row>
    <row r="7654" spans="3:6">
      <c r="C7654" s="12"/>
      <c r="D7654" s="12"/>
      <c r="E7654" t="b">
        <f t="shared" si="119"/>
        <v>1</v>
      </c>
      <c r="F7654" s="12">
        <v>0</v>
      </c>
    </row>
    <row r="7655" spans="3:6">
      <c r="C7655" s="12"/>
      <c r="D7655" s="12"/>
      <c r="E7655" t="b">
        <f t="shared" si="119"/>
        <v>1</v>
      </c>
      <c r="F7655" s="12">
        <v>0</v>
      </c>
    </row>
    <row r="7656" spans="3:6">
      <c r="C7656" s="12"/>
      <c r="D7656" s="12"/>
      <c r="E7656" t="b">
        <f t="shared" si="119"/>
        <v>1</v>
      </c>
      <c r="F7656" s="12">
        <v>0</v>
      </c>
    </row>
    <row r="7657" spans="3:6">
      <c r="C7657" s="12"/>
      <c r="D7657" s="12"/>
      <c r="E7657" t="b">
        <f t="shared" si="119"/>
        <v>1</v>
      </c>
      <c r="F7657" s="12">
        <v>0</v>
      </c>
    </row>
    <row r="7658" spans="3:6">
      <c r="C7658" s="12"/>
      <c r="D7658" s="12"/>
      <c r="E7658" t="b">
        <f t="shared" si="119"/>
        <v>1</v>
      </c>
      <c r="F7658" s="12">
        <v>0</v>
      </c>
    </row>
    <row r="7659" spans="3:6">
      <c r="C7659" s="12"/>
      <c r="D7659" s="12"/>
      <c r="E7659" t="b">
        <f t="shared" si="119"/>
        <v>1</v>
      </c>
      <c r="F7659" s="12">
        <v>0</v>
      </c>
    </row>
    <row r="7660" spans="3:6">
      <c r="C7660" s="12"/>
      <c r="D7660" s="12"/>
      <c r="E7660" t="b">
        <f t="shared" si="119"/>
        <v>1</v>
      </c>
      <c r="F7660" s="12">
        <v>0</v>
      </c>
    </row>
    <row r="7661" spans="3:6">
      <c r="C7661" s="12"/>
      <c r="D7661" s="12"/>
      <c r="E7661" t="b">
        <f t="shared" si="119"/>
        <v>1</v>
      </c>
      <c r="F7661" s="12">
        <v>0</v>
      </c>
    </row>
    <row r="7662" spans="3:6">
      <c r="C7662" s="12"/>
      <c r="D7662" s="12"/>
      <c r="E7662" t="b">
        <f t="shared" si="119"/>
        <v>1</v>
      </c>
      <c r="F7662" s="12">
        <v>0</v>
      </c>
    </row>
    <row r="7663" spans="3:6">
      <c r="C7663" s="12"/>
      <c r="D7663" s="12"/>
      <c r="E7663" t="b">
        <f t="shared" si="119"/>
        <v>1</v>
      </c>
      <c r="F7663" s="12">
        <v>0</v>
      </c>
    </row>
    <row r="7664" spans="3:6">
      <c r="C7664" s="12"/>
      <c r="D7664" s="12"/>
      <c r="E7664" t="b">
        <f t="shared" si="119"/>
        <v>1</v>
      </c>
      <c r="F7664" s="12">
        <v>0</v>
      </c>
    </row>
    <row r="7665" spans="3:6">
      <c r="C7665" s="12"/>
      <c r="D7665" s="12"/>
      <c r="E7665" t="b">
        <f t="shared" si="119"/>
        <v>1</v>
      </c>
      <c r="F7665" s="12">
        <v>0</v>
      </c>
    </row>
    <row r="7666" spans="3:6">
      <c r="C7666" s="12"/>
      <c r="D7666" s="12"/>
      <c r="E7666" t="b">
        <f t="shared" si="119"/>
        <v>1</v>
      </c>
      <c r="F7666" s="12">
        <v>0</v>
      </c>
    </row>
    <row r="7667" spans="3:6">
      <c r="C7667" s="12"/>
      <c r="D7667" s="12"/>
      <c r="E7667" t="b">
        <f t="shared" si="119"/>
        <v>1</v>
      </c>
      <c r="F7667" s="12">
        <v>0</v>
      </c>
    </row>
    <row r="7668" spans="3:6">
      <c r="C7668" s="12"/>
      <c r="D7668" s="12"/>
      <c r="E7668" t="b">
        <f t="shared" si="119"/>
        <v>1</v>
      </c>
      <c r="F7668" s="12">
        <v>0</v>
      </c>
    </row>
    <row r="7669" spans="3:6">
      <c r="C7669" s="12"/>
      <c r="D7669" s="12"/>
      <c r="E7669" t="b">
        <f t="shared" si="119"/>
        <v>1</v>
      </c>
      <c r="F7669" s="12">
        <v>0</v>
      </c>
    </row>
    <row r="7670" spans="3:6">
      <c r="C7670" s="12"/>
      <c r="D7670" s="12"/>
      <c r="E7670" t="b">
        <f t="shared" si="119"/>
        <v>1</v>
      </c>
      <c r="F7670" s="12">
        <v>0</v>
      </c>
    </row>
    <row r="7671" spans="3:6">
      <c r="C7671" s="12"/>
      <c r="D7671" s="12"/>
      <c r="E7671" t="b">
        <f t="shared" si="119"/>
        <v>1</v>
      </c>
      <c r="F7671" s="12">
        <v>0</v>
      </c>
    </row>
    <row r="7672" spans="3:6">
      <c r="C7672" s="12"/>
      <c r="D7672" s="12"/>
      <c r="E7672" t="b">
        <f t="shared" si="119"/>
        <v>1</v>
      </c>
      <c r="F7672" s="12">
        <v>0</v>
      </c>
    </row>
    <row r="7673" spans="3:6">
      <c r="C7673" s="12"/>
      <c r="D7673" s="12"/>
      <c r="E7673" t="b">
        <f t="shared" si="119"/>
        <v>1</v>
      </c>
      <c r="F7673" s="12">
        <v>0</v>
      </c>
    </row>
    <row r="7674" spans="3:6">
      <c r="C7674" s="12"/>
      <c r="D7674" s="12"/>
      <c r="E7674" t="b">
        <f t="shared" si="119"/>
        <v>1</v>
      </c>
      <c r="F7674" s="12">
        <v>0</v>
      </c>
    </row>
    <row r="7675" spans="3:6">
      <c r="C7675" s="12"/>
      <c r="D7675" s="12"/>
      <c r="E7675" t="b">
        <f t="shared" si="119"/>
        <v>1</v>
      </c>
      <c r="F7675" s="12">
        <v>0</v>
      </c>
    </row>
    <row r="7676" spans="3:6">
      <c r="C7676" s="12"/>
      <c r="D7676" s="12"/>
      <c r="E7676" t="b">
        <f t="shared" si="119"/>
        <v>1</v>
      </c>
      <c r="F7676" s="12">
        <v>0</v>
      </c>
    </row>
    <row r="7677" spans="3:6">
      <c r="C7677" s="12"/>
      <c r="D7677" s="12"/>
      <c r="E7677" t="b">
        <f t="shared" si="119"/>
        <v>1</v>
      </c>
      <c r="F7677" s="12">
        <v>0</v>
      </c>
    </row>
    <row r="7678" spans="3:6">
      <c r="C7678" s="12"/>
      <c r="D7678" s="12"/>
      <c r="E7678" t="b">
        <f t="shared" si="119"/>
        <v>1</v>
      </c>
      <c r="F7678" s="12">
        <v>0</v>
      </c>
    </row>
    <row r="7679" spans="3:6">
      <c r="C7679" s="12"/>
      <c r="D7679" s="12"/>
      <c r="E7679" t="b">
        <f t="shared" si="119"/>
        <v>1</v>
      </c>
      <c r="F7679" s="12">
        <v>0</v>
      </c>
    </row>
    <row r="7680" spans="3:6">
      <c r="C7680" s="12"/>
      <c r="D7680" s="12"/>
      <c r="E7680" t="b">
        <f t="shared" si="119"/>
        <v>1</v>
      </c>
      <c r="F7680" s="12">
        <v>0</v>
      </c>
    </row>
    <row r="7681" spans="3:6">
      <c r="C7681" s="12"/>
      <c r="D7681" s="12"/>
      <c r="E7681" t="b">
        <f t="shared" si="119"/>
        <v>1</v>
      </c>
      <c r="F7681" s="12">
        <v>0</v>
      </c>
    </row>
    <row r="7682" spans="3:6">
      <c r="C7682" s="12"/>
      <c r="D7682" s="12"/>
      <c r="E7682" t="b">
        <f t="shared" si="119"/>
        <v>1</v>
      </c>
      <c r="F7682" s="12">
        <v>0</v>
      </c>
    </row>
    <row r="7683" spans="3:6">
      <c r="C7683" s="12"/>
      <c r="D7683" s="12"/>
      <c r="E7683" t="b">
        <f t="shared" ref="E7683:E7746" si="120">F7683=C7683</f>
        <v>1</v>
      </c>
      <c r="F7683" s="12">
        <v>0</v>
      </c>
    </row>
    <row r="7684" spans="3:6">
      <c r="C7684" s="12"/>
      <c r="D7684" s="12"/>
      <c r="E7684" t="b">
        <f t="shared" si="120"/>
        <v>1</v>
      </c>
      <c r="F7684" s="12">
        <v>0</v>
      </c>
    </row>
    <row r="7685" spans="3:6">
      <c r="C7685" s="12"/>
      <c r="D7685" s="12"/>
      <c r="E7685" t="b">
        <f t="shared" si="120"/>
        <v>1</v>
      </c>
      <c r="F7685" s="12">
        <v>0</v>
      </c>
    </row>
    <row r="7686" spans="3:6">
      <c r="C7686" s="12"/>
      <c r="D7686" s="12"/>
      <c r="E7686" t="b">
        <f t="shared" si="120"/>
        <v>1</v>
      </c>
      <c r="F7686" s="12">
        <v>0</v>
      </c>
    </row>
    <row r="7687" spans="3:6">
      <c r="C7687" s="12"/>
      <c r="D7687" s="12"/>
      <c r="E7687" t="b">
        <f t="shared" si="120"/>
        <v>1</v>
      </c>
      <c r="F7687" s="12">
        <v>0</v>
      </c>
    </row>
    <row r="7688" spans="3:6">
      <c r="C7688" s="12"/>
      <c r="D7688" s="12"/>
      <c r="E7688" t="b">
        <f t="shared" si="120"/>
        <v>1</v>
      </c>
      <c r="F7688" s="12">
        <v>0</v>
      </c>
    </row>
    <row r="7689" spans="3:6">
      <c r="C7689" s="12"/>
      <c r="D7689" s="12"/>
      <c r="E7689" t="b">
        <f t="shared" si="120"/>
        <v>1</v>
      </c>
      <c r="F7689" s="12">
        <v>0</v>
      </c>
    </row>
    <row r="7690" spans="3:6">
      <c r="C7690" s="12"/>
      <c r="D7690" s="12"/>
      <c r="E7690" t="b">
        <f t="shared" si="120"/>
        <v>1</v>
      </c>
      <c r="F7690" s="12">
        <v>0</v>
      </c>
    </row>
    <row r="7691" spans="3:6">
      <c r="C7691" s="12"/>
      <c r="D7691" s="12"/>
      <c r="E7691" t="b">
        <f t="shared" si="120"/>
        <v>1</v>
      </c>
      <c r="F7691" s="12">
        <v>0</v>
      </c>
    </row>
    <row r="7692" spans="3:6">
      <c r="C7692" s="12"/>
      <c r="D7692" s="12"/>
      <c r="E7692" t="b">
        <f t="shared" si="120"/>
        <v>1</v>
      </c>
      <c r="F7692" s="12">
        <v>0</v>
      </c>
    </row>
    <row r="7693" spans="3:6">
      <c r="C7693" s="12"/>
      <c r="D7693" s="12"/>
      <c r="E7693" t="b">
        <f t="shared" si="120"/>
        <v>1</v>
      </c>
      <c r="F7693" s="12">
        <v>0</v>
      </c>
    </row>
    <row r="7694" spans="3:6">
      <c r="C7694" s="12"/>
      <c r="D7694" s="12"/>
      <c r="E7694" t="b">
        <f t="shared" si="120"/>
        <v>1</v>
      </c>
      <c r="F7694" s="12">
        <v>0</v>
      </c>
    </row>
    <row r="7695" spans="3:6">
      <c r="C7695" s="12"/>
      <c r="D7695" s="12"/>
      <c r="E7695" t="b">
        <f t="shared" si="120"/>
        <v>1</v>
      </c>
      <c r="F7695" s="12">
        <v>0</v>
      </c>
    </row>
    <row r="7696" spans="3:6">
      <c r="C7696" s="12"/>
      <c r="D7696" s="12"/>
      <c r="E7696" t="b">
        <f t="shared" si="120"/>
        <v>1</v>
      </c>
      <c r="F7696" s="12">
        <v>0</v>
      </c>
    </row>
    <row r="7697" spans="3:6">
      <c r="C7697" s="12"/>
      <c r="D7697" s="12"/>
      <c r="E7697" t="b">
        <f t="shared" si="120"/>
        <v>1</v>
      </c>
      <c r="F7697" s="12">
        <v>0</v>
      </c>
    </row>
    <row r="7698" spans="3:6">
      <c r="C7698" s="12"/>
      <c r="D7698" s="12"/>
      <c r="E7698" t="b">
        <f t="shared" si="120"/>
        <v>1</v>
      </c>
      <c r="F7698" s="12">
        <v>0</v>
      </c>
    </row>
    <row r="7699" spans="3:6">
      <c r="C7699" s="12"/>
      <c r="D7699" s="12"/>
      <c r="E7699" t="b">
        <f t="shared" si="120"/>
        <v>1</v>
      </c>
      <c r="F7699" s="12">
        <v>0</v>
      </c>
    </row>
    <row r="7700" spans="3:6">
      <c r="C7700" s="12"/>
      <c r="D7700" s="12"/>
      <c r="E7700" t="b">
        <f t="shared" si="120"/>
        <v>1</v>
      </c>
      <c r="F7700" s="12">
        <v>0</v>
      </c>
    </row>
    <row r="7701" spans="3:6">
      <c r="C7701" s="12"/>
      <c r="D7701" s="12"/>
      <c r="E7701" t="b">
        <f t="shared" si="120"/>
        <v>1</v>
      </c>
      <c r="F7701" s="12">
        <v>0</v>
      </c>
    </row>
    <row r="7702" spans="3:6">
      <c r="C7702" s="12"/>
      <c r="D7702" s="12"/>
      <c r="E7702" t="b">
        <f t="shared" si="120"/>
        <v>1</v>
      </c>
      <c r="F7702" s="12">
        <v>0</v>
      </c>
    </row>
    <row r="7703" spans="3:6">
      <c r="C7703" s="12"/>
      <c r="D7703" s="12"/>
      <c r="E7703" t="b">
        <f t="shared" si="120"/>
        <v>1</v>
      </c>
      <c r="F7703" s="12">
        <v>0</v>
      </c>
    </row>
    <row r="7704" spans="3:6">
      <c r="C7704" s="12"/>
      <c r="D7704" s="12"/>
      <c r="E7704" t="b">
        <f t="shared" si="120"/>
        <v>1</v>
      </c>
      <c r="F7704" s="12">
        <v>0</v>
      </c>
    </row>
    <row r="7705" spans="3:6">
      <c r="C7705" s="12"/>
      <c r="D7705" s="12"/>
      <c r="E7705" t="b">
        <f t="shared" si="120"/>
        <v>1</v>
      </c>
      <c r="F7705" s="12">
        <v>0</v>
      </c>
    </row>
    <row r="7706" spans="3:6">
      <c r="C7706" s="12"/>
      <c r="D7706" s="12"/>
      <c r="E7706" t="b">
        <f t="shared" si="120"/>
        <v>1</v>
      </c>
      <c r="F7706" s="12">
        <v>0</v>
      </c>
    </row>
    <row r="7707" spans="3:6">
      <c r="C7707" s="12"/>
      <c r="D7707" s="12"/>
      <c r="E7707" t="b">
        <f t="shared" si="120"/>
        <v>1</v>
      </c>
      <c r="F7707" s="12">
        <v>0</v>
      </c>
    </row>
    <row r="7708" spans="3:6">
      <c r="C7708" s="12"/>
      <c r="D7708" s="12"/>
      <c r="E7708" t="b">
        <f t="shared" si="120"/>
        <v>1</v>
      </c>
      <c r="F7708" s="12">
        <v>0</v>
      </c>
    </row>
    <row r="7709" spans="3:6">
      <c r="C7709" s="12"/>
      <c r="D7709" s="12"/>
      <c r="E7709" t="b">
        <f t="shared" si="120"/>
        <v>1</v>
      </c>
      <c r="F7709" s="12">
        <v>0</v>
      </c>
    </row>
    <row r="7710" spans="3:6">
      <c r="C7710" s="12"/>
      <c r="D7710" s="12"/>
      <c r="E7710" t="b">
        <f t="shared" si="120"/>
        <v>1</v>
      </c>
      <c r="F7710" s="12">
        <v>0</v>
      </c>
    </row>
    <row r="7711" spans="3:6">
      <c r="C7711" s="12"/>
      <c r="D7711" s="12"/>
      <c r="E7711" t="b">
        <f t="shared" si="120"/>
        <v>1</v>
      </c>
      <c r="F7711" s="12">
        <v>0</v>
      </c>
    </row>
    <row r="7712" spans="3:6">
      <c r="C7712" s="12"/>
      <c r="D7712" s="12"/>
      <c r="E7712" t="b">
        <f t="shared" si="120"/>
        <v>1</v>
      </c>
      <c r="F7712" s="12">
        <v>0</v>
      </c>
    </row>
    <row r="7713" spans="3:6">
      <c r="C7713" s="12"/>
      <c r="D7713" s="12"/>
      <c r="E7713" t="b">
        <f t="shared" si="120"/>
        <v>1</v>
      </c>
      <c r="F7713" s="12">
        <v>0</v>
      </c>
    </row>
    <row r="7714" spans="3:6">
      <c r="C7714" s="12"/>
      <c r="D7714" s="12"/>
      <c r="E7714" t="b">
        <f t="shared" si="120"/>
        <v>1</v>
      </c>
      <c r="F7714" s="12">
        <v>0</v>
      </c>
    </row>
    <row r="7715" spans="3:6">
      <c r="C7715" s="12"/>
      <c r="D7715" s="12"/>
      <c r="E7715" t="b">
        <f t="shared" si="120"/>
        <v>1</v>
      </c>
      <c r="F7715" s="12">
        <v>0</v>
      </c>
    </row>
    <row r="7716" spans="3:6">
      <c r="C7716" s="12"/>
      <c r="D7716" s="12"/>
      <c r="E7716" t="b">
        <f t="shared" si="120"/>
        <v>1</v>
      </c>
      <c r="F7716" s="12">
        <v>0</v>
      </c>
    </row>
    <row r="7717" spans="3:6">
      <c r="C7717" s="12"/>
      <c r="D7717" s="12"/>
      <c r="E7717" t="b">
        <f t="shared" si="120"/>
        <v>1</v>
      </c>
      <c r="F7717" s="12">
        <v>0</v>
      </c>
    </row>
    <row r="7718" spans="3:6">
      <c r="C7718" s="12"/>
      <c r="D7718" s="12"/>
      <c r="E7718" t="b">
        <f t="shared" si="120"/>
        <v>1</v>
      </c>
      <c r="F7718" s="12">
        <v>0</v>
      </c>
    </row>
    <row r="7719" spans="3:6">
      <c r="C7719" s="12"/>
      <c r="D7719" s="12"/>
      <c r="E7719" t="b">
        <f t="shared" si="120"/>
        <v>1</v>
      </c>
      <c r="F7719" s="12">
        <v>0</v>
      </c>
    </row>
    <row r="7720" spans="3:6">
      <c r="C7720" s="12"/>
      <c r="D7720" s="12"/>
      <c r="E7720" t="b">
        <f t="shared" si="120"/>
        <v>1</v>
      </c>
      <c r="F7720" s="12">
        <v>0</v>
      </c>
    </row>
    <row r="7721" spans="3:6">
      <c r="C7721" s="12"/>
      <c r="D7721" s="12"/>
      <c r="E7721" t="b">
        <f t="shared" si="120"/>
        <v>1</v>
      </c>
      <c r="F7721" s="12">
        <v>0</v>
      </c>
    </row>
    <row r="7722" spans="3:6">
      <c r="C7722" s="12"/>
      <c r="D7722" s="12"/>
      <c r="E7722" t="b">
        <f t="shared" si="120"/>
        <v>1</v>
      </c>
      <c r="F7722" s="12">
        <v>0</v>
      </c>
    </row>
    <row r="7723" spans="3:6">
      <c r="C7723" s="12"/>
      <c r="D7723" s="12"/>
      <c r="E7723" t="b">
        <f t="shared" si="120"/>
        <v>1</v>
      </c>
      <c r="F7723" s="12">
        <v>0</v>
      </c>
    </row>
    <row r="7724" spans="3:6">
      <c r="C7724" s="12"/>
      <c r="D7724" s="12"/>
      <c r="E7724" t="b">
        <f t="shared" si="120"/>
        <v>1</v>
      </c>
      <c r="F7724" s="12">
        <v>0</v>
      </c>
    </row>
    <row r="7725" spans="3:6">
      <c r="C7725" s="12"/>
      <c r="D7725" s="12"/>
      <c r="E7725" t="b">
        <f t="shared" si="120"/>
        <v>1</v>
      </c>
      <c r="F7725" s="12">
        <v>0</v>
      </c>
    </row>
    <row r="7726" spans="3:6">
      <c r="C7726" s="12"/>
      <c r="D7726" s="12"/>
      <c r="E7726" t="b">
        <f t="shared" si="120"/>
        <v>1</v>
      </c>
      <c r="F7726" s="12">
        <v>0</v>
      </c>
    </row>
    <row r="7727" spans="3:6">
      <c r="C7727" s="12"/>
      <c r="D7727" s="12"/>
      <c r="E7727" t="b">
        <f t="shared" si="120"/>
        <v>1</v>
      </c>
      <c r="F7727" s="12">
        <v>0</v>
      </c>
    </row>
    <row r="7728" spans="3:6">
      <c r="C7728" s="12"/>
      <c r="D7728" s="12"/>
      <c r="E7728" t="b">
        <f t="shared" si="120"/>
        <v>1</v>
      </c>
      <c r="F7728" s="12">
        <v>0</v>
      </c>
    </row>
    <row r="7729" spans="3:6">
      <c r="C7729" s="12"/>
      <c r="D7729" s="12"/>
      <c r="E7729" t="b">
        <f t="shared" si="120"/>
        <v>1</v>
      </c>
      <c r="F7729" s="12">
        <v>0</v>
      </c>
    </row>
    <row r="7730" spans="3:6">
      <c r="C7730" s="12"/>
      <c r="D7730" s="12"/>
      <c r="E7730" t="b">
        <f t="shared" si="120"/>
        <v>1</v>
      </c>
      <c r="F7730" s="12">
        <v>0</v>
      </c>
    </row>
    <row r="7731" spans="3:6">
      <c r="C7731" s="12"/>
      <c r="D7731" s="12"/>
      <c r="E7731" t="b">
        <f t="shared" si="120"/>
        <v>1</v>
      </c>
      <c r="F7731" s="12">
        <v>0</v>
      </c>
    </row>
    <row r="7732" spans="3:6">
      <c r="C7732" s="12"/>
      <c r="D7732" s="12"/>
      <c r="E7732" t="b">
        <f t="shared" si="120"/>
        <v>1</v>
      </c>
      <c r="F7732" s="12">
        <v>0</v>
      </c>
    </row>
    <row r="7733" spans="3:6">
      <c r="C7733" s="12"/>
      <c r="D7733" s="12"/>
      <c r="E7733" t="b">
        <f t="shared" si="120"/>
        <v>1</v>
      </c>
      <c r="F7733" s="12">
        <v>0</v>
      </c>
    </row>
    <row r="7734" spans="3:6">
      <c r="C7734" s="12"/>
      <c r="D7734" s="12"/>
      <c r="E7734" t="b">
        <f t="shared" si="120"/>
        <v>1</v>
      </c>
      <c r="F7734" s="12">
        <v>0</v>
      </c>
    </row>
    <row r="7735" spans="3:6">
      <c r="C7735" s="12"/>
      <c r="D7735" s="12"/>
      <c r="E7735" t="b">
        <f t="shared" si="120"/>
        <v>1</v>
      </c>
      <c r="F7735" s="12">
        <v>0</v>
      </c>
    </row>
    <row r="7736" spans="3:6">
      <c r="C7736" s="12"/>
      <c r="D7736" s="12"/>
      <c r="E7736" t="b">
        <f t="shared" si="120"/>
        <v>1</v>
      </c>
      <c r="F7736" s="12">
        <v>0</v>
      </c>
    </row>
    <row r="7737" spans="3:6">
      <c r="C7737" s="12"/>
      <c r="D7737" s="12"/>
      <c r="E7737" t="b">
        <f t="shared" si="120"/>
        <v>1</v>
      </c>
      <c r="F7737" s="12">
        <v>0</v>
      </c>
    </row>
    <row r="7738" spans="3:6">
      <c r="C7738" s="12"/>
      <c r="D7738" s="12"/>
      <c r="E7738" t="b">
        <f t="shared" si="120"/>
        <v>1</v>
      </c>
      <c r="F7738" s="12">
        <v>0</v>
      </c>
    </row>
    <row r="7739" spans="3:6">
      <c r="C7739" s="12"/>
      <c r="D7739" s="12"/>
      <c r="E7739" t="b">
        <f t="shared" si="120"/>
        <v>1</v>
      </c>
      <c r="F7739" s="12">
        <v>0</v>
      </c>
    </row>
    <row r="7740" spans="3:6">
      <c r="C7740" s="12"/>
      <c r="D7740" s="12"/>
      <c r="E7740" t="b">
        <f t="shared" si="120"/>
        <v>1</v>
      </c>
      <c r="F7740" s="12">
        <v>0</v>
      </c>
    </row>
    <row r="7741" spans="3:6">
      <c r="C7741" s="12"/>
      <c r="D7741" s="12"/>
      <c r="E7741" t="b">
        <f t="shared" si="120"/>
        <v>1</v>
      </c>
      <c r="F7741" s="12">
        <v>0</v>
      </c>
    </row>
    <row r="7742" spans="3:6">
      <c r="C7742" s="12"/>
      <c r="D7742" s="12"/>
      <c r="E7742" t="b">
        <f t="shared" si="120"/>
        <v>1</v>
      </c>
      <c r="F7742" s="12">
        <v>0</v>
      </c>
    </row>
    <row r="7743" spans="3:6">
      <c r="C7743" s="12"/>
      <c r="D7743" s="12"/>
      <c r="E7743" t="b">
        <f t="shared" si="120"/>
        <v>1</v>
      </c>
      <c r="F7743" s="12">
        <v>0</v>
      </c>
    </row>
    <row r="7744" spans="3:6">
      <c r="C7744" s="12"/>
      <c r="D7744" s="12"/>
      <c r="E7744" t="b">
        <f t="shared" si="120"/>
        <v>1</v>
      </c>
      <c r="F7744" s="12">
        <v>0</v>
      </c>
    </row>
    <row r="7745" spans="3:6">
      <c r="C7745" s="12"/>
      <c r="D7745" s="12"/>
      <c r="E7745" t="b">
        <f t="shared" si="120"/>
        <v>1</v>
      </c>
      <c r="F7745" s="12">
        <v>0</v>
      </c>
    </row>
    <row r="7746" spans="3:6">
      <c r="C7746" s="12"/>
      <c r="D7746" s="12"/>
      <c r="E7746" t="b">
        <f t="shared" si="120"/>
        <v>1</v>
      </c>
      <c r="F7746" s="12">
        <v>0</v>
      </c>
    </row>
    <row r="7747" spans="3:6">
      <c r="C7747" s="12"/>
      <c r="D7747" s="12"/>
      <c r="E7747" t="b">
        <f t="shared" ref="E7747:E7810" si="121">F7747=C7747</f>
        <v>1</v>
      </c>
      <c r="F7747" s="12">
        <v>0</v>
      </c>
    </row>
    <row r="7748" spans="3:6">
      <c r="C7748" s="12"/>
      <c r="D7748" s="12"/>
      <c r="E7748" t="b">
        <f t="shared" si="121"/>
        <v>1</v>
      </c>
      <c r="F7748" s="12">
        <v>0</v>
      </c>
    </row>
    <row r="7749" spans="3:6">
      <c r="C7749" s="12"/>
      <c r="D7749" s="12"/>
      <c r="E7749" t="b">
        <f t="shared" si="121"/>
        <v>1</v>
      </c>
      <c r="F7749" s="12">
        <v>0</v>
      </c>
    </row>
    <row r="7750" spans="3:6">
      <c r="C7750" s="12"/>
      <c r="D7750" s="12"/>
      <c r="E7750" t="b">
        <f t="shared" si="121"/>
        <v>1</v>
      </c>
      <c r="F7750" s="12">
        <v>0</v>
      </c>
    </row>
    <row r="7751" spans="3:6">
      <c r="C7751" s="12"/>
      <c r="D7751" s="12"/>
      <c r="E7751" t="b">
        <f t="shared" si="121"/>
        <v>1</v>
      </c>
      <c r="F7751" s="12">
        <v>0</v>
      </c>
    </row>
    <row r="7752" spans="3:6">
      <c r="C7752" s="12"/>
      <c r="D7752" s="12"/>
      <c r="E7752" t="b">
        <f t="shared" si="121"/>
        <v>1</v>
      </c>
      <c r="F7752" s="12">
        <v>0</v>
      </c>
    </row>
    <row r="7753" spans="3:6">
      <c r="C7753" s="12"/>
      <c r="D7753" s="12"/>
      <c r="E7753" t="b">
        <f t="shared" si="121"/>
        <v>1</v>
      </c>
      <c r="F7753" s="12">
        <v>0</v>
      </c>
    </row>
    <row r="7754" spans="3:6">
      <c r="C7754" s="12"/>
      <c r="D7754" s="12"/>
      <c r="E7754" t="b">
        <f t="shared" si="121"/>
        <v>1</v>
      </c>
      <c r="F7754" s="12">
        <v>0</v>
      </c>
    </row>
    <row r="7755" spans="3:6">
      <c r="C7755" s="12"/>
      <c r="D7755" s="12"/>
      <c r="E7755" t="b">
        <f t="shared" si="121"/>
        <v>1</v>
      </c>
      <c r="F7755" s="12">
        <v>0</v>
      </c>
    </row>
    <row r="7756" spans="3:6">
      <c r="C7756" s="12"/>
      <c r="D7756" s="12"/>
      <c r="E7756" t="b">
        <f t="shared" si="121"/>
        <v>1</v>
      </c>
      <c r="F7756" s="12">
        <v>0</v>
      </c>
    </row>
    <row r="7757" spans="3:6">
      <c r="C7757" s="12"/>
      <c r="D7757" s="12"/>
      <c r="E7757" t="b">
        <f t="shared" si="121"/>
        <v>1</v>
      </c>
      <c r="F7757" s="12">
        <v>0</v>
      </c>
    </row>
    <row r="7758" spans="3:6">
      <c r="C7758" s="12"/>
      <c r="D7758" s="12"/>
      <c r="E7758" t="b">
        <f t="shared" si="121"/>
        <v>1</v>
      </c>
      <c r="F7758" s="12">
        <v>0</v>
      </c>
    </row>
    <row r="7759" spans="3:6">
      <c r="C7759" s="12"/>
      <c r="D7759" s="12"/>
      <c r="E7759" t="b">
        <f t="shared" si="121"/>
        <v>1</v>
      </c>
      <c r="F7759" s="12">
        <v>0</v>
      </c>
    </row>
    <row r="7760" spans="3:6">
      <c r="C7760" s="12"/>
      <c r="D7760" s="12"/>
      <c r="E7760" t="b">
        <f t="shared" si="121"/>
        <v>1</v>
      </c>
      <c r="F7760" s="12">
        <v>0</v>
      </c>
    </row>
    <row r="7761" spans="3:6">
      <c r="C7761" s="12"/>
      <c r="D7761" s="12"/>
      <c r="E7761" t="b">
        <f t="shared" si="121"/>
        <v>1</v>
      </c>
      <c r="F7761" s="12">
        <v>0</v>
      </c>
    </row>
    <row r="7762" spans="3:6">
      <c r="C7762" s="12"/>
      <c r="D7762" s="12"/>
      <c r="E7762" t="b">
        <f t="shared" si="121"/>
        <v>1</v>
      </c>
      <c r="F7762" s="12">
        <v>0</v>
      </c>
    </row>
    <row r="7763" spans="3:6">
      <c r="C7763" s="12"/>
      <c r="D7763" s="12"/>
      <c r="E7763" t="b">
        <f t="shared" si="121"/>
        <v>1</v>
      </c>
      <c r="F7763" s="12">
        <v>0</v>
      </c>
    </row>
    <row r="7764" spans="3:6">
      <c r="C7764" s="12"/>
      <c r="D7764" s="12"/>
      <c r="E7764" t="b">
        <f t="shared" si="121"/>
        <v>1</v>
      </c>
      <c r="F7764" s="12">
        <v>0</v>
      </c>
    </row>
    <row r="7765" spans="3:6">
      <c r="C7765" s="12"/>
      <c r="D7765" s="12"/>
      <c r="E7765" t="b">
        <f t="shared" si="121"/>
        <v>1</v>
      </c>
      <c r="F7765" s="12">
        <v>0</v>
      </c>
    </row>
    <row r="7766" spans="3:6">
      <c r="C7766" s="12"/>
      <c r="D7766" s="12"/>
      <c r="E7766" t="b">
        <f t="shared" si="121"/>
        <v>1</v>
      </c>
      <c r="F7766" s="12">
        <v>0</v>
      </c>
    </row>
    <row r="7767" spans="3:6">
      <c r="C7767" s="12"/>
      <c r="D7767" s="12"/>
      <c r="E7767" t="b">
        <f t="shared" si="121"/>
        <v>1</v>
      </c>
      <c r="F7767" s="12">
        <v>0</v>
      </c>
    </row>
    <row r="7768" spans="3:6">
      <c r="C7768" s="12"/>
      <c r="D7768" s="12"/>
      <c r="E7768" t="b">
        <f t="shared" si="121"/>
        <v>1</v>
      </c>
      <c r="F7768" s="12">
        <v>0</v>
      </c>
    </row>
    <row r="7769" spans="3:6">
      <c r="C7769" s="12"/>
      <c r="D7769" s="12"/>
      <c r="E7769" t="b">
        <f t="shared" si="121"/>
        <v>1</v>
      </c>
      <c r="F7769" s="12">
        <v>0</v>
      </c>
    </row>
    <row r="7770" spans="3:6">
      <c r="C7770" s="12"/>
      <c r="D7770" s="12"/>
      <c r="E7770" t="b">
        <f t="shared" si="121"/>
        <v>1</v>
      </c>
      <c r="F7770" s="12">
        <v>0</v>
      </c>
    </row>
    <row r="7771" spans="3:6">
      <c r="C7771" s="12"/>
      <c r="D7771" s="12"/>
      <c r="E7771" t="b">
        <f t="shared" si="121"/>
        <v>1</v>
      </c>
      <c r="F7771" s="12">
        <v>0</v>
      </c>
    </row>
    <row r="7772" spans="3:6">
      <c r="C7772" s="12"/>
      <c r="D7772" s="12"/>
      <c r="E7772" t="b">
        <f t="shared" si="121"/>
        <v>1</v>
      </c>
      <c r="F7772" s="12">
        <v>0</v>
      </c>
    </row>
    <row r="7773" spans="3:6">
      <c r="C7773" s="12"/>
      <c r="D7773" s="12"/>
      <c r="E7773" t="b">
        <f t="shared" si="121"/>
        <v>1</v>
      </c>
      <c r="F7773" s="12">
        <v>0</v>
      </c>
    </row>
    <row r="7774" spans="3:6">
      <c r="C7774" s="12"/>
      <c r="D7774" s="12"/>
      <c r="E7774" t="b">
        <f t="shared" si="121"/>
        <v>1</v>
      </c>
      <c r="F7774" s="12">
        <v>0</v>
      </c>
    </row>
    <row r="7775" spans="3:6">
      <c r="C7775" s="12"/>
      <c r="D7775" s="12"/>
      <c r="E7775" t="b">
        <f t="shared" si="121"/>
        <v>1</v>
      </c>
      <c r="F7775" s="12">
        <v>0</v>
      </c>
    </row>
    <row r="7776" spans="3:6">
      <c r="C7776" s="12"/>
      <c r="D7776" s="12"/>
      <c r="E7776" t="b">
        <f t="shared" si="121"/>
        <v>1</v>
      </c>
      <c r="F7776" s="12">
        <v>0</v>
      </c>
    </row>
    <row r="7777" spans="3:6">
      <c r="C7777" s="12"/>
      <c r="D7777" s="12"/>
      <c r="E7777" t="b">
        <f t="shared" si="121"/>
        <v>1</v>
      </c>
      <c r="F7777" s="12">
        <v>0</v>
      </c>
    </row>
    <row r="7778" spans="3:6">
      <c r="C7778" s="12"/>
      <c r="D7778" s="12"/>
      <c r="E7778" t="b">
        <f t="shared" si="121"/>
        <v>1</v>
      </c>
      <c r="F7778" s="12">
        <v>0</v>
      </c>
    </row>
    <row r="7779" spans="3:6">
      <c r="C7779" s="12"/>
      <c r="D7779" s="12"/>
      <c r="E7779" t="b">
        <f t="shared" si="121"/>
        <v>1</v>
      </c>
      <c r="F7779" s="12">
        <v>0</v>
      </c>
    </row>
    <row r="7780" spans="3:6">
      <c r="C7780" s="12"/>
      <c r="D7780" s="12"/>
      <c r="E7780" t="b">
        <f t="shared" si="121"/>
        <v>1</v>
      </c>
      <c r="F7780" s="12">
        <v>0</v>
      </c>
    </row>
    <row r="7781" spans="3:6">
      <c r="C7781" s="12"/>
      <c r="D7781" s="12"/>
      <c r="E7781" t="b">
        <f t="shared" si="121"/>
        <v>1</v>
      </c>
      <c r="F7781" s="12">
        <v>0</v>
      </c>
    </row>
    <row r="7782" spans="3:6">
      <c r="C7782" s="12"/>
      <c r="D7782" s="12"/>
      <c r="E7782" t="b">
        <f t="shared" si="121"/>
        <v>1</v>
      </c>
      <c r="F7782" s="12">
        <v>0</v>
      </c>
    </row>
    <row r="7783" spans="3:6">
      <c r="C7783" s="12"/>
      <c r="D7783" s="12"/>
      <c r="E7783" t="b">
        <f t="shared" si="121"/>
        <v>1</v>
      </c>
      <c r="F7783" s="12">
        <v>0</v>
      </c>
    </row>
    <row r="7784" spans="3:6">
      <c r="C7784" s="12"/>
      <c r="D7784" s="12"/>
      <c r="E7784" t="b">
        <f t="shared" si="121"/>
        <v>1</v>
      </c>
      <c r="F7784" s="12">
        <v>0</v>
      </c>
    </row>
    <row r="7785" spans="3:6">
      <c r="C7785" s="12"/>
      <c r="D7785" s="12"/>
      <c r="E7785" t="b">
        <f t="shared" si="121"/>
        <v>1</v>
      </c>
      <c r="F7785" s="12">
        <v>0</v>
      </c>
    </row>
    <row r="7786" spans="3:6">
      <c r="C7786" s="12"/>
      <c r="D7786" s="12"/>
      <c r="E7786" t="b">
        <f t="shared" si="121"/>
        <v>1</v>
      </c>
      <c r="F7786" s="12">
        <v>0</v>
      </c>
    </row>
    <row r="7787" spans="3:6">
      <c r="C7787" s="12"/>
      <c r="D7787" s="12"/>
      <c r="E7787" t="b">
        <f t="shared" si="121"/>
        <v>1</v>
      </c>
      <c r="F7787" s="12">
        <v>0</v>
      </c>
    </row>
    <row r="7788" spans="3:6">
      <c r="C7788" s="12"/>
      <c r="D7788" s="12"/>
      <c r="E7788" t="b">
        <f t="shared" si="121"/>
        <v>1</v>
      </c>
      <c r="F7788" s="12">
        <v>0</v>
      </c>
    </row>
    <row r="7789" spans="3:6">
      <c r="C7789" s="12"/>
      <c r="D7789" s="12"/>
      <c r="E7789" t="b">
        <f t="shared" si="121"/>
        <v>1</v>
      </c>
      <c r="F7789" s="12">
        <v>0</v>
      </c>
    </row>
    <row r="7790" spans="3:6">
      <c r="C7790" s="12"/>
      <c r="D7790" s="12"/>
      <c r="E7790" t="b">
        <f t="shared" si="121"/>
        <v>1</v>
      </c>
      <c r="F7790" s="12">
        <v>0</v>
      </c>
    </row>
    <row r="7791" spans="3:6">
      <c r="C7791" s="12"/>
      <c r="D7791" s="12"/>
      <c r="E7791" t="b">
        <f t="shared" si="121"/>
        <v>1</v>
      </c>
      <c r="F7791" s="12">
        <v>0</v>
      </c>
    </row>
    <row r="7792" spans="3:6">
      <c r="C7792" s="12"/>
      <c r="D7792" s="12"/>
      <c r="E7792" t="b">
        <f t="shared" si="121"/>
        <v>1</v>
      </c>
      <c r="F7792" s="12">
        <v>0</v>
      </c>
    </row>
    <row r="7793" spans="3:6">
      <c r="C7793" s="12"/>
      <c r="D7793" s="12"/>
      <c r="E7793" t="b">
        <f t="shared" si="121"/>
        <v>1</v>
      </c>
      <c r="F7793" s="12">
        <v>0</v>
      </c>
    </row>
    <row r="7794" spans="3:6">
      <c r="C7794" s="12"/>
      <c r="D7794" s="12"/>
      <c r="E7794" t="b">
        <f t="shared" si="121"/>
        <v>1</v>
      </c>
      <c r="F7794" s="12">
        <v>0</v>
      </c>
    </row>
    <row r="7795" spans="3:6">
      <c r="C7795" s="12"/>
      <c r="D7795" s="12"/>
      <c r="E7795" t="b">
        <f t="shared" si="121"/>
        <v>1</v>
      </c>
      <c r="F7795" s="12">
        <v>0</v>
      </c>
    </row>
    <row r="7796" spans="3:6">
      <c r="C7796" s="12"/>
      <c r="D7796" s="12"/>
      <c r="E7796" t="b">
        <f t="shared" si="121"/>
        <v>1</v>
      </c>
      <c r="F7796" s="12">
        <v>0</v>
      </c>
    </row>
    <row r="7797" spans="3:6">
      <c r="C7797" s="12"/>
      <c r="D7797" s="12"/>
      <c r="E7797" t="b">
        <f t="shared" si="121"/>
        <v>1</v>
      </c>
      <c r="F7797" s="12">
        <v>0</v>
      </c>
    </row>
    <row r="7798" spans="3:6">
      <c r="C7798" s="12"/>
      <c r="D7798" s="12"/>
      <c r="E7798" t="b">
        <f t="shared" si="121"/>
        <v>1</v>
      </c>
      <c r="F7798" s="12">
        <v>0</v>
      </c>
    </row>
    <row r="7799" spans="3:6">
      <c r="C7799" s="12"/>
      <c r="D7799" s="12"/>
      <c r="E7799" t="b">
        <f t="shared" si="121"/>
        <v>1</v>
      </c>
      <c r="F7799" s="12">
        <v>0</v>
      </c>
    </row>
    <row r="7800" spans="3:6">
      <c r="C7800" s="12"/>
      <c r="D7800" s="12"/>
      <c r="E7800" t="b">
        <f t="shared" si="121"/>
        <v>1</v>
      </c>
      <c r="F7800" s="12">
        <v>0</v>
      </c>
    </row>
    <row r="7801" spans="3:6">
      <c r="C7801" s="12"/>
      <c r="D7801" s="12"/>
      <c r="E7801" t="b">
        <f t="shared" si="121"/>
        <v>1</v>
      </c>
      <c r="F7801" s="12">
        <v>0</v>
      </c>
    </row>
    <row r="7802" spans="3:6">
      <c r="C7802" s="12"/>
      <c r="D7802" s="12"/>
      <c r="E7802" t="b">
        <f t="shared" si="121"/>
        <v>1</v>
      </c>
      <c r="F7802" s="12">
        <v>0</v>
      </c>
    </row>
    <row r="7803" spans="3:6">
      <c r="C7803" s="12"/>
      <c r="D7803" s="12"/>
      <c r="E7803" t="b">
        <f t="shared" si="121"/>
        <v>1</v>
      </c>
      <c r="F7803" s="12">
        <v>0</v>
      </c>
    </row>
    <row r="7804" spans="3:6">
      <c r="C7804" s="12"/>
      <c r="D7804" s="12"/>
      <c r="E7804" t="b">
        <f t="shared" si="121"/>
        <v>1</v>
      </c>
      <c r="F7804" s="12">
        <v>0</v>
      </c>
    </row>
    <row r="7805" spans="3:6">
      <c r="C7805" s="12"/>
      <c r="D7805" s="12"/>
      <c r="E7805" t="b">
        <f t="shared" si="121"/>
        <v>1</v>
      </c>
      <c r="F7805" s="12">
        <v>0</v>
      </c>
    </row>
    <row r="7806" spans="3:6">
      <c r="C7806" s="12"/>
      <c r="D7806" s="12"/>
      <c r="E7806" t="b">
        <f t="shared" si="121"/>
        <v>1</v>
      </c>
      <c r="F7806" s="12">
        <v>0</v>
      </c>
    </row>
    <row r="7807" spans="3:6">
      <c r="C7807" s="12"/>
      <c r="D7807" s="12"/>
      <c r="E7807" t="b">
        <f t="shared" si="121"/>
        <v>1</v>
      </c>
      <c r="F7807" s="12">
        <v>0</v>
      </c>
    </row>
    <row r="7808" spans="3:6">
      <c r="C7808" s="12"/>
      <c r="D7808" s="12"/>
      <c r="E7808" t="b">
        <f t="shared" si="121"/>
        <v>1</v>
      </c>
      <c r="F7808" s="12">
        <v>0</v>
      </c>
    </row>
    <row r="7809" spans="3:6">
      <c r="C7809" s="12"/>
      <c r="D7809" s="12"/>
      <c r="E7809" t="b">
        <f t="shared" si="121"/>
        <v>1</v>
      </c>
      <c r="F7809" s="12">
        <v>0</v>
      </c>
    </row>
    <row r="7810" spans="3:6">
      <c r="C7810" s="12"/>
      <c r="D7810" s="12"/>
      <c r="E7810" t="b">
        <f t="shared" si="121"/>
        <v>1</v>
      </c>
      <c r="F7810" s="12">
        <v>0</v>
      </c>
    </row>
    <row r="7811" spans="3:6">
      <c r="C7811" s="12"/>
      <c r="D7811" s="12"/>
      <c r="E7811" t="b">
        <f t="shared" ref="E7811:E7874" si="122">F7811=C7811</f>
        <v>1</v>
      </c>
      <c r="F7811" s="12">
        <v>0</v>
      </c>
    </row>
    <row r="7812" spans="3:6">
      <c r="C7812" s="12"/>
      <c r="D7812" s="12"/>
      <c r="E7812" t="b">
        <f t="shared" si="122"/>
        <v>1</v>
      </c>
      <c r="F7812" s="12">
        <v>0</v>
      </c>
    </row>
    <row r="7813" spans="3:6">
      <c r="C7813" s="12"/>
      <c r="D7813" s="12"/>
      <c r="E7813" t="b">
        <f t="shared" si="122"/>
        <v>1</v>
      </c>
      <c r="F7813" s="12">
        <v>0</v>
      </c>
    </row>
    <row r="7814" spans="3:6">
      <c r="C7814" s="12"/>
      <c r="D7814" s="12"/>
      <c r="E7814" t="b">
        <f t="shared" si="122"/>
        <v>1</v>
      </c>
      <c r="F7814" s="12">
        <v>0</v>
      </c>
    </row>
    <row r="7815" spans="3:6">
      <c r="C7815" s="12"/>
      <c r="D7815" s="12"/>
      <c r="E7815" t="b">
        <f t="shared" si="122"/>
        <v>1</v>
      </c>
      <c r="F7815" s="12">
        <v>0</v>
      </c>
    </row>
    <row r="7816" spans="3:6">
      <c r="C7816" s="12"/>
      <c r="D7816" s="12"/>
      <c r="E7816" t="b">
        <f t="shared" si="122"/>
        <v>1</v>
      </c>
      <c r="F7816" s="12">
        <v>0</v>
      </c>
    </row>
    <row r="7817" spans="3:6">
      <c r="C7817" s="12"/>
      <c r="D7817" s="12"/>
      <c r="E7817" t="b">
        <f t="shared" si="122"/>
        <v>1</v>
      </c>
      <c r="F7817" s="12">
        <v>0</v>
      </c>
    </row>
    <row r="7818" spans="3:6">
      <c r="C7818" s="12"/>
      <c r="D7818" s="12"/>
      <c r="E7818" t="b">
        <f t="shared" si="122"/>
        <v>1</v>
      </c>
      <c r="F7818" s="12">
        <v>0</v>
      </c>
    </row>
    <row r="7819" spans="3:6">
      <c r="C7819" s="12"/>
      <c r="D7819" s="12"/>
      <c r="E7819" t="b">
        <f t="shared" si="122"/>
        <v>1</v>
      </c>
      <c r="F7819" s="12">
        <v>0</v>
      </c>
    </row>
    <row r="7820" spans="3:6">
      <c r="C7820" s="12"/>
      <c r="D7820" s="12"/>
      <c r="E7820" t="b">
        <f t="shared" si="122"/>
        <v>1</v>
      </c>
      <c r="F7820" s="12">
        <v>0</v>
      </c>
    </row>
    <row r="7821" spans="3:6">
      <c r="C7821" s="12"/>
      <c r="D7821" s="12"/>
      <c r="E7821" t="b">
        <f t="shared" si="122"/>
        <v>1</v>
      </c>
      <c r="F7821" s="12">
        <v>0</v>
      </c>
    </row>
    <row r="7822" spans="3:6">
      <c r="C7822" s="12"/>
      <c r="D7822" s="12"/>
      <c r="E7822" t="b">
        <f t="shared" si="122"/>
        <v>1</v>
      </c>
      <c r="F7822" s="12">
        <v>0</v>
      </c>
    </row>
    <row r="7823" spans="3:6">
      <c r="C7823" s="12"/>
      <c r="D7823" s="12"/>
      <c r="E7823" t="b">
        <f t="shared" si="122"/>
        <v>1</v>
      </c>
      <c r="F7823" s="12">
        <v>0</v>
      </c>
    </row>
    <row r="7824" spans="3:6">
      <c r="C7824" s="12"/>
      <c r="D7824" s="12"/>
      <c r="E7824" t="b">
        <f t="shared" si="122"/>
        <v>1</v>
      </c>
      <c r="F7824" s="12">
        <v>0</v>
      </c>
    </row>
    <row r="7825" spans="3:6">
      <c r="C7825" s="12"/>
      <c r="D7825" s="12"/>
      <c r="E7825" t="b">
        <f t="shared" si="122"/>
        <v>1</v>
      </c>
      <c r="F7825" s="12">
        <v>0</v>
      </c>
    </row>
    <row r="7826" spans="3:6">
      <c r="C7826" s="12"/>
      <c r="D7826" s="12"/>
      <c r="E7826" t="b">
        <f t="shared" si="122"/>
        <v>1</v>
      </c>
      <c r="F7826" s="12">
        <v>0</v>
      </c>
    </row>
    <row r="7827" spans="3:6">
      <c r="C7827" s="12"/>
      <c r="D7827" s="12"/>
      <c r="E7827" t="b">
        <f t="shared" si="122"/>
        <v>1</v>
      </c>
      <c r="F7827" s="12">
        <v>0</v>
      </c>
    </row>
    <row r="7828" spans="3:6">
      <c r="C7828" s="12"/>
      <c r="D7828" s="12"/>
      <c r="E7828" t="b">
        <f t="shared" si="122"/>
        <v>1</v>
      </c>
      <c r="F7828" s="12">
        <v>0</v>
      </c>
    </row>
    <row r="7829" spans="3:6">
      <c r="C7829" s="12"/>
      <c r="D7829" s="12"/>
      <c r="E7829" t="b">
        <f t="shared" si="122"/>
        <v>1</v>
      </c>
      <c r="F7829" s="12">
        <v>0</v>
      </c>
    </row>
    <row r="7830" spans="3:6">
      <c r="C7830" s="12"/>
      <c r="D7830" s="12"/>
      <c r="E7830" t="b">
        <f t="shared" si="122"/>
        <v>1</v>
      </c>
      <c r="F7830" s="12">
        <v>0</v>
      </c>
    </row>
    <row r="7831" spans="3:6">
      <c r="C7831" s="12"/>
      <c r="D7831" s="12"/>
      <c r="E7831" t="b">
        <f t="shared" si="122"/>
        <v>1</v>
      </c>
      <c r="F7831" s="12">
        <v>0</v>
      </c>
    </row>
    <row r="7832" spans="3:6">
      <c r="C7832" s="12"/>
      <c r="D7832" s="12"/>
      <c r="E7832" t="b">
        <f t="shared" si="122"/>
        <v>1</v>
      </c>
      <c r="F7832" s="12">
        <v>0</v>
      </c>
    </row>
    <row r="7833" spans="3:6">
      <c r="C7833" s="12"/>
      <c r="D7833" s="12"/>
      <c r="E7833" t="b">
        <f t="shared" si="122"/>
        <v>1</v>
      </c>
      <c r="F7833" s="12">
        <v>0</v>
      </c>
    </row>
    <row r="7834" spans="3:6">
      <c r="C7834" s="12"/>
      <c r="D7834" s="12"/>
      <c r="E7834" t="b">
        <f t="shared" si="122"/>
        <v>1</v>
      </c>
      <c r="F7834" s="12">
        <v>0</v>
      </c>
    </row>
    <row r="7835" spans="3:6">
      <c r="C7835" s="12"/>
      <c r="D7835" s="12"/>
      <c r="E7835" t="b">
        <f t="shared" si="122"/>
        <v>1</v>
      </c>
      <c r="F7835" s="12">
        <v>0</v>
      </c>
    </row>
    <row r="7836" spans="3:6">
      <c r="C7836" s="12"/>
      <c r="D7836" s="12"/>
      <c r="E7836" t="b">
        <f t="shared" si="122"/>
        <v>1</v>
      </c>
      <c r="F7836" s="12">
        <v>0</v>
      </c>
    </row>
    <row r="7837" spans="3:6">
      <c r="C7837" s="12"/>
      <c r="D7837" s="12"/>
      <c r="E7837" t="b">
        <f t="shared" si="122"/>
        <v>1</v>
      </c>
      <c r="F7837" s="12">
        <v>0</v>
      </c>
    </row>
    <row r="7838" spans="3:6">
      <c r="C7838" s="12"/>
      <c r="D7838" s="12"/>
      <c r="E7838" t="b">
        <f t="shared" si="122"/>
        <v>1</v>
      </c>
      <c r="F7838" s="12">
        <v>0</v>
      </c>
    </row>
    <row r="7839" spans="3:6">
      <c r="C7839" s="12"/>
      <c r="D7839" s="12"/>
      <c r="E7839" t="b">
        <f t="shared" si="122"/>
        <v>1</v>
      </c>
      <c r="F7839" s="12">
        <v>0</v>
      </c>
    </row>
    <row r="7840" spans="3:6">
      <c r="C7840" s="12"/>
      <c r="D7840" s="12"/>
      <c r="E7840" t="b">
        <f t="shared" si="122"/>
        <v>1</v>
      </c>
      <c r="F7840" s="12">
        <v>0</v>
      </c>
    </row>
    <row r="7841" spans="3:6">
      <c r="C7841" s="12"/>
      <c r="D7841" s="12"/>
      <c r="E7841" t="b">
        <f t="shared" si="122"/>
        <v>1</v>
      </c>
      <c r="F7841" s="12">
        <v>0</v>
      </c>
    </row>
    <row r="7842" spans="3:6">
      <c r="C7842" s="12"/>
      <c r="D7842" s="12"/>
      <c r="E7842" t="b">
        <f t="shared" si="122"/>
        <v>1</v>
      </c>
      <c r="F7842" s="12">
        <v>0</v>
      </c>
    </row>
    <row r="7843" spans="3:6">
      <c r="C7843" s="12"/>
      <c r="D7843" s="12"/>
      <c r="E7843" t="b">
        <f t="shared" si="122"/>
        <v>1</v>
      </c>
      <c r="F7843" s="12">
        <v>0</v>
      </c>
    </row>
    <row r="7844" spans="3:6">
      <c r="C7844" s="12"/>
      <c r="D7844" s="12"/>
      <c r="E7844" t="b">
        <f t="shared" si="122"/>
        <v>1</v>
      </c>
      <c r="F7844" s="12">
        <v>0</v>
      </c>
    </row>
    <row r="7845" spans="3:6">
      <c r="C7845" s="12"/>
      <c r="D7845" s="12"/>
      <c r="E7845" t="b">
        <f t="shared" si="122"/>
        <v>1</v>
      </c>
      <c r="F7845" s="12">
        <v>0</v>
      </c>
    </row>
    <row r="7846" spans="3:6">
      <c r="C7846" s="12"/>
      <c r="D7846" s="12"/>
      <c r="E7846" t="b">
        <f t="shared" si="122"/>
        <v>1</v>
      </c>
      <c r="F7846" s="12">
        <v>0</v>
      </c>
    </row>
    <row r="7847" spans="3:6">
      <c r="C7847" s="12"/>
      <c r="D7847" s="12"/>
      <c r="E7847" t="b">
        <f t="shared" si="122"/>
        <v>1</v>
      </c>
      <c r="F7847" s="12">
        <v>0</v>
      </c>
    </row>
    <row r="7848" spans="3:6">
      <c r="C7848" s="12"/>
      <c r="D7848" s="12"/>
      <c r="E7848" t="b">
        <f t="shared" si="122"/>
        <v>1</v>
      </c>
      <c r="F7848" s="12">
        <v>0</v>
      </c>
    </row>
    <row r="7849" spans="3:6">
      <c r="C7849" s="12"/>
      <c r="D7849" s="12"/>
      <c r="E7849" t="b">
        <f t="shared" si="122"/>
        <v>1</v>
      </c>
      <c r="F7849" s="12">
        <v>0</v>
      </c>
    </row>
    <row r="7850" spans="3:6">
      <c r="C7850" s="12"/>
      <c r="D7850" s="12"/>
      <c r="E7850" t="b">
        <f t="shared" si="122"/>
        <v>1</v>
      </c>
      <c r="F7850" s="12">
        <v>0</v>
      </c>
    </row>
    <row r="7851" spans="3:6">
      <c r="C7851" s="12"/>
      <c r="D7851" s="12"/>
      <c r="E7851" t="b">
        <f t="shared" si="122"/>
        <v>1</v>
      </c>
      <c r="F7851" s="12">
        <v>0</v>
      </c>
    </row>
    <row r="7852" spans="3:6">
      <c r="C7852" s="12"/>
      <c r="D7852" s="12"/>
      <c r="E7852" t="b">
        <f t="shared" si="122"/>
        <v>1</v>
      </c>
      <c r="F7852" s="12">
        <v>0</v>
      </c>
    </row>
    <row r="7853" spans="3:6">
      <c r="C7853" s="12"/>
      <c r="D7853" s="12"/>
      <c r="E7853" t="b">
        <f t="shared" si="122"/>
        <v>1</v>
      </c>
      <c r="F7853" s="12">
        <v>0</v>
      </c>
    </row>
    <row r="7854" spans="3:6">
      <c r="C7854" s="12"/>
      <c r="D7854" s="12"/>
      <c r="E7854" t="b">
        <f t="shared" si="122"/>
        <v>1</v>
      </c>
      <c r="F7854" s="12">
        <v>0</v>
      </c>
    </row>
    <row r="7855" spans="3:6">
      <c r="C7855" s="12"/>
      <c r="D7855" s="12"/>
      <c r="E7855" t="b">
        <f t="shared" si="122"/>
        <v>1</v>
      </c>
      <c r="F7855" s="12">
        <v>0</v>
      </c>
    </row>
    <row r="7856" spans="3:6">
      <c r="C7856" s="12"/>
      <c r="D7856" s="12"/>
      <c r="E7856" t="b">
        <f t="shared" si="122"/>
        <v>1</v>
      </c>
      <c r="F7856" s="12">
        <v>0</v>
      </c>
    </row>
    <row r="7857" spans="3:6">
      <c r="C7857" s="12"/>
      <c r="D7857" s="12"/>
      <c r="E7857" t="b">
        <f t="shared" si="122"/>
        <v>1</v>
      </c>
      <c r="F7857" s="12">
        <v>0</v>
      </c>
    </row>
    <row r="7858" spans="3:6">
      <c r="C7858" s="12"/>
      <c r="D7858" s="12"/>
      <c r="E7858" t="b">
        <f t="shared" si="122"/>
        <v>1</v>
      </c>
      <c r="F7858" s="12">
        <v>0</v>
      </c>
    </row>
    <row r="7859" spans="3:6">
      <c r="C7859" s="12"/>
      <c r="D7859" s="12"/>
      <c r="E7859" t="b">
        <f t="shared" si="122"/>
        <v>1</v>
      </c>
      <c r="F7859" s="12">
        <v>0</v>
      </c>
    </row>
    <row r="7860" spans="3:6">
      <c r="C7860" s="12"/>
      <c r="D7860" s="12"/>
      <c r="E7860" t="b">
        <f t="shared" si="122"/>
        <v>1</v>
      </c>
      <c r="F7860" s="12">
        <v>0</v>
      </c>
    </row>
    <row r="7861" spans="3:6">
      <c r="C7861" s="12"/>
      <c r="D7861" s="12"/>
      <c r="E7861" t="b">
        <f t="shared" si="122"/>
        <v>1</v>
      </c>
      <c r="F7861" s="12">
        <v>0</v>
      </c>
    </row>
    <row r="7862" spans="3:6">
      <c r="C7862" s="12"/>
      <c r="D7862" s="12"/>
      <c r="E7862" t="b">
        <f t="shared" si="122"/>
        <v>1</v>
      </c>
      <c r="F7862" s="12">
        <v>0</v>
      </c>
    </row>
    <row r="7863" spans="3:6">
      <c r="C7863" s="12"/>
      <c r="D7863" s="12"/>
      <c r="E7863" t="b">
        <f t="shared" si="122"/>
        <v>1</v>
      </c>
      <c r="F7863" s="12">
        <v>0</v>
      </c>
    </row>
    <row r="7864" spans="3:6">
      <c r="C7864" s="12"/>
      <c r="D7864" s="12"/>
      <c r="E7864" t="b">
        <f t="shared" si="122"/>
        <v>1</v>
      </c>
      <c r="F7864" s="12">
        <v>0</v>
      </c>
    </row>
    <row r="7865" spans="3:6">
      <c r="C7865" s="12"/>
      <c r="D7865" s="12"/>
      <c r="E7865" t="b">
        <f t="shared" si="122"/>
        <v>1</v>
      </c>
      <c r="F7865" s="12">
        <v>0</v>
      </c>
    </row>
    <row r="7866" spans="3:6">
      <c r="C7866" s="12"/>
      <c r="D7866" s="12"/>
      <c r="E7866" t="b">
        <f t="shared" si="122"/>
        <v>1</v>
      </c>
      <c r="F7866" s="12">
        <v>0</v>
      </c>
    </row>
    <row r="7867" spans="3:6">
      <c r="C7867" s="12"/>
      <c r="D7867" s="12"/>
      <c r="E7867" t="b">
        <f t="shared" si="122"/>
        <v>1</v>
      </c>
      <c r="F7867" s="12">
        <v>0</v>
      </c>
    </row>
    <row r="7868" spans="3:6">
      <c r="C7868" s="12"/>
      <c r="D7868" s="12"/>
      <c r="E7868" t="b">
        <f t="shared" si="122"/>
        <v>1</v>
      </c>
      <c r="F7868" s="12">
        <v>0</v>
      </c>
    </row>
    <row r="7869" spans="3:6">
      <c r="C7869" s="12"/>
      <c r="D7869" s="12"/>
      <c r="E7869" t="b">
        <f t="shared" si="122"/>
        <v>1</v>
      </c>
      <c r="F7869" s="12">
        <v>0</v>
      </c>
    </row>
    <row r="7870" spans="3:6">
      <c r="C7870" s="12"/>
      <c r="D7870" s="12"/>
      <c r="E7870" t="b">
        <f t="shared" si="122"/>
        <v>1</v>
      </c>
      <c r="F7870" s="12">
        <v>0</v>
      </c>
    </row>
    <row r="7871" spans="3:6">
      <c r="C7871" s="12"/>
      <c r="D7871" s="12"/>
      <c r="E7871" t="b">
        <f t="shared" si="122"/>
        <v>1</v>
      </c>
      <c r="F7871" s="12">
        <v>0</v>
      </c>
    </row>
    <row r="7872" spans="3:6">
      <c r="C7872" s="12"/>
      <c r="D7872" s="12"/>
      <c r="E7872" t="b">
        <f t="shared" si="122"/>
        <v>1</v>
      </c>
      <c r="F7872" s="12">
        <v>0</v>
      </c>
    </row>
    <row r="7873" spans="3:6">
      <c r="C7873" s="12"/>
      <c r="D7873" s="12"/>
      <c r="E7873" t="b">
        <f t="shared" si="122"/>
        <v>1</v>
      </c>
      <c r="F7873" s="12">
        <v>0</v>
      </c>
    </row>
    <row r="7874" spans="3:6">
      <c r="C7874" s="12"/>
      <c r="D7874" s="12"/>
      <c r="E7874" t="b">
        <f t="shared" si="122"/>
        <v>1</v>
      </c>
      <c r="F7874" s="12">
        <v>0</v>
      </c>
    </row>
    <row r="7875" spans="3:6">
      <c r="C7875" s="12"/>
      <c r="D7875" s="12"/>
      <c r="E7875" t="b">
        <f t="shared" ref="E7875:E7938" si="123">F7875=C7875</f>
        <v>1</v>
      </c>
      <c r="F7875" s="12">
        <v>0</v>
      </c>
    </row>
    <row r="7876" spans="3:6">
      <c r="C7876" s="12"/>
      <c r="D7876" s="12"/>
      <c r="E7876" t="b">
        <f t="shared" si="123"/>
        <v>1</v>
      </c>
      <c r="F7876" s="12">
        <v>0</v>
      </c>
    </row>
    <row r="7877" spans="3:6">
      <c r="C7877" s="12"/>
      <c r="D7877" s="12"/>
      <c r="E7877" t="b">
        <f t="shared" si="123"/>
        <v>1</v>
      </c>
      <c r="F7877" s="12">
        <v>0</v>
      </c>
    </row>
    <row r="7878" spans="3:6">
      <c r="C7878" s="12"/>
      <c r="D7878" s="12"/>
      <c r="E7878" t="b">
        <f t="shared" si="123"/>
        <v>1</v>
      </c>
      <c r="F7878" s="12">
        <v>0</v>
      </c>
    </row>
    <row r="7879" spans="3:6">
      <c r="C7879" s="12"/>
      <c r="D7879" s="12"/>
      <c r="E7879" t="b">
        <f t="shared" si="123"/>
        <v>1</v>
      </c>
      <c r="F7879" s="12">
        <v>0</v>
      </c>
    </row>
    <row r="7880" spans="3:6">
      <c r="C7880" s="12"/>
      <c r="D7880" s="12"/>
      <c r="E7880" t="b">
        <f t="shared" si="123"/>
        <v>1</v>
      </c>
      <c r="F7880" s="12">
        <v>0</v>
      </c>
    </row>
    <row r="7881" spans="3:6">
      <c r="C7881" s="12"/>
      <c r="D7881" s="12"/>
      <c r="E7881" t="b">
        <f t="shared" si="123"/>
        <v>1</v>
      </c>
      <c r="F7881" s="12">
        <v>0</v>
      </c>
    </row>
    <row r="7882" spans="3:6">
      <c r="C7882" s="12"/>
      <c r="D7882" s="12"/>
      <c r="E7882" t="b">
        <f t="shared" si="123"/>
        <v>1</v>
      </c>
      <c r="F7882" s="12">
        <v>0</v>
      </c>
    </row>
    <row r="7883" spans="3:6">
      <c r="C7883" s="12"/>
      <c r="D7883" s="12"/>
      <c r="E7883" t="b">
        <f t="shared" si="123"/>
        <v>1</v>
      </c>
      <c r="F7883" s="12">
        <v>0</v>
      </c>
    </row>
    <row r="7884" spans="3:6">
      <c r="C7884" s="12"/>
      <c r="D7884" s="12"/>
      <c r="E7884" t="b">
        <f t="shared" si="123"/>
        <v>1</v>
      </c>
      <c r="F7884" s="12">
        <v>0</v>
      </c>
    </row>
    <row r="7885" spans="3:6">
      <c r="C7885" s="12"/>
      <c r="D7885" s="12"/>
      <c r="E7885" t="b">
        <f t="shared" si="123"/>
        <v>1</v>
      </c>
      <c r="F7885" s="12">
        <v>0</v>
      </c>
    </row>
    <row r="7886" spans="3:6">
      <c r="C7886" s="12"/>
      <c r="D7886" s="12"/>
      <c r="E7886" t="b">
        <f t="shared" si="123"/>
        <v>1</v>
      </c>
      <c r="F7886" s="12">
        <v>0</v>
      </c>
    </row>
    <row r="7887" spans="3:6">
      <c r="C7887" s="12"/>
      <c r="D7887" s="12"/>
      <c r="E7887" t="b">
        <f t="shared" si="123"/>
        <v>1</v>
      </c>
      <c r="F7887" s="12">
        <v>0</v>
      </c>
    </row>
    <row r="7888" spans="3:6">
      <c r="C7888" s="12"/>
      <c r="D7888" s="12"/>
      <c r="E7888" t="b">
        <f t="shared" si="123"/>
        <v>1</v>
      </c>
      <c r="F7888" s="12">
        <v>0</v>
      </c>
    </row>
    <row r="7889" spans="3:6">
      <c r="C7889" s="12"/>
      <c r="D7889" s="12"/>
      <c r="E7889" t="b">
        <f t="shared" si="123"/>
        <v>1</v>
      </c>
      <c r="F7889" s="12">
        <v>0</v>
      </c>
    </row>
    <row r="7890" spans="3:6">
      <c r="C7890" s="12"/>
      <c r="D7890" s="12"/>
      <c r="E7890" t="b">
        <f t="shared" si="123"/>
        <v>1</v>
      </c>
      <c r="F7890" s="12">
        <v>0</v>
      </c>
    </row>
    <row r="7891" spans="3:6">
      <c r="C7891" s="12"/>
      <c r="D7891" s="12"/>
      <c r="E7891" t="b">
        <f t="shared" si="123"/>
        <v>1</v>
      </c>
      <c r="F7891" s="12">
        <v>0</v>
      </c>
    </row>
    <row r="7892" spans="3:6">
      <c r="C7892" s="12"/>
      <c r="D7892" s="12"/>
      <c r="E7892" t="b">
        <f t="shared" si="123"/>
        <v>1</v>
      </c>
      <c r="F7892" s="12">
        <v>0</v>
      </c>
    </row>
    <row r="7893" spans="3:6">
      <c r="C7893" s="12"/>
      <c r="D7893" s="12"/>
      <c r="E7893" t="b">
        <f t="shared" si="123"/>
        <v>1</v>
      </c>
      <c r="F7893" s="12">
        <v>0</v>
      </c>
    </row>
    <row r="7894" spans="3:6">
      <c r="C7894" s="12"/>
      <c r="D7894" s="12"/>
      <c r="E7894" t="b">
        <f t="shared" si="123"/>
        <v>1</v>
      </c>
      <c r="F7894" s="12">
        <v>0</v>
      </c>
    </row>
    <row r="7895" spans="3:6">
      <c r="C7895" s="12"/>
      <c r="D7895" s="12"/>
      <c r="E7895" t="b">
        <f t="shared" si="123"/>
        <v>1</v>
      </c>
      <c r="F7895" s="12">
        <v>0</v>
      </c>
    </row>
    <row r="7896" spans="3:6">
      <c r="C7896" s="12"/>
      <c r="D7896" s="12"/>
      <c r="E7896" t="b">
        <f t="shared" si="123"/>
        <v>1</v>
      </c>
      <c r="F7896" s="12">
        <v>0</v>
      </c>
    </row>
    <row r="7897" spans="3:6">
      <c r="C7897" s="12"/>
      <c r="D7897" s="12"/>
      <c r="E7897" t="b">
        <f t="shared" si="123"/>
        <v>1</v>
      </c>
      <c r="F7897" s="12">
        <v>0</v>
      </c>
    </row>
    <row r="7898" spans="3:6">
      <c r="C7898" s="12"/>
      <c r="D7898" s="12"/>
      <c r="E7898" t="b">
        <f t="shared" si="123"/>
        <v>1</v>
      </c>
      <c r="F7898" s="12">
        <v>0</v>
      </c>
    </row>
    <row r="7899" spans="3:6">
      <c r="C7899" s="12"/>
      <c r="D7899" s="12"/>
      <c r="E7899" t="b">
        <f t="shared" si="123"/>
        <v>1</v>
      </c>
      <c r="F7899" s="12">
        <v>0</v>
      </c>
    </row>
    <row r="7900" spans="3:6">
      <c r="C7900" s="12"/>
      <c r="D7900" s="12"/>
      <c r="E7900" t="b">
        <f t="shared" si="123"/>
        <v>1</v>
      </c>
      <c r="F7900" s="12">
        <v>0</v>
      </c>
    </row>
    <row r="7901" spans="3:6">
      <c r="C7901" s="12"/>
      <c r="D7901" s="12"/>
      <c r="E7901" t="b">
        <f t="shared" si="123"/>
        <v>1</v>
      </c>
      <c r="F7901" s="12">
        <v>0</v>
      </c>
    </row>
    <row r="7902" spans="3:6">
      <c r="C7902" s="12"/>
      <c r="D7902" s="12"/>
      <c r="E7902" t="b">
        <f t="shared" si="123"/>
        <v>1</v>
      </c>
      <c r="F7902" s="12">
        <v>0</v>
      </c>
    </row>
    <row r="7903" spans="3:6">
      <c r="C7903" s="12"/>
      <c r="D7903" s="12"/>
      <c r="E7903" t="b">
        <f t="shared" si="123"/>
        <v>1</v>
      </c>
      <c r="F7903" s="12">
        <v>0</v>
      </c>
    </row>
    <row r="7904" spans="3:6">
      <c r="C7904" s="12"/>
      <c r="D7904" s="12"/>
      <c r="E7904" t="b">
        <f t="shared" si="123"/>
        <v>1</v>
      </c>
      <c r="F7904" s="12">
        <v>0</v>
      </c>
    </row>
    <row r="7905" spans="3:6">
      <c r="C7905" s="12"/>
      <c r="D7905" s="12"/>
      <c r="E7905" t="b">
        <f t="shared" si="123"/>
        <v>1</v>
      </c>
      <c r="F7905" s="12">
        <v>0</v>
      </c>
    </row>
    <row r="7906" spans="3:6">
      <c r="C7906" s="12"/>
      <c r="D7906" s="12"/>
      <c r="E7906" t="b">
        <f t="shared" si="123"/>
        <v>1</v>
      </c>
      <c r="F7906" s="12">
        <v>0</v>
      </c>
    </row>
    <row r="7907" spans="3:6">
      <c r="C7907" s="12"/>
      <c r="D7907" s="12"/>
      <c r="E7907" t="b">
        <f t="shared" si="123"/>
        <v>1</v>
      </c>
      <c r="F7907" s="12">
        <v>0</v>
      </c>
    </row>
    <row r="7908" spans="3:6">
      <c r="C7908" s="12"/>
      <c r="D7908" s="12"/>
      <c r="E7908" t="b">
        <f t="shared" si="123"/>
        <v>1</v>
      </c>
      <c r="F7908" s="12">
        <v>0</v>
      </c>
    </row>
    <row r="7909" spans="3:6">
      <c r="C7909" s="12"/>
      <c r="D7909" s="12"/>
      <c r="E7909" t="b">
        <f t="shared" si="123"/>
        <v>1</v>
      </c>
      <c r="F7909" s="12">
        <v>0</v>
      </c>
    </row>
    <row r="7910" spans="3:6">
      <c r="C7910" s="12"/>
      <c r="D7910" s="12"/>
      <c r="E7910" t="b">
        <f t="shared" si="123"/>
        <v>1</v>
      </c>
      <c r="F7910" s="12">
        <v>0</v>
      </c>
    </row>
    <row r="7911" spans="3:6">
      <c r="C7911" s="12"/>
      <c r="D7911" s="12"/>
      <c r="E7911" t="b">
        <f t="shared" si="123"/>
        <v>1</v>
      </c>
      <c r="F7911" s="12">
        <v>0</v>
      </c>
    </row>
    <row r="7912" spans="3:6">
      <c r="C7912" s="12"/>
      <c r="D7912" s="12"/>
      <c r="E7912" t="b">
        <f t="shared" si="123"/>
        <v>1</v>
      </c>
      <c r="F7912" s="12">
        <v>0</v>
      </c>
    </row>
    <row r="7913" spans="3:6">
      <c r="C7913" s="12"/>
      <c r="D7913" s="12"/>
      <c r="E7913" t="b">
        <f t="shared" si="123"/>
        <v>1</v>
      </c>
      <c r="F7913" s="12">
        <v>0</v>
      </c>
    </row>
    <row r="7914" spans="3:6">
      <c r="C7914" s="12"/>
      <c r="D7914" s="12"/>
      <c r="E7914" t="b">
        <f t="shared" si="123"/>
        <v>1</v>
      </c>
      <c r="F7914" s="12">
        <v>0</v>
      </c>
    </row>
    <row r="7915" spans="3:6">
      <c r="C7915" s="12"/>
      <c r="D7915" s="12"/>
      <c r="E7915" t="b">
        <f t="shared" si="123"/>
        <v>1</v>
      </c>
      <c r="F7915" s="12">
        <v>0</v>
      </c>
    </row>
    <row r="7916" spans="3:6">
      <c r="C7916" s="12"/>
      <c r="D7916" s="12"/>
      <c r="E7916" t="b">
        <f t="shared" si="123"/>
        <v>1</v>
      </c>
      <c r="F7916" s="12">
        <v>0</v>
      </c>
    </row>
    <row r="7917" spans="3:6">
      <c r="C7917" s="12"/>
      <c r="D7917" s="12"/>
      <c r="E7917" t="b">
        <f t="shared" si="123"/>
        <v>1</v>
      </c>
      <c r="F7917" s="12">
        <v>0</v>
      </c>
    </row>
    <row r="7918" spans="3:6">
      <c r="C7918" s="12"/>
      <c r="D7918" s="12"/>
      <c r="E7918" t="b">
        <f t="shared" si="123"/>
        <v>1</v>
      </c>
      <c r="F7918" s="12">
        <v>0</v>
      </c>
    </row>
    <row r="7919" spans="3:6">
      <c r="C7919" s="12"/>
      <c r="D7919" s="12"/>
      <c r="E7919" t="b">
        <f t="shared" si="123"/>
        <v>1</v>
      </c>
      <c r="F7919" s="12">
        <v>0</v>
      </c>
    </row>
    <row r="7920" spans="3:6">
      <c r="C7920" s="12"/>
      <c r="D7920" s="12"/>
      <c r="E7920" t="b">
        <f t="shared" si="123"/>
        <v>1</v>
      </c>
      <c r="F7920" s="12">
        <v>0</v>
      </c>
    </row>
    <row r="7921" spans="3:6">
      <c r="C7921" s="12"/>
      <c r="D7921" s="12"/>
      <c r="E7921" t="b">
        <f t="shared" si="123"/>
        <v>1</v>
      </c>
      <c r="F7921" s="12">
        <v>0</v>
      </c>
    </row>
    <row r="7922" spans="3:6">
      <c r="C7922" s="12"/>
      <c r="D7922" s="12"/>
      <c r="E7922" t="b">
        <f t="shared" si="123"/>
        <v>1</v>
      </c>
      <c r="F7922" s="12">
        <v>0</v>
      </c>
    </row>
    <row r="7923" spans="3:6">
      <c r="C7923" s="12"/>
      <c r="D7923" s="12"/>
      <c r="E7923" t="b">
        <f t="shared" si="123"/>
        <v>1</v>
      </c>
      <c r="F7923" s="12">
        <v>0</v>
      </c>
    </row>
    <row r="7924" spans="3:6">
      <c r="C7924" s="12"/>
      <c r="D7924" s="12"/>
      <c r="E7924" t="b">
        <f t="shared" si="123"/>
        <v>1</v>
      </c>
      <c r="F7924" s="12">
        <v>0</v>
      </c>
    </row>
    <row r="7925" spans="3:6">
      <c r="C7925" s="12"/>
      <c r="D7925" s="12"/>
      <c r="E7925" t="b">
        <f t="shared" si="123"/>
        <v>1</v>
      </c>
      <c r="F7925" s="12">
        <v>0</v>
      </c>
    </row>
    <row r="7926" spans="3:6">
      <c r="C7926" s="12"/>
      <c r="D7926" s="12"/>
      <c r="E7926" t="b">
        <f t="shared" si="123"/>
        <v>1</v>
      </c>
      <c r="F7926" s="12">
        <v>0</v>
      </c>
    </row>
    <row r="7927" spans="3:6">
      <c r="C7927" s="12"/>
      <c r="D7927" s="12"/>
      <c r="E7927" t="b">
        <f t="shared" si="123"/>
        <v>1</v>
      </c>
      <c r="F7927" s="12">
        <v>0</v>
      </c>
    </row>
    <row r="7928" spans="3:6">
      <c r="C7928" s="12"/>
      <c r="D7928" s="12"/>
      <c r="E7928" t="b">
        <f t="shared" si="123"/>
        <v>1</v>
      </c>
      <c r="F7928" s="12">
        <v>0</v>
      </c>
    </row>
    <row r="7929" spans="3:6">
      <c r="C7929" s="12"/>
      <c r="D7929" s="12"/>
      <c r="E7929" t="b">
        <f t="shared" si="123"/>
        <v>1</v>
      </c>
      <c r="F7929" s="12">
        <v>0</v>
      </c>
    </row>
    <row r="7930" spans="3:6">
      <c r="C7930" s="12"/>
      <c r="D7930" s="12"/>
      <c r="E7930" t="b">
        <f t="shared" si="123"/>
        <v>1</v>
      </c>
      <c r="F7930" s="12">
        <v>0</v>
      </c>
    </row>
    <row r="7931" spans="3:6">
      <c r="C7931" s="12"/>
      <c r="D7931" s="12"/>
      <c r="E7931" t="b">
        <f t="shared" si="123"/>
        <v>1</v>
      </c>
      <c r="F7931" s="12">
        <v>0</v>
      </c>
    </row>
    <row r="7932" spans="3:6">
      <c r="C7932" s="12"/>
      <c r="D7932" s="12"/>
      <c r="E7932" t="b">
        <f t="shared" si="123"/>
        <v>1</v>
      </c>
      <c r="F7932" s="12">
        <v>0</v>
      </c>
    </row>
    <row r="7933" spans="3:6">
      <c r="C7933" s="12"/>
      <c r="D7933" s="12"/>
      <c r="E7933" t="b">
        <f t="shared" si="123"/>
        <v>1</v>
      </c>
      <c r="F7933" s="12">
        <v>0</v>
      </c>
    </row>
    <row r="7934" spans="3:6">
      <c r="C7934" s="12"/>
      <c r="D7934" s="12"/>
      <c r="E7934" t="b">
        <f t="shared" si="123"/>
        <v>1</v>
      </c>
      <c r="F7934" s="12">
        <v>0</v>
      </c>
    </row>
    <row r="7935" spans="3:6">
      <c r="C7935" s="12"/>
      <c r="D7935" s="12"/>
      <c r="E7935" t="b">
        <f t="shared" si="123"/>
        <v>1</v>
      </c>
      <c r="F7935" s="12">
        <v>0</v>
      </c>
    </row>
    <row r="7936" spans="3:6">
      <c r="C7936" s="12"/>
      <c r="D7936" s="12"/>
      <c r="E7936" t="b">
        <f t="shared" si="123"/>
        <v>1</v>
      </c>
      <c r="F7936" s="12">
        <v>0</v>
      </c>
    </row>
    <row r="7937" spans="3:6">
      <c r="C7937" s="12"/>
      <c r="D7937" s="12"/>
      <c r="E7937" t="b">
        <f t="shared" si="123"/>
        <v>1</v>
      </c>
      <c r="F7937" s="12">
        <v>0</v>
      </c>
    </row>
    <row r="7938" spans="3:6">
      <c r="C7938" s="12"/>
      <c r="D7938" s="12"/>
      <c r="E7938" t="b">
        <f t="shared" si="123"/>
        <v>1</v>
      </c>
      <c r="F7938" s="12">
        <v>0</v>
      </c>
    </row>
    <row r="7939" spans="3:6">
      <c r="C7939" s="12"/>
      <c r="D7939" s="12"/>
      <c r="E7939" t="b">
        <f t="shared" ref="E7939:E8002" si="124">F7939=C7939</f>
        <v>1</v>
      </c>
      <c r="F7939" s="12">
        <v>0</v>
      </c>
    </row>
    <row r="7940" spans="3:6">
      <c r="C7940" s="12"/>
      <c r="D7940" s="12"/>
      <c r="E7940" t="b">
        <f t="shared" si="124"/>
        <v>1</v>
      </c>
      <c r="F7940" s="12">
        <v>0</v>
      </c>
    </row>
    <row r="7941" spans="3:6">
      <c r="C7941" s="12"/>
      <c r="D7941" s="12"/>
      <c r="E7941" t="b">
        <f t="shared" si="124"/>
        <v>1</v>
      </c>
      <c r="F7941" s="12">
        <v>0</v>
      </c>
    </row>
    <row r="7942" spans="3:6">
      <c r="C7942" s="12"/>
      <c r="D7942" s="12"/>
      <c r="E7942" t="b">
        <f t="shared" si="124"/>
        <v>1</v>
      </c>
      <c r="F7942" s="12">
        <v>0</v>
      </c>
    </row>
    <row r="7943" spans="3:6">
      <c r="C7943" s="12"/>
      <c r="D7943" s="12"/>
      <c r="E7943" t="b">
        <f t="shared" si="124"/>
        <v>1</v>
      </c>
      <c r="F7943" s="12">
        <v>0</v>
      </c>
    </row>
    <row r="7944" spans="3:6">
      <c r="C7944" s="12"/>
      <c r="D7944" s="12"/>
      <c r="E7944" t="b">
        <f t="shared" si="124"/>
        <v>1</v>
      </c>
      <c r="F7944" s="12">
        <v>0</v>
      </c>
    </row>
    <row r="7945" spans="3:6">
      <c r="C7945" s="12"/>
      <c r="D7945" s="12"/>
      <c r="E7945" t="b">
        <f t="shared" si="124"/>
        <v>1</v>
      </c>
      <c r="F7945" s="12">
        <v>0</v>
      </c>
    </row>
    <row r="7946" spans="3:6">
      <c r="C7946" s="12"/>
      <c r="D7946" s="12"/>
      <c r="E7946" t="b">
        <f t="shared" si="124"/>
        <v>1</v>
      </c>
      <c r="F7946" s="12">
        <v>0</v>
      </c>
    </row>
    <row r="7947" spans="3:6">
      <c r="C7947" s="12"/>
      <c r="D7947" s="12"/>
      <c r="E7947" t="b">
        <f t="shared" si="124"/>
        <v>1</v>
      </c>
      <c r="F7947" s="12">
        <v>0</v>
      </c>
    </row>
    <row r="7948" spans="3:6">
      <c r="C7948" s="12"/>
      <c r="D7948" s="12"/>
      <c r="E7948" t="b">
        <f t="shared" si="124"/>
        <v>1</v>
      </c>
      <c r="F7948" s="12">
        <v>0</v>
      </c>
    </row>
    <row r="7949" spans="3:6">
      <c r="C7949" s="12"/>
      <c r="D7949" s="12"/>
      <c r="E7949" t="b">
        <f t="shared" si="124"/>
        <v>1</v>
      </c>
      <c r="F7949" s="12">
        <v>0</v>
      </c>
    </row>
    <row r="7950" spans="3:6">
      <c r="C7950" s="12"/>
      <c r="D7950" s="12"/>
      <c r="E7950" t="b">
        <f t="shared" si="124"/>
        <v>1</v>
      </c>
      <c r="F7950" s="12">
        <v>0</v>
      </c>
    </row>
    <row r="7951" spans="3:6">
      <c r="C7951" s="12"/>
      <c r="D7951" s="12"/>
      <c r="E7951" t="b">
        <f t="shared" si="124"/>
        <v>1</v>
      </c>
      <c r="F7951" s="12">
        <v>0</v>
      </c>
    </row>
    <row r="7952" spans="3:6">
      <c r="C7952" s="12"/>
      <c r="D7952" s="12"/>
      <c r="E7952" t="b">
        <f t="shared" si="124"/>
        <v>1</v>
      </c>
      <c r="F7952" s="12">
        <v>0</v>
      </c>
    </row>
    <row r="7953" spans="3:6">
      <c r="C7953" s="12"/>
      <c r="D7953" s="12"/>
      <c r="E7953" t="b">
        <f t="shared" si="124"/>
        <v>1</v>
      </c>
      <c r="F7953" s="12">
        <v>0</v>
      </c>
    </row>
    <row r="7954" spans="3:6">
      <c r="C7954" s="12"/>
      <c r="D7954" s="12"/>
      <c r="E7954" t="b">
        <f t="shared" si="124"/>
        <v>1</v>
      </c>
      <c r="F7954" s="12">
        <v>0</v>
      </c>
    </row>
    <row r="7955" spans="3:6">
      <c r="C7955" s="12"/>
      <c r="D7955" s="12"/>
      <c r="E7955" t="b">
        <f t="shared" si="124"/>
        <v>1</v>
      </c>
      <c r="F7955" s="12">
        <v>0</v>
      </c>
    </row>
    <row r="7956" spans="3:6">
      <c r="C7956" s="12"/>
      <c r="D7956" s="12"/>
      <c r="E7956" t="b">
        <f t="shared" si="124"/>
        <v>1</v>
      </c>
      <c r="F7956" s="12">
        <v>0</v>
      </c>
    </row>
    <row r="7957" spans="3:6">
      <c r="C7957" s="12"/>
      <c r="D7957" s="12"/>
      <c r="E7957" t="b">
        <f t="shared" si="124"/>
        <v>1</v>
      </c>
      <c r="F7957" s="12">
        <v>0</v>
      </c>
    </row>
    <row r="7958" spans="3:6">
      <c r="C7958" s="12"/>
      <c r="D7958" s="12"/>
      <c r="E7958" t="b">
        <f t="shared" si="124"/>
        <v>1</v>
      </c>
      <c r="F7958" s="12">
        <v>0</v>
      </c>
    </row>
    <row r="7959" spans="3:6">
      <c r="C7959" s="12"/>
      <c r="D7959" s="12"/>
      <c r="E7959" t="b">
        <f t="shared" si="124"/>
        <v>1</v>
      </c>
      <c r="F7959" s="12">
        <v>0</v>
      </c>
    </row>
    <row r="7960" spans="3:6">
      <c r="C7960" s="12"/>
      <c r="D7960" s="12"/>
      <c r="E7960" t="b">
        <f t="shared" si="124"/>
        <v>1</v>
      </c>
      <c r="F7960" s="12">
        <v>0</v>
      </c>
    </row>
    <row r="7961" spans="3:6">
      <c r="C7961" s="12"/>
      <c r="D7961" s="12"/>
      <c r="E7961" t="b">
        <f t="shared" si="124"/>
        <v>1</v>
      </c>
      <c r="F7961" s="12">
        <v>0</v>
      </c>
    </row>
    <row r="7962" spans="3:6">
      <c r="C7962" s="12"/>
      <c r="D7962" s="12"/>
      <c r="E7962" t="b">
        <f t="shared" si="124"/>
        <v>1</v>
      </c>
      <c r="F7962" s="12">
        <v>0</v>
      </c>
    </row>
    <row r="7963" spans="3:6">
      <c r="C7963" s="12"/>
      <c r="D7963" s="12"/>
      <c r="E7963" t="b">
        <f t="shared" si="124"/>
        <v>1</v>
      </c>
      <c r="F7963" s="12">
        <v>0</v>
      </c>
    </row>
    <row r="7964" spans="3:6">
      <c r="C7964" s="12"/>
      <c r="D7964" s="12"/>
      <c r="E7964" t="b">
        <f t="shared" si="124"/>
        <v>1</v>
      </c>
      <c r="F7964" s="12">
        <v>0</v>
      </c>
    </row>
    <row r="7965" spans="3:6">
      <c r="C7965" s="12"/>
      <c r="D7965" s="12"/>
      <c r="E7965" t="b">
        <f t="shared" si="124"/>
        <v>1</v>
      </c>
      <c r="F7965" s="12">
        <v>0</v>
      </c>
    </row>
    <row r="7966" spans="3:6">
      <c r="C7966" s="12"/>
      <c r="D7966" s="12"/>
      <c r="E7966" t="b">
        <f t="shared" si="124"/>
        <v>1</v>
      </c>
      <c r="F7966" s="12">
        <v>0</v>
      </c>
    </row>
    <row r="7967" spans="3:6">
      <c r="C7967" s="12"/>
      <c r="D7967" s="12"/>
      <c r="E7967" t="b">
        <f t="shared" si="124"/>
        <v>1</v>
      </c>
      <c r="F7967" s="12">
        <v>0</v>
      </c>
    </row>
    <row r="7968" spans="3:6">
      <c r="C7968" s="12"/>
      <c r="D7968" s="12"/>
      <c r="E7968" t="b">
        <f t="shared" si="124"/>
        <v>1</v>
      </c>
      <c r="F7968" s="12">
        <v>0</v>
      </c>
    </row>
    <row r="7969" spans="3:6">
      <c r="C7969" s="12"/>
      <c r="D7969" s="12"/>
      <c r="E7969" t="b">
        <f t="shared" si="124"/>
        <v>1</v>
      </c>
      <c r="F7969" s="12">
        <v>0</v>
      </c>
    </row>
    <row r="7970" spans="3:6">
      <c r="C7970" s="12"/>
      <c r="D7970" s="12"/>
      <c r="E7970" t="b">
        <f t="shared" si="124"/>
        <v>1</v>
      </c>
      <c r="F7970" s="12">
        <v>0</v>
      </c>
    </row>
    <row r="7971" spans="3:6">
      <c r="C7971" s="12"/>
      <c r="D7971" s="12"/>
      <c r="E7971" t="b">
        <f t="shared" si="124"/>
        <v>1</v>
      </c>
      <c r="F7971" s="12">
        <v>0</v>
      </c>
    </row>
    <row r="7972" spans="3:6">
      <c r="C7972" s="12"/>
      <c r="D7972" s="12"/>
      <c r="E7972" t="b">
        <f t="shared" si="124"/>
        <v>1</v>
      </c>
      <c r="F7972" s="12">
        <v>0</v>
      </c>
    </row>
    <row r="7973" spans="3:6">
      <c r="C7973" s="12"/>
      <c r="D7973" s="12"/>
      <c r="E7973" t="b">
        <f t="shared" si="124"/>
        <v>1</v>
      </c>
      <c r="F7973" s="12">
        <v>0</v>
      </c>
    </row>
    <row r="7974" spans="3:6">
      <c r="C7974" s="12"/>
      <c r="D7974" s="12"/>
      <c r="E7974" t="b">
        <f t="shared" si="124"/>
        <v>1</v>
      </c>
      <c r="F7974" s="12">
        <v>0</v>
      </c>
    </row>
    <row r="7975" spans="3:6">
      <c r="C7975" s="12"/>
      <c r="D7975" s="12"/>
      <c r="E7975" t="b">
        <f t="shared" si="124"/>
        <v>1</v>
      </c>
      <c r="F7975" s="12">
        <v>0</v>
      </c>
    </row>
    <row r="7976" spans="3:6">
      <c r="C7976" s="12"/>
      <c r="D7976" s="12"/>
      <c r="E7976" t="b">
        <f t="shared" si="124"/>
        <v>1</v>
      </c>
      <c r="F7976" s="12">
        <v>0</v>
      </c>
    </row>
    <row r="7977" spans="3:6">
      <c r="C7977" s="12"/>
      <c r="D7977" s="12"/>
      <c r="E7977" t="b">
        <f t="shared" si="124"/>
        <v>1</v>
      </c>
      <c r="F7977" s="12">
        <v>0</v>
      </c>
    </row>
    <row r="7978" spans="3:6">
      <c r="C7978" s="12"/>
      <c r="D7978" s="12"/>
      <c r="E7978" t="b">
        <f t="shared" si="124"/>
        <v>1</v>
      </c>
      <c r="F7978" s="12">
        <v>0</v>
      </c>
    </row>
    <row r="7979" spans="3:6">
      <c r="C7979" s="12"/>
      <c r="D7979" s="12"/>
      <c r="E7979" t="b">
        <f t="shared" si="124"/>
        <v>1</v>
      </c>
      <c r="F7979" s="12">
        <v>0</v>
      </c>
    </row>
    <row r="7980" spans="3:6">
      <c r="C7980" s="12"/>
      <c r="D7980" s="12"/>
      <c r="E7980" t="b">
        <f t="shared" si="124"/>
        <v>1</v>
      </c>
      <c r="F7980" s="12">
        <v>0</v>
      </c>
    </row>
    <row r="7981" spans="3:6">
      <c r="C7981" s="12"/>
      <c r="D7981" s="12"/>
      <c r="E7981" t="b">
        <f t="shared" si="124"/>
        <v>1</v>
      </c>
      <c r="F7981" s="12">
        <v>0</v>
      </c>
    </row>
    <row r="7982" spans="3:6">
      <c r="C7982" s="12"/>
      <c r="D7982" s="12"/>
      <c r="E7982" t="b">
        <f t="shared" si="124"/>
        <v>1</v>
      </c>
      <c r="F7982" s="12">
        <v>0</v>
      </c>
    </row>
    <row r="7983" spans="3:6">
      <c r="C7983" s="12"/>
      <c r="D7983" s="12"/>
      <c r="E7983" t="b">
        <f t="shared" si="124"/>
        <v>1</v>
      </c>
      <c r="F7983" s="12">
        <v>0</v>
      </c>
    </row>
    <row r="7984" spans="3:6">
      <c r="C7984" s="12"/>
      <c r="D7984" s="12"/>
      <c r="E7984" t="b">
        <f t="shared" si="124"/>
        <v>1</v>
      </c>
      <c r="F7984" s="12">
        <v>0</v>
      </c>
    </row>
    <row r="7985" spans="3:6">
      <c r="C7985" s="12"/>
      <c r="D7985" s="12"/>
      <c r="E7985" t="b">
        <f t="shared" si="124"/>
        <v>1</v>
      </c>
      <c r="F7985" s="12">
        <v>0</v>
      </c>
    </row>
    <row r="7986" spans="3:6">
      <c r="C7986" s="12"/>
      <c r="D7986" s="12"/>
      <c r="E7986" t="b">
        <f t="shared" si="124"/>
        <v>1</v>
      </c>
      <c r="F7986" s="12">
        <v>0</v>
      </c>
    </row>
    <row r="7987" spans="3:6">
      <c r="C7987" s="12"/>
      <c r="D7987" s="12"/>
      <c r="E7987" t="b">
        <f t="shared" si="124"/>
        <v>1</v>
      </c>
      <c r="F7987" s="12">
        <v>0</v>
      </c>
    </row>
    <row r="7988" spans="3:6">
      <c r="C7988" s="12"/>
      <c r="D7988" s="12"/>
      <c r="E7988" t="b">
        <f t="shared" si="124"/>
        <v>1</v>
      </c>
      <c r="F7988" s="12">
        <v>0</v>
      </c>
    </row>
    <row r="7989" spans="3:6">
      <c r="C7989" s="12"/>
      <c r="D7989" s="12"/>
      <c r="E7989" t="b">
        <f t="shared" si="124"/>
        <v>1</v>
      </c>
      <c r="F7989" s="12">
        <v>0</v>
      </c>
    </row>
    <row r="7990" spans="3:6">
      <c r="C7990" s="12"/>
      <c r="D7990" s="12"/>
      <c r="E7990" t="b">
        <f t="shared" si="124"/>
        <v>1</v>
      </c>
      <c r="F7990" s="12">
        <v>0</v>
      </c>
    </row>
    <row r="7991" spans="3:6">
      <c r="C7991" s="12"/>
      <c r="D7991" s="12"/>
      <c r="E7991" t="b">
        <f t="shared" si="124"/>
        <v>1</v>
      </c>
      <c r="F7991" s="12">
        <v>0</v>
      </c>
    </row>
    <row r="7992" spans="3:6">
      <c r="C7992" s="12"/>
      <c r="D7992" s="12"/>
      <c r="E7992" t="b">
        <f t="shared" si="124"/>
        <v>1</v>
      </c>
      <c r="F7992" s="12">
        <v>0</v>
      </c>
    </row>
    <row r="7993" spans="3:6">
      <c r="C7993" s="12"/>
      <c r="D7993" s="12"/>
      <c r="E7993" t="b">
        <f t="shared" si="124"/>
        <v>1</v>
      </c>
      <c r="F7993" s="12">
        <v>0</v>
      </c>
    </row>
    <row r="7994" spans="3:6">
      <c r="C7994" s="12"/>
      <c r="D7994" s="12"/>
      <c r="E7994" t="b">
        <f t="shared" si="124"/>
        <v>1</v>
      </c>
      <c r="F7994" s="12">
        <v>0</v>
      </c>
    </row>
    <row r="7995" spans="3:6">
      <c r="C7995" s="12"/>
      <c r="D7995" s="12"/>
      <c r="E7995" t="b">
        <f t="shared" si="124"/>
        <v>1</v>
      </c>
      <c r="F7995" s="12">
        <v>0</v>
      </c>
    </row>
    <row r="7996" spans="3:6">
      <c r="C7996" s="12"/>
      <c r="D7996" s="12"/>
      <c r="E7996" t="b">
        <f t="shared" si="124"/>
        <v>1</v>
      </c>
      <c r="F7996" s="12">
        <v>0</v>
      </c>
    </row>
    <row r="7997" spans="3:6">
      <c r="C7997" s="12"/>
      <c r="D7997" s="12"/>
      <c r="E7997" t="b">
        <f t="shared" si="124"/>
        <v>1</v>
      </c>
      <c r="F7997" s="12">
        <v>0</v>
      </c>
    </row>
    <row r="7998" spans="3:6">
      <c r="C7998" s="12"/>
      <c r="D7998" s="12"/>
      <c r="E7998" t="b">
        <f t="shared" si="124"/>
        <v>1</v>
      </c>
      <c r="F7998" s="12">
        <v>0</v>
      </c>
    </row>
    <row r="7999" spans="3:6">
      <c r="C7999" s="12"/>
      <c r="D7999" s="12"/>
      <c r="E7999" t="b">
        <f t="shared" si="124"/>
        <v>1</v>
      </c>
      <c r="F7999" s="12">
        <v>0</v>
      </c>
    </row>
    <row r="8000" spans="3:6">
      <c r="C8000" s="12"/>
      <c r="D8000" s="12"/>
      <c r="E8000" t="b">
        <f t="shared" si="124"/>
        <v>1</v>
      </c>
      <c r="F8000" s="12">
        <v>0</v>
      </c>
    </row>
    <row r="8001" spans="3:6">
      <c r="C8001" s="12"/>
      <c r="D8001" s="12"/>
      <c r="E8001" t="b">
        <f t="shared" si="124"/>
        <v>1</v>
      </c>
      <c r="F8001" s="12">
        <v>0</v>
      </c>
    </row>
    <row r="8002" spans="3:6">
      <c r="C8002" s="12"/>
      <c r="D8002" s="12"/>
      <c r="E8002" t="b">
        <f t="shared" si="124"/>
        <v>1</v>
      </c>
      <c r="F8002" s="12">
        <v>0</v>
      </c>
    </row>
    <row r="8003" spans="3:6">
      <c r="C8003" s="12"/>
      <c r="D8003" s="12"/>
      <c r="E8003" t="b">
        <f t="shared" ref="E8003:E8066" si="125">F8003=C8003</f>
        <v>1</v>
      </c>
      <c r="F8003" s="12">
        <v>0</v>
      </c>
    </row>
    <row r="8004" spans="3:6">
      <c r="C8004" s="12"/>
      <c r="D8004" s="12"/>
      <c r="E8004" t="b">
        <f t="shared" si="125"/>
        <v>1</v>
      </c>
      <c r="F8004" s="12">
        <v>0</v>
      </c>
    </row>
    <row r="8005" spans="3:6">
      <c r="C8005" s="12"/>
      <c r="D8005" s="12"/>
      <c r="E8005" t="b">
        <f t="shared" si="125"/>
        <v>1</v>
      </c>
      <c r="F8005" s="12">
        <v>0</v>
      </c>
    </row>
    <row r="8006" spans="3:6">
      <c r="C8006" s="12"/>
      <c r="D8006" s="12"/>
      <c r="E8006" t="b">
        <f t="shared" si="125"/>
        <v>1</v>
      </c>
      <c r="F8006" s="12">
        <v>0</v>
      </c>
    </row>
    <row r="8007" spans="3:6">
      <c r="C8007" s="12"/>
      <c r="D8007" s="12"/>
      <c r="E8007" t="b">
        <f t="shared" si="125"/>
        <v>1</v>
      </c>
      <c r="F8007" s="12">
        <v>0</v>
      </c>
    </row>
    <row r="8008" spans="3:6">
      <c r="C8008" s="12"/>
      <c r="D8008" s="12"/>
      <c r="E8008" t="b">
        <f t="shared" si="125"/>
        <v>1</v>
      </c>
      <c r="F8008" s="12">
        <v>0</v>
      </c>
    </row>
    <row r="8009" spans="3:6">
      <c r="C8009" s="12"/>
      <c r="D8009" s="12"/>
      <c r="E8009" t="b">
        <f t="shared" si="125"/>
        <v>1</v>
      </c>
      <c r="F8009" s="12">
        <v>0</v>
      </c>
    </row>
    <row r="8010" spans="3:6">
      <c r="C8010" s="12"/>
      <c r="D8010" s="12"/>
      <c r="E8010" t="b">
        <f t="shared" si="125"/>
        <v>1</v>
      </c>
      <c r="F8010" s="12">
        <v>0</v>
      </c>
    </row>
    <row r="8011" spans="3:6">
      <c r="C8011" s="12"/>
      <c r="D8011" s="12"/>
      <c r="E8011" t="b">
        <f t="shared" si="125"/>
        <v>1</v>
      </c>
      <c r="F8011" s="12">
        <v>0</v>
      </c>
    </row>
    <row r="8012" spans="3:6">
      <c r="C8012" s="12"/>
      <c r="D8012" s="12"/>
      <c r="E8012" t="b">
        <f t="shared" si="125"/>
        <v>1</v>
      </c>
      <c r="F8012" s="12">
        <v>0</v>
      </c>
    </row>
    <row r="8013" spans="3:6">
      <c r="C8013" s="12"/>
      <c r="D8013" s="12"/>
      <c r="E8013" t="b">
        <f t="shared" si="125"/>
        <v>1</v>
      </c>
      <c r="F8013" s="12">
        <v>0</v>
      </c>
    </row>
    <row r="8014" spans="3:6">
      <c r="C8014" s="12"/>
      <c r="D8014" s="12"/>
      <c r="E8014" t="b">
        <f t="shared" si="125"/>
        <v>1</v>
      </c>
      <c r="F8014" s="12">
        <v>0</v>
      </c>
    </row>
    <row r="8015" spans="3:6">
      <c r="C8015" s="12"/>
      <c r="D8015" s="12"/>
      <c r="E8015" t="b">
        <f t="shared" si="125"/>
        <v>1</v>
      </c>
      <c r="F8015" s="12">
        <v>0</v>
      </c>
    </row>
    <row r="8016" spans="3:6">
      <c r="C8016" s="12"/>
      <c r="D8016" s="12"/>
      <c r="E8016" t="b">
        <f t="shared" si="125"/>
        <v>1</v>
      </c>
      <c r="F8016" s="12">
        <v>0</v>
      </c>
    </row>
    <row r="8017" spans="3:6">
      <c r="C8017" s="12"/>
      <c r="D8017" s="12"/>
      <c r="E8017" t="b">
        <f t="shared" si="125"/>
        <v>1</v>
      </c>
      <c r="F8017" s="12">
        <v>0</v>
      </c>
    </row>
    <row r="8018" spans="3:6">
      <c r="C8018" s="12"/>
      <c r="D8018" s="12"/>
      <c r="E8018" t="b">
        <f t="shared" si="125"/>
        <v>1</v>
      </c>
      <c r="F8018" s="12">
        <v>0</v>
      </c>
    </row>
    <row r="8019" spans="3:6">
      <c r="C8019" s="12"/>
      <c r="D8019" s="12"/>
      <c r="E8019" t="b">
        <f t="shared" si="125"/>
        <v>1</v>
      </c>
      <c r="F8019" s="12">
        <v>0</v>
      </c>
    </row>
    <row r="8020" spans="3:6">
      <c r="C8020" s="12"/>
      <c r="D8020" s="12"/>
      <c r="E8020" t="b">
        <f t="shared" si="125"/>
        <v>1</v>
      </c>
      <c r="F8020" s="12">
        <v>0</v>
      </c>
    </row>
    <row r="8021" spans="3:6">
      <c r="C8021" s="12"/>
      <c r="D8021" s="12"/>
      <c r="E8021" t="b">
        <f t="shared" si="125"/>
        <v>1</v>
      </c>
      <c r="F8021" s="12">
        <v>0</v>
      </c>
    </row>
    <row r="8022" spans="3:6">
      <c r="C8022" s="12"/>
      <c r="D8022" s="12"/>
      <c r="E8022" t="b">
        <f t="shared" si="125"/>
        <v>1</v>
      </c>
      <c r="F8022" s="12">
        <v>0</v>
      </c>
    </row>
    <row r="8023" spans="3:6">
      <c r="C8023" s="12"/>
      <c r="D8023" s="12"/>
      <c r="E8023" t="b">
        <f t="shared" si="125"/>
        <v>1</v>
      </c>
      <c r="F8023" s="12">
        <v>0</v>
      </c>
    </row>
    <row r="8024" spans="3:6">
      <c r="C8024" s="12"/>
      <c r="D8024" s="12"/>
      <c r="E8024" t="b">
        <f t="shared" si="125"/>
        <v>1</v>
      </c>
      <c r="F8024" s="12">
        <v>0</v>
      </c>
    </row>
    <row r="8025" spans="3:6">
      <c r="C8025" s="12"/>
      <c r="D8025" s="12"/>
      <c r="E8025" t="b">
        <f t="shared" si="125"/>
        <v>1</v>
      </c>
      <c r="F8025" s="12">
        <v>0</v>
      </c>
    </row>
    <row r="8026" spans="3:6">
      <c r="C8026" s="12"/>
      <c r="D8026" s="12"/>
      <c r="E8026" t="b">
        <f t="shared" si="125"/>
        <v>1</v>
      </c>
      <c r="F8026" s="12">
        <v>0</v>
      </c>
    </row>
    <row r="8027" spans="3:6">
      <c r="C8027" s="12"/>
      <c r="D8027" s="12"/>
      <c r="E8027" t="b">
        <f t="shared" si="125"/>
        <v>1</v>
      </c>
      <c r="F8027" s="12">
        <v>0</v>
      </c>
    </row>
    <row r="8028" spans="3:6">
      <c r="C8028" s="12"/>
      <c r="D8028" s="12"/>
      <c r="E8028" t="b">
        <f t="shared" si="125"/>
        <v>1</v>
      </c>
      <c r="F8028" s="12">
        <v>0</v>
      </c>
    </row>
    <row r="8029" spans="3:6">
      <c r="C8029" s="12"/>
      <c r="D8029" s="12"/>
      <c r="E8029" t="b">
        <f t="shared" si="125"/>
        <v>1</v>
      </c>
      <c r="F8029" s="12">
        <v>0</v>
      </c>
    </row>
    <row r="8030" spans="3:6">
      <c r="C8030" s="12"/>
      <c r="D8030" s="12"/>
      <c r="E8030" t="b">
        <f t="shared" si="125"/>
        <v>1</v>
      </c>
      <c r="F8030" s="12">
        <v>0</v>
      </c>
    </row>
    <row r="8031" spans="3:6">
      <c r="C8031" s="12"/>
      <c r="D8031" s="12"/>
      <c r="E8031" t="b">
        <f t="shared" si="125"/>
        <v>1</v>
      </c>
      <c r="F8031" s="12">
        <v>0</v>
      </c>
    </row>
    <row r="8032" spans="3:6">
      <c r="C8032" s="12"/>
      <c r="D8032" s="12"/>
      <c r="E8032" t="b">
        <f t="shared" si="125"/>
        <v>1</v>
      </c>
      <c r="F8032" s="12">
        <v>0</v>
      </c>
    </row>
    <row r="8033" spans="3:6">
      <c r="C8033" s="12"/>
      <c r="D8033" s="12"/>
      <c r="E8033" t="b">
        <f t="shared" si="125"/>
        <v>1</v>
      </c>
      <c r="F8033" s="12">
        <v>0</v>
      </c>
    </row>
    <row r="8034" spans="3:6">
      <c r="C8034" s="12"/>
      <c r="D8034" s="12"/>
      <c r="E8034" t="b">
        <f t="shared" si="125"/>
        <v>1</v>
      </c>
      <c r="F8034" s="12">
        <v>0</v>
      </c>
    </row>
    <row r="8035" spans="3:6">
      <c r="C8035" s="12"/>
      <c r="D8035" s="12"/>
      <c r="E8035" t="b">
        <f t="shared" si="125"/>
        <v>1</v>
      </c>
      <c r="F8035" s="12">
        <v>0</v>
      </c>
    </row>
    <row r="8036" spans="3:6">
      <c r="C8036" s="12"/>
      <c r="D8036" s="12"/>
      <c r="E8036" t="b">
        <f t="shared" si="125"/>
        <v>1</v>
      </c>
      <c r="F8036" s="12">
        <v>0</v>
      </c>
    </row>
    <row r="8037" spans="3:6">
      <c r="C8037" s="12"/>
      <c r="D8037" s="12"/>
      <c r="E8037" t="b">
        <f t="shared" si="125"/>
        <v>1</v>
      </c>
      <c r="F8037" s="12">
        <v>0</v>
      </c>
    </row>
    <row r="8038" spans="3:6">
      <c r="C8038" s="12"/>
      <c r="D8038" s="12"/>
      <c r="E8038" t="b">
        <f t="shared" si="125"/>
        <v>1</v>
      </c>
      <c r="F8038" s="12">
        <v>0</v>
      </c>
    </row>
    <row r="8039" spans="3:6">
      <c r="C8039" s="12"/>
      <c r="D8039" s="12"/>
      <c r="E8039" t="b">
        <f t="shared" si="125"/>
        <v>1</v>
      </c>
      <c r="F8039" s="12">
        <v>0</v>
      </c>
    </row>
    <row r="8040" spans="3:6">
      <c r="C8040" s="12"/>
      <c r="D8040" s="12"/>
      <c r="E8040" t="b">
        <f t="shared" si="125"/>
        <v>1</v>
      </c>
      <c r="F8040" s="12">
        <v>0</v>
      </c>
    </row>
    <row r="8041" spans="3:6">
      <c r="C8041" s="12"/>
      <c r="D8041" s="12"/>
      <c r="E8041" t="b">
        <f t="shared" si="125"/>
        <v>1</v>
      </c>
      <c r="F8041" s="12">
        <v>0</v>
      </c>
    </row>
    <row r="8042" spans="3:6">
      <c r="C8042" s="12"/>
      <c r="D8042" s="12"/>
      <c r="E8042" t="b">
        <f t="shared" si="125"/>
        <v>1</v>
      </c>
      <c r="F8042" s="12">
        <v>0</v>
      </c>
    </row>
    <row r="8043" spans="3:6">
      <c r="C8043" s="12"/>
      <c r="D8043" s="12"/>
      <c r="E8043" t="b">
        <f t="shared" si="125"/>
        <v>1</v>
      </c>
      <c r="F8043" s="12">
        <v>0</v>
      </c>
    </row>
    <row r="8044" spans="3:6">
      <c r="C8044" s="12"/>
      <c r="D8044" s="12"/>
      <c r="E8044" t="b">
        <f t="shared" si="125"/>
        <v>1</v>
      </c>
      <c r="F8044" s="12">
        <v>0</v>
      </c>
    </row>
    <row r="8045" spans="3:6">
      <c r="C8045" s="12"/>
      <c r="D8045" s="12"/>
      <c r="E8045" t="b">
        <f t="shared" si="125"/>
        <v>1</v>
      </c>
      <c r="F8045" s="12">
        <v>0</v>
      </c>
    </row>
    <row r="8046" spans="3:6">
      <c r="C8046" s="12"/>
      <c r="D8046" s="12"/>
      <c r="E8046" t="b">
        <f t="shared" si="125"/>
        <v>1</v>
      </c>
      <c r="F8046" s="12">
        <v>0</v>
      </c>
    </row>
    <row r="8047" spans="3:6">
      <c r="C8047" s="12"/>
      <c r="D8047" s="12"/>
      <c r="E8047" t="b">
        <f t="shared" si="125"/>
        <v>1</v>
      </c>
      <c r="F8047" s="12">
        <v>0</v>
      </c>
    </row>
    <row r="8048" spans="3:6">
      <c r="C8048" s="12"/>
      <c r="D8048" s="12"/>
      <c r="E8048" t="b">
        <f t="shared" si="125"/>
        <v>1</v>
      </c>
      <c r="F8048" s="12">
        <v>0</v>
      </c>
    </row>
    <row r="8049" spans="3:6">
      <c r="C8049" s="12"/>
      <c r="D8049" s="12"/>
      <c r="E8049" t="b">
        <f t="shared" si="125"/>
        <v>1</v>
      </c>
      <c r="F8049" s="12">
        <v>0</v>
      </c>
    </row>
    <row r="8050" spans="3:6">
      <c r="C8050" s="12"/>
      <c r="D8050" s="12"/>
      <c r="E8050" t="b">
        <f t="shared" si="125"/>
        <v>1</v>
      </c>
      <c r="F8050" s="12">
        <v>0</v>
      </c>
    </row>
    <row r="8051" spans="3:6">
      <c r="C8051" s="12"/>
      <c r="D8051" s="12"/>
      <c r="E8051" t="b">
        <f t="shared" si="125"/>
        <v>1</v>
      </c>
      <c r="F8051" s="12">
        <v>0</v>
      </c>
    </row>
    <row r="8052" spans="3:6">
      <c r="C8052" s="12"/>
      <c r="D8052" s="12"/>
      <c r="E8052" t="b">
        <f t="shared" si="125"/>
        <v>1</v>
      </c>
      <c r="F8052" s="12">
        <v>0</v>
      </c>
    </row>
    <row r="8053" spans="3:6">
      <c r="C8053" s="12"/>
      <c r="D8053" s="12"/>
      <c r="E8053" t="b">
        <f t="shared" si="125"/>
        <v>1</v>
      </c>
      <c r="F8053" s="12">
        <v>0</v>
      </c>
    </row>
    <row r="8054" spans="3:6">
      <c r="C8054" s="12"/>
      <c r="D8054" s="12"/>
      <c r="E8054" t="b">
        <f t="shared" si="125"/>
        <v>1</v>
      </c>
      <c r="F8054" s="12">
        <v>0</v>
      </c>
    </row>
    <row r="8055" spans="3:6">
      <c r="C8055" s="12"/>
      <c r="D8055" s="12"/>
      <c r="E8055" t="b">
        <f t="shared" si="125"/>
        <v>1</v>
      </c>
      <c r="F8055" s="12">
        <v>0</v>
      </c>
    </row>
    <row r="8056" spans="3:6">
      <c r="C8056" s="12"/>
      <c r="D8056" s="12"/>
      <c r="E8056" t="b">
        <f t="shared" si="125"/>
        <v>1</v>
      </c>
      <c r="F8056" s="12">
        <v>0</v>
      </c>
    </row>
    <row r="8057" spans="3:6">
      <c r="C8057" s="12"/>
      <c r="D8057" s="12"/>
      <c r="E8057" t="b">
        <f t="shared" si="125"/>
        <v>1</v>
      </c>
      <c r="F8057" s="12">
        <v>0</v>
      </c>
    </row>
    <row r="8058" spans="3:6">
      <c r="C8058" s="12"/>
      <c r="D8058" s="12"/>
      <c r="E8058" t="b">
        <f t="shared" si="125"/>
        <v>1</v>
      </c>
      <c r="F8058" s="12">
        <v>0</v>
      </c>
    </row>
    <row r="8059" spans="3:6">
      <c r="C8059" s="12"/>
      <c r="D8059" s="12"/>
      <c r="E8059" t="b">
        <f t="shared" si="125"/>
        <v>1</v>
      </c>
      <c r="F8059" s="12">
        <v>0</v>
      </c>
    </row>
    <row r="8060" spans="3:6">
      <c r="C8060" s="12"/>
      <c r="D8060" s="12"/>
      <c r="E8060" t="b">
        <f t="shared" si="125"/>
        <v>1</v>
      </c>
      <c r="F8060" s="12">
        <v>0</v>
      </c>
    </row>
    <row r="8061" spans="3:6">
      <c r="C8061" s="12"/>
      <c r="D8061" s="12"/>
      <c r="E8061" t="b">
        <f t="shared" si="125"/>
        <v>1</v>
      </c>
      <c r="F8061" s="12">
        <v>0</v>
      </c>
    </row>
    <row r="8062" spans="3:6">
      <c r="C8062" s="12"/>
      <c r="D8062" s="12"/>
      <c r="E8062" t="b">
        <f t="shared" si="125"/>
        <v>1</v>
      </c>
      <c r="F8062" s="12">
        <v>0</v>
      </c>
    </row>
    <row r="8063" spans="3:6">
      <c r="C8063" s="12"/>
      <c r="D8063" s="12"/>
      <c r="E8063" t="b">
        <f t="shared" si="125"/>
        <v>1</v>
      </c>
      <c r="F8063" s="12">
        <v>0</v>
      </c>
    </row>
    <row r="8064" spans="3:6">
      <c r="C8064" s="12"/>
      <c r="D8064" s="12"/>
      <c r="E8064" t="b">
        <f t="shared" si="125"/>
        <v>1</v>
      </c>
      <c r="F8064" s="12">
        <v>0</v>
      </c>
    </row>
    <row r="8065" spans="3:6">
      <c r="C8065" s="12"/>
      <c r="D8065" s="12"/>
      <c r="E8065" t="b">
        <f t="shared" si="125"/>
        <v>1</v>
      </c>
      <c r="F8065" s="12">
        <v>0</v>
      </c>
    </row>
    <row r="8066" spans="3:6">
      <c r="C8066" s="12"/>
      <c r="D8066" s="12"/>
      <c r="E8066" t="b">
        <f t="shared" si="125"/>
        <v>1</v>
      </c>
      <c r="F8066" s="12">
        <v>0</v>
      </c>
    </row>
    <row r="8067" spans="3:6">
      <c r="C8067" s="12"/>
      <c r="D8067" s="12"/>
      <c r="E8067" t="b">
        <f t="shared" ref="E8067:E8130" si="126">F8067=C8067</f>
        <v>1</v>
      </c>
      <c r="F8067" s="12">
        <v>0</v>
      </c>
    </row>
    <row r="8068" spans="3:6">
      <c r="C8068" s="12"/>
      <c r="D8068" s="12"/>
      <c r="E8068" t="b">
        <f t="shared" si="126"/>
        <v>1</v>
      </c>
      <c r="F8068" s="12">
        <v>0</v>
      </c>
    </row>
    <row r="8069" spans="3:6">
      <c r="C8069" s="12"/>
      <c r="D8069" s="12"/>
      <c r="E8069" t="b">
        <f t="shared" si="126"/>
        <v>1</v>
      </c>
      <c r="F8069" s="12">
        <v>0</v>
      </c>
    </row>
    <row r="8070" spans="3:6">
      <c r="C8070" s="12"/>
      <c r="D8070" s="12"/>
      <c r="E8070" t="b">
        <f t="shared" si="126"/>
        <v>1</v>
      </c>
      <c r="F8070" s="12">
        <v>0</v>
      </c>
    </row>
    <row r="8071" spans="3:6">
      <c r="C8071" s="12"/>
      <c r="D8071" s="12"/>
      <c r="E8071" t="b">
        <f t="shared" si="126"/>
        <v>1</v>
      </c>
      <c r="F8071" s="12">
        <v>0</v>
      </c>
    </row>
    <row r="8072" spans="3:6">
      <c r="C8072" s="12"/>
      <c r="D8072" s="12"/>
      <c r="E8072" t="b">
        <f t="shared" si="126"/>
        <v>1</v>
      </c>
      <c r="F8072" s="12">
        <v>0</v>
      </c>
    </row>
    <row r="8073" spans="3:6">
      <c r="C8073" s="12"/>
      <c r="D8073" s="12"/>
      <c r="E8073" t="b">
        <f t="shared" si="126"/>
        <v>1</v>
      </c>
      <c r="F8073" s="12">
        <v>0</v>
      </c>
    </row>
    <row r="8074" spans="3:6">
      <c r="C8074" s="12"/>
      <c r="D8074" s="12"/>
      <c r="E8074" t="b">
        <f t="shared" si="126"/>
        <v>1</v>
      </c>
      <c r="F8074" s="12">
        <v>0</v>
      </c>
    </row>
    <row r="8075" spans="3:6">
      <c r="C8075" s="12"/>
      <c r="D8075" s="12"/>
      <c r="E8075" t="b">
        <f t="shared" si="126"/>
        <v>1</v>
      </c>
      <c r="F8075" s="12">
        <v>0</v>
      </c>
    </row>
    <row r="8076" spans="3:6">
      <c r="C8076" s="12"/>
      <c r="D8076" s="12"/>
      <c r="E8076" t="b">
        <f t="shared" si="126"/>
        <v>1</v>
      </c>
      <c r="F8076" s="12">
        <v>0</v>
      </c>
    </row>
    <row r="8077" spans="3:6">
      <c r="C8077" s="12"/>
      <c r="D8077" s="12"/>
      <c r="E8077" t="b">
        <f t="shared" si="126"/>
        <v>1</v>
      </c>
      <c r="F8077" s="12">
        <v>0</v>
      </c>
    </row>
    <row r="8078" spans="3:6">
      <c r="C8078" s="12"/>
      <c r="D8078" s="12"/>
      <c r="E8078" t="b">
        <f t="shared" si="126"/>
        <v>1</v>
      </c>
      <c r="F8078" s="12">
        <v>0</v>
      </c>
    </row>
    <row r="8079" spans="3:6">
      <c r="C8079" s="12"/>
      <c r="D8079" s="12"/>
      <c r="E8079" t="b">
        <f t="shared" si="126"/>
        <v>1</v>
      </c>
      <c r="F8079" s="12">
        <v>0</v>
      </c>
    </row>
    <row r="8080" spans="3:6">
      <c r="C8080" s="12"/>
      <c r="D8080" s="12"/>
      <c r="E8080" t="b">
        <f t="shared" si="126"/>
        <v>1</v>
      </c>
      <c r="F8080" s="12">
        <v>0</v>
      </c>
    </row>
    <row r="8081" spans="3:6">
      <c r="C8081" s="12"/>
      <c r="D8081" s="12"/>
      <c r="E8081" t="b">
        <f t="shared" si="126"/>
        <v>1</v>
      </c>
      <c r="F8081" s="12">
        <v>0</v>
      </c>
    </row>
    <row r="8082" spans="3:6">
      <c r="C8082" s="12"/>
      <c r="D8082" s="12"/>
      <c r="E8082" t="b">
        <f t="shared" si="126"/>
        <v>1</v>
      </c>
      <c r="F8082" s="12">
        <v>0</v>
      </c>
    </row>
    <row r="8083" spans="3:6">
      <c r="C8083" s="12"/>
      <c r="D8083" s="12"/>
      <c r="E8083" t="b">
        <f t="shared" si="126"/>
        <v>1</v>
      </c>
      <c r="F8083" s="12">
        <v>0</v>
      </c>
    </row>
    <row r="8084" spans="3:6">
      <c r="C8084" s="12"/>
      <c r="D8084" s="12"/>
      <c r="E8084" t="b">
        <f t="shared" si="126"/>
        <v>1</v>
      </c>
      <c r="F8084" s="12">
        <v>0</v>
      </c>
    </row>
    <row r="8085" spans="3:6">
      <c r="C8085" s="12"/>
      <c r="D8085" s="12"/>
      <c r="E8085" t="b">
        <f t="shared" si="126"/>
        <v>1</v>
      </c>
      <c r="F8085" s="12">
        <v>0</v>
      </c>
    </row>
    <row r="8086" spans="3:6">
      <c r="C8086" s="12"/>
      <c r="D8086" s="12"/>
      <c r="E8086" t="b">
        <f t="shared" si="126"/>
        <v>1</v>
      </c>
      <c r="F8086" s="12">
        <v>0</v>
      </c>
    </row>
    <row r="8087" spans="3:6">
      <c r="C8087" s="12"/>
      <c r="D8087" s="12"/>
      <c r="E8087" t="b">
        <f t="shared" si="126"/>
        <v>1</v>
      </c>
      <c r="F8087" s="12">
        <v>0</v>
      </c>
    </row>
    <row r="8088" spans="3:6">
      <c r="C8088" s="12"/>
      <c r="D8088" s="12"/>
      <c r="E8088" t="b">
        <f t="shared" si="126"/>
        <v>1</v>
      </c>
      <c r="F8088" s="12">
        <v>0</v>
      </c>
    </row>
    <row r="8089" spans="3:6">
      <c r="C8089" s="12"/>
      <c r="D8089" s="12"/>
      <c r="E8089" t="b">
        <f t="shared" si="126"/>
        <v>1</v>
      </c>
      <c r="F8089" s="12">
        <v>0</v>
      </c>
    </row>
    <row r="8090" spans="3:6">
      <c r="C8090" s="12"/>
      <c r="D8090" s="12"/>
      <c r="E8090" t="b">
        <f t="shared" si="126"/>
        <v>1</v>
      </c>
      <c r="F8090" s="12">
        <v>0</v>
      </c>
    </row>
    <row r="8091" spans="3:6">
      <c r="C8091" s="12"/>
      <c r="D8091" s="12"/>
      <c r="E8091" t="b">
        <f t="shared" si="126"/>
        <v>1</v>
      </c>
      <c r="F8091" s="12">
        <v>0</v>
      </c>
    </row>
    <row r="8092" spans="3:6">
      <c r="C8092" s="12"/>
      <c r="D8092" s="12"/>
      <c r="E8092" t="b">
        <f t="shared" si="126"/>
        <v>1</v>
      </c>
      <c r="F8092" s="12">
        <v>0</v>
      </c>
    </row>
    <row r="8093" spans="3:6">
      <c r="C8093" s="12"/>
      <c r="D8093" s="12"/>
      <c r="E8093" t="b">
        <f t="shared" si="126"/>
        <v>1</v>
      </c>
      <c r="F8093" s="12">
        <v>0</v>
      </c>
    </row>
    <row r="8094" spans="3:6">
      <c r="C8094" s="12"/>
      <c r="D8094" s="12"/>
      <c r="E8094" t="b">
        <f t="shared" si="126"/>
        <v>1</v>
      </c>
      <c r="F8094" s="12">
        <v>0</v>
      </c>
    </row>
    <row r="8095" spans="3:6">
      <c r="C8095" s="12"/>
      <c r="D8095" s="12"/>
      <c r="E8095" t="b">
        <f t="shared" si="126"/>
        <v>1</v>
      </c>
      <c r="F8095" s="12">
        <v>0</v>
      </c>
    </row>
    <row r="8096" spans="3:6">
      <c r="C8096" s="12"/>
      <c r="D8096" s="12"/>
      <c r="E8096" t="b">
        <f t="shared" si="126"/>
        <v>1</v>
      </c>
      <c r="F8096" s="12">
        <v>0</v>
      </c>
    </row>
    <row r="8097" spans="3:6">
      <c r="C8097" s="12"/>
      <c r="D8097" s="12"/>
      <c r="E8097" t="b">
        <f t="shared" si="126"/>
        <v>1</v>
      </c>
      <c r="F8097" s="12">
        <v>0</v>
      </c>
    </row>
    <row r="8098" spans="3:6">
      <c r="C8098" s="12"/>
      <c r="D8098" s="12"/>
      <c r="E8098" t="b">
        <f t="shared" si="126"/>
        <v>1</v>
      </c>
      <c r="F8098" s="12">
        <v>0</v>
      </c>
    </row>
    <row r="8099" spans="3:6">
      <c r="C8099" s="12"/>
      <c r="D8099" s="12"/>
      <c r="E8099" t="b">
        <f t="shared" si="126"/>
        <v>1</v>
      </c>
      <c r="F8099" s="12">
        <v>0</v>
      </c>
    </row>
    <row r="8100" spans="3:6">
      <c r="C8100" s="12"/>
      <c r="D8100" s="12"/>
      <c r="E8100" t="b">
        <f t="shared" si="126"/>
        <v>1</v>
      </c>
      <c r="F8100" s="12">
        <v>0</v>
      </c>
    </row>
    <row r="8101" spans="3:6">
      <c r="C8101" s="12"/>
      <c r="D8101" s="12"/>
      <c r="E8101" t="b">
        <f t="shared" si="126"/>
        <v>1</v>
      </c>
      <c r="F8101" s="12">
        <v>0</v>
      </c>
    </row>
    <row r="8102" spans="3:6">
      <c r="C8102" s="12"/>
      <c r="D8102" s="12"/>
      <c r="E8102" t="b">
        <f t="shared" si="126"/>
        <v>1</v>
      </c>
      <c r="F8102" s="12">
        <v>0</v>
      </c>
    </row>
    <row r="8103" spans="3:6">
      <c r="C8103" s="12"/>
      <c r="D8103" s="12"/>
      <c r="E8103" t="b">
        <f t="shared" si="126"/>
        <v>1</v>
      </c>
      <c r="F8103" s="12">
        <v>0</v>
      </c>
    </row>
    <row r="8104" spans="3:6">
      <c r="C8104" s="12"/>
      <c r="D8104" s="12"/>
      <c r="E8104" t="b">
        <f t="shared" si="126"/>
        <v>1</v>
      </c>
      <c r="F8104" s="12">
        <v>0</v>
      </c>
    </row>
    <row r="8105" spans="3:6">
      <c r="C8105" s="12"/>
      <c r="D8105" s="12"/>
      <c r="E8105" t="b">
        <f t="shared" si="126"/>
        <v>1</v>
      </c>
      <c r="F8105" s="12">
        <v>0</v>
      </c>
    </row>
    <row r="8106" spans="3:6">
      <c r="C8106" s="12"/>
      <c r="D8106" s="12"/>
      <c r="E8106" t="b">
        <f t="shared" si="126"/>
        <v>1</v>
      </c>
      <c r="F8106" s="12">
        <v>0</v>
      </c>
    </row>
    <row r="8107" spans="3:6">
      <c r="C8107" s="12"/>
      <c r="D8107" s="12"/>
      <c r="E8107" t="b">
        <f t="shared" si="126"/>
        <v>1</v>
      </c>
      <c r="F8107" s="12">
        <v>0</v>
      </c>
    </row>
    <row r="8108" spans="3:6">
      <c r="C8108" s="12"/>
      <c r="D8108" s="12"/>
      <c r="E8108" t="b">
        <f t="shared" si="126"/>
        <v>1</v>
      </c>
      <c r="F8108" s="12">
        <v>0</v>
      </c>
    </row>
    <row r="8109" spans="3:6">
      <c r="C8109" s="12"/>
      <c r="D8109" s="12"/>
      <c r="E8109" t="b">
        <f t="shared" si="126"/>
        <v>1</v>
      </c>
      <c r="F8109" s="12">
        <v>0</v>
      </c>
    </row>
    <row r="8110" spans="3:6">
      <c r="C8110" s="12"/>
      <c r="D8110" s="12"/>
      <c r="E8110" t="b">
        <f t="shared" si="126"/>
        <v>1</v>
      </c>
      <c r="F8110" s="12">
        <v>0</v>
      </c>
    </row>
    <row r="8111" spans="3:6">
      <c r="C8111" s="12"/>
      <c r="D8111" s="12"/>
      <c r="E8111" t="b">
        <f t="shared" si="126"/>
        <v>1</v>
      </c>
      <c r="F8111" s="12">
        <v>0</v>
      </c>
    </row>
    <row r="8112" spans="3:6">
      <c r="C8112" s="12"/>
      <c r="D8112" s="12"/>
      <c r="E8112" t="b">
        <f t="shared" si="126"/>
        <v>1</v>
      </c>
      <c r="F8112" s="12">
        <v>0</v>
      </c>
    </row>
    <row r="8113" spans="3:6">
      <c r="C8113" s="12"/>
      <c r="D8113" s="12"/>
      <c r="E8113" t="b">
        <f t="shared" si="126"/>
        <v>1</v>
      </c>
      <c r="F8113" s="12">
        <v>0</v>
      </c>
    </row>
    <row r="8114" spans="3:6">
      <c r="C8114" s="12"/>
      <c r="D8114" s="12"/>
      <c r="E8114" t="b">
        <f t="shared" si="126"/>
        <v>1</v>
      </c>
      <c r="F8114" s="12">
        <v>0</v>
      </c>
    </row>
    <row r="8115" spans="3:6">
      <c r="C8115" s="12"/>
      <c r="D8115" s="12"/>
      <c r="E8115" t="b">
        <f t="shared" si="126"/>
        <v>1</v>
      </c>
      <c r="F8115" s="12">
        <v>0</v>
      </c>
    </row>
    <row r="8116" spans="3:6">
      <c r="C8116" s="12"/>
      <c r="D8116" s="12"/>
      <c r="E8116" t="b">
        <f t="shared" si="126"/>
        <v>1</v>
      </c>
      <c r="F8116" s="12">
        <v>0</v>
      </c>
    </row>
    <row r="8117" spans="3:6">
      <c r="C8117" s="12"/>
      <c r="D8117" s="12"/>
      <c r="E8117" t="b">
        <f t="shared" si="126"/>
        <v>1</v>
      </c>
      <c r="F8117" s="12">
        <v>0</v>
      </c>
    </row>
    <row r="8118" spans="3:6">
      <c r="C8118" s="12"/>
      <c r="D8118" s="12"/>
      <c r="E8118" t="b">
        <f t="shared" si="126"/>
        <v>1</v>
      </c>
      <c r="F8118" s="12">
        <v>0</v>
      </c>
    </row>
    <row r="8119" spans="3:6">
      <c r="C8119" s="12"/>
      <c r="D8119" s="12"/>
      <c r="E8119" t="b">
        <f t="shared" si="126"/>
        <v>1</v>
      </c>
      <c r="F8119" s="12">
        <v>0</v>
      </c>
    </row>
    <row r="8120" spans="3:6">
      <c r="C8120" s="12"/>
      <c r="D8120" s="12"/>
      <c r="E8120" t="b">
        <f t="shared" si="126"/>
        <v>1</v>
      </c>
      <c r="F8120" s="12">
        <v>0</v>
      </c>
    </row>
    <row r="8121" spans="3:6">
      <c r="C8121" s="12"/>
      <c r="D8121" s="12"/>
      <c r="E8121" t="b">
        <f t="shared" si="126"/>
        <v>1</v>
      </c>
      <c r="F8121" s="12">
        <v>0</v>
      </c>
    </row>
    <row r="8122" spans="3:6">
      <c r="C8122" s="12"/>
      <c r="D8122" s="12"/>
      <c r="E8122" t="b">
        <f t="shared" si="126"/>
        <v>1</v>
      </c>
      <c r="F8122" s="12">
        <v>0</v>
      </c>
    </row>
    <row r="8123" spans="3:6">
      <c r="C8123" s="12"/>
      <c r="D8123" s="12"/>
      <c r="E8123" t="b">
        <f t="shared" si="126"/>
        <v>1</v>
      </c>
      <c r="F8123" s="12">
        <v>0</v>
      </c>
    </row>
    <row r="8124" spans="3:6">
      <c r="C8124" s="12"/>
      <c r="D8124" s="12"/>
      <c r="E8124" t="b">
        <f t="shared" si="126"/>
        <v>1</v>
      </c>
      <c r="F8124" s="12">
        <v>0</v>
      </c>
    </row>
    <row r="8125" spans="3:6">
      <c r="C8125" s="12"/>
      <c r="D8125" s="12"/>
      <c r="E8125" t="b">
        <f t="shared" si="126"/>
        <v>1</v>
      </c>
      <c r="F8125" s="12">
        <v>0</v>
      </c>
    </row>
    <row r="8126" spans="3:6">
      <c r="C8126" s="12"/>
      <c r="D8126" s="12"/>
      <c r="E8126" t="b">
        <f t="shared" si="126"/>
        <v>1</v>
      </c>
      <c r="F8126" s="12">
        <v>0</v>
      </c>
    </row>
    <row r="8127" spans="3:6">
      <c r="C8127" s="12"/>
      <c r="D8127" s="12"/>
      <c r="E8127" t="b">
        <f t="shared" si="126"/>
        <v>1</v>
      </c>
      <c r="F8127" s="12">
        <v>0</v>
      </c>
    </row>
    <row r="8128" spans="3:6">
      <c r="C8128" s="12"/>
      <c r="D8128" s="12"/>
      <c r="E8128" t="b">
        <f t="shared" si="126"/>
        <v>1</v>
      </c>
      <c r="F8128" s="12">
        <v>0</v>
      </c>
    </row>
    <row r="8129" spans="3:6">
      <c r="C8129" s="12"/>
      <c r="D8129" s="12"/>
      <c r="E8129" t="b">
        <f t="shared" si="126"/>
        <v>1</v>
      </c>
      <c r="F8129" s="12">
        <v>0</v>
      </c>
    </row>
    <row r="8130" spans="3:6">
      <c r="C8130" s="12"/>
      <c r="D8130" s="12"/>
      <c r="E8130" t="b">
        <f t="shared" si="126"/>
        <v>1</v>
      </c>
      <c r="F8130" s="12">
        <v>0</v>
      </c>
    </row>
    <row r="8131" spans="3:6">
      <c r="C8131" s="12"/>
      <c r="D8131" s="12"/>
      <c r="E8131" t="b">
        <f t="shared" ref="E8131:E8194" si="127">F8131=C8131</f>
        <v>1</v>
      </c>
      <c r="F8131" s="12">
        <v>0</v>
      </c>
    </row>
    <row r="8132" spans="3:6">
      <c r="C8132" s="12"/>
      <c r="D8132" s="12"/>
      <c r="E8132" t="b">
        <f t="shared" si="127"/>
        <v>1</v>
      </c>
      <c r="F8132" s="12">
        <v>0</v>
      </c>
    </row>
    <row r="8133" spans="3:6">
      <c r="C8133" s="12"/>
      <c r="D8133" s="12"/>
      <c r="E8133" t="b">
        <f t="shared" si="127"/>
        <v>1</v>
      </c>
      <c r="F8133" s="12">
        <v>0</v>
      </c>
    </row>
    <row r="8134" spans="3:6">
      <c r="C8134" s="12"/>
      <c r="D8134" s="12"/>
      <c r="E8134" t="b">
        <f t="shared" si="127"/>
        <v>1</v>
      </c>
      <c r="F8134" s="12">
        <v>0</v>
      </c>
    </row>
    <row r="8135" spans="3:6">
      <c r="C8135" s="12"/>
      <c r="D8135" s="12"/>
      <c r="E8135" t="b">
        <f t="shared" si="127"/>
        <v>1</v>
      </c>
      <c r="F8135" s="12">
        <v>0</v>
      </c>
    </row>
    <row r="8136" spans="3:6">
      <c r="C8136" s="12"/>
      <c r="D8136" s="12"/>
      <c r="E8136" t="b">
        <f t="shared" si="127"/>
        <v>1</v>
      </c>
      <c r="F8136" s="12">
        <v>0</v>
      </c>
    </row>
    <row r="8137" spans="3:6">
      <c r="C8137" s="12"/>
      <c r="D8137" s="12"/>
      <c r="E8137" t="b">
        <f t="shared" si="127"/>
        <v>1</v>
      </c>
      <c r="F8137" s="12">
        <v>0</v>
      </c>
    </row>
    <row r="8138" spans="3:6">
      <c r="C8138" s="12"/>
      <c r="D8138" s="12"/>
      <c r="E8138" t="b">
        <f t="shared" si="127"/>
        <v>1</v>
      </c>
      <c r="F8138" s="12">
        <v>0</v>
      </c>
    </row>
    <row r="8139" spans="3:6">
      <c r="C8139" s="12"/>
      <c r="D8139" s="12"/>
      <c r="E8139" t="b">
        <f t="shared" si="127"/>
        <v>1</v>
      </c>
      <c r="F8139" s="12">
        <v>0</v>
      </c>
    </row>
    <row r="8140" spans="3:6">
      <c r="C8140" s="12"/>
      <c r="D8140" s="12"/>
      <c r="E8140" t="b">
        <f t="shared" si="127"/>
        <v>1</v>
      </c>
      <c r="F8140" s="12">
        <v>0</v>
      </c>
    </row>
    <row r="8141" spans="3:6">
      <c r="C8141" s="12"/>
      <c r="D8141" s="12"/>
      <c r="E8141" t="b">
        <f t="shared" si="127"/>
        <v>1</v>
      </c>
      <c r="F8141" s="12">
        <v>0</v>
      </c>
    </row>
    <row r="8142" spans="3:6">
      <c r="C8142" s="12"/>
      <c r="D8142" s="12"/>
      <c r="E8142" t="b">
        <f t="shared" si="127"/>
        <v>1</v>
      </c>
      <c r="F8142" s="12">
        <v>0</v>
      </c>
    </row>
    <row r="8143" spans="3:6">
      <c r="C8143" s="12"/>
      <c r="D8143" s="12"/>
      <c r="E8143" t="b">
        <f t="shared" si="127"/>
        <v>1</v>
      </c>
      <c r="F8143" s="12">
        <v>0</v>
      </c>
    </row>
    <row r="8144" spans="3:6">
      <c r="C8144" s="12"/>
      <c r="D8144" s="12"/>
      <c r="E8144" t="b">
        <f t="shared" si="127"/>
        <v>1</v>
      </c>
      <c r="F8144" s="12">
        <v>0</v>
      </c>
    </row>
    <row r="8145" spans="3:6">
      <c r="C8145" s="12"/>
      <c r="D8145" s="12"/>
      <c r="E8145" t="b">
        <f t="shared" si="127"/>
        <v>1</v>
      </c>
      <c r="F8145" s="12">
        <v>0</v>
      </c>
    </row>
    <row r="8146" spans="3:6">
      <c r="C8146" s="12"/>
      <c r="D8146" s="12"/>
      <c r="E8146" t="b">
        <f t="shared" si="127"/>
        <v>1</v>
      </c>
      <c r="F8146" s="12">
        <v>0</v>
      </c>
    </row>
    <row r="8147" spans="3:6">
      <c r="C8147" s="12"/>
      <c r="D8147" s="12"/>
      <c r="E8147" t="b">
        <f t="shared" si="127"/>
        <v>1</v>
      </c>
      <c r="F8147" s="12">
        <v>0</v>
      </c>
    </row>
    <row r="8148" spans="3:6">
      <c r="C8148" s="12"/>
      <c r="D8148" s="12"/>
      <c r="E8148" t="b">
        <f t="shared" si="127"/>
        <v>1</v>
      </c>
      <c r="F8148" s="12">
        <v>0</v>
      </c>
    </row>
    <row r="8149" spans="3:6">
      <c r="C8149" s="12"/>
      <c r="D8149" s="12"/>
      <c r="E8149" t="b">
        <f t="shared" si="127"/>
        <v>1</v>
      </c>
      <c r="F8149" s="12">
        <v>0</v>
      </c>
    </row>
    <row r="8150" spans="3:6">
      <c r="C8150" s="12"/>
      <c r="D8150" s="12"/>
      <c r="E8150" t="b">
        <f t="shared" si="127"/>
        <v>1</v>
      </c>
      <c r="F8150" s="12">
        <v>0</v>
      </c>
    </row>
    <row r="8151" spans="3:6">
      <c r="C8151" s="12"/>
      <c r="D8151" s="12"/>
      <c r="E8151" t="b">
        <f t="shared" si="127"/>
        <v>1</v>
      </c>
      <c r="F8151" s="12">
        <v>0</v>
      </c>
    </row>
    <row r="8152" spans="3:6">
      <c r="C8152" s="12"/>
      <c r="D8152" s="12"/>
      <c r="E8152" t="b">
        <f t="shared" si="127"/>
        <v>1</v>
      </c>
      <c r="F8152" s="12">
        <v>0</v>
      </c>
    </row>
    <row r="8153" spans="3:6">
      <c r="C8153" s="12"/>
      <c r="D8153" s="12"/>
      <c r="E8153" t="b">
        <f t="shared" si="127"/>
        <v>1</v>
      </c>
      <c r="F8153" s="12">
        <v>0</v>
      </c>
    </row>
    <row r="8154" spans="3:6">
      <c r="C8154" s="12"/>
      <c r="D8154" s="12"/>
      <c r="E8154" t="b">
        <f t="shared" si="127"/>
        <v>1</v>
      </c>
      <c r="F8154" s="12">
        <v>0</v>
      </c>
    </row>
    <row r="8155" spans="3:6">
      <c r="C8155" s="12"/>
      <c r="D8155" s="12"/>
      <c r="E8155" t="b">
        <f t="shared" si="127"/>
        <v>1</v>
      </c>
      <c r="F8155" s="12">
        <v>0</v>
      </c>
    </row>
    <row r="8156" spans="3:6">
      <c r="C8156" s="12"/>
      <c r="D8156" s="12"/>
      <c r="E8156" t="b">
        <f t="shared" si="127"/>
        <v>1</v>
      </c>
      <c r="F8156" s="12">
        <v>0</v>
      </c>
    </row>
    <row r="8157" spans="3:6">
      <c r="C8157" s="12"/>
      <c r="D8157" s="12"/>
      <c r="E8157" t="b">
        <f t="shared" si="127"/>
        <v>1</v>
      </c>
      <c r="F8157" s="12">
        <v>0</v>
      </c>
    </row>
    <row r="8158" spans="3:6">
      <c r="C8158" s="12"/>
      <c r="D8158" s="12"/>
      <c r="E8158" t="b">
        <f t="shared" si="127"/>
        <v>1</v>
      </c>
      <c r="F8158" s="12">
        <v>0</v>
      </c>
    </row>
    <row r="8159" spans="3:6">
      <c r="C8159" s="12"/>
      <c r="D8159" s="12"/>
      <c r="E8159" t="b">
        <f t="shared" si="127"/>
        <v>1</v>
      </c>
      <c r="F8159" s="12">
        <v>0</v>
      </c>
    </row>
    <row r="8160" spans="3:6">
      <c r="C8160" s="12"/>
      <c r="D8160" s="12"/>
      <c r="E8160" t="b">
        <f t="shared" si="127"/>
        <v>1</v>
      </c>
      <c r="F8160" s="12">
        <v>0</v>
      </c>
    </row>
    <row r="8161" spans="3:6">
      <c r="C8161" s="12"/>
      <c r="D8161" s="12"/>
      <c r="E8161" t="b">
        <f t="shared" si="127"/>
        <v>1</v>
      </c>
      <c r="F8161" s="12">
        <v>0</v>
      </c>
    </row>
    <row r="8162" spans="3:6">
      <c r="C8162" s="12"/>
      <c r="D8162" s="12"/>
      <c r="E8162" t="b">
        <f t="shared" si="127"/>
        <v>1</v>
      </c>
      <c r="F8162" s="12">
        <v>0</v>
      </c>
    </row>
    <row r="8163" spans="3:6">
      <c r="C8163" s="12"/>
      <c r="D8163" s="12"/>
      <c r="E8163" t="b">
        <f t="shared" si="127"/>
        <v>1</v>
      </c>
      <c r="F8163" s="12">
        <v>0</v>
      </c>
    </row>
    <row r="8164" spans="3:6">
      <c r="C8164" s="12"/>
      <c r="D8164" s="12"/>
      <c r="E8164" t="b">
        <f t="shared" si="127"/>
        <v>1</v>
      </c>
      <c r="F8164" s="12">
        <v>0</v>
      </c>
    </row>
    <row r="8165" spans="3:6">
      <c r="C8165" s="12"/>
      <c r="D8165" s="12"/>
      <c r="E8165" t="b">
        <f t="shared" si="127"/>
        <v>1</v>
      </c>
      <c r="F8165" s="12">
        <v>0</v>
      </c>
    </row>
    <row r="8166" spans="3:6">
      <c r="C8166" s="12"/>
      <c r="D8166" s="12"/>
      <c r="E8166" t="b">
        <f t="shared" si="127"/>
        <v>1</v>
      </c>
      <c r="F8166" s="12">
        <v>0</v>
      </c>
    </row>
    <row r="8167" spans="3:6">
      <c r="C8167" s="12"/>
      <c r="D8167" s="12"/>
      <c r="E8167" t="b">
        <f t="shared" si="127"/>
        <v>1</v>
      </c>
      <c r="F8167" s="12">
        <v>0</v>
      </c>
    </row>
    <row r="8168" spans="3:6">
      <c r="C8168" s="12"/>
      <c r="D8168" s="12"/>
      <c r="E8168" t="b">
        <f t="shared" si="127"/>
        <v>1</v>
      </c>
      <c r="F8168" s="12">
        <v>0</v>
      </c>
    </row>
    <row r="8169" spans="3:6">
      <c r="C8169" s="12"/>
      <c r="D8169" s="12"/>
      <c r="E8169" t="b">
        <f t="shared" si="127"/>
        <v>1</v>
      </c>
      <c r="F8169" s="12">
        <v>0</v>
      </c>
    </row>
    <row r="8170" spans="3:6">
      <c r="C8170" s="12"/>
      <c r="D8170" s="12"/>
      <c r="E8170" t="b">
        <f t="shared" si="127"/>
        <v>1</v>
      </c>
      <c r="F8170" s="12">
        <v>0</v>
      </c>
    </row>
    <row r="8171" spans="3:6">
      <c r="C8171" s="12"/>
      <c r="D8171" s="12"/>
      <c r="E8171" t="b">
        <f t="shared" si="127"/>
        <v>1</v>
      </c>
      <c r="F8171" s="12">
        <v>0</v>
      </c>
    </row>
    <row r="8172" spans="3:6">
      <c r="C8172" s="12"/>
      <c r="D8172" s="12"/>
      <c r="E8172" t="b">
        <f t="shared" si="127"/>
        <v>1</v>
      </c>
      <c r="F8172" s="12">
        <v>0</v>
      </c>
    </row>
    <row r="8173" spans="3:6">
      <c r="C8173" s="12"/>
      <c r="D8173" s="12"/>
      <c r="E8173" t="b">
        <f t="shared" si="127"/>
        <v>1</v>
      </c>
      <c r="F8173" s="12">
        <v>0</v>
      </c>
    </row>
    <row r="8174" spans="3:6">
      <c r="C8174" s="12"/>
      <c r="D8174" s="12"/>
      <c r="E8174" t="b">
        <f t="shared" si="127"/>
        <v>1</v>
      </c>
      <c r="F8174" s="12">
        <v>0</v>
      </c>
    </row>
    <row r="8175" spans="3:6">
      <c r="C8175" s="12"/>
      <c r="D8175" s="12"/>
      <c r="E8175" t="b">
        <f t="shared" si="127"/>
        <v>1</v>
      </c>
      <c r="F8175" s="12">
        <v>0</v>
      </c>
    </row>
    <row r="8176" spans="3:6">
      <c r="C8176" s="12"/>
      <c r="D8176" s="12"/>
      <c r="E8176" t="b">
        <f t="shared" si="127"/>
        <v>1</v>
      </c>
      <c r="F8176" s="12">
        <v>0</v>
      </c>
    </row>
    <row r="8177" spans="3:6">
      <c r="C8177" s="12"/>
      <c r="D8177" s="12"/>
      <c r="E8177" t="b">
        <f t="shared" si="127"/>
        <v>1</v>
      </c>
      <c r="F8177" s="12">
        <v>0</v>
      </c>
    </row>
    <row r="8178" spans="3:6">
      <c r="C8178" s="12"/>
      <c r="D8178" s="12"/>
      <c r="E8178" t="b">
        <f t="shared" si="127"/>
        <v>1</v>
      </c>
      <c r="F8178" s="12">
        <v>0</v>
      </c>
    </row>
    <row r="8179" spans="3:6">
      <c r="C8179" s="12"/>
      <c r="D8179" s="12"/>
      <c r="E8179" t="b">
        <f t="shared" si="127"/>
        <v>1</v>
      </c>
      <c r="F8179" s="12">
        <v>0</v>
      </c>
    </row>
    <row r="8180" spans="3:6">
      <c r="C8180" s="12"/>
      <c r="D8180" s="12"/>
      <c r="E8180" t="b">
        <f t="shared" si="127"/>
        <v>1</v>
      </c>
      <c r="F8180" s="12">
        <v>0</v>
      </c>
    </row>
    <row r="8181" spans="3:6">
      <c r="C8181" s="12"/>
      <c r="D8181" s="12"/>
      <c r="E8181" t="b">
        <f t="shared" si="127"/>
        <v>1</v>
      </c>
      <c r="F8181" s="12">
        <v>0</v>
      </c>
    </row>
    <row r="8182" spans="3:6">
      <c r="C8182" s="12"/>
      <c r="D8182" s="12"/>
      <c r="E8182" t="b">
        <f t="shared" si="127"/>
        <v>1</v>
      </c>
      <c r="F8182" s="12">
        <v>0</v>
      </c>
    </row>
    <row r="8183" spans="3:6">
      <c r="C8183" s="12"/>
      <c r="D8183" s="12"/>
      <c r="E8183" t="b">
        <f t="shared" si="127"/>
        <v>1</v>
      </c>
      <c r="F8183" s="12">
        <v>0</v>
      </c>
    </row>
    <row r="8184" spans="3:6">
      <c r="C8184" s="12"/>
      <c r="D8184" s="12"/>
      <c r="E8184" t="b">
        <f t="shared" si="127"/>
        <v>1</v>
      </c>
      <c r="F8184" s="12">
        <v>0</v>
      </c>
    </row>
    <row r="8185" spans="3:6">
      <c r="C8185" s="12"/>
      <c r="D8185" s="12"/>
      <c r="E8185" t="b">
        <f t="shared" si="127"/>
        <v>1</v>
      </c>
      <c r="F8185" s="12">
        <v>0</v>
      </c>
    </row>
    <row r="8186" spans="3:6">
      <c r="C8186" s="12"/>
      <c r="D8186" s="12"/>
      <c r="E8186" t="b">
        <f t="shared" si="127"/>
        <v>1</v>
      </c>
      <c r="F8186" s="12">
        <v>0</v>
      </c>
    </row>
    <row r="8187" spans="3:6">
      <c r="C8187" s="12"/>
      <c r="D8187" s="12"/>
      <c r="E8187" t="b">
        <f t="shared" si="127"/>
        <v>1</v>
      </c>
      <c r="F8187" s="12">
        <v>0</v>
      </c>
    </row>
    <row r="8188" spans="3:6">
      <c r="C8188" s="12"/>
      <c r="D8188" s="12"/>
      <c r="E8188" t="b">
        <f t="shared" si="127"/>
        <v>1</v>
      </c>
      <c r="F8188" s="12">
        <v>0</v>
      </c>
    </row>
    <row r="8189" spans="3:6">
      <c r="C8189" s="12"/>
      <c r="D8189" s="12"/>
      <c r="E8189" t="b">
        <f t="shared" si="127"/>
        <v>1</v>
      </c>
      <c r="F8189" s="12">
        <v>0</v>
      </c>
    </row>
    <row r="8190" spans="3:6">
      <c r="C8190" s="12"/>
      <c r="D8190" s="12"/>
      <c r="E8190" t="b">
        <f t="shared" si="127"/>
        <v>1</v>
      </c>
      <c r="F8190" s="12">
        <v>0</v>
      </c>
    </row>
    <row r="8191" spans="3:6">
      <c r="C8191" s="12"/>
      <c r="D8191" s="12"/>
      <c r="E8191" t="b">
        <f t="shared" si="127"/>
        <v>1</v>
      </c>
      <c r="F8191" s="12">
        <v>0</v>
      </c>
    </row>
    <row r="8192" spans="3:6">
      <c r="C8192" s="12"/>
      <c r="D8192" s="12"/>
      <c r="E8192" t="b">
        <f t="shared" si="127"/>
        <v>1</v>
      </c>
      <c r="F8192" s="12">
        <v>0</v>
      </c>
    </row>
    <row r="8193" spans="3:6">
      <c r="C8193" s="12"/>
      <c r="D8193" s="12"/>
      <c r="E8193" t="b">
        <f t="shared" si="127"/>
        <v>1</v>
      </c>
      <c r="F8193" s="12">
        <v>0</v>
      </c>
    </row>
    <row r="8194" spans="3:6">
      <c r="C8194" s="12"/>
      <c r="D8194" s="12"/>
      <c r="E8194" t="b">
        <f t="shared" si="127"/>
        <v>1</v>
      </c>
      <c r="F8194" s="12">
        <v>0</v>
      </c>
    </row>
    <row r="8195" spans="3:6">
      <c r="C8195" s="12"/>
      <c r="D8195" s="12"/>
      <c r="E8195" t="b">
        <f t="shared" ref="E8195:E8258" si="128">F8195=C8195</f>
        <v>1</v>
      </c>
      <c r="F8195" s="12">
        <v>0</v>
      </c>
    </row>
    <row r="8196" spans="3:6">
      <c r="C8196" s="12"/>
      <c r="D8196" s="12"/>
      <c r="E8196" t="b">
        <f t="shared" si="128"/>
        <v>1</v>
      </c>
      <c r="F8196" s="12">
        <v>0</v>
      </c>
    </row>
    <row r="8197" spans="3:6">
      <c r="C8197" s="12"/>
      <c r="D8197" s="12"/>
      <c r="E8197" t="b">
        <f t="shared" si="128"/>
        <v>1</v>
      </c>
      <c r="F8197" s="12">
        <v>0</v>
      </c>
    </row>
    <row r="8198" spans="3:6">
      <c r="C8198" s="12"/>
      <c r="D8198" s="12"/>
      <c r="E8198" t="b">
        <f t="shared" si="128"/>
        <v>1</v>
      </c>
      <c r="F8198" s="12">
        <v>0</v>
      </c>
    </row>
    <row r="8199" spans="3:6">
      <c r="C8199" s="12"/>
      <c r="D8199" s="12"/>
      <c r="E8199" t="b">
        <f t="shared" si="128"/>
        <v>1</v>
      </c>
      <c r="F8199" s="12">
        <v>0</v>
      </c>
    </row>
    <row r="8200" spans="3:6">
      <c r="C8200" s="12"/>
      <c r="D8200" s="12"/>
      <c r="E8200" t="b">
        <f t="shared" si="128"/>
        <v>1</v>
      </c>
      <c r="F8200" s="12">
        <v>0</v>
      </c>
    </row>
    <row r="8201" spans="3:6">
      <c r="C8201" s="12"/>
      <c r="D8201" s="12"/>
      <c r="E8201" t="b">
        <f t="shared" si="128"/>
        <v>1</v>
      </c>
      <c r="F8201" s="12">
        <v>0</v>
      </c>
    </row>
    <row r="8202" spans="3:6">
      <c r="C8202" s="12"/>
      <c r="D8202" s="12"/>
      <c r="E8202" t="b">
        <f t="shared" si="128"/>
        <v>1</v>
      </c>
      <c r="F8202" s="12">
        <v>0</v>
      </c>
    </row>
    <row r="8203" spans="3:6">
      <c r="C8203" s="12"/>
      <c r="D8203" s="12"/>
      <c r="E8203" t="b">
        <f t="shared" si="128"/>
        <v>1</v>
      </c>
      <c r="F8203" s="12">
        <v>0</v>
      </c>
    </row>
    <row r="8204" spans="3:6">
      <c r="C8204" s="12"/>
      <c r="D8204" s="12"/>
      <c r="E8204" t="b">
        <f t="shared" si="128"/>
        <v>1</v>
      </c>
      <c r="F8204" s="12">
        <v>0</v>
      </c>
    </row>
    <row r="8205" spans="3:6">
      <c r="C8205" s="12"/>
      <c r="D8205" s="12"/>
      <c r="E8205" t="b">
        <f t="shared" si="128"/>
        <v>1</v>
      </c>
      <c r="F8205" s="12">
        <v>0</v>
      </c>
    </row>
    <row r="8206" spans="3:6">
      <c r="C8206" s="12"/>
      <c r="D8206" s="12"/>
      <c r="E8206" t="b">
        <f t="shared" si="128"/>
        <v>1</v>
      </c>
      <c r="F8206" s="12">
        <v>0</v>
      </c>
    </row>
    <row r="8207" spans="3:6">
      <c r="C8207" s="12"/>
      <c r="D8207" s="12"/>
      <c r="E8207" t="b">
        <f t="shared" si="128"/>
        <v>1</v>
      </c>
      <c r="F8207" s="12">
        <v>0</v>
      </c>
    </row>
    <row r="8208" spans="3:6">
      <c r="C8208" s="12"/>
      <c r="D8208" s="12"/>
      <c r="E8208" t="b">
        <f t="shared" si="128"/>
        <v>1</v>
      </c>
      <c r="F8208" s="12">
        <v>0</v>
      </c>
    </row>
    <row r="8209" spans="3:6">
      <c r="C8209" s="12"/>
      <c r="D8209" s="12"/>
      <c r="E8209" t="b">
        <f t="shared" si="128"/>
        <v>1</v>
      </c>
      <c r="F8209" s="12">
        <v>0</v>
      </c>
    </row>
    <row r="8210" spans="3:6">
      <c r="C8210" s="12"/>
      <c r="D8210" s="12"/>
      <c r="E8210" t="b">
        <f t="shared" si="128"/>
        <v>1</v>
      </c>
      <c r="F8210" s="12">
        <v>0</v>
      </c>
    </row>
    <row r="8211" spans="3:6">
      <c r="C8211" s="12"/>
      <c r="D8211" s="12"/>
      <c r="E8211" t="b">
        <f t="shared" si="128"/>
        <v>1</v>
      </c>
      <c r="F8211" s="12">
        <v>0</v>
      </c>
    </row>
    <row r="8212" spans="3:6">
      <c r="C8212" s="12"/>
      <c r="D8212" s="12"/>
      <c r="E8212" t="b">
        <f t="shared" si="128"/>
        <v>1</v>
      </c>
      <c r="F8212" s="12">
        <v>0</v>
      </c>
    </row>
    <row r="8213" spans="3:6">
      <c r="C8213" s="12"/>
      <c r="D8213" s="12"/>
      <c r="E8213" t="b">
        <f t="shared" si="128"/>
        <v>1</v>
      </c>
      <c r="F8213" s="12">
        <v>0</v>
      </c>
    </row>
    <row r="8214" spans="3:6">
      <c r="C8214" s="12"/>
      <c r="D8214" s="12"/>
      <c r="E8214" t="b">
        <f t="shared" si="128"/>
        <v>1</v>
      </c>
      <c r="F8214" s="12">
        <v>0</v>
      </c>
    </row>
    <row r="8215" spans="3:6">
      <c r="C8215" s="12"/>
      <c r="D8215" s="12"/>
      <c r="E8215" t="b">
        <f t="shared" si="128"/>
        <v>1</v>
      </c>
      <c r="F8215" s="12">
        <v>0</v>
      </c>
    </row>
    <row r="8216" spans="3:6">
      <c r="C8216" s="12"/>
      <c r="D8216" s="12"/>
      <c r="E8216" t="b">
        <f t="shared" si="128"/>
        <v>1</v>
      </c>
      <c r="F8216" s="12">
        <v>0</v>
      </c>
    </row>
    <row r="8217" spans="3:6">
      <c r="C8217" s="12"/>
      <c r="D8217" s="12"/>
      <c r="E8217" t="b">
        <f t="shared" si="128"/>
        <v>1</v>
      </c>
      <c r="F8217" s="12">
        <v>0</v>
      </c>
    </row>
    <row r="8218" spans="3:6">
      <c r="C8218" s="12"/>
      <c r="D8218" s="12"/>
      <c r="E8218" t="b">
        <f t="shared" si="128"/>
        <v>1</v>
      </c>
      <c r="F8218" s="12">
        <v>0</v>
      </c>
    </row>
    <row r="8219" spans="3:6">
      <c r="C8219" s="12"/>
      <c r="D8219" s="12"/>
      <c r="E8219" t="b">
        <f t="shared" si="128"/>
        <v>1</v>
      </c>
      <c r="F8219" s="12">
        <v>0</v>
      </c>
    </row>
    <row r="8220" spans="3:6">
      <c r="C8220" s="12"/>
      <c r="D8220" s="12"/>
      <c r="E8220" t="b">
        <f t="shared" si="128"/>
        <v>1</v>
      </c>
      <c r="F8220" s="12">
        <v>0</v>
      </c>
    </row>
    <row r="8221" spans="3:6">
      <c r="C8221" s="12"/>
      <c r="D8221" s="12"/>
      <c r="E8221" t="b">
        <f t="shared" si="128"/>
        <v>1</v>
      </c>
      <c r="F8221" s="12">
        <v>0</v>
      </c>
    </row>
    <row r="8222" spans="3:6">
      <c r="C8222" s="12"/>
      <c r="D8222" s="12"/>
      <c r="E8222" t="b">
        <f t="shared" si="128"/>
        <v>1</v>
      </c>
      <c r="F8222" s="12">
        <v>0</v>
      </c>
    </row>
    <row r="8223" spans="3:6">
      <c r="C8223" s="12"/>
      <c r="D8223" s="12"/>
      <c r="E8223" t="b">
        <f t="shared" si="128"/>
        <v>1</v>
      </c>
      <c r="F8223" s="12">
        <v>0</v>
      </c>
    </row>
    <row r="8224" spans="3:6">
      <c r="C8224" s="12"/>
      <c r="D8224" s="12"/>
      <c r="E8224" t="b">
        <f t="shared" si="128"/>
        <v>1</v>
      </c>
      <c r="F8224" s="12">
        <v>0</v>
      </c>
    </row>
    <row r="8225" spans="3:6">
      <c r="C8225" s="12"/>
      <c r="D8225" s="12"/>
      <c r="E8225" t="b">
        <f t="shared" si="128"/>
        <v>1</v>
      </c>
      <c r="F8225" s="12">
        <v>0</v>
      </c>
    </row>
    <row r="8226" spans="3:6">
      <c r="C8226" s="12"/>
      <c r="D8226" s="12"/>
      <c r="E8226" t="b">
        <f t="shared" si="128"/>
        <v>1</v>
      </c>
      <c r="F8226" s="12">
        <v>0</v>
      </c>
    </row>
    <row r="8227" spans="3:6">
      <c r="C8227" s="12"/>
      <c r="D8227" s="12"/>
      <c r="E8227" t="b">
        <f t="shared" si="128"/>
        <v>1</v>
      </c>
      <c r="F8227" s="12">
        <v>0</v>
      </c>
    </row>
    <row r="8228" spans="3:6">
      <c r="C8228" s="12"/>
      <c r="D8228" s="12"/>
      <c r="E8228" t="b">
        <f t="shared" si="128"/>
        <v>1</v>
      </c>
      <c r="F8228" s="12">
        <v>0</v>
      </c>
    </row>
    <row r="8229" spans="3:6">
      <c r="C8229" s="12"/>
      <c r="D8229" s="12"/>
      <c r="E8229" t="b">
        <f t="shared" si="128"/>
        <v>1</v>
      </c>
      <c r="F8229" s="12">
        <v>0</v>
      </c>
    </row>
    <row r="8230" spans="3:6">
      <c r="C8230" s="12"/>
      <c r="D8230" s="12"/>
      <c r="E8230" t="b">
        <f t="shared" si="128"/>
        <v>1</v>
      </c>
      <c r="F8230" s="12">
        <v>0</v>
      </c>
    </row>
    <row r="8231" spans="3:6">
      <c r="C8231" s="12"/>
      <c r="D8231" s="12"/>
      <c r="E8231" t="b">
        <f t="shared" si="128"/>
        <v>1</v>
      </c>
      <c r="F8231" s="12">
        <v>0</v>
      </c>
    </row>
    <row r="8232" spans="3:6">
      <c r="C8232" s="12"/>
      <c r="D8232" s="12"/>
      <c r="E8232" t="b">
        <f t="shared" si="128"/>
        <v>1</v>
      </c>
      <c r="F8232" s="12">
        <v>0</v>
      </c>
    </row>
    <row r="8233" spans="3:6">
      <c r="C8233" s="12"/>
      <c r="D8233" s="12"/>
      <c r="E8233" t="b">
        <f t="shared" si="128"/>
        <v>1</v>
      </c>
      <c r="F8233" s="12">
        <v>0</v>
      </c>
    </row>
    <row r="8234" spans="3:6">
      <c r="C8234" s="12"/>
      <c r="D8234" s="12"/>
      <c r="E8234" t="b">
        <f t="shared" si="128"/>
        <v>1</v>
      </c>
      <c r="F8234" s="12">
        <v>0</v>
      </c>
    </row>
    <row r="8235" spans="3:6">
      <c r="C8235" s="12"/>
      <c r="D8235" s="12"/>
      <c r="E8235" t="b">
        <f t="shared" si="128"/>
        <v>1</v>
      </c>
      <c r="F8235" s="12">
        <v>0</v>
      </c>
    </row>
    <row r="8236" spans="3:6">
      <c r="C8236" s="12"/>
      <c r="D8236" s="12"/>
      <c r="E8236" t="b">
        <f t="shared" si="128"/>
        <v>1</v>
      </c>
      <c r="F8236" s="12">
        <v>0</v>
      </c>
    </row>
    <row r="8237" spans="3:6">
      <c r="C8237" s="12"/>
      <c r="D8237" s="12"/>
      <c r="E8237" t="b">
        <f t="shared" si="128"/>
        <v>1</v>
      </c>
      <c r="F8237" s="12">
        <v>0</v>
      </c>
    </row>
    <row r="8238" spans="3:6">
      <c r="C8238" s="12"/>
      <c r="D8238" s="12"/>
      <c r="E8238" t="b">
        <f t="shared" si="128"/>
        <v>1</v>
      </c>
      <c r="F8238" s="12">
        <v>0</v>
      </c>
    </row>
    <row r="8239" spans="3:6">
      <c r="C8239" s="12"/>
      <c r="D8239" s="12"/>
      <c r="E8239" t="b">
        <f t="shared" si="128"/>
        <v>1</v>
      </c>
      <c r="F8239" s="12">
        <v>0</v>
      </c>
    </row>
    <row r="8240" spans="3:6">
      <c r="C8240" s="12"/>
      <c r="D8240" s="12"/>
      <c r="E8240" t="b">
        <f t="shared" si="128"/>
        <v>1</v>
      </c>
      <c r="F8240" s="12">
        <v>0</v>
      </c>
    </row>
    <row r="8241" spans="3:6">
      <c r="C8241" s="12"/>
      <c r="D8241" s="12"/>
      <c r="E8241" t="b">
        <f t="shared" si="128"/>
        <v>1</v>
      </c>
      <c r="F8241" s="12">
        <v>0</v>
      </c>
    </row>
    <row r="8242" spans="3:6">
      <c r="C8242" s="12"/>
      <c r="D8242" s="12"/>
      <c r="E8242" t="b">
        <f t="shared" si="128"/>
        <v>1</v>
      </c>
      <c r="F8242" s="12">
        <v>0</v>
      </c>
    </row>
    <row r="8243" spans="3:6">
      <c r="C8243" s="12"/>
      <c r="D8243" s="12"/>
      <c r="E8243" t="b">
        <f t="shared" si="128"/>
        <v>1</v>
      </c>
      <c r="F8243" s="12">
        <v>0</v>
      </c>
    </row>
    <row r="8244" spans="3:6">
      <c r="C8244" s="12"/>
      <c r="D8244" s="12"/>
      <c r="E8244" t="b">
        <f t="shared" si="128"/>
        <v>1</v>
      </c>
      <c r="F8244" s="12">
        <v>0</v>
      </c>
    </row>
    <row r="8245" spans="3:6">
      <c r="C8245" s="12"/>
      <c r="D8245" s="12"/>
      <c r="E8245" t="b">
        <f t="shared" si="128"/>
        <v>1</v>
      </c>
      <c r="F8245" s="12">
        <v>0</v>
      </c>
    </row>
    <row r="8246" spans="3:6">
      <c r="C8246" s="12"/>
      <c r="D8246" s="12"/>
      <c r="E8246" t="b">
        <f t="shared" si="128"/>
        <v>1</v>
      </c>
      <c r="F8246" s="12">
        <v>0</v>
      </c>
    </row>
    <row r="8247" spans="3:6">
      <c r="C8247" s="12"/>
      <c r="D8247" s="12"/>
      <c r="E8247" t="b">
        <f t="shared" si="128"/>
        <v>1</v>
      </c>
      <c r="F8247" s="12">
        <v>0</v>
      </c>
    </row>
    <row r="8248" spans="3:6">
      <c r="C8248" s="12"/>
      <c r="D8248" s="12"/>
      <c r="E8248" t="b">
        <f t="shared" si="128"/>
        <v>1</v>
      </c>
      <c r="F8248" s="12">
        <v>0</v>
      </c>
    </row>
    <row r="8249" spans="3:6">
      <c r="C8249" s="12"/>
      <c r="D8249" s="12"/>
      <c r="E8249" t="b">
        <f t="shared" si="128"/>
        <v>1</v>
      </c>
      <c r="F8249" s="12">
        <v>0</v>
      </c>
    </row>
    <row r="8250" spans="3:6">
      <c r="C8250" s="12"/>
      <c r="D8250" s="12"/>
      <c r="E8250" t="b">
        <f t="shared" si="128"/>
        <v>1</v>
      </c>
      <c r="F8250" s="12">
        <v>0</v>
      </c>
    </row>
    <row r="8251" spans="3:6">
      <c r="C8251" s="12"/>
      <c r="D8251" s="12"/>
      <c r="E8251" t="b">
        <f t="shared" si="128"/>
        <v>1</v>
      </c>
      <c r="F8251" s="12">
        <v>0</v>
      </c>
    </row>
    <row r="8252" spans="3:6">
      <c r="C8252" s="12"/>
      <c r="D8252" s="12"/>
      <c r="E8252" t="b">
        <f t="shared" si="128"/>
        <v>1</v>
      </c>
      <c r="F8252" s="12">
        <v>0</v>
      </c>
    </row>
    <row r="8253" spans="3:6">
      <c r="C8253" s="12"/>
      <c r="D8253" s="12"/>
      <c r="E8253" t="b">
        <f t="shared" si="128"/>
        <v>1</v>
      </c>
      <c r="F8253" s="12">
        <v>0</v>
      </c>
    </row>
    <row r="8254" spans="3:6">
      <c r="C8254" s="12"/>
      <c r="D8254" s="12"/>
      <c r="E8254" t="b">
        <f t="shared" si="128"/>
        <v>1</v>
      </c>
      <c r="F8254" s="12">
        <v>0</v>
      </c>
    </row>
    <row r="8255" spans="3:6">
      <c r="C8255" s="12"/>
      <c r="D8255" s="12"/>
      <c r="E8255" t="b">
        <f t="shared" si="128"/>
        <v>1</v>
      </c>
      <c r="F8255" s="12">
        <v>0</v>
      </c>
    </row>
    <row r="8256" spans="3:6">
      <c r="C8256" s="12"/>
      <c r="D8256" s="12"/>
      <c r="E8256" t="b">
        <f t="shared" si="128"/>
        <v>1</v>
      </c>
      <c r="F8256" s="12">
        <v>0</v>
      </c>
    </row>
    <row r="8257" spans="3:6">
      <c r="C8257" s="12"/>
      <c r="D8257" s="12"/>
      <c r="E8257" t="b">
        <f t="shared" si="128"/>
        <v>1</v>
      </c>
      <c r="F8257" s="12">
        <v>0</v>
      </c>
    </row>
    <row r="8258" spans="3:6">
      <c r="C8258" s="12"/>
      <c r="D8258" s="12"/>
      <c r="E8258" t="b">
        <f t="shared" si="128"/>
        <v>1</v>
      </c>
      <c r="F8258" s="12">
        <v>0</v>
      </c>
    </row>
    <row r="8259" spans="3:6">
      <c r="C8259" s="12"/>
      <c r="D8259" s="12"/>
      <c r="E8259" t="b">
        <f t="shared" ref="E8259:E8322" si="129">F8259=C8259</f>
        <v>1</v>
      </c>
      <c r="F8259" s="12">
        <v>0</v>
      </c>
    </row>
    <row r="8260" spans="3:6">
      <c r="C8260" s="12"/>
      <c r="D8260" s="12"/>
      <c r="E8260" t="b">
        <f t="shared" si="129"/>
        <v>1</v>
      </c>
      <c r="F8260" s="12">
        <v>0</v>
      </c>
    </row>
    <row r="8261" spans="3:6">
      <c r="C8261" s="12"/>
      <c r="D8261" s="12"/>
      <c r="E8261" t="b">
        <f t="shared" si="129"/>
        <v>1</v>
      </c>
      <c r="F8261" s="12">
        <v>0</v>
      </c>
    </row>
    <row r="8262" spans="3:6">
      <c r="C8262" s="12"/>
      <c r="D8262" s="12"/>
      <c r="E8262" t="b">
        <f t="shared" si="129"/>
        <v>1</v>
      </c>
      <c r="F8262" s="12">
        <v>0</v>
      </c>
    </row>
    <row r="8263" spans="3:6">
      <c r="C8263" s="12"/>
      <c r="D8263" s="12"/>
      <c r="E8263" t="b">
        <f t="shared" si="129"/>
        <v>1</v>
      </c>
      <c r="F8263" s="12">
        <v>0</v>
      </c>
    </row>
    <row r="8264" spans="3:6">
      <c r="C8264" s="12"/>
      <c r="D8264" s="12"/>
      <c r="E8264" t="b">
        <f t="shared" si="129"/>
        <v>1</v>
      </c>
      <c r="F8264" s="12">
        <v>0</v>
      </c>
    </row>
    <row r="8265" spans="3:6">
      <c r="C8265" s="12"/>
      <c r="D8265" s="12"/>
      <c r="E8265" t="b">
        <f t="shared" si="129"/>
        <v>1</v>
      </c>
      <c r="F8265" s="12">
        <v>0</v>
      </c>
    </row>
    <row r="8266" spans="3:6">
      <c r="C8266" s="12"/>
      <c r="D8266" s="12"/>
      <c r="E8266" t="b">
        <f t="shared" si="129"/>
        <v>1</v>
      </c>
      <c r="F8266" s="12">
        <v>0</v>
      </c>
    </row>
    <row r="8267" spans="3:6">
      <c r="C8267" s="12"/>
      <c r="D8267" s="12"/>
      <c r="E8267" t="b">
        <f t="shared" si="129"/>
        <v>1</v>
      </c>
      <c r="F8267" s="12">
        <v>0</v>
      </c>
    </row>
    <row r="8268" spans="3:6">
      <c r="C8268" s="12"/>
      <c r="D8268" s="12"/>
      <c r="E8268" t="b">
        <f t="shared" si="129"/>
        <v>1</v>
      </c>
      <c r="F8268" s="12">
        <v>0</v>
      </c>
    </row>
    <row r="8269" spans="3:6">
      <c r="C8269" s="12"/>
      <c r="D8269" s="12"/>
      <c r="E8269" t="b">
        <f t="shared" si="129"/>
        <v>1</v>
      </c>
      <c r="F8269" s="12">
        <v>0</v>
      </c>
    </row>
    <row r="8270" spans="3:6">
      <c r="C8270" s="12"/>
      <c r="D8270" s="12"/>
      <c r="E8270" t="b">
        <f t="shared" si="129"/>
        <v>1</v>
      </c>
      <c r="F8270" s="12">
        <v>0</v>
      </c>
    </row>
    <row r="8271" spans="3:6">
      <c r="C8271" s="12"/>
      <c r="D8271" s="12"/>
      <c r="E8271" t="b">
        <f t="shared" si="129"/>
        <v>1</v>
      </c>
      <c r="F8271" s="12">
        <v>0</v>
      </c>
    </row>
    <row r="8272" spans="3:6">
      <c r="C8272" s="12"/>
      <c r="D8272" s="12"/>
      <c r="E8272" t="b">
        <f t="shared" si="129"/>
        <v>1</v>
      </c>
      <c r="F8272" s="12">
        <v>0</v>
      </c>
    </row>
    <row r="8273" spans="3:6">
      <c r="C8273" s="12"/>
      <c r="D8273" s="12"/>
      <c r="E8273" t="b">
        <f t="shared" si="129"/>
        <v>1</v>
      </c>
      <c r="F8273" s="12">
        <v>0</v>
      </c>
    </row>
    <row r="8274" spans="3:6">
      <c r="C8274" s="12"/>
      <c r="D8274" s="12"/>
      <c r="E8274" t="b">
        <f t="shared" si="129"/>
        <v>1</v>
      </c>
      <c r="F8274" s="12">
        <v>0</v>
      </c>
    </row>
    <row r="8275" spans="3:6">
      <c r="C8275" s="12"/>
      <c r="D8275" s="12"/>
      <c r="E8275" t="b">
        <f t="shared" si="129"/>
        <v>1</v>
      </c>
      <c r="F8275" s="12">
        <v>0</v>
      </c>
    </row>
    <row r="8276" spans="3:6">
      <c r="C8276" s="12"/>
      <c r="D8276" s="12"/>
      <c r="E8276" t="b">
        <f t="shared" si="129"/>
        <v>1</v>
      </c>
      <c r="F8276" s="12">
        <v>0</v>
      </c>
    </row>
    <row r="8277" spans="3:6">
      <c r="C8277" s="12"/>
      <c r="D8277" s="12"/>
      <c r="E8277" t="b">
        <f t="shared" si="129"/>
        <v>1</v>
      </c>
      <c r="F8277" s="12">
        <v>0</v>
      </c>
    </row>
    <row r="8278" spans="3:6">
      <c r="C8278" s="12"/>
      <c r="D8278" s="12"/>
      <c r="E8278" t="b">
        <f t="shared" si="129"/>
        <v>1</v>
      </c>
      <c r="F8278" s="12">
        <v>0</v>
      </c>
    </row>
    <row r="8279" spans="3:6">
      <c r="C8279" s="12"/>
      <c r="D8279" s="12"/>
      <c r="E8279" t="b">
        <f t="shared" si="129"/>
        <v>1</v>
      </c>
      <c r="F8279" s="12">
        <v>0</v>
      </c>
    </row>
    <row r="8280" spans="3:6">
      <c r="C8280" s="12"/>
      <c r="D8280" s="12"/>
      <c r="E8280" t="b">
        <f t="shared" si="129"/>
        <v>1</v>
      </c>
      <c r="F8280" s="12">
        <v>0</v>
      </c>
    </row>
    <row r="8281" spans="3:6">
      <c r="C8281" s="12"/>
      <c r="D8281" s="12"/>
      <c r="E8281" t="b">
        <f t="shared" si="129"/>
        <v>1</v>
      </c>
      <c r="F8281" s="12">
        <v>0</v>
      </c>
    </row>
    <row r="8282" spans="3:6">
      <c r="C8282" s="12"/>
      <c r="D8282" s="12"/>
      <c r="E8282" t="b">
        <f t="shared" si="129"/>
        <v>1</v>
      </c>
      <c r="F8282" s="12">
        <v>0</v>
      </c>
    </row>
    <row r="8283" spans="3:6">
      <c r="C8283" s="12"/>
      <c r="D8283" s="12"/>
      <c r="E8283" t="b">
        <f t="shared" si="129"/>
        <v>1</v>
      </c>
      <c r="F8283" s="12">
        <v>0</v>
      </c>
    </row>
    <row r="8284" spans="3:6">
      <c r="C8284" s="12"/>
      <c r="D8284" s="12"/>
      <c r="E8284" t="b">
        <f t="shared" si="129"/>
        <v>1</v>
      </c>
      <c r="F8284" s="12">
        <v>0</v>
      </c>
    </row>
    <row r="8285" spans="3:6">
      <c r="C8285" s="12"/>
      <c r="D8285" s="12"/>
      <c r="E8285" t="b">
        <f t="shared" si="129"/>
        <v>1</v>
      </c>
      <c r="F8285" s="12">
        <v>0</v>
      </c>
    </row>
    <row r="8286" spans="3:6">
      <c r="C8286" s="12"/>
      <c r="D8286" s="12"/>
      <c r="E8286" t="b">
        <f t="shared" si="129"/>
        <v>1</v>
      </c>
      <c r="F8286" s="12">
        <v>0</v>
      </c>
    </row>
    <row r="8287" spans="3:6">
      <c r="C8287" s="12"/>
      <c r="D8287" s="12"/>
      <c r="E8287" t="b">
        <f t="shared" si="129"/>
        <v>1</v>
      </c>
      <c r="F8287" s="12">
        <v>0</v>
      </c>
    </row>
    <row r="8288" spans="3:6">
      <c r="C8288" s="12"/>
      <c r="D8288" s="12"/>
      <c r="E8288" t="b">
        <f t="shared" si="129"/>
        <v>1</v>
      </c>
      <c r="F8288" s="12">
        <v>0</v>
      </c>
    </row>
    <row r="8289" spans="3:6">
      <c r="C8289" s="12"/>
      <c r="D8289" s="12"/>
      <c r="E8289" t="b">
        <f t="shared" si="129"/>
        <v>1</v>
      </c>
      <c r="F8289" s="12">
        <v>0</v>
      </c>
    </row>
    <row r="8290" spans="3:6">
      <c r="C8290" s="12"/>
      <c r="D8290" s="12"/>
      <c r="E8290" t="b">
        <f t="shared" si="129"/>
        <v>1</v>
      </c>
      <c r="F8290" s="12">
        <v>0</v>
      </c>
    </row>
    <row r="8291" spans="3:6">
      <c r="C8291" s="12"/>
      <c r="D8291" s="12"/>
      <c r="E8291" t="b">
        <f t="shared" si="129"/>
        <v>1</v>
      </c>
      <c r="F8291" s="12">
        <v>0</v>
      </c>
    </row>
    <row r="8292" spans="3:6">
      <c r="C8292" s="12"/>
      <c r="D8292" s="12"/>
      <c r="E8292" t="b">
        <f t="shared" si="129"/>
        <v>1</v>
      </c>
      <c r="F8292" s="12">
        <v>0</v>
      </c>
    </row>
    <row r="8293" spans="3:6">
      <c r="C8293" s="12"/>
      <c r="D8293" s="12"/>
      <c r="E8293" t="b">
        <f t="shared" si="129"/>
        <v>1</v>
      </c>
      <c r="F8293" s="12">
        <v>0</v>
      </c>
    </row>
    <row r="8294" spans="3:6">
      <c r="C8294" s="12"/>
      <c r="D8294" s="12"/>
      <c r="E8294" t="b">
        <f t="shared" si="129"/>
        <v>1</v>
      </c>
      <c r="F8294" s="12">
        <v>0</v>
      </c>
    </row>
    <row r="8295" spans="3:6">
      <c r="C8295" s="12"/>
      <c r="D8295" s="12"/>
      <c r="E8295" t="b">
        <f t="shared" si="129"/>
        <v>1</v>
      </c>
      <c r="F8295" s="12">
        <v>0</v>
      </c>
    </row>
    <row r="8296" spans="3:6">
      <c r="C8296" s="12"/>
      <c r="D8296" s="12"/>
      <c r="E8296" t="b">
        <f t="shared" si="129"/>
        <v>1</v>
      </c>
      <c r="F8296" s="12">
        <v>0</v>
      </c>
    </row>
    <row r="8297" spans="3:6">
      <c r="C8297" s="12"/>
      <c r="D8297" s="12"/>
      <c r="E8297" t="b">
        <f t="shared" si="129"/>
        <v>1</v>
      </c>
      <c r="F8297" s="12">
        <v>0</v>
      </c>
    </row>
    <row r="8298" spans="3:6">
      <c r="C8298" s="12"/>
      <c r="D8298" s="12"/>
      <c r="E8298" t="b">
        <f t="shared" si="129"/>
        <v>1</v>
      </c>
      <c r="F8298" s="12">
        <v>0</v>
      </c>
    </row>
    <row r="8299" spans="3:6">
      <c r="C8299" s="12"/>
      <c r="D8299" s="12"/>
      <c r="E8299" t="b">
        <f t="shared" si="129"/>
        <v>1</v>
      </c>
      <c r="F8299" s="12">
        <v>0</v>
      </c>
    </row>
    <row r="8300" spans="3:6">
      <c r="C8300" s="12"/>
      <c r="D8300" s="12"/>
      <c r="E8300" t="b">
        <f t="shared" si="129"/>
        <v>1</v>
      </c>
      <c r="F8300" s="12">
        <v>0</v>
      </c>
    </row>
    <row r="8301" spans="3:6">
      <c r="C8301" s="12"/>
      <c r="D8301" s="12"/>
      <c r="E8301" t="b">
        <f t="shared" si="129"/>
        <v>1</v>
      </c>
      <c r="F8301" s="12">
        <v>0</v>
      </c>
    </row>
    <row r="8302" spans="3:6">
      <c r="C8302" s="12"/>
      <c r="D8302" s="12"/>
      <c r="E8302" t="b">
        <f t="shared" si="129"/>
        <v>1</v>
      </c>
      <c r="F8302" s="12">
        <v>0</v>
      </c>
    </row>
    <row r="8303" spans="3:6">
      <c r="C8303" s="12"/>
      <c r="D8303" s="12"/>
      <c r="E8303" t="b">
        <f t="shared" si="129"/>
        <v>1</v>
      </c>
      <c r="F8303" s="12">
        <v>0</v>
      </c>
    </row>
    <row r="8304" spans="3:6">
      <c r="C8304" s="12"/>
      <c r="D8304" s="12"/>
      <c r="E8304" t="b">
        <f t="shared" si="129"/>
        <v>1</v>
      </c>
      <c r="F8304" s="12">
        <v>0</v>
      </c>
    </row>
    <row r="8305" spans="3:6">
      <c r="C8305" s="12"/>
      <c r="D8305" s="12"/>
      <c r="E8305" t="b">
        <f t="shared" si="129"/>
        <v>1</v>
      </c>
      <c r="F8305" s="12">
        <v>0</v>
      </c>
    </row>
    <row r="8306" spans="3:6">
      <c r="C8306" s="12"/>
      <c r="D8306" s="12"/>
      <c r="E8306" t="b">
        <f t="shared" si="129"/>
        <v>1</v>
      </c>
      <c r="F8306" s="12">
        <v>0</v>
      </c>
    </row>
    <row r="8307" spans="3:6">
      <c r="C8307" s="12"/>
      <c r="D8307" s="12"/>
      <c r="E8307" t="b">
        <f t="shared" si="129"/>
        <v>1</v>
      </c>
      <c r="F8307" s="12">
        <v>0</v>
      </c>
    </row>
    <row r="8308" spans="3:6">
      <c r="C8308" s="12"/>
      <c r="D8308" s="12"/>
      <c r="E8308" t="b">
        <f t="shared" si="129"/>
        <v>1</v>
      </c>
      <c r="F8308" s="12">
        <v>0</v>
      </c>
    </row>
    <row r="8309" spans="3:6">
      <c r="C8309" s="12"/>
      <c r="D8309" s="12"/>
      <c r="E8309" t="b">
        <f t="shared" si="129"/>
        <v>1</v>
      </c>
      <c r="F8309" s="12">
        <v>0</v>
      </c>
    </row>
    <row r="8310" spans="3:6">
      <c r="C8310" s="12"/>
      <c r="D8310" s="12"/>
      <c r="E8310" t="b">
        <f t="shared" si="129"/>
        <v>1</v>
      </c>
      <c r="F8310" s="12">
        <v>0</v>
      </c>
    </row>
    <row r="8311" spans="3:6">
      <c r="C8311" s="12"/>
      <c r="D8311" s="12"/>
      <c r="E8311" t="b">
        <f t="shared" si="129"/>
        <v>1</v>
      </c>
      <c r="F8311" s="12">
        <v>0</v>
      </c>
    </row>
    <row r="8312" spans="3:6">
      <c r="C8312" s="12"/>
      <c r="D8312" s="12"/>
      <c r="E8312" t="b">
        <f t="shared" si="129"/>
        <v>1</v>
      </c>
      <c r="F8312" s="12">
        <v>0</v>
      </c>
    </row>
    <row r="8313" spans="3:6">
      <c r="C8313" s="12"/>
      <c r="D8313" s="12"/>
      <c r="E8313" t="b">
        <f t="shared" si="129"/>
        <v>1</v>
      </c>
      <c r="F8313" s="12">
        <v>0</v>
      </c>
    </row>
    <row r="8314" spans="3:6">
      <c r="C8314" s="12"/>
      <c r="D8314" s="12"/>
      <c r="E8314" t="b">
        <f t="shared" si="129"/>
        <v>1</v>
      </c>
      <c r="F8314" s="12">
        <v>0</v>
      </c>
    </row>
    <row r="8315" spans="3:6">
      <c r="C8315" s="12"/>
      <c r="D8315" s="12"/>
      <c r="E8315" t="b">
        <f t="shared" si="129"/>
        <v>1</v>
      </c>
      <c r="F8315" s="12">
        <v>0</v>
      </c>
    </row>
    <row r="8316" spans="3:6">
      <c r="C8316" s="12"/>
      <c r="D8316" s="12"/>
      <c r="E8316" t="b">
        <f t="shared" si="129"/>
        <v>1</v>
      </c>
      <c r="F8316" s="12">
        <v>0</v>
      </c>
    </row>
    <row r="8317" spans="3:6">
      <c r="C8317" s="12"/>
      <c r="D8317" s="12"/>
      <c r="E8317" t="b">
        <f t="shared" si="129"/>
        <v>1</v>
      </c>
      <c r="F8317" s="12">
        <v>0</v>
      </c>
    </row>
    <row r="8318" spans="3:6">
      <c r="C8318" s="12"/>
      <c r="D8318" s="12"/>
      <c r="E8318" t="b">
        <f t="shared" si="129"/>
        <v>1</v>
      </c>
      <c r="F8318" s="12">
        <v>0</v>
      </c>
    </row>
    <row r="8319" spans="3:6">
      <c r="C8319" s="12"/>
      <c r="D8319" s="12"/>
      <c r="E8319" t="b">
        <f t="shared" si="129"/>
        <v>1</v>
      </c>
      <c r="F8319" s="12">
        <v>0</v>
      </c>
    </row>
    <row r="8320" spans="3:6">
      <c r="C8320" s="12"/>
      <c r="D8320" s="12"/>
      <c r="E8320" t="b">
        <f t="shared" si="129"/>
        <v>1</v>
      </c>
      <c r="F8320" s="12">
        <v>0</v>
      </c>
    </row>
    <row r="8321" spans="3:6">
      <c r="C8321" s="12"/>
      <c r="D8321" s="12"/>
      <c r="E8321" t="b">
        <f t="shared" si="129"/>
        <v>1</v>
      </c>
      <c r="F8321" s="12">
        <v>0</v>
      </c>
    </row>
    <row r="8322" spans="3:6">
      <c r="C8322" s="12"/>
      <c r="D8322" s="12"/>
      <c r="E8322" t="b">
        <f t="shared" si="129"/>
        <v>1</v>
      </c>
      <c r="F8322" s="12">
        <v>0</v>
      </c>
    </row>
    <row r="8323" spans="3:6">
      <c r="C8323" s="12"/>
      <c r="D8323" s="12"/>
      <c r="E8323" t="b">
        <f t="shared" ref="E8323:E8386" si="130">F8323=C8323</f>
        <v>1</v>
      </c>
      <c r="F8323" s="12">
        <v>0</v>
      </c>
    </row>
    <row r="8324" spans="3:6">
      <c r="C8324" s="12"/>
      <c r="D8324" s="12"/>
      <c r="E8324" t="b">
        <f t="shared" si="130"/>
        <v>1</v>
      </c>
      <c r="F8324" s="12">
        <v>0</v>
      </c>
    </row>
    <row r="8325" spans="3:6">
      <c r="C8325" s="12"/>
      <c r="D8325" s="12"/>
      <c r="E8325" t="b">
        <f t="shared" si="130"/>
        <v>1</v>
      </c>
      <c r="F8325" s="12">
        <v>0</v>
      </c>
    </row>
    <row r="8326" spans="3:6">
      <c r="C8326" s="12"/>
      <c r="D8326" s="12"/>
      <c r="E8326" t="b">
        <f t="shared" si="130"/>
        <v>1</v>
      </c>
      <c r="F8326" s="12">
        <v>0</v>
      </c>
    </row>
    <row r="8327" spans="3:6">
      <c r="C8327" s="12"/>
      <c r="D8327" s="12"/>
      <c r="E8327" t="b">
        <f t="shared" si="130"/>
        <v>1</v>
      </c>
      <c r="F8327" s="12">
        <v>0</v>
      </c>
    </row>
    <row r="8328" spans="3:6">
      <c r="C8328" s="12"/>
      <c r="D8328" s="12"/>
      <c r="E8328" t="b">
        <f t="shared" si="130"/>
        <v>1</v>
      </c>
      <c r="F8328" s="12">
        <v>0</v>
      </c>
    </row>
    <row r="8329" spans="3:6">
      <c r="C8329" s="12"/>
      <c r="D8329" s="12"/>
      <c r="E8329" t="b">
        <f t="shared" si="130"/>
        <v>1</v>
      </c>
      <c r="F8329" s="12">
        <v>0</v>
      </c>
    </row>
    <row r="8330" spans="3:6">
      <c r="C8330" s="12"/>
      <c r="D8330" s="12"/>
      <c r="E8330" t="b">
        <f t="shared" si="130"/>
        <v>1</v>
      </c>
      <c r="F8330" s="12">
        <v>0</v>
      </c>
    </row>
    <row r="8331" spans="3:6">
      <c r="C8331" s="12"/>
      <c r="D8331" s="12"/>
      <c r="E8331" t="b">
        <f t="shared" si="130"/>
        <v>1</v>
      </c>
      <c r="F8331" s="12">
        <v>0</v>
      </c>
    </row>
    <row r="8332" spans="3:6">
      <c r="C8332" s="12"/>
      <c r="D8332" s="12"/>
      <c r="E8332" t="b">
        <f t="shared" si="130"/>
        <v>1</v>
      </c>
      <c r="F8332" s="12">
        <v>0</v>
      </c>
    </row>
    <row r="8333" spans="3:6">
      <c r="C8333" s="12"/>
      <c r="D8333" s="12"/>
      <c r="E8333" t="b">
        <f t="shared" si="130"/>
        <v>1</v>
      </c>
      <c r="F8333" s="12">
        <v>0</v>
      </c>
    </row>
    <row r="8334" spans="3:6">
      <c r="C8334" s="12"/>
      <c r="D8334" s="12"/>
      <c r="E8334" t="b">
        <f t="shared" si="130"/>
        <v>1</v>
      </c>
      <c r="F8334" s="12">
        <v>0</v>
      </c>
    </row>
    <row r="8335" spans="3:6">
      <c r="C8335" s="12"/>
      <c r="D8335" s="12"/>
      <c r="E8335" t="b">
        <f t="shared" si="130"/>
        <v>1</v>
      </c>
      <c r="F8335" s="12">
        <v>0</v>
      </c>
    </row>
    <row r="8336" spans="3:6">
      <c r="C8336" s="12"/>
      <c r="D8336" s="12"/>
      <c r="E8336" t="b">
        <f t="shared" si="130"/>
        <v>1</v>
      </c>
      <c r="F8336" s="12">
        <v>0</v>
      </c>
    </row>
    <row r="8337" spans="3:6">
      <c r="C8337" s="12"/>
      <c r="D8337" s="12"/>
      <c r="E8337" t="b">
        <f t="shared" si="130"/>
        <v>1</v>
      </c>
      <c r="F8337" s="12">
        <v>0</v>
      </c>
    </row>
    <row r="8338" spans="3:6">
      <c r="C8338" s="12"/>
      <c r="D8338" s="12"/>
      <c r="E8338" t="b">
        <f t="shared" si="130"/>
        <v>1</v>
      </c>
      <c r="F8338" s="12">
        <v>0</v>
      </c>
    </row>
    <row r="8339" spans="3:6">
      <c r="C8339" s="12"/>
      <c r="D8339" s="12"/>
      <c r="E8339" t="b">
        <f t="shared" si="130"/>
        <v>1</v>
      </c>
      <c r="F8339" s="12">
        <v>0</v>
      </c>
    </row>
    <row r="8340" spans="3:6">
      <c r="C8340" s="12"/>
      <c r="D8340" s="12"/>
      <c r="E8340" t="b">
        <f t="shared" si="130"/>
        <v>1</v>
      </c>
      <c r="F8340" s="12">
        <v>0</v>
      </c>
    </row>
    <row r="8341" spans="3:6">
      <c r="C8341" s="12"/>
      <c r="D8341" s="12"/>
      <c r="E8341" t="b">
        <f t="shared" si="130"/>
        <v>1</v>
      </c>
      <c r="F8341" s="12">
        <v>0</v>
      </c>
    </row>
    <row r="8342" spans="3:6">
      <c r="C8342" s="12"/>
      <c r="D8342" s="12"/>
      <c r="E8342" t="b">
        <f t="shared" si="130"/>
        <v>1</v>
      </c>
      <c r="F8342" s="12">
        <v>0</v>
      </c>
    </row>
    <row r="8343" spans="3:6">
      <c r="C8343" s="12"/>
      <c r="D8343" s="12"/>
      <c r="E8343" t="b">
        <f t="shared" si="130"/>
        <v>1</v>
      </c>
      <c r="F8343" s="12">
        <v>0</v>
      </c>
    </row>
    <row r="8344" spans="3:6">
      <c r="C8344" s="12"/>
      <c r="D8344" s="12"/>
      <c r="E8344" t="b">
        <f t="shared" si="130"/>
        <v>1</v>
      </c>
      <c r="F8344" s="12">
        <v>0</v>
      </c>
    </row>
    <row r="8345" spans="3:6">
      <c r="C8345" s="12"/>
      <c r="D8345" s="12"/>
      <c r="E8345" t="b">
        <f t="shared" si="130"/>
        <v>1</v>
      </c>
      <c r="F8345" s="12">
        <v>0</v>
      </c>
    </row>
    <row r="8346" spans="3:6">
      <c r="C8346" s="12"/>
      <c r="D8346" s="12"/>
      <c r="E8346" t="b">
        <f t="shared" si="130"/>
        <v>1</v>
      </c>
      <c r="F8346" s="12">
        <v>0</v>
      </c>
    </row>
    <row r="8347" spans="3:6">
      <c r="C8347" s="12"/>
      <c r="D8347" s="12"/>
      <c r="E8347" t="b">
        <f t="shared" si="130"/>
        <v>1</v>
      </c>
      <c r="F8347" s="12">
        <v>0</v>
      </c>
    </row>
    <row r="8348" spans="3:6">
      <c r="C8348" s="12"/>
      <c r="D8348" s="12"/>
      <c r="E8348" t="b">
        <f t="shared" si="130"/>
        <v>1</v>
      </c>
      <c r="F8348" s="12">
        <v>0</v>
      </c>
    </row>
    <row r="8349" spans="3:6">
      <c r="C8349" s="12"/>
      <c r="D8349" s="12"/>
      <c r="E8349" t="b">
        <f t="shared" si="130"/>
        <v>1</v>
      </c>
      <c r="F8349" s="12">
        <v>0</v>
      </c>
    </row>
    <row r="8350" spans="3:6">
      <c r="C8350" s="12"/>
      <c r="D8350" s="12"/>
      <c r="E8350" t="b">
        <f t="shared" si="130"/>
        <v>1</v>
      </c>
      <c r="F8350" s="12">
        <v>0</v>
      </c>
    </row>
    <row r="8351" spans="3:6">
      <c r="C8351" s="12"/>
      <c r="D8351" s="12"/>
      <c r="E8351" t="b">
        <f t="shared" si="130"/>
        <v>1</v>
      </c>
      <c r="F8351" s="12">
        <v>0</v>
      </c>
    </row>
    <row r="8352" spans="3:6">
      <c r="C8352" s="12"/>
      <c r="D8352" s="12"/>
      <c r="E8352" t="b">
        <f t="shared" si="130"/>
        <v>1</v>
      </c>
      <c r="F8352" s="12">
        <v>0</v>
      </c>
    </row>
    <row r="8353" spans="3:6">
      <c r="C8353" s="12"/>
      <c r="D8353" s="12"/>
      <c r="E8353" t="b">
        <f t="shared" si="130"/>
        <v>1</v>
      </c>
      <c r="F8353" s="12">
        <v>0</v>
      </c>
    </row>
    <row r="8354" spans="3:6">
      <c r="C8354" s="12"/>
      <c r="D8354" s="12"/>
      <c r="E8354" t="b">
        <f t="shared" si="130"/>
        <v>1</v>
      </c>
      <c r="F8354" s="12">
        <v>0</v>
      </c>
    </row>
    <row r="8355" spans="3:6">
      <c r="C8355" s="12"/>
      <c r="D8355" s="12"/>
      <c r="E8355" t="b">
        <f t="shared" si="130"/>
        <v>1</v>
      </c>
      <c r="F8355" s="12">
        <v>0</v>
      </c>
    </row>
    <row r="8356" spans="3:6">
      <c r="C8356" s="12"/>
      <c r="D8356" s="12"/>
      <c r="E8356" t="b">
        <f t="shared" si="130"/>
        <v>1</v>
      </c>
      <c r="F8356" s="12">
        <v>0</v>
      </c>
    </row>
    <row r="8357" spans="3:6">
      <c r="C8357" s="12"/>
      <c r="D8357" s="12"/>
      <c r="E8357" t="b">
        <f t="shared" si="130"/>
        <v>1</v>
      </c>
      <c r="F8357" s="12">
        <v>0</v>
      </c>
    </row>
    <row r="8358" spans="3:6">
      <c r="C8358" s="12"/>
      <c r="D8358" s="12"/>
      <c r="E8358" t="b">
        <f t="shared" si="130"/>
        <v>1</v>
      </c>
      <c r="F8358" s="12">
        <v>0</v>
      </c>
    </row>
    <row r="8359" spans="3:6">
      <c r="C8359" s="12"/>
      <c r="D8359" s="12"/>
      <c r="E8359" t="b">
        <f t="shared" si="130"/>
        <v>1</v>
      </c>
      <c r="F8359" s="12">
        <v>0</v>
      </c>
    </row>
    <row r="8360" spans="3:6">
      <c r="C8360" s="12"/>
      <c r="D8360" s="12"/>
      <c r="E8360" t="b">
        <f t="shared" si="130"/>
        <v>1</v>
      </c>
      <c r="F8360" s="12">
        <v>0</v>
      </c>
    </row>
    <row r="8361" spans="3:6">
      <c r="C8361" s="12"/>
      <c r="D8361" s="12"/>
      <c r="E8361" t="b">
        <f t="shared" si="130"/>
        <v>1</v>
      </c>
      <c r="F8361" s="12">
        <v>0</v>
      </c>
    </row>
    <row r="8362" spans="3:6">
      <c r="C8362" s="12"/>
      <c r="D8362" s="12"/>
      <c r="E8362" t="b">
        <f t="shared" si="130"/>
        <v>1</v>
      </c>
      <c r="F8362" s="12">
        <v>0</v>
      </c>
    </row>
    <row r="8363" spans="3:6">
      <c r="C8363" s="12"/>
      <c r="D8363" s="12"/>
      <c r="E8363" t="b">
        <f t="shared" si="130"/>
        <v>1</v>
      </c>
      <c r="F8363" s="12">
        <v>0</v>
      </c>
    </row>
    <row r="8364" spans="3:6">
      <c r="C8364" s="12"/>
      <c r="D8364" s="12"/>
      <c r="E8364" t="b">
        <f t="shared" si="130"/>
        <v>1</v>
      </c>
      <c r="F8364" s="12">
        <v>0</v>
      </c>
    </row>
    <row r="8365" spans="3:6">
      <c r="C8365" s="12"/>
      <c r="D8365" s="12"/>
      <c r="E8365" t="b">
        <f t="shared" si="130"/>
        <v>1</v>
      </c>
      <c r="F8365" s="12">
        <v>0</v>
      </c>
    </row>
    <row r="8366" spans="3:6">
      <c r="C8366" s="12"/>
      <c r="D8366" s="12"/>
      <c r="E8366" t="b">
        <f t="shared" si="130"/>
        <v>1</v>
      </c>
      <c r="F8366" s="12">
        <v>0</v>
      </c>
    </row>
    <row r="8367" spans="3:6">
      <c r="C8367" s="12"/>
      <c r="D8367" s="12"/>
      <c r="E8367" t="b">
        <f t="shared" si="130"/>
        <v>1</v>
      </c>
      <c r="F8367" s="12">
        <v>0</v>
      </c>
    </row>
    <row r="8368" spans="3:6">
      <c r="C8368" s="12"/>
      <c r="D8368" s="12"/>
      <c r="E8368" t="b">
        <f t="shared" si="130"/>
        <v>1</v>
      </c>
      <c r="F8368" s="12">
        <v>0</v>
      </c>
    </row>
    <row r="8369" spans="3:6">
      <c r="C8369" s="12"/>
      <c r="D8369" s="12"/>
      <c r="E8369" t="b">
        <f t="shared" si="130"/>
        <v>1</v>
      </c>
      <c r="F8369" s="12">
        <v>0</v>
      </c>
    </row>
    <row r="8370" spans="3:6">
      <c r="C8370" s="12"/>
      <c r="D8370" s="12"/>
      <c r="E8370" t="b">
        <f t="shared" si="130"/>
        <v>1</v>
      </c>
      <c r="F8370" s="12">
        <v>0</v>
      </c>
    </row>
    <row r="8371" spans="3:6">
      <c r="C8371" s="12"/>
      <c r="D8371" s="12"/>
      <c r="E8371" t="b">
        <f t="shared" si="130"/>
        <v>1</v>
      </c>
      <c r="F8371" s="12">
        <v>0</v>
      </c>
    </row>
    <row r="8372" spans="3:6">
      <c r="C8372" s="12"/>
      <c r="D8372" s="12"/>
      <c r="E8372" t="b">
        <f t="shared" si="130"/>
        <v>1</v>
      </c>
      <c r="F8372" s="12">
        <v>0</v>
      </c>
    </row>
    <row r="8373" spans="3:6">
      <c r="C8373" s="12"/>
      <c r="D8373" s="12"/>
      <c r="E8373" t="b">
        <f t="shared" si="130"/>
        <v>1</v>
      </c>
      <c r="F8373" s="12">
        <v>0</v>
      </c>
    </row>
    <row r="8374" spans="3:6">
      <c r="C8374" s="12"/>
      <c r="D8374" s="12"/>
      <c r="E8374" t="b">
        <f t="shared" si="130"/>
        <v>1</v>
      </c>
      <c r="F8374" s="12">
        <v>0</v>
      </c>
    </row>
    <row r="8375" spans="3:6">
      <c r="C8375" s="12"/>
      <c r="D8375" s="12"/>
      <c r="E8375" t="b">
        <f t="shared" si="130"/>
        <v>1</v>
      </c>
      <c r="F8375" s="12">
        <v>0</v>
      </c>
    </row>
    <row r="8376" spans="3:6">
      <c r="C8376" s="12"/>
      <c r="D8376" s="12"/>
      <c r="E8376" t="b">
        <f t="shared" si="130"/>
        <v>1</v>
      </c>
      <c r="F8376" s="12">
        <v>0</v>
      </c>
    </row>
    <row r="8377" spans="3:6">
      <c r="C8377" s="12"/>
      <c r="D8377" s="12"/>
      <c r="E8377" t="b">
        <f t="shared" si="130"/>
        <v>1</v>
      </c>
      <c r="F8377" s="12">
        <v>0</v>
      </c>
    </row>
    <row r="8378" spans="3:6">
      <c r="C8378" s="12"/>
      <c r="D8378" s="12"/>
      <c r="E8378" t="b">
        <f t="shared" si="130"/>
        <v>1</v>
      </c>
      <c r="F8378" s="12">
        <v>0</v>
      </c>
    </row>
    <row r="8379" spans="3:6">
      <c r="C8379" s="12"/>
      <c r="D8379" s="12"/>
      <c r="E8379" t="b">
        <f t="shared" si="130"/>
        <v>1</v>
      </c>
      <c r="F8379" s="12">
        <v>0</v>
      </c>
    </row>
    <row r="8380" spans="3:6">
      <c r="C8380" s="12"/>
      <c r="D8380" s="12"/>
      <c r="E8380" t="b">
        <f t="shared" si="130"/>
        <v>1</v>
      </c>
      <c r="F8380" s="12">
        <v>0</v>
      </c>
    </row>
    <row r="8381" spans="3:6">
      <c r="C8381" s="12"/>
      <c r="D8381" s="12"/>
      <c r="E8381" t="b">
        <f t="shared" si="130"/>
        <v>1</v>
      </c>
      <c r="F8381" s="12">
        <v>0</v>
      </c>
    </row>
    <row r="8382" spans="3:6">
      <c r="C8382" s="12"/>
      <c r="D8382" s="12"/>
      <c r="E8382" t="b">
        <f t="shared" si="130"/>
        <v>1</v>
      </c>
      <c r="F8382" s="12">
        <v>0</v>
      </c>
    </row>
    <row r="8383" spans="3:6">
      <c r="C8383" s="12"/>
      <c r="D8383" s="12"/>
      <c r="E8383" t="b">
        <f t="shared" si="130"/>
        <v>1</v>
      </c>
      <c r="F8383" s="12">
        <v>0</v>
      </c>
    </row>
    <row r="8384" spans="3:6">
      <c r="C8384" s="12"/>
      <c r="D8384" s="12"/>
      <c r="E8384" t="b">
        <f t="shared" si="130"/>
        <v>1</v>
      </c>
      <c r="F8384" s="12">
        <v>0</v>
      </c>
    </row>
    <row r="8385" spans="3:6">
      <c r="C8385" s="12"/>
      <c r="D8385" s="12"/>
      <c r="E8385" t="b">
        <f t="shared" si="130"/>
        <v>1</v>
      </c>
      <c r="F8385" s="12">
        <v>0</v>
      </c>
    </row>
    <row r="8386" spans="3:6">
      <c r="C8386" s="12"/>
      <c r="D8386" s="12"/>
      <c r="E8386" t="b">
        <f t="shared" si="130"/>
        <v>1</v>
      </c>
      <c r="F8386" s="12">
        <v>0</v>
      </c>
    </row>
    <row r="8387" spans="3:6">
      <c r="C8387" s="12"/>
      <c r="D8387" s="12"/>
      <c r="E8387" t="b">
        <f t="shared" ref="E8387:E8450" si="131">F8387=C8387</f>
        <v>1</v>
      </c>
      <c r="F8387" s="12">
        <v>0</v>
      </c>
    </row>
    <row r="8388" spans="3:6">
      <c r="C8388" s="12"/>
      <c r="D8388" s="12"/>
      <c r="E8388" t="b">
        <f t="shared" si="131"/>
        <v>1</v>
      </c>
      <c r="F8388" s="12">
        <v>0</v>
      </c>
    </row>
    <row r="8389" spans="3:6">
      <c r="C8389" s="12"/>
      <c r="D8389" s="12"/>
      <c r="E8389" t="b">
        <f t="shared" si="131"/>
        <v>1</v>
      </c>
      <c r="F8389" s="12">
        <v>0</v>
      </c>
    </row>
    <row r="8390" spans="3:6">
      <c r="C8390" s="12"/>
      <c r="D8390" s="12"/>
      <c r="E8390" t="b">
        <f t="shared" si="131"/>
        <v>1</v>
      </c>
      <c r="F8390" s="12">
        <v>0</v>
      </c>
    </row>
    <row r="8391" spans="3:6">
      <c r="C8391" s="12"/>
      <c r="D8391" s="12"/>
      <c r="E8391" t="b">
        <f t="shared" si="131"/>
        <v>1</v>
      </c>
      <c r="F8391" s="12">
        <v>0</v>
      </c>
    </row>
    <row r="8392" spans="3:6">
      <c r="C8392" s="12"/>
      <c r="D8392" s="12"/>
      <c r="E8392" t="b">
        <f t="shared" si="131"/>
        <v>1</v>
      </c>
      <c r="F8392" s="12">
        <v>0</v>
      </c>
    </row>
    <row r="8393" spans="3:6">
      <c r="C8393" s="12"/>
      <c r="D8393" s="12"/>
      <c r="E8393" t="b">
        <f t="shared" si="131"/>
        <v>1</v>
      </c>
      <c r="F8393" s="12">
        <v>0</v>
      </c>
    </row>
    <row r="8394" spans="3:6">
      <c r="C8394" s="12"/>
      <c r="D8394" s="12"/>
      <c r="E8394" t="b">
        <f t="shared" si="131"/>
        <v>1</v>
      </c>
      <c r="F8394" s="12">
        <v>0</v>
      </c>
    </row>
    <row r="8395" spans="3:6">
      <c r="C8395" s="12"/>
      <c r="D8395" s="12"/>
      <c r="E8395" t="b">
        <f t="shared" si="131"/>
        <v>1</v>
      </c>
      <c r="F8395" s="12">
        <v>0</v>
      </c>
    </row>
    <row r="8396" spans="3:6">
      <c r="C8396" s="12"/>
      <c r="D8396" s="12"/>
      <c r="E8396" t="b">
        <f t="shared" si="131"/>
        <v>1</v>
      </c>
      <c r="F8396" s="12">
        <v>0</v>
      </c>
    </row>
    <row r="8397" spans="3:6">
      <c r="C8397" s="12"/>
      <c r="D8397" s="12"/>
      <c r="E8397" t="b">
        <f t="shared" si="131"/>
        <v>1</v>
      </c>
      <c r="F8397" s="12">
        <v>0</v>
      </c>
    </row>
    <row r="8398" spans="3:6">
      <c r="C8398" s="12"/>
      <c r="D8398" s="12"/>
      <c r="E8398" t="b">
        <f t="shared" si="131"/>
        <v>1</v>
      </c>
      <c r="F8398" s="12">
        <v>0</v>
      </c>
    </row>
    <row r="8399" spans="3:6">
      <c r="C8399" s="12"/>
      <c r="D8399" s="12"/>
      <c r="E8399" t="b">
        <f t="shared" si="131"/>
        <v>1</v>
      </c>
      <c r="F8399" s="12">
        <v>0</v>
      </c>
    </row>
    <row r="8400" spans="3:6">
      <c r="C8400" s="12"/>
      <c r="D8400" s="12"/>
      <c r="E8400" t="b">
        <f t="shared" si="131"/>
        <v>1</v>
      </c>
      <c r="F8400" s="12">
        <v>0</v>
      </c>
    </row>
    <row r="8401" spans="3:6">
      <c r="C8401" s="12"/>
      <c r="D8401" s="12"/>
      <c r="E8401" t="b">
        <f t="shared" si="131"/>
        <v>1</v>
      </c>
      <c r="F8401" s="12">
        <v>0</v>
      </c>
    </row>
    <row r="8402" spans="3:6">
      <c r="C8402" s="12"/>
      <c r="D8402" s="12"/>
      <c r="E8402" t="b">
        <f t="shared" si="131"/>
        <v>1</v>
      </c>
      <c r="F8402" s="12">
        <v>0</v>
      </c>
    </row>
    <row r="8403" spans="3:6">
      <c r="C8403" s="12"/>
      <c r="D8403" s="12"/>
      <c r="E8403" t="b">
        <f t="shared" si="131"/>
        <v>1</v>
      </c>
      <c r="F8403" s="12">
        <v>0</v>
      </c>
    </row>
    <row r="8404" spans="3:6">
      <c r="C8404" s="12"/>
      <c r="D8404" s="12"/>
      <c r="E8404" t="b">
        <f t="shared" si="131"/>
        <v>1</v>
      </c>
      <c r="F8404" s="12">
        <v>0</v>
      </c>
    </row>
    <row r="8405" spans="3:6">
      <c r="C8405" s="12"/>
      <c r="D8405" s="12"/>
      <c r="E8405" t="b">
        <f t="shared" si="131"/>
        <v>1</v>
      </c>
      <c r="F8405" s="12">
        <v>0</v>
      </c>
    </row>
    <row r="8406" spans="3:6">
      <c r="C8406" s="12"/>
      <c r="D8406" s="12"/>
      <c r="E8406" t="b">
        <f t="shared" si="131"/>
        <v>1</v>
      </c>
      <c r="F8406" s="12">
        <v>0</v>
      </c>
    </row>
    <row r="8407" spans="3:6">
      <c r="C8407" s="12"/>
      <c r="D8407" s="12"/>
      <c r="E8407" t="b">
        <f t="shared" si="131"/>
        <v>1</v>
      </c>
      <c r="F8407" s="12">
        <v>0</v>
      </c>
    </row>
    <row r="8408" spans="3:6">
      <c r="C8408" s="12"/>
      <c r="D8408" s="12"/>
      <c r="E8408" t="b">
        <f t="shared" si="131"/>
        <v>1</v>
      </c>
      <c r="F8408" s="12">
        <v>0</v>
      </c>
    </row>
    <row r="8409" spans="3:6">
      <c r="C8409" s="12"/>
      <c r="D8409" s="12"/>
      <c r="E8409" t="b">
        <f t="shared" si="131"/>
        <v>1</v>
      </c>
      <c r="F8409" s="12">
        <v>0</v>
      </c>
    </row>
    <row r="8410" spans="3:6">
      <c r="C8410" s="12"/>
      <c r="D8410" s="12"/>
      <c r="E8410" t="b">
        <f t="shared" si="131"/>
        <v>1</v>
      </c>
      <c r="F8410" s="12">
        <v>0</v>
      </c>
    </row>
    <row r="8411" spans="3:6">
      <c r="C8411" s="12"/>
      <c r="D8411" s="12"/>
      <c r="E8411" t="b">
        <f t="shared" si="131"/>
        <v>1</v>
      </c>
      <c r="F8411" s="12">
        <v>0</v>
      </c>
    </row>
    <row r="8412" spans="3:6">
      <c r="C8412" s="12"/>
      <c r="D8412" s="12"/>
      <c r="E8412" t="b">
        <f t="shared" si="131"/>
        <v>1</v>
      </c>
      <c r="F8412" s="12">
        <v>0</v>
      </c>
    </row>
    <row r="8413" spans="3:6">
      <c r="C8413" s="12"/>
      <c r="D8413" s="12"/>
      <c r="E8413" t="b">
        <f t="shared" si="131"/>
        <v>1</v>
      </c>
      <c r="F8413" s="12">
        <v>0</v>
      </c>
    </row>
    <row r="8414" spans="3:6">
      <c r="C8414" s="12"/>
      <c r="D8414" s="12"/>
      <c r="E8414" t="b">
        <f t="shared" si="131"/>
        <v>1</v>
      </c>
      <c r="F8414" s="12">
        <v>0</v>
      </c>
    </row>
    <row r="8415" spans="3:6">
      <c r="C8415" s="12"/>
      <c r="D8415" s="12"/>
      <c r="E8415" t="b">
        <f t="shared" si="131"/>
        <v>1</v>
      </c>
      <c r="F8415" s="12">
        <v>0</v>
      </c>
    </row>
    <row r="8416" spans="3:6">
      <c r="C8416" s="12"/>
      <c r="D8416" s="12"/>
      <c r="E8416" t="b">
        <f t="shared" si="131"/>
        <v>1</v>
      </c>
      <c r="F8416" s="12">
        <v>0</v>
      </c>
    </row>
    <row r="8417" spans="3:6">
      <c r="C8417" s="12"/>
      <c r="D8417" s="12"/>
      <c r="E8417" t="b">
        <f t="shared" si="131"/>
        <v>1</v>
      </c>
      <c r="F8417" s="12">
        <v>0</v>
      </c>
    </row>
    <row r="8418" spans="3:6">
      <c r="C8418" s="12"/>
      <c r="D8418" s="12"/>
      <c r="E8418" t="b">
        <f t="shared" si="131"/>
        <v>1</v>
      </c>
      <c r="F8418" s="12">
        <v>0</v>
      </c>
    </row>
    <row r="8419" spans="3:6">
      <c r="C8419" s="12"/>
      <c r="D8419" s="12"/>
      <c r="E8419" t="b">
        <f t="shared" si="131"/>
        <v>1</v>
      </c>
      <c r="F8419" s="12">
        <v>0</v>
      </c>
    </row>
    <row r="8420" spans="3:6">
      <c r="C8420" s="12"/>
      <c r="D8420" s="12"/>
      <c r="E8420" t="b">
        <f t="shared" si="131"/>
        <v>1</v>
      </c>
      <c r="F8420" s="12">
        <v>0</v>
      </c>
    </row>
    <row r="8421" spans="3:6">
      <c r="C8421" s="12"/>
      <c r="D8421" s="12"/>
      <c r="E8421" t="b">
        <f t="shared" si="131"/>
        <v>1</v>
      </c>
      <c r="F8421" s="12">
        <v>0</v>
      </c>
    </row>
    <row r="8422" spans="3:6">
      <c r="C8422" s="12"/>
      <c r="D8422" s="12"/>
      <c r="E8422" t="b">
        <f t="shared" si="131"/>
        <v>1</v>
      </c>
      <c r="F8422" s="12">
        <v>0</v>
      </c>
    </row>
    <row r="8423" spans="3:6">
      <c r="C8423" s="12"/>
      <c r="D8423" s="12"/>
      <c r="E8423" t="b">
        <f t="shared" si="131"/>
        <v>1</v>
      </c>
      <c r="F8423" s="12">
        <v>0</v>
      </c>
    </row>
    <row r="8424" spans="3:6">
      <c r="C8424" s="12"/>
      <c r="D8424" s="12"/>
      <c r="E8424" t="b">
        <f t="shared" si="131"/>
        <v>1</v>
      </c>
      <c r="F8424" s="12">
        <v>0</v>
      </c>
    </row>
    <row r="8425" spans="3:6">
      <c r="C8425" s="12"/>
      <c r="D8425" s="12"/>
      <c r="E8425" t="b">
        <f t="shared" si="131"/>
        <v>1</v>
      </c>
      <c r="F8425" s="12">
        <v>0</v>
      </c>
    </row>
    <row r="8426" spans="3:6">
      <c r="C8426" s="12"/>
      <c r="D8426" s="12"/>
      <c r="E8426" t="b">
        <f t="shared" si="131"/>
        <v>1</v>
      </c>
      <c r="F8426" s="12">
        <v>0</v>
      </c>
    </row>
    <row r="8427" spans="3:6">
      <c r="C8427" s="12"/>
      <c r="D8427" s="12"/>
      <c r="E8427" t="b">
        <f t="shared" si="131"/>
        <v>1</v>
      </c>
      <c r="F8427" s="12">
        <v>0</v>
      </c>
    </row>
    <row r="8428" spans="3:6">
      <c r="C8428" s="12"/>
      <c r="D8428" s="12"/>
      <c r="E8428" t="b">
        <f t="shared" si="131"/>
        <v>1</v>
      </c>
      <c r="F8428" s="12">
        <v>0</v>
      </c>
    </row>
    <row r="8429" spans="3:6">
      <c r="C8429" s="12"/>
      <c r="D8429" s="12"/>
      <c r="E8429" t="b">
        <f t="shared" si="131"/>
        <v>1</v>
      </c>
      <c r="F8429" s="12">
        <v>0</v>
      </c>
    </row>
    <row r="8430" spans="3:6">
      <c r="C8430" s="12"/>
      <c r="D8430" s="12"/>
      <c r="E8430" t="b">
        <f t="shared" si="131"/>
        <v>1</v>
      </c>
      <c r="F8430" s="12">
        <v>0</v>
      </c>
    </row>
    <row r="8431" spans="3:6">
      <c r="C8431" s="12"/>
      <c r="D8431" s="12"/>
      <c r="E8431" t="b">
        <f t="shared" si="131"/>
        <v>1</v>
      </c>
      <c r="F8431" s="12">
        <v>0</v>
      </c>
    </row>
    <row r="8432" spans="3:6">
      <c r="C8432" s="12"/>
      <c r="D8432" s="12"/>
      <c r="E8432" t="b">
        <f t="shared" si="131"/>
        <v>1</v>
      </c>
      <c r="F8432" s="12">
        <v>0</v>
      </c>
    </row>
    <row r="8433" spans="3:6">
      <c r="C8433" s="12"/>
      <c r="D8433" s="12"/>
      <c r="E8433" t="b">
        <f t="shared" si="131"/>
        <v>1</v>
      </c>
      <c r="F8433" s="12">
        <v>0</v>
      </c>
    </row>
    <row r="8434" spans="3:6">
      <c r="C8434" s="12"/>
      <c r="D8434" s="12"/>
      <c r="E8434" t="b">
        <f t="shared" si="131"/>
        <v>1</v>
      </c>
      <c r="F8434" s="12">
        <v>0</v>
      </c>
    </row>
    <row r="8435" spans="3:6">
      <c r="C8435" s="12"/>
      <c r="D8435" s="12"/>
      <c r="E8435" t="b">
        <f t="shared" si="131"/>
        <v>1</v>
      </c>
      <c r="F8435" s="12">
        <v>0</v>
      </c>
    </row>
    <row r="8436" spans="3:6">
      <c r="C8436" s="12"/>
      <c r="D8436" s="12"/>
      <c r="E8436" t="b">
        <f t="shared" si="131"/>
        <v>1</v>
      </c>
      <c r="F8436" s="12">
        <v>0</v>
      </c>
    </row>
    <row r="8437" spans="3:6">
      <c r="C8437" s="12"/>
      <c r="D8437" s="12"/>
      <c r="E8437" t="b">
        <f t="shared" si="131"/>
        <v>1</v>
      </c>
      <c r="F8437" s="12">
        <v>0</v>
      </c>
    </row>
    <row r="8438" spans="3:6">
      <c r="C8438" s="12"/>
      <c r="D8438" s="12"/>
      <c r="E8438" t="b">
        <f t="shared" si="131"/>
        <v>1</v>
      </c>
      <c r="F8438" s="12">
        <v>0</v>
      </c>
    </row>
    <row r="8439" spans="3:6">
      <c r="C8439" s="12"/>
      <c r="D8439" s="12"/>
      <c r="E8439" t="b">
        <f t="shared" si="131"/>
        <v>1</v>
      </c>
      <c r="F8439" s="12">
        <v>0</v>
      </c>
    </row>
    <row r="8440" spans="3:6">
      <c r="C8440" s="12"/>
      <c r="D8440" s="12"/>
      <c r="E8440" t="b">
        <f t="shared" si="131"/>
        <v>1</v>
      </c>
      <c r="F8440" s="12">
        <v>0</v>
      </c>
    </row>
    <row r="8441" spans="3:6">
      <c r="C8441" s="12"/>
      <c r="D8441" s="12"/>
      <c r="E8441" t="b">
        <f t="shared" si="131"/>
        <v>1</v>
      </c>
      <c r="F8441" s="12">
        <v>0</v>
      </c>
    </row>
    <row r="8442" spans="3:6">
      <c r="C8442" s="12"/>
      <c r="D8442" s="12"/>
      <c r="E8442" t="b">
        <f t="shared" si="131"/>
        <v>1</v>
      </c>
      <c r="F8442" s="12">
        <v>0</v>
      </c>
    </row>
    <row r="8443" spans="3:6">
      <c r="C8443" s="12"/>
      <c r="D8443" s="12"/>
      <c r="E8443" t="b">
        <f t="shared" si="131"/>
        <v>1</v>
      </c>
      <c r="F8443" s="12">
        <v>0</v>
      </c>
    </row>
    <row r="8444" spans="3:6">
      <c r="C8444" s="12"/>
      <c r="D8444" s="12"/>
      <c r="E8444" t="b">
        <f t="shared" si="131"/>
        <v>1</v>
      </c>
      <c r="F8444" s="12">
        <v>0</v>
      </c>
    </row>
    <row r="8445" spans="3:6">
      <c r="C8445" s="12"/>
      <c r="D8445" s="12"/>
      <c r="E8445" t="b">
        <f t="shared" si="131"/>
        <v>1</v>
      </c>
      <c r="F8445" s="12">
        <v>0</v>
      </c>
    </row>
    <row r="8446" spans="3:6">
      <c r="C8446" s="12"/>
      <c r="D8446" s="12"/>
      <c r="E8446" t="b">
        <f t="shared" si="131"/>
        <v>1</v>
      </c>
      <c r="F8446" s="12">
        <v>0</v>
      </c>
    </row>
    <row r="8447" spans="3:6">
      <c r="C8447" s="12"/>
      <c r="D8447" s="12"/>
      <c r="E8447" t="b">
        <f t="shared" si="131"/>
        <v>1</v>
      </c>
      <c r="F8447" s="12">
        <v>0</v>
      </c>
    </row>
    <row r="8448" spans="3:6">
      <c r="C8448" s="12"/>
      <c r="D8448" s="12"/>
      <c r="E8448" t="b">
        <f t="shared" si="131"/>
        <v>1</v>
      </c>
      <c r="F8448" s="12">
        <v>0</v>
      </c>
    </row>
    <row r="8449" spans="3:6">
      <c r="C8449" s="12"/>
      <c r="D8449" s="12"/>
      <c r="E8449" t="b">
        <f t="shared" si="131"/>
        <v>1</v>
      </c>
      <c r="F8449" s="12">
        <v>0</v>
      </c>
    </row>
    <row r="8450" spans="3:6">
      <c r="C8450" s="12"/>
      <c r="D8450" s="12"/>
      <c r="E8450" t="b">
        <f t="shared" si="131"/>
        <v>1</v>
      </c>
      <c r="F8450" s="12">
        <v>0</v>
      </c>
    </row>
    <row r="8451" spans="3:6">
      <c r="C8451" s="12"/>
      <c r="D8451" s="12"/>
      <c r="E8451" t="b">
        <f t="shared" ref="E8451:E8514" si="132">F8451=C8451</f>
        <v>1</v>
      </c>
      <c r="F8451" s="12">
        <v>0</v>
      </c>
    </row>
    <row r="8452" spans="3:6">
      <c r="C8452" s="12"/>
      <c r="D8452" s="12"/>
      <c r="E8452" t="b">
        <f t="shared" si="132"/>
        <v>1</v>
      </c>
      <c r="F8452" s="12">
        <v>0</v>
      </c>
    </row>
    <row r="8453" spans="3:6">
      <c r="C8453" s="12"/>
      <c r="D8453" s="12"/>
      <c r="E8453" t="b">
        <f t="shared" si="132"/>
        <v>1</v>
      </c>
      <c r="F8453" s="12">
        <v>0</v>
      </c>
    </row>
    <row r="8454" spans="3:6">
      <c r="C8454" s="12"/>
      <c r="D8454" s="12"/>
      <c r="E8454" t="b">
        <f t="shared" si="132"/>
        <v>1</v>
      </c>
      <c r="F8454" s="12">
        <v>0</v>
      </c>
    </row>
    <row r="8455" spans="3:6">
      <c r="C8455" s="12"/>
      <c r="D8455" s="12"/>
      <c r="E8455" t="b">
        <f t="shared" si="132"/>
        <v>1</v>
      </c>
      <c r="F8455" s="12">
        <v>0</v>
      </c>
    </row>
    <row r="8456" spans="3:6">
      <c r="C8456" s="12"/>
      <c r="D8456" s="12"/>
      <c r="E8456" t="b">
        <f t="shared" si="132"/>
        <v>1</v>
      </c>
      <c r="F8456" s="12">
        <v>0</v>
      </c>
    </row>
    <row r="8457" spans="3:6">
      <c r="C8457" s="12"/>
      <c r="D8457" s="12"/>
      <c r="E8457" t="b">
        <f t="shared" si="132"/>
        <v>1</v>
      </c>
      <c r="F8457" s="12">
        <v>0</v>
      </c>
    </row>
    <row r="8458" spans="3:6">
      <c r="C8458" s="12"/>
      <c r="D8458" s="12"/>
      <c r="E8458" t="b">
        <f t="shared" si="132"/>
        <v>1</v>
      </c>
      <c r="F8458" s="12">
        <v>0</v>
      </c>
    </row>
    <row r="8459" spans="3:6">
      <c r="C8459" s="12"/>
      <c r="D8459" s="12"/>
      <c r="E8459" t="b">
        <f t="shared" si="132"/>
        <v>1</v>
      </c>
      <c r="F8459" s="12">
        <v>0</v>
      </c>
    </row>
    <row r="8460" spans="3:6">
      <c r="C8460" s="12"/>
      <c r="D8460" s="12"/>
      <c r="E8460" t="b">
        <f t="shared" si="132"/>
        <v>1</v>
      </c>
      <c r="F8460" s="12">
        <v>0</v>
      </c>
    </row>
    <row r="8461" spans="3:6">
      <c r="C8461" s="12"/>
      <c r="D8461" s="12"/>
      <c r="E8461" t="b">
        <f t="shared" si="132"/>
        <v>1</v>
      </c>
      <c r="F8461" s="12">
        <v>0</v>
      </c>
    </row>
    <row r="8462" spans="3:6">
      <c r="C8462" s="12"/>
      <c r="D8462" s="12"/>
      <c r="E8462" t="b">
        <f t="shared" si="132"/>
        <v>1</v>
      </c>
      <c r="F8462" s="12">
        <v>0</v>
      </c>
    </row>
    <row r="8463" spans="3:6">
      <c r="C8463" s="12"/>
      <c r="D8463" s="12"/>
      <c r="E8463" t="b">
        <f t="shared" si="132"/>
        <v>1</v>
      </c>
      <c r="F8463" s="12">
        <v>0</v>
      </c>
    </row>
    <row r="8464" spans="3:6">
      <c r="C8464" s="12"/>
      <c r="D8464" s="12"/>
      <c r="E8464" t="b">
        <f t="shared" si="132"/>
        <v>1</v>
      </c>
      <c r="F8464" s="12">
        <v>0</v>
      </c>
    </row>
    <row r="8465" spans="3:6">
      <c r="C8465" s="12"/>
      <c r="D8465" s="12"/>
      <c r="E8465" t="b">
        <f t="shared" si="132"/>
        <v>1</v>
      </c>
      <c r="F8465" s="12">
        <v>0</v>
      </c>
    </row>
    <row r="8466" spans="3:6">
      <c r="C8466" s="12"/>
      <c r="D8466" s="12"/>
      <c r="E8466" t="b">
        <f t="shared" si="132"/>
        <v>1</v>
      </c>
      <c r="F8466" s="12">
        <v>0</v>
      </c>
    </row>
    <row r="8467" spans="3:6">
      <c r="C8467" s="12"/>
      <c r="D8467" s="12"/>
      <c r="E8467" t="b">
        <f t="shared" si="132"/>
        <v>1</v>
      </c>
      <c r="F8467" s="12">
        <v>0</v>
      </c>
    </row>
    <row r="8468" spans="3:6">
      <c r="C8468" s="12"/>
      <c r="D8468" s="12"/>
      <c r="E8468" t="b">
        <f t="shared" si="132"/>
        <v>1</v>
      </c>
      <c r="F8468" s="12">
        <v>0</v>
      </c>
    </row>
    <row r="8469" spans="3:6">
      <c r="C8469" s="12"/>
      <c r="D8469" s="12"/>
      <c r="E8469" t="b">
        <f t="shared" si="132"/>
        <v>1</v>
      </c>
      <c r="F8469" s="12">
        <v>0</v>
      </c>
    </row>
    <row r="8470" spans="3:6">
      <c r="C8470" s="12"/>
      <c r="D8470" s="12"/>
      <c r="E8470" t="b">
        <f t="shared" si="132"/>
        <v>1</v>
      </c>
      <c r="F8470" s="12">
        <v>0</v>
      </c>
    </row>
    <row r="8471" spans="3:6">
      <c r="C8471" s="12"/>
      <c r="D8471" s="12"/>
      <c r="E8471" t="b">
        <f t="shared" si="132"/>
        <v>1</v>
      </c>
      <c r="F8471" s="12">
        <v>0</v>
      </c>
    </row>
    <row r="8472" spans="3:6">
      <c r="C8472" s="12"/>
      <c r="D8472" s="12"/>
      <c r="E8472" t="b">
        <f t="shared" si="132"/>
        <v>1</v>
      </c>
      <c r="F8472" s="12">
        <v>0</v>
      </c>
    </row>
    <row r="8473" spans="3:6">
      <c r="C8473" s="12"/>
      <c r="D8473" s="12"/>
      <c r="E8473" t="b">
        <f t="shared" si="132"/>
        <v>1</v>
      </c>
      <c r="F8473" s="12">
        <v>0</v>
      </c>
    </row>
    <row r="8474" spans="3:6">
      <c r="C8474" s="12"/>
      <c r="D8474" s="12"/>
      <c r="E8474" t="b">
        <f t="shared" si="132"/>
        <v>1</v>
      </c>
      <c r="F8474" s="12">
        <v>0</v>
      </c>
    </row>
    <row r="8475" spans="3:6">
      <c r="C8475" s="12"/>
      <c r="D8475" s="12"/>
      <c r="E8475" t="b">
        <f t="shared" si="132"/>
        <v>1</v>
      </c>
      <c r="F8475" s="12">
        <v>0</v>
      </c>
    </row>
    <row r="8476" spans="3:6">
      <c r="C8476" s="12"/>
      <c r="D8476" s="12"/>
      <c r="E8476" t="b">
        <f t="shared" si="132"/>
        <v>1</v>
      </c>
      <c r="F8476" s="12">
        <v>0</v>
      </c>
    </row>
    <row r="8477" spans="3:6">
      <c r="C8477" s="12"/>
      <c r="D8477" s="12"/>
      <c r="E8477" t="b">
        <f t="shared" si="132"/>
        <v>1</v>
      </c>
      <c r="F8477" s="12">
        <v>0</v>
      </c>
    </row>
    <row r="8478" spans="3:6">
      <c r="C8478" s="12"/>
      <c r="D8478" s="12"/>
      <c r="E8478" t="b">
        <f t="shared" si="132"/>
        <v>1</v>
      </c>
      <c r="F8478" s="12">
        <v>0</v>
      </c>
    </row>
    <row r="8479" spans="3:6">
      <c r="C8479" s="12"/>
      <c r="D8479" s="12"/>
      <c r="E8479" t="b">
        <f t="shared" si="132"/>
        <v>1</v>
      </c>
      <c r="F8479" s="12">
        <v>0</v>
      </c>
    </row>
    <row r="8480" spans="3:6">
      <c r="C8480" s="12"/>
      <c r="D8480" s="12"/>
      <c r="E8480" t="b">
        <f t="shared" si="132"/>
        <v>1</v>
      </c>
      <c r="F8480" s="12">
        <v>0</v>
      </c>
    </row>
    <row r="8481" spans="3:6">
      <c r="C8481" s="12"/>
      <c r="D8481" s="12"/>
      <c r="E8481" t="b">
        <f t="shared" si="132"/>
        <v>1</v>
      </c>
      <c r="F8481" s="12">
        <v>0</v>
      </c>
    </row>
    <row r="8482" spans="3:6">
      <c r="C8482" s="12"/>
      <c r="D8482" s="12"/>
      <c r="E8482" t="b">
        <f t="shared" si="132"/>
        <v>1</v>
      </c>
      <c r="F8482" s="12">
        <v>0</v>
      </c>
    </row>
    <row r="8483" spans="3:6">
      <c r="C8483" s="12"/>
      <c r="D8483" s="12"/>
      <c r="E8483" t="b">
        <f t="shared" si="132"/>
        <v>1</v>
      </c>
      <c r="F8483" s="12">
        <v>0</v>
      </c>
    </row>
    <row r="8484" spans="3:6">
      <c r="C8484" s="12"/>
      <c r="D8484" s="12"/>
      <c r="E8484" t="b">
        <f t="shared" si="132"/>
        <v>1</v>
      </c>
      <c r="F8484" s="12">
        <v>0</v>
      </c>
    </row>
    <row r="8485" spans="3:6">
      <c r="C8485" s="12"/>
      <c r="D8485" s="12"/>
      <c r="E8485" t="b">
        <f t="shared" si="132"/>
        <v>1</v>
      </c>
      <c r="F8485" s="12">
        <v>0</v>
      </c>
    </row>
    <row r="8486" spans="3:6">
      <c r="C8486" s="12"/>
      <c r="D8486" s="12"/>
      <c r="E8486" t="b">
        <f t="shared" si="132"/>
        <v>1</v>
      </c>
      <c r="F8486" s="12">
        <v>0</v>
      </c>
    </row>
    <row r="8487" spans="3:6">
      <c r="C8487" s="12"/>
      <c r="D8487" s="12"/>
      <c r="E8487" t="b">
        <f t="shared" si="132"/>
        <v>1</v>
      </c>
      <c r="F8487" s="12">
        <v>0</v>
      </c>
    </row>
    <row r="8488" spans="3:6">
      <c r="C8488" s="12"/>
      <c r="D8488" s="12"/>
      <c r="E8488" t="b">
        <f t="shared" si="132"/>
        <v>1</v>
      </c>
      <c r="F8488" s="12">
        <v>0</v>
      </c>
    </row>
    <row r="8489" spans="3:6">
      <c r="C8489" s="12"/>
      <c r="D8489" s="12"/>
      <c r="E8489" t="b">
        <f t="shared" si="132"/>
        <v>1</v>
      </c>
      <c r="F8489" s="12">
        <v>0</v>
      </c>
    </row>
    <row r="8490" spans="3:6">
      <c r="C8490" s="12"/>
      <c r="D8490" s="12"/>
      <c r="E8490" t="b">
        <f t="shared" si="132"/>
        <v>1</v>
      </c>
      <c r="F8490" s="12">
        <v>0</v>
      </c>
    </row>
    <row r="8491" spans="3:6">
      <c r="C8491" s="12"/>
      <c r="D8491" s="12"/>
      <c r="E8491" t="b">
        <f t="shared" si="132"/>
        <v>1</v>
      </c>
      <c r="F8491" s="12">
        <v>0</v>
      </c>
    </row>
    <row r="8492" spans="3:6">
      <c r="C8492" s="12"/>
      <c r="D8492" s="12"/>
      <c r="E8492" t="b">
        <f t="shared" si="132"/>
        <v>1</v>
      </c>
      <c r="F8492" s="12">
        <v>0</v>
      </c>
    </row>
    <row r="8493" spans="3:6">
      <c r="C8493" s="12"/>
      <c r="D8493" s="12"/>
      <c r="E8493" t="b">
        <f t="shared" si="132"/>
        <v>1</v>
      </c>
      <c r="F8493" s="12">
        <v>0</v>
      </c>
    </row>
    <row r="8494" spans="3:6">
      <c r="C8494" s="12"/>
      <c r="D8494" s="12"/>
      <c r="E8494" t="b">
        <f t="shared" si="132"/>
        <v>1</v>
      </c>
      <c r="F8494" s="12">
        <v>0</v>
      </c>
    </row>
    <row r="8495" spans="3:6">
      <c r="C8495" s="12"/>
      <c r="D8495" s="12"/>
      <c r="E8495" t="b">
        <f t="shared" si="132"/>
        <v>1</v>
      </c>
      <c r="F8495" s="12">
        <v>0</v>
      </c>
    </row>
    <row r="8496" spans="3:6">
      <c r="C8496" s="12"/>
      <c r="D8496" s="12"/>
      <c r="E8496" t="b">
        <f t="shared" si="132"/>
        <v>1</v>
      </c>
      <c r="F8496" s="12">
        <v>0</v>
      </c>
    </row>
    <row r="8497" spans="3:6">
      <c r="C8497" s="12"/>
      <c r="D8497" s="12"/>
      <c r="E8497" t="b">
        <f t="shared" si="132"/>
        <v>1</v>
      </c>
      <c r="F8497" s="12">
        <v>0</v>
      </c>
    </row>
    <row r="8498" spans="3:6">
      <c r="C8498" s="12"/>
      <c r="D8498" s="12"/>
      <c r="E8498" t="b">
        <f t="shared" si="132"/>
        <v>1</v>
      </c>
      <c r="F8498" s="12">
        <v>0</v>
      </c>
    </row>
    <row r="8499" spans="3:6">
      <c r="C8499" s="12"/>
      <c r="D8499" s="12"/>
      <c r="E8499" t="b">
        <f t="shared" si="132"/>
        <v>1</v>
      </c>
      <c r="F8499" s="12">
        <v>0</v>
      </c>
    </row>
    <row r="8500" spans="3:6">
      <c r="C8500" s="12"/>
      <c r="D8500" s="12"/>
      <c r="E8500" t="b">
        <f t="shared" si="132"/>
        <v>1</v>
      </c>
      <c r="F8500" s="12">
        <v>0</v>
      </c>
    </row>
    <row r="8501" spans="3:6">
      <c r="C8501" s="12"/>
      <c r="D8501" s="12"/>
      <c r="E8501" t="b">
        <f t="shared" si="132"/>
        <v>1</v>
      </c>
      <c r="F8501" s="12">
        <v>0</v>
      </c>
    </row>
    <row r="8502" spans="3:6">
      <c r="C8502" s="12"/>
      <c r="D8502" s="12"/>
      <c r="E8502" t="b">
        <f t="shared" si="132"/>
        <v>1</v>
      </c>
      <c r="F8502" s="12">
        <v>0</v>
      </c>
    </row>
    <row r="8503" spans="3:6">
      <c r="C8503" s="12"/>
      <c r="D8503" s="12"/>
      <c r="E8503" t="b">
        <f t="shared" si="132"/>
        <v>1</v>
      </c>
      <c r="F8503" s="12">
        <v>0</v>
      </c>
    </row>
    <row r="8504" spans="3:6">
      <c r="C8504" s="12"/>
      <c r="D8504" s="12"/>
      <c r="E8504" t="b">
        <f t="shared" si="132"/>
        <v>1</v>
      </c>
      <c r="F8504" s="12">
        <v>0</v>
      </c>
    </row>
    <row r="8505" spans="3:6">
      <c r="C8505" s="12"/>
      <c r="D8505" s="12"/>
      <c r="E8505" t="b">
        <f t="shared" si="132"/>
        <v>1</v>
      </c>
      <c r="F8505" s="12">
        <v>0</v>
      </c>
    </row>
    <row r="8506" spans="3:6">
      <c r="C8506" s="12"/>
      <c r="D8506" s="12"/>
      <c r="E8506" t="b">
        <f t="shared" si="132"/>
        <v>1</v>
      </c>
      <c r="F8506" s="12">
        <v>0</v>
      </c>
    </row>
    <row r="8507" spans="3:6">
      <c r="C8507" s="12"/>
      <c r="D8507" s="12"/>
      <c r="E8507" t="b">
        <f t="shared" si="132"/>
        <v>1</v>
      </c>
      <c r="F8507" s="12">
        <v>0</v>
      </c>
    </row>
    <row r="8508" spans="3:6">
      <c r="C8508" s="12"/>
      <c r="D8508" s="12"/>
      <c r="E8508" t="b">
        <f t="shared" si="132"/>
        <v>1</v>
      </c>
      <c r="F8508" s="12">
        <v>0</v>
      </c>
    </row>
    <row r="8509" spans="3:6">
      <c r="C8509" s="12"/>
      <c r="D8509" s="12"/>
      <c r="E8509" t="b">
        <f t="shared" si="132"/>
        <v>1</v>
      </c>
      <c r="F8509" s="12">
        <v>0</v>
      </c>
    </row>
    <row r="8510" spans="3:6">
      <c r="C8510" s="12"/>
      <c r="D8510" s="12"/>
      <c r="E8510" t="b">
        <f t="shared" si="132"/>
        <v>1</v>
      </c>
      <c r="F8510" s="12">
        <v>0</v>
      </c>
    </row>
    <row r="8511" spans="3:6">
      <c r="C8511" s="12"/>
      <c r="D8511" s="12"/>
      <c r="E8511" t="b">
        <f t="shared" si="132"/>
        <v>1</v>
      </c>
      <c r="F8511" s="12">
        <v>0</v>
      </c>
    </row>
    <row r="8512" spans="3:6">
      <c r="C8512" s="12"/>
      <c r="D8512" s="12"/>
      <c r="E8512" t="b">
        <f t="shared" si="132"/>
        <v>1</v>
      </c>
      <c r="F8512" s="12">
        <v>0</v>
      </c>
    </row>
    <row r="8513" spans="3:6">
      <c r="C8513" s="12"/>
      <c r="D8513" s="12"/>
      <c r="E8513" t="b">
        <f t="shared" si="132"/>
        <v>1</v>
      </c>
      <c r="F8513" s="12">
        <v>0</v>
      </c>
    </row>
    <row r="8514" spans="3:6">
      <c r="C8514" s="12"/>
      <c r="D8514" s="12"/>
      <c r="E8514" t="b">
        <f t="shared" si="132"/>
        <v>1</v>
      </c>
      <c r="F8514" s="12">
        <v>0</v>
      </c>
    </row>
    <row r="8515" spans="3:6">
      <c r="C8515" s="12"/>
      <c r="D8515" s="12"/>
      <c r="E8515" t="b">
        <f t="shared" ref="E8515:E8578" si="133">F8515=C8515</f>
        <v>1</v>
      </c>
      <c r="F8515" s="12">
        <v>0</v>
      </c>
    </row>
    <row r="8516" spans="3:6">
      <c r="C8516" s="12"/>
      <c r="D8516" s="12"/>
      <c r="E8516" t="b">
        <f t="shared" si="133"/>
        <v>1</v>
      </c>
      <c r="F8516" s="12">
        <v>0</v>
      </c>
    </row>
    <row r="8517" spans="3:6">
      <c r="C8517" s="12"/>
      <c r="D8517" s="12"/>
      <c r="E8517" t="b">
        <f t="shared" si="133"/>
        <v>1</v>
      </c>
      <c r="F8517" s="12">
        <v>0</v>
      </c>
    </row>
    <row r="8518" spans="3:6">
      <c r="C8518" s="12"/>
      <c r="D8518" s="12"/>
      <c r="E8518" t="b">
        <f t="shared" si="133"/>
        <v>1</v>
      </c>
      <c r="F8518" s="12">
        <v>0</v>
      </c>
    </row>
    <row r="8519" spans="3:6">
      <c r="C8519" s="12"/>
      <c r="D8519" s="12"/>
      <c r="E8519" t="b">
        <f t="shared" si="133"/>
        <v>1</v>
      </c>
      <c r="F8519" s="12">
        <v>0</v>
      </c>
    </row>
    <row r="8520" spans="3:6">
      <c r="C8520" s="12"/>
      <c r="D8520" s="12"/>
      <c r="E8520" t="b">
        <f t="shared" si="133"/>
        <v>1</v>
      </c>
      <c r="F8520" s="12">
        <v>0</v>
      </c>
    </row>
    <row r="8521" spans="3:6">
      <c r="C8521" s="12"/>
      <c r="D8521" s="12"/>
      <c r="E8521" t="b">
        <f t="shared" si="133"/>
        <v>1</v>
      </c>
      <c r="F8521" s="12">
        <v>0</v>
      </c>
    </row>
    <row r="8522" spans="3:6">
      <c r="C8522" s="12"/>
      <c r="D8522" s="12"/>
      <c r="E8522" t="b">
        <f t="shared" si="133"/>
        <v>1</v>
      </c>
      <c r="F8522" s="12">
        <v>0</v>
      </c>
    </row>
    <row r="8523" spans="3:6">
      <c r="C8523" s="12"/>
      <c r="D8523" s="12"/>
      <c r="E8523" t="b">
        <f t="shared" si="133"/>
        <v>1</v>
      </c>
      <c r="F8523" s="12">
        <v>0</v>
      </c>
    </row>
    <row r="8524" spans="3:6">
      <c r="C8524" s="12"/>
      <c r="D8524" s="12"/>
      <c r="E8524" t="b">
        <f t="shared" si="133"/>
        <v>1</v>
      </c>
      <c r="F8524" s="12">
        <v>0</v>
      </c>
    </row>
    <row r="8525" spans="3:6">
      <c r="C8525" s="12"/>
      <c r="D8525" s="12"/>
      <c r="E8525" t="b">
        <f t="shared" si="133"/>
        <v>1</v>
      </c>
      <c r="F8525" s="12">
        <v>0</v>
      </c>
    </row>
    <row r="8526" spans="3:6">
      <c r="C8526" s="12"/>
      <c r="D8526" s="12"/>
      <c r="E8526" t="b">
        <f t="shared" si="133"/>
        <v>1</v>
      </c>
      <c r="F8526" s="12">
        <v>0</v>
      </c>
    </row>
    <row r="8527" spans="3:6">
      <c r="C8527" s="12"/>
      <c r="D8527" s="12"/>
      <c r="E8527" t="b">
        <f t="shared" si="133"/>
        <v>1</v>
      </c>
      <c r="F8527" s="12">
        <v>0</v>
      </c>
    </row>
    <row r="8528" spans="3:6">
      <c r="C8528" s="12"/>
      <c r="D8528" s="12"/>
      <c r="E8528" t="b">
        <f t="shared" si="133"/>
        <v>1</v>
      </c>
      <c r="F8528" s="12">
        <v>0</v>
      </c>
    </row>
    <row r="8529" spans="3:6">
      <c r="C8529" s="12"/>
      <c r="D8529" s="12"/>
      <c r="E8529" t="b">
        <f t="shared" si="133"/>
        <v>1</v>
      </c>
      <c r="F8529" s="12">
        <v>0</v>
      </c>
    </row>
    <row r="8530" spans="3:6">
      <c r="C8530" s="12"/>
      <c r="D8530" s="12"/>
      <c r="E8530" t="b">
        <f t="shared" si="133"/>
        <v>1</v>
      </c>
      <c r="F8530" s="12">
        <v>0</v>
      </c>
    </row>
    <row r="8531" spans="3:6">
      <c r="C8531" s="12"/>
      <c r="D8531" s="12"/>
      <c r="E8531" t="b">
        <f t="shared" si="133"/>
        <v>1</v>
      </c>
      <c r="F8531" s="12">
        <v>0</v>
      </c>
    </row>
    <row r="8532" spans="3:6">
      <c r="C8532" s="12"/>
      <c r="D8532" s="12"/>
      <c r="E8532" t="b">
        <f t="shared" si="133"/>
        <v>1</v>
      </c>
      <c r="F8532" s="12">
        <v>0</v>
      </c>
    </row>
    <row r="8533" spans="3:6">
      <c r="C8533" s="12"/>
      <c r="D8533" s="12"/>
      <c r="E8533" t="b">
        <f t="shared" si="133"/>
        <v>1</v>
      </c>
      <c r="F8533" s="12">
        <v>0</v>
      </c>
    </row>
    <row r="8534" spans="3:6">
      <c r="C8534" s="12"/>
      <c r="D8534" s="12"/>
      <c r="E8534" t="b">
        <f t="shared" si="133"/>
        <v>1</v>
      </c>
      <c r="F8534" s="12">
        <v>0</v>
      </c>
    </row>
    <row r="8535" spans="3:6">
      <c r="C8535" s="12"/>
      <c r="D8535" s="12"/>
      <c r="E8535" t="b">
        <f t="shared" si="133"/>
        <v>1</v>
      </c>
      <c r="F8535" s="12">
        <v>0</v>
      </c>
    </row>
    <row r="8536" spans="3:6">
      <c r="C8536" s="12"/>
      <c r="D8536" s="12"/>
      <c r="E8536" t="b">
        <f t="shared" si="133"/>
        <v>1</v>
      </c>
      <c r="F8536" s="12">
        <v>0</v>
      </c>
    </row>
    <row r="8537" spans="3:6">
      <c r="C8537" s="12"/>
      <c r="D8537" s="12"/>
      <c r="E8537" t="b">
        <f t="shared" si="133"/>
        <v>1</v>
      </c>
      <c r="F8537" s="12">
        <v>0</v>
      </c>
    </row>
    <row r="8538" spans="3:6">
      <c r="C8538" s="12"/>
      <c r="D8538" s="12"/>
      <c r="E8538" t="b">
        <f t="shared" si="133"/>
        <v>1</v>
      </c>
      <c r="F8538" s="12">
        <v>0</v>
      </c>
    </row>
    <row r="8539" spans="3:6">
      <c r="C8539" s="12"/>
      <c r="D8539" s="12"/>
      <c r="E8539" t="b">
        <f t="shared" si="133"/>
        <v>1</v>
      </c>
      <c r="F8539" s="12">
        <v>0</v>
      </c>
    </row>
    <row r="8540" spans="3:6">
      <c r="C8540" s="12"/>
      <c r="D8540" s="12"/>
      <c r="E8540" t="b">
        <f t="shared" si="133"/>
        <v>1</v>
      </c>
      <c r="F8540" s="12">
        <v>0</v>
      </c>
    </row>
    <row r="8541" spans="3:6">
      <c r="C8541" s="12"/>
      <c r="D8541" s="12"/>
      <c r="E8541" t="b">
        <f t="shared" si="133"/>
        <v>1</v>
      </c>
      <c r="F8541" s="12">
        <v>0</v>
      </c>
    </row>
    <row r="8542" spans="3:6">
      <c r="C8542" s="12"/>
      <c r="D8542" s="12"/>
      <c r="E8542" t="b">
        <f t="shared" si="133"/>
        <v>1</v>
      </c>
      <c r="F8542" s="12">
        <v>0</v>
      </c>
    </row>
    <row r="8543" spans="3:6">
      <c r="C8543" s="12"/>
      <c r="D8543" s="12"/>
      <c r="E8543" t="b">
        <f t="shared" si="133"/>
        <v>1</v>
      </c>
      <c r="F8543" s="12">
        <v>0</v>
      </c>
    </row>
    <row r="8544" spans="3:6">
      <c r="C8544" s="12"/>
      <c r="D8544" s="12"/>
      <c r="E8544" t="b">
        <f t="shared" si="133"/>
        <v>1</v>
      </c>
      <c r="F8544" s="12">
        <v>0</v>
      </c>
    </row>
    <row r="8545" spans="3:6">
      <c r="C8545" s="12"/>
      <c r="D8545" s="12"/>
      <c r="E8545" t="b">
        <f t="shared" si="133"/>
        <v>1</v>
      </c>
      <c r="F8545" s="12">
        <v>0</v>
      </c>
    </row>
    <row r="8546" spans="3:6">
      <c r="C8546" s="12"/>
      <c r="D8546" s="12"/>
      <c r="E8546" t="b">
        <f t="shared" si="133"/>
        <v>1</v>
      </c>
      <c r="F8546" s="12">
        <v>0</v>
      </c>
    </row>
    <row r="8547" spans="3:6">
      <c r="C8547" s="12"/>
      <c r="D8547" s="12"/>
      <c r="E8547" t="b">
        <f t="shared" si="133"/>
        <v>1</v>
      </c>
      <c r="F8547" s="12">
        <v>0</v>
      </c>
    </row>
    <row r="8548" spans="3:6">
      <c r="C8548" s="12"/>
      <c r="D8548" s="12"/>
      <c r="E8548" t="b">
        <f t="shared" si="133"/>
        <v>1</v>
      </c>
      <c r="F8548" s="12">
        <v>0</v>
      </c>
    </row>
    <row r="8549" spans="3:6">
      <c r="C8549" s="12"/>
      <c r="D8549" s="12"/>
      <c r="E8549" t="b">
        <f t="shared" si="133"/>
        <v>1</v>
      </c>
      <c r="F8549" s="12">
        <v>0</v>
      </c>
    </row>
    <row r="8550" spans="3:6">
      <c r="C8550" s="12"/>
      <c r="D8550" s="12"/>
      <c r="E8550" t="b">
        <f t="shared" si="133"/>
        <v>1</v>
      </c>
      <c r="F8550" s="12">
        <v>0</v>
      </c>
    </row>
    <row r="8551" spans="3:6">
      <c r="C8551" s="12"/>
      <c r="D8551" s="12"/>
      <c r="E8551" t="b">
        <f t="shared" si="133"/>
        <v>1</v>
      </c>
      <c r="F8551" s="12">
        <v>0</v>
      </c>
    </row>
    <row r="8552" spans="3:6">
      <c r="C8552" s="12"/>
      <c r="D8552" s="12"/>
      <c r="E8552" t="b">
        <f t="shared" si="133"/>
        <v>1</v>
      </c>
      <c r="F8552" s="12">
        <v>0</v>
      </c>
    </row>
    <row r="8553" spans="3:6">
      <c r="C8553" s="12"/>
      <c r="D8553" s="12"/>
      <c r="E8553" t="b">
        <f t="shared" si="133"/>
        <v>1</v>
      </c>
      <c r="F8553" s="12">
        <v>0</v>
      </c>
    </row>
    <row r="8554" spans="3:6">
      <c r="C8554" s="12"/>
      <c r="D8554" s="12"/>
      <c r="E8554" t="b">
        <f t="shared" si="133"/>
        <v>1</v>
      </c>
      <c r="F8554" s="12">
        <v>0</v>
      </c>
    </row>
    <row r="8555" spans="3:6">
      <c r="C8555" s="12"/>
      <c r="D8555" s="12"/>
      <c r="E8555" t="b">
        <f t="shared" si="133"/>
        <v>1</v>
      </c>
      <c r="F8555" s="12">
        <v>0</v>
      </c>
    </row>
    <row r="8556" spans="3:6">
      <c r="C8556" s="12"/>
      <c r="D8556" s="12"/>
      <c r="E8556" t="b">
        <f t="shared" si="133"/>
        <v>1</v>
      </c>
      <c r="F8556" s="12">
        <v>0</v>
      </c>
    </row>
    <row r="8557" spans="3:6">
      <c r="C8557" s="12"/>
      <c r="D8557" s="12"/>
      <c r="E8557" t="b">
        <f t="shared" si="133"/>
        <v>1</v>
      </c>
      <c r="F8557" s="12">
        <v>0</v>
      </c>
    </row>
    <row r="8558" spans="3:6">
      <c r="C8558" s="12"/>
      <c r="D8558" s="12"/>
      <c r="E8558" t="b">
        <f t="shared" si="133"/>
        <v>1</v>
      </c>
      <c r="F8558" s="12">
        <v>0</v>
      </c>
    </row>
    <row r="8559" spans="3:6">
      <c r="C8559" s="12"/>
      <c r="D8559" s="12"/>
      <c r="E8559" t="b">
        <f t="shared" si="133"/>
        <v>1</v>
      </c>
      <c r="F8559" s="12">
        <v>0</v>
      </c>
    </row>
    <row r="8560" spans="3:6">
      <c r="C8560" s="12"/>
      <c r="D8560" s="12"/>
      <c r="E8560" t="b">
        <f t="shared" si="133"/>
        <v>1</v>
      </c>
      <c r="F8560" s="12">
        <v>0</v>
      </c>
    </row>
    <row r="8561" spans="3:6">
      <c r="C8561" s="12"/>
      <c r="D8561" s="12"/>
      <c r="E8561" t="b">
        <f t="shared" si="133"/>
        <v>1</v>
      </c>
      <c r="F8561" s="12">
        <v>0</v>
      </c>
    </row>
    <row r="8562" spans="3:6">
      <c r="C8562" s="12"/>
      <c r="D8562" s="12"/>
      <c r="E8562" t="b">
        <f t="shared" si="133"/>
        <v>1</v>
      </c>
      <c r="F8562" s="12">
        <v>0</v>
      </c>
    </row>
    <row r="8563" spans="3:6">
      <c r="C8563" s="12"/>
      <c r="D8563" s="12"/>
      <c r="E8563" t="b">
        <f t="shared" si="133"/>
        <v>1</v>
      </c>
      <c r="F8563" s="12">
        <v>0</v>
      </c>
    </row>
    <row r="8564" spans="3:6">
      <c r="C8564" s="12"/>
      <c r="D8564" s="12"/>
      <c r="E8564" t="b">
        <f t="shared" si="133"/>
        <v>1</v>
      </c>
      <c r="F8564" s="12">
        <v>0</v>
      </c>
    </row>
    <row r="8565" spans="3:6">
      <c r="C8565" s="12"/>
      <c r="D8565" s="12"/>
      <c r="E8565" t="b">
        <f t="shared" si="133"/>
        <v>1</v>
      </c>
      <c r="F8565" s="12">
        <v>0</v>
      </c>
    </row>
    <row r="8566" spans="3:6">
      <c r="C8566" s="12"/>
      <c r="D8566" s="12"/>
      <c r="E8566" t="b">
        <f t="shared" si="133"/>
        <v>1</v>
      </c>
      <c r="F8566" s="12">
        <v>0</v>
      </c>
    </row>
    <row r="8567" spans="3:6">
      <c r="C8567" s="12"/>
      <c r="D8567" s="12"/>
      <c r="E8567" t="b">
        <f t="shared" si="133"/>
        <v>1</v>
      </c>
      <c r="F8567" s="12">
        <v>0</v>
      </c>
    </row>
    <row r="8568" spans="3:6">
      <c r="C8568" s="12"/>
      <c r="D8568" s="12"/>
      <c r="E8568" t="b">
        <f t="shared" si="133"/>
        <v>1</v>
      </c>
      <c r="F8568" s="12">
        <v>0</v>
      </c>
    </row>
    <row r="8569" spans="3:6">
      <c r="C8569" s="12"/>
      <c r="D8569" s="12"/>
      <c r="E8569" t="b">
        <f t="shared" si="133"/>
        <v>1</v>
      </c>
      <c r="F8569" s="12">
        <v>0</v>
      </c>
    </row>
    <row r="8570" spans="3:6">
      <c r="C8570" s="12"/>
      <c r="D8570" s="12"/>
      <c r="E8570" t="b">
        <f t="shared" si="133"/>
        <v>1</v>
      </c>
      <c r="F8570" s="12">
        <v>0</v>
      </c>
    </row>
    <row r="8571" spans="3:6">
      <c r="C8571" s="12"/>
      <c r="D8571" s="12"/>
      <c r="E8571" t="b">
        <f t="shared" si="133"/>
        <v>1</v>
      </c>
      <c r="F8571" s="12">
        <v>0</v>
      </c>
    </row>
    <row r="8572" spans="3:6">
      <c r="C8572" s="12"/>
      <c r="D8572" s="12"/>
      <c r="E8572" t="b">
        <f t="shared" si="133"/>
        <v>1</v>
      </c>
      <c r="F8572" s="12">
        <v>0</v>
      </c>
    </row>
    <row r="8573" spans="3:6">
      <c r="C8573" s="12"/>
      <c r="D8573" s="12"/>
      <c r="E8573" t="b">
        <f t="shared" si="133"/>
        <v>1</v>
      </c>
      <c r="F8573" s="12">
        <v>0</v>
      </c>
    </row>
    <row r="8574" spans="3:6">
      <c r="C8574" s="12"/>
      <c r="D8574" s="12"/>
      <c r="E8574" t="b">
        <f t="shared" si="133"/>
        <v>1</v>
      </c>
      <c r="F8574" s="12">
        <v>0</v>
      </c>
    </row>
    <row r="8575" spans="3:6">
      <c r="C8575" s="12"/>
      <c r="D8575" s="12"/>
      <c r="E8575" t="b">
        <f t="shared" si="133"/>
        <v>1</v>
      </c>
      <c r="F8575" s="12">
        <v>0</v>
      </c>
    </row>
    <row r="8576" spans="3:6">
      <c r="C8576" s="12"/>
      <c r="D8576" s="12"/>
      <c r="E8576" t="b">
        <f t="shared" si="133"/>
        <v>1</v>
      </c>
      <c r="F8576" s="12">
        <v>0</v>
      </c>
    </row>
    <row r="8577" spans="3:6">
      <c r="C8577" s="12"/>
      <c r="D8577" s="12"/>
      <c r="E8577" t="b">
        <f t="shared" si="133"/>
        <v>1</v>
      </c>
      <c r="F8577" s="12">
        <v>0</v>
      </c>
    </row>
    <row r="8578" spans="3:6">
      <c r="C8578" s="12"/>
      <c r="D8578" s="12"/>
      <c r="E8578" t="b">
        <f t="shared" si="133"/>
        <v>1</v>
      </c>
      <c r="F8578" s="12">
        <v>0</v>
      </c>
    </row>
    <row r="8579" spans="3:6">
      <c r="C8579" s="12"/>
      <c r="D8579" s="12"/>
      <c r="E8579" t="b">
        <f t="shared" ref="E8579:E8642" si="134">F8579=C8579</f>
        <v>1</v>
      </c>
      <c r="F8579" s="12">
        <v>0</v>
      </c>
    </row>
    <row r="8580" spans="3:6">
      <c r="C8580" s="12"/>
      <c r="D8580" s="12"/>
      <c r="E8580" t="b">
        <f t="shared" si="134"/>
        <v>1</v>
      </c>
      <c r="F8580" s="12">
        <v>0</v>
      </c>
    </row>
    <row r="8581" spans="3:6">
      <c r="C8581" s="12"/>
      <c r="D8581" s="12"/>
      <c r="E8581" t="b">
        <f t="shared" si="134"/>
        <v>1</v>
      </c>
      <c r="F8581" s="12">
        <v>0</v>
      </c>
    </row>
    <row r="8582" spans="3:6">
      <c r="C8582" s="12"/>
      <c r="D8582" s="12"/>
      <c r="E8582" t="b">
        <f t="shared" si="134"/>
        <v>1</v>
      </c>
      <c r="F8582" s="12">
        <v>0</v>
      </c>
    </row>
    <row r="8583" spans="3:6">
      <c r="C8583" s="12"/>
      <c r="D8583" s="12"/>
      <c r="E8583" t="b">
        <f t="shared" si="134"/>
        <v>1</v>
      </c>
      <c r="F8583" s="12">
        <v>0</v>
      </c>
    </row>
    <row r="8584" spans="3:6">
      <c r="C8584" s="12"/>
      <c r="D8584" s="12"/>
      <c r="E8584" t="b">
        <f t="shared" si="134"/>
        <v>1</v>
      </c>
      <c r="F8584" s="12">
        <v>0</v>
      </c>
    </row>
    <row r="8585" spans="3:6">
      <c r="C8585" s="12"/>
      <c r="D8585" s="12"/>
      <c r="E8585" t="b">
        <f t="shared" si="134"/>
        <v>1</v>
      </c>
      <c r="F8585" s="12">
        <v>0</v>
      </c>
    </row>
    <row r="8586" spans="3:6">
      <c r="C8586" s="12"/>
      <c r="D8586" s="12"/>
      <c r="E8586" t="b">
        <f t="shared" si="134"/>
        <v>1</v>
      </c>
      <c r="F8586" s="12">
        <v>0</v>
      </c>
    </row>
    <row r="8587" spans="3:6">
      <c r="C8587" s="12"/>
      <c r="D8587" s="12"/>
      <c r="E8587" t="b">
        <f t="shared" si="134"/>
        <v>1</v>
      </c>
      <c r="F8587" s="12">
        <v>0</v>
      </c>
    </row>
    <row r="8588" spans="3:6">
      <c r="C8588" s="12"/>
      <c r="D8588" s="12"/>
      <c r="E8588" t="b">
        <f t="shared" si="134"/>
        <v>1</v>
      </c>
      <c r="F8588" s="12">
        <v>0</v>
      </c>
    </row>
    <row r="8589" spans="3:6">
      <c r="C8589" s="12"/>
      <c r="D8589" s="12"/>
      <c r="E8589" t="b">
        <f t="shared" si="134"/>
        <v>1</v>
      </c>
      <c r="F8589" s="12">
        <v>0</v>
      </c>
    </row>
    <row r="8590" spans="3:6">
      <c r="C8590" s="12"/>
      <c r="D8590" s="12"/>
      <c r="E8590" t="b">
        <f t="shared" si="134"/>
        <v>1</v>
      </c>
      <c r="F8590" s="12">
        <v>0</v>
      </c>
    </row>
    <row r="8591" spans="3:6">
      <c r="C8591" s="12"/>
      <c r="D8591" s="12"/>
      <c r="E8591" t="b">
        <f t="shared" si="134"/>
        <v>1</v>
      </c>
      <c r="F8591" s="12">
        <v>0</v>
      </c>
    </row>
    <row r="8592" spans="3:6">
      <c r="C8592" s="12"/>
      <c r="D8592" s="12"/>
      <c r="E8592" t="b">
        <f t="shared" si="134"/>
        <v>1</v>
      </c>
      <c r="F8592" s="12">
        <v>0</v>
      </c>
    </row>
    <row r="8593" spans="3:6">
      <c r="C8593" s="12"/>
      <c r="D8593" s="12"/>
      <c r="E8593" t="b">
        <f t="shared" si="134"/>
        <v>1</v>
      </c>
      <c r="F8593" s="12">
        <v>0</v>
      </c>
    </row>
    <row r="8594" spans="3:6">
      <c r="C8594" s="12"/>
      <c r="D8594" s="12"/>
      <c r="E8594" t="b">
        <f t="shared" si="134"/>
        <v>1</v>
      </c>
      <c r="F8594" s="12">
        <v>0</v>
      </c>
    </row>
    <row r="8595" spans="3:6">
      <c r="C8595" s="12"/>
      <c r="D8595" s="12"/>
      <c r="E8595" t="b">
        <f t="shared" si="134"/>
        <v>1</v>
      </c>
      <c r="F8595" s="12">
        <v>0</v>
      </c>
    </row>
    <row r="8596" spans="3:6">
      <c r="C8596" s="12"/>
      <c r="D8596" s="12"/>
      <c r="E8596" t="b">
        <f t="shared" si="134"/>
        <v>1</v>
      </c>
      <c r="F8596" s="12">
        <v>0</v>
      </c>
    </row>
    <row r="8597" spans="3:6">
      <c r="C8597" s="12"/>
      <c r="D8597" s="12"/>
      <c r="E8597" t="b">
        <f t="shared" si="134"/>
        <v>1</v>
      </c>
      <c r="F8597" s="12">
        <v>0</v>
      </c>
    </row>
    <row r="8598" spans="3:6">
      <c r="C8598" s="12"/>
      <c r="D8598" s="12"/>
      <c r="E8598" t="b">
        <f t="shared" si="134"/>
        <v>1</v>
      </c>
      <c r="F8598" s="12">
        <v>0</v>
      </c>
    </row>
    <row r="8599" spans="3:6">
      <c r="C8599" s="12"/>
      <c r="D8599" s="12"/>
      <c r="E8599" t="b">
        <f t="shared" si="134"/>
        <v>1</v>
      </c>
      <c r="F8599" s="12">
        <v>0</v>
      </c>
    </row>
    <row r="8600" spans="3:6">
      <c r="C8600" s="12"/>
      <c r="D8600" s="12"/>
      <c r="E8600" t="b">
        <f t="shared" si="134"/>
        <v>1</v>
      </c>
      <c r="F8600" s="12">
        <v>0</v>
      </c>
    </row>
    <row r="8601" spans="3:6">
      <c r="C8601" s="12"/>
      <c r="D8601" s="12"/>
      <c r="E8601" t="b">
        <f t="shared" si="134"/>
        <v>1</v>
      </c>
      <c r="F8601" s="12">
        <v>0</v>
      </c>
    </row>
    <row r="8602" spans="3:6">
      <c r="C8602" s="12"/>
      <c r="D8602" s="12"/>
      <c r="E8602" t="b">
        <f t="shared" si="134"/>
        <v>1</v>
      </c>
      <c r="F8602" s="12">
        <v>0</v>
      </c>
    </row>
    <row r="8603" spans="3:6">
      <c r="C8603" s="12"/>
      <c r="D8603" s="12"/>
      <c r="E8603" t="b">
        <f t="shared" si="134"/>
        <v>1</v>
      </c>
      <c r="F8603" s="12">
        <v>0</v>
      </c>
    </row>
    <row r="8604" spans="3:6">
      <c r="C8604" s="12"/>
      <c r="D8604" s="12"/>
      <c r="E8604" t="b">
        <f t="shared" si="134"/>
        <v>1</v>
      </c>
      <c r="F8604" s="12">
        <v>0</v>
      </c>
    </row>
    <row r="8605" spans="3:6">
      <c r="C8605" s="12"/>
      <c r="D8605" s="12"/>
      <c r="E8605" t="b">
        <f t="shared" si="134"/>
        <v>1</v>
      </c>
      <c r="F8605" s="12">
        <v>0</v>
      </c>
    </row>
    <row r="8606" spans="3:6">
      <c r="C8606" s="12"/>
      <c r="D8606" s="12"/>
      <c r="E8606" t="b">
        <f t="shared" si="134"/>
        <v>1</v>
      </c>
      <c r="F8606" s="12">
        <v>0</v>
      </c>
    </row>
    <row r="8607" spans="3:6">
      <c r="C8607" s="12"/>
      <c r="D8607" s="12"/>
      <c r="E8607" t="b">
        <f t="shared" si="134"/>
        <v>1</v>
      </c>
      <c r="F8607" s="12">
        <v>0</v>
      </c>
    </row>
    <row r="8608" spans="3:6">
      <c r="C8608" s="12"/>
      <c r="D8608" s="12"/>
      <c r="E8608" t="b">
        <f t="shared" si="134"/>
        <v>1</v>
      </c>
      <c r="F8608" s="12">
        <v>0</v>
      </c>
    </row>
    <row r="8609" spans="3:6">
      <c r="C8609" s="12"/>
      <c r="D8609" s="12"/>
      <c r="E8609" t="b">
        <f t="shared" si="134"/>
        <v>1</v>
      </c>
      <c r="F8609" s="12">
        <v>0</v>
      </c>
    </row>
    <row r="8610" spans="3:6">
      <c r="C8610" s="12"/>
      <c r="D8610" s="12"/>
      <c r="E8610" t="b">
        <f t="shared" si="134"/>
        <v>1</v>
      </c>
      <c r="F8610" s="12">
        <v>0</v>
      </c>
    </row>
    <row r="8611" spans="3:6">
      <c r="C8611" s="12"/>
      <c r="D8611" s="12"/>
      <c r="E8611" t="b">
        <f t="shared" si="134"/>
        <v>1</v>
      </c>
      <c r="F8611" s="12">
        <v>0</v>
      </c>
    </row>
    <row r="8612" spans="3:6">
      <c r="C8612" s="12"/>
      <c r="D8612" s="12"/>
      <c r="E8612" t="b">
        <f t="shared" si="134"/>
        <v>1</v>
      </c>
      <c r="F8612" s="12">
        <v>0</v>
      </c>
    </row>
    <row r="8613" spans="3:6">
      <c r="C8613" s="12"/>
      <c r="D8613" s="12"/>
      <c r="E8613" t="b">
        <f t="shared" si="134"/>
        <v>1</v>
      </c>
      <c r="F8613" s="12">
        <v>0</v>
      </c>
    </row>
    <row r="8614" spans="3:6">
      <c r="C8614" s="12"/>
      <c r="D8614" s="12"/>
      <c r="E8614" t="b">
        <f t="shared" si="134"/>
        <v>1</v>
      </c>
      <c r="F8614" s="12">
        <v>0</v>
      </c>
    </row>
    <row r="8615" spans="3:6">
      <c r="C8615" s="12"/>
      <c r="D8615" s="12"/>
      <c r="E8615" t="b">
        <f t="shared" si="134"/>
        <v>1</v>
      </c>
      <c r="F8615" s="12">
        <v>0</v>
      </c>
    </row>
    <row r="8616" spans="3:6">
      <c r="C8616" s="12"/>
      <c r="D8616" s="12"/>
      <c r="E8616" t="b">
        <f t="shared" si="134"/>
        <v>1</v>
      </c>
      <c r="F8616" s="12">
        <v>0</v>
      </c>
    </row>
    <row r="8617" spans="3:6">
      <c r="C8617" s="12"/>
      <c r="D8617" s="12"/>
      <c r="E8617" t="b">
        <f t="shared" si="134"/>
        <v>1</v>
      </c>
      <c r="F8617" s="12">
        <v>0</v>
      </c>
    </row>
    <row r="8618" spans="3:6">
      <c r="C8618" s="12"/>
      <c r="D8618" s="12"/>
      <c r="E8618" t="b">
        <f t="shared" si="134"/>
        <v>1</v>
      </c>
      <c r="F8618" s="12">
        <v>0</v>
      </c>
    </row>
    <row r="8619" spans="3:6">
      <c r="C8619" s="12"/>
      <c r="D8619" s="12"/>
      <c r="E8619" t="b">
        <f t="shared" si="134"/>
        <v>1</v>
      </c>
      <c r="F8619" s="12">
        <v>0</v>
      </c>
    </row>
    <row r="8620" spans="3:6">
      <c r="C8620" s="12"/>
      <c r="D8620" s="12"/>
      <c r="E8620" t="b">
        <f t="shared" si="134"/>
        <v>1</v>
      </c>
      <c r="F8620" s="12">
        <v>0</v>
      </c>
    </row>
    <row r="8621" spans="3:6">
      <c r="C8621" s="12"/>
      <c r="D8621" s="12"/>
      <c r="E8621" t="b">
        <f t="shared" si="134"/>
        <v>1</v>
      </c>
      <c r="F8621" s="12">
        <v>0</v>
      </c>
    </row>
    <row r="8622" spans="3:6">
      <c r="C8622" s="12"/>
      <c r="D8622" s="12"/>
      <c r="E8622" t="b">
        <f t="shared" si="134"/>
        <v>1</v>
      </c>
      <c r="F8622" s="12">
        <v>0</v>
      </c>
    </row>
    <row r="8623" spans="3:6">
      <c r="C8623" s="12"/>
      <c r="D8623" s="12"/>
      <c r="E8623" t="b">
        <f t="shared" si="134"/>
        <v>1</v>
      </c>
      <c r="F8623" s="12">
        <v>0</v>
      </c>
    </row>
    <row r="8624" spans="3:6">
      <c r="C8624" s="12"/>
      <c r="D8624" s="12"/>
      <c r="E8624" t="b">
        <f t="shared" si="134"/>
        <v>1</v>
      </c>
      <c r="F8624" s="12">
        <v>0</v>
      </c>
    </row>
    <row r="8625" spans="3:6">
      <c r="C8625" s="12"/>
      <c r="D8625" s="12"/>
      <c r="E8625" t="b">
        <f t="shared" si="134"/>
        <v>1</v>
      </c>
      <c r="F8625" s="12">
        <v>0</v>
      </c>
    </row>
    <row r="8626" spans="3:6">
      <c r="C8626" s="12"/>
      <c r="D8626" s="12"/>
      <c r="E8626" t="b">
        <f t="shared" si="134"/>
        <v>1</v>
      </c>
      <c r="F8626" s="12">
        <v>0</v>
      </c>
    </row>
    <row r="8627" spans="3:6">
      <c r="C8627" s="12"/>
      <c r="D8627" s="12"/>
      <c r="E8627" t="b">
        <f t="shared" si="134"/>
        <v>1</v>
      </c>
      <c r="F8627" s="12">
        <v>0</v>
      </c>
    </row>
    <row r="8628" spans="3:6">
      <c r="C8628" s="12"/>
      <c r="D8628" s="12"/>
      <c r="E8628" t="b">
        <f t="shared" si="134"/>
        <v>1</v>
      </c>
      <c r="F8628" s="12">
        <v>0</v>
      </c>
    </row>
    <row r="8629" spans="3:6">
      <c r="C8629" s="12"/>
      <c r="D8629" s="12"/>
      <c r="E8629" t="b">
        <f t="shared" si="134"/>
        <v>1</v>
      </c>
      <c r="F8629" s="12">
        <v>0</v>
      </c>
    </row>
    <row r="8630" spans="3:6">
      <c r="C8630" s="12"/>
      <c r="D8630" s="12"/>
      <c r="E8630" t="b">
        <f t="shared" si="134"/>
        <v>1</v>
      </c>
      <c r="F8630" s="12">
        <v>0</v>
      </c>
    </row>
    <row r="8631" spans="3:6">
      <c r="C8631" s="12"/>
      <c r="D8631" s="12"/>
      <c r="E8631" t="b">
        <f t="shared" si="134"/>
        <v>1</v>
      </c>
      <c r="F8631" s="12">
        <v>0</v>
      </c>
    </row>
    <row r="8632" spans="3:6">
      <c r="C8632" s="12"/>
      <c r="D8632" s="12"/>
      <c r="E8632" t="b">
        <f t="shared" si="134"/>
        <v>1</v>
      </c>
      <c r="F8632" s="12">
        <v>0</v>
      </c>
    </row>
    <row r="8633" spans="3:6">
      <c r="C8633" s="12"/>
      <c r="D8633" s="12"/>
      <c r="E8633" t="b">
        <f t="shared" si="134"/>
        <v>1</v>
      </c>
      <c r="F8633" s="12">
        <v>0</v>
      </c>
    </row>
    <row r="8634" spans="3:6">
      <c r="C8634" s="12"/>
      <c r="D8634" s="12"/>
      <c r="E8634" t="b">
        <f t="shared" si="134"/>
        <v>1</v>
      </c>
      <c r="F8634" s="12">
        <v>0</v>
      </c>
    </row>
    <row r="8635" spans="3:6">
      <c r="C8635" s="12"/>
      <c r="D8635" s="12"/>
      <c r="E8635" t="b">
        <f t="shared" si="134"/>
        <v>1</v>
      </c>
      <c r="F8635" s="12">
        <v>0</v>
      </c>
    </row>
    <row r="8636" spans="3:6">
      <c r="C8636" s="12"/>
      <c r="D8636" s="12"/>
      <c r="E8636" t="b">
        <f t="shared" si="134"/>
        <v>1</v>
      </c>
      <c r="F8636" s="12">
        <v>0</v>
      </c>
    </row>
    <row r="8637" spans="3:6">
      <c r="C8637" s="12"/>
      <c r="D8637" s="12"/>
      <c r="E8637" t="b">
        <f t="shared" si="134"/>
        <v>1</v>
      </c>
      <c r="F8637" s="12">
        <v>0</v>
      </c>
    </row>
    <row r="8638" spans="3:6">
      <c r="C8638" s="12"/>
      <c r="D8638" s="12"/>
      <c r="E8638" t="b">
        <f t="shared" si="134"/>
        <v>1</v>
      </c>
      <c r="F8638" s="12">
        <v>0</v>
      </c>
    </row>
    <row r="8639" spans="3:6">
      <c r="C8639" s="12"/>
      <c r="D8639" s="12"/>
      <c r="E8639" t="b">
        <f t="shared" si="134"/>
        <v>1</v>
      </c>
      <c r="F8639" s="12">
        <v>0</v>
      </c>
    </row>
    <row r="8640" spans="3:6">
      <c r="C8640" s="12"/>
      <c r="D8640" s="12"/>
      <c r="E8640" t="b">
        <f t="shared" si="134"/>
        <v>1</v>
      </c>
      <c r="F8640" s="12">
        <v>0</v>
      </c>
    </row>
    <row r="8641" spans="3:6">
      <c r="C8641" s="12"/>
      <c r="D8641" s="12"/>
      <c r="E8641" t="b">
        <f t="shared" si="134"/>
        <v>1</v>
      </c>
      <c r="F8641" s="12">
        <v>0</v>
      </c>
    </row>
    <row r="8642" spans="3:6">
      <c r="C8642" s="12"/>
      <c r="D8642" s="12"/>
      <c r="E8642" t="b">
        <f t="shared" si="134"/>
        <v>1</v>
      </c>
      <c r="F8642" s="12">
        <v>0</v>
      </c>
    </row>
    <row r="8643" spans="3:6">
      <c r="C8643" s="12"/>
      <c r="D8643" s="12"/>
      <c r="E8643" t="b">
        <f t="shared" ref="E8643:E8706" si="135">F8643=C8643</f>
        <v>1</v>
      </c>
      <c r="F8643" s="12">
        <v>0</v>
      </c>
    </row>
    <row r="8644" spans="3:6">
      <c r="C8644" s="12"/>
      <c r="D8644" s="12"/>
      <c r="E8644" t="b">
        <f t="shared" si="135"/>
        <v>1</v>
      </c>
      <c r="F8644" s="12">
        <v>0</v>
      </c>
    </row>
    <row r="8645" spans="3:6">
      <c r="C8645" s="12"/>
      <c r="D8645" s="12"/>
      <c r="E8645" t="b">
        <f t="shared" si="135"/>
        <v>1</v>
      </c>
      <c r="F8645" s="12">
        <v>0</v>
      </c>
    </row>
    <row r="8646" spans="3:6">
      <c r="C8646" s="12"/>
      <c r="D8646" s="12"/>
      <c r="E8646" t="b">
        <f t="shared" si="135"/>
        <v>1</v>
      </c>
      <c r="F8646" s="12">
        <v>0</v>
      </c>
    </row>
    <row r="8647" spans="3:6">
      <c r="C8647" s="12"/>
      <c r="D8647" s="12"/>
      <c r="E8647" t="b">
        <f t="shared" si="135"/>
        <v>1</v>
      </c>
      <c r="F8647" s="12">
        <v>0</v>
      </c>
    </row>
    <row r="8648" spans="3:6">
      <c r="C8648" s="12"/>
      <c r="D8648" s="12"/>
      <c r="E8648" t="b">
        <f t="shared" si="135"/>
        <v>1</v>
      </c>
      <c r="F8648" s="12">
        <v>0</v>
      </c>
    </row>
    <row r="8649" spans="3:6">
      <c r="C8649" s="12"/>
      <c r="D8649" s="12"/>
      <c r="E8649" t="b">
        <f t="shared" si="135"/>
        <v>1</v>
      </c>
      <c r="F8649" s="12">
        <v>0</v>
      </c>
    </row>
    <row r="8650" spans="3:6">
      <c r="C8650" s="12"/>
      <c r="D8650" s="12"/>
      <c r="E8650" t="b">
        <f t="shared" si="135"/>
        <v>1</v>
      </c>
      <c r="F8650" s="12">
        <v>0</v>
      </c>
    </row>
    <row r="8651" spans="3:6">
      <c r="C8651" s="12"/>
      <c r="D8651" s="12"/>
      <c r="E8651" t="b">
        <f t="shared" si="135"/>
        <v>1</v>
      </c>
      <c r="F8651" s="12">
        <v>0</v>
      </c>
    </row>
    <row r="8652" spans="3:6">
      <c r="C8652" s="12"/>
      <c r="D8652" s="12"/>
      <c r="E8652" t="b">
        <f t="shared" si="135"/>
        <v>1</v>
      </c>
      <c r="F8652" s="12">
        <v>0</v>
      </c>
    </row>
    <row r="8653" spans="3:6">
      <c r="C8653" s="12"/>
      <c r="D8653" s="12"/>
      <c r="E8653" t="b">
        <f t="shared" si="135"/>
        <v>1</v>
      </c>
      <c r="F8653" s="12">
        <v>0</v>
      </c>
    </row>
    <row r="8654" spans="3:6">
      <c r="C8654" s="12"/>
      <c r="D8654" s="12"/>
      <c r="E8654" t="b">
        <f t="shared" si="135"/>
        <v>1</v>
      </c>
      <c r="F8654" s="12">
        <v>0</v>
      </c>
    </row>
    <row r="8655" spans="3:6">
      <c r="C8655" s="12"/>
      <c r="D8655" s="12"/>
      <c r="E8655" t="b">
        <f t="shared" si="135"/>
        <v>1</v>
      </c>
      <c r="F8655" s="12">
        <v>0</v>
      </c>
    </row>
    <row r="8656" spans="3:6">
      <c r="C8656" s="12"/>
      <c r="D8656" s="12"/>
      <c r="E8656" t="b">
        <f t="shared" si="135"/>
        <v>1</v>
      </c>
      <c r="F8656" s="12">
        <v>0</v>
      </c>
    </row>
    <row r="8657" spans="3:6">
      <c r="C8657" s="12"/>
      <c r="D8657" s="12"/>
      <c r="E8657" t="b">
        <f t="shared" si="135"/>
        <v>1</v>
      </c>
      <c r="F8657" s="12">
        <v>0</v>
      </c>
    </row>
    <row r="8658" spans="3:6">
      <c r="C8658" s="12"/>
      <c r="D8658" s="12"/>
      <c r="E8658" t="b">
        <f t="shared" si="135"/>
        <v>1</v>
      </c>
      <c r="F8658" s="12">
        <v>0</v>
      </c>
    </row>
    <row r="8659" spans="3:6">
      <c r="C8659" s="12"/>
      <c r="D8659" s="12"/>
      <c r="E8659" t="b">
        <f t="shared" si="135"/>
        <v>1</v>
      </c>
      <c r="F8659" s="12">
        <v>0</v>
      </c>
    </row>
    <row r="8660" spans="3:6">
      <c r="C8660" s="12"/>
      <c r="D8660" s="12"/>
      <c r="E8660" t="b">
        <f t="shared" si="135"/>
        <v>1</v>
      </c>
      <c r="F8660" s="12">
        <v>0</v>
      </c>
    </row>
    <row r="8661" spans="3:6">
      <c r="C8661" s="12"/>
      <c r="D8661" s="12"/>
      <c r="E8661" t="b">
        <f t="shared" si="135"/>
        <v>1</v>
      </c>
      <c r="F8661" s="12">
        <v>0</v>
      </c>
    </row>
    <row r="8662" spans="3:6">
      <c r="C8662" s="12"/>
      <c r="D8662" s="12"/>
      <c r="E8662" t="b">
        <f t="shared" si="135"/>
        <v>1</v>
      </c>
      <c r="F8662" s="12">
        <v>0</v>
      </c>
    </row>
    <row r="8663" spans="3:6">
      <c r="C8663" s="12"/>
      <c r="D8663" s="12"/>
      <c r="E8663" t="b">
        <f t="shared" si="135"/>
        <v>1</v>
      </c>
      <c r="F8663" s="12">
        <v>0</v>
      </c>
    </row>
    <row r="8664" spans="3:6">
      <c r="C8664" s="12"/>
      <c r="D8664" s="12"/>
      <c r="E8664" t="b">
        <f t="shared" si="135"/>
        <v>1</v>
      </c>
      <c r="F8664" s="12">
        <v>0</v>
      </c>
    </row>
    <row r="8665" spans="3:6">
      <c r="C8665" s="12"/>
      <c r="D8665" s="12"/>
      <c r="E8665" t="b">
        <f t="shared" si="135"/>
        <v>1</v>
      </c>
      <c r="F8665" s="12">
        <v>0</v>
      </c>
    </row>
    <row r="8666" spans="3:6">
      <c r="C8666" s="12"/>
      <c r="D8666" s="12"/>
      <c r="E8666" t="b">
        <f t="shared" si="135"/>
        <v>1</v>
      </c>
      <c r="F8666" s="12">
        <v>0</v>
      </c>
    </row>
    <row r="8667" spans="3:6">
      <c r="C8667" s="12"/>
      <c r="D8667" s="12"/>
      <c r="E8667" t="b">
        <f t="shared" si="135"/>
        <v>1</v>
      </c>
      <c r="F8667" s="12">
        <v>0</v>
      </c>
    </row>
    <row r="8668" spans="3:6">
      <c r="C8668" s="12"/>
      <c r="D8668" s="12"/>
      <c r="E8668" t="b">
        <f t="shared" si="135"/>
        <v>1</v>
      </c>
      <c r="F8668" s="12">
        <v>0</v>
      </c>
    </row>
    <row r="8669" spans="3:6">
      <c r="C8669" s="12"/>
      <c r="D8669" s="12"/>
      <c r="E8669" t="b">
        <f t="shared" si="135"/>
        <v>1</v>
      </c>
      <c r="F8669" s="12">
        <v>0</v>
      </c>
    </row>
    <row r="8670" spans="3:6">
      <c r="C8670" s="12"/>
      <c r="D8670" s="12"/>
      <c r="E8670" t="b">
        <f t="shared" si="135"/>
        <v>1</v>
      </c>
      <c r="F8670" s="12">
        <v>0</v>
      </c>
    </row>
    <row r="8671" spans="3:6">
      <c r="C8671" s="12"/>
      <c r="D8671" s="12"/>
      <c r="E8671" t="b">
        <f t="shared" si="135"/>
        <v>1</v>
      </c>
      <c r="F8671" s="12">
        <v>0</v>
      </c>
    </row>
    <row r="8672" spans="3:6">
      <c r="C8672" s="12"/>
      <c r="D8672" s="12"/>
      <c r="E8672" t="b">
        <f t="shared" si="135"/>
        <v>1</v>
      </c>
      <c r="F8672" s="12">
        <v>0</v>
      </c>
    </row>
    <row r="8673" spans="3:6">
      <c r="C8673" s="12"/>
      <c r="D8673" s="12"/>
      <c r="E8673" t="b">
        <f t="shared" si="135"/>
        <v>1</v>
      </c>
      <c r="F8673" s="12">
        <v>0</v>
      </c>
    </row>
    <row r="8674" spans="3:6">
      <c r="C8674" s="12"/>
      <c r="D8674" s="12"/>
      <c r="E8674" t="b">
        <f t="shared" si="135"/>
        <v>1</v>
      </c>
      <c r="F8674" s="12">
        <v>0</v>
      </c>
    </row>
    <row r="8675" spans="3:6">
      <c r="C8675" s="12"/>
      <c r="D8675" s="12"/>
      <c r="E8675" t="b">
        <f t="shared" si="135"/>
        <v>1</v>
      </c>
      <c r="F8675" s="12">
        <v>0</v>
      </c>
    </row>
    <row r="8676" spans="3:6">
      <c r="C8676" s="12"/>
      <c r="D8676" s="12"/>
      <c r="E8676" t="b">
        <f t="shared" si="135"/>
        <v>1</v>
      </c>
      <c r="F8676" s="12">
        <v>0</v>
      </c>
    </row>
    <row r="8677" spans="3:6">
      <c r="C8677" s="12"/>
      <c r="D8677" s="12"/>
      <c r="E8677" t="b">
        <f t="shared" si="135"/>
        <v>1</v>
      </c>
      <c r="F8677" s="12">
        <v>0</v>
      </c>
    </row>
    <row r="8678" spans="3:6">
      <c r="C8678" s="12"/>
      <c r="D8678" s="12"/>
      <c r="E8678" t="b">
        <f t="shared" si="135"/>
        <v>1</v>
      </c>
      <c r="F8678" s="12">
        <v>0</v>
      </c>
    </row>
    <row r="8679" spans="3:6">
      <c r="C8679" s="12"/>
      <c r="D8679" s="12"/>
      <c r="E8679" t="b">
        <f t="shared" si="135"/>
        <v>1</v>
      </c>
      <c r="F8679" s="12">
        <v>0</v>
      </c>
    </row>
    <row r="8680" spans="3:6">
      <c r="C8680" s="12"/>
      <c r="D8680" s="12"/>
      <c r="E8680" t="b">
        <f t="shared" si="135"/>
        <v>1</v>
      </c>
      <c r="F8680" s="12">
        <v>0</v>
      </c>
    </row>
    <row r="8681" spans="3:6">
      <c r="C8681" s="12"/>
      <c r="D8681" s="12"/>
      <c r="E8681" t="b">
        <f t="shared" si="135"/>
        <v>1</v>
      </c>
      <c r="F8681" s="12">
        <v>0</v>
      </c>
    </row>
    <row r="8682" spans="3:6">
      <c r="C8682" s="12"/>
      <c r="D8682" s="12"/>
      <c r="E8682" t="b">
        <f t="shared" si="135"/>
        <v>1</v>
      </c>
      <c r="F8682" s="12">
        <v>0</v>
      </c>
    </row>
    <row r="8683" spans="3:6">
      <c r="C8683" s="12"/>
      <c r="D8683" s="12"/>
      <c r="E8683" t="b">
        <f t="shared" si="135"/>
        <v>1</v>
      </c>
      <c r="F8683" s="12">
        <v>0</v>
      </c>
    </row>
    <row r="8684" spans="3:6">
      <c r="C8684" s="12"/>
      <c r="D8684" s="12"/>
      <c r="E8684" t="b">
        <f t="shared" si="135"/>
        <v>1</v>
      </c>
      <c r="F8684" s="12">
        <v>0</v>
      </c>
    </row>
    <row r="8685" spans="3:6">
      <c r="C8685" s="12"/>
      <c r="D8685" s="12"/>
      <c r="E8685" t="b">
        <f t="shared" si="135"/>
        <v>1</v>
      </c>
      <c r="F8685" s="12">
        <v>0</v>
      </c>
    </row>
    <row r="8686" spans="3:6">
      <c r="C8686" s="12"/>
      <c r="D8686" s="12"/>
      <c r="E8686" t="b">
        <f t="shared" si="135"/>
        <v>1</v>
      </c>
      <c r="F8686" s="12">
        <v>0</v>
      </c>
    </row>
    <row r="8687" spans="3:6">
      <c r="C8687" s="12"/>
      <c r="D8687" s="12"/>
      <c r="E8687" t="b">
        <f t="shared" si="135"/>
        <v>1</v>
      </c>
      <c r="F8687" s="12">
        <v>0</v>
      </c>
    </row>
    <row r="8688" spans="3:6">
      <c r="C8688" s="12"/>
      <c r="D8688" s="12"/>
      <c r="E8688" t="b">
        <f t="shared" si="135"/>
        <v>1</v>
      </c>
      <c r="F8688" s="12">
        <v>0</v>
      </c>
    </row>
    <row r="8689" spans="3:6">
      <c r="C8689" s="12"/>
      <c r="D8689" s="12"/>
      <c r="E8689" t="b">
        <f t="shared" si="135"/>
        <v>1</v>
      </c>
      <c r="F8689" s="12">
        <v>0</v>
      </c>
    </row>
    <row r="8690" spans="3:6">
      <c r="C8690" s="12"/>
      <c r="D8690" s="12"/>
      <c r="E8690" t="b">
        <f t="shared" si="135"/>
        <v>1</v>
      </c>
      <c r="F8690" s="12">
        <v>0</v>
      </c>
    </row>
    <row r="8691" spans="3:6">
      <c r="C8691" s="12"/>
      <c r="D8691" s="12"/>
      <c r="E8691" t="b">
        <f t="shared" si="135"/>
        <v>1</v>
      </c>
      <c r="F8691" s="12">
        <v>0</v>
      </c>
    </row>
    <row r="8692" spans="3:6">
      <c r="C8692" s="12"/>
      <c r="D8692" s="12"/>
      <c r="E8692" t="b">
        <f t="shared" si="135"/>
        <v>1</v>
      </c>
      <c r="F8692" s="12">
        <v>0</v>
      </c>
    </row>
    <row r="8693" spans="3:6">
      <c r="C8693" s="12"/>
      <c r="D8693" s="12"/>
      <c r="E8693" t="b">
        <f t="shared" si="135"/>
        <v>1</v>
      </c>
      <c r="F8693" s="12">
        <v>0</v>
      </c>
    </row>
    <row r="8694" spans="3:6">
      <c r="C8694" s="12"/>
      <c r="D8694" s="12"/>
      <c r="E8694" t="b">
        <f t="shared" si="135"/>
        <v>1</v>
      </c>
      <c r="F8694" s="12">
        <v>0</v>
      </c>
    </row>
    <row r="8695" spans="3:6">
      <c r="C8695" s="12"/>
      <c r="D8695" s="12"/>
      <c r="E8695" t="b">
        <f t="shared" si="135"/>
        <v>1</v>
      </c>
      <c r="F8695" s="12">
        <v>0</v>
      </c>
    </row>
    <row r="8696" spans="3:6">
      <c r="C8696" s="12"/>
      <c r="D8696" s="12"/>
      <c r="E8696" t="b">
        <f t="shared" si="135"/>
        <v>1</v>
      </c>
      <c r="F8696" s="12">
        <v>0</v>
      </c>
    </row>
    <row r="8697" spans="3:6">
      <c r="C8697" s="12"/>
      <c r="D8697" s="12"/>
      <c r="E8697" t="b">
        <f t="shared" si="135"/>
        <v>1</v>
      </c>
      <c r="F8697" s="12">
        <v>0</v>
      </c>
    </row>
    <row r="8698" spans="3:6">
      <c r="C8698" s="12"/>
      <c r="D8698" s="12"/>
      <c r="E8698" t="b">
        <f t="shared" si="135"/>
        <v>1</v>
      </c>
      <c r="F8698" s="12">
        <v>0</v>
      </c>
    </row>
    <row r="8699" spans="3:6">
      <c r="C8699" s="12"/>
      <c r="D8699" s="12"/>
      <c r="E8699" t="b">
        <f t="shared" si="135"/>
        <v>1</v>
      </c>
      <c r="F8699" s="12">
        <v>0</v>
      </c>
    </row>
    <row r="8700" spans="3:6">
      <c r="C8700" s="12"/>
      <c r="D8700" s="12"/>
      <c r="E8700" t="b">
        <f t="shared" si="135"/>
        <v>1</v>
      </c>
      <c r="F8700" s="12">
        <v>0</v>
      </c>
    </row>
    <row r="8701" spans="3:6">
      <c r="C8701" s="12"/>
      <c r="D8701" s="12"/>
      <c r="E8701" t="b">
        <f t="shared" si="135"/>
        <v>1</v>
      </c>
      <c r="F8701" s="12">
        <v>0</v>
      </c>
    </row>
    <row r="8702" spans="3:6">
      <c r="C8702" s="12"/>
      <c r="D8702" s="12"/>
      <c r="E8702" t="b">
        <f t="shared" si="135"/>
        <v>1</v>
      </c>
      <c r="F8702" s="12">
        <v>0</v>
      </c>
    </row>
    <row r="8703" spans="3:6">
      <c r="C8703" s="12"/>
      <c r="D8703" s="12"/>
      <c r="E8703" t="b">
        <f t="shared" si="135"/>
        <v>1</v>
      </c>
      <c r="F8703" s="12">
        <v>0</v>
      </c>
    </row>
    <row r="8704" spans="3:6">
      <c r="C8704" s="12"/>
      <c r="D8704" s="12"/>
      <c r="E8704" t="b">
        <f t="shared" si="135"/>
        <v>1</v>
      </c>
      <c r="F8704" s="12">
        <v>0</v>
      </c>
    </row>
    <row r="8705" spans="3:6">
      <c r="C8705" s="12"/>
      <c r="D8705" s="12"/>
      <c r="E8705" t="b">
        <f t="shared" si="135"/>
        <v>1</v>
      </c>
      <c r="F8705" s="12">
        <v>0</v>
      </c>
    </row>
    <row r="8706" spans="3:6">
      <c r="C8706" s="12"/>
      <c r="D8706" s="12"/>
      <c r="E8706" t="b">
        <f t="shared" si="135"/>
        <v>1</v>
      </c>
      <c r="F8706" s="12">
        <v>0</v>
      </c>
    </row>
    <row r="8707" spans="3:6">
      <c r="C8707" s="12"/>
      <c r="D8707" s="12"/>
      <c r="E8707" t="b">
        <f t="shared" ref="E8707:E8770" si="136">F8707=C8707</f>
        <v>1</v>
      </c>
      <c r="F8707" s="12">
        <v>0</v>
      </c>
    </row>
    <row r="8708" spans="3:6">
      <c r="C8708" s="12"/>
      <c r="D8708" s="12"/>
      <c r="E8708" t="b">
        <f t="shared" si="136"/>
        <v>1</v>
      </c>
      <c r="F8708" s="12">
        <v>0</v>
      </c>
    </row>
    <row r="8709" spans="3:6">
      <c r="C8709" s="12"/>
      <c r="D8709" s="12"/>
      <c r="E8709" t="b">
        <f t="shared" si="136"/>
        <v>1</v>
      </c>
      <c r="F8709" s="12">
        <v>0</v>
      </c>
    </row>
    <row r="8710" spans="3:6">
      <c r="C8710" s="12"/>
      <c r="D8710" s="12"/>
      <c r="E8710" t="b">
        <f t="shared" si="136"/>
        <v>1</v>
      </c>
      <c r="F8710" s="12">
        <v>0</v>
      </c>
    </row>
    <row r="8711" spans="3:6">
      <c r="C8711" s="12"/>
      <c r="D8711" s="12"/>
      <c r="E8711" t="b">
        <f t="shared" si="136"/>
        <v>1</v>
      </c>
      <c r="F8711" s="12">
        <v>0</v>
      </c>
    </row>
    <row r="8712" spans="3:6">
      <c r="C8712" s="12"/>
      <c r="D8712" s="12"/>
      <c r="E8712" t="b">
        <f t="shared" si="136"/>
        <v>1</v>
      </c>
      <c r="F8712" s="12">
        <v>0</v>
      </c>
    </row>
    <row r="8713" spans="3:6">
      <c r="C8713" s="12"/>
      <c r="D8713" s="12"/>
      <c r="E8713" t="b">
        <f t="shared" si="136"/>
        <v>1</v>
      </c>
      <c r="F8713" s="12">
        <v>0</v>
      </c>
    </row>
    <row r="8714" spans="3:6">
      <c r="C8714" s="12"/>
      <c r="D8714" s="12"/>
      <c r="E8714" t="b">
        <f t="shared" si="136"/>
        <v>1</v>
      </c>
      <c r="F8714" s="12">
        <v>0</v>
      </c>
    </row>
    <row r="8715" spans="3:6">
      <c r="C8715" s="12"/>
      <c r="D8715" s="12"/>
      <c r="E8715" t="b">
        <f t="shared" si="136"/>
        <v>1</v>
      </c>
      <c r="F8715" s="12">
        <v>0</v>
      </c>
    </row>
    <row r="8716" spans="3:6">
      <c r="C8716" s="12"/>
      <c r="D8716" s="12"/>
      <c r="E8716" t="b">
        <f t="shared" si="136"/>
        <v>1</v>
      </c>
      <c r="F8716" s="12">
        <v>0</v>
      </c>
    </row>
    <row r="8717" spans="3:6">
      <c r="C8717" s="12"/>
      <c r="D8717" s="12"/>
      <c r="E8717" t="b">
        <f t="shared" si="136"/>
        <v>1</v>
      </c>
      <c r="F8717" s="12">
        <v>0</v>
      </c>
    </row>
    <row r="8718" spans="3:6">
      <c r="C8718" s="12"/>
      <c r="D8718" s="12"/>
      <c r="E8718" t="b">
        <f t="shared" si="136"/>
        <v>1</v>
      </c>
      <c r="F8718" s="12">
        <v>0</v>
      </c>
    </row>
    <row r="8719" spans="3:6">
      <c r="C8719" s="12"/>
      <c r="D8719" s="12"/>
      <c r="E8719" t="b">
        <f t="shared" si="136"/>
        <v>1</v>
      </c>
      <c r="F8719" s="12">
        <v>0</v>
      </c>
    </row>
    <row r="8720" spans="3:6">
      <c r="C8720" s="12"/>
      <c r="D8720" s="12"/>
      <c r="E8720" t="b">
        <f t="shared" si="136"/>
        <v>1</v>
      </c>
      <c r="F8720" s="12">
        <v>0</v>
      </c>
    </row>
    <row r="8721" spans="3:6">
      <c r="C8721" s="12"/>
      <c r="D8721" s="12"/>
      <c r="E8721" t="b">
        <f t="shared" si="136"/>
        <v>1</v>
      </c>
      <c r="F8721" s="12">
        <v>0</v>
      </c>
    </row>
    <row r="8722" spans="3:6">
      <c r="C8722" s="12"/>
      <c r="D8722" s="12"/>
      <c r="E8722" t="b">
        <f t="shared" si="136"/>
        <v>1</v>
      </c>
      <c r="F8722" s="12">
        <v>0</v>
      </c>
    </row>
    <row r="8723" spans="3:6">
      <c r="C8723" s="12"/>
      <c r="D8723" s="12"/>
      <c r="E8723" t="b">
        <f t="shared" si="136"/>
        <v>1</v>
      </c>
      <c r="F8723" s="12">
        <v>0</v>
      </c>
    </row>
    <row r="8724" spans="3:6">
      <c r="C8724" s="12"/>
      <c r="D8724" s="12"/>
      <c r="E8724" t="b">
        <f t="shared" si="136"/>
        <v>1</v>
      </c>
      <c r="F8724" s="12">
        <v>0</v>
      </c>
    </row>
    <row r="8725" spans="3:6">
      <c r="C8725" s="12"/>
      <c r="D8725" s="12"/>
      <c r="E8725" t="b">
        <f t="shared" si="136"/>
        <v>1</v>
      </c>
      <c r="F8725" s="12">
        <v>0</v>
      </c>
    </row>
    <row r="8726" spans="3:6">
      <c r="C8726" s="12"/>
      <c r="D8726" s="12"/>
      <c r="E8726" t="b">
        <f t="shared" si="136"/>
        <v>1</v>
      </c>
      <c r="F8726" s="12">
        <v>0</v>
      </c>
    </row>
    <row r="8727" spans="3:6">
      <c r="C8727" s="12"/>
      <c r="D8727" s="12"/>
      <c r="E8727" t="b">
        <f t="shared" si="136"/>
        <v>1</v>
      </c>
      <c r="F8727" s="12">
        <v>0</v>
      </c>
    </row>
    <row r="8728" spans="3:6">
      <c r="C8728" s="12"/>
      <c r="D8728" s="12"/>
      <c r="E8728" t="b">
        <f t="shared" si="136"/>
        <v>1</v>
      </c>
      <c r="F8728" s="12">
        <v>0</v>
      </c>
    </row>
    <row r="8729" spans="3:6">
      <c r="C8729" s="12"/>
      <c r="D8729" s="12"/>
      <c r="E8729" t="b">
        <f t="shared" si="136"/>
        <v>1</v>
      </c>
      <c r="F8729" s="12">
        <v>0</v>
      </c>
    </row>
    <row r="8730" spans="3:6">
      <c r="C8730" s="12"/>
      <c r="D8730" s="12"/>
      <c r="E8730" t="b">
        <f t="shared" si="136"/>
        <v>1</v>
      </c>
      <c r="F8730" s="12">
        <v>0</v>
      </c>
    </row>
    <row r="8731" spans="3:6">
      <c r="C8731" s="12"/>
      <c r="D8731" s="12"/>
      <c r="E8731" t="b">
        <f t="shared" si="136"/>
        <v>1</v>
      </c>
      <c r="F8731" s="12">
        <v>0</v>
      </c>
    </row>
    <row r="8732" spans="3:6">
      <c r="C8732" s="12"/>
      <c r="D8732" s="12"/>
      <c r="E8732" t="b">
        <f t="shared" si="136"/>
        <v>1</v>
      </c>
      <c r="F8732" s="12">
        <v>0</v>
      </c>
    </row>
    <row r="8733" spans="3:6">
      <c r="C8733" s="12"/>
      <c r="D8733" s="12"/>
      <c r="E8733" t="b">
        <f t="shared" si="136"/>
        <v>1</v>
      </c>
      <c r="F8733" s="12">
        <v>0</v>
      </c>
    </row>
    <row r="8734" spans="3:6">
      <c r="C8734" s="12"/>
      <c r="D8734" s="12"/>
      <c r="E8734" t="b">
        <f t="shared" si="136"/>
        <v>1</v>
      </c>
      <c r="F8734" s="12">
        <v>0</v>
      </c>
    </row>
    <row r="8735" spans="3:6">
      <c r="C8735" s="12"/>
      <c r="D8735" s="12"/>
      <c r="E8735" t="b">
        <f t="shared" si="136"/>
        <v>1</v>
      </c>
      <c r="F8735" s="12">
        <v>0</v>
      </c>
    </row>
    <row r="8736" spans="3:6">
      <c r="C8736" s="12"/>
      <c r="D8736" s="12"/>
      <c r="E8736" t="b">
        <f t="shared" si="136"/>
        <v>1</v>
      </c>
      <c r="F8736" s="12">
        <v>0</v>
      </c>
    </row>
    <row r="8737" spans="3:6">
      <c r="C8737" s="12"/>
      <c r="D8737" s="12"/>
      <c r="E8737" t="b">
        <f t="shared" si="136"/>
        <v>1</v>
      </c>
      <c r="F8737" s="12">
        <v>0</v>
      </c>
    </row>
    <row r="8738" spans="3:6">
      <c r="C8738" s="12"/>
      <c r="D8738" s="12"/>
      <c r="E8738" t="b">
        <f t="shared" si="136"/>
        <v>1</v>
      </c>
      <c r="F8738" s="12">
        <v>0</v>
      </c>
    </row>
    <row r="8739" spans="3:6">
      <c r="C8739" s="12"/>
      <c r="D8739" s="12"/>
      <c r="E8739" t="b">
        <f t="shared" si="136"/>
        <v>1</v>
      </c>
      <c r="F8739" s="12">
        <v>0</v>
      </c>
    </row>
    <row r="8740" spans="3:6">
      <c r="C8740" s="12"/>
      <c r="D8740" s="12"/>
      <c r="E8740" t="b">
        <f t="shared" si="136"/>
        <v>1</v>
      </c>
      <c r="F8740" s="12">
        <v>0</v>
      </c>
    </row>
    <row r="8741" spans="3:6">
      <c r="C8741" s="12"/>
      <c r="D8741" s="12"/>
      <c r="E8741" t="b">
        <f t="shared" si="136"/>
        <v>1</v>
      </c>
      <c r="F8741" s="12">
        <v>0</v>
      </c>
    </row>
    <row r="8742" spans="3:6">
      <c r="C8742" s="12"/>
      <c r="D8742" s="12"/>
      <c r="E8742" t="b">
        <f t="shared" si="136"/>
        <v>1</v>
      </c>
      <c r="F8742" s="12">
        <v>0</v>
      </c>
    </row>
    <row r="8743" spans="3:6">
      <c r="C8743" s="12"/>
      <c r="D8743" s="12"/>
      <c r="E8743" t="b">
        <f t="shared" si="136"/>
        <v>1</v>
      </c>
      <c r="F8743" s="12">
        <v>0</v>
      </c>
    </row>
    <row r="8744" spans="3:6">
      <c r="C8744" s="12"/>
      <c r="D8744" s="12"/>
      <c r="E8744" t="b">
        <f t="shared" si="136"/>
        <v>1</v>
      </c>
      <c r="F8744" s="12">
        <v>0</v>
      </c>
    </row>
    <row r="8745" spans="3:6">
      <c r="C8745" s="12"/>
      <c r="D8745" s="12"/>
      <c r="E8745" t="b">
        <f t="shared" si="136"/>
        <v>1</v>
      </c>
      <c r="F8745" s="12">
        <v>0</v>
      </c>
    </row>
    <row r="8746" spans="3:6">
      <c r="C8746" s="12"/>
      <c r="D8746" s="12"/>
      <c r="E8746" t="b">
        <f t="shared" si="136"/>
        <v>1</v>
      </c>
      <c r="F8746" s="12">
        <v>0</v>
      </c>
    </row>
    <row r="8747" spans="3:6">
      <c r="C8747" s="12"/>
      <c r="D8747" s="12"/>
      <c r="E8747" t="b">
        <f t="shared" si="136"/>
        <v>1</v>
      </c>
      <c r="F8747" s="12">
        <v>0</v>
      </c>
    </row>
    <row r="8748" spans="3:6">
      <c r="C8748" s="12"/>
      <c r="D8748" s="12"/>
      <c r="E8748" t="b">
        <f t="shared" si="136"/>
        <v>1</v>
      </c>
      <c r="F8748" s="12">
        <v>0</v>
      </c>
    </row>
    <row r="8749" spans="3:6">
      <c r="C8749" s="12"/>
      <c r="D8749" s="12"/>
      <c r="E8749" t="b">
        <f t="shared" si="136"/>
        <v>1</v>
      </c>
      <c r="F8749" s="12">
        <v>0</v>
      </c>
    </row>
    <row r="8750" spans="3:6">
      <c r="C8750" s="12"/>
      <c r="D8750" s="12"/>
      <c r="E8750" t="b">
        <f t="shared" si="136"/>
        <v>1</v>
      </c>
      <c r="F8750" s="12">
        <v>0</v>
      </c>
    </row>
    <row r="8751" spans="3:6">
      <c r="C8751" s="12"/>
      <c r="D8751" s="12"/>
      <c r="E8751" t="b">
        <f t="shared" si="136"/>
        <v>1</v>
      </c>
      <c r="F8751" s="12">
        <v>0</v>
      </c>
    </row>
    <row r="8752" spans="3:6">
      <c r="C8752" s="12"/>
      <c r="D8752" s="12"/>
      <c r="E8752" t="b">
        <f t="shared" si="136"/>
        <v>1</v>
      </c>
      <c r="F8752" s="12">
        <v>0</v>
      </c>
    </row>
    <row r="8753" spans="3:6">
      <c r="C8753" s="12"/>
      <c r="D8753" s="12"/>
      <c r="E8753" t="b">
        <f t="shared" si="136"/>
        <v>1</v>
      </c>
      <c r="F8753" s="12">
        <v>0</v>
      </c>
    </row>
    <row r="8754" spans="3:6">
      <c r="C8754" s="12"/>
      <c r="D8754" s="12"/>
      <c r="E8754" t="b">
        <f t="shared" si="136"/>
        <v>1</v>
      </c>
      <c r="F8754" s="12">
        <v>0</v>
      </c>
    </row>
    <row r="8755" spans="3:6">
      <c r="C8755" s="12"/>
      <c r="D8755" s="12"/>
      <c r="E8755" t="b">
        <f t="shared" si="136"/>
        <v>1</v>
      </c>
      <c r="F8755" s="12">
        <v>0</v>
      </c>
    </row>
    <row r="8756" spans="3:6">
      <c r="C8756" s="12"/>
      <c r="D8756" s="12"/>
      <c r="E8756" t="b">
        <f t="shared" si="136"/>
        <v>1</v>
      </c>
      <c r="F8756" s="12">
        <v>0</v>
      </c>
    </row>
    <row r="8757" spans="3:6">
      <c r="C8757" s="12"/>
      <c r="D8757" s="12"/>
      <c r="E8757" t="b">
        <f t="shared" si="136"/>
        <v>1</v>
      </c>
      <c r="F8757" s="12">
        <v>0</v>
      </c>
    </row>
    <row r="8758" spans="3:6">
      <c r="C8758" s="12"/>
      <c r="D8758" s="12"/>
      <c r="E8758" t="b">
        <f t="shared" si="136"/>
        <v>1</v>
      </c>
      <c r="F8758" s="12">
        <v>0</v>
      </c>
    </row>
    <row r="8759" spans="3:6">
      <c r="C8759" s="12"/>
      <c r="D8759" s="12"/>
      <c r="E8759" t="b">
        <f t="shared" si="136"/>
        <v>1</v>
      </c>
      <c r="F8759" s="12">
        <v>0</v>
      </c>
    </row>
    <row r="8760" spans="3:6">
      <c r="C8760" s="12"/>
      <c r="D8760" s="12"/>
      <c r="E8760" t="b">
        <f t="shared" si="136"/>
        <v>1</v>
      </c>
      <c r="F8760" s="12">
        <v>0</v>
      </c>
    </row>
    <row r="8761" spans="3:6">
      <c r="C8761" s="12"/>
      <c r="D8761" s="12"/>
      <c r="E8761" t="b">
        <f t="shared" si="136"/>
        <v>1</v>
      </c>
      <c r="F8761" s="12">
        <v>0</v>
      </c>
    </row>
    <row r="8762" spans="3:6">
      <c r="C8762" s="12"/>
      <c r="D8762" s="12"/>
      <c r="E8762" t="b">
        <f t="shared" si="136"/>
        <v>1</v>
      </c>
      <c r="F8762" s="12">
        <v>0</v>
      </c>
    </row>
    <row r="8763" spans="3:6">
      <c r="C8763" s="12"/>
      <c r="D8763" s="12"/>
      <c r="E8763" t="b">
        <f t="shared" si="136"/>
        <v>1</v>
      </c>
      <c r="F8763" s="12">
        <v>0</v>
      </c>
    </row>
    <row r="8764" spans="3:6">
      <c r="C8764" s="12"/>
      <c r="D8764" s="12"/>
      <c r="E8764" t="b">
        <f t="shared" si="136"/>
        <v>1</v>
      </c>
      <c r="F8764" s="12">
        <v>0</v>
      </c>
    </row>
    <row r="8765" spans="3:6">
      <c r="C8765" s="12"/>
      <c r="D8765" s="12"/>
      <c r="E8765" t="b">
        <f t="shared" si="136"/>
        <v>1</v>
      </c>
      <c r="F8765" s="12">
        <v>0</v>
      </c>
    </row>
    <row r="8766" spans="3:6">
      <c r="C8766" s="12"/>
      <c r="D8766" s="12"/>
      <c r="E8766" t="b">
        <f t="shared" si="136"/>
        <v>1</v>
      </c>
      <c r="F8766" s="12">
        <v>0</v>
      </c>
    </row>
    <row r="8767" spans="3:6">
      <c r="C8767" s="12"/>
      <c r="D8767" s="12"/>
      <c r="E8767" t="b">
        <f t="shared" si="136"/>
        <v>1</v>
      </c>
      <c r="F8767" s="12">
        <v>0</v>
      </c>
    </row>
    <row r="8768" spans="3:6">
      <c r="C8768" s="12"/>
      <c r="D8768" s="12"/>
      <c r="E8768" t="b">
        <f t="shared" si="136"/>
        <v>1</v>
      </c>
      <c r="F8768" s="12">
        <v>0</v>
      </c>
    </row>
    <row r="8769" spans="3:6">
      <c r="C8769" s="12"/>
      <c r="D8769" s="12"/>
      <c r="E8769" t="b">
        <f t="shared" si="136"/>
        <v>1</v>
      </c>
      <c r="F8769" s="12">
        <v>0</v>
      </c>
    </row>
    <row r="8770" spans="3:6">
      <c r="C8770" s="12"/>
      <c r="D8770" s="12"/>
      <c r="E8770" t="b">
        <f t="shared" si="136"/>
        <v>1</v>
      </c>
      <c r="F8770" s="12">
        <v>0</v>
      </c>
    </row>
    <row r="8771" spans="3:6">
      <c r="C8771" s="12"/>
      <c r="D8771" s="12"/>
      <c r="E8771" t="b">
        <f t="shared" ref="E8771:E8834" si="137">F8771=C8771</f>
        <v>1</v>
      </c>
      <c r="F8771" s="12">
        <v>0</v>
      </c>
    </row>
    <row r="8772" spans="3:6">
      <c r="C8772" s="12"/>
      <c r="D8772" s="12"/>
      <c r="E8772" t="b">
        <f t="shared" si="137"/>
        <v>1</v>
      </c>
      <c r="F8772" s="12">
        <v>0</v>
      </c>
    </row>
    <row r="8773" spans="3:6">
      <c r="C8773" s="12"/>
      <c r="D8773" s="12"/>
      <c r="E8773" t="b">
        <f t="shared" si="137"/>
        <v>1</v>
      </c>
      <c r="F8773" s="12">
        <v>0</v>
      </c>
    </row>
    <row r="8774" spans="3:6">
      <c r="C8774" s="12"/>
      <c r="D8774" s="12"/>
      <c r="E8774" t="b">
        <f t="shared" si="137"/>
        <v>1</v>
      </c>
      <c r="F8774" s="12">
        <v>0</v>
      </c>
    </row>
    <row r="8775" spans="3:6">
      <c r="C8775" s="12"/>
      <c r="D8775" s="12"/>
      <c r="E8775" t="b">
        <f t="shared" si="137"/>
        <v>1</v>
      </c>
      <c r="F8775" s="12">
        <v>0</v>
      </c>
    </row>
    <row r="8776" spans="3:6">
      <c r="C8776" s="12"/>
      <c r="D8776" s="12"/>
      <c r="E8776" t="b">
        <f t="shared" si="137"/>
        <v>1</v>
      </c>
      <c r="F8776" s="12">
        <v>0</v>
      </c>
    </row>
    <row r="8777" spans="3:6">
      <c r="C8777" s="12"/>
      <c r="D8777" s="12"/>
      <c r="E8777" t="b">
        <f t="shared" si="137"/>
        <v>1</v>
      </c>
      <c r="F8777" s="12">
        <v>0</v>
      </c>
    </row>
    <row r="8778" spans="3:6">
      <c r="C8778" s="12"/>
      <c r="D8778" s="12"/>
      <c r="E8778" t="b">
        <f t="shared" si="137"/>
        <v>1</v>
      </c>
      <c r="F8778" s="12">
        <v>0</v>
      </c>
    </row>
    <row r="8779" spans="3:6">
      <c r="C8779" s="12"/>
      <c r="D8779" s="12"/>
      <c r="E8779" t="b">
        <f t="shared" si="137"/>
        <v>1</v>
      </c>
      <c r="F8779" s="12">
        <v>0</v>
      </c>
    </row>
    <row r="8780" spans="3:6">
      <c r="C8780" s="12"/>
      <c r="D8780" s="12"/>
      <c r="E8780" t="b">
        <f t="shared" si="137"/>
        <v>1</v>
      </c>
      <c r="F8780" s="12">
        <v>0</v>
      </c>
    </row>
    <row r="8781" spans="3:6">
      <c r="C8781" s="12"/>
      <c r="D8781" s="12"/>
      <c r="E8781" t="b">
        <f t="shared" si="137"/>
        <v>1</v>
      </c>
      <c r="F8781" s="12">
        <v>0</v>
      </c>
    </row>
    <row r="8782" spans="3:6">
      <c r="C8782" s="12"/>
      <c r="D8782" s="12"/>
      <c r="E8782" t="b">
        <f t="shared" si="137"/>
        <v>1</v>
      </c>
      <c r="F8782" s="12">
        <v>0</v>
      </c>
    </row>
    <row r="8783" spans="3:6">
      <c r="C8783" s="12"/>
      <c r="D8783" s="12"/>
      <c r="E8783" t="b">
        <f t="shared" si="137"/>
        <v>1</v>
      </c>
      <c r="F8783" s="12">
        <v>0</v>
      </c>
    </row>
    <row r="8784" spans="3:6">
      <c r="C8784" s="12"/>
      <c r="D8784" s="12"/>
      <c r="E8784" t="b">
        <f t="shared" si="137"/>
        <v>1</v>
      </c>
      <c r="F8784" s="12">
        <v>0</v>
      </c>
    </row>
    <row r="8785" spans="3:6">
      <c r="C8785" s="12"/>
      <c r="D8785" s="12"/>
      <c r="E8785" t="b">
        <f t="shared" si="137"/>
        <v>1</v>
      </c>
      <c r="F8785" s="12">
        <v>0</v>
      </c>
    </row>
    <row r="8786" spans="3:6">
      <c r="C8786" s="12"/>
      <c r="D8786" s="12"/>
      <c r="E8786" t="b">
        <f t="shared" si="137"/>
        <v>1</v>
      </c>
      <c r="F8786" s="12">
        <v>0</v>
      </c>
    </row>
    <row r="8787" spans="3:6">
      <c r="C8787" s="12"/>
      <c r="D8787" s="12"/>
      <c r="E8787" t="b">
        <f t="shared" si="137"/>
        <v>1</v>
      </c>
      <c r="F8787" s="12">
        <v>0</v>
      </c>
    </row>
    <row r="8788" spans="3:6">
      <c r="C8788" s="12"/>
      <c r="D8788" s="12"/>
      <c r="E8788" t="b">
        <f t="shared" si="137"/>
        <v>1</v>
      </c>
      <c r="F8788" s="12">
        <v>0</v>
      </c>
    </row>
    <row r="8789" spans="3:6">
      <c r="C8789" s="12"/>
      <c r="D8789" s="12"/>
      <c r="E8789" t="b">
        <f t="shared" si="137"/>
        <v>1</v>
      </c>
      <c r="F8789" s="12">
        <v>0</v>
      </c>
    </row>
    <row r="8790" spans="3:6">
      <c r="C8790" s="12"/>
      <c r="D8790" s="12"/>
      <c r="E8790" t="b">
        <f t="shared" si="137"/>
        <v>1</v>
      </c>
      <c r="F8790" s="12">
        <v>0</v>
      </c>
    </row>
    <row r="8791" spans="3:6">
      <c r="C8791" s="12"/>
      <c r="D8791" s="12"/>
      <c r="E8791" t="b">
        <f t="shared" si="137"/>
        <v>1</v>
      </c>
      <c r="F8791" s="12">
        <v>0</v>
      </c>
    </row>
    <row r="8792" spans="3:6">
      <c r="C8792" s="12"/>
      <c r="D8792" s="12"/>
      <c r="E8792" t="b">
        <f t="shared" si="137"/>
        <v>1</v>
      </c>
      <c r="F8792" s="12">
        <v>0</v>
      </c>
    </row>
    <row r="8793" spans="3:6">
      <c r="C8793" s="12"/>
      <c r="D8793" s="12"/>
      <c r="E8793" t="b">
        <f t="shared" si="137"/>
        <v>1</v>
      </c>
      <c r="F8793" s="12">
        <v>0</v>
      </c>
    </row>
    <row r="8794" spans="3:6">
      <c r="C8794" s="12"/>
      <c r="D8794" s="12"/>
      <c r="E8794" t="b">
        <f t="shared" si="137"/>
        <v>1</v>
      </c>
      <c r="F8794" s="12">
        <v>0</v>
      </c>
    </row>
    <row r="8795" spans="3:6">
      <c r="C8795" s="12"/>
      <c r="D8795" s="12"/>
      <c r="E8795" t="b">
        <f t="shared" si="137"/>
        <v>1</v>
      </c>
      <c r="F8795" s="12">
        <v>0</v>
      </c>
    </row>
    <row r="8796" spans="3:6">
      <c r="C8796" s="12"/>
      <c r="D8796" s="12"/>
      <c r="E8796" t="b">
        <f t="shared" si="137"/>
        <v>1</v>
      </c>
      <c r="F8796" s="12">
        <v>0</v>
      </c>
    </row>
    <row r="8797" spans="3:6">
      <c r="C8797" s="12"/>
      <c r="D8797" s="12"/>
      <c r="E8797" t="b">
        <f t="shared" si="137"/>
        <v>1</v>
      </c>
      <c r="F8797" s="12">
        <v>0</v>
      </c>
    </row>
    <row r="8798" spans="3:6">
      <c r="C8798" s="12"/>
      <c r="D8798" s="12"/>
      <c r="E8798" t="b">
        <f t="shared" si="137"/>
        <v>1</v>
      </c>
      <c r="F8798" s="12">
        <v>0</v>
      </c>
    </row>
    <row r="8799" spans="3:6">
      <c r="C8799" s="12"/>
      <c r="D8799" s="12"/>
      <c r="E8799" t="b">
        <f t="shared" si="137"/>
        <v>1</v>
      </c>
      <c r="F8799" s="12">
        <v>0</v>
      </c>
    </row>
    <row r="8800" spans="3:6">
      <c r="C8800" s="12"/>
      <c r="D8800" s="12"/>
      <c r="E8800" t="b">
        <f t="shared" si="137"/>
        <v>1</v>
      </c>
      <c r="F8800" s="12">
        <v>0</v>
      </c>
    </row>
    <row r="8801" spans="3:6">
      <c r="C8801" s="12"/>
      <c r="D8801" s="12"/>
      <c r="E8801" t="b">
        <f t="shared" si="137"/>
        <v>1</v>
      </c>
      <c r="F8801" s="12">
        <v>0</v>
      </c>
    </row>
    <row r="8802" spans="3:6">
      <c r="C8802" s="12"/>
      <c r="D8802" s="12"/>
      <c r="E8802" t="b">
        <f t="shared" si="137"/>
        <v>1</v>
      </c>
      <c r="F8802" s="12">
        <v>0</v>
      </c>
    </row>
    <row r="8803" spans="3:6">
      <c r="C8803" s="12"/>
      <c r="D8803" s="12"/>
      <c r="E8803" t="b">
        <f t="shared" si="137"/>
        <v>1</v>
      </c>
      <c r="F8803" s="12">
        <v>0</v>
      </c>
    </row>
    <row r="8804" spans="3:6">
      <c r="C8804" s="12"/>
      <c r="D8804" s="12"/>
      <c r="E8804" t="b">
        <f t="shared" si="137"/>
        <v>1</v>
      </c>
      <c r="F8804" s="12">
        <v>0</v>
      </c>
    </row>
    <row r="8805" spans="3:6">
      <c r="C8805" s="12"/>
      <c r="D8805" s="12"/>
      <c r="E8805" t="b">
        <f t="shared" si="137"/>
        <v>1</v>
      </c>
      <c r="F8805" s="12">
        <v>0</v>
      </c>
    </row>
    <row r="8806" spans="3:6">
      <c r="C8806" s="12"/>
      <c r="D8806" s="12"/>
      <c r="E8806" t="b">
        <f t="shared" si="137"/>
        <v>1</v>
      </c>
      <c r="F8806" s="12">
        <v>0</v>
      </c>
    </row>
    <row r="8807" spans="3:6">
      <c r="C8807" s="12"/>
      <c r="D8807" s="12"/>
      <c r="E8807" t="b">
        <f t="shared" si="137"/>
        <v>1</v>
      </c>
      <c r="F8807" s="12">
        <v>0</v>
      </c>
    </row>
    <row r="8808" spans="3:6">
      <c r="C8808" s="12"/>
      <c r="D8808" s="12"/>
      <c r="E8808" t="b">
        <f t="shared" si="137"/>
        <v>1</v>
      </c>
      <c r="F8808" s="12">
        <v>0</v>
      </c>
    </row>
    <row r="8809" spans="3:6">
      <c r="C8809" s="12"/>
      <c r="D8809" s="12"/>
      <c r="E8809" t="b">
        <f t="shared" si="137"/>
        <v>1</v>
      </c>
      <c r="F8809" s="12">
        <v>0</v>
      </c>
    </row>
    <row r="8810" spans="3:6">
      <c r="C8810" s="12"/>
      <c r="D8810" s="12"/>
      <c r="E8810" t="b">
        <f t="shared" si="137"/>
        <v>1</v>
      </c>
      <c r="F8810" s="12">
        <v>0</v>
      </c>
    </row>
    <row r="8811" spans="3:6">
      <c r="C8811" s="12"/>
      <c r="D8811" s="12"/>
      <c r="E8811" t="b">
        <f t="shared" si="137"/>
        <v>1</v>
      </c>
      <c r="F8811" s="12">
        <v>0</v>
      </c>
    </row>
    <row r="8812" spans="3:6">
      <c r="C8812" s="12"/>
      <c r="D8812" s="12"/>
      <c r="E8812" t="b">
        <f t="shared" si="137"/>
        <v>1</v>
      </c>
      <c r="F8812" s="12">
        <v>0</v>
      </c>
    </row>
    <row r="8813" spans="3:6">
      <c r="C8813" s="12"/>
      <c r="D8813" s="12"/>
      <c r="E8813" t="b">
        <f t="shared" si="137"/>
        <v>1</v>
      </c>
      <c r="F8813" s="12">
        <v>0</v>
      </c>
    </row>
    <row r="8814" spans="3:6">
      <c r="C8814" s="12"/>
      <c r="D8814" s="12"/>
      <c r="E8814" t="b">
        <f t="shared" si="137"/>
        <v>1</v>
      </c>
      <c r="F8814" s="12">
        <v>0</v>
      </c>
    </row>
    <row r="8815" spans="3:6">
      <c r="C8815" s="12"/>
      <c r="D8815" s="12"/>
      <c r="E8815" t="b">
        <f t="shared" si="137"/>
        <v>1</v>
      </c>
      <c r="F8815" s="12">
        <v>0</v>
      </c>
    </row>
    <row r="8816" spans="3:6">
      <c r="C8816" s="12"/>
      <c r="D8816" s="12"/>
      <c r="E8816" t="b">
        <f t="shared" si="137"/>
        <v>1</v>
      </c>
      <c r="F8816" s="12">
        <v>0</v>
      </c>
    </row>
    <row r="8817" spans="3:6">
      <c r="C8817" s="12"/>
      <c r="D8817" s="12"/>
      <c r="E8817" t="b">
        <f t="shared" si="137"/>
        <v>1</v>
      </c>
      <c r="F8817" s="12">
        <v>0</v>
      </c>
    </row>
    <row r="8818" spans="3:6">
      <c r="C8818" s="12"/>
      <c r="D8818" s="12"/>
      <c r="E8818" t="b">
        <f t="shared" si="137"/>
        <v>1</v>
      </c>
      <c r="F8818" s="12">
        <v>0</v>
      </c>
    </row>
    <row r="8819" spans="3:6">
      <c r="C8819" s="12"/>
      <c r="D8819" s="12"/>
      <c r="E8819" t="b">
        <f t="shared" si="137"/>
        <v>1</v>
      </c>
      <c r="F8819" s="12">
        <v>0</v>
      </c>
    </row>
    <row r="8820" spans="3:6">
      <c r="C8820" s="12"/>
      <c r="D8820" s="12"/>
      <c r="E8820" t="b">
        <f t="shared" si="137"/>
        <v>1</v>
      </c>
      <c r="F8820" s="12">
        <v>0</v>
      </c>
    </row>
    <row r="8821" spans="3:6">
      <c r="C8821" s="12"/>
      <c r="D8821" s="12"/>
      <c r="E8821" t="b">
        <f t="shared" si="137"/>
        <v>1</v>
      </c>
      <c r="F8821" s="12">
        <v>0</v>
      </c>
    </row>
    <row r="8822" spans="3:6">
      <c r="C8822" s="12"/>
      <c r="D8822" s="12"/>
      <c r="E8822" t="b">
        <f t="shared" si="137"/>
        <v>1</v>
      </c>
      <c r="F8822" s="12">
        <v>0</v>
      </c>
    </row>
    <row r="8823" spans="3:6">
      <c r="C8823" s="12"/>
      <c r="D8823" s="12"/>
      <c r="E8823" t="b">
        <f t="shared" si="137"/>
        <v>1</v>
      </c>
      <c r="F8823" s="12">
        <v>0</v>
      </c>
    </row>
    <row r="8824" spans="3:6">
      <c r="C8824" s="12"/>
      <c r="D8824" s="12"/>
      <c r="E8824" t="b">
        <f t="shared" si="137"/>
        <v>1</v>
      </c>
      <c r="F8824" s="12">
        <v>0</v>
      </c>
    </row>
    <row r="8825" spans="3:6">
      <c r="C8825" s="12"/>
      <c r="D8825" s="12"/>
      <c r="E8825" t="b">
        <f t="shared" si="137"/>
        <v>1</v>
      </c>
      <c r="F8825" s="12">
        <v>0</v>
      </c>
    </row>
    <row r="8826" spans="3:6">
      <c r="C8826" s="12"/>
      <c r="D8826" s="12"/>
      <c r="E8826" t="b">
        <f t="shared" si="137"/>
        <v>1</v>
      </c>
      <c r="F8826" s="12">
        <v>0</v>
      </c>
    </row>
    <row r="8827" spans="3:6">
      <c r="C8827" s="12"/>
      <c r="D8827" s="12"/>
      <c r="E8827" t="b">
        <f t="shared" si="137"/>
        <v>1</v>
      </c>
      <c r="F8827" s="12">
        <v>0</v>
      </c>
    </row>
    <row r="8828" spans="3:6">
      <c r="C8828" s="12"/>
      <c r="D8828" s="12"/>
      <c r="E8828" t="b">
        <f t="shared" si="137"/>
        <v>1</v>
      </c>
      <c r="F8828" s="12">
        <v>0</v>
      </c>
    </row>
    <row r="8829" spans="3:6">
      <c r="C8829" s="12"/>
      <c r="D8829" s="12"/>
      <c r="E8829" t="b">
        <f t="shared" si="137"/>
        <v>1</v>
      </c>
      <c r="F8829" s="12">
        <v>0</v>
      </c>
    </row>
    <row r="8830" spans="3:6">
      <c r="C8830" s="12"/>
      <c r="D8830" s="12"/>
      <c r="E8830" t="b">
        <f t="shared" si="137"/>
        <v>1</v>
      </c>
      <c r="F8830" s="12">
        <v>0</v>
      </c>
    </row>
    <row r="8831" spans="3:6">
      <c r="C8831" s="12"/>
      <c r="D8831" s="12"/>
      <c r="E8831" t="b">
        <f t="shared" si="137"/>
        <v>1</v>
      </c>
      <c r="F8831" s="12">
        <v>0</v>
      </c>
    </row>
    <row r="8832" spans="3:6">
      <c r="C8832" s="12"/>
      <c r="D8832" s="12"/>
      <c r="E8832" t="b">
        <f t="shared" si="137"/>
        <v>1</v>
      </c>
      <c r="F8832" s="12">
        <v>0</v>
      </c>
    </row>
    <row r="8833" spans="3:6">
      <c r="C8833" s="12"/>
      <c r="D8833" s="12"/>
      <c r="E8833" t="b">
        <f t="shared" si="137"/>
        <v>1</v>
      </c>
      <c r="F8833" s="12">
        <v>0</v>
      </c>
    </row>
    <row r="8834" spans="3:6">
      <c r="C8834" s="12"/>
      <c r="D8834" s="12"/>
      <c r="E8834" t="b">
        <f t="shared" si="137"/>
        <v>1</v>
      </c>
      <c r="F8834" s="12">
        <v>0</v>
      </c>
    </row>
    <row r="8835" spans="3:6">
      <c r="C8835" s="12"/>
      <c r="D8835" s="12"/>
      <c r="E8835" t="b">
        <f t="shared" ref="E8835:E8898" si="138">F8835=C8835</f>
        <v>1</v>
      </c>
      <c r="F8835" s="12">
        <v>0</v>
      </c>
    </row>
    <row r="8836" spans="3:6">
      <c r="C8836" s="12"/>
      <c r="D8836" s="12"/>
      <c r="E8836" t="b">
        <f t="shared" si="138"/>
        <v>1</v>
      </c>
      <c r="F8836" s="12">
        <v>0</v>
      </c>
    </row>
    <row r="8837" spans="3:6">
      <c r="C8837" s="12"/>
      <c r="D8837" s="12"/>
      <c r="E8837" t="b">
        <f t="shared" si="138"/>
        <v>1</v>
      </c>
      <c r="F8837" s="12">
        <v>0</v>
      </c>
    </row>
    <row r="8838" spans="3:6">
      <c r="C8838" s="12"/>
      <c r="D8838" s="12"/>
      <c r="E8838" t="b">
        <f t="shared" si="138"/>
        <v>1</v>
      </c>
      <c r="F8838" s="12">
        <v>0</v>
      </c>
    </row>
    <row r="8839" spans="3:6">
      <c r="C8839" s="12"/>
      <c r="D8839" s="12"/>
      <c r="E8839" t="b">
        <f t="shared" si="138"/>
        <v>1</v>
      </c>
      <c r="F8839" s="12">
        <v>0</v>
      </c>
    </row>
    <row r="8840" spans="3:6">
      <c r="C8840" s="12"/>
      <c r="D8840" s="12"/>
      <c r="E8840" t="b">
        <f t="shared" si="138"/>
        <v>1</v>
      </c>
      <c r="F8840" s="12">
        <v>0</v>
      </c>
    </row>
    <row r="8841" spans="3:6">
      <c r="C8841" s="12"/>
      <c r="D8841" s="12"/>
      <c r="E8841" t="b">
        <f t="shared" si="138"/>
        <v>1</v>
      </c>
      <c r="F8841" s="12">
        <v>0</v>
      </c>
    </row>
    <row r="8842" spans="3:6">
      <c r="C8842" s="12"/>
      <c r="D8842" s="12"/>
      <c r="E8842" t="b">
        <f t="shared" si="138"/>
        <v>1</v>
      </c>
      <c r="F8842" s="12">
        <v>0</v>
      </c>
    </row>
    <row r="8843" spans="3:6">
      <c r="C8843" s="12"/>
      <c r="D8843" s="12"/>
      <c r="E8843" t="b">
        <f t="shared" si="138"/>
        <v>1</v>
      </c>
      <c r="F8843" s="12">
        <v>0</v>
      </c>
    </row>
    <row r="8844" spans="3:6">
      <c r="C8844" s="12"/>
      <c r="D8844" s="12"/>
      <c r="E8844" t="b">
        <f t="shared" si="138"/>
        <v>1</v>
      </c>
      <c r="F8844" s="12">
        <v>0</v>
      </c>
    </row>
    <row r="8845" spans="3:6">
      <c r="C8845" s="12"/>
      <c r="D8845" s="12"/>
      <c r="E8845" t="b">
        <f t="shared" si="138"/>
        <v>1</v>
      </c>
      <c r="F8845" s="12">
        <v>0</v>
      </c>
    </row>
    <row r="8846" spans="3:6">
      <c r="C8846" s="12"/>
      <c r="D8846" s="12"/>
      <c r="E8846" t="b">
        <f t="shared" si="138"/>
        <v>1</v>
      </c>
      <c r="F8846" s="12">
        <v>0</v>
      </c>
    </row>
    <row r="8847" spans="3:6">
      <c r="C8847" s="12"/>
      <c r="D8847" s="12"/>
      <c r="E8847" t="b">
        <f t="shared" si="138"/>
        <v>1</v>
      </c>
      <c r="F8847" s="12">
        <v>0</v>
      </c>
    </row>
    <row r="8848" spans="3:6">
      <c r="C8848" s="12"/>
      <c r="D8848" s="12"/>
      <c r="E8848" t="b">
        <f t="shared" si="138"/>
        <v>1</v>
      </c>
      <c r="F8848" s="12">
        <v>0</v>
      </c>
    </row>
    <row r="8849" spans="3:6">
      <c r="C8849" s="12"/>
      <c r="D8849" s="12"/>
      <c r="E8849" t="b">
        <f t="shared" si="138"/>
        <v>1</v>
      </c>
      <c r="F8849" s="12">
        <v>0</v>
      </c>
    </row>
    <row r="8850" spans="3:6">
      <c r="C8850" s="12"/>
      <c r="D8850" s="12"/>
      <c r="E8850" t="b">
        <f t="shared" si="138"/>
        <v>1</v>
      </c>
      <c r="F8850" s="12">
        <v>0</v>
      </c>
    </row>
    <row r="8851" spans="3:6">
      <c r="C8851" s="12"/>
      <c r="D8851" s="12"/>
      <c r="E8851" t="b">
        <f t="shared" si="138"/>
        <v>1</v>
      </c>
      <c r="F8851" s="12">
        <v>0</v>
      </c>
    </row>
    <row r="8852" spans="3:6">
      <c r="C8852" s="12"/>
      <c r="D8852" s="12"/>
      <c r="E8852" t="b">
        <f t="shared" si="138"/>
        <v>1</v>
      </c>
      <c r="F8852" s="12">
        <v>0</v>
      </c>
    </row>
    <row r="8853" spans="3:6">
      <c r="C8853" s="12"/>
      <c r="D8853" s="12"/>
      <c r="E8853" t="b">
        <f t="shared" si="138"/>
        <v>1</v>
      </c>
      <c r="F8853" s="12">
        <v>0</v>
      </c>
    </row>
    <row r="8854" spans="3:6">
      <c r="C8854" s="12"/>
      <c r="D8854" s="12"/>
      <c r="E8854" t="b">
        <f t="shared" si="138"/>
        <v>1</v>
      </c>
      <c r="F8854" s="12">
        <v>0</v>
      </c>
    </row>
    <row r="8855" spans="3:6">
      <c r="C8855" s="12"/>
      <c r="D8855" s="12"/>
      <c r="E8855" t="b">
        <f t="shared" si="138"/>
        <v>1</v>
      </c>
      <c r="F8855" s="12">
        <v>0</v>
      </c>
    </row>
    <row r="8856" spans="3:6">
      <c r="C8856" s="12"/>
      <c r="D8856" s="12"/>
      <c r="E8856" t="b">
        <f t="shared" si="138"/>
        <v>1</v>
      </c>
      <c r="F8856" s="12">
        <v>0</v>
      </c>
    </row>
    <row r="8857" spans="3:6">
      <c r="C8857" s="12"/>
      <c r="D8857" s="12"/>
      <c r="E8857" t="b">
        <f t="shared" si="138"/>
        <v>1</v>
      </c>
      <c r="F8857" s="12">
        <v>0</v>
      </c>
    </row>
    <row r="8858" spans="3:6">
      <c r="C8858" s="12"/>
      <c r="D8858" s="12"/>
      <c r="E8858" t="b">
        <f t="shared" si="138"/>
        <v>1</v>
      </c>
      <c r="F8858" s="12">
        <v>0</v>
      </c>
    </row>
    <row r="8859" spans="3:6">
      <c r="C8859" s="12"/>
      <c r="D8859" s="12"/>
      <c r="E8859" t="b">
        <f t="shared" si="138"/>
        <v>1</v>
      </c>
      <c r="F8859" s="12">
        <v>0</v>
      </c>
    </row>
    <row r="8860" spans="3:6">
      <c r="C8860" s="12"/>
      <c r="D8860" s="12"/>
      <c r="E8860" t="b">
        <f t="shared" si="138"/>
        <v>1</v>
      </c>
      <c r="F8860" s="12">
        <v>0</v>
      </c>
    </row>
    <row r="8861" spans="3:6">
      <c r="C8861" s="12"/>
      <c r="D8861" s="12"/>
      <c r="E8861" t="b">
        <f t="shared" si="138"/>
        <v>1</v>
      </c>
      <c r="F8861" s="12">
        <v>0</v>
      </c>
    </row>
    <row r="8862" spans="3:6">
      <c r="C8862" s="12"/>
      <c r="D8862" s="12"/>
      <c r="E8862" t="b">
        <f t="shared" si="138"/>
        <v>1</v>
      </c>
      <c r="F8862" s="12">
        <v>0</v>
      </c>
    </row>
    <row r="8863" spans="3:6">
      <c r="C8863" s="12"/>
      <c r="D8863" s="12"/>
      <c r="E8863" t="b">
        <f t="shared" si="138"/>
        <v>1</v>
      </c>
      <c r="F8863" s="12">
        <v>0</v>
      </c>
    </row>
    <row r="8864" spans="3:6">
      <c r="C8864" s="12"/>
      <c r="D8864" s="12"/>
      <c r="E8864" t="b">
        <f t="shared" si="138"/>
        <v>1</v>
      </c>
      <c r="F8864" s="12">
        <v>0</v>
      </c>
    </row>
    <row r="8865" spans="3:6">
      <c r="C8865" s="12"/>
      <c r="D8865" s="12"/>
      <c r="E8865" t="b">
        <f t="shared" si="138"/>
        <v>1</v>
      </c>
      <c r="F8865" s="12">
        <v>0</v>
      </c>
    </row>
    <row r="8866" spans="3:6">
      <c r="C8866" s="12"/>
      <c r="D8866" s="12"/>
      <c r="E8866" t="b">
        <f t="shared" si="138"/>
        <v>1</v>
      </c>
      <c r="F8866" s="12">
        <v>0</v>
      </c>
    </row>
    <row r="8867" spans="3:6">
      <c r="C8867" s="12"/>
      <c r="D8867" s="12"/>
      <c r="E8867" t="b">
        <f t="shared" si="138"/>
        <v>1</v>
      </c>
      <c r="F8867" s="12">
        <v>0</v>
      </c>
    </row>
    <row r="8868" spans="3:6">
      <c r="C8868" s="12"/>
      <c r="D8868" s="12"/>
      <c r="E8868" t="b">
        <f t="shared" si="138"/>
        <v>1</v>
      </c>
      <c r="F8868" s="12">
        <v>0</v>
      </c>
    </row>
    <row r="8869" spans="3:6">
      <c r="C8869" s="12"/>
      <c r="D8869" s="12"/>
      <c r="E8869" t="b">
        <f t="shared" si="138"/>
        <v>1</v>
      </c>
      <c r="F8869" s="12">
        <v>0</v>
      </c>
    </row>
    <row r="8870" spans="3:6">
      <c r="C8870" s="12"/>
      <c r="D8870" s="12"/>
      <c r="E8870" t="b">
        <f t="shared" si="138"/>
        <v>1</v>
      </c>
      <c r="F8870" s="12">
        <v>0</v>
      </c>
    </row>
    <row r="8871" spans="3:6">
      <c r="C8871" s="12"/>
      <c r="D8871" s="12"/>
      <c r="E8871" t="b">
        <f t="shared" si="138"/>
        <v>1</v>
      </c>
      <c r="F8871" s="12">
        <v>0</v>
      </c>
    </row>
    <row r="8872" spans="3:6">
      <c r="C8872" s="12"/>
      <c r="D8872" s="12"/>
      <c r="E8872" t="b">
        <f t="shared" si="138"/>
        <v>1</v>
      </c>
      <c r="F8872" s="12">
        <v>0</v>
      </c>
    </row>
    <row r="8873" spans="3:6">
      <c r="C8873" s="12"/>
      <c r="D8873" s="12"/>
      <c r="E8873" t="b">
        <f t="shared" si="138"/>
        <v>1</v>
      </c>
      <c r="F8873" s="12">
        <v>0</v>
      </c>
    </row>
    <row r="8874" spans="3:6">
      <c r="C8874" s="12"/>
      <c r="D8874" s="12"/>
      <c r="E8874" t="b">
        <f t="shared" si="138"/>
        <v>1</v>
      </c>
      <c r="F8874" s="12">
        <v>0</v>
      </c>
    </row>
    <row r="8875" spans="3:6">
      <c r="C8875" s="12"/>
      <c r="D8875" s="12"/>
      <c r="E8875" t="b">
        <f t="shared" si="138"/>
        <v>1</v>
      </c>
      <c r="F8875" s="12">
        <v>0</v>
      </c>
    </row>
    <row r="8876" spans="3:6">
      <c r="C8876" s="12"/>
      <c r="D8876" s="12"/>
      <c r="E8876" t="b">
        <f t="shared" si="138"/>
        <v>1</v>
      </c>
      <c r="F8876" s="12">
        <v>0</v>
      </c>
    </row>
    <row r="8877" spans="3:6">
      <c r="C8877" s="12"/>
      <c r="D8877" s="12"/>
      <c r="E8877" t="b">
        <f t="shared" si="138"/>
        <v>1</v>
      </c>
      <c r="F8877" s="12">
        <v>0</v>
      </c>
    </row>
    <row r="8878" spans="3:6">
      <c r="C8878" s="12"/>
      <c r="D8878" s="12"/>
      <c r="E8878" t="b">
        <f t="shared" si="138"/>
        <v>1</v>
      </c>
      <c r="F8878" s="12">
        <v>0</v>
      </c>
    </row>
    <row r="8879" spans="3:6">
      <c r="C8879" s="12"/>
      <c r="D8879" s="12"/>
      <c r="E8879" t="b">
        <f t="shared" si="138"/>
        <v>1</v>
      </c>
      <c r="F8879" s="12">
        <v>0</v>
      </c>
    </row>
    <row r="8880" spans="3:6">
      <c r="C8880" s="12"/>
      <c r="D8880" s="12"/>
      <c r="E8880" t="b">
        <f t="shared" si="138"/>
        <v>1</v>
      </c>
      <c r="F8880" s="12">
        <v>0</v>
      </c>
    </row>
    <row r="8881" spans="3:6">
      <c r="C8881" s="12"/>
      <c r="D8881" s="12"/>
      <c r="E8881" t="b">
        <f t="shared" si="138"/>
        <v>1</v>
      </c>
      <c r="F8881" s="12">
        <v>0</v>
      </c>
    </row>
    <row r="8882" spans="3:6">
      <c r="C8882" s="12"/>
      <c r="D8882" s="12"/>
      <c r="E8882" t="b">
        <f t="shared" si="138"/>
        <v>1</v>
      </c>
      <c r="F8882" s="12">
        <v>0</v>
      </c>
    </row>
    <row r="8883" spans="3:6">
      <c r="C8883" s="12"/>
      <c r="D8883" s="12"/>
      <c r="E8883" t="b">
        <f t="shared" si="138"/>
        <v>1</v>
      </c>
      <c r="F8883" s="12">
        <v>0</v>
      </c>
    </row>
    <row r="8884" spans="3:6">
      <c r="C8884" s="12"/>
      <c r="D8884" s="12"/>
      <c r="E8884" t="b">
        <f t="shared" si="138"/>
        <v>1</v>
      </c>
      <c r="F8884" s="12">
        <v>0</v>
      </c>
    </row>
    <row r="8885" spans="3:6">
      <c r="C8885" s="12"/>
      <c r="D8885" s="12"/>
      <c r="E8885" t="b">
        <f t="shared" si="138"/>
        <v>1</v>
      </c>
      <c r="F8885" s="12">
        <v>0</v>
      </c>
    </row>
    <row r="8886" spans="3:6">
      <c r="C8886" s="12"/>
      <c r="D8886" s="12"/>
      <c r="E8886" t="b">
        <f t="shared" si="138"/>
        <v>1</v>
      </c>
      <c r="F8886" s="12">
        <v>0</v>
      </c>
    </row>
    <row r="8887" spans="3:6">
      <c r="C8887" s="12"/>
      <c r="D8887" s="12"/>
      <c r="E8887" t="b">
        <f t="shared" si="138"/>
        <v>1</v>
      </c>
      <c r="F8887" s="12">
        <v>0</v>
      </c>
    </row>
    <row r="8888" spans="3:6">
      <c r="C8888" s="12"/>
      <c r="D8888" s="12"/>
      <c r="E8888" t="b">
        <f t="shared" si="138"/>
        <v>1</v>
      </c>
      <c r="F8888" s="12">
        <v>0</v>
      </c>
    </row>
    <row r="8889" spans="3:6">
      <c r="C8889" s="12"/>
      <c r="D8889" s="12"/>
      <c r="E8889" t="b">
        <f t="shared" si="138"/>
        <v>1</v>
      </c>
      <c r="F8889" s="12">
        <v>0</v>
      </c>
    </row>
    <row r="8890" spans="3:6">
      <c r="C8890" s="12"/>
      <c r="D8890" s="12"/>
      <c r="E8890" t="b">
        <f t="shared" si="138"/>
        <v>1</v>
      </c>
      <c r="F8890" s="12">
        <v>0</v>
      </c>
    </row>
    <row r="8891" spans="3:6">
      <c r="C8891" s="12"/>
      <c r="D8891" s="12"/>
      <c r="E8891" t="b">
        <f t="shared" si="138"/>
        <v>1</v>
      </c>
      <c r="F8891" s="12">
        <v>0</v>
      </c>
    </row>
    <row r="8892" spans="3:6">
      <c r="C8892" s="12"/>
      <c r="D8892" s="12"/>
      <c r="E8892" t="b">
        <f t="shared" si="138"/>
        <v>1</v>
      </c>
      <c r="F8892" s="12">
        <v>0</v>
      </c>
    </row>
    <row r="8893" spans="3:6">
      <c r="C8893" s="12"/>
      <c r="D8893" s="12"/>
      <c r="E8893" t="b">
        <f t="shared" si="138"/>
        <v>1</v>
      </c>
      <c r="F8893" s="12">
        <v>0</v>
      </c>
    </row>
    <row r="8894" spans="3:6">
      <c r="C8894" s="12"/>
      <c r="D8894" s="12"/>
      <c r="E8894" t="b">
        <f t="shared" si="138"/>
        <v>1</v>
      </c>
      <c r="F8894" s="12">
        <v>0</v>
      </c>
    </row>
    <row r="8895" spans="3:6">
      <c r="C8895" s="12"/>
      <c r="D8895" s="12"/>
      <c r="E8895" t="b">
        <f t="shared" si="138"/>
        <v>1</v>
      </c>
      <c r="F8895" s="12">
        <v>0</v>
      </c>
    </row>
    <row r="8896" spans="3:6">
      <c r="C8896" s="12"/>
      <c r="D8896" s="12"/>
      <c r="E8896" t="b">
        <f t="shared" si="138"/>
        <v>1</v>
      </c>
      <c r="F8896" s="12">
        <v>0</v>
      </c>
    </row>
    <row r="8897" spans="3:6">
      <c r="C8897" s="12"/>
      <c r="D8897" s="12"/>
      <c r="E8897" t="b">
        <f t="shared" si="138"/>
        <v>1</v>
      </c>
      <c r="F8897" s="12">
        <v>0</v>
      </c>
    </row>
    <row r="8898" spans="3:6">
      <c r="C8898" s="12"/>
      <c r="D8898" s="12"/>
      <c r="E8898" t="b">
        <f t="shared" si="138"/>
        <v>1</v>
      </c>
      <c r="F8898" s="12">
        <v>0</v>
      </c>
    </row>
    <row r="8899" spans="3:6">
      <c r="C8899" s="12"/>
      <c r="D8899" s="12"/>
      <c r="E8899" t="b">
        <f t="shared" ref="E8899:E8962" si="139">F8899=C8899</f>
        <v>1</v>
      </c>
      <c r="F8899" s="12">
        <v>0</v>
      </c>
    </row>
    <row r="8900" spans="3:6">
      <c r="C8900" s="12"/>
      <c r="D8900" s="12"/>
      <c r="E8900" t="b">
        <f t="shared" si="139"/>
        <v>1</v>
      </c>
      <c r="F8900" s="12">
        <v>0</v>
      </c>
    </row>
    <row r="8901" spans="3:6">
      <c r="C8901" s="12"/>
      <c r="D8901" s="12"/>
      <c r="E8901" t="b">
        <f t="shared" si="139"/>
        <v>1</v>
      </c>
      <c r="F8901" s="12">
        <v>0</v>
      </c>
    </row>
    <row r="8902" spans="3:6">
      <c r="C8902" s="12"/>
      <c r="D8902" s="12"/>
      <c r="E8902" t="b">
        <f t="shared" si="139"/>
        <v>1</v>
      </c>
      <c r="F8902" s="12">
        <v>0</v>
      </c>
    </row>
    <row r="8903" spans="3:6">
      <c r="C8903" s="12"/>
      <c r="D8903" s="12"/>
      <c r="E8903" t="b">
        <f t="shared" si="139"/>
        <v>1</v>
      </c>
      <c r="F8903" s="12">
        <v>0</v>
      </c>
    </row>
    <row r="8904" spans="3:6">
      <c r="C8904" s="12"/>
      <c r="D8904" s="12"/>
      <c r="E8904" t="b">
        <f t="shared" si="139"/>
        <v>1</v>
      </c>
      <c r="F8904" s="12">
        <v>0</v>
      </c>
    </row>
    <row r="8905" spans="3:6">
      <c r="C8905" s="12"/>
      <c r="D8905" s="12"/>
      <c r="E8905" t="b">
        <f t="shared" si="139"/>
        <v>1</v>
      </c>
      <c r="F8905" s="12">
        <v>0</v>
      </c>
    </row>
    <row r="8906" spans="3:6">
      <c r="C8906" s="12"/>
      <c r="D8906" s="12"/>
      <c r="E8906" t="b">
        <f t="shared" si="139"/>
        <v>1</v>
      </c>
      <c r="F8906" s="12">
        <v>0</v>
      </c>
    </row>
    <row r="8907" spans="3:6">
      <c r="C8907" s="12"/>
      <c r="D8907" s="12"/>
      <c r="E8907" t="b">
        <f t="shared" si="139"/>
        <v>1</v>
      </c>
      <c r="F8907" s="12">
        <v>0</v>
      </c>
    </row>
    <row r="8908" spans="3:6">
      <c r="C8908" s="12"/>
      <c r="D8908" s="12"/>
      <c r="E8908" t="b">
        <f t="shared" si="139"/>
        <v>1</v>
      </c>
      <c r="F8908" s="12">
        <v>0</v>
      </c>
    </row>
    <row r="8909" spans="3:6">
      <c r="C8909" s="12"/>
      <c r="D8909" s="12"/>
      <c r="E8909" t="b">
        <f t="shared" si="139"/>
        <v>1</v>
      </c>
      <c r="F8909" s="12">
        <v>0</v>
      </c>
    </row>
    <row r="8910" spans="3:6">
      <c r="C8910" s="12"/>
      <c r="D8910" s="12"/>
      <c r="E8910" t="b">
        <f t="shared" si="139"/>
        <v>1</v>
      </c>
      <c r="F8910" s="12">
        <v>0</v>
      </c>
    </row>
    <row r="8911" spans="3:6">
      <c r="C8911" s="12"/>
      <c r="D8911" s="12"/>
      <c r="E8911" t="b">
        <f t="shared" si="139"/>
        <v>1</v>
      </c>
      <c r="F8911" s="12">
        <v>0</v>
      </c>
    </row>
    <row r="8912" spans="3:6">
      <c r="C8912" s="12"/>
      <c r="D8912" s="12"/>
      <c r="E8912" t="b">
        <f t="shared" si="139"/>
        <v>1</v>
      </c>
      <c r="F8912" s="12">
        <v>0</v>
      </c>
    </row>
    <row r="8913" spans="3:6">
      <c r="C8913" s="12"/>
      <c r="D8913" s="12"/>
      <c r="E8913" t="b">
        <f t="shared" si="139"/>
        <v>1</v>
      </c>
      <c r="F8913" s="12">
        <v>0</v>
      </c>
    </row>
    <row r="8914" spans="3:6">
      <c r="C8914" s="12"/>
      <c r="D8914" s="12"/>
      <c r="E8914" t="b">
        <f t="shared" si="139"/>
        <v>1</v>
      </c>
      <c r="F8914" s="12">
        <v>0</v>
      </c>
    </row>
    <row r="8915" spans="3:6">
      <c r="C8915" s="12"/>
      <c r="D8915" s="12"/>
      <c r="E8915" t="b">
        <f t="shared" si="139"/>
        <v>1</v>
      </c>
      <c r="F8915" s="12">
        <v>0</v>
      </c>
    </row>
    <row r="8916" spans="3:6">
      <c r="C8916" s="12"/>
      <c r="D8916" s="12"/>
      <c r="E8916" t="b">
        <f t="shared" si="139"/>
        <v>1</v>
      </c>
      <c r="F8916" s="12">
        <v>0</v>
      </c>
    </row>
    <row r="8917" spans="3:6">
      <c r="C8917" s="12"/>
      <c r="D8917" s="12"/>
      <c r="E8917" t="b">
        <f t="shared" si="139"/>
        <v>1</v>
      </c>
      <c r="F8917" s="12">
        <v>0</v>
      </c>
    </row>
    <row r="8918" spans="3:6">
      <c r="C8918" s="12"/>
      <c r="D8918" s="12"/>
      <c r="E8918" t="b">
        <f t="shared" si="139"/>
        <v>1</v>
      </c>
      <c r="F8918" s="12">
        <v>0</v>
      </c>
    </row>
    <row r="8919" spans="3:6">
      <c r="C8919" s="12"/>
      <c r="D8919" s="12"/>
      <c r="E8919" t="b">
        <f t="shared" si="139"/>
        <v>1</v>
      </c>
      <c r="F8919" s="12">
        <v>0</v>
      </c>
    </row>
    <row r="8920" spans="3:6">
      <c r="C8920" s="12"/>
      <c r="D8920" s="12"/>
      <c r="E8920" t="b">
        <f t="shared" si="139"/>
        <v>1</v>
      </c>
      <c r="F8920" s="12">
        <v>0</v>
      </c>
    </row>
    <row r="8921" spans="3:6">
      <c r="C8921" s="12"/>
      <c r="D8921" s="12"/>
      <c r="E8921" t="b">
        <f t="shared" si="139"/>
        <v>1</v>
      </c>
      <c r="F8921" s="12">
        <v>0</v>
      </c>
    </row>
    <row r="8922" spans="3:6">
      <c r="C8922" s="12"/>
      <c r="D8922" s="12"/>
      <c r="E8922" t="b">
        <f t="shared" si="139"/>
        <v>1</v>
      </c>
      <c r="F8922" s="12">
        <v>0</v>
      </c>
    </row>
    <row r="8923" spans="3:6">
      <c r="C8923" s="12"/>
      <c r="D8923" s="12"/>
      <c r="E8923" t="b">
        <f t="shared" si="139"/>
        <v>1</v>
      </c>
      <c r="F8923" s="12">
        <v>0</v>
      </c>
    </row>
    <row r="8924" spans="3:6">
      <c r="C8924" s="12"/>
      <c r="D8924" s="12"/>
      <c r="E8924" t="b">
        <f t="shared" si="139"/>
        <v>1</v>
      </c>
      <c r="F8924" s="12">
        <v>0</v>
      </c>
    </row>
    <row r="8925" spans="3:6">
      <c r="C8925" s="12"/>
      <c r="D8925" s="12"/>
      <c r="E8925" t="b">
        <f t="shared" si="139"/>
        <v>1</v>
      </c>
      <c r="F8925" s="12">
        <v>0</v>
      </c>
    </row>
    <row r="8926" spans="3:6">
      <c r="C8926" s="12"/>
      <c r="D8926" s="12"/>
      <c r="E8926" t="b">
        <f t="shared" si="139"/>
        <v>1</v>
      </c>
      <c r="F8926" s="12">
        <v>0</v>
      </c>
    </row>
    <row r="8927" spans="3:6">
      <c r="C8927" s="12"/>
      <c r="D8927" s="12"/>
      <c r="E8927" t="b">
        <f t="shared" si="139"/>
        <v>1</v>
      </c>
      <c r="F8927" s="12">
        <v>0</v>
      </c>
    </row>
    <row r="8928" spans="3:6">
      <c r="C8928" s="12"/>
      <c r="D8928" s="12"/>
      <c r="E8928" t="b">
        <f t="shared" si="139"/>
        <v>1</v>
      </c>
      <c r="F8928" s="12">
        <v>0</v>
      </c>
    </row>
    <row r="8929" spans="3:6">
      <c r="C8929" s="12"/>
      <c r="D8929" s="12"/>
      <c r="E8929" t="b">
        <f t="shared" si="139"/>
        <v>1</v>
      </c>
      <c r="F8929" s="12">
        <v>0</v>
      </c>
    </row>
    <row r="8930" spans="3:6">
      <c r="C8930" s="12"/>
      <c r="D8930" s="12"/>
      <c r="E8930" t="b">
        <f t="shared" si="139"/>
        <v>1</v>
      </c>
      <c r="F8930" s="12">
        <v>0</v>
      </c>
    </row>
    <row r="8931" spans="3:6">
      <c r="C8931" s="12"/>
      <c r="D8931" s="12"/>
      <c r="E8931" t="b">
        <f t="shared" si="139"/>
        <v>1</v>
      </c>
      <c r="F8931" s="12">
        <v>0</v>
      </c>
    </row>
    <row r="8932" spans="3:6">
      <c r="C8932" s="12"/>
      <c r="D8932" s="12"/>
      <c r="E8932" t="b">
        <f t="shared" si="139"/>
        <v>1</v>
      </c>
      <c r="F8932" s="12">
        <v>0</v>
      </c>
    </row>
    <row r="8933" spans="3:6">
      <c r="C8933" s="12"/>
      <c r="D8933" s="12"/>
      <c r="E8933" t="b">
        <f t="shared" si="139"/>
        <v>1</v>
      </c>
      <c r="F8933" s="12">
        <v>0</v>
      </c>
    </row>
    <row r="8934" spans="3:6">
      <c r="C8934" s="12"/>
      <c r="D8934" s="12"/>
      <c r="E8934" t="b">
        <f t="shared" si="139"/>
        <v>1</v>
      </c>
      <c r="F8934" s="12">
        <v>0</v>
      </c>
    </row>
    <row r="8935" spans="3:6">
      <c r="C8935" s="12"/>
      <c r="D8935" s="12"/>
      <c r="E8935" t="b">
        <f t="shared" si="139"/>
        <v>1</v>
      </c>
      <c r="F8935" s="12">
        <v>0</v>
      </c>
    </row>
    <row r="8936" spans="3:6">
      <c r="C8936" s="12"/>
      <c r="D8936" s="12"/>
      <c r="E8936" t="b">
        <f t="shared" si="139"/>
        <v>1</v>
      </c>
      <c r="F8936" s="12">
        <v>0</v>
      </c>
    </row>
    <row r="8937" spans="3:6">
      <c r="C8937" s="12"/>
      <c r="D8937" s="12"/>
      <c r="E8937" t="b">
        <f t="shared" si="139"/>
        <v>1</v>
      </c>
      <c r="F8937" s="12">
        <v>0</v>
      </c>
    </row>
    <row r="8938" spans="3:6">
      <c r="C8938" s="12"/>
      <c r="D8938" s="12"/>
      <c r="E8938" t="b">
        <f t="shared" si="139"/>
        <v>1</v>
      </c>
      <c r="F8938" s="12">
        <v>0</v>
      </c>
    </row>
    <row r="8939" spans="3:6">
      <c r="C8939" s="12"/>
      <c r="D8939" s="12"/>
      <c r="E8939" t="b">
        <f t="shared" si="139"/>
        <v>1</v>
      </c>
      <c r="F8939" s="12">
        <v>0</v>
      </c>
    </row>
    <row r="8940" spans="3:6">
      <c r="C8940" s="12"/>
      <c r="D8940" s="12"/>
      <c r="E8940" t="b">
        <f t="shared" si="139"/>
        <v>1</v>
      </c>
      <c r="F8940" s="12">
        <v>0</v>
      </c>
    </row>
    <row r="8941" spans="3:6">
      <c r="C8941" s="12"/>
      <c r="D8941" s="12"/>
      <c r="E8941" t="b">
        <f t="shared" si="139"/>
        <v>1</v>
      </c>
      <c r="F8941" s="12">
        <v>0</v>
      </c>
    </row>
    <row r="8942" spans="3:6">
      <c r="C8942" s="12"/>
      <c r="D8942" s="12"/>
      <c r="E8942" t="b">
        <f t="shared" si="139"/>
        <v>1</v>
      </c>
      <c r="F8942" s="12">
        <v>0</v>
      </c>
    </row>
    <row r="8943" spans="3:6">
      <c r="C8943" s="12"/>
      <c r="D8943" s="12"/>
      <c r="E8943" t="b">
        <f t="shared" si="139"/>
        <v>1</v>
      </c>
      <c r="F8943" s="12">
        <v>0</v>
      </c>
    </row>
    <row r="8944" spans="3:6">
      <c r="C8944" s="12"/>
      <c r="D8944" s="12"/>
      <c r="E8944" t="b">
        <f t="shared" si="139"/>
        <v>1</v>
      </c>
      <c r="F8944" s="12">
        <v>0</v>
      </c>
    </row>
    <row r="8945" spans="3:6">
      <c r="C8945" s="12"/>
      <c r="D8945" s="12"/>
      <c r="E8945" t="b">
        <f t="shared" si="139"/>
        <v>1</v>
      </c>
      <c r="F8945" s="12">
        <v>0</v>
      </c>
    </row>
    <row r="8946" spans="3:6">
      <c r="C8946" s="12"/>
      <c r="D8946" s="12"/>
      <c r="E8946" t="b">
        <f t="shared" si="139"/>
        <v>1</v>
      </c>
      <c r="F8946" s="12">
        <v>0</v>
      </c>
    </row>
    <row r="8947" spans="3:6">
      <c r="C8947" s="12"/>
      <c r="D8947" s="12"/>
      <c r="E8947" t="b">
        <f t="shared" si="139"/>
        <v>1</v>
      </c>
      <c r="F8947" s="12">
        <v>0</v>
      </c>
    </row>
    <row r="8948" spans="3:6">
      <c r="C8948" s="12"/>
      <c r="D8948" s="12"/>
      <c r="E8948" t="b">
        <f t="shared" si="139"/>
        <v>1</v>
      </c>
      <c r="F8948" s="12">
        <v>0</v>
      </c>
    </row>
    <row r="8949" spans="3:6">
      <c r="C8949" s="12"/>
      <c r="D8949" s="12"/>
      <c r="E8949" t="b">
        <f t="shared" si="139"/>
        <v>1</v>
      </c>
      <c r="F8949" s="12">
        <v>0</v>
      </c>
    </row>
    <row r="8950" spans="3:6">
      <c r="C8950" s="12"/>
      <c r="D8950" s="12"/>
      <c r="E8950" t="b">
        <f t="shared" si="139"/>
        <v>1</v>
      </c>
      <c r="F8950" s="12">
        <v>0</v>
      </c>
    </row>
    <row r="8951" spans="3:6">
      <c r="C8951" s="12"/>
      <c r="D8951" s="12"/>
      <c r="E8951" t="b">
        <f t="shared" si="139"/>
        <v>1</v>
      </c>
      <c r="F8951" s="12">
        <v>0</v>
      </c>
    </row>
    <row r="8952" spans="3:6">
      <c r="C8952" s="12"/>
      <c r="D8952" s="12"/>
      <c r="E8952" t="b">
        <f t="shared" si="139"/>
        <v>1</v>
      </c>
      <c r="F8952" s="12">
        <v>0</v>
      </c>
    </row>
    <row r="8953" spans="3:6">
      <c r="C8953" s="12"/>
      <c r="D8953" s="12"/>
      <c r="E8953" t="b">
        <f t="shared" si="139"/>
        <v>1</v>
      </c>
      <c r="F8953" s="12">
        <v>0</v>
      </c>
    </row>
    <row r="8954" spans="3:6">
      <c r="C8954" s="12"/>
      <c r="D8954" s="12"/>
      <c r="E8954" t="b">
        <f t="shared" si="139"/>
        <v>1</v>
      </c>
      <c r="F8954" s="12">
        <v>0</v>
      </c>
    </row>
    <row r="8955" spans="3:6">
      <c r="C8955" s="12"/>
      <c r="D8955" s="12"/>
      <c r="E8955" t="b">
        <f t="shared" si="139"/>
        <v>1</v>
      </c>
      <c r="F8955" s="12">
        <v>0</v>
      </c>
    </row>
    <row r="8956" spans="3:6">
      <c r="C8956" s="12"/>
      <c r="D8956" s="12"/>
      <c r="E8956" t="b">
        <f t="shared" si="139"/>
        <v>1</v>
      </c>
      <c r="F8956" s="12">
        <v>0</v>
      </c>
    </row>
    <row r="8957" spans="3:6">
      <c r="C8957" s="12"/>
      <c r="D8957" s="12"/>
      <c r="E8957" t="b">
        <f t="shared" si="139"/>
        <v>1</v>
      </c>
      <c r="F8957" s="12">
        <v>0</v>
      </c>
    </row>
    <row r="8958" spans="3:6">
      <c r="C8958" s="12"/>
      <c r="D8958" s="12"/>
      <c r="E8958" t="b">
        <f t="shared" si="139"/>
        <v>1</v>
      </c>
      <c r="F8958" s="12">
        <v>0</v>
      </c>
    </row>
    <row r="8959" spans="3:6">
      <c r="C8959" s="12"/>
      <c r="D8959" s="12"/>
      <c r="E8959" t="b">
        <f t="shared" si="139"/>
        <v>1</v>
      </c>
      <c r="F8959" s="12">
        <v>0</v>
      </c>
    </row>
    <row r="8960" spans="3:6">
      <c r="C8960" s="12"/>
      <c r="D8960" s="12"/>
      <c r="E8960" t="b">
        <f t="shared" si="139"/>
        <v>1</v>
      </c>
      <c r="F8960" s="12">
        <v>0</v>
      </c>
    </row>
    <row r="8961" spans="3:6">
      <c r="C8961" s="12"/>
      <c r="D8961" s="12"/>
      <c r="E8961" t="b">
        <f t="shared" si="139"/>
        <v>1</v>
      </c>
      <c r="F8961" s="12">
        <v>0</v>
      </c>
    </row>
    <row r="8962" spans="3:6">
      <c r="C8962" s="12"/>
      <c r="D8962" s="12"/>
      <c r="E8962" t="b">
        <f t="shared" si="139"/>
        <v>1</v>
      </c>
      <c r="F8962" s="12">
        <v>0</v>
      </c>
    </row>
    <row r="8963" spans="3:6">
      <c r="C8963" s="12"/>
      <c r="D8963" s="12"/>
      <c r="E8963" t="b">
        <f t="shared" ref="E8963:E9026" si="140">F8963=C8963</f>
        <v>1</v>
      </c>
      <c r="F8963" s="12">
        <v>0</v>
      </c>
    </row>
    <row r="8964" spans="3:6">
      <c r="C8964" s="12"/>
      <c r="D8964" s="12"/>
      <c r="E8964" t="b">
        <f t="shared" si="140"/>
        <v>1</v>
      </c>
      <c r="F8964" s="12">
        <v>0</v>
      </c>
    </row>
    <row r="8965" spans="3:6">
      <c r="C8965" s="12"/>
      <c r="D8965" s="12"/>
      <c r="E8965" t="b">
        <f t="shared" si="140"/>
        <v>1</v>
      </c>
      <c r="F8965" s="12">
        <v>0</v>
      </c>
    </row>
    <row r="8966" spans="3:6">
      <c r="C8966" s="12"/>
      <c r="D8966" s="12"/>
      <c r="E8966" t="b">
        <f t="shared" si="140"/>
        <v>1</v>
      </c>
      <c r="F8966" s="12">
        <v>0</v>
      </c>
    </row>
    <row r="8967" spans="3:6">
      <c r="C8967" s="12"/>
      <c r="D8967" s="12"/>
      <c r="E8967" t="b">
        <f t="shared" si="140"/>
        <v>1</v>
      </c>
      <c r="F8967" s="12">
        <v>0</v>
      </c>
    </row>
    <row r="8968" spans="3:6">
      <c r="C8968" s="12"/>
      <c r="D8968" s="12"/>
      <c r="E8968" t="b">
        <f t="shared" si="140"/>
        <v>1</v>
      </c>
      <c r="F8968" s="12">
        <v>0</v>
      </c>
    </row>
    <row r="8969" spans="3:6">
      <c r="C8969" s="12"/>
      <c r="D8969" s="12"/>
      <c r="E8969" t="b">
        <f t="shared" si="140"/>
        <v>1</v>
      </c>
      <c r="F8969" s="12">
        <v>0</v>
      </c>
    </row>
    <row r="8970" spans="3:6">
      <c r="C8970" s="12"/>
      <c r="D8970" s="12"/>
      <c r="E8970" t="b">
        <f t="shared" si="140"/>
        <v>1</v>
      </c>
      <c r="F8970" s="12">
        <v>0</v>
      </c>
    </row>
    <row r="8971" spans="3:6">
      <c r="C8971" s="12"/>
      <c r="D8971" s="12"/>
      <c r="E8971" t="b">
        <f t="shared" si="140"/>
        <v>1</v>
      </c>
      <c r="F8971" s="12">
        <v>0</v>
      </c>
    </row>
    <row r="8972" spans="3:6">
      <c r="C8972" s="12"/>
      <c r="D8972" s="12"/>
      <c r="E8972" t="b">
        <f t="shared" si="140"/>
        <v>1</v>
      </c>
      <c r="F8972" s="12">
        <v>0</v>
      </c>
    </row>
    <row r="8973" spans="3:6">
      <c r="C8973" s="12"/>
      <c r="D8973" s="12"/>
      <c r="E8973" t="b">
        <f t="shared" si="140"/>
        <v>1</v>
      </c>
      <c r="F8973" s="12">
        <v>0</v>
      </c>
    </row>
    <row r="8974" spans="3:6">
      <c r="C8974" s="12"/>
      <c r="D8974" s="12"/>
      <c r="E8974" t="b">
        <f t="shared" si="140"/>
        <v>1</v>
      </c>
      <c r="F8974" s="12">
        <v>0</v>
      </c>
    </row>
    <row r="8975" spans="3:6">
      <c r="C8975" s="12"/>
      <c r="D8975" s="12"/>
      <c r="E8975" t="b">
        <f t="shared" si="140"/>
        <v>1</v>
      </c>
      <c r="F8975" s="12">
        <v>0</v>
      </c>
    </row>
    <row r="8976" spans="3:6">
      <c r="C8976" s="12"/>
      <c r="D8976" s="12"/>
      <c r="E8976" t="b">
        <f t="shared" si="140"/>
        <v>1</v>
      </c>
      <c r="F8976" s="12">
        <v>0</v>
      </c>
    </row>
    <row r="8977" spans="3:6">
      <c r="C8977" s="12"/>
      <c r="D8977" s="12"/>
      <c r="E8977" t="b">
        <f t="shared" si="140"/>
        <v>1</v>
      </c>
      <c r="F8977" s="12">
        <v>0</v>
      </c>
    </row>
    <row r="8978" spans="3:6">
      <c r="C8978" s="12"/>
      <c r="D8978" s="12"/>
      <c r="E8978" t="b">
        <f t="shared" si="140"/>
        <v>1</v>
      </c>
      <c r="F8978" s="12">
        <v>0</v>
      </c>
    </row>
    <row r="8979" spans="3:6">
      <c r="C8979" s="12"/>
      <c r="D8979" s="12"/>
      <c r="E8979" t="b">
        <f t="shared" si="140"/>
        <v>1</v>
      </c>
      <c r="F8979" s="12">
        <v>0</v>
      </c>
    </row>
    <row r="8980" spans="3:6">
      <c r="C8980" s="12"/>
      <c r="D8980" s="12"/>
      <c r="E8980" t="b">
        <f t="shared" si="140"/>
        <v>1</v>
      </c>
      <c r="F8980" s="12">
        <v>0</v>
      </c>
    </row>
    <row r="8981" spans="3:6">
      <c r="C8981" s="12"/>
      <c r="D8981" s="12"/>
      <c r="E8981" t="b">
        <f t="shared" si="140"/>
        <v>1</v>
      </c>
      <c r="F8981" s="12">
        <v>0</v>
      </c>
    </row>
    <row r="8982" spans="3:6">
      <c r="C8982" s="12"/>
      <c r="D8982" s="12"/>
      <c r="E8982" t="b">
        <f t="shared" si="140"/>
        <v>1</v>
      </c>
      <c r="F8982" s="12">
        <v>0</v>
      </c>
    </row>
    <row r="8983" spans="3:6">
      <c r="C8983" s="12"/>
      <c r="D8983" s="12"/>
      <c r="E8983" t="b">
        <f t="shared" si="140"/>
        <v>1</v>
      </c>
      <c r="F8983" s="12">
        <v>0</v>
      </c>
    </row>
    <row r="8984" spans="3:6">
      <c r="C8984" s="12"/>
      <c r="D8984" s="12"/>
      <c r="E8984" t="b">
        <f t="shared" si="140"/>
        <v>1</v>
      </c>
      <c r="F8984" s="12">
        <v>0</v>
      </c>
    </row>
    <row r="8985" spans="3:6">
      <c r="C8985" s="12"/>
      <c r="D8985" s="12"/>
      <c r="E8985" t="b">
        <f t="shared" si="140"/>
        <v>1</v>
      </c>
      <c r="F8985" s="12">
        <v>0</v>
      </c>
    </row>
    <row r="8986" spans="3:6">
      <c r="C8986" s="12"/>
      <c r="D8986" s="12"/>
      <c r="E8986" t="b">
        <f t="shared" si="140"/>
        <v>1</v>
      </c>
      <c r="F8986" s="12">
        <v>0</v>
      </c>
    </row>
    <row r="8987" spans="3:6">
      <c r="C8987" s="12"/>
      <c r="D8987" s="12"/>
      <c r="E8987" t="b">
        <f t="shared" si="140"/>
        <v>1</v>
      </c>
      <c r="F8987" s="12">
        <v>0</v>
      </c>
    </row>
    <row r="8988" spans="3:6">
      <c r="C8988" s="12"/>
      <c r="D8988" s="12"/>
      <c r="E8988" t="b">
        <f t="shared" si="140"/>
        <v>1</v>
      </c>
      <c r="F8988" s="12">
        <v>0</v>
      </c>
    </row>
    <row r="8989" spans="3:6">
      <c r="C8989" s="12"/>
      <c r="D8989" s="12"/>
      <c r="E8989" t="b">
        <f t="shared" si="140"/>
        <v>1</v>
      </c>
      <c r="F8989" s="12">
        <v>0</v>
      </c>
    </row>
    <row r="8990" spans="3:6">
      <c r="C8990" s="12"/>
      <c r="D8990" s="12"/>
      <c r="E8990" t="b">
        <f t="shared" si="140"/>
        <v>1</v>
      </c>
      <c r="F8990" s="12">
        <v>0</v>
      </c>
    </row>
    <row r="8991" spans="3:6">
      <c r="C8991" s="12"/>
      <c r="D8991" s="12"/>
      <c r="E8991" t="b">
        <f t="shared" si="140"/>
        <v>1</v>
      </c>
      <c r="F8991" s="12">
        <v>0</v>
      </c>
    </row>
    <row r="8992" spans="3:6">
      <c r="C8992" s="12"/>
      <c r="D8992" s="12"/>
      <c r="E8992" t="b">
        <f t="shared" si="140"/>
        <v>1</v>
      </c>
      <c r="F8992" s="12">
        <v>0</v>
      </c>
    </row>
    <row r="8993" spans="3:6">
      <c r="C8993" s="12"/>
      <c r="D8993" s="12"/>
      <c r="E8993" t="b">
        <f t="shared" si="140"/>
        <v>1</v>
      </c>
      <c r="F8993" s="12">
        <v>0</v>
      </c>
    </row>
    <row r="8994" spans="3:6">
      <c r="C8994" s="12"/>
      <c r="D8994" s="12"/>
      <c r="E8994" t="b">
        <f t="shared" si="140"/>
        <v>1</v>
      </c>
      <c r="F8994" s="12">
        <v>0</v>
      </c>
    </row>
    <row r="8995" spans="3:6">
      <c r="C8995" s="12"/>
      <c r="D8995" s="12"/>
      <c r="E8995" t="b">
        <f t="shared" si="140"/>
        <v>1</v>
      </c>
      <c r="F8995" s="12">
        <v>0</v>
      </c>
    </row>
    <row r="8996" spans="3:6">
      <c r="C8996" s="12"/>
      <c r="D8996" s="12"/>
      <c r="E8996" t="b">
        <f t="shared" si="140"/>
        <v>1</v>
      </c>
      <c r="F8996" s="12">
        <v>0</v>
      </c>
    </row>
    <row r="8997" spans="3:6">
      <c r="C8997" s="12"/>
      <c r="D8997" s="12"/>
      <c r="E8997" t="b">
        <f t="shared" si="140"/>
        <v>1</v>
      </c>
      <c r="F8997" s="12">
        <v>0</v>
      </c>
    </row>
    <row r="8998" spans="3:6">
      <c r="C8998" s="12"/>
      <c r="D8998" s="12"/>
      <c r="E8998" t="b">
        <f t="shared" si="140"/>
        <v>1</v>
      </c>
      <c r="F8998" s="12">
        <v>0</v>
      </c>
    </row>
    <row r="8999" spans="3:6">
      <c r="C8999" s="12"/>
      <c r="D8999" s="12"/>
      <c r="E8999" t="b">
        <f t="shared" si="140"/>
        <v>1</v>
      </c>
      <c r="F8999" s="12">
        <v>0</v>
      </c>
    </row>
    <row r="9000" spans="3:6">
      <c r="C9000" s="12"/>
      <c r="D9000" s="12"/>
      <c r="E9000" t="b">
        <f t="shared" si="140"/>
        <v>1</v>
      </c>
      <c r="F9000" s="12">
        <v>0</v>
      </c>
    </row>
    <row r="9001" spans="3:6">
      <c r="C9001" s="12"/>
      <c r="D9001" s="12"/>
      <c r="E9001" t="b">
        <f t="shared" si="140"/>
        <v>1</v>
      </c>
      <c r="F9001" s="12">
        <v>0</v>
      </c>
    </row>
    <row r="9002" spans="3:6">
      <c r="C9002" s="12"/>
      <c r="D9002" s="12"/>
      <c r="E9002" t="b">
        <f t="shared" si="140"/>
        <v>1</v>
      </c>
      <c r="F9002" s="12">
        <v>0</v>
      </c>
    </row>
    <row r="9003" spans="3:6">
      <c r="C9003" s="12"/>
      <c r="D9003" s="12"/>
      <c r="E9003" t="b">
        <f t="shared" si="140"/>
        <v>1</v>
      </c>
      <c r="F9003" s="12">
        <v>0</v>
      </c>
    </row>
    <row r="9004" spans="3:6">
      <c r="C9004" s="12"/>
      <c r="D9004" s="12"/>
      <c r="E9004" t="b">
        <f t="shared" si="140"/>
        <v>1</v>
      </c>
      <c r="F9004" s="12">
        <v>0</v>
      </c>
    </row>
    <row r="9005" spans="3:6">
      <c r="C9005" s="12"/>
      <c r="D9005" s="12"/>
      <c r="E9005" t="b">
        <f t="shared" si="140"/>
        <v>1</v>
      </c>
      <c r="F9005" s="12">
        <v>0</v>
      </c>
    </row>
    <row r="9006" spans="3:6">
      <c r="C9006" s="12"/>
      <c r="D9006" s="12"/>
      <c r="E9006" t="b">
        <f t="shared" si="140"/>
        <v>1</v>
      </c>
      <c r="F9006" s="12">
        <v>0</v>
      </c>
    </row>
    <row r="9007" spans="3:6">
      <c r="C9007" s="12"/>
      <c r="D9007" s="12"/>
      <c r="E9007" t="b">
        <f t="shared" si="140"/>
        <v>1</v>
      </c>
      <c r="F9007" s="12">
        <v>0</v>
      </c>
    </row>
    <row r="9008" spans="3:6">
      <c r="C9008" s="12"/>
      <c r="D9008" s="12"/>
      <c r="E9008" t="b">
        <f t="shared" si="140"/>
        <v>1</v>
      </c>
      <c r="F9008" s="12">
        <v>0</v>
      </c>
    </row>
    <row r="9009" spans="3:6">
      <c r="C9009" s="12"/>
      <c r="D9009" s="12"/>
      <c r="E9009" t="b">
        <f t="shared" si="140"/>
        <v>1</v>
      </c>
      <c r="F9009" s="12">
        <v>0</v>
      </c>
    </row>
    <row r="9010" spans="3:6">
      <c r="C9010" s="12"/>
      <c r="D9010" s="12"/>
      <c r="E9010" t="b">
        <f t="shared" si="140"/>
        <v>1</v>
      </c>
      <c r="F9010" s="12">
        <v>0</v>
      </c>
    </row>
    <row r="9011" spans="3:6">
      <c r="C9011" s="12"/>
      <c r="D9011" s="12"/>
      <c r="E9011" t="b">
        <f t="shared" si="140"/>
        <v>1</v>
      </c>
      <c r="F9011" s="12">
        <v>0</v>
      </c>
    </row>
    <row r="9012" spans="3:6">
      <c r="C9012" s="12"/>
      <c r="D9012" s="12"/>
      <c r="E9012" t="b">
        <f t="shared" si="140"/>
        <v>1</v>
      </c>
      <c r="F9012" s="12">
        <v>0</v>
      </c>
    </row>
    <row r="9013" spans="3:6">
      <c r="C9013" s="12"/>
      <c r="D9013" s="12"/>
      <c r="E9013" t="b">
        <f t="shared" si="140"/>
        <v>1</v>
      </c>
      <c r="F9013" s="12">
        <v>0</v>
      </c>
    </row>
    <row r="9014" spans="3:6">
      <c r="C9014" s="12"/>
      <c r="D9014" s="12"/>
      <c r="E9014" t="b">
        <f t="shared" si="140"/>
        <v>1</v>
      </c>
      <c r="F9014" s="12">
        <v>0</v>
      </c>
    </row>
    <row r="9015" spans="3:6">
      <c r="C9015" s="12"/>
      <c r="D9015" s="12"/>
      <c r="E9015" t="b">
        <f t="shared" si="140"/>
        <v>1</v>
      </c>
      <c r="F9015" s="12">
        <v>0</v>
      </c>
    </row>
    <row r="9016" spans="3:6">
      <c r="C9016" s="12"/>
      <c r="D9016" s="12"/>
      <c r="E9016" t="b">
        <f t="shared" si="140"/>
        <v>1</v>
      </c>
      <c r="F9016" s="12">
        <v>0</v>
      </c>
    </row>
    <row r="9017" spans="3:6">
      <c r="C9017" s="12"/>
      <c r="D9017" s="12"/>
      <c r="E9017" t="b">
        <f t="shared" si="140"/>
        <v>1</v>
      </c>
      <c r="F9017" s="12">
        <v>0</v>
      </c>
    </row>
    <row r="9018" spans="3:6">
      <c r="C9018" s="12"/>
      <c r="D9018" s="12"/>
      <c r="E9018" t="b">
        <f t="shared" si="140"/>
        <v>1</v>
      </c>
      <c r="F9018" s="12">
        <v>0</v>
      </c>
    </row>
    <row r="9019" spans="3:6">
      <c r="C9019" s="12"/>
      <c r="D9019" s="12"/>
      <c r="E9019" t="b">
        <f t="shared" si="140"/>
        <v>1</v>
      </c>
      <c r="F9019" s="12">
        <v>0</v>
      </c>
    </row>
    <row r="9020" spans="3:6">
      <c r="C9020" s="12"/>
      <c r="D9020" s="12"/>
      <c r="E9020" t="b">
        <f t="shared" si="140"/>
        <v>1</v>
      </c>
      <c r="F9020" s="12">
        <v>0</v>
      </c>
    </row>
    <row r="9021" spans="3:6">
      <c r="C9021" s="12"/>
      <c r="D9021" s="12"/>
      <c r="E9021" t="b">
        <f t="shared" si="140"/>
        <v>1</v>
      </c>
      <c r="F9021" s="12">
        <v>0</v>
      </c>
    </row>
    <row r="9022" spans="3:6">
      <c r="C9022" s="12"/>
      <c r="D9022" s="12"/>
      <c r="E9022" t="b">
        <f t="shared" si="140"/>
        <v>1</v>
      </c>
      <c r="F9022" s="12">
        <v>0</v>
      </c>
    </row>
    <row r="9023" spans="3:6">
      <c r="C9023" s="12"/>
      <c r="D9023" s="12"/>
      <c r="E9023" t="b">
        <f t="shared" si="140"/>
        <v>1</v>
      </c>
      <c r="F9023" s="12">
        <v>0</v>
      </c>
    </row>
    <row r="9024" spans="3:6">
      <c r="C9024" s="12"/>
      <c r="D9024" s="12"/>
      <c r="E9024" t="b">
        <f t="shared" si="140"/>
        <v>1</v>
      </c>
      <c r="F9024" s="12">
        <v>0</v>
      </c>
    </row>
    <row r="9025" spans="3:6">
      <c r="C9025" s="12"/>
      <c r="D9025" s="12"/>
      <c r="E9025" t="b">
        <f t="shared" si="140"/>
        <v>1</v>
      </c>
      <c r="F9025" s="12">
        <v>0</v>
      </c>
    </row>
    <row r="9026" spans="3:6">
      <c r="C9026" s="12"/>
      <c r="D9026" s="12"/>
      <c r="E9026" t="b">
        <f t="shared" si="140"/>
        <v>1</v>
      </c>
      <c r="F9026" s="12">
        <v>0</v>
      </c>
    </row>
    <row r="9027" spans="3:6">
      <c r="C9027" s="12"/>
      <c r="D9027" s="12"/>
      <c r="E9027" t="b">
        <f t="shared" ref="E9027:E9090" si="141">F9027=C9027</f>
        <v>1</v>
      </c>
      <c r="F9027" s="12">
        <v>0</v>
      </c>
    </row>
    <row r="9028" spans="3:6">
      <c r="C9028" s="12"/>
      <c r="D9028" s="12"/>
      <c r="E9028" t="b">
        <f t="shared" si="141"/>
        <v>1</v>
      </c>
      <c r="F9028" s="12">
        <v>0</v>
      </c>
    </row>
    <row r="9029" spans="3:6">
      <c r="C9029" s="12"/>
      <c r="D9029" s="12"/>
      <c r="E9029" t="b">
        <f t="shared" si="141"/>
        <v>1</v>
      </c>
      <c r="F9029" s="12">
        <v>0</v>
      </c>
    </row>
    <row r="9030" spans="3:6">
      <c r="C9030" s="12"/>
      <c r="D9030" s="12"/>
      <c r="E9030" t="b">
        <f t="shared" si="141"/>
        <v>1</v>
      </c>
      <c r="F9030" s="12">
        <v>0</v>
      </c>
    </row>
    <row r="9031" spans="3:6">
      <c r="C9031" s="12"/>
      <c r="D9031" s="12"/>
      <c r="E9031" t="b">
        <f t="shared" si="141"/>
        <v>1</v>
      </c>
      <c r="F9031" s="12">
        <v>0</v>
      </c>
    </row>
    <row r="9032" spans="3:6">
      <c r="C9032" s="12"/>
      <c r="D9032" s="12"/>
      <c r="E9032" t="b">
        <f t="shared" si="141"/>
        <v>1</v>
      </c>
      <c r="F9032" s="12">
        <v>0</v>
      </c>
    </row>
    <row r="9033" spans="3:6">
      <c r="C9033" s="12"/>
      <c r="D9033" s="12"/>
      <c r="E9033" t="b">
        <f t="shared" si="141"/>
        <v>1</v>
      </c>
      <c r="F9033" s="12">
        <v>0</v>
      </c>
    </row>
    <row r="9034" spans="3:6">
      <c r="C9034" s="12"/>
      <c r="D9034" s="12"/>
      <c r="E9034" t="b">
        <f t="shared" si="141"/>
        <v>1</v>
      </c>
      <c r="F9034" s="12">
        <v>0</v>
      </c>
    </row>
    <row r="9035" spans="3:6">
      <c r="C9035" s="12"/>
      <c r="D9035" s="12"/>
      <c r="E9035" t="b">
        <f t="shared" si="141"/>
        <v>1</v>
      </c>
      <c r="F9035" s="12">
        <v>0</v>
      </c>
    </row>
    <row r="9036" spans="3:6">
      <c r="C9036" s="12"/>
      <c r="D9036" s="12"/>
      <c r="E9036" t="b">
        <f t="shared" si="141"/>
        <v>1</v>
      </c>
      <c r="F9036" s="12">
        <v>0</v>
      </c>
    </row>
    <row r="9037" spans="3:6">
      <c r="C9037" s="12"/>
      <c r="D9037" s="12"/>
      <c r="E9037" t="b">
        <f t="shared" si="141"/>
        <v>1</v>
      </c>
      <c r="F9037" s="12">
        <v>0</v>
      </c>
    </row>
    <row r="9038" spans="3:6">
      <c r="C9038" s="12"/>
      <c r="D9038" s="12"/>
      <c r="E9038" t="b">
        <f t="shared" si="141"/>
        <v>1</v>
      </c>
      <c r="F9038" s="12">
        <v>0</v>
      </c>
    </row>
    <row r="9039" spans="3:6">
      <c r="C9039" s="12"/>
      <c r="D9039" s="12"/>
      <c r="E9039" t="b">
        <f t="shared" si="141"/>
        <v>1</v>
      </c>
      <c r="F9039" s="12">
        <v>0</v>
      </c>
    </row>
    <row r="9040" spans="3:6">
      <c r="C9040" s="12"/>
      <c r="D9040" s="12"/>
      <c r="E9040" t="b">
        <f t="shared" si="141"/>
        <v>1</v>
      </c>
      <c r="F9040" s="12">
        <v>0</v>
      </c>
    </row>
    <row r="9041" spans="3:6">
      <c r="C9041" s="12"/>
      <c r="D9041" s="12"/>
      <c r="E9041" t="b">
        <f t="shared" si="141"/>
        <v>1</v>
      </c>
      <c r="F9041" s="12">
        <v>0</v>
      </c>
    </row>
    <row r="9042" spans="3:6">
      <c r="C9042" s="12"/>
      <c r="D9042" s="12"/>
      <c r="E9042" t="b">
        <f t="shared" si="141"/>
        <v>1</v>
      </c>
      <c r="F9042" s="12">
        <v>0</v>
      </c>
    </row>
    <row r="9043" spans="3:6">
      <c r="C9043" s="12"/>
      <c r="D9043" s="12"/>
      <c r="E9043" t="b">
        <f t="shared" si="141"/>
        <v>1</v>
      </c>
      <c r="F9043" s="12">
        <v>0</v>
      </c>
    </row>
    <row r="9044" spans="3:6">
      <c r="C9044" s="12"/>
      <c r="D9044" s="12"/>
      <c r="E9044" t="b">
        <f t="shared" si="141"/>
        <v>1</v>
      </c>
      <c r="F9044" s="12">
        <v>0</v>
      </c>
    </row>
    <row r="9045" spans="3:6">
      <c r="C9045" s="12"/>
      <c r="D9045" s="12"/>
      <c r="E9045" t="b">
        <f t="shared" si="141"/>
        <v>1</v>
      </c>
      <c r="F9045" s="12">
        <v>0</v>
      </c>
    </row>
    <row r="9046" spans="3:6">
      <c r="C9046" s="12"/>
      <c r="D9046" s="12"/>
      <c r="E9046" t="b">
        <f t="shared" si="141"/>
        <v>1</v>
      </c>
      <c r="F9046" s="12">
        <v>0</v>
      </c>
    </row>
    <row r="9047" spans="3:6">
      <c r="C9047" s="12"/>
      <c r="D9047" s="12"/>
      <c r="E9047" t="b">
        <f t="shared" si="141"/>
        <v>1</v>
      </c>
      <c r="F9047" s="12">
        <v>0</v>
      </c>
    </row>
    <row r="9048" spans="3:6">
      <c r="C9048" s="12"/>
      <c r="D9048" s="12"/>
      <c r="E9048" t="b">
        <f t="shared" si="141"/>
        <v>1</v>
      </c>
      <c r="F9048" s="12">
        <v>0</v>
      </c>
    </row>
    <row r="9049" spans="3:6">
      <c r="C9049" s="12"/>
      <c r="D9049" s="12"/>
      <c r="E9049" t="b">
        <f t="shared" si="141"/>
        <v>1</v>
      </c>
      <c r="F9049" s="12">
        <v>0</v>
      </c>
    </row>
    <row r="9050" spans="3:6">
      <c r="C9050" s="12"/>
      <c r="D9050" s="12"/>
      <c r="E9050" t="b">
        <f t="shared" si="141"/>
        <v>1</v>
      </c>
      <c r="F9050" s="12">
        <v>0</v>
      </c>
    </row>
    <row r="9051" spans="3:6">
      <c r="C9051" s="12"/>
      <c r="D9051" s="12"/>
      <c r="E9051" t="b">
        <f t="shared" si="141"/>
        <v>1</v>
      </c>
      <c r="F9051" s="12">
        <v>0</v>
      </c>
    </row>
    <row r="9052" spans="3:6">
      <c r="C9052" s="12"/>
      <c r="D9052" s="12"/>
      <c r="E9052" t="b">
        <f t="shared" si="141"/>
        <v>1</v>
      </c>
      <c r="F9052" s="12">
        <v>0</v>
      </c>
    </row>
    <row r="9053" spans="3:6">
      <c r="C9053" s="12"/>
      <c r="D9053" s="12"/>
      <c r="E9053" t="b">
        <f t="shared" si="141"/>
        <v>1</v>
      </c>
      <c r="F9053" s="12">
        <v>0</v>
      </c>
    </row>
    <row r="9054" spans="3:6">
      <c r="C9054" s="12"/>
      <c r="D9054" s="12"/>
      <c r="E9054" t="b">
        <f t="shared" si="141"/>
        <v>1</v>
      </c>
      <c r="F9054" s="12">
        <v>0</v>
      </c>
    </row>
    <row r="9055" spans="3:6">
      <c r="C9055" s="12"/>
      <c r="D9055" s="12"/>
      <c r="E9055" t="b">
        <f t="shared" si="141"/>
        <v>1</v>
      </c>
      <c r="F9055" s="12">
        <v>0</v>
      </c>
    </row>
    <row r="9056" spans="3:6">
      <c r="C9056" s="12"/>
      <c r="D9056" s="12"/>
      <c r="E9056" t="b">
        <f t="shared" si="141"/>
        <v>1</v>
      </c>
      <c r="F9056" s="12">
        <v>0</v>
      </c>
    </row>
    <row r="9057" spans="3:6">
      <c r="C9057" s="12"/>
      <c r="D9057" s="12"/>
      <c r="E9057" t="b">
        <f t="shared" si="141"/>
        <v>1</v>
      </c>
      <c r="F9057" s="12">
        <v>0</v>
      </c>
    </row>
    <row r="9058" spans="3:6">
      <c r="C9058" s="12"/>
      <c r="D9058" s="12"/>
      <c r="E9058" t="b">
        <f t="shared" si="141"/>
        <v>1</v>
      </c>
      <c r="F9058" s="12">
        <v>0</v>
      </c>
    </row>
    <row r="9059" spans="3:6">
      <c r="C9059" s="12"/>
      <c r="D9059" s="12"/>
      <c r="E9059" t="b">
        <f t="shared" si="141"/>
        <v>1</v>
      </c>
      <c r="F9059" s="12">
        <v>0</v>
      </c>
    </row>
    <row r="9060" spans="3:6">
      <c r="C9060" s="12"/>
      <c r="D9060" s="12"/>
      <c r="E9060" t="b">
        <f t="shared" si="141"/>
        <v>1</v>
      </c>
      <c r="F9060" s="12">
        <v>0</v>
      </c>
    </row>
    <row r="9061" spans="3:6">
      <c r="C9061" s="12"/>
      <c r="D9061" s="12"/>
      <c r="E9061" t="b">
        <f t="shared" si="141"/>
        <v>1</v>
      </c>
      <c r="F9061" s="12">
        <v>0</v>
      </c>
    </row>
    <row r="9062" spans="3:6">
      <c r="C9062" s="12"/>
      <c r="D9062" s="12"/>
      <c r="E9062" t="b">
        <f t="shared" si="141"/>
        <v>1</v>
      </c>
      <c r="F9062" s="12">
        <v>0</v>
      </c>
    </row>
    <row r="9063" spans="3:6">
      <c r="C9063" s="12"/>
      <c r="D9063" s="12"/>
      <c r="E9063" t="b">
        <f t="shared" si="141"/>
        <v>1</v>
      </c>
      <c r="F9063" s="12">
        <v>0</v>
      </c>
    </row>
    <row r="9064" spans="3:6">
      <c r="C9064" s="12"/>
      <c r="D9064" s="12"/>
      <c r="E9064" t="b">
        <f t="shared" si="141"/>
        <v>1</v>
      </c>
      <c r="F9064" s="12">
        <v>0</v>
      </c>
    </row>
    <row r="9065" spans="3:6">
      <c r="C9065" s="12"/>
      <c r="D9065" s="12"/>
      <c r="E9065" t="b">
        <f t="shared" si="141"/>
        <v>1</v>
      </c>
      <c r="F9065" s="12">
        <v>0</v>
      </c>
    </row>
    <row r="9066" spans="3:6">
      <c r="C9066" s="12"/>
      <c r="D9066" s="12"/>
      <c r="E9066" t="b">
        <f t="shared" si="141"/>
        <v>1</v>
      </c>
      <c r="F9066" s="12">
        <v>0</v>
      </c>
    </row>
    <row r="9067" spans="3:6">
      <c r="C9067" s="12"/>
      <c r="D9067" s="12"/>
      <c r="E9067" t="b">
        <f t="shared" si="141"/>
        <v>1</v>
      </c>
      <c r="F9067" s="12">
        <v>0</v>
      </c>
    </row>
    <row r="9068" spans="3:6">
      <c r="C9068" s="12"/>
      <c r="D9068" s="12"/>
      <c r="E9068" t="b">
        <f t="shared" si="141"/>
        <v>1</v>
      </c>
      <c r="F9068" s="12">
        <v>0</v>
      </c>
    </row>
    <row r="9069" spans="3:6">
      <c r="C9069" s="12"/>
      <c r="D9069" s="12"/>
      <c r="E9069" t="b">
        <f t="shared" si="141"/>
        <v>1</v>
      </c>
      <c r="F9069" s="12">
        <v>0</v>
      </c>
    </row>
    <row r="9070" spans="3:6">
      <c r="C9070" s="12"/>
      <c r="D9070" s="12"/>
      <c r="E9070" t="b">
        <f t="shared" si="141"/>
        <v>1</v>
      </c>
      <c r="F9070" s="12">
        <v>0</v>
      </c>
    </row>
    <row r="9071" spans="3:6">
      <c r="C9071" s="12"/>
      <c r="D9071" s="12"/>
      <c r="E9071" t="b">
        <f t="shared" si="141"/>
        <v>1</v>
      </c>
      <c r="F9071" s="12">
        <v>0</v>
      </c>
    </row>
    <row r="9072" spans="3:6">
      <c r="C9072" s="12"/>
      <c r="D9072" s="12"/>
      <c r="E9072" t="b">
        <f t="shared" si="141"/>
        <v>1</v>
      </c>
      <c r="F9072" s="12">
        <v>0</v>
      </c>
    </row>
    <row r="9073" spans="3:6">
      <c r="C9073" s="12"/>
      <c r="D9073" s="12"/>
      <c r="E9073" t="b">
        <f t="shared" si="141"/>
        <v>1</v>
      </c>
      <c r="F9073" s="12">
        <v>0</v>
      </c>
    </row>
    <row r="9074" spans="3:6">
      <c r="C9074" s="12"/>
      <c r="D9074" s="12"/>
      <c r="E9074" t="b">
        <f t="shared" si="141"/>
        <v>1</v>
      </c>
      <c r="F9074" s="12">
        <v>0</v>
      </c>
    </row>
    <row r="9075" spans="3:6">
      <c r="C9075" s="12"/>
      <c r="D9075" s="12"/>
      <c r="E9075" t="b">
        <f t="shared" si="141"/>
        <v>1</v>
      </c>
      <c r="F9075" s="12">
        <v>0</v>
      </c>
    </row>
    <row r="9076" spans="3:6">
      <c r="C9076" s="12"/>
      <c r="D9076" s="12"/>
      <c r="E9076" t="b">
        <f t="shared" si="141"/>
        <v>1</v>
      </c>
      <c r="F9076" s="12">
        <v>0</v>
      </c>
    </row>
    <row r="9077" spans="3:6">
      <c r="C9077" s="12"/>
      <c r="D9077" s="12"/>
      <c r="E9077" t="b">
        <f t="shared" si="141"/>
        <v>1</v>
      </c>
      <c r="F9077" s="12">
        <v>0</v>
      </c>
    </row>
    <row r="9078" spans="3:6">
      <c r="C9078" s="12"/>
      <c r="D9078" s="12"/>
      <c r="E9078" t="b">
        <f t="shared" si="141"/>
        <v>1</v>
      </c>
      <c r="F9078" s="12">
        <v>0</v>
      </c>
    </row>
    <row r="9079" spans="3:6">
      <c r="C9079" s="12"/>
      <c r="D9079" s="12"/>
      <c r="E9079" t="b">
        <f t="shared" si="141"/>
        <v>1</v>
      </c>
      <c r="F9079" s="12">
        <v>0</v>
      </c>
    </row>
    <row r="9080" spans="3:6">
      <c r="C9080" s="12"/>
      <c r="D9080" s="12"/>
      <c r="E9080" t="b">
        <f t="shared" si="141"/>
        <v>1</v>
      </c>
      <c r="F9080" s="12">
        <v>0</v>
      </c>
    </row>
    <row r="9081" spans="3:6">
      <c r="C9081" s="12"/>
      <c r="D9081" s="12"/>
      <c r="E9081" t="b">
        <f t="shared" si="141"/>
        <v>1</v>
      </c>
      <c r="F9081" s="12">
        <v>0</v>
      </c>
    </row>
    <row r="9082" spans="3:6">
      <c r="C9082" s="12"/>
      <c r="D9082" s="12"/>
      <c r="E9082" t="b">
        <f t="shared" si="141"/>
        <v>1</v>
      </c>
      <c r="F9082" s="12">
        <v>0</v>
      </c>
    </row>
    <row r="9083" spans="3:6">
      <c r="C9083" s="12"/>
      <c r="D9083" s="12"/>
      <c r="E9083" t="b">
        <f t="shared" si="141"/>
        <v>1</v>
      </c>
      <c r="F9083" s="12">
        <v>0</v>
      </c>
    </row>
    <row r="9084" spans="3:6">
      <c r="C9084" s="12"/>
      <c r="D9084" s="12"/>
      <c r="E9084" t="b">
        <f t="shared" si="141"/>
        <v>1</v>
      </c>
      <c r="F9084" s="12">
        <v>0</v>
      </c>
    </row>
    <row r="9085" spans="3:6">
      <c r="C9085" s="12"/>
      <c r="D9085" s="12"/>
      <c r="E9085" t="b">
        <f t="shared" si="141"/>
        <v>1</v>
      </c>
      <c r="F9085" s="12">
        <v>0</v>
      </c>
    </row>
    <row r="9086" spans="3:6">
      <c r="C9086" s="12"/>
      <c r="D9086" s="12"/>
      <c r="E9086" t="b">
        <f t="shared" si="141"/>
        <v>1</v>
      </c>
      <c r="F9086" s="12">
        <v>0</v>
      </c>
    </row>
    <row r="9087" spans="3:6">
      <c r="C9087" s="12"/>
      <c r="D9087" s="12"/>
      <c r="E9087" t="b">
        <f t="shared" si="141"/>
        <v>1</v>
      </c>
      <c r="F9087" s="12">
        <v>0</v>
      </c>
    </row>
    <row r="9088" spans="3:6">
      <c r="C9088" s="12"/>
      <c r="D9088" s="12"/>
      <c r="E9088" t="b">
        <f t="shared" si="141"/>
        <v>1</v>
      </c>
      <c r="F9088" s="12">
        <v>0</v>
      </c>
    </row>
    <row r="9089" spans="3:6">
      <c r="C9089" s="12"/>
      <c r="D9089" s="12"/>
      <c r="E9089" t="b">
        <f t="shared" si="141"/>
        <v>1</v>
      </c>
      <c r="F9089" s="12">
        <v>0</v>
      </c>
    </row>
    <row r="9090" spans="3:6">
      <c r="C9090" s="12"/>
      <c r="D9090" s="12"/>
      <c r="E9090" t="b">
        <f t="shared" si="141"/>
        <v>1</v>
      </c>
      <c r="F9090" s="12">
        <v>0</v>
      </c>
    </row>
    <row r="9091" spans="3:6">
      <c r="C9091" s="12"/>
      <c r="D9091" s="12"/>
      <c r="E9091" t="b">
        <f t="shared" ref="E9091:E9154" si="142">F9091=C9091</f>
        <v>1</v>
      </c>
      <c r="F9091" s="12">
        <v>0</v>
      </c>
    </row>
    <row r="9092" spans="3:6">
      <c r="C9092" s="12"/>
      <c r="D9092" s="12"/>
      <c r="E9092" t="b">
        <f t="shared" si="142"/>
        <v>1</v>
      </c>
      <c r="F9092" s="12">
        <v>0</v>
      </c>
    </row>
    <row r="9093" spans="3:6">
      <c r="C9093" s="12"/>
      <c r="D9093" s="12"/>
      <c r="E9093" t="b">
        <f t="shared" si="142"/>
        <v>1</v>
      </c>
      <c r="F9093" s="12">
        <v>0</v>
      </c>
    </row>
    <row r="9094" spans="3:6">
      <c r="C9094" s="12"/>
      <c r="D9094" s="12"/>
      <c r="E9094" t="b">
        <f t="shared" si="142"/>
        <v>1</v>
      </c>
      <c r="F9094" s="12">
        <v>0</v>
      </c>
    </row>
    <row r="9095" spans="3:6">
      <c r="C9095" s="12"/>
      <c r="D9095" s="12"/>
      <c r="E9095" t="b">
        <f t="shared" si="142"/>
        <v>1</v>
      </c>
      <c r="F9095" s="12">
        <v>0</v>
      </c>
    </row>
    <row r="9096" spans="3:6">
      <c r="C9096" s="12"/>
      <c r="D9096" s="12"/>
      <c r="E9096" t="b">
        <f t="shared" si="142"/>
        <v>1</v>
      </c>
      <c r="F9096" s="12">
        <v>0</v>
      </c>
    </row>
    <row r="9097" spans="3:6">
      <c r="C9097" s="12"/>
      <c r="D9097" s="12"/>
      <c r="E9097" t="b">
        <f t="shared" si="142"/>
        <v>1</v>
      </c>
      <c r="F9097" s="12">
        <v>0</v>
      </c>
    </row>
    <row r="9098" spans="3:6">
      <c r="C9098" s="12"/>
      <c r="D9098" s="12"/>
      <c r="E9098" t="b">
        <f t="shared" si="142"/>
        <v>1</v>
      </c>
      <c r="F9098" s="12">
        <v>0</v>
      </c>
    </row>
    <row r="9099" spans="3:6">
      <c r="C9099" s="12"/>
      <c r="D9099" s="12"/>
      <c r="E9099" t="b">
        <f t="shared" si="142"/>
        <v>1</v>
      </c>
      <c r="F9099" s="12">
        <v>0</v>
      </c>
    </row>
    <row r="9100" spans="3:6">
      <c r="C9100" s="12"/>
      <c r="D9100" s="12"/>
      <c r="E9100" t="b">
        <f t="shared" si="142"/>
        <v>1</v>
      </c>
      <c r="F9100" s="12">
        <v>0</v>
      </c>
    </row>
    <row r="9101" spans="3:6">
      <c r="C9101" s="12"/>
      <c r="D9101" s="12"/>
      <c r="E9101" t="b">
        <f t="shared" si="142"/>
        <v>1</v>
      </c>
      <c r="F9101" s="12">
        <v>0</v>
      </c>
    </row>
    <row r="9102" spans="3:6">
      <c r="C9102" s="12"/>
      <c r="D9102" s="12"/>
      <c r="E9102" t="b">
        <f t="shared" si="142"/>
        <v>1</v>
      </c>
      <c r="F9102" s="12">
        <v>0</v>
      </c>
    </row>
    <row r="9103" spans="3:6">
      <c r="C9103" s="12"/>
      <c r="D9103" s="12"/>
      <c r="E9103" t="b">
        <f t="shared" si="142"/>
        <v>1</v>
      </c>
      <c r="F9103" s="12">
        <v>0</v>
      </c>
    </row>
    <row r="9104" spans="3:6">
      <c r="C9104" s="12"/>
      <c r="D9104" s="12"/>
      <c r="E9104" t="b">
        <f t="shared" si="142"/>
        <v>1</v>
      </c>
      <c r="F9104" s="12">
        <v>0</v>
      </c>
    </row>
    <row r="9105" spans="3:6">
      <c r="C9105" s="12"/>
      <c r="D9105" s="12"/>
      <c r="E9105" t="b">
        <f t="shared" si="142"/>
        <v>1</v>
      </c>
      <c r="F9105" s="12">
        <v>0</v>
      </c>
    </row>
    <row r="9106" spans="3:6">
      <c r="C9106" s="12"/>
      <c r="D9106" s="12"/>
      <c r="E9106" t="b">
        <f t="shared" si="142"/>
        <v>1</v>
      </c>
      <c r="F9106" s="12">
        <v>0</v>
      </c>
    </row>
    <row r="9107" spans="3:6">
      <c r="C9107" s="12"/>
      <c r="D9107" s="12"/>
      <c r="E9107" t="b">
        <f t="shared" si="142"/>
        <v>1</v>
      </c>
      <c r="F9107" s="12">
        <v>0</v>
      </c>
    </row>
    <row r="9108" spans="3:6">
      <c r="C9108" s="12"/>
      <c r="D9108" s="12"/>
      <c r="E9108" t="b">
        <f t="shared" si="142"/>
        <v>1</v>
      </c>
      <c r="F9108" s="12">
        <v>0</v>
      </c>
    </row>
    <row r="9109" spans="3:6">
      <c r="C9109" s="12"/>
      <c r="D9109" s="12"/>
      <c r="E9109" t="b">
        <f t="shared" si="142"/>
        <v>1</v>
      </c>
      <c r="F9109" s="12">
        <v>0</v>
      </c>
    </row>
    <row r="9110" spans="3:6">
      <c r="C9110" s="12"/>
      <c r="D9110" s="12"/>
      <c r="E9110" t="b">
        <f t="shared" si="142"/>
        <v>1</v>
      </c>
      <c r="F9110" s="12">
        <v>0</v>
      </c>
    </row>
    <row r="9111" spans="3:6">
      <c r="C9111" s="12"/>
      <c r="D9111" s="12"/>
      <c r="E9111" t="b">
        <f t="shared" si="142"/>
        <v>1</v>
      </c>
      <c r="F9111" s="12">
        <v>0</v>
      </c>
    </row>
    <row r="9112" spans="3:6">
      <c r="C9112" s="12"/>
      <c r="D9112" s="12"/>
      <c r="E9112" t="b">
        <f t="shared" si="142"/>
        <v>1</v>
      </c>
      <c r="F9112" s="12">
        <v>0</v>
      </c>
    </row>
    <row r="9113" spans="3:6">
      <c r="C9113" s="12"/>
      <c r="D9113" s="12"/>
      <c r="E9113" t="b">
        <f t="shared" si="142"/>
        <v>1</v>
      </c>
      <c r="F9113" s="12">
        <v>0</v>
      </c>
    </row>
    <row r="9114" spans="3:6">
      <c r="C9114" s="12"/>
      <c r="D9114" s="12"/>
      <c r="E9114" t="b">
        <f t="shared" si="142"/>
        <v>1</v>
      </c>
      <c r="F9114" s="12">
        <v>0</v>
      </c>
    </row>
    <row r="9115" spans="3:6">
      <c r="C9115" s="12"/>
      <c r="D9115" s="12"/>
      <c r="E9115" t="b">
        <f t="shared" si="142"/>
        <v>1</v>
      </c>
      <c r="F9115" s="12">
        <v>0</v>
      </c>
    </row>
    <row r="9116" spans="3:6">
      <c r="C9116" s="12"/>
      <c r="D9116" s="12"/>
      <c r="E9116" t="b">
        <f t="shared" si="142"/>
        <v>1</v>
      </c>
      <c r="F9116" s="12">
        <v>0</v>
      </c>
    </row>
    <row r="9117" spans="3:6">
      <c r="C9117" s="12"/>
      <c r="D9117" s="12"/>
      <c r="E9117" t="b">
        <f t="shared" si="142"/>
        <v>1</v>
      </c>
      <c r="F9117" s="12">
        <v>0</v>
      </c>
    </row>
    <row r="9118" spans="3:6">
      <c r="C9118" s="12"/>
      <c r="D9118" s="12"/>
      <c r="E9118" t="b">
        <f t="shared" si="142"/>
        <v>1</v>
      </c>
      <c r="F9118" s="12">
        <v>0</v>
      </c>
    </row>
    <row r="9119" spans="3:6">
      <c r="C9119" s="12"/>
      <c r="D9119" s="12"/>
      <c r="E9119" t="b">
        <f t="shared" si="142"/>
        <v>1</v>
      </c>
      <c r="F9119" s="12">
        <v>0</v>
      </c>
    </row>
    <row r="9120" spans="3:6">
      <c r="C9120" s="12"/>
      <c r="D9120" s="12"/>
      <c r="E9120" t="b">
        <f t="shared" si="142"/>
        <v>1</v>
      </c>
      <c r="F9120" s="12">
        <v>0</v>
      </c>
    </row>
    <row r="9121" spans="3:6">
      <c r="C9121" s="12"/>
      <c r="D9121" s="12"/>
      <c r="E9121" t="b">
        <f t="shared" si="142"/>
        <v>1</v>
      </c>
      <c r="F9121" s="12">
        <v>0</v>
      </c>
    </row>
    <row r="9122" spans="3:6">
      <c r="C9122" s="12"/>
      <c r="D9122" s="12"/>
      <c r="E9122" t="b">
        <f t="shared" si="142"/>
        <v>1</v>
      </c>
      <c r="F9122" s="12">
        <v>0</v>
      </c>
    </row>
    <row r="9123" spans="3:6">
      <c r="C9123" s="12"/>
      <c r="D9123" s="12"/>
      <c r="E9123" t="b">
        <f t="shared" si="142"/>
        <v>1</v>
      </c>
      <c r="F9123" s="12">
        <v>0</v>
      </c>
    </row>
    <row r="9124" spans="3:6">
      <c r="C9124" s="12"/>
      <c r="D9124" s="12"/>
      <c r="E9124" t="b">
        <f t="shared" si="142"/>
        <v>1</v>
      </c>
      <c r="F9124" s="12">
        <v>0</v>
      </c>
    </row>
    <row r="9125" spans="3:6">
      <c r="C9125" s="12"/>
      <c r="D9125" s="12"/>
      <c r="E9125" t="b">
        <f t="shared" si="142"/>
        <v>1</v>
      </c>
      <c r="F9125" s="12">
        <v>0</v>
      </c>
    </row>
    <row r="9126" spans="3:6">
      <c r="C9126" s="12"/>
      <c r="D9126" s="12"/>
      <c r="E9126" t="b">
        <f t="shared" si="142"/>
        <v>1</v>
      </c>
      <c r="F9126" s="12">
        <v>0</v>
      </c>
    </row>
    <row r="9127" spans="3:6">
      <c r="C9127" s="12"/>
      <c r="D9127" s="12"/>
      <c r="E9127" t="b">
        <f t="shared" si="142"/>
        <v>1</v>
      </c>
      <c r="F9127" s="12">
        <v>0</v>
      </c>
    </row>
    <row r="9128" spans="3:6">
      <c r="C9128" s="12"/>
      <c r="D9128" s="12"/>
      <c r="E9128" t="b">
        <f t="shared" si="142"/>
        <v>1</v>
      </c>
      <c r="F9128" s="12">
        <v>0</v>
      </c>
    </row>
    <row r="9129" spans="3:6">
      <c r="C9129" s="12"/>
      <c r="D9129" s="12"/>
      <c r="E9129" t="b">
        <f t="shared" si="142"/>
        <v>1</v>
      </c>
      <c r="F9129" s="12">
        <v>0</v>
      </c>
    </row>
    <row r="9130" spans="3:6">
      <c r="C9130" s="12"/>
      <c r="D9130" s="12"/>
      <c r="E9130" t="b">
        <f t="shared" si="142"/>
        <v>1</v>
      </c>
      <c r="F9130" s="12">
        <v>0</v>
      </c>
    </row>
    <row r="9131" spans="3:6">
      <c r="C9131" s="12"/>
      <c r="D9131" s="12"/>
      <c r="E9131" t="b">
        <f t="shared" si="142"/>
        <v>1</v>
      </c>
      <c r="F9131" s="12">
        <v>0</v>
      </c>
    </row>
    <row r="9132" spans="3:6">
      <c r="C9132" s="12"/>
      <c r="D9132" s="12"/>
      <c r="E9132" t="b">
        <f t="shared" si="142"/>
        <v>1</v>
      </c>
      <c r="F9132" s="12">
        <v>0</v>
      </c>
    </row>
    <row r="9133" spans="3:6">
      <c r="C9133" s="12"/>
      <c r="D9133" s="12"/>
      <c r="E9133" t="b">
        <f t="shared" si="142"/>
        <v>1</v>
      </c>
      <c r="F9133" s="12">
        <v>0</v>
      </c>
    </row>
    <row r="9134" spans="3:6">
      <c r="C9134" s="12"/>
      <c r="D9134" s="12"/>
      <c r="E9134" t="b">
        <f t="shared" si="142"/>
        <v>1</v>
      </c>
      <c r="F9134" s="12">
        <v>0</v>
      </c>
    </row>
    <row r="9135" spans="3:6">
      <c r="C9135" s="12"/>
      <c r="D9135" s="12"/>
      <c r="E9135" t="b">
        <f t="shared" si="142"/>
        <v>1</v>
      </c>
      <c r="F9135" s="12">
        <v>0</v>
      </c>
    </row>
    <row r="9136" spans="3:6">
      <c r="C9136" s="12"/>
      <c r="D9136" s="12"/>
      <c r="E9136" t="b">
        <f t="shared" si="142"/>
        <v>1</v>
      </c>
      <c r="F9136" s="12">
        <v>0</v>
      </c>
    </row>
    <row r="9137" spans="3:6">
      <c r="C9137" s="12"/>
      <c r="D9137" s="12"/>
      <c r="E9137" t="b">
        <f t="shared" si="142"/>
        <v>1</v>
      </c>
      <c r="F9137" s="12">
        <v>0</v>
      </c>
    </row>
    <row r="9138" spans="3:6">
      <c r="C9138" s="12"/>
      <c r="D9138" s="12"/>
      <c r="E9138" t="b">
        <f t="shared" si="142"/>
        <v>1</v>
      </c>
      <c r="F9138" s="12">
        <v>0</v>
      </c>
    </row>
    <row r="9139" spans="3:6">
      <c r="C9139" s="12"/>
      <c r="D9139" s="12"/>
      <c r="E9139" t="b">
        <f t="shared" si="142"/>
        <v>1</v>
      </c>
      <c r="F9139" s="12">
        <v>0</v>
      </c>
    </row>
    <row r="9140" spans="3:6">
      <c r="C9140" s="12"/>
      <c r="D9140" s="12"/>
      <c r="E9140" t="b">
        <f t="shared" si="142"/>
        <v>1</v>
      </c>
      <c r="F9140" s="12">
        <v>0</v>
      </c>
    </row>
    <row r="9141" spans="3:6">
      <c r="C9141" s="12"/>
      <c r="D9141" s="12"/>
      <c r="E9141" t="b">
        <f t="shared" si="142"/>
        <v>1</v>
      </c>
      <c r="F9141" s="12">
        <v>0</v>
      </c>
    </row>
    <row r="9142" spans="3:6">
      <c r="C9142" s="12"/>
      <c r="D9142" s="12"/>
      <c r="E9142" t="b">
        <f t="shared" si="142"/>
        <v>1</v>
      </c>
      <c r="F9142" s="12">
        <v>0</v>
      </c>
    </row>
    <row r="9143" spans="3:6">
      <c r="C9143" s="12"/>
      <c r="D9143" s="12"/>
      <c r="E9143" t="b">
        <f t="shared" si="142"/>
        <v>1</v>
      </c>
      <c r="F9143" s="12">
        <v>0</v>
      </c>
    </row>
    <row r="9144" spans="3:6">
      <c r="C9144" s="12"/>
      <c r="D9144" s="12"/>
      <c r="E9144" t="b">
        <f t="shared" si="142"/>
        <v>1</v>
      </c>
      <c r="F9144" s="12">
        <v>0</v>
      </c>
    </row>
    <row r="9145" spans="3:6">
      <c r="C9145" s="12"/>
      <c r="D9145" s="12"/>
      <c r="E9145" t="b">
        <f t="shared" si="142"/>
        <v>1</v>
      </c>
      <c r="F9145" s="12">
        <v>0</v>
      </c>
    </row>
    <row r="9146" spans="3:6">
      <c r="C9146" s="12"/>
      <c r="D9146" s="12"/>
      <c r="E9146" t="b">
        <f t="shared" si="142"/>
        <v>1</v>
      </c>
      <c r="F9146" s="12">
        <v>0</v>
      </c>
    </row>
    <row r="9147" spans="3:6">
      <c r="C9147" s="12"/>
      <c r="D9147" s="12"/>
      <c r="E9147" t="b">
        <f t="shared" si="142"/>
        <v>1</v>
      </c>
      <c r="F9147" s="12">
        <v>0</v>
      </c>
    </row>
    <row r="9148" spans="3:6">
      <c r="C9148" s="12"/>
      <c r="D9148" s="12"/>
      <c r="E9148" t="b">
        <f t="shared" si="142"/>
        <v>1</v>
      </c>
      <c r="F9148" s="12">
        <v>0</v>
      </c>
    </row>
    <row r="9149" spans="3:6">
      <c r="C9149" s="12"/>
      <c r="D9149" s="12"/>
      <c r="E9149" t="b">
        <f t="shared" si="142"/>
        <v>1</v>
      </c>
      <c r="F9149" s="12">
        <v>0</v>
      </c>
    </row>
    <row r="9150" spans="3:6">
      <c r="C9150" s="12"/>
      <c r="D9150" s="12"/>
      <c r="E9150" t="b">
        <f t="shared" si="142"/>
        <v>1</v>
      </c>
      <c r="F9150" s="12">
        <v>0</v>
      </c>
    </row>
    <row r="9151" spans="3:6">
      <c r="C9151" s="12"/>
      <c r="D9151" s="12"/>
      <c r="E9151" t="b">
        <f t="shared" si="142"/>
        <v>1</v>
      </c>
      <c r="F9151" s="12">
        <v>0</v>
      </c>
    </row>
    <row r="9152" spans="3:6">
      <c r="C9152" s="12"/>
      <c r="D9152" s="12"/>
      <c r="E9152" t="b">
        <f t="shared" si="142"/>
        <v>1</v>
      </c>
      <c r="F9152" s="12">
        <v>0</v>
      </c>
    </row>
    <row r="9153" spans="3:6">
      <c r="C9153" s="12"/>
      <c r="D9153" s="12"/>
      <c r="E9153" t="b">
        <f t="shared" si="142"/>
        <v>1</v>
      </c>
      <c r="F9153" s="12">
        <v>0</v>
      </c>
    </row>
    <row r="9154" spans="3:6">
      <c r="C9154" s="12"/>
      <c r="D9154" s="12"/>
      <c r="E9154" t="b">
        <f t="shared" si="142"/>
        <v>1</v>
      </c>
      <c r="F9154" s="12">
        <v>0</v>
      </c>
    </row>
    <row r="9155" spans="3:6">
      <c r="C9155" s="12"/>
      <c r="D9155" s="12"/>
      <c r="E9155" t="b">
        <f t="shared" ref="E9155:E9218" si="143">F9155=C9155</f>
        <v>1</v>
      </c>
      <c r="F9155" s="12">
        <v>0</v>
      </c>
    </row>
    <row r="9156" spans="3:6">
      <c r="C9156" s="12"/>
      <c r="D9156" s="12"/>
      <c r="E9156" t="b">
        <f t="shared" si="143"/>
        <v>1</v>
      </c>
      <c r="F9156" s="12">
        <v>0</v>
      </c>
    </row>
    <row r="9157" spans="3:6">
      <c r="C9157" s="12"/>
      <c r="D9157" s="12"/>
      <c r="E9157" t="b">
        <f t="shared" si="143"/>
        <v>1</v>
      </c>
      <c r="F9157" s="12">
        <v>0</v>
      </c>
    </row>
    <row r="9158" spans="3:6">
      <c r="C9158" s="12"/>
      <c r="D9158" s="12"/>
      <c r="E9158" t="b">
        <f t="shared" si="143"/>
        <v>1</v>
      </c>
      <c r="F9158" s="12">
        <v>0</v>
      </c>
    </row>
    <row r="9159" spans="3:6">
      <c r="C9159" s="12"/>
      <c r="D9159" s="12"/>
      <c r="E9159" t="b">
        <f t="shared" si="143"/>
        <v>1</v>
      </c>
      <c r="F9159" s="12">
        <v>0</v>
      </c>
    </row>
    <row r="9160" spans="3:6">
      <c r="C9160" s="12"/>
      <c r="D9160" s="12"/>
      <c r="E9160" t="b">
        <f t="shared" si="143"/>
        <v>1</v>
      </c>
      <c r="F9160" s="12">
        <v>0</v>
      </c>
    </row>
    <row r="9161" spans="3:6">
      <c r="C9161" s="12"/>
      <c r="D9161" s="12"/>
      <c r="E9161" t="b">
        <f t="shared" si="143"/>
        <v>1</v>
      </c>
      <c r="F9161" s="12">
        <v>0</v>
      </c>
    </row>
    <row r="9162" spans="3:6">
      <c r="C9162" s="12"/>
      <c r="D9162" s="12"/>
      <c r="E9162" t="b">
        <f t="shared" si="143"/>
        <v>1</v>
      </c>
      <c r="F9162" s="12">
        <v>0</v>
      </c>
    </row>
    <row r="9163" spans="3:6">
      <c r="C9163" s="12"/>
      <c r="D9163" s="12"/>
      <c r="E9163" t="b">
        <f t="shared" si="143"/>
        <v>1</v>
      </c>
      <c r="F9163" s="12">
        <v>0</v>
      </c>
    </row>
    <row r="9164" spans="3:6">
      <c r="C9164" s="12"/>
      <c r="D9164" s="12"/>
      <c r="E9164" t="b">
        <f t="shared" si="143"/>
        <v>1</v>
      </c>
      <c r="F9164" s="12">
        <v>0</v>
      </c>
    </row>
    <row r="9165" spans="3:6">
      <c r="C9165" s="12"/>
      <c r="D9165" s="12"/>
      <c r="E9165" t="b">
        <f t="shared" si="143"/>
        <v>1</v>
      </c>
      <c r="F9165" s="12">
        <v>0</v>
      </c>
    </row>
    <row r="9166" spans="3:6">
      <c r="C9166" s="12"/>
      <c r="D9166" s="12"/>
      <c r="E9166" t="b">
        <f t="shared" si="143"/>
        <v>1</v>
      </c>
      <c r="F9166" s="12">
        <v>0</v>
      </c>
    </row>
    <row r="9167" spans="3:6">
      <c r="C9167" s="12"/>
      <c r="D9167" s="12"/>
      <c r="E9167" t="b">
        <f t="shared" si="143"/>
        <v>1</v>
      </c>
      <c r="F9167" s="12">
        <v>0</v>
      </c>
    </row>
    <row r="9168" spans="3:6">
      <c r="C9168" s="12"/>
      <c r="D9168" s="12"/>
      <c r="E9168" t="b">
        <f t="shared" si="143"/>
        <v>1</v>
      </c>
      <c r="F9168" s="12">
        <v>0</v>
      </c>
    </row>
    <row r="9169" spans="3:6">
      <c r="C9169" s="12"/>
      <c r="D9169" s="12"/>
      <c r="E9169" t="b">
        <f t="shared" si="143"/>
        <v>1</v>
      </c>
      <c r="F9169" s="12">
        <v>0</v>
      </c>
    </row>
    <row r="9170" spans="3:6">
      <c r="C9170" s="12"/>
      <c r="D9170" s="12"/>
      <c r="E9170" t="b">
        <f t="shared" si="143"/>
        <v>1</v>
      </c>
      <c r="F9170" s="12">
        <v>0</v>
      </c>
    </row>
    <row r="9171" spans="3:6">
      <c r="C9171" s="12"/>
      <c r="D9171" s="12"/>
      <c r="E9171" t="b">
        <f t="shared" si="143"/>
        <v>1</v>
      </c>
      <c r="F9171" s="12">
        <v>0</v>
      </c>
    </row>
    <row r="9172" spans="3:6">
      <c r="C9172" s="12"/>
      <c r="D9172" s="12"/>
      <c r="E9172" t="b">
        <f t="shared" si="143"/>
        <v>1</v>
      </c>
      <c r="F9172" s="12">
        <v>0</v>
      </c>
    </row>
    <row r="9173" spans="3:6">
      <c r="C9173" s="12"/>
      <c r="D9173" s="12"/>
      <c r="E9173" t="b">
        <f t="shared" si="143"/>
        <v>1</v>
      </c>
      <c r="F9173" s="12">
        <v>0</v>
      </c>
    </row>
    <row r="9174" spans="3:6">
      <c r="C9174" s="12"/>
      <c r="D9174" s="12"/>
      <c r="E9174" t="b">
        <f t="shared" si="143"/>
        <v>1</v>
      </c>
      <c r="F9174" s="12">
        <v>0</v>
      </c>
    </row>
    <row r="9175" spans="3:6">
      <c r="C9175" s="12"/>
      <c r="D9175" s="12"/>
      <c r="E9175" t="b">
        <f t="shared" si="143"/>
        <v>1</v>
      </c>
      <c r="F9175" s="12">
        <v>0</v>
      </c>
    </row>
    <row r="9176" spans="3:6">
      <c r="C9176" s="12"/>
      <c r="D9176" s="12"/>
      <c r="E9176" t="b">
        <f t="shared" si="143"/>
        <v>1</v>
      </c>
      <c r="F9176" s="12">
        <v>0</v>
      </c>
    </row>
    <row r="9177" spans="3:6">
      <c r="C9177" s="12"/>
      <c r="D9177" s="12"/>
      <c r="E9177" t="b">
        <f t="shared" si="143"/>
        <v>1</v>
      </c>
      <c r="F9177" s="12">
        <v>0</v>
      </c>
    </row>
    <row r="9178" spans="3:6">
      <c r="C9178" s="12"/>
      <c r="D9178" s="12"/>
      <c r="E9178" t="b">
        <f t="shared" si="143"/>
        <v>1</v>
      </c>
      <c r="F9178" s="12">
        <v>0</v>
      </c>
    </row>
    <row r="9179" spans="3:6">
      <c r="C9179" s="12"/>
      <c r="D9179" s="12"/>
      <c r="E9179" t="b">
        <f t="shared" si="143"/>
        <v>1</v>
      </c>
      <c r="F9179" s="12">
        <v>0</v>
      </c>
    </row>
    <row r="9180" spans="3:6">
      <c r="C9180" s="12"/>
      <c r="D9180" s="12"/>
      <c r="E9180" t="b">
        <f t="shared" si="143"/>
        <v>1</v>
      </c>
      <c r="F9180" s="12">
        <v>0</v>
      </c>
    </row>
    <row r="9181" spans="3:6">
      <c r="C9181" s="12"/>
      <c r="D9181" s="12"/>
      <c r="E9181" t="b">
        <f t="shared" si="143"/>
        <v>1</v>
      </c>
      <c r="F9181" s="12">
        <v>0</v>
      </c>
    </row>
    <row r="9182" spans="3:6">
      <c r="C9182" s="12"/>
      <c r="D9182" s="12"/>
      <c r="E9182" t="b">
        <f t="shared" si="143"/>
        <v>1</v>
      </c>
      <c r="F9182" s="12">
        <v>0</v>
      </c>
    </row>
    <row r="9183" spans="3:6">
      <c r="C9183" s="12"/>
      <c r="D9183" s="12"/>
      <c r="E9183" t="b">
        <f t="shared" si="143"/>
        <v>1</v>
      </c>
      <c r="F9183" s="12">
        <v>0</v>
      </c>
    </row>
    <row r="9184" spans="3:6">
      <c r="C9184" s="12"/>
      <c r="D9184" s="12"/>
      <c r="E9184" t="b">
        <f t="shared" si="143"/>
        <v>1</v>
      </c>
      <c r="F9184" s="12">
        <v>0</v>
      </c>
    </row>
    <row r="9185" spans="3:6">
      <c r="C9185" s="12"/>
      <c r="D9185" s="12"/>
      <c r="E9185" t="b">
        <f t="shared" si="143"/>
        <v>1</v>
      </c>
      <c r="F9185" s="12">
        <v>0</v>
      </c>
    </row>
    <row r="9186" spans="3:6">
      <c r="C9186" s="12"/>
      <c r="D9186" s="12"/>
      <c r="E9186" t="b">
        <f t="shared" si="143"/>
        <v>1</v>
      </c>
      <c r="F9186" s="12">
        <v>0</v>
      </c>
    </row>
    <row r="9187" spans="3:6">
      <c r="C9187" s="12"/>
      <c r="D9187" s="12"/>
      <c r="E9187" t="b">
        <f t="shared" si="143"/>
        <v>1</v>
      </c>
      <c r="F9187" s="12">
        <v>0</v>
      </c>
    </row>
    <row r="9188" spans="3:6">
      <c r="C9188" s="12"/>
      <c r="D9188" s="12"/>
      <c r="E9188" t="b">
        <f t="shared" si="143"/>
        <v>1</v>
      </c>
      <c r="F9188" s="12">
        <v>0</v>
      </c>
    </row>
    <row r="9189" spans="3:6">
      <c r="C9189" s="12"/>
      <c r="D9189" s="12"/>
      <c r="E9189" t="b">
        <f t="shared" si="143"/>
        <v>1</v>
      </c>
      <c r="F9189" s="12">
        <v>0</v>
      </c>
    </row>
    <row r="9190" spans="3:6">
      <c r="C9190" s="12"/>
      <c r="D9190" s="12"/>
      <c r="E9190" t="b">
        <f t="shared" si="143"/>
        <v>1</v>
      </c>
      <c r="F9190" s="12">
        <v>0</v>
      </c>
    </row>
    <row r="9191" spans="3:6">
      <c r="C9191" s="12"/>
      <c r="D9191" s="12"/>
      <c r="E9191" t="b">
        <f t="shared" si="143"/>
        <v>1</v>
      </c>
      <c r="F9191" s="12">
        <v>0</v>
      </c>
    </row>
    <row r="9192" spans="3:6">
      <c r="C9192" s="12"/>
      <c r="D9192" s="12"/>
      <c r="E9192" t="b">
        <f t="shared" si="143"/>
        <v>1</v>
      </c>
      <c r="F9192" s="12">
        <v>0</v>
      </c>
    </row>
    <row r="9193" spans="3:6">
      <c r="C9193" s="12"/>
      <c r="D9193" s="12"/>
      <c r="E9193" t="b">
        <f t="shared" si="143"/>
        <v>1</v>
      </c>
      <c r="F9193" s="12">
        <v>0</v>
      </c>
    </row>
    <row r="9194" spans="3:6">
      <c r="C9194" s="12"/>
      <c r="D9194" s="12"/>
      <c r="E9194" t="b">
        <f t="shared" si="143"/>
        <v>1</v>
      </c>
      <c r="F9194" s="12">
        <v>0</v>
      </c>
    </row>
    <row r="9195" spans="3:6">
      <c r="C9195" s="12"/>
      <c r="D9195" s="12"/>
      <c r="E9195" t="b">
        <f t="shared" si="143"/>
        <v>1</v>
      </c>
      <c r="F9195" s="12">
        <v>0</v>
      </c>
    </row>
    <row r="9196" spans="3:6">
      <c r="C9196" s="12"/>
      <c r="D9196" s="12"/>
      <c r="E9196" t="b">
        <f t="shared" si="143"/>
        <v>1</v>
      </c>
      <c r="F9196" s="12">
        <v>0</v>
      </c>
    </row>
    <row r="9197" spans="3:6">
      <c r="C9197" s="12"/>
      <c r="D9197" s="12"/>
      <c r="E9197" t="b">
        <f t="shared" si="143"/>
        <v>1</v>
      </c>
      <c r="F9197" s="12">
        <v>0</v>
      </c>
    </row>
    <row r="9198" spans="3:6">
      <c r="C9198" s="12"/>
      <c r="D9198" s="12"/>
      <c r="E9198" t="b">
        <f t="shared" si="143"/>
        <v>1</v>
      </c>
      <c r="F9198" s="12">
        <v>0</v>
      </c>
    </row>
    <row r="9199" spans="3:6">
      <c r="C9199" s="12"/>
      <c r="D9199" s="12"/>
      <c r="E9199" t="b">
        <f t="shared" si="143"/>
        <v>1</v>
      </c>
      <c r="F9199" s="12">
        <v>0</v>
      </c>
    </row>
    <row r="9200" spans="3:6">
      <c r="C9200" s="12"/>
      <c r="D9200" s="12"/>
      <c r="E9200" t="b">
        <f t="shared" si="143"/>
        <v>1</v>
      </c>
      <c r="F9200" s="12">
        <v>0</v>
      </c>
    </row>
    <row r="9201" spans="3:6">
      <c r="C9201" s="12"/>
      <c r="D9201" s="12"/>
      <c r="E9201" t="b">
        <f t="shared" si="143"/>
        <v>1</v>
      </c>
      <c r="F9201" s="12">
        <v>0</v>
      </c>
    </row>
    <row r="9202" spans="3:6">
      <c r="C9202" s="12"/>
      <c r="D9202" s="12"/>
      <c r="E9202" t="b">
        <f t="shared" si="143"/>
        <v>1</v>
      </c>
      <c r="F9202" s="12">
        <v>0</v>
      </c>
    </row>
    <row r="9203" spans="3:6">
      <c r="C9203" s="12"/>
      <c r="D9203" s="12"/>
      <c r="E9203" t="b">
        <f t="shared" si="143"/>
        <v>1</v>
      </c>
      <c r="F9203" s="12">
        <v>0</v>
      </c>
    </row>
    <row r="9204" spans="3:6">
      <c r="C9204" s="12"/>
      <c r="D9204" s="12"/>
      <c r="E9204" t="b">
        <f t="shared" si="143"/>
        <v>1</v>
      </c>
      <c r="F9204" s="12">
        <v>0</v>
      </c>
    </row>
    <row r="9205" spans="3:6">
      <c r="C9205" s="12"/>
      <c r="D9205" s="12"/>
      <c r="E9205" t="b">
        <f t="shared" si="143"/>
        <v>1</v>
      </c>
      <c r="F9205" s="12">
        <v>0</v>
      </c>
    </row>
    <row r="9206" spans="3:6">
      <c r="C9206" s="12"/>
      <c r="D9206" s="12"/>
      <c r="E9206" t="b">
        <f t="shared" si="143"/>
        <v>1</v>
      </c>
      <c r="F9206" s="12">
        <v>0</v>
      </c>
    </row>
    <row r="9207" spans="3:6">
      <c r="C9207" s="12"/>
      <c r="D9207" s="12"/>
      <c r="E9207" t="b">
        <f t="shared" si="143"/>
        <v>1</v>
      </c>
      <c r="F9207" s="12">
        <v>0</v>
      </c>
    </row>
    <row r="9208" spans="3:6">
      <c r="C9208" s="12"/>
      <c r="D9208" s="12"/>
      <c r="E9208" t="b">
        <f t="shared" si="143"/>
        <v>1</v>
      </c>
      <c r="F9208" s="12">
        <v>0</v>
      </c>
    </row>
    <row r="9209" spans="3:6">
      <c r="C9209" s="12"/>
      <c r="D9209" s="12"/>
      <c r="E9209" t="b">
        <f t="shared" si="143"/>
        <v>1</v>
      </c>
      <c r="F9209" s="12">
        <v>0</v>
      </c>
    </row>
    <row r="9210" spans="3:6">
      <c r="C9210" s="12"/>
      <c r="D9210" s="12"/>
      <c r="E9210" t="b">
        <f t="shared" si="143"/>
        <v>1</v>
      </c>
      <c r="F9210" s="12">
        <v>0</v>
      </c>
    </row>
    <row r="9211" spans="3:6">
      <c r="C9211" s="12"/>
      <c r="D9211" s="12"/>
      <c r="E9211" t="b">
        <f t="shared" si="143"/>
        <v>1</v>
      </c>
      <c r="F9211" s="12">
        <v>0</v>
      </c>
    </row>
    <row r="9212" spans="3:6">
      <c r="C9212" s="12"/>
      <c r="D9212" s="12"/>
      <c r="E9212" t="b">
        <f t="shared" si="143"/>
        <v>1</v>
      </c>
      <c r="F9212" s="12">
        <v>0</v>
      </c>
    </row>
    <row r="9213" spans="3:6">
      <c r="C9213" s="12"/>
      <c r="D9213" s="12"/>
      <c r="E9213" t="b">
        <f t="shared" si="143"/>
        <v>1</v>
      </c>
      <c r="F9213" s="12">
        <v>0</v>
      </c>
    </row>
    <row r="9214" spans="3:6">
      <c r="C9214" s="12"/>
      <c r="D9214" s="12"/>
      <c r="E9214" t="b">
        <f t="shared" si="143"/>
        <v>1</v>
      </c>
      <c r="F9214" s="12">
        <v>0</v>
      </c>
    </row>
    <row r="9215" spans="3:6">
      <c r="C9215" s="12"/>
      <c r="D9215" s="12"/>
      <c r="E9215" t="b">
        <f t="shared" si="143"/>
        <v>1</v>
      </c>
      <c r="F9215" s="12">
        <v>0</v>
      </c>
    </row>
    <row r="9216" spans="3:6">
      <c r="C9216" s="12"/>
      <c r="D9216" s="12"/>
      <c r="E9216" t="b">
        <f t="shared" si="143"/>
        <v>1</v>
      </c>
      <c r="F9216" s="12">
        <v>0</v>
      </c>
    </row>
    <row r="9217" spans="3:6">
      <c r="C9217" s="12"/>
      <c r="D9217" s="12"/>
      <c r="E9217" t="b">
        <f t="shared" si="143"/>
        <v>1</v>
      </c>
      <c r="F9217" s="12">
        <v>0</v>
      </c>
    </row>
    <row r="9218" spans="3:6">
      <c r="C9218" s="12"/>
      <c r="D9218" s="12"/>
      <c r="E9218" t="b">
        <f t="shared" si="143"/>
        <v>1</v>
      </c>
      <c r="F9218" s="12">
        <v>0</v>
      </c>
    </row>
    <row r="9219" spans="3:6">
      <c r="C9219" s="12"/>
      <c r="D9219" s="12"/>
      <c r="E9219" t="b">
        <f t="shared" ref="E9219:E9282" si="144">F9219=C9219</f>
        <v>1</v>
      </c>
      <c r="F9219" s="12">
        <v>0</v>
      </c>
    </row>
    <row r="9220" spans="3:6">
      <c r="C9220" s="12"/>
      <c r="D9220" s="12"/>
      <c r="E9220" t="b">
        <f t="shared" si="144"/>
        <v>1</v>
      </c>
      <c r="F9220" s="12">
        <v>0</v>
      </c>
    </row>
    <row r="9221" spans="3:6">
      <c r="C9221" s="12"/>
      <c r="D9221" s="12"/>
      <c r="E9221" t="b">
        <f t="shared" si="144"/>
        <v>1</v>
      </c>
      <c r="F9221" s="12">
        <v>0</v>
      </c>
    </row>
    <row r="9222" spans="3:6">
      <c r="C9222" s="12"/>
      <c r="D9222" s="12"/>
      <c r="E9222" t="b">
        <f t="shared" si="144"/>
        <v>1</v>
      </c>
      <c r="F9222" s="12">
        <v>0</v>
      </c>
    </row>
    <row r="9223" spans="3:6">
      <c r="C9223" s="12"/>
      <c r="D9223" s="12"/>
      <c r="E9223" t="b">
        <f t="shared" si="144"/>
        <v>1</v>
      </c>
      <c r="F9223" s="12">
        <v>0</v>
      </c>
    </row>
    <row r="9224" spans="3:6">
      <c r="C9224" s="12"/>
      <c r="D9224" s="12"/>
      <c r="E9224" t="b">
        <f t="shared" si="144"/>
        <v>1</v>
      </c>
      <c r="F9224" s="12">
        <v>0</v>
      </c>
    </row>
    <row r="9225" spans="3:6">
      <c r="C9225" s="12"/>
      <c r="D9225" s="12"/>
      <c r="E9225" t="b">
        <f t="shared" si="144"/>
        <v>1</v>
      </c>
      <c r="F9225" s="12">
        <v>0</v>
      </c>
    </row>
    <row r="9226" spans="3:6">
      <c r="C9226" s="12"/>
      <c r="D9226" s="12"/>
      <c r="E9226" t="b">
        <f t="shared" si="144"/>
        <v>1</v>
      </c>
      <c r="F9226" s="12">
        <v>0</v>
      </c>
    </row>
    <row r="9227" spans="3:6">
      <c r="C9227" s="12"/>
      <c r="D9227" s="12"/>
      <c r="E9227" t="b">
        <f t="shared" si="144"/>
        <v>1</v>
      </c>
      <c r="F9227" s="12">
        <v>0</v>
      </c>
    </row>
    <row r="9228" spans="3:6">
      <c r="C9228" s="12"/>
      <c r="D9228" s="12"/>
      <c r="E9228" t="b">
        <f t="shared" si="144"/>
        <v>1</v>
      </c>
      <c r="F9228" s="12">
        <v>0</v>
      </c>
    </row>
    <row r="9229" spans="3:6">
      <c r="C9229" s="12"/>
      <c r="D9229" s="12"/>
      <c r="E9229" t="b">
        <f t="shared" si="144"/>
        <v>1</v>
      </c>
      <c r="F9229" s="12">
        <v>0</v>
      </c>
    </row>
    <row r="9230" spans="3:6">
      <c r="C9230" s="12"/>
      <c r="D9230" s="12"/>
      <c r="E9230" t="b">
        <f t="shared" si="144"/>
        <v>1</v>
      </c>
      <c r="F9230" s="12">
        <v>0</v>
      </c>
    </row>
    <row r="9231" spans="3:6">
      <c r="C9231" s="12"/>
      <c r="D9231" s="12"/>
      <c r="E9231" t="b">
        <f t="shared" si="144"/>
        <v>1</v>
      </c>
      <c r="F9231" s="12">
        <v>0</v>
      </c>
    </row>
    <row r="9232" spans="3:6">
      <c r="C9232" s="12"/>
      <c r="D9232" s="12"/>
      <c r="E9232" t="b">
        <f t="shared" si="144"/>
        <v>1</v>
      </c>
      <c r="F9232" s="12">
        <v>0</v>
      </c>
    </row>
    <row r="9233" spans="3:6">
      <c r="C9233" s="12"/>
      <c r="D9233" s="12"/>
      <c r="E9233" t="b">
        <f t="shared" si="144"/>
        <v>1</v>
      </c>
      <c r="F9233" s="12">
        <v>0</v>
      </c>
    </row>
    <row r="9234" spans="3:6">
      <c r="C9234" s="12"/>
      <c r="D9234" s="12"/>
      <c r="E9234" t="b">
        <f t="shared" si="144"/>
        <v>1</v>
      </c>
      <c r="F9234" s="12">
        <v>0</v>
      </c>
    </row>
    <row r="9235" spans="3:6">
      <c r="C9235" s="12"/>
      <c r="D9235" s="12"/>
      <c r="E9235" t="b">
        <f t="shared" si="144"/>
        <v>1</v>
      </c>
      <c r="F9235" s="12">
        <v>0</v>
      </c>
    </row>
    <row r="9236" spans="3:6">
      <c r="C9236" s="12"/>
      <c r="D9236" s="12"/>
      <c r="E9236" t="b">
        <f t="shared" si="144"/>
        <v>1</v>
      </c>
      <c r="F9236" s="12">
        <v>0</v>
      </c>
    </row>
    <row r="9237" spans="3:6">
      <c r="C9237" s="12"/>
      <c r="D9237" s="12"/>
      <c r="E9237" t="b">
        <f t="shared" si="144"/>
        <v>1</v>
      </c>
      <c r="F9237" s="12">
        <v>0</v>
      </c>
    </row>
    <row r="9238" spans="3:6">
      <c r="C9238" s="12"/>
      <c r="D9238" s="12"/>
      <c r="E9238" t="b">
        <f t="shared" si="144"/>
        <v>1</v>
      </c>
      <c r="F9238" s="12">
        <v>0</v>
      </c>
    </row>
    <row r="9239" spans="3:6">
      <c r="C9239" s="12"/>
      <c r="D9239" s="12"/>
      <c r="E9239" t="b">
        <f t="shared" si="144"/>
        <v>1</v>
      </c>
      <c r="F9239" s="12">
        <v>0</v>
      </c>
    </row>
    <row r="9240" spans="3:6">
      <c r="C9240" s="12"/>
      <c r="D9240" s="12"/>
      <c r="E9240" t="b">
        <f t="shared" si="144"/>
        <v>1</v>
      </c>
      <c r="F9240" s="12">
        <v>0</v>
      </c>
    </row>
    <row r="9241" spans="3:6">
      <c r="C9241" s="12"/>
      <c r="D9241" s="12"/>
      <c r="E9241" t="b">
        <f t="shared" si="144"/>
        <v>1</v>
      </c>
      <c r="F9241" s="12">
        <v>0</v>
      </c>
    </row>
    <row r="9242" spans="3:6">
      <c r="C9242" s="12"/>
      <c r="D9242" s="12"/>
      <c r="E9242" t="b">
        <f t="shared" si="144"/>
        <v>1</v>
      </c>
      <c r="F9242" s="12">
        <v>0</v>
      </c>
    </row>
    <row r="9243" spans="3:6">
      <c r="C9243" s="12"/>
      <c r="D9243" s="12"/>
      <c r="E9243" t="b">
        <f t="shared" si="144"/>
        <v>1</v>
      </c>
      <c r="F9243" s="12">
        <v>0</v>
      </c>
    </row>
    <row r="9244" spans="3:6">
      <c r="C9244" s="12"/>
      <c r="D9244" s="12"/>
      <c r="E9244" t="b">
        <f t="shared" si="144"/>
        <v>1</v>
      </c>
      <c r="F9244" s="12">
        <v>0</v>
      </c>
    </row>
    <row r="9245" spans="3:6">
      <c r="C9245" s="12"/>
      <c r="D9245" s="12"/>
      <c r="E9245" t="b">
        <f t="shared" si="144"/>
        <v>1</v>
      </c>
      <c r="F9245" s="12">
        <v>0</v>
      </c>
    </row>
    <row r="9246" spans="3:6">
      <c r="C9246" s="12"/>
      <c r="D9246" s="12"/>
      <c r="E9246" t="b">
        <f t="shared" si="144"/>
        <v>1</v>
      </c>
      <c r="F9246" s="12">
        <v>0</v>
      </c>
    </row>
    <row r="9247" spans="3:6">
      <c r="C9247" s="12"/>
      <c r="D9247" s="12"/>
      <c r="E9247" t="b">
        <f t="shared" si="144"/>
        <v>1</v>
      </c>
      <c r="F9247" s="12">
        <v>0</v>
      </c>
    </row>
    <row r="9248" spans="3:6">
      <c r="C9248" s="12"/>
      <c r="D9248" s="12"/>
      <c r="E9248" t="b">
        <f t="shared" si="144"/>
        <v>1</v>
      </c>
      <c r="F9248" s="12">
        <v>0</v>
      </c>
    </row>
    <row r="9249" spans="3:6">
      <c r="C9249" s="12"/>
      <c r="D9249" s="12"/>
      <c r="E9249" t="b">
        <f t="shared" si="144"/>
        <v>1</v>
      </c>
      <c r="F9249" s="12">
        <v>0</v>
      </c>
    </row>
    <row r="9250" spans="3:6">
      <c r="C9250" s="12"/>
      <c r="D9250" s="12"/>
      <c r="E9250" t="b">
        <f t="shared" si="144"/>
        <v>1</v>
      </c>
      <c r="F9250" s="12">
        <v>0</v>
      </c>
    </row>
    <row r="9251" spans="3:6">
      <c r="C9251" s="12"/>
      <c r="D9251" s="12"/>
      <c r="E9251" t="b">
        <f t="shared" si="144"/>
        <v>1</v>
      </c>
      <c r="F9251" s="12">
        <v>0</v>
      </c>
    </row>
    <row r="9252" spans="3:6">
      <c r="C9252" s="12"/>
      <c r="D9252" s="12"/>
      <c r="E9252" t="b">
        <f t="shared" si="144"/>
        <v>1</v>
      </c>
      <c r="F9252" s="12">
        <v>0</v>
      </c>
    </row>
    <row r="9253" spans="3:6">
      <c r="C9253" s="12"/>
      <c r="D9253" s="12"/>
      <c r="E9253" t="b">
        <f t="shared" si="144"/>
        <v>1</v>
      </c>
      <c r="F9253" s="12">
        <v>0</v>
      </c>
    </row>
    <row r="9254" spans="3:6">
      <c r="C9254" s="12"/>
      <c r="D9254" s="12"/>
      <c r="E9254" t="b">
        <f t="shared" si="144"/>
        <v>1</v>
      </c>
      <c r="F9254" s="12">
        <v>0</v>
      </c>
    </row>
    <row r="9255" spans="3:6">
      <c r="C9255" s="12"/>
      <c r="D9255" s="12"/>
      <c r="E9255" t="b">
        <f t="shared" si="144"/>
        <v>1</v>
      </c>
      <c r="F9255" s="12">
        <v>0</v>
      </c>
    </row>
    <row r="9256" spans="3:6">
      <c r="C9256" s="12"/>
      <c r="D9256" s="12"/>
      <c r="E9256" t="b">
        <f t="shared" si="144"/>
        <v>1</v>
      </c>
      <c r="F9256" s="12">
        <v>0</v>
      </c>
    </row>
    <row r="9257" spans="3:6">
      <c r="C9257" s="12"/>
      <c r="D9257" s="12"/>
      <c r="E9257" t="b">
        <f t="shared" si="144"/>
        <v>1</v>
      </c>
      <c r="F9257" s="12">
        <v>0</v>
      </c>
    </row>
    <row r="9258" spans="3:6">
      <c r="C9258" s="12"/>
      <c r="D9258" s="12"/>
      <c r="E9258" t="b">
        <f t="shared" si="144"/>
        <v>1</v>
      </c>
      <c r="F9258" s="12">
        <v>0</v>
      </c>
    </row>
    <row r="9259" spans="3:6">
      <c r="C9259" s="12"/>
      <c r="D9259" s="12"/>
      <c r="E9259" t="b">
        <f t="shared" si="144"/>
        <v>1</v>
      </c>
      <c r="F9259" s="12">
        <v>0</v>
      </c>
    </row>
    <row r="9260" spans="3:6">
      <c r="C9260" s="12"/>
      <c r="D9260" s="12"/>
      <c r="E9260" t="b">
        <f t="shared" si="144"/>
        <v>1</v>
      </c>
      <c r="F9260" s="12">
        <v>0</v>
      </c>
    </row>
    <row r="9261" spans="3:6">
      <c r="C9261" s="12"/>
      <c r="D9261" s="12"/>
      <c r="E9261" t="b">
        <f t="shared" si="144"/>
        <v>1</v>
      </c>
      <c r="F9261" s="12">
        <v>0</v>
      </c>
    </row>
    <row r="9262" spans="3:6">
      <c r="C9262" s="12"/>
      <c r="D9262" s="12"/>
      <c r="E9262" t="b">
        <f t="shared" si="144"/>
        <v>1</v>
      </c>
      <c r="F9262" s="12">
        <v>0</v>
      </c>
    </row>
    <row r="9263" spans="3:6">
      <c r="C9263" s="12"/>
      <c r="D9263" s="12"/>
      <c r="E9263" t="b">
        <f t="shared" si="144"/>
        <v>1</v>
      </c>
      <c r="F9263" s="12">
        <v>0</v>
      </c>
    </row>
    <row r="9264" spans="3:6">
      <c r="C9264" s="12"/>
      <c r="D9264" s="12"/>
      <c r="E9264" t="b">
        <f t="shared" si="144"/>
        <v>1</v>
      </c>
      <c r="F9264" s="12">
        <v>0</v>
      </c>
    </row>
    <row r="9265" spans="3:6">
      <c r="C9265" s="12"/>
      <c r="D9265" s="12"/>
      <c r="E9265" t="b">
        <f t="shared" si="144"/>
        <v>1</v>
      </c>
      <c r="F9265" s="12">
        <v>0</v>
      </c>
    </row>
    <row r="9266" spans="3:6">
      <c r="C9266" s="12"/>
      <c r="D9266" s="12"/>
      <c r="E9266" t="b">
        <f t="shared" si="144"/>
        <v>1</v>
      </c>
      <c r="F9266" s="12">
        <v>0</v>
      </c>
    </row>
    <row r="9267" spans="3:6">
      <c r="C9267" s="12"/>
      <c r="D9267" s="12"/>
      <c r="E9267" t="b">
        <f t="shared" si="144"/>
        <v>1</v>
      </c>
      <c r="F9267" s="12">
        <v>0</v>
      </c>
    </row>
    <row r="9268" spans="3:6">
      <c r="C9268" s="12"/>
      <c r="D9268" s="12"/>
      <c r="E9268" t="b">
        <f t="shared" si="144"/>
        <v>1</v>
      </c>
      <c r="F9268" s="12">
        <v>0</v>
      </c>
    </row>
    <row r="9269" spans="3:6">
      <c r="C9269" s="12"/>
      <c r="D9269" s="12"/>
      <c r="E9269" t="b">
        <f t="shared" si="144"/>
        <v>1</v>
      </c>
      <c r="F9269" s="12">
        <v>0</v>
      </c>
    </row>
    <row r="9270" spans="3:6">
      <c r="C9270" s="12"/>
      <c r="D9270" s="12"/>
      <c r="E9270" t="b">
        <f t="shared" si="144"/>
        <v>1</v>
      </c>
      <c r="F9270" s="12">
        <v>0</v>
      </c>
    </row>
    <row r="9271" spans="3:6">
      <c r="C9271" s="12"/>
      <c r="D9271" s="12"/>
      <c r="E9271" t="b">
        <f t="shared" si="144"/>
        <v>1</v>
      </c>
      <c r="F9271" s="12">
        <v>0</v>
      </c>
    </row>
    <row r="9272" spans="3:6">
      <c r="C9272" s="12"/>
      <c r="D9272" s="12"/>
      <c r="E9272" t="b">
        <f t="shared" si="144"/>
        <v>1</v>
      </c>
      <c r="F9272" s="12">
        <v>0</v>
      </c>
    </row>
    <row r="9273" spans="3:6">
      <c r="C9273" s="12"/>
      <c r="D9273" s="12"/>
      <c r="E9273" t="b">
        <f t="shared" si="144"/>
        <v>1</v>
      </c>
      <c r="F9273" s="12">
        <v>0</v>
      </c>
    </row>
    <row r="9274" spans="3:6">
      <c r="C9274" s="12"/>
      <c r="D9274" s="12"/>
      <c r="E9274" t="b">
        <f t="shared" si="144"/>
        <v>1</v>
      </c>
      <c r="F9274" s="12">
        <v>0</v>
      </c>
    </row>
    <row r="9275" spans="3:6">
      <c r="C9275" s="12"/>
      <c r="D9275" s="12"/>
      <c r="E9275" t="b">
        <f t="shared" si="144"/>
        <v>1</v>
      </c>
      <c r="F9275" s="12">
        <v>0</v>
      </c>
    </row>
    <row r="9276" spans="3:6">
      <c r="C9276" s="12"/>
      <c r="D9276" s="12"/>
      <c r="E9276" t="b">
        <f t="shared" si="144"/>
        <v>1</v>
      </c>
      <c r="F9276" s="12">
        <v>0</v>
      </c>
    </row>
    <row r="9277" spans="3:6">
      <c r="C9277" s="12"/>
      <c r="D9277" s="12"/>
      <c r="E9277" t="b">
        <f t="shared" si="144"/>
        <v>1</v>
      </c>
      <c r="F9277" s="12">
        <v>0</v>
      </c>
    </row>
    <row r="9278" spans="3:6">
      <c r="C9278" s="12"/>
      <c r="D9278" s="12"/>
      <c r="E9278" t="b">
        <f t="shared" si="144"/>
        <v>1</v>
      </c>
      <c r="F9278" s="12">
        <v>0</v>
      </c>
    </row>
    <row r="9279" spans="3:6">
      <c r="C9279" s="12"/>
      <c r="D9279" s="12"/>
      <c r="E9279" t="b">
        <f t="shared" si="144"/>
        <v>1</v>
      </c>
      <c r="F9279" s="12">
        <v>0</v>
      </c>
    </row>
    <row r="9280" spans="3:6">
      <c r="C9280" s="12"/>
      <c r="D9280" s="12"/>
      <c r="E9280" t="b">
        <f t="shared" si="144"/>
        <v>1</v>
      </c>
      <c r="F9280" s="12">
        <v>0</v>
      </c>
    </row>
    <row r="9281" spans="3:6">
      <c r="C9281" s="12"/>
      <c r="D9281" s="12"/>
      <c r="E9281" t="b">
        <f t="shared" si="144"/>
        <v>1</v>
      </c>
      <c r="F9281" s="12">
        <v>0</v>
      </c>
    </row>
    <row r="9282" spans="3:6">
      <c r="C9282" s="12"/>
      <c r="D9282" s="12"/>
      <c r="E9282" t="b">
        <f t="shared" si="144"/>
        <v>1</v>
      </c>
      <c r="F9282" s="12">
        <v>0</v>
      </c>
    </row>
    <row r="9283" spans="3:6">
      <c r="C9283" s="12"/>
      <c r="D9283" s="12"/>
      <c r="E9283" t="b">
        <f t="shared" ref="E9283:E9346" si="145">F9283=C9283</f>
        <v>1</v>
      </c>
      <c r="F9283" s="12">
        <v>0</v>
      </c>
    </row>
    <row r="9284" spans="3:6">
      <c r="C9284" s="12"/>
      <c r="D9284" s="12"/>
      <c r="E9284" t="b">
        <f t="shared" si="145"/>
        <v>1</v>
      </c>
      <c r="F9284" s="12">
        <v>0</v>
      </c>
    </row>
    <row r="9285" spans="3:6">
      <c r="C9285" s="12"/>
      <c r="D9285" s="12"/>
      <c r="E9285" t="b">
        <f t="shared" si="145"/>
        <v>1</v>
      </c>
      <c r="F9285" s="12">
        <v>0</v>
      </c>
    </row>
    <row r="9286" spans="3:6">
      <c r="C9286" s="12"/>
      <c r="D9286" s="12"/>
      <c r="E9286" t="b">
        <f t="shared" si="145"/>
        <v>1</v>
      </c>
      <c r="F9286" s="12">
        <v>0</v>
      </c>
    </row>
    <row r="9287" spans="3:6">
      <c r="C9287" s="12"/>
      <c r="D9287" s="12"/>
      <c r="E9287" t="b">
        <f t="shared" si="145"/>
        <v>1</v>
      </c>
      <c r="F9287" s="12">
        <v>0</v>
      </c>
    </row>
    <row r="9288" spans="3:6">
      <c r="C9288" s="12"/>
      <c r="D9288" s="12"/>
      <c r="E9288" t="b">
        <f t="shared" si="145"/>
        <v>1</v>
      </c>
      <c r="F9288" s="12">
        <v>0</v>
      </c>
    </row>
    <row r="9289" spans="3:6">
      <c r="C9289" s="12"/>
      <c r="D9289" s="12"/>
      <c r="E9289" t="b">
        <f t="shared" si="145"/>
        <v>1</v>
      </c>
      <c r="F9289" s="12">
        <v>0</v>
      </c>
    </row>
    <row r="9290" spans="3:6">
      <c r="C9290" s="12"/>
      <c r="D9290" s="12"/>
      <c r="E9290" t="b">
        <f t="shared" si="145"/>
        <v>1</v>
      </c>
      <c r="F9290" s="12">
        <v>0</v>
      </c>
    </row>
    <row r="9291" spans="3:6">
      <c r="C9291" s="12"/>
      <c r="D9291" s="12"/>
      <c r="E9291" t="b">
        <f t="shared" si="145"/>
        <v>1</v>
      </c>
      <c r="F9291" s="12">
        <v>0</v>
      </c>
    </row>
    <row r="9292" spans="3:6">
      <c r="C9292" s="12"/>
      <c r="D9292" s="12"/>
      <c r="E9292" t="b">
        <f t="shared" si="145"/>
        <v>1</v>
      </c>
      <c r="F9292" s="12">
        <v>0</v>
      </c>
    </row>
    <row r="9293" spans="3:6">
      <c r="C9293" s="12"/>
      <c r="D9293" s="12"/>
      <c r="E9293" t="b">
        <f t="shared" si="145"/>
        <v>1</v>
      </c>
      <c r="F9293" s="12">
        <v>0</v>
      </c>
    </row>
    <row r="9294" spans="3:6">
      <c r="C9294" s="12"/>
      <c r="D9294" s="12"/>
      <c r="E9294" t="b">
        <f t="shared" si="145"/>
        <v>1</v>
      </c>
      <c r="F9294" s="12">
        <v>0</v>
      </c>
    </row>
    <row r="9295" spans="3:6">
      <c r="C9295" s="12"/>
      <c r="D9295" s="12"/>
      <c r="E9295" t="b">
        <f t="shared" si="145"/>
        <v>1</v>
      </c>
      <c r="F9295" s="12">
        <v>0</v>
      </c>
    </row>
    <row r="9296" spans="3:6">
      <c r="C9296" s="12"/>
      <c r="D9296" s="12"/>
      <c r="E9296" t="b">
        <f t="shared" si="145"/>
        <v>1</v>
      </c>
      <c r="F9296" s="12">
        <v>0</v>
      </c>
    </row>
    <row r="9297" spans="3:6">
      <c r="C9297" s="12"/>
      <c r="D9297" s="12"/>
      <c r="E9297" t="b">
        <f t="shared" si="145"/>
        <v>1</v>
      </c>
      <c r="F9297" s="12">
        <v>0</v>
      </c>
    </row>
    <row r="9298" spans="3:6">
      <c r="C9298" s="12"/>
      <c r="D9298" s="12"/>
      <c r="E9298" t="b">
        <f t="shared" si="145"/>
        <v>1</v>
      </c>
      <c r="F9298" s="12">
        <v>0</v>
      </c>
    </row>
    <row r="9299" spans="3:6">
      <c r="C9299" s="12"/>
      <c r="D9299" s="12"/>
      <c r="E9299" t="b">
        <f t="shared" si="145"/>
        <v>1</v>
      </c>
      <c r="F9299" s="12">
        <v>0</v>
      </c>
    </row>
    <row r="9300" spans="3:6">
      <c r="C9300" s="12"/>
      <c r="D9300" s="12"/>
      <c r="E9300" t="b">
        <f t="shared" si="145"/>
        <v>1</v>
      </c>
      <c r="F9300" s="12">
        <v>0</v>
      </c>
    </row>
    <row r="9301" spans="3:6">
      <c r="C9301" s="12"/>
      <c r="D9301" s="12"/>
      <c r="E9301" t="b">
        <f t="shared" si="145"/>
        <v>1</v>
      </c>
      <c r="F9301" s="12">
        <v>0</v>
      </c>
    </row>
    <row r="9302" spans="3:6">
      <c r="C9302" s="12"/>
      <c r="D9302" s="12"/>
      <c r="E9302" t="b">
        <f t="shared" si="145"/>
        <v>1</v>
      </c>
      <c r="F9302" s="12">
        <v>0</v>
      </c>
    </row>
    <row r="9303" spans="3:6">
      <c r="C9303" s="12"/>
      <c r="D9303" s="12"/>
      <c r="E9303" t="b">
        <f t="shared" si="145"/>
        <v>1</v>
      </c>
      <c r="F9303" s="12">
        <v>0</v>
      </c>
    </row>
    <row r="9304" spans="3:6">
      <c r="C9304" s="12"/>
      <c r="D9304" s="12"/>
      <c r="E9304" t="b">
        <f t="shared" si="145"/>
        <v>1</v>
      </c>
      <c r="F9304" s="12">
        <v>0</v>
      </c>
    </row>
    <row r="9305" spans="3:6">
      <c r="C9305" s="12"/>
      <c r="D9305" s="12"/>
      <c r="E9305" t="b">
        <f t="shared" si="145"/>
        <v>1</v>
      </c>
      <c r="F9305" s="12">
        <v>0</v>
      </c>
    </row>
    <row r="9306" spans="3:6">
      <c r="C9306" s="12"/>
      <c r="D9306" s="12"/>
      <c r="E9306" t="b">
        <f t="shared" si="145"/>
        <v>1</v>
      </c>
      <c r="F9306" s="12">
        <v>0</v>
      </c>
    </row>
    <row r="9307" spans="3:6">
      <c r="C9307" s="12"/>
      <c r="D9307" s="12"/>
      <c r="E9307" t="b">
        <f t="shared" si="145"/>
        <v>1</v>
      </c>
      <c r="F9307" s="12">
        <v>0</v>
      </c>
    </row>
    <row r="9308" spans="3:6">
      <c r="C9308" s="12"/>
      <c r="D9308" s="12"/>
      <c r="E9308" t="b">
        <f t="shared" si="145"/>
        <v>1</v>
      </c>
      <c r="F9308" s="12">
        <v>0</v>
      </c>
    </row>
    <row r="9309" spans="3:6">
      <c r="C9309" s="12"/>
      <c r="D9309" s="12"/>
      <c r="E9309" t="b">
        <f t="shared" si="145"/>
        <v>1</v>
      </c>
      <c r="F9309" s="12">
        <v>0</v>
      </c>
    </row>
    <row r="9310" spans="3:6">
      <c r="C9310" s="12"/>
      <c r="D9310" s="12"/>
      <c r="E9310" t="b">
        <f t="shared" si="145"/>
        <v>1</v>
      </c>
      <c r="F9310" s="12">
        <v>0</v>
      </c>
    </row>
    <row r="9311" spans="3:6">
      <c r="C9311" s="12"/>
      <c r="D9311" s="12"/>
      <c r="E9311" t="b">
        <f t="shared" si="145"/>
        <v>1</v>
      </c>
      <c r="F9311" s="12">
        <v>0</v>
      </c>
    </row>
    <row r="9312" spans="3:6">
      <c r="C9312" s="12"/>
      <c r="D9312" s="12"/>
      <c r="E9312" t="b">
        <f t="shared" si="145"/>
        <v>1</v>
      </c>
      <c r="F9312" s="12">
        <v>0</v>
      </c>
    </row>
    <row r="9313" spans="3:6">
      <c r="C9313" s="12"/>
      <c r="D9313" s="12"/>
      <c r="E9313" t="b">
        <f t="shared" si="145"/>
        <v>1</v>
      </c>
      <c r="F9313" s="12">
        <v>0</v>
      </c>
    </row>
    <row r="9314" spans="3:6">
      <c r="C9314" s="12"/>
      <c r="D9314" s="12"/>
      <c r="E9314" t="b">
        <f t="shared" si="145"/>
        <v>1</v>
      </c>
      <c r="F9314" s="12">
        <v>0</v>
      </c>
    </row>
    <row r="9315" spans="3:6">
      <c r="C9315" s="12"/>
      <c r="D9315" s="12"/>
      <c r="E9315" t="b">
        <f t="shared" si="145"/>
        <v>1</v>
      </c>
      <c r="F9315" s="12">
        <v>0</v>
      </c>
    </row>
    <row r="9316" spans="3:6">
      <c r="C9316" s="12"/>
      <c r="D9316" s="12"/>
      <c r="E9316" t="b">
        <f t="shared" si="145"/>
        <v>1</v>
      </c>
      <c r="F9316" s="12">
        <v>0</v>
      </c>
    </row>
    <row r="9317" spans="3:6">
      <c r="C9317" s="12"/>
      <c r="D9317" s="12"/>
      <c r="E9317" t="b">
        <f t="shared" si="145"/>
        <v>1</v>
      </c>
      <c r="F9317" s="12">
        <v>0</v>
      </c>
    </row>
    <row r="9318" spans="3:6">
      <c r="C9318" s="12"/>
      <c r="D9318" s="12"/>
      <c r="E9318" t="b">
        <f t="shared" si="145"/>
        <v>1</v>
      </c>
      <c r="F9318" s="12">
        <v>0</v>
      </c>
    </row>
    <row r="9319" spans="3:6">
      <c r="C9319" s="12"/>
      <c r="D9319" s="12"/>
      <c r="E9319" t="b">
        <f t="shared" si="145"/>
        <v>1</v>
      </c>
      <c r="F9319" s="12">
        <v>0</v>
      </c>
    </row>
    <row r="9320" spans="3:6">
      <c r="C9320" s="12"/>
      <c r="D9320" s="12"/>
      <c r="E9320" t="b">
        <f t="shared" si="145"/>
        <v>1</v>
      </c>
      <c r="F9320" s="12">
        <v>0</v>
      </c>
    </row>
    <row r="9321" spans="3:6">
      <c r="C9321" s="12"/>
      <c r="D9321" s="12"/>
      <c r="E9321" t="b">
        <f t="shared" si="145"/>
        <v>1</v>
      </c>
      <c r="F9321" s="12">
        <v>0</v>
      </c>
    </row>
    <row r="9322" spans="3:6">
      <c r="C9322" s="12"/>
      <c r="D9322" s="12"/>
      <c r="E9322" t="b">
        <f t="shared" si="145"/>
        <v>1</v>
      </c>
      <c r="F9322" s="12">
        <v>0</v>
      </c>
    </row>
    <row r="9323" spans="3:6">
      <c r="C9323" s="12"/>
      <c r="D9323" s="12"/>
      <c r="E9323" t="b">
        <f t="shared" si="145"/>
        <v>1</v>
      </c>
      <c r="F9323" s="12">
        <v>0</v>
      </c>
    </row>
    <row r="9324" spans="3:6">
      <c r="C9324" s="12"/>
      <c r="D9324" s="12"/>
      <c r="E9324" t="b">
        <f t="shared" si="145"/>
        <v>1</v>
      </c>
      <c r="F9324" s="12">
        <v>0</v>
      </c>
    </row>
    <row r="9325" spans="3:6">
      <c r="C9325" s="12"/>
      <c r="D9325" s="12"/>
      <c r="E9325" t="b">
        <f t="shared" si="145"/>
        <v>1</v>
      </c>
      <c r="F9325" s="12">
        <v>0</v>
      </c>
    </row>
    <row r="9326" spans="3:6">
      <c r="C9326" s="12"/>
      <c r="D9326" s="12"/>
      <c r="E9326" t="b">
        <f t="shared" si="145"/>
        <v>1</v>
      </c>
      <c r="F9326" s="12">
        <v>0</v>
      </c>
    </row>
    <row r="9327" spans="3:6">
      <c r="C9327" s="12"/>
      <c r="D9327" s="12"/>
      <c r="E9327" t="b">
        <f t="shared" si="145"/>
        <v>1</v>
      </c>
      <c r="F9327" s="12">
        <v>0</v>
      </c>
    </row>
    <row r="9328" spans="3:6">
      <c r="C9328" s="12"/>
      <c r="D9328" s="12"/>
      <c r="E9328" t="b">
        <f t="shared" si="145"/>
        <v>1</v>
      </c>
      <c r="F9328" s="12">
        <v>0</v>
      </c>
    </row>
    <row r="9329" spans="3:6">
      <c r="C9329" s="12"/>
      <c r="D9329" s="12"/>
      <c r="E9329" t="b">
        <f t="shared" si="145"/>
        <v>1</v>
      </c>
      <c r="F9329" s="12">
        <v>0</v>
      </c>
    </row>
    <row r="9330" spans="3:6">
      <c r="C9330" s="12"/>
      <c r="D9330" s="12"/>
      <c r="E9330" t="b">
        <f t="shared" si="145"/>
        <v>1</v>
      </c>
      <c r="F9330" s="12">
        <v>0</v>
      </c>
    </row>
    <row r="9331" spans="3:6">
      <c r="C9331" s="12"/>
      <c r="D9331" s="12"/>
      <c r="E9331" t="b">
        <f t="shared" si="145"/>
        <v>1</v>
      </c>
      <c r="F9331" s="12">
        <v>0</v>
      </c>
    </row>
    <row r="9332" spans="3:6">
      <c r="C9332" s="12"/>
      <c r="D9332" s="12"/>
      <c r="E9332" t="b">
        <f t="shared" si="145"/>
        <v>1</v>
      </c>
      <c r="F9332" s="12">
        <v>0</v>
      </c>
    </row>
    <row r="9333" spans="3:6">
      <c r="C9333" s="12"/>
      <c r="D9333" s="12"/>
      <c r="E9333" t="b">
        <f t="shared" si="145"/>
        <v>1</v>
      </c>
      <c r="F9333" s="12">
        <v>0</v>
      </c>
    </row>
    <row r="9334" spans="3:6">
      <c r="C9334" s="12"/>
      <c r="D9334" s="12"/>
      <c r="E9334" t="b">
        <f t="shared" si="145"/>
        <v>1</v>
      </c>
      <c r="F9334" s="12">
        <v>0</v>
      </c>
    </row>
    <row r="9335" spans="3:6">
      <c r="C9335" s="12"/>
      <c r="D9335" s="12"/>
      <c r="E9335" t="b">
        <f t="shared" si="145"/>
        <v>1</v>
      </c>
      <c r="F9335" s="12">
        <v>0</v>
      </c>
    </row>
    <row r="9336" spans="3:6">
      <c r="C9336" s="12"/>
      <c r="D9336" s="12"/>
      <c r="E9336" t="b">
        <f t="shared" si="145"/>
        <v>1</v>
      </c>
      <c r="F9336" s="12">
        <v>0</v>
      </c>
    </row>
    <row r="9337" spans="3:6">
      <c r="C9337" s="12"/>
      <c r="D9337" s="12"/>
      <c r="E9337" t="b">
        <f t="shared" si="145"/>
        <v>1</v>
      </c>
      <c r="F9337" s="12">
        <v>0</v>
      </c>
    </row>
    <row r="9338" spans="3:6">
      <c r="C9338" s="12"/>
      <c r="D9338" s="12"/>
      <c r="E9338" t="b">
        <f t="shared" si="145"/>
        <v>1</v>
      </c>
      <c r="F9338" s="12">
        <v>0</v>
      </c>
    </row>
    <row r="9339" spans="3:6">
      <c r="C9339" s="12"/>
      <c r="D9339" s="12"/>
      <c r="E9339" t="b">
        <f t="shared" si="145"/>
        <v>1</v>
      </c>
      <c r="F9339" s="12">
        <v>0</v>
      </c>
    </row>
    <row r="9340" spans="3:6">
      <c r="C9340" s="12"/>
      <c r="D9340" s="12"/>
      <c r="E9340" t="b">
        <f t="shared" si="145"/>
        <v>1</v>
      </c>
      <c r="F9340" s="12">
        <v>0</v>
      </c>
    </row>
    <row r="9341" spans="3:6">
      <c r="C9341" s="12"/>
      <c r="D9341" s="12"/>
      <c r="E9341" t="b">
        <f t="shared" si="145"/>
        <v>1</v>
      </c>
      <c r="F9341" s="12">
        <v>0</v>
      </c>
    </row>
    <row r="9342" spans="3:6">
      <c r="C9342" s="12"/>
      <c r="D9342" s="12"/>
      <c r="E9342" t="b">
        <f t="shared" si="145"/>
        <v>1</v>
      </c>
      <c r="F9342" s="12">
        <v>0</v>
      </c>
    </row>
    <row r="9343" spans="3:6">
      <c r="C9343" s="12"/>
      <c r="D9343" s="12"/>
      <c r="E9343" t="b">
        <f t="shared" si="145"/>
        <v>1</v>
      </c>
      <c r="F9343" s="12">
        <v>0</v>
      </c>
    </row>
    <row r="9344" spans="3:6">
      <c r="C9344" s="12"/>
      <c r="D9344" s="12"/>
      <c r="E9344" t="b">
        <f t="shared" si="145"/>
        <v>1</v>
      </c>
      <c r="F9344" s="12">
        <v>0</v>
      </c>
    </row>
    <row r="9345" spans="3:6">
      <c r="C9345" s="12"/>
      <c r="D9345" s="12"/>
      <c r="E9345" t="b">
        <f t="shared" si="145"/>
        <v>1</v>
      </c>
      <c r="F9345" s="12">
        <v>0</v>
      </c>
    </row>
    <row r="9346" spans="3:6">
      <c r="C9346" s="12"/>
      <c r="D9346" s="12"/>
      <c r="E9346" t="b">
        <f t="shared" si="145"/>
        <v>1</v>
      </c>
      <c r="F9346" s="12">
        <v>0</v>
      </c>
    </row>
    <row r="9347" spans="3:6">
      <c r="C9347" s="12"/>
      <c r="D9347" s="12"/>
      <c r="E9347" t="b">
        <f t="shared" ref="E9347:E9410" si="146">F9347=C9347</f>
        <v>1</v>
      </c>
      <c r="F9347" s="12">
        <v>0</v>
      </c>
    </row>
    <row r="9348" spans="3:6">
      <c r="C9348" s="12"/>
      <c r="D9348" s="12"/>
      <c r="E9348" t="b">
        <f t="shared" si="146"/>
        <v>1</v>
      </c>
      <c r="F9348" s="12">
        <v>0</v>
      </c>
    </row>
    <row r="9349" spans="3:6">
      <c r="C9349" s="12"/>
      <c r="D9349" s="12"/>
      <c r="E9349" t="b">
        <f t="shared" si="146"/>
        <v>1</v>
      </c>
      <c r="F9349" s="12">
        <v>0</v>
      </c>
    </row>
    <row r="9350" spans="3:6">
      <c r="C9350" s="12"/>
      <c r="D9350" s="12"/>
      <c r="E9350" t="b">
        <f t="shared" si="146"/>
        <v>1</v>
      </c>
      <c r="F9350" s="12">
        <v>0</v>
      </c>
    </row>
    <row r="9351" spans="3:6">
      <c r="C9351" s="12"/>
      <c r="D9351" s="12"/>
      <c r="E9351" t="b">
        <f t="shared" si="146"/>
        <v>1</v>
      </c>
      <c r="F9351" s="12">
        <v>0</v>
      </c>
    </row>
    <row r="9352" spans="3:6">
      <c r="C9352" s="12"/>
      <c r="D9352" s="12"/>
      <c r="E9352" t="b">
        <f t="shared" si="146"/>
        <v>1</v>
      </c>
      <c r="F9352" s="12">
        <v>0</v>
      </c>
    </row>
    <row r="9353" spans="3:6">
      <c r="C9353" s="12"/>
      <c r="D9353" s="12"/>
      <c r="E9353" t="b">
        <f t="shared" si="146"/>
        <v>1</v>
      </c>
      <c r="F9353" s="12">
        <v>0</v>
      </c>
    </row>
    <row r="9354" spans="3:6">
      <c r="C9354" s="12"/>
      <c r="D9354" s="12"/>
      <c r="E9354" t="b">
        <f t="shared" si="146"/>
        <v>1</v>
      </c>
      <c r="F9354" s="12">
        <v>0</v>
      </c>
    </row>
    <row r="9355" spans="3:6">
      <c r="C9355" s="12"/>
      <c r="D9355" s="12"/>
      <c r="E9355" t="b">
        <f t="shared" si="146"/>
        <v>1</v>
      </c>
      <c r="F9355" s="12">
        <v>0</v>
      </c>
    </row>
    <row r="9356" spans="3:6">
      <c r="C9356" s="12"/>
      <c r="D9356" s="12"/>
      <c r="E9356" t="b">
        <f t="shared" si="146"/>
        <v>1</v>
      </c>
      <c r="F9356" s="12">
        <v>0</v>
      </c>
    </row>
    <row r="9357" spans="3:6">
      <c r="C9357" s="12"/>
      <c r="D9357" s="12"/>
      <c r="E9357" t="b">
        <f t="shared" si="146"/>
        <v>1</v>
      </c>
      <c r="F9357" s="12">
        <v>0</v>
      </c>
    </row>
    <row r="9358" spans="3:6">
      <c r="C9358" s="12"/>
      <c r="D9358" s="12"/>
      <c r="E9358" t="b">
        <f t="shared" si="146"/>
        <v>1</v>
      </c>
      <c r="F9358" s="12">
        <v>0</v>
      </c>
    </row>
    <row r="9359" spans="3:6">
      <c r="C9359" s="12"/>
      <c r="D9359" s="12"/>
      <c r="E9359" t="b">
        <f t="shared" si="146"/>
        <v>1</v>
      </c>
      <c r="F9359" s="12">
        <v>0</v>
      </c>
    </row>
    <row r="9360" spans="3:6">
      <c r="C9360" s="12"/>
      <c r="D9360" s="12"/>
      <c r="E9360" t="b">
        <f t="shared" si="146"/>
        <v>1</v>
      </c>
      <c r="F9360" s="12">
        <v>0</v>
      </c>
    </row>
    <row r="9361" spans="3:6">
      <c r="C9361" s="12"/>
      <c r="D9361" s="12"/>
      <c r="E9361" t="b">
        <f t="shared" si="146"/>
        <v>1</v>
      </c>
      <c r="F9361" s="12">
        <v>0</v>
      </c>
    </row>
    <row r="9362" spans="3:6">
      <c r="C9362" s="12"/>
      <c r="D9362" s="12"/>
      <c r="E9362" t="b">
        <f t="shared" si="146"/>
        <v>1</v>
      </c>
      <c r="F9362" s="12">
        <v>0</v>
      </c>
    </row>
    <row r="9363" spans="3:6">
      <c r="C9363" s="12"/>
      <c r="D9363" s="12"/>
      <c r="E9363" t="b">
        <f t="shared" si="146"/>
        <v>1</v>
      </c>
      <c r="F9363" s="12">
        <v>0</v>
      </c>
    </row>
    <row r="9364" spans="3:6">
      <c r="C9364" s="12"/>
      <c r="D9364" s="12"/>
      <c r="E9364" t="b">
        <f t="shared" si="146"/>
        <v>1</v>
      </c>
      <c r="F9364" s="12">
        <v>0</v>
      </c>
    </row>
    <row r="9365" spans="3:6">
      <c r="C9365" s="12"/>
      <c r="D9365" s="12"/>
      <c r="E9365" t="b">
        <f t="shared" si="146"/>
        <v>1</v>
      </c>
      <c r="F9365" s="12">
        <v>0</v>
      </c>
    </row>
    <row r="9366" spans="3:6">
      <c r="C9366" s="12"/>
      <c r="D9366" s="12"/>
      <c r="E9366" t="b">
        <f t="shared" si="146"/>
        <v>1</v>
      </c>
      <c r="F9366" s="12">
        <v>0</v>
      </c>
    </row>
    <row r="9367" spans="3:6">
      <c r="C9367" s="12"/>
      <c r="D9367" s="12"/>
      <c r="E9367" t="b">
        <f t="shared" si="146"/>
        <v>1</v>
      </c>
      <c r="F9367" s="12">
        <v>0</v>
      </c>
    </row>
    <row r="9368" spans="3:6">
      <c r="C9368" s="12"/>
      <c r="D9368" s="12"/>
      <c r="E9368" t="b">
        <f t="shared" si="146"/>
        <v>1</v>
      </c>
      <c r="F9368" s="12">
        <v>0</v>
      </c>
    </row>
    <row r="9369" spans="3:6">
      <c r="C9369" s="12"/>
      <c r="D9369" s="12"/>
      <c r="E9369" t="b">
        <f t="shared" si="146"/>
        <v>1</v>
      </c>
      <c r="F9369" s="12">
        <v>0</v>
      </c>
    </row>
    <row r="9370" spans="3:6">
      <c r="C9370" s="12"/>
      <c r="D9370" s="12"/>
      <c r="E9370" t="b">
        <f t="shared" si="146"/>
        <v>1</v>
      </c>
      <c r="F9370" s="12">
        <v>0</v>
      </c>
    </row>
    <row r="9371" spans="3:6">
      <c r="C9371" s="12"/>
      <c r="D9371" s="12"/>
      <c r="E9371" t="b">
        <f t="shared" si="146"/>
        <v>1</v>
      </c>
      <c r="F9371" s="12">
        <v>0</v>
      </c>
    </row>
    <row r="9372" spans="3:6">
      <c r="C9372" s="12"/>
      <c r="D9372" s="12"/>
      <c r="E9372" t="b">
        <f t="shared" si="146"/>
        <v>1</v>
      </c>
      <c r="F9372" s="12">
        <v>0</v>
      </c>
    </row>
    <row r="9373" spans="3:6">
      <c r="C9373" s="12"/>
      <c r="D9373" s="12"/>
      <c r="E9373" t="b">
        <f t="shared" si="146"/>
        <v>1</v>
      </c>
      <c r="F9373" s="12">
        <v>0</v>
      </c>
    </row>
    <row r="9374" spans="3:6">
      <c r="C9374" s="12"/>
      <c r="D9374" s="12"/>
      <c r="E9374" t="b">
        <f t="shared" si="146"/>
        <v>1</v>
      </c>
      <c r="F9374" s="12">
        <v>0</v>
      </c>
    </row>
    <row r="9375" spans="3:6">
      <c r="C9375" s="12"/>
      <c r="D9375" s="12"/>
      <c r="E9375" t="b">
        <f t="shared" si="146"/>
        <v>1</v>
      </c>
      <c r="F9375" s="12">
        <v>0</v>
      </c>
    </row>
    <row r="9376" spans="3:6">
      <c r="C9376" s="12"/>
      <c r="D9376" s="12"/>
      <c r="E9376" t="b">
        <f t="shared" si="146"/>
        <v>1</v>
      </c>
      <c r="F9376" s="12">
        <v>0</v>
      </c>
    </row>
    <row r="9377" spans="3:6">
      <c r="C9377" s="12"/>
      <c r="D9377" s="12"/>
      <c r="E9377" t="b">
        <f t="shared" si="146"/>
        <v>1</v>
      </c>
      <c r="F9377" s="12">
        <v>0</v>
      </c>
    </row>
    <row r="9378" spans="3:6">
      <c r="C9378" s="12"/>
      <c r="D9378" s="12"/>
      <c r="E9378" t="b">
        <f t="shared" si="146"/>
        <v>1</v>
      </c>
      <c r="F9378" s="12">
        <v>0</v>
      </c>
    </row>
    <row r="9379" spans="3:6">
      <c r="C9379" s="12"/>
      <c r="D9379" s="12"/>
      <c r="E9379" t="b">
        <f t="shared" si="146"/>
        <v>1</v>
      </c>
      <c r="F9379" s="12">
        <v>0</v>
      </c>
    </row>
    <row r="9380" spans="3:6">
      <c r="C9380" s="12"/>
      <c r="D9380" s="12"/>
      <c r="E9380" t="b">
        <f t="shared" si="146"/>
        <v>1</v>
      </c>
      <c r="F9380" s="12">
        <v>0</v>
      </c>
    </row>
    <row r="9381" spans="3:6">
      <c r="C9381" s="12"/>
      <c r="D9381" s="12"/>
      <c r="E9381" t="b">
        <f t="shared" si="146"/>
        <v>1</v>
      </c>
      <c r="F9381" s="12">
        <v>0</v>
      </c>
    </row>
    <row r="9382" spans="3:6">
      <c r="C9382" s="12"/>
      <c r="D9382" s="12"/>
      <c r="E9382" t="b">
        <f t="shared" si="146"/>
        <v>1</v>
      </c>
      <c r="F9382" s="12">
        <v>0</v>
      </c>
    </row>
    <row r="9383" spans="3:6">
      <c r="C9383" s="12"/>
      <c r="D9383" s="12"/>
      <c r="E9383" t="b">
        <f t="shared" si="146"/>
        <v>1</v>
      </c>
      <c r="F9383" s="12">
        <v>0</v>
      </c>
    </row>
    <row r="9384" spans="3:6">
      <c r="C9384" s="12"/>
      <c r="D9384" s="12"/>
      <c r="E9384" t="b">
        <f t="shared" si="146"/>
        <v>1</v>
      </c>
      <c r="F9384" s="12">
        <v>0</v>
      </c>
    </row>
    <row r="9385" spans="3:6">
      <c r="C9385" s="12"/>
      <c r="D9385" s="12"/>
      <c r="E9385" t="b">
        <f t="shared" si="146"/>
        <v>1</v>
      </c>
      <c r="F9385" s="12">
        <v>0</v>
      </c>
    </row>
    <row r="9386" spans="3:6">
      <c r="C9386" s="12"/>
      <c r="D9386" s="12"/>
      <c r="E9386" t="b">
        <f t="shared" si="146"/>
        <v>1</v>
      </c>
      <c r="F9386" s="12">
        <v>0</v>
      </c>
    </row>
    <row r="9387" spans="3:6">
      <c r="C9387" s="12"/>
      <c r="D9387" s="12"/>
      <c r="E9387" t="b">
        <f t="shared" si="146"/>
        <v>1</v>
      </c>
      <c r="F9387" s="12">
        <v>0</v>
      </c>
    </row>
    <row r="9388" spans="3:6">
      <c r="C9388" s="12"/>
      <c r="D9388" s="12"/>
      <c r="E9388" t="b">
        <f t="shared" si="146"/>
        <v>1</v>
      </c>
      <c r="F9388" s="12">
        <v>0</v>
      </c>
    </row>
    <row r="9389" spans="3:6">
      <c r="C9389" s="12"/>
      <c r="D9389" s="12"/>
      <c r="E9389" t="b">
        <f t="shared" si="146"/>
        <v>1</v>
      </c>
      <c r="F9389" s="12">
        <v>0</v>
      </c>
    </row>
    <row r="9390" spans="3:6">
      <c r="C9390" s="12"/>
      <c r="D9390" s="12"/>
      <c r="E9390" t="b">
        <f t="shared" si="146"/>
        <v>1</v>
      </c>
      <c r="F9390" s="12">
        <v>0</v>
      </c>
    </row>
    <row r="9391" spans="3:6">
      <c r="C9391" s="12"/>
      <c r="D9391" s="12"/>
      <c r="E9391" t="b">
        <f t="shared" si="146"/>
        <v>1</v>
      </c>
      <c r="F9391" s="12">
        <v>0</v>
      </c>
    </row>
    <row r="9392" spans="3:6">
      <c r="C9392" s="12"/>
      <c r="D9392" s="12"/>
      <c r="E9392" t="b">
        <f t="shared" si="146"/>
        <v>1</v>
      </c>
      <c r="F9392" s="12">
        <v>0</v>
      </c>
    </row>
    <row r="9393" spans="3:6">
      <c r="C9393" s="12"/>
      <c r="D9393" s="12"/>
      <c r="E9393" t="b">
        <f t="shared" si="146"/>
        <v>1</v>
      </c>
      <c r="F9393" s="12">
        <v>0</v>
      </c>
    </row>
    <row r="9394" spans="3:6">
      <c r="C9394" s="12"/>
      <c r="D9394" s="12"/>
      <c r="E9394" t="b">
        <f t="shared" si="146"/>
        <v>1</v>
      </c>
      <c r="F9394" s="12">
        <v>0</v>
      </c>
    </row>
    <row r="9395" spans="3:6">
      <c r="C9395" s="12"/>
      <c r="D9395" s="12"/>
      <c r="E9395" t="b">
        <f t="shared" si="146"/>
        <v>1</v>
      </c>
      <c r="F9395" s="12">
        <v>0</v>
      </c>
    </row>
    <row r="9396" spans="3:6">
      <c r="C9396" s="12"/>
      <c r="D9396" s="12"/>
      <c r="E9396" t="b">
        <f t="shared" si="146"/>
        <v>1</v>
      </c>
      <c r="F9396" s="12">
        <v>0</v>
      </c>
    </row>
    <row r="9397" spans="3:6">
      <c r="C9397" s="12"/>
      <c r="D9397" s="12"/>
      <c r="E9397" t="b">
        <f t="shared" si="146"/>
        <v>1</v>
      </c>
      <c r="F9397" s="12">
        <v>0</v>
      </c>
    </row>
    <row r="9398" spans="3:6">
      <c r="C9398" s="12"/>
      <c r="D9398" s="12"/>
      <c r="E9398" t="b">
        <f t="shared" si="146"/>
        <v>1</v>
      </c>
      <c r="F9398" s="12">
        <v>0</v>
      </c>
    </row>
    <row r="9399" spans="3:6">
      <c r="C9399" s="12"/>
      <c r="D9399" s="12"/>
      <c r="E9399" t="b">
        <f t="shared" si="146"/>
        <v>1</v>
      </c>
      <c r="F9399" s="12">
        <v>0</v>
      </c>
    </row>
    <row r="9400" spans="3:6">
      <c r="C9400" s="12"/>
      <c r="D9400" s="12"/>
      <c r="E9400" t="b">
        <f t="shared" si="146"/>
        <v>1</v>
      </c>
      <c r="F9400" s="12">
        <v>0</v>
      </c>
    </row>
    <row r="9401" spans="3:6">
      <c r="C9401" s="12"/>
      <c r="D9401" s="12"/>
      <c r="E9401" t="b">
        <f t="shared" si="146"/>
        <v>1</v>
      </c>
      <c r="F9401" s="12">
        <v>0</v>
      </c>
    </row>
    <row r="9402" spans="3:6">
      <c r="C9402" s="12"/>
      <c r="D9402" s="12"/>
      <c r="E9402" t="b">
        <f t="shared" si="146"/>
        <v>1</v>
      </c>
      <c r="F9402" s="12">
        <v>0</v>
      </c>
    </row>
    <row r="9403" spans="3:6">
      <c r="C9403" s="12"/>
      <c r="D9403" s="12"/>
      <c r="E9403" t="b">
        <f t="shared" si="146"/>
        <v>1</v>
      </c>
      <c r="F9403" s="12">
        <v>0</v>
      </c>
    </row>
    <row r="9404" spans="3:6">
      <c r="C9404" s="12"/>
      <c r="D9404" s="12"/>
      <c r="E9404" t="b">
        <f t="shared" si="146"/>
        <v>1</v>
      </c>
      <c r="F9404" s="12">
        <v>0</v>
      </c>
    </row>
    <row r="9405" spans="3:6">
      <c r="C9405" s="12"/>
      <c r="D9405" s="12"/>
      <c r="E9405" t="b">
        <f t="shared" si="146"/>
        <v>1</v>
      </c>
      <c r="F9405" s="12">
        <v>0</v>
      </c>
    </row>
    <row r="9406" spans="3:6">
      <c r="C9406" s="12"/>
      <c r="D9406" s="12"/>
      <c r="E9406" t="b">
        <f t="shared" si="146"/>
        <v>1</v>
      </c>
      <c r="F9406" s="12">
        <v>0</v>
      </c>
    </row>
    <row r="9407" spans="3:6">
      <c r="C9407" s="12"/>
      <c r="D9407" s="12"/>
      <c r="E9407" t="b">
        <f t="shared" si="146"/>
        <v>1</v>
      </c>
      <c r="F9407" s="12">
        <v>0</v>
      </c>
    </row>
    <row r="9408" spans="3:6">
      <c r="C9408" s="12"/>
      <c r="D9408" s="12"/>
      <c r="E9408" t="b">
        <f t="shared" si="146"/>
        <v>1</v>
      </c>
      <c r="F9408" s="12">
        <v>0</v>
      </c>
    </row>
    <row r="9409" spans="3:6">
      <c r="C9409" s="12"/>
      <c r="D9409" s="12"/>
      <c r="E9409" t="b">
        <f t="shared" si="146"/>
        <v>1</v>
      </c>
      <c r="F9409" s="12">
        <v>0</v>
      </c>
    </row>
    <row r="9410" spans="3:6">
      <c r="C9410" s="12"/>
      <c r="D9410" s="12"/>
      <c r="E9410" t="b">
        <f t="shared" si="146"/>
        <v>1</v>
      </c>
      <c r="F9410" s="12">
        <v>0</v>
      </c>
    </row>
    <row r="9411" spans="3:6">
      <c r="C9411" s="12"/>
      <c r="D9411" s="12"/>
      <c r="E9411" t="b">
        <f t="shared" ref="E9411:E9474" si="147">F9411=C9411</f>
        <v>1</v>
      </c>
      <c r="F9411" s="12">
        <v>0</v>
      </c>
    </row>
    <row r="9412" spans="3:6">
      <c r="C9412" s="12"/>
      <c r="D9412" s="12"/>
      <c r="E9412" t="b">
        <f t="shared" si="147"/>
        <v>1</v>
      </c>
      <c r="F9412" s="12">
        <v>0</v>
      </c>
    </row>
    <row r="9413" spans="3:6">
      <c r="C9413" s="12"/>
      <c r="D9413" s="12"/>
      <c r="E9413" t="b">
        <f t="shared" si="147"/>
        <v>1</v>
      </c>
      <c r="F9413" s="12">
        <v>0</v>
      </c>
    </row>
    <row r="9414" spans="3:6">
      <c r="C9414" s="12"/>
      <c r="D9414" s="12"/>
      <c r="E9414" t="b">
        <f t="shared" si="147"/>
        <v>1</v>
      </c>
      <c r="F9414" s="12">
        <v>0</v>
      </c>
    </row>
    <row r="9415" spans="3:6">
      <c r="C9415" s="12"/>
      <c r="D9415" s="12"/>
      <c r="E9415" t="b">
        <f t="shared" si="147"/>
        <v>1</v>
      </c>
      <c r="F9415" s="12">
        <v>0</v>
      </c>
    </row>
    <row r="9416" spans="3:6">
      <c r="C9416" s="12"/>
      <c r="D9416" s="12"/>
      <c r="E9416" t="b">
        <f t="shared" si="147"/>
        <v>1</v>
      </c>
      <c r="F9416" s="12">
        <v>0</v>
      </c>
    </row>
    <row r="9417" spans="3:6">
      <c r="C9417" s="12"/>
      <c r="D9417" s="12"/>
      <c r="E9417" t="b">
        <f t="shared" si="147"/>
        <v>1</v>
      </c>
      <c r="F9417" s="12">
        <v>0</v>
      </c>
    </row>
    <row r="9418" spans="3:6">
      <c r="C9418" s="12"/>
      <c r="D9418" s="12"/>
      <c r="E9418" t="b">
        <f t="shared" si="147"/>
        <v>1</v>
      </c>
      <c r="F9418" s="12">
        <v>0</v>
      </c>
    </row>
    <row r="9419" spans="3:6">
      <c r="C9419" s="12"/>
      <c r="D9419" s="12"/>
      <c r="E9419" t="b">
        <f t="shared" si="147"/>
        <v>1</v>
      </c>
      <c r="F9419" s="12">
        <v>0</v>
      </c>
    </row>
    <row r="9420" spans="3:6">
      <c r="C9420" s="12"/>
      <c r="D9420" s="12"/>
      <c r="E9420" t="b">
        <f t="shared" si="147"/>
        <v>1</v>
      </c>
      <c r="F9420" s="12">
        <v>0</v>
      </c>
    </row>
    <row r="9421" spans="3:6">
      <c r="C9421" s="12"/>
      <c r="D9421" s="12"/>
      <c r="E9421" t="b">
        <f t="shared" si="147"/>
        <v>1</v>
      </c>
      <c r="F9421" s="12">
        <v>0</v>
      </c>
    </row>
    <row r="9422" spans="3:6">
      <c r="C9422" s="12"/>
      <c r="D9422" s="12"/>
      <c r="E9422" t="b">
        <f t="shared" si="147"/>
        <v>1</v>
      </c>
      <c r="F9422" s="12">
        <v>0</v>
      </c>
    </row>
    <row r="9423" spans="3:6">
      <c r="C9423" s="12"/>
      <c r="D9423" s="12"/>
      <c r="E9423" t="b">
        <f t="shared" si="147"/>
        <v>1</v>
      </c>
      <c r="F9423" s="12">
        <v>0</v>
      </c>
    </row>
    <row r="9424" spans="3:6">
      <c r="C9424" s="12"/>
      <c r="D9424" s="12"/>
      <c r="E9424" t="b">
        <f t="shared" si="147"/>
        <v>1</v>
      </c>
      <c r="F9424" s="12">
        <v>0</v>
      </c>
    </row>
    <row r="9425" spans="3:6">
      <c r="C9425" s="12"/>
      <c r="D9425" s="12"/>
      <c r="E9425" t="b">
        <f t="shared" si="147"/>
        <v>1</v>
      </c>
      <c r="F9425" s="12">
        <v>0</v>
      </c>
    </row>
    <row r="9426" spans="3:6">
      <c r="C9426" s="12"/>
      <c r="D9426" s="12"/>
      <c r="E9426" t="b">
        <f t="shared" si="147"/>
        <v>1</v>
      </c>
      <c r="F9426" s="12">
        <v>0</v>
      </c>
    </row>
    <row r="9427" spans="3:6">
      <c r="C9427" s="12"/>
      <c r="D9427" s="12"/>
      <c r="E9427" t="b">
        <f t="shared" si="147"/>
        <v>1</v>
      </c>
      <c r="F9427" s="12">
        <v>0</v>
      </c>
    </row>
    <row r="9428" spans="3:6">
      <c r="C9428" s="12"/>
      <c r="D9428" s="12"/>
      <c r="E9428" t="b">
        <f t="shared" si="147"/>
        <v>1</v>
      </c>
      <c r="F9428" s="12">
        <v>0</v>
      </c>
    </row>
    <row r="9429" spans="3:6">
      <c r="C9429" s="12"/>
      <c r="D9429" s="12"/>
      <c r="E9429" t="b">
        <f t="shared" si="147"/>
        <v>1</v>
      </c>
      <c r="F9429" s="12">
        <v>0</v>
      </c>
    </row>
    <row r="9430" spans="3:6">
      <c r="C9430" s="12"/>
      <c r="D9430" s="12"/>
      <c r="E9430" t="b">
        <f t="shared" si="147"/>
        <v>1</v>
      </c>
      <c r="F9430" s="12">
        <v>0</v>
      </c>
    </row>
    <row r="9431" spans="3:6">
      <c r="C9431" s="12"/>
      <c r="D9431" s="12"/>
      <c r="E9431" t="b">
        <f t="shared" si="147"/>
        <v>1</v>
      </c>
      <c r="F9431" s="12">
        <v>0</v>
      </c>
    </row>
    <row r="9432" spans="3:6">
      <c r="C9432" s="12"/>
      <c r="D9432" s="12"/>
      <c r="E9432" t="b">
        <f t="shared" si="147"/>
        <v>1</v>
      </c>
      <c r="F9432" s="12">
        <v>0</v>
      </c>
    </row>
    <row r="9433" spans="3:6">
      <c r="C9433" s="12"/>
      <c r="D9433" s="12"/>
      <c r="E9433" t="b">
        <f t="shared" si="147"/>
        <v>1</v>
      </c>
      <c r="F9433" s="12">
        <v>0</v>
      </c>
    </row>
    <row r="9434" spans="3:6">
      <c r="C9434" s="12"/>
      <c r="D9434" s="12"/>
      <c r="E9434" t="b">
        <f t="shared" si="147"/>
        <v>1</v>
      </c>
      <c r="F9434" s="12">
        <v>0</v>
      </c>
    </row>
    <row r="9435" spans="3:6">
      <c r="C9435" s="12"/>
      <c r="D9435" s="12"/>
      <c r="E9435" t="b">
        <f t="shared" si="147"/>
        <v>1</v>
      </c>
      <c r="F9435" s="12">
        <v>0</v>
      </c>
    </row>
    <row r="9436" spans="3:6">
      <c r="C9436" s="12"/>
      <c r="D9436" s="12"/>
      <c r="E9436" t="b">
        <f t="shared" si="147"/>
        <v>1</v>
      </c>
      <c r="F9436" s="12">
        <v>0</v>
      </c>
    </row>
    <row r="9437" spans="3:6">
      <c r="C9437" s="12"/>
      <c r="D9437" s="12"/>
      <c r="E9437" t="b">
        <f t="shared" si="147"/>
        <v>1</v>
      </c>
      <c r="F9437" s="12">
        <v>0</v>
      </c>
    </row>
    <row r="9438" spans="3:6">
      <c r="C9438" s="12"/>
      <c r="D9438" s="12"/>
      <c r="E9438" t="b">
        <f t="shared" si="147"/>
        <v>1</v>
      </c>
      <c r="F9438" s="12">
        <v>0</v>
      </c>
    </row>
    <row r="9439" spans="3:6">
      <c r="C9439" s="12"/>
      <c r="D9439" s="12"/>
      <c r="E9439" t="b">
        <f t="shared" si="147"/>
        <v>1</v>
      </c>
      <c r="F9439" s="12">
        <v>0</v>
      </c>
    </row>
    <row r="9440" spans="3:6">
      <c r="C9440" s="12"/>
      <c r="D9440" s="12"/>
      <c r="E9440" t="b">
        <f t="shared" si="147"/>
        <v>1</v>
      </c>
      <c r="F9440" s="12">
        <v>0</v>
      </c>
    </row>
    <row r="9441" spans="3:6">
      <c r="C9441" s="12"/>
      <c r="D9441" s="12"/>
      <c r="E9441" t="b">
        <f t="shared" si="147"/>
        <v>1</v>
      </c>
      <c r="F9441" s="12">
        <v>0</v>
      </c>
    </row>
    <row r="9442" spans="3:6">
      <c r="C9442" s="12"/>
      <c r="D9442" s="12"/>
      <c r="E9442" t="b">
        <f t="shared" si="147"/>
        <v>1</v>
      </c>
      <c r="F9442" s="12">
        <v>0</v>
      </c>
    </row>
    <row r="9443" spans="3:6">
      <c r="C9443" s="12"/>
      <c r="D9443" s="12"/>
      <c r="E9443" t="b">
        <f t="shared" si="147"/>
        <v>1</v>
      </c>
      <c r="F9443" s="12">
        <v>0</v>
      </c>
    </row>
    <row r="9444" spans="3:6">
      <c r="C9444" s="12"/>
      <c r="D9444" s="12"/>
      <c r="E9444" t="b">
        <f t="shared" si="147"/>
        <v>1</v>
      </c>
      <c r="F9444" s="12">
        <v>0</v>
      </c>
    </row>
    <row r="9445" spans="3:6">
      <c r="C9445" s="12"/>
      <c r="D9445" s="12"/>
      <c r="E9445" t="b">
        <f t="shared" si="147"/>
        <v>1</v>
      </c>
      <c r="F9445" s="12">
        <v>0</v>
      </c>
    </row>
    <row r="9446" spans="3:6">
      <c r="C9446" s="12"/>
      <c r="D9446" s="12"/>
      <c r="E9446" t="b">
        <f t="shared" si="147"/>
        <v>1</v>
      </c>
      <c r="F9446" s="12">
        <v>0</v>
      </c>
    </row>
    <row r="9447" spans="3:6">
      <c r="C9447" s="12"/>
      <c r="D9447" s="12"/>
      <c r="E9447" t="b">
        <f t="shared" si="147"/>
        <v>1</v>
      </c>
      <c r="F9447" s="12">
        <v>0</v>
      </c>
    </row>
    <row r="9448" spans="3:6">
      <c r="C9448" s="12"/>
      <c r="D9448" s="12"/>
      <c r="E9448" t="b">
        <f t="shared" si="147"/>
        <v>1</v>
      </c>
      <c r="F9448" s="12">
        <v>0</v>
      </c>
    </row>
    <row r="9449" spans="3:6">
      <c r="C9449" s="12"/>
      <c r="D9449" s="12"/>
      <c r="E9449" t="b">
        <f t="shared" si="147"/>
        <v>1</v>
      </c>
      <c r="F9449" s="12">
        <v>0</v>
      </c>
    </row>
    <row r="9450" spans="3:6">
      <c r="C9450" s="12"/>
      <c r="D9450" s="12"/>
      <c r="E9450" t="b">
        <f t="shared" si="147"/>
        <v>1</v>
      </c>
      <c r="F9450" s="12">
        <v>0</v>
      </c>
    </row>
    <row r="9451" spans="3:6">
      <c r="C9451" s="12"/>
      <c r="D9451" s="12"/>
      <c r="E9451" t="b">
        <f t="shared" si="147"/>
        <v>1</v>
      </c>
      <c r="F9451" s="12">
        <v>0</v>
      </c>
    </row>
    <row r="9452" spans="3:6">
      <c r="C9452" s="12"/>
      <c r="D9452" s="12"/>
      <c r="E9452" t="b">
        <f t="shared" si="147"/>
        <v>1</v>
      </c>
      <c r="F9452" s="12">
        <v>0</v>
      </c>
    </row>
    <row r="9453" spans="3:6">
      <c r="C9453" s="12"/>
      <c r="D9453" s="12"/>
      <c r="E9453" t="b">
        <f t="shared" si="147"/>
        <v>1</v>
      </c>
      <c r="F9453" s="12">
        <v>0</v>
      </c>
    </row>
    <row r="9454" spans="3:6">
      <c r="C9454" s="12"/>
      <c r="D9454" s="12"/>
      <c r="E9454" t="b">
        <f t="shared" si="147"/>
        <v>1</v>
      </c>
      <c r="F9454" s="12">
        <v>0</v>
      </c>
    </row>
    <row r="9455" spans="3:6">
      <c r="C9455" s="12"/>
      <c r="D9455" s="12"/>
      <c r="E9455" t="b">
        <f t="shared" si="147"/>
        <v>1</v>
      </c>
      <c r="F9455" s="12">
        <v>0</v>
      </c>
    </row>
    <row r="9456" spans="3:6">
      <c r="C9456" s="12"/>
      <c r="D9456" s="12"/>
      <c r="E9456" t="b">
        <f t="shared" si="147"/>
        <v>1</v>
      </c>
      <c r="F9456" s="12">
        <v>0</v>
      </c>
    </row>
    <row r="9457" spans="3:6">
      <c r="C9457" s="12"/>
      <c r="D9457" s="12"/>
      <c r="E9457" t="b">
        <f t="shared" si="147"/>
        <v>1</v>
      </c>
      <c r="F9457" s="12">
        <v>0</v>
      </c>
    </row>
    <row r="9458" spans="3:6">
      <c r="C9458" s="12"/>
      <c r="D9458" s="12"/>
      <c r="E9458" t="b">
        <f t="shared" si="147"/>
        <v>1</v>
      </c>
      <c r="F9458" s="12">
        <v>0</v>
      </c>
    </row>
    <row r="9459" spans="3:6">
      <c r="C9459" s="12"/>
      <c r="D9459" s="12"/>
      <c r="E9459" t="b">
        <f t="shared" si="147"/>
        <v>1</v>
      </c>
      <c r="F9459" s="12">
        <v>0</v>
      </c>
    </row>
    <row r="9460" spans="3:6">
      <c r="C9460" s="12"/>
      <c r="D9460" s="12"/>
      <c r="E9460" t="b">
        <f t="shared" si="147"/>
        <v>1</v>
      </c>
      <c r="F9460" s="12">
        <v>0</v>
      </c>
    </row>
    <row r="9461" spans="3:6">
      <c r="C9461" s="12"/>
      <c r="D9461" s="12"/>
      <c r="E9461" t="b">
        <f t="shared" si="147"/>
        <v>1</v>
      </c>
      <c r="F9461" s="12">
        <v>0</v>
      </c>
    </row>
    <row r="9462" spans="3:6">
      <c r="C9462" s="12"/>
      <c r="D9462" s="12"/>
      <c r="E9462" t="b">
        <f t="shared" si="147"/>
        <v>1</v>
      </c>
      <c r="F9462" s="12">
        <v>0</v>
      </c>
    </row>
    <row r="9463" spans="3:6">
      <c r="C9463" s="12"/>
      <c r="D9463" s="12"/>
      <c r="E9463" t="b">
        <f t="shared" si="147"/>
        <v>1</v>
      </c>
      <c r="F9463" s="12">
        <v>0</v>
      </c>
    </row>
    <row r="9464" spans="3:6">
      <c r="C9464" s="12"/>
      <c r="D9464" s="12"/>
      <c r="E9464" t="b">
        <f t="shared" si="147"/>
        <v>1</v>
      </c>
      <c r="F9464" s="12">
        <v>0</v>
      </c>
    </row>
    <row r="9465" spans="3:6">
      <c r="C9465" s="12"/>
      <c r="D9465" s="12"/>
      <c r="E9465" t="b">
        <f t="shared" si="147"/>
        <v>1</v>
      </c>
      <c r="F9465" s="12">
        <v>0</v>
      </c>
    </row>
    <row r="9466" spans="3:6">
      <c r="C9466" s="12"/>
      <c r="D9466" s="12"/>
      <c r="E9466" t="b">
        <f t="shared" si="147"/>
        <v>1</v>
      </c>
      <c r="F9466" s="12">
        <v>0</v>
      </c>
    </row>
    <row r="9467" spans="3:6">
      <c r="C9467" s="12"/>
      <c r="D9467" s="12"/>
      <c r="E9467" t="b">
        <f t="shared" si="147"/>
        <v>1</v>
      </c>
      <c r="F9467" s="12">
        <v>0</v>
      </c>
    </row>
    <row r="9468" spans="3:6">
      <c r="C9468" s="12"/>
      <c r="D9468" s="12"/>
      <c r="E9468" t="b">
        <f t="shared" si="147"/>
        <v>1</v>
      </c>
      <c r="F9468" s="12">
        <v>0</v>
      </c>
    </row>
    <row r="9469" spans="3:6">
      <c r="C9469" s="12"/>
      <c r="D9469" s="12"/>
      <c r="E9469" t="b">
        <f t="shared" si="147"/>
        <v>1</v>
      </c>
      <c r="F9469" s="12">
        <v>0</v>
      </c>
    </row>
    <row r="9470" spans="3:6">
      <c r="C9470" s="12"/>
      <c r="D9470" s="12"/>
      <c r="E9470" t="b">
        <f t="shared" si="147"/>
        <v>1</v>
      </c>
      <c r="F9470" s="12">
        <v>0</v>
      </c>
    </row>
    <row r="9471" spans="3:6">
      <c r="C9471" s="12"/>
      <c r="D9471" s="12"/>
      <c r="E9471" t="b">
        <f t="shared" si="147"/>
        <v>1</v>
      </c>
      <c r="F9471" s="12">
        <v>0</v>
      </c>
    </row>
    <row r="9472" spans="3:6">
      <c r="C9472" s="12"/>
      <c r="D9472" s="12"/>
      <c r="E9472" t="b">
        <f t="shared" si="147"/>
        <v>1</v>
      </c>
      <c r="F9472" s="12">
        <v>0</v>
      </c>
    </row>
    <row r="9473" spans="3:6">
      <c r="C9473" s="12"/>
      <c r="D9473" s="12"/>
      <c r="E9473" t="b">
        <f t="shared" si="147"/>
        <v>1</v>
      </c>
      <c r="F9473" s="12">
        <v>0</v>
      </c>
    </row>
    <row r="9474" spans="3:6">
      <c r="C9474" s="12"/>
      <c r="D9474" s="12"/>
      <c r="E9474" t="b">
        <f t="shared" si="147"/>
        <v>1</v>
      </c>
      <c r="F9474" s="12">
        <v>0</v>
      </c>
    </row>
    <row r="9475" spans="3:6">
      <c r="C9475" s="12"/>
      <c r="D9475" s="12"/>
      <c r="E9475" t="b">
        <f t="shared" ref="E9475:E9538" si="148">F9475=C9475</f>
        <v>1</v>
      </c>
      <c r="F9475" s="12">
        <v>0</v>
      </c>
    </row>
    <row r="9476" spans="3:6">
      <c r="C9476" s="12"/>
      <c r="D9476" s="12"/>
      <c r="E9476" t="b">
        <f t="shared" si="148"/>
        <v>1</v>
      </c>
      <c r="F9476" s="12">
        <v>0</v>
      </c>
    </row>
    <row r="9477" spans="3:6">
      <c r="C9477" s="12"/>
      <c r="D9477" s="12"/>
      <c r="E9477" t="b">
        <f t="shared" si="148"/>
        <v>1</v>
      </c>
      <c r="F9477" s="12">
        <v>0</v>
      </c>
    </row>
    <row r="9478" spans="3:6">
      <c r="C9478" s="12"/>
      <c r="D9478" s="12"/>
      <c r="E9478" t="b">
        <f t="shared" si="148"/>
        <v>1</v>
      </c>
      <c r="F9478" s="12">
        <v>0</v>
      </c>
    </row>
    <row r="9479" spans="3:6">
      <c r="C9479" s="12"/>
      <c r="D9479" s="12"/>
      <c r="E9479" t="b">
        <f t="shared" si="148"/>
        <v>1</v>
      </c>
      <c r="F9479" s="12">
        <v>0</v>
      </c>
    </row>
    <row r="9480" spans="3:6">
      <c r="C9480" s="12"/>
      <c r="D9480" s="12"/>
      <c r="E9480" t="b">
        <f t="shared" si="148"/>
        <v>1</v>
      </c>
      <c r="F9480" s="12">
        <v>0</v>
      </c>
    </row>
    <row r="9481" spans="3:6">
      <c r="C9481" s="12"/>
      <c r="D9481" s="12"/>
      <c r="E9481" t="b">
        <f t="shared" si="148"/>
        <v>1</v>
      </c>
      <c r="F9481" s="12">
        <v>0</v>
      </c>
    </row>
    <row r="9482" spans="3:6">
      <c r="C9482" s="12"/>
      <c r="D9482" s="12"/>
      <c r="E9482" t="b">
        <f t="shared" si="148"/>
        <v>1</v>
      </c>
      <c r="F9482" s="12">
        <v>0</v>
      </c>
    </row>
    <row r="9483" spans="3:6">
      <c r="C9483" s="12"/>
      <c r="D9483" s="12"/>
      <c r="E9483" t="b">
        <f t="shared" si="148"/>
        <v>1</v>
      </c>
      <c r="F9483" s="12">
        <v>0</v>
      </c>
    </row>
    <row r="9484" spans="3:6">
      <c r="C9484" s="12"/>
      <c r="D9484" s="12"/>
      <c r="E9484" t="b">
        <f t="shared" si="148"/>
        <v>1</v>
      </c>
      <c r="F9484" s="12">
        <v>0</v>
      </c>
    </row>
    <row r="9485" spans="3:6">
      <c r="C9485" s="12"/>
      <c r="D9485" s="12"/>
      <c r="E9485" t="b">
        <f t="shared" si="148"/>
        <v>1</v>
      </c>
      <c r="F9485" s="12">
        <v>0</v>
      </c>
    </row>
    <row r="9486" spans="3:6">
      <c r="C9486" s="12"/>
      <c r="D9486" s="12"/>
      <c r="E9486" t="b">
        <f t="shared" si="148"/>
        <v>1</v>
      </c>
      <c r="F9486" s="12">
        <v>0</v>
      </c>
    </row>
    <row r="9487" spans="3:6">
      <c r="C9487" s="12"/>
      <c r="D9487" s="12"/>
      <c r="E9487" t="b">
        <f t="shared" si="148"/>
        <v>1</v>
      </c>
      <c r="F9487" s="12">
        <v>0</v>
      </c>
    </row>
    <row r="9488" spans="3:6">
      <c r="C9488" s="12"/>
      <c r="D9488" s="12"/>
      <c r="E9488" t="b">
        <f t="shared" si="148"/>
        <v>1</v>
      </c>
      <c r="F9488" s="12">
        <v>0</v>
      </c>
    </row>
    <row r="9489" spans="3:6">
      <c r="C9489" s="12"/>
      <c r="D9489" s="12"/>
      <c r="E9489" t="b">
        <f t="shared" si="148"/>
        <v>1</v>
      </c>
      <c r="F9489" s="12">
        <v>0</v>
      </c>
    </row>
    <row r="9490" spans="3:6">
      <c r="C9490" s="12"/>
      <c r="D9490" s="12"/>
      <c r="E9490" t="b">
        <f t="shared" si="148"/>
        <v>1</v>
      </c>
      <c r="F9490" s="12">
        <v>0</v>
      </c>
    </row>
    <row r="9491" spans="3:6">
      <c r="C9491" s="12"/>
      <c r="D9491" s="12"/>
      <c r="E9491" t="b">
        <f t="shared" si="148"/>
        <v>1</v>
      </c>
      <c r="F9491" s="12">
        <v>0</v>
      </c>
    </row>
    <row r="9492" spans="3:6">
      <c r="C9492" s="12"/>
      <c r="D9492" s="12"/>
      <c r="E9492" t="b">
        <f t="shared" si="148"/>
        <v>1</v>
      </c>
      <c r="F9492" s="12">
        <v>0</v>
      </c>
    </row>
    <row r="9493" spans="3:6">
      <c r="C9493" s="12"/>
      <c r="D9493" s="12"/>
      <c r="E9493" t="b">
        <f t="shared" si="148"/>
        <v>1</v>
      </c>
      <c r="F9493" s="12">
        <v>0</v>
      </c>
    </row>
    <row r="9494" spans="3:6">
      <c r="C9494" s="12"/>
      <c r="D9494" s="12"/>
      <c r="E9494" t="b">
        <f t="shared" si="148"/>
        <v>1</v>
      </c>
      <c r="F9494" s="12">
        <v>0</v>
      </c>
    </row>
    <row r="9495" spans="3:6">
      <c r="C9495" s="12"/>
      <c r="D9495" s="12"/>
      <c r="E9495" t="b">
        <f t="shared" si="148"/>
        <v>1</v>
      </c>
      <c r="F9495" s="12">
        <v>0</v>
      </c>
    </row>
    <row r="9496" spans="3:6">
      <c r="C9496" s="12"/>
      <c r="D9496" s="12"/>
      <c r="E9496" t="b">
        <f t="shared" si="148"/>
        <v>1</v>
      </c>
      <c r="F9496" s="12">
        <v>0</v>
      </c>
    </row>
    <row r="9497" spans="3:6">
      <c r="C9497" s="12"/>
      <c r="D9497" s="12"/>
      <c r="E9497" t="b">
        <f t="shared" si="148"/>
        <v>1</v>
      </c>
      <c r="F9497" s="12">
        <v>0</v>
      </c>
    </row>
    <row r="9498" spans="3:6">
      <c r="C9498" s="12"/>
      <c r="D9498" s="12"/>
      <c r="E9498" t="b">
        <f t="shared" si="148"/>
        <v>1</v>
      </c>
      <c r="F9498" s="12">
        <v>0</v>
      </c>
    </row>
    <row r="9499" spans="3:6">
      <c r="C9499" s="12"/>
      <c r="D9499" s="12"/>
      <c r="E9499" t="b">
        <f t="shared" si="148"/>
        <v>1</v>
      </c>
      <c r="F9499" s="12">
        <v>0</v>
      </c>
    </row>
    <row r="9500" spans="3:6">
      <c r="C9500" s="12"/>
      <c r="D9500" s="12"/>
      <c r="E9500" t="b">
        <f t="shared" si="148"/>
        <v>1</v>
      </c>
      <c r="F9500" s="12">
        <v>0</v>
      </c>
    </row>
    <row r="9501" spans="3:6">
      <c r="C9501" s="12"/>
      <c r="D9501" s="12"/>
      <c r="E9501" t="b">
        <f t="shared" si="148"/>
        <v>1</v>
      </c>
      <c r="F9501" s="12">
        <v>0</v>
      </c>
    </row>
    <row r="9502" spans="3:6">
      <c r="C9502" s="12"/>
      <c r="D9502" s="12"/>
      <c r="E9502" t="b">
        <f t="shared" si="148"/>
        <v>1</v>
      </c>
      <c r="F9502" s="12">
        <v>0</v>
      </c>
    </row>
    <row r="9503" spans="3:6">
      <c r="C9503" s="12"/>
      <c r="D9503" s="12"/>
      <c r="E9503" t="b">
        <f t="shared" si="148"/>
        <v>1</v>
      </c>
      <c r="F9503" s="12">
        <v>0</v>
      </c>
    </row>
    <row r="9504" spans="3:6">
      <c r="C9504" s="12"/>
      <c r="D9504" s="12"/>
      <c r="E9504" t="b">
        <f t="shared" si="148"/>
        <v>1</v>
      </c>
      <c r="F9504" s="12">
        <v>0</v>
      </c>
    </row>
    <row r="9505" spans="3:6">
      <c r="C9505" s="12"/>
      <c r="D9505" s="12"/>
      <c r="E9505" t="b">
        <f t="shared" si="148"/>
        <v>1</v>
      </c>
      <c r="F9505" s="12">
        <v>0</v>
      </c>
    </row>
    <row r="9506" spans="3:6">
      <c r="C9506" s="12"/>
      <c r="D9506" s="12"/>
      <c r="E9506" t="b">
        <f t="shared" si="148"/>
        <v>1</v>
      </c>
      <c r="F9506" s="12">
        <v>0</v>
      </c>
    </row>
    <row r="9507" spans="3:6">
      <c r="C9507" s="12"/>
      <c r="D9507" s="12"/>
      <c r="E9507" t="b">
        <f t="shared" si="148"/>
        <v>1</v>
      </c>
      <c r="F9507" s="12">
        <v>0</v>
      </c>
    </row>
    <row r="9508" spans="3:6">
      <c r="C9508" s="12"/>
      <c r="D9508" s="12"/>
      <c r="E9508" t="b">
        <f t="shared" si="148"/>
        <v>1</v>
      </c>
      <c r="F9508" s="12">
        <v>0</v>
      </c>
    </row>
    <row r="9509" spans="3:6">
      <c r="C9509" s="12"/>
      <c r="D9509" s="12"/>
      <c r="E9509" t="b">
        <f t="shared" si="148"/>
        <v>1</v>
      </c>
      <c r="F9509" s="12">
        <v>0</v>
      </c>
    </row>
    <row r="9510" spans="3:6">
      <c r="C9510" s="12"/>
      <c r="D9510" s="12"/>
      <c r="E9510" t="b">
        <f t="shared" si="148"/>
        <v>1</v>
      </c>
      <c r="F9510" s="12">
        <v>0</v>
      </c>
    </row>
    <row r="9511" spans="3:6">
      <c r="C9511" s="12"/>
      <c r="D9511" s="12"/>
      <c r="E9511" t="b">
        <f t="shared" si="148"/>
        <v>1</v>
      </c>
      <c r="F9511" s="12">
        <v>0</v>
      </c>
    </row>
    <row r="9512" spans="3:6">
      <c r="C9512" s="12"/>
      <c r="D9512" s="12"/>
      <c r="E9512" t="b">
        <f t="shared" si="148"/>
        <v>1</v>
      </c>
      <c r="F9512" s="12">
        <v>0</v>
      </c>
    </row>
    <row r="9513" spans="3:6">
      <c r="C9513" s="12"/>
      <c r="D9513" s="12"/>
      <c r="E9513" t="b">
        <f t="shared" si="148"/>
        <v>1</v>
      </c>
      <c r="F9513" s="12">
        <v>0</v>
      </c>
    </row>
    <row r="9514" spans="3:6">
      <c r="C9514" s="12"/>
      <c r="D9514" s="12"/>
      <c r="E9514" t="b">
        <f t="shared" si="148"/>
        <v>1</v>
      </c>
      <c r="F9514" s="12">
        <v>0</v>
      </c>
    </row>
    <row r="9515" spans="3:6">
      <c r="C9515" s="12"/>
      <c r="D9515" s="12"/>
      <c r="E9515" t="b">
        <f t="shared" si="148"/>
        <v>1</v>
      </c>
      <c r="F9515" s="12">
        <v>0</v>
      </c>
    </row>
    <row r="9516" spans="3:6">
      <c r="C9516" s="12"/>
      <c r="D9516" s="12"/>
      <c r="E9516" t="b">
        <f t="shared" si="148"/>
        <v>1</v>
      </c>
      <c r="F9516" s="12">
        <v>0</v>
      </c>
    </row>
    <row r="9517" spans="3:6">
      <c r="C9517" s="12"/>
      <c r="D9517" s="12"/>
      <c r="E9517" t="b">
        <f t="shared" si="148"/>
        <v>1</v>
      </c>
      <c r="F9517" s="12">
        <v>0</v>
      </c>
    </row>
    <row r="9518" spans="3:6">
      <c r="C9518" s="12"/>
      <c r="D9518" s="12"/>
      <c r="E9518" t="b">
        <f t="shared" si="148"/>
        <v>1</v>
      </c>
      <c r="F9518" s="12">
        <v>0</v>
      </c>
    </row>
    <row r="9519" spans="3:6">
      <c r="C9519" s="12"/>
      <c r="D9519" s="12"/>
      <c r="E9519" t="b">
        <f t="shared" si="148"/>
        <v>1</v>
      </c>
      <c r="F9519" s="12">
        <v>0</v>
      </c>
    </row>
    <row r="9520" spans="3:6">
      <c r="C9520" s="12"/>
      <c r="D9520" s="12"/>
      <c r="E9520" t="b">
        <f t="shared" si="148"/>
        <v>1</v>
      </c>
      <c r="F9520" s="12">
        <v>0</v>
      </c>
    </row>
    <row r="9521" spans="3:6">
      <c r="C9521" s="12"/>
      <c r="D9521" s="12"/>
      <c r="E9521" t="b">
        <f t="shared" si="148"/>
        <v>1</v>
      </c>
      <c r="F9521" s="12">
        <v>0</v>
      </c>
    </row>
    <row r="9522" spans="3:6">
      <c r="C9522" s="12"/>
      <c r="D9522" s="12"/>
      <c r="E9522" t="b">
        <f t="shared" si="148"/>
        <v>1</v>
      </c>
      <c r="F9522" s="12">
        <v>0</v>
      </c>
    </row>
    <row r="9523" spans="3:6">
      <c r="C9523" s="12"/>
      <c r="D9523" s="12"/>
      <c r="E9523" t="b">
        <f t="shared" si="148"/>
        <v>1</v>
      </c>
      <c r="F9523" s="12">
        <v>0</v>
      </c>
    </row>
    <row r="9524" spans="3:6">
      <c r="C9524" s="12"/>
      <c r="D9524" s="12"/>
      <c r="E9524" t="b">
        <f t="shared" si="148"/>
        <v>1</v>
      </c>
      <c r="F9524" s="12">
        <v>0</v>
      </c>
    </row>
    <row r="9525" spans="3:6">
      <c r="C9525" s="12"/>
      <c r="D9525" s="12"/>
      <c r="E9525" t="b">
        <f t="shared" si="148"/>
        <v>1</v>
      </c>
      <c r="F9525" s="12">
        <v>0</v>
      </c>
    </row>
    <row r="9526" spans="3:6">
      <c r="C9526" s="12"/>
      <c r="D9526" s="12"/>
      <c r="E9526" t="b">
        <f t="shared" si="148"/>
        <v>1</v>
      </c>
      <c r="F9526" s="12">
        <v>0</v>
      </c>
    </row>
    <row r="9527" spans="3:6">
      <c r="C9527" s="12"/>
      <c r="D9527" s="12"/>
      <c r="E9527" t="b">
        <f t="shared" si="148"/>
        <v>1</v>
      </c>
      <c r="F9527" s="12">
        <v>0</v>
      </c>
    </row>
    <row r="9528" spans="3:6">
      <c r="C9528" s="12"/>
      <c r="D9528" s="12"/>
      <c r="E9528" t="b">
        <f t="shared" si="148"/>
        <v>1</v>
      </c>
      <c r="F9528" s="12">
        <v>0</v>
      </c>
    </row>
    <row r="9529" spans="3:6">
      <c r="C9529" s="12"/>
      <c r="D9529" s="12"/>
      <c r="E9529" t="b">
        <f t="shared" si="148"/>
        <v>1</v>
      </c>
      <c r="F9529" s="12">
        <v>0</v>
      </c>
    </row>
    <row r="9530" spans="3:6">
      <c r="C9530" s="12"/>
      <c r="D9530" s="12"/>
      <c r="E9530" t="b">
        <f t="shared" si="148"/>
        <v>1</v>
      </c>
      <c r="F9530" s="12">
        <v>0</v>
      </c>
    </row>
    <row r="9531" spans="3:6">
      <c r="C9531" s="12"/>
      <c r="D9531" s="12"/>
      <c r="E9531" t="b">
        <f t="shared" si="148"/>
        <v>1</v>
      </c>
      <c r="F9531" s="12">
        <v>0</v>
      </c>
    </row>
    <row r="9532" spans="3:6">
      <c r="C9532" s="12"/>
      <c r="D9532" s="12"/>
      <c r="E9532" t="b">
        <f t="shared" si="148"/>
        <v>1</v>
      </c>
      <c r="F9532" s="12">
        <v>0</v>
      </c>
    </row>
    <row r="9533" spans="3:6">
      <c r="C9533" s="12"/>
      <c r="D9533" s="12"/>
      <c r="E9533" t="b">
        <f t="shared" si="148"/>
        <v>1</v>
      </c>
      <c r="F9533" s="12">
        <v>0</v>
      </c>
    </row>
    <row r="9534" spans="3:6">
      <c r="C9534" s="12"/>
      <c r="D9534" s="12"/>
      <c r="E9534" t="b">
        <f t="shared" si="148"/>
        <v>1</v>
      </c>
      <c r="F9534" s="12">
        <v>0</v>
      </c>
    </row>
    <row r="9535" spans="3:6">
      <c r="C9535" s="12"/>
      <c r="D9535" s="12"/>
      <c r="E9535" t="b">
        <f t="shared" si="148"/>
        <v>1</v>
      </c>
      <c r="F9535" s="12">
        <v>0</v>
      </c>
    </row>
    <row r="9536" spans="3:6">
      <c r="C9536" s="12"/>
      <c r="D9536" s="12"/>
      <c r="E9536" t="b">
        <f t="shared" si="148"/>
        <v>1</v>
      </c>
      <c r="F9536" s="12">
        <v>0</v>
      </c>
    </row>
    <row r="9537" spans="3:6">
      <c r="C9537" s="12"/>
      <c r="D9537" s="12"/>
      <c r="E9537" t="b">
        <f t="shared" si="148"/>
        <v>1</v>
      </c>
      <c r="F9537" s="12">
        <v>0</v>
      </c>
    </row>
    <row r="9538" spans="3:6">
      <c r="C9538" s="12"/>
      <c r="D9538" s="12"/>
      <c r="E9538" t="b">
        <f t="shared" si="148"/>
        <v>1</v>
      </c>
      <c r="F9538" s="12">
        <v>0</v>
      </c>
    </row>
    <row r="9539" spans="3:6">
      <c r="C9539" s="12"/>
      <c r="D9539" s="12"/>
      <c r="E9539" t="b">
        <f t="shared" ref="E9539:E9602" si="149">F9539=C9539</f>
        <v>1</v>
      </c>
      <c r="F9539" s="12">
        <v>0</v>
      </c>
    </row>
    <row r="9540" spans="3:6">
      <c r="C9540" s="12"/>
      <c r="D9540" s="12"/>
      <c r="E9540" t="b">
        <f t="shared" si="149"/>
        <v>1</v>
      </c>
      <c r="F9540" s="12">
        <v>0</v>
      </c>
    </row>
    <row r="9541" spans="3:6">
      <c r="C9541" s="12"/>
      <c r="D9541" s="12"/>
      <c r="E9541" t="b">
        <f t="shared" si="149"/>
        <v>1</v>
      </c>
      <c r="F9541" s="12">
        <v>0</v>
      </c>
    </row>
    <row r="9542" spans="3:6">
      <c r="C9542" s="12"/>
      <c r="D9542" s="12"/>
      <c r="E9542" t="b">
        <f t="shared" si="149"/>
        <v>1</v>
      </c>
      <c r="F9542" s="12">
        <v>0</v>
      </c>
    </row>
    <row r="9543" spans="3:6">
      <c r="C9543" s="12"/>
      <c r="D9543" s="12"/>
      <c r="E9543" t="b">
        <f t="shared" si="149"/>
        <v>1</v>
      </c>
      <c r="F9543" s="12">
        <v>0</v>
      </c>
    </row>
    <row r="9544" spans="3:6">
      <c r="C9544" s="12"/>
      <c r="D9544" s="12"/>
      <c r="E9544" t="b">
        <f t="shared" si="149"/>
        <v>1</v>
      </c>
      <c r="F9544" s="12">
        <v>0</v>
      </c>
    </row>
    <row r="9545" spans="3:6">
      <c r="C9545" s="12"/>
      <c r="D9545" s="12"/>
      <c r="E9545" t="b">
        <f t="shared" si="149"/>
        <v>1</v>
      </c>
      <c r="F9545" s="12">
        <v>0</v>
      </c>
    </row>
    <row r="9546" spans="3:6">
      <c r="C9546" s="12"/>
      <c r="D9546" s="12"/>
      <c r="E9546" t="b">
        <f t="shared" si="149"/>
        <v>1</v>
      </c>
      <c r="F9546" s="12">
        <v>0</v>
      </c>
    </row>
    <row r="9547" spans="3:6">
      <c r="C9547" s="12"/>
      <c r="D9547" s="12"/>
      <c r="E9547" t="b">
        <f t="shared" si="149"/>
        <v>1</v>
      </c>
      <c r="F9547" s="12">
        <v>0</v>
      </c>
    </row>
    <row r="9548" spans="3:6">
      <c r="C9548" s="12"/>
      <c r="D9548" s="12"/>
      <c r="E9548" t="b">
        <f t="shared" si="149"/>
        <v>1</v>
      </c>
      <c r="F9548" s="12">
        <v>0</v>
      </c>
    </row>
    <row r="9549" spans="3:6">
      <c r="C9549" s="12"/>
      <c r="D9549" s="12"/>
      <c r="E9549" t="b">
        <f t="shared" si="149"/>
        <v>1</v>
      </c>
      <c r="F9549" s="12">
        <v>0</v>
      </c>
    </row>
    <row r="9550" spans="3:6">
      <c r="C9550" s="12"/>
      <c r="D9550" s="12"/>
      <c r="E9550" t="b">
        <f t="shared" si="149"/>
        <v>1</v>
      </c>
      <c r="F9550" s="12">
        <v>0</v>
      </c>
    </row>
    <row r="9551" spans="3:6">
      <c r="C9551" s="12"/>
      <c r="D9551" s="12"/>
      <c r="E9551" t="b">
        <f t="shared" si="149"/>
        <v>1</v>
      </c>
      <c r="F9551" s="12">
        <v>0</v>
      </c>
    </row>
    <row r="9552" spans="3:6">
      <c r="C9552" s="12"/>
      <c r="D9552" s="12"/>
      <c r="E9552" t="b">
        <f t="shared" si="149"/>
        <v>1</v>
      </c>
      <c r="F9552" s="12">
        <v>0</v>
      </c>
    </row>
    <row r="9553" spans="3:6">
      <c r="C9553" s="12"/>
      <c r="D9553" s="12"/>
      <c r="E9553" t="b">
        <f t="shared" si="149"/>
        <v>1</v>
      </c>
      <c r="F9553" s="12">
        <v>0</v>
      </c>
    </row>
    <row r="9554" spans="3:6">
      <c r="C9554" s="12"/>
      <c r="D9554" s="12"/>
      <c r="E9554" t="b">
        <f t="shared" si="149"/>
        <v>1</v>
      </c>
      <c r="F9554" s="12">
        <v>0</v>
      </c>
    </row>
    <row r="9555" spans="3:6">
      <c r="C9555" s="12"/>
      <c r="D9555" s="12"/>
      <c r="E9555" t="b">
        <f t="shared" si="149"/>
        <v>1</v>
      </c>
      <c r="F9555" s="12">
        <v>0</v>
      </c>
    </row>
    <row r="9556" spans="3:6">
      <c r="C9556" s="12"/>
      <c r="D9556" s="12"/>
      <c r="E9556" t="b">
        <f t="shared" si="149"/>
        <v>1</v>
      </c>
      <c r="F9556" s="12">
        <v>0</v>
      </c>
    </row>
    <row r="9557" spans="3:6">
      <c r="C9557" s="12"/>
      <c r="D9557" s="12"/>
      <c r="E9557" t="b">
        <f t="shared" si="149"/>
        <v>1</v>
      </c>
      <c r="F9557" s="12">
        <v>0</v>
      </c>
    </row>
    <row r="9558" spans="3:6">
      <c r="C9558" s="12"/>
      <c r="D9558" s="12"/>
      <c r="E9558" t="b">
        <f t="shared" si="149"/>
        <v>1</v>
      </c>
      <c r="F9558" s="12">
        <v>0</v>
      </c>
    </row>
    <row r="9559" spans="3:6">
      <c r="C9559" s="12"/>
      <c r="D9559" s="12"/>
      <c r="E9559" t="b">
        <f t="shared" si="149"/>
        <v>1</v>
      </c>
      <c r="F9559" s="12">
        <v>0</v>
      </c>
    </row>
    <row r="9560" spans="3:6">
      <c r="C9560" s="12"/>
      <c r="D9560" s="12"/>
      <c r="E9560" t="b">
        <f t="shared" si="149"/>
        <v>1</v>
      </c>
      <c r="F9560" s="12">
        <v>0</v>
      </c>
    </row>
    <row r="9561" spans="3:6">
      <c r="C9561" s="12"/>
      <c r="D9561" s="12"/>
      <c r="E9561" t="b">
        <f t="shared" si="149"/>
        <v>1</v>
      </c>
      <c r="F9561" s="12">
        <v>0</v>
      </c>
    </row>
    <row r="9562" spans="3:6">
      <c r="C9562" s="12"/>
      <c r="D9562" s="12"/>
      <c r="E9562" t="b">
        <f t="shared" si="149"/>
        <v>1</v>
      </c>
      <c r="F9562" s="12">
        <v>0</v>
      </c>
    </row>
    <row r="9563" spans="3:6">
      <c r="C9563" s="12"/>
      <c r="D9563" s="12"/>
      <c r="E9563" t="b">
        <f t="shared" si="149"/>
        <v>1</v>
      </c>
      <c r="F9563" s="12">
        <v>0</v>
      </c>
    </row>
    <row r="9564" spans="3:6">
      <c r="C9564" s="12"/>
      <c r="D9564" s="12"/>
      <c r="E9564" t="b">
        <f t="shared" si="149"/>
        <v>1</v>
      </c>
      <c r="F9564" s="12">
        <v>0</v>
      </c>
    </row>
    <row r="9565" spans="3:6">
      <c r="C9565" s="12"/>
      <c r="D9565" s="12"/>
      <c r="E9565" t="b">
        <f t="shared" si="149"/>
        <v>1</v>
      </c>
      <c r="F9565" s="12">
        <v>0</v>
      </c>
    </row>
    <row r="9566" spans="3:6">
      <c r="C9566" s="12"/>
      <c r="D9566" s="12"/>
      <c r="E9566" t="b">
        <f t="shared" si="149"/>
        <v>1</v>
      </c>
      <c r="F9566" s="12">
        <v>0</v>
      </c>
    </row>
    <row r="9567" spans="3:6">
      <c r="C9567" s="12"/>
      <c r="D9567" s="12"/>
      <c r="E9567" t="b">
        <f t="shared" si="149"/>
        <v>1</v>
      </c>
      <c r="F9567" s="12">
        <v>0</v>
      </c>
    </row>
    <row r="9568" spans="3:6">
      <c r="C9568" s="12"/>
      <c r="D9568" s="12"/>
      <c r="E9568" t="b">
        <f t="shared" si="149"/>
        <v>1</v>
      </c>
      <c r="F9568" s="12">
        <v>0</v>
      </c>
    </row>
    <row r="9569" spans="3:6">
      <c r="C9569" s="12"/>
      <c r="D9569" s="12"/>
      <c r="E9569" t="b">
        <f t="shared" si="149"/>
        <v>1</v>
      </c>
      <c r="F9569" s="12">
        <v>0</v>
      </c>
    </row>
    <row r="9570" spans="3:6">
      <c r="C9570" s="12"/>
      <c r="D9570" s="12"/>
      <c r="E9570" t="b">
        <f t="shared" si="149"/>
        <v>1</v>
      </c>
      <c r="F9570" s="12">
        <v>0</v>
      </c>
    </row>
    <row r="9571" spans="3:6">
      <c r="C9571" s="12"/>
      <c r="D9571" s="12"/>
      <c r="E9571" t="b">
        <f t="shared" si="149"/>
        <v>1</v>
      </c>
      <c r="F9571" s="12">
        <v>0</v>
      </c>
    </row>
    <row r="9572" spans="3:6">
      <c r="C9572" s="12"/>
      <c r="D9572" s="12"/>
      <c r="E9572" t="b">
        <f t="shared" si="149"/>
        <v>1</v>
      </c>
      <c r="F9572" s="12">
        <v>0</v>
      </c>
    </row>
    <row r="9573" spans="3:6">
      <c r="C9573" s="12"/>
      <c r="D9573" s="12"/>
      <c r="E9573" t="b">
        <f t="shared" si="149"/>
        <v>1</v>
      </c>
      <c r="F9573" s="12">
        <v>0</v>
      </c>
    </row>
    <row r="9574" spans="3:6">
      <c r="C9574" s="12"/>
      <c r="D9574" s="12"/>
      <c r="E9574" t="b">
        <f t="shared" si="149"/>
        <v>1</v>
      </c>
      <c r="F9574" s="12">
        <v>0</v>
      </c>
    </row>
    <row r="9575" spans="3:6">
      <c r="C9575" s="12"/>
      <c r="D9575" s="12"/>
      <c r="E9575" t="b">
        <f t="shared" si="149"/>
        <v>1</v>
      </c>
      <c r="F9575" s="12">
        <v>0</v>
      </c>
    </row>
    <row r="9576" spans="3:6">
      <c r="C9576" s="12"/>
      <c r="D9576" s="12"/>
      <c r="E9576" t="b">
        <f t="shared" si="149"/>
        <v>1</v>
      </c>
      <c r="F9576" s="12">
        <v>0</v>
      </c>
    </row>
    <row r="9577" spans="3:6">
      <c r="C9577" s="12"/>
      <c r="D9577" s="12"/>
      <c r="E9577" t="b">
        <f t="shared" si="149"/>
        <v>1</v>
      </c>
      <c r="F9577" s="12">
        <v>0</v>
      </c>
    </row>
    <row r="9578" spans="3:6">
      <c r="C9578" s="12"/>
      <c r="D9578" s="12"/>
      <c r="E9578" t="b">
        <f t="shared" si="149"/>
        <v>1</v>
      </c>
      <c r="F9578" s="12">
        <v>0</v>
      </c>
    </row>
    <row r="9579" spans="3:6">
      <c r="C9579" s="12"/>
      <c r="D9579" s="12"/>
      <c r="E9579" t="b">
        <f t="shared" si="149"/>
        <v>1</v>
      </c>
      <c r="F9579" s="12">
        <v>0</v>
      </c>
    </row>
    <row r="9580" spans="3:6">
      <c r="C9580" s="12"/>
      <c r="D9580" s="12"/>
      <c r="E9580" t="b">
        <f t="shared" si="149"/>
        <v>1</v>
      </c>
      <c r="F9580" s="12">
        <v>0</v>
      </c>
    </row>
    <row r="9581" spans="3:6">
      <c r="C9581" s="12"/>
      <c r="D9581" s="12"/>
      <c r="E9581" t="b">
        <f t="shared" si="149"/>
        <v>1</v>
      </c>
      <c r="F9581" s="12">
        <v>0</v>
      </c>
    </row>
    <row r="9582" spans="3:6">
      <c r="C9582" s="12"/>
      <c r="D9582" s="12"/>
      <c r="E9582" t="b">
        <f t="shared" si="149"/>
        <v>1</v>
      </c>
      <c r="F9582" s="12">
        <v>0</v>
      </c>
    </row>
    <row r="9583" spans="3:6">
      <c r="C9583" s="12"/>
      <c r="D9583" s="12"/>
      <c r="E9583" t="b">
        <f t="shared" si="149"/>
        <v>1</v>
      </c>
      <c r="F9583" s="12">
        <v>0</v>
      </c>
    </row>
    <row r="9584" spans="3:6">
      <c r="C9584" s="12"/>
      <c r="D9584" s="12"/>
      <c r="E9584" t="b">
        <f t="shared" si="149"/>
        <v>1</v>
      </c>
      <c r="F9584" s="12">
        <v>0</v>
      </c>
    </row>
    <row r="9585" spans="3:6">
      <c r="C9585" s="12"/>
      <c r="D9585" s="12"/>
      <c r="E9585" t="b">
        <f t="shared" si="149"/>
        <v>1</v>
      </c>
      <c r="F9585" s="12">
        <v>0</v>
      </c>
    </row>
    <row r="9586" spans="3:6">
      <c r="C9586" s="12"/>
      <c r="D9586" s="12"/>
      <c r="E9586" t="b">
        <f t="shared" si="149"/>
        <v>1</v>
      </c>
      <c r="F9586" s="12">
        <v>0</v>
      </c>
    </row>
    <row r="9587" spans="3:6">
      <c r="C9587" s="12"/>
      <c r="D9587" s="12"/>
      <c r="E9587" t="b">
        <f t="shared" si="149"/>
        <v>1</v>
      </c>
      <c r="F9587" s="12">
        <v>0</v>
      </c>
    </row>
    <row r="9588" spans="3:6">
      <c r="C9588" s="12"/>
      <c r="D9588" s="12"/>
      <c r="E9588" t="b">
        <f t="shared" si="149"/>
        <v>1</v>
      </c>
      <c r="F9588" s="12">
        <v>0</v>
      </c>
    </row>
    <row r="9589" spans="3:6">
      <c r="C9589" s="12"/>
      <c r="D9589" s="12"/>
      <c r="E9589" t="b">
        <f t="shared" si="149"/>
        <v>1</v>
      </c>
      <c r="F9589" s="12">
        <v>0</v>
      </c>
    </row>
    <row r="9590" spans="3:6">
      <c r="C9590" s="12"/>
      <c r="D9590" s="12"/>
      <c r="E9590" t="b">
        <f t="shared" si="149"/>
        <v>1</v>
      </c>
      <c r="F9590" s="12">
        <v>0</v>
      </c>
    </row>
    <row r="9591" spans="3:6">
      <c r="C9591" s="12"/>
      <c r="D9591" s="12"/>
      <c r="E9591" t="b">
        <f t="shared" si="149"/>
        <v>1</v>
      </c>
      <c r="F9591" s="12">
        <v>0</v>
      </c>
    </row>
    <row r="9592" spans="3:6">
      <c r="C9592" s="12"/>
      <c r="D9592" s="12"/>
      <c r="E9592" t="b">
        <f t="shared" si="149"/>
        <v>1</v>
      </c>
      <c r="F9592" s="12">
        <v>0</v>
      </c>
    </row>
    <row r="9593" spans="3:6">
      <c r="C9593" s="12"/>
      <c r="D9593" s="12"/>
      <c r="E9593" t="b">
        <f t="shared" si="149"/>
        <v>1</v>
      </c>
      <c r="F9593" s="12">
        <v>0</v>
      </c>
    </row>
    <row r="9594" spans="3:6">
      <c r="C9594" s="12"/>
      <c r="D9594" s="12"/>
      <c r="E9594" t="b">
        <f t="shared" si="149"/>
        <v>1</v>
      </c>
      <c r="F9594" s="12">
        <v>0</v>
      </c>
    </row>
    <row r="9595" spans="3:6">
      <c r="C9595" s="12"/>
      <c r="D9595" s="12"/>
      <c r="E9595" t="b">
        <f t="shared" si="149"/>
        <v>1</v>
      </c>
      <c r="F9595" s="12">
        <v>0</v>
      </c>
    </row>
    <row r="9596" spans="3:6">
      <c r="C9596" s="12"/>
      <c r="D9596" s="12"/>
      <c r="E9596" t="b">
        <f t="shared" si="149"/>
        <v>1</v>
      </c>
      <c r="F9596" s="12">
        <v>0</v>
      </c>
    </row>
    <row r="9597" spans="3:6">
      <c r="C9597" s="12"/>
      <c r="D9597" s="12"/>
      <c r="E9597" t="b">
        <f t="shared" si="149"/>
        <v>1</v>
      </c>
      <c r="F9597" s="12">
        <v>0</v>
      </c>
    </row>
    <row r="9598" spans="3:6">
      <c r="C9598" s="12"/>
      <c r="D9598" s="12"/>
      <c r="E9598" t="b">
        <f t="shared" si="149"/>
        <v>1</v>
      </c>
      <c r="F9598" s="12">
        <v>0</v>
      </c>
    </row>
    <row r="9599" spans="3:6">
      <c r="C9599" s="12"/>
      <c r="D9599" s="12"/>
      <c r="E9599" t="b">
        <f t="shared" si="149"/>
        <v>1</v>
      </c>
      <c r="F9599" s="12">
        <v>0</v>
      </c>
    </row>
    <row r="9600" spans="3:6">
      <c r="C9600" s="12"/>
      <c r="D9600" s="12"/>
      <c r="E9600" t="b">
        <f t="shared" si="149"/>
        <v>1</v>
      </c>
      <c r="F9600" s="12">
        <v>0</v>
      </c>
    </row>
    <row r="9601" spans="3:6">
      <c r="C9601" s="12"/>
      <c r="D9601" s="12"/>
      <c r="E9601" t="b">
        <f t="shared" si="149"/>
        <v>1</v>
      </c>
      <c r="F9601" s="12">
        <v>0</v>
      </c>
    </row>
    <row r="9602" spans="3:6">
      <c r="C9602" s="12"/>
      <c r="D9602" s="12"/>
      <c r="E9602" t="b">
        <f t="shared" si="149"/>
        <v>1</v>
      </c>
      <c r="F9602" s="12">
        <v>0</v>
      </c>
    </row>
    <row r="9603" spans="3:6">
      <c r="C9603" s="12"/>
      <c r="D9603" s="12"/>
      <c r="E9603" t="b">
        <f t="shared" ref="E9603:E9666" si="150">F9603=C9603</f>
        <v>1</v>
      </c>
      <c r="F9603" s="12">
        <v>0</v>
      </c>
    </row>
    <row r="9604" spans="3:6">
      <c r="C9604" s="12"/>
      <c r="D9604" s="12"/>
      <c r="E9604" t="b">
        <f t="shared" si="150"/>
        <v>1</v>
      </c>
      <c r="F9604" s="12">
        <v>0</v>
      </c>
    </row>
    <row r="9605" spans="3:6">
      <c r="C9605" s="12"/>
      <c r="D9605" s="12"/>
      <c r="E9605" t="b">
        <f t="shared" si="150"/>
        <v>1</v>
      </c>
      <c r="F9605" s="12">
        <v>0</v>
      </c>
    </row>
    <row r="9606" spans="3:6">
      <c r="C9606" s="12"/>
      <c r="D9606" s="12"/>
      <c r="E9606" t="b">
        <f t="shared" si="150"/>
        <v>1</v>
      </c>
      <c r="F9606" s="12">
        <v>0</v>
      </c>
    </row>
    <row r="9607" spans="3:6">
      <c r="C9607" s="12"/>
      <c r="D9607" s="12"/>
      <c r="E9607" t="b">
        <f t="shared" si="150"/>
        <v>1</v>
      </c>
      <c r="F9607" s="12">
        <v>0</v>
      </c>
    </row>
    <row r="9608" spans="3:6">
      <c r="C9608" s="12"/>
      <c r="D9608" s="12"/>
      <c r="E9608" t="b">
        <f t="shared" si="150"/>
        <v>1</v>
      </c>
      <c r="F9608" s="12">
        <v>0</v>
      </c>
    </row>
    <row r="9609" spans="3:6">
      <c r="C9609" s="12"/>
      <c r="D9609" s="12"/>
      <c r="E9609" t="b">
        <f t="shared" si="150"/>
        <v>1</v>
      </c>
      <c r="F9609" s="12">
        <v>0</v>
      </c>
    </row>
    <row r="9610" spans="3:6">
      <c r="C9610" s="12"/>
      <c r="D9610" s="12"/>
      <c r="E9610" t="b">
        <f t="shared" si="150"/>
        <v>1</v>
      </c>
      <c r="F9610" s="12">
        <v>0</v>
      </c>
    </row>
    <row r="9611" spans="3:6">
      <c r="C9611" s="12"/>
      <c r="D9611" s="12"/>
      <c r="E9611" t="b">
        <f t="shared" si="150"/>
        <v>1</v>
      </c>
      <c r="F9611" s="12">
        <v>0</v>
      </c>
    </row>
    <row r="9612" spans="3:6">
      <c r="C9612" s="12"/>
      <c r="D9612" s="12"/>
      <c r="E9612" t="b">
        <f t="shared" si="150"/>
        <v>1</v>
      </c>
      <c r="F9612" s="12">
        <v>0</v>
      </c>
    </row>
    <row r="9613" spans="3:6">
      <c r="C9613" s="12"/>
      <c r="D9613" s="12"/>
      <c r="E9613" t="b">
        <f t="shared" si="150"/>
        <v>1</v>
      </c>
      <c r="F9613" s="12">
        <v>0</v>
      </c>
    </row>
    <row r="9614" spans="3:6">
      <c r="C9614" s="12"/>
      <c r="D9614" s="12"/>
      <c r="E9614" t="b">
        <f t="shared" si="150"/>
        <v>1</v>
      </c>
      <c r="F9614" s="12">
        <v>0</v>
      </c>
    </row>
    <row r="9615" spans="3:6">
      <c r="C9615" s="12"/>
      <c r="D9615" s="12"/>
      <c r="E9615" t="b">
        <f t="shared" si="150"/>
        <v>1</v>
      </c>
      <c r="F9615" s="12">
        <v>0</v>
      </c>
    </row>
    <row r="9616" spans="3:6">
      <c r="C9616" s="12"/>
      <c r="D9616" s="12"/>
      <c r="E9616" t="b">
        <f t="shared" si="150"/>
        <v>1</v>
      </c>
      <c r="F9616" s="12">
        <v>0</v>
      </c>
    </row>
    <row r="9617" spans="3:6">
      <c r="C9617" s="12"/>
      <c r="D9617" s="12"/>
      <c r="E9617" t="b">
        <f t="shared" si="150"/>
        <v>1</v>
      </c>
      <c r="F9617" s="12">
        <v>0</v>
      </c>
    </row>
    <row r="9618" spans="3:6">
      <c r="C9618" s="12"/>
      <c r="D9618" s="12"/>
      <c r="E9618" t="b">
        <f t="shared" si="150"/>
        <v>1</v>
      </c>
      <c r="F9618" s="12">
        <v>0</v>
      </c>
    </row>
    <row r="9619" spans="3:6">
      <c r="C9619" s="12"/>
      <c r="D9619" s="12"/>
      <c r="E9619" t="b">
        <f t="shared" si="150"/>
        <v>1</v>
      </c>
      <c r="F9619" s="12">
        <v>0</v>
      </c>
    </row>
    <row r="9620" spans="3:6">
      <c r="C9620" s="12"/>
      <c r="D9620" s="12"/>
      <c r="E9620" t="b">
        <f t="shared" si="150"/>
        <v>1</v>
      </c>
      <c r="F9620" s="12">
        <v>0</v>
      </c>
    </row>
    <row r="9621" spans="3:6">
      <c r="C9621" s="12"/>
      <c r="D9621" s="12"/>
      <c r="E9621" t="b">
        <f t="shared" si="150"/>
        <v>1</v>
      </c>
      <c r="F9621" s="12">
        <v>0</v>
      </c>
    </row>
    <row r="9622" spans="3:6">
      <c r="C9622" s="12"/>
      <c r="D9622" s="12"/>
      <c r="E9622" t="b">
        <f t="shared" si="150"/>
        <v>1</v>
      </c>
      <c r="F9622" s="12">
        <v>0</v>
      </c>
    </row>
    <row r="9623" spans="3:6">
      <c r="C9623" s="12"/>
      <c r="D9623" s="12"/>
      <c r="E9623" t="b">
        <f t="shared" si="150"/>
        <v>1</v>
      </c>
      <c r="F9623" s="12">
        <v>0</v>
      </c>
    </row>
    <row r="9624" spans="3:6">
      <c r="C9624" s="12"/>
      <c r="D9624" s="12"/>
      <c r="E9624" t="b">
        <f t="shared" si="150"/>
        <v>1</v>
      </c>
      <c r="F9624" s="12">
        <v>0</v>
      </c>
    </row>
    <row r="9625" spans="3:6">
      <c r="C9625" s="12"/>
      <c r="D9625" s="12"/>
      <c r="E9625" t="b">
        <f t="shared" si="150"/>
        <v>1</v>
      </c>
      <c r="F9625" s="12">
        <v>0</v>
      </c>
    </row>
    <row r="9626" spans="3:6">
      <c r="C9626" s="12"/>
      <c r="D9626" s="12"/>
      <c r="E9626" t="b">
        <f t="shared" si="150"/>
        <v>1</v>
      </c>
      <c r="F9626" s="12">
        <v>0</v>
      </c>
    </row>
    <row r="9627" spans="3:6">
      <c r="C9627" s="12"/>
      <c r="D9627" s="12"/>
      <c r="E9627" t="b">
        <f t="shared" si="150"/>
        <v>1</v>
      </c>
      <c r="F9627" s="12">
        <v>0</v>
      </c>
    </row>
    <row r="9628" spans="3:6">
      <c r="C9628" s="12"/>
      <c r="D9628" s="12"/>
      <c r="E9628" t="b">
        <f t="shared" si="150"/>
        <v>1</v>
      </c>
      <c r="F9628" s="12">
        <v>0</v>
      </c>
    </row>
    <row r="9629" spans="3:6">
      <c r="C9629" s="12"/>
      <c r="D9629" s="12"/>
      <c r="E9629" t="b">
        <f t="shared" si="150"/>
        <v>1</v>
      </c>
      <c r="F9629" s="12">
        <v>0</v>
      </c>
    </row>
    <row r="9630" spans="3:6">
      <c r="C9630" s="12"/>
      <c r="D9630" s="12"/>
      <c r="E9630" t="b">
        <f t="shared" si="150"/>
        <v>1</v>
      </c>
      <c r="F9630" s="12">
        <v>0</v>
      </c>
    </row>
    <row r="9631" spans="3:6">
      <c r="C9631" s="12"/>
      <c r="D9631" s="12"/>
      <c r="E9631" t="b">
        <f t="shared" si="150"/>
        <v>1</v>
      </c>
      <c r="F9631" s="12">
        <v>0</v>
      </c>
    </row>
    <row r="9632" spans="3:6">
      <c r="C9632" s="12"/>
      <c r="D9632" s="12"/>
      <c r="E9632" t="b">
        <f t="shared" si="150"/>
        <v>1</v>
      </c>
      <c r="F9632" s="12">
        <v>0</v>
      </c>
    </row>
    <row r="9633" spans="3:6">
      <c r="C9633" s="12"/>
      <c r="D9633" s="12"/>
      <c r="E9633" t="b">
        <f t="shared" si="150"/>
        <v>1</v>
      </c>
      <c r="F9633" s="12">
        <v>0</v>
      </c>
    </row>
    <row r="9634" spans="3:6">
      <c r="C9634" s="12"/>
      <c r="D9634" s="12"/>
      <c r="E9634" t="b">
        <f t="shared" si="150"/>
        <v>1</v>
      </c>
      <c r="F9634" s="12">
        <v>0</v>
      </c>
    </row>
    <row r="9635" spans="3:6">
      <c r="C9635" s="12"/>
      <c r="D9635" s="12"/>
      <c r="E9635" t="b">
        <f t="shared" si="150"/>
        <v>1</v>
      </c>
      <c r="F9635" s="12">
        <v>0</v>
      </c>
    </row>
    <row r="9636" spans="3:6">
      <c r="C9636" s="12"/>
      <c r="D9636" s="12"/>
      <c r="E9636" t="b">
        <f t="shared" si="150"/>
        <v>1</v>
      </c>
      <c r="F9636" s="12">
        <v>0</v>
      </c>
    </row>
    <row r="9637" spans="3:6">
      <c r="C9637" s="12"/>
      <c r="D9637" s="12"/>
      <c r="E9637" t="b">
        <f t="shared" si="150"/>
        <v>1</v>
      </c>
      <c r="F9637" s="12">
        <v>0</v>
      </c>
    </row>
    <row r="9638" spans="3:6">
      <c r="C9638" s="12"/>
      <c r="D9638" s="12"/>
      <c r="E9638" t="b">
        <f t="shared" si="150"/>
        <v>1</v>
      </c>
      <c r="F9638" s="12">
        <v>0</v>
      </c>
    </row>
    <row r="9639" spans="3:6">
      <c r="C9639" s="12"/>
      <c r="D9639" s="12"/>
      <c r="E9639" t="b">
        <f t="shared" si="150"/>
        <v>1</v>
      </c>
      <c r="F9639" s="12">
        <v>0</v>
      </c>
    </row>
    <row r="9640" spans="3:6">
      <c r="C9640" s="12"/>
      <c r="D9640" s="12"/>
      <c r="E9640" t="b">
        <f t="shared" si="150"/>
        <v>1</v>
      </c>
      <c r="F9640" s="12">
        <v>0</v>
      </c>
    </row>
    <row r="9641" spans="3:6">
      <c r="C9641" s="12"/>
      <c r="D9641" s="12"/>
      <c r="E9641" t="b">
        <f t="shared" si="150"/>
        <v>1</v>
      </c>
      <c r="F9641" s="12">
        <v>0</v>
      </c>
    </row>
    <row r="9642" spans="3:6">
      <c r="C9642" s="12"/>
      <c r="D9642" s="12"/>
      <c r="E9642" t="b">
        <f t="shared" si="150"/>
        <v>1</v>
      </c>
      <c r="F9642" s="12">
        <v>0</v>
      </c>
    </row>
    <row r="9643" spans="3:6">
      <c r="C9643" s="12"/>
      <c r="D9643" s="12"/>
      <c r="E9643" t="b">
        <f t="shared" si="150"/>
        <v>1</v>
      </c>
      <c r="F9643" s="12">
        <v>0</v>
      </c>
    </row>
    <row r="9644" spans="3:6">
      <c r="C9644" s="12"/>
      <c r="D9644" s="12"/>
      <c r="E9644" t="b">
        <f t="shared" si="150"/>
        <v>1</v>
      </c>
      <c r="F9644" s="12">
        <v>0</v>
      </c>
    </row>
    <row r="9645" spans="3:6">
      <c r="C9645" s="12"/>
      <c r="D9645" s="12"/>
      <c r="E9645" t="b">
        <f t="shared" si="150"/>
        <v>1</v>
      </c>
      <c r="F9645" s="12">
        <v>0</v>
      </c>
    </row>
    <row r="9646" spans="3:6">
      <c r="C9646" s="12"/>
      <c r="D9646" s="12"/>
      <c r="E9646" t="b">
        <f t="shared" si="150"/>
        <v>1</v>
      </c>
      <c r="F9646" s="12">
        <v>0</v>
      </c>
    </row>
    <row r="9647" spans="3:6">
      <c r="C9647" s="12"/>
      <c r="D9647" s="12"/>
      <c r="E9647" t="b">
        <f t="shared" si="150"/>
        <v>1</v>
      </c>
      <c r="F9647" s="12">
        <v>0</v>
      </c>
    </row>
    <row r="9648" spans="3:6">
      <c r="C9648" s="12"/>
      <c r="D9648" s="12"/>
      <c r="E9648" t="b">
        <f t="shared" si="150"/>
        <v>1</v>
      </c>
      <c r="F9648" s="12">
        <v>0</v>
      </c>
    </row>
    <row r="9649" spans="3:6">
      <c r="C9649" s="12"/>
      <c r="D9649" s="12"/>
      <c r="E9649" t="b">
        <f t="shared" si="150"/>
        <v>1</v>
      </c>
      <c r="F9649" s="12">
        <v>0</v>
      </c>
    </row>
    <row r="9650" spans="3:6">
      <c r="C9650" s="12"/>
      <c r="D9650" s="12"/>
      <c r="E9650" t="b">
        <f t="shared" si="150"/>
        <v>1</v>
      </c>
      <c r="F9650" s="12">
        <v>0</v>
      </c>
    </row>
    <row r="9651" spans="3:6">
      <c r="C9651" s="12"/>
      <c r="D9651" s="12"/>
      <c r="E9651" t="b">
        <f t="shared" si="150"/>
        <v>1</v>
      </c>
      <c r="F9651" s="12">
        <v>0</v>
      </c>
    </row>
    <row r="9652" spans="3:6">
      <c r="C9652" s="12"/>
      <c r="D9652" s="12"/>
      <c r="E9652" t="b">
        <f t="shared" si="150"/>
        <v>1</v>
      </c>
      <c r="F9652" s="12">
        <v>0</v>
      </c>
    </row>
    <row r="9653" spans="3:6">
      <c r="C9653" s="12"/>
      <c r="D9653" s="12"/>
      <c r="E9653" t="b">
        <f t="shared" si="150"/>
        <v>1</v>
      </c>
      <c r="F9653" s="12">
        <v>0</v>
      </c>
    </row>
    <row r="9654" spans="3:6">
      <c r="C9654" s="12"/>
      <c r="D9654" s="12"/>
      <c r="E9654" t="b">
        <f t="shared" si="150"/>
        <v>1</v>
      </c>
      <c r="F9654" s="12">
        <v>0</v>
      </c>
    </row>
    <row r="9655" spans="3:6">
      <c r="C9655" s="12"/>
      <c r="D9655" s="12"/>
      <c r="E9655" t="b">
        <f t="shared" si="150"/>
        <v>1</v>
      </c>
      <c r="F9655" s="12">
        <v>0</v>
      </c>
    </row>
    <row r="9656" spans="3:6">
      <c r="C9656" s="12"/>
      <c r="D9656" s="12"/>
      <c r="E9656" t="b">
        <f t="shared" si="150"/>
        <v>1</v>
      </c>
      <c r="F9656" s="12">
        <v>0</v>
      </c>
    </row>
    <row r="9657" spans="3:6">
      <c r="C9657" s="12"/>
      <c r="D9657" s="12"/>
      <c r="E9657" t="b">
        <f t="shared" si="150"/>
        <v>1</v>
      </c>
      <c r="F9657" s="12">
        <v>0</v>
      </c>
    </row>
    <row r="9658" spans="3:6">
      <c r="C9658" s="12"/>
      <c r="D9658" s="12"/>
      <c r="E9658" t="b">
        <f t="shared" si="150"/>
        <v>1</v>
      </c>
      <c r="F9658" s="12">
        <v>0</v>
      </c>
    </row>
    <row r="9659" spans="3:6">
      <c r="C9659" s="12"/>
      <c r="D9659" s="12"/>
      <c r="E9659" t="b">
        <f t="shared" si="150"/>
        <v>1</v>
      </c>
      <c r="F9659" s="12">
        <v>0</v>
      </c>
    </row>
    <row r="9660" spans="3:6">
      <c r="C9660" s="12"/>
      <c r="D9660" s="12"/>
      <c r="E9660" t="b">
        <f t="shared" si="150"/>
        <v>1</v>
      </c>
      <c r="F9660" s="12">
        <v>0</v>
      </c>
    </row>
    <row r="9661" spans="3:6">
      <c r="C9661" s="12"/>
      <c r="D9661" s="12"/>
      <c r="E9661" t="b">
        <f t="shared" si="150"/>
        <v>1</v>
      </c>
      <c r="F9661" s="12">
        <v>0</v>
      </c>
    </row>
    <row r="9662" spans="3:6">
      <c r="C9662" s="12"/>
      <c r="D9662" s="12"/>
      <c r="E9662" t="b">
        <f t="shared" si="150"/>
        <v>1</v>
      </c>
      <c r="F9662" s="12">
        <v>0</v>
      </c>
    </row>
    <row r="9663" spans="3:6">
      <c r="C9663" s="12"/>
      <c r="D9663" s="12"/>
      <c r="E9663" t="b">
        <f t="shared" si="150"/>
        <v>1</v>
      </c>
      <c r="F9663" s="12">
        <v>0</v>
      </c>
    </row>
    <row r="9664" spans="3:6">
      <c r="C9664" s="12"/>
      <c r="D9664" s="12"/>
      <c r="E9664" t="b">
        <f t="shared" si="150"/>
        <v>1</v>
      </c>
      <c r="F9664" s="12">
        <v>0</v>
      </c>
    </row>
    <row r="9665" spans="3:6">
      <c r="C9665" s="12"/>
      <c r="D9665" s="12"/>
      <c r="E9665" t="b">
        <f t="shared" si="150"/>
        <v>1</v>
      </c>
      <c r="F9665" s="12">
        <v>0</v>
      </c>
    </row>
    <row r="9666" spans="3:6">
      <c r="C9666" s="12"/>
      <c r="D9666" s="12"/>
      <c r="E9666" t="b">
        <f t="shared" si="150"/>
        <v>1</v>
      </c>
      <c r="F9666" s="12">
        <v>0</v>
      </c>
    </row>
    <row r="9667" spans="3:6">
      <c r="C9667" s="12"/>
      <c r="D9667" s="12"/>
      <c r="E9667" t="b">
        <f t="shared" ref="E9667:E9730" si="151">F9667=C9667</f>
        <v>1</v>
      </c>
      <c r="F9667" s="12">
        <v>0</v>
      </c>
    </row>
    <row r="9668" spans="3:6">
      <c r="C9668" s="12"/>
      <c r="D9668" s="12"/>
      <c r="E9668" t="b">
        <f t="shared" si="151"/>
        <v>1</v>
      </c>
      <c r="F9668" s="12">
        <v>0</v>
      </c>
    </row>
    <row r="9669" spans="3:6">
      <c r="C9669" s="12"/>
      <c r="D9669" s="12"/>
      <c r="E9669" t="b">
        <f t="shared" si="151"/>
        <v>1</v>
      </c>
      <c r="F9669" s="12">
        <v>0</v>
      </c>
    </row>
    <row r="9670" spans="3:6">
      <c r="C9670" s="12"/>
      <c r="D9670" s="12"/>
      <c r="E9670" t="b">
        <f t="shared" si="151"/>
        <v>1</v>
      </c>
      <c r="F9670" s="12">
        <v>0</v>
      </c>
    </row>
    <row r="9671" spans="3:6">
      <c r="C9671" s="12"/>
      <c r="D9671" s="12"/>
      <c r="E9671" t="b">
        <f t="shared" si="151"/>
        <v>1</v>
      </c>
      <c r="F9671" s="12">
        <v>0</v>
      </c>
    </row>
    <row r="9672" spans="3:6">
      <c r="C9672" s="12"/>
      <c r="D9672" s="12"/>
      <c r="E9672" t="b">
        <f t="shared" si="151"/>
        <v>1</v>
      </c>
      <c r="F9672" s="12">
        <v>0</v>
      </c>
    </row>
    <row r="9673" spans="3:6">
      <c r="C9673" s="12"/>
      <c r="D9673" s="12"/>
      <c r="E9673" t="b">
        <f t="shared" si="151"/>
        <v>1</v>
      </c>
      <c r="F9673" s="12">
        <v>0</v>
      </c>
    </row>
    <row r="9674" spans="3:6">
      <c r="C9674" s="12"/>
      <c r="D9674" s="12"/>
      <c r="E9674" t="b">
        <f t="shared" si="151"/>
        <v>1</v>
      </c>
      <c r="F9674" s="12">
        <v>0</v>
      </c>
    </row>
    <row r="9675" spans="3:6">
      <c r="C9675" s="12"/>
      <c r="D9675" s="12"/>
      <c r="E9675" t="b">
        <f t="shared" si="151"/>
        <v>1</v>
      </c>
      <c r="F9675" s="12">
        <v>0</v>
      </c>
    </row>
    <row r="9676" spans="3:6">
      <c r="C9676" s="12"/>
      <c r="D9676" s="12"/>
      <c r="E9676" t="b">
        <f t="shared" si="151"/>
        <v>1</v>
      </c>
      <c r="F9676" s="12">
        <v>0</v>
      </c>
    </row>
    <row r="9677" spans="3:6">
      <c r="C9677" s="12"/>
      <c r="D9677" s="12"/>
      <c r="E9677" t="b">
        <f t="shared" si="151"/>
        <v>1</v>
      </c>
      <c r="F9677" s="12">
        <v>0</v>
      </c>
    </row>
    <row r="9678" spans="3:6">
      <c r="C9678" s="12"/>
      <c r="D9678" s="12"/>
      <c r="E9678" t="b">
        <f t="shared" si="151"/>
        <v>1</v>
      </c>
      <c r="F9678" s="12">
        <v>0</v>
      </c>
    </row>
    <row r="9679" spans="3:6">
      <c r="C9679" s="12"/>
      <c r="D9679" s="12"/>
      <c r="E9679" t="b">
        <f t="shared" si="151"/>
        <v>1</v>
      </c>
      <c r="F9679" s="12">
        <v>0</v>
      </c>
    </row>
    <row r="9680" spans="3:6">
      <c r="C9680" s="12"/>
      <c r="D9680" s="12"/>
      <c r="E9680" t="b">
        <f t="shared" si="151"/>
        <v>1</v>
      </c>
      <c r="F9680" s="12">
        <v>0</v>
      </c>
    </row>
    <row r="9681" spans="3:6">
      <c r="C9681" s="12"/>
      <c r="D9681" s="12"/>
      <c r="E9681" t="b">
        <f t="shared" si="151"/>
        <v>1</v>
      </c>
      <c r="F9681" s="12">
        <v>0</v>
      </c>
    </row>
    <row r="9682" spans="3:6">
      <c r="C9682" s="12"/>
      <c r="D9682" s="12"/>
      <c r="E9682" t="b">
        <f t="shared" si="151"/>
        <v>1</v>
      </c>
      <c r="F9682" s="12">
        <v>0</v>
      </c>
    </row>
    <row r="9683" spans="3:6">
      <c r="C9683" s="12"/>
      <c r="D9683" s="12"/>
      <c r="E9683" t="b">
        <f t="shared" si="151"/>
        <v>1</v>
      </c>
      <c r="F9683" s="12">
        <v>0</v>
      </c>
    </row>
    <row r="9684" spans="3:6">
      <c r="C9684" s="12"/>
      <c r="D9684" s="12"/>
      <c r="E9684" t="b">
        <f t="shared" si="151"/>
        <v>1</v>
      </c>
      <c r="F9684" s="12">
        <v>0</v>
      </c>
    </row>
    <row r="9685" spans="3:6">
      <c r="C9685" s="12"/>
      <c r="D9685" s="12"/>
      <c r="E9685" t="b">
        <f t="shared" si="151"/>
        <v>1</v>
      </c>
      <c r="F9685" s="12">
        <v>0</v>
      </c>
    </row>
    <row r="9686" spans="3:6">
      <c r="C9686" s="12"/>
      <c r="D9686" s="12"/>
      <c r="E9686" t="b">
        <f t="shared" si="151"/>
        <v>1</v>
      </c>
      <c r="F9686" s="12">
        <v>0</v>
      </c>
    </row>
    <row r="9687" spans="3:6">
      <c r="C9687" s="12"/>
      <c r="D9687" s="12"/>
      <c r="E9687" t="b">
        <f t="shared" si="151"/>
        <v>1</v>
      </c>
      <c r="F9687" s="12">
        <v>0</v>
      </c>
    </row>
    <row r="9688" spans="3:6">
      <c r="C9688" s="12"/>
      <c r="D9688" s="12"/>
      <c r="E9688" t="b">
        <f t="shared" si="151"/>
        <v>1</v>
      </c>
      <c r="F9688" s="12">
        <v>0</v>
      </c>
    </row>
    <row r="9689" spans="3:6">
      <c r="C9689" s="12"/>
      <c r="D9689" s="12"/>
      <c r="E9689" t="b">
        <f t="shared" si="151"/>
        <v>1</v>
      </c>
      <c r="F9689" s="12">
        <v>0</v>
      </c>
    </row>
    <row r="9690" spans="3:6">
      <c r="C9690" s="12"/>
      <c r="D9690" s="12"/>
      <c r="E9690" t="b">
        <f t="shared" si="151"/>
        <v>1</v>
      </c>
      <c r="F9690" s="12">
        <v>0</v>
      </c>
    </row>
    <row r="9691" spans="3:6">
      <c r="C9691" s="12"/>
      <c r="D9691" s="12"/>
      <c r="E9691" t="b">
        <f t="shared" si="151"/>
        <v>1</v>
      </c>
      <c r="F9691" s="12">
        <v>0</v>
      </c>
    </row>
    <row r="9692" spans="3:6">
      <c r="C9692" s="12"/>
      <c r="D9692" s="12"/>
      <c r="E9692" t="b">
        <f t="shared" si="151"/>
        <v>1</v>
      </c>
      <c r="F9692" s="12">
        <v>0</v>
      </c>
    </row>
    <row r="9693" spans="3:6">
      <c r="C9693" s="12"/>
      <c r="D9693" s="12"/>
      <c r="E9693" t="b">
        <f t="shared" si="151"/>
        <v>1</v>
      </c>
      <c r="F9693" s="12">
        <v>0</v>
      </c>
    </row>
    <row r="9694" spans="3:6">
      <c r="C9694" s="12"/>
      <c r="D9694" s="12"/>
      <c r="E9694" t="b">
        <f t="shared" si="151"/>
        <v>1</v>
      </c>
      <c r="F9694" s="12">
        <v>0</v>
      </c>
    </row>
    <row r="9695" spans="3:6">
      <c r="C9695" s="12"/>
      <c r="D9695" s="12"/>
      <c r="E9695" t="b">
        <f t="shared" si="151"/>
        <v>1</v>
      </c>
      <c r="F9695" s="12">
        <v>0</v>
      </c>
    </row>
    <row r="9696" spans="3:6">
      <c r="C9696" s="12"/>
      <c r="D9696" s="12"/>
      <c r="E9696" t="b">
        <f t="shared" si="151"/>
        <v>1</v>
      </c>
      <c r="F9696" s="12">
        <v>0</v>
      </c>
    </row>
    <row r="9697" spans="3:6">
      <c r="C9697" s="12"/>
      <c r="D9697" s="12"/>
      <c r="E9697" t="b">
        <f t="shared" si="151"/>
        <v>1</v>
      </c>
      <c r="F9697" s="12">
        <v>0</v>
      </c>
    </row>
    <row r="9698" spans="3:6">
      <c r="C9698" s="12"/>
      <c r="D9698" s="12"/>
      <c r="E9698" t="b">
        <f t="shared" si="151"/>
        <v>1</v>
      </c>
      <c r="F9698" s="12">
        <v>0</v>
      </c>
    </row>
    <row r="9699" spans="3:6">
      <c r="C9699" s="12"/>
      <c r="D9699" s="12"/>
      <c r="E9699" t="b">
        <f t="shared" si="151"/>
        <v>1</v>
      </c>
      <c r="F9699" s="12">
        <v>0</v>
      </c>
    </row>
    <row r="9700" spans="3:6">
      <c r="C9700" s="12"/>
      <c r="D9700" s="12"/>
      <c r="E9700" t="b">
        <f t="shared" si="151"/>
        <v>1</v>
      </c>
      <c r="F9700" s="12">
        <v>0</v>
      </c>
    </row>
    <row r="9701" spans="3:6">
      <c r="C9701" s="12"/>
      <c r="D9701" s="12"/>
      <c r="E9701" t="b">
        <f t="shared" si="151"/>
        <v>1</v>
      </c>
      <c r="F9701" s="12">
        <v>0</v>
      </c>
    </row>
    <row r="9702" spans="3:6">
      <c r="C9702" s="12"/>
      <c r="D9702" s="12"/>
      <c r="E9702" t="b">
        <f t="shared" si="151"/>
        <v>1</v>
      </c>
      <c r="F9702" s="12">
        <v>0</v>
      </c>
    </row>
    <row r="9703" spans="3:6">
      <c r="C9703" s="12"/>
      <c r="D9703" s="12"/>
      <c r="E9703" t="b">
        <f t="shared" si="151"/>
        <v>1</v>
      </c>
      <c r="F9703" s="12">
        <v>0</v>
      </c>
    </row>
    <row r="9704" spans="3:6">
      <c r="C9704" s="12"/>
      <c r="D9704" s="12"/>
      <c r="E9704" t="b">
        <f t="shared" si="151"/>
        <v>1</v>
      </c>
      <c r="F9704" s="12">
        <v>0</v>
      </c>
    </row>
    <row r="9705" spans="3:6">
      <c r="C9705" s="12"/>
      <c r="D9705" s="12"/>
      <c r="E9705" t="b">
        <f t="shared" si="151"/>
        <v>1</v>
      </c>
      <c r="F9705" s="12">
        <v>0</v>
      </c>
    </row>
    <row r="9706" spans="3:6">
      <c r="C9706" s="12"/>
      <c r="D9706" s="12"/>
      <c r="E9706" t="b">
        <f t="shared" si="151"/>
        <v>1</v>
      </c>
      <c r="F9706" s="12">
        <v>0</v>
      </c>
    </row>
    <row r="9707" spans="3:6">
      <c r="C9707" s="12"/>
      <c r="D9707" s="12"/>
      <c r="E9707" t="b">
        <f t="shared" si="151"/>
        <v>1</v>
      </c>
      <c r="F9707" s="12">
        <v>0</v>
      </c>
    </row>
    <row r="9708" spans="3:6">
      <c r="C9708" s="12"/>
      <c r="D9708" s="12"/>
      <c r="E9708" t="b">
        <f t="shared" si="151"/>
        <v>1</v>
      </c>
      <c r="F9708" s="12">
        <v>0</v>
      </c>
    </row>
    <row r="9709" spans="3:6">
      <c r="C9709" s="12"/>
      <c r="D9709" s="12"/>
      <c r="E9709" t="b">
        <f t="shared" si="151"/>
        <v>1</v>
      </c>
      <c r="F9709" s="12">
        <v>0</v>
      </c>
    </row>
    <row r="9710" spans="3:6">
      <c r="C9710" s="12"/>
      <c r="D9710" s="12"/>
      <c r="E9710" t="b">
        <f t="shared" si="151"/>
        <v>1</v>
      </c>
      <c r="F9710" s="12">
        <v>0</v>
      </c>
    </row>
    <row r="9711" spans="3:6">
      <c r="C9711" s="12"/>
      <c r="D9711" s="12"/>
      <c r="E9711" t="b">
        <f t="shared" si="151"/>
        <v>1</v>
      </c>
      <c r="F9711" s="12">
        <v>0</v>
      </c>
    </row>
    <row r="9712" spans="3:6">
      <c r="C9712" s="12"/>
      <c r="D9712" s="12"/>
      <c r="E9712" t="b">
        <f t="shared" si="151"/>
        <v>1</v>
      </c>
      <c r="F9712" s="12">
        <v>0</v>
      </c>
    </row>
    <row r="9713" spans="3:6">
      <c r="C9713" s="12"/>
      <c r="D9713" s="12"/>
      <c r="E9713" t="b">
        <f t="shared" si="151"/>
        <v>1</v>
      </c>
      <c r="F9713" s="12">
        <v>0</v>
      </c>
    </row>
    <row r="9714" spans="3:6">
      <c r="C9714" s="12"/>
      <c r="D9714" s="12"/>
      <c r="E9714" t="b">
        <f t="shared" si="151"/>
        <v>1</v>
      </c>
      <c r="F9714" s="12">
        <v>0</v>
      </c>
    </row>
    <row r="9715" spans="3:6">
      <c r="C9715" s="12"/>
      <c r="D9715" s="12"/>
      <c r="E9715" t="b">
        <f t="shared" si="151"/>
        <v>1</v>
      </c>
      <c r="F9715" s="12">
        <v>0</v>
      </c>
    </row>
    <row r="9716" spans="3:6">
      <c r="C9716" s="12"/>
      <c r="D9716" s="12"/>
      <c r="E9716" t="b">
        <f t="shared" si="151"/>
        <v>1</v>
      </c>
      <c r="F9716" s="12">
        <v>0</v>
      </c>
    </row>
    <row r="9717" spans="3:6">
      <c r="C9717" s="12"/>
      <c r="D9717" s="12"/>
      <c r="E9717" t="b">
        <f t="shared" si="151"/>
        <v>1</v>
      </c>
      <c r="F9717" s="12">
        <v>0</v>
      </c>
    </row>
    <row r="9718" spans="3:6">
      <c r="C9718" s="12"/>
      <c r="D9718" s="12"/>
      <c r="E9718" t="b">
        <f t="shared" si="151"/>
        <v>1</v>
      </c>
      <c r="F9718" s="12">
        <v>0</v>
      </c>
    </row>
    <row r="9719" spans="3:6">
      <c r="C9719" s="12"/>
      <c r="D9719" s="12"/>
      <c r="E9719" t="b">
        <f t="shared" si="151"/>
        <v>1</v>
      </c>
      <c r="F9719" s="12">
        <v>0</v>
      </c>
    </row>
    <row r="9720" spans="3:6">
      <c r="C9720" s="12"/>
      <c r="D9720" s="12"/>
      <c r="E9720" t="b">
        <f t="shared" si="151"/>
        <v>1</v>
      </c>
      <c r="F9720" s="12">
        <v>0</v>
      </c>
    </row>
    <row r="9721" spans="3:6">
      <c r="C9721" s="12"/>
      <c r="D9721" s="12"/>
      <c r="E9721" t="b">
        <f t="shared" si="151"/>
        <v>1</v>
      </c>
      <c r="F9721" s="12">
        <v>0</v>
      </c>
    </row>
    <row r="9722" spans="3:6">
      <c r="C9722" s="12"/>
      <c r="D9722" s="12"/>
      <c r="E9722" t="b">
        <f t="shared" si="151"/>
        <v>1</v>
      </c>
      <c r="F9722" s="12">
        <v>0</v>
      </c>
    </row>
    <row r="9723" spans="3:6">
      <c r="C9723" s="12"/>
      <c r="D9723" s="12"/>
      <c r="E9723" t="b">
        <f t="shared" si="151"/>
        <v>1</v>
      </c>
      <c r="F9723" s="12">
        <v>0</v>
      </c>
    </row>
    <row r="9724" spans="3:6">
      <c r="C9724" s="12"/>
      <c r="D9724" s="12"/>
      <c r="E9724" t="b">
        <f t="shared" si="151"/>
        <v>1</v>
      </c>
      <c r="F9724" s="12">
        <v>0</v>
      </c>
    </row>
    <row r="9725" spans="3:6">
      <c r="C9725" s="12"/>
      <c r="D9725" s="12"/>
      <c r="E9725" t="b">
        <f t="shared" si="151"/>
        <v>1</v>
      </c>
      <c r="F9725" s="12">
        <v>0</v>
      </c>
    </row>
    <row r="9726" spans="3:6">
      <c r="C9726" s="12"/>
      <c r="D9726" s="12"/>
      <c r="E9726" t="b">
        <f t="shared" si="151"/>
        <v>1</v>
      </c>
      <c r="F9726" s="12">
        <v>0</v>
      </c>
    </row>
    <row r="9727" spans="3:6">
      <c r="C9727" s="12"/>
      <c r="D9727" s="12"/>
      <c r="E9727" t="b">
        <f t="shared" si="151"/>
        <v>1</v>
      </c>
      <c r="F9727" s="12">
        <v>0</v>
      </c>
    </row>
    <row r="9728" spans="3:6">
      <c r="C9728" s="12"/>
      <c r="D9728" s="12"/>
      <c r="E9728" t="b">
        <f t="shared" si="151"/>
        <v>1</v>
      </c>
      <c r="F9728" s="12">
        <v>0</v>
      </c>
    </row>
    <row r="9729" spans="3:6">
      <c r="C9729" s="12"/>
      <c r="D9729" s="12"/>
      <c r="E9729" t="b">
        <f t="shared" si="151"/>
        <v>1</v>
      </c>
      <c r="F9729" s="12">
        <v>0</v>
      </c>
    </row>
    <row r="9730" spans="3:6">
      <c r="C9730" s="12"/>
      <c r="D9730" s="12"/>
      <c r="E9730" t="b">
        <f t="shared" si="151"/>
        <v>1</v>
      </c>
      <c r="F9730" s="12">
        <v>0</v>
      </c>
    </row>
    <row r="9731" spans="3:6">
      <c r="C9731" s="12"/>
      <c r="D9731" s="12"/>
      <c r="E9731" t="b">
        <f t="shared" ref="E9731:E9794" si="152">F9731=C9731</f>
        <v>1</v>
      </c>
      <c r="F9731" s="12">
        <v>0</v>
      </c>
    </row>
    <row r="9732" spans="3:6">
      <c r="C9732" s="12"/>
      <c r="D9732" s="12"/>
      <c r="E9732" t="b">
        <f t="shared" si="152"/>
        <v>1</v>
      </c>
      <c r="F9732" s="12">
        <v>0</v>
      </c>
    </row>
    <row r="9733" spans="3:6">
      <c r="C9733" s="12"/>
      <c r="D9733" s="12"/>
      <c r="E9733" t="b">
        <f t="shared" si="152"/>
        <v>1</v>
      </c>
      <c r="F9733" s="12">
        <v>0</v>
      </c>
    </row>
    <row r="9734" spans="3:6">
      <c r="C9734" s="12"/>
      <c r="D9734" s="12"/>
      <c r="E9734" t="b">
        <f t="shared" si="152"/>
        <v>1</v>
      </c>
      <c r="F9734" s="12">
        <v>0</v>
      </c>
    </row>
    <row r="9735" spans="3:6">
      <c r="C9735" s="12"/>
      <c r="D9735" s="12"/>
      <c r="E9735" t="b">
        <f t="shared" si="152"/>
        <v>1</v>
      </c>
      <c r="F9735" s="12">
        <v>0</v>
      </c>
    </row>
    <row r="9736" spans="3:6">
      <c r="C9736" s="12"/>
      <c r="D9736" s="12"/>
      <c r="E9736" t="b">
        <f t="shared" si="152"/>
        <v>1</v>
      </c>
      <c r="F9736" s="12">
        <v>0</v>
      </c>
    </row>
    <row r="9737" spans="3:6">
      <c r="C9737" s="12"/>
      <c r="D9737" s="12"/>
      <c r="E9737" t="b">
        <f t="shared" si="152"/>
        <v>1</v>
      </c>
      <c r="F9737" s="12">
        <v>0</v>
      </c>
    </row>
    <row r="9738" spans="3:6">
      <c r="C9738" s="12"/>
      <c r="D9738" s="12"/>
      <c r="E9738" t="b">
        <f t="shared" si="152"/>
        <v>1</v>
      </c>
      <c r="F9738" s="12">
        <v>0</v>
      </c>
    </row>
    <row r="9739" spans="3:6">
      <c r="C9739" s="12"/>
      <c r="D9739" s="12"/>
      <c r="E9739" t="b">
        <f t="shared" si="152"/>
        <v>1</v>
      </c>
      <c r="F9739" s="12">
        <v>0</v>
      </c>
    </row>
    <row r="9740" spans="3:6">
      <c r="C9740" s="12"/>
      <c r="D9740" s="12"/>
      <c r="E9740" t="b">
        <f t="shared" si="152"/>
        <v>1</v>
      </c>
      <c r="F9740" s="12">
        <v>0</v>
      </c>
    </row>
    <row r="9741" spans="3:6">
      <c r="C9741" s="12"/>
      <c r="D9741" s="12"/>
      <c r="E9741" t="b">
        <f t="shared" si="152"/>
        <v>1</v>
      </c>
      <c r="F9741" s="12">
        <v>0</v>
      </c>
    </row>
    <row r="9742" spans="3:6">
      <c r="C9742" s="12"/>
      <c r="D9742" s="12"/>
      <c r="E9742" t="b">
        <f t="shared" si="152"/>
        <v>1</v>
      </c>
      <c r="F9742" s="12">
        <v>0</v>
      </c>
    </row>
    <row r="9743" spans="3:6">
      <c r="C9743" s="12"/>
      <c r="D9743" s="12"/>
      <c r="E9743" t="b">
        <f t="shared" si="152"/>
        <v>1</v>
      </c>
      <c r="F9743" s="12">
        <v>0</v>
      </c>
    </row>
    <row r="9744" spans="3:6">
      <c r="C9744" s="12"/>
      <c r="D9744" s="12"/>
      <c r="E9744" t="b">
        <f t="shared" si="152"/>
        <v>1</v>
      </c>
      <c r="F9744" s="12">
        <v>0</v>
      </c>
    </row>
    <row r="9745" spans="3:6">
      <c r="C9745" s="12"/>
      <c r="D9745" s="12"/>
      <c r="E9745" t="b">
        <f t="shared" si="152"/>
        <v>1</v>
      </c>
      <c r="F9745" s="12">
        <v>0</v>
      </c>
    </row>
    <row r="9746" spans="3:6">
      <c r="C9746" s="12"/>
      <c r="D9746" s="12"/>
      <c r="E9746" t="b">
        <f t="shared" si="152"/>
        <v>1</v>
      </c>
      <c r="F9746" s="12">
        <v>0</v>
      </c>
    </row>
    <row r="9747" spans="3:6">
      <c r="C9747" s="12"/>
      <c r="D9747" s="12"/>
      <c r="E9747" t="b">
        <f t="shared" si="152"/>
        <v>1</v>
      </c>
      <c r="F9747" s="12">
        <v>0</v>
      </c>
    </row>
    <row r="9748" spans="3:6">
      <c r="C9748" s="12"/>
      <c r="D9748" s="12"/>
      <c r="E9748" t="b">
        <f t="shared" si="152"/>
        <v>1</v>
      </c>
      <c r="F9748" s="12">
        <v>0</v>
      </c>
    </row>
    <row r="9749" spans="3:6">
      <c r="C9749" s="12"/>
      <c r="D9749" s="12"/>
      <c r="E9749" t="b">
        <f t="shared" si="152"/>
        <v>1</v>
      </c>
      <c r="F9749" s="12">
        <v>0</v>
      </c>
    </row>
    <row r="9750" spans="3:6">
      <c r="C9750" s="12"/>
      <c r="D9750" s="12"/>
      <c r="E9750" t="b">
        <f t="shared" si="152"/>
        <v>1</v>
      </c>
      <c r="F9750" s="12">
        <v>0</v>
      </c>
    </row>
    <row r="9751" spans="3:6">
      <c r="C9751" s="12"/>
      <c r="D9751" s="12"/>
      <c r="E9751" t="b">
        <f t="shared" si="152"/>
        <v>1</v>
      </c>
      <c r="F9751" s="12">
        <v>0</v>
      </c>
    </row>
    <row r="9752" spans="3:6">
      <c r="C9752" s="12"/>
      <c r="D9752" s="12"/>
      <c r="E9752" t="b">
        <f t="shared" si="152"/>
        <v>1</v>
      </c>
      <c r="F9752" s="12">
        <v>0</v>
      </c>
    </row>
    <row r="9753" spans="3:6">
      <c r="C9753" s="12"/>
      <c r="D9753" s="12"/>
      <c r="E9753" t="b">
        <f t="shared" si="152"/>
        <v>1</v>
      </c>
      <c r="F9753" s="12">
        <v>0</v>
      </c>
    </row>
    <row r="9754" spans="3:6">
      <c r="C9754" s="12"/>
      <c r="D9754" s="12"/>
      <c r="E9754" t="b">
        <f t="shared" si="152"/>
        <v>1</v>
      </c>
      <c r="F9754" s="12">
        <v>0</v>
      </c>
    </row>
    <row r="9755" spans="3:6">
      <c r="C9755" s="12"/>
      <c r="D9755" s="12"/>
      <c r="E9755" t="b">
        <f t="shared" si="152"/>
        <v>1</v>
      </c>
      <c r="F9755" s="12">
        <v>0</v>
      </c>
    </row>
    <row r="9756" spans="3:6">
      <c r="C9756" s="12"/>
      <c r="D9756" s="12"/>
      <c r="E9756" t="b">
        <f t="shared" si="152"/>
        <v>1</v>
      </c>
      <c r="F9756" s="12">
        <v>0</v>
      </c>
    </row>
    <row r="9757" spans="3:6">
      <c r="C9757" s="12"/>
      <c r="D9757" s="12"/>
      <c r="E9757" t="b">
        <f t="shared" si="152"/>
        <v>1</v>
      </c>
      <c r="F9757" s="12">
        <v>0</v>
      </c>
    </row>
    <row r="9758" spans="3:6">
      <c r="C9758" s="12"/>
      <c r="D9758" s="12"/>
      <c r="E9758" t="b">
        <f t="shared" si="152"/>
        <v>1</v>
      </c>
      <c r="F9758" s="12">
        <v>0</v>
      </c>
    </row>
    <row r="9759" spans="3:6">
      <c r="C9759" s="12"/>
      <c r="D9759" s="12"/>
      <c r="E9759" t="b">
        <f t="shared" si="152"/>
        <v>1</v>
      </c>
      <c r="F9759" s="12">
        <v>0</v>
      </c>
    </row>
    <row r="9760" spans="3:6">
      <c r="C9760" s="12"/>
      <c r="D9760" s="12"/>
      <c r="E9760" t="b">
        <f t="shared" si="152"/>
        <v>1</v>
      </c>
      <c r="F9760" s="12">
        <v>0</v>
      </c>
    </row>
    <row r="9761" spans="3:6">
      <c r="C9761" s="12"/>
      <c r="D9761" s="12"/>
      <c r="E9761" t="b">
        <f t="shared" si="152"/>
        <v>1</v>
      </c>
      <c r="F9761" s="12">
        <v>0</v>
      </c>
    </row>
    <row r="9762" spans="3:6">
      <c r="C9762" s="12"/>
      <c r="D9762" s="12"/>
      <c r="E9762" t="b">
        <f t="shared" si="152"/>
        <v>1</v>
      </c>
      <c r="F9762" s="12">
        <v>0</v>
      </c>
    </row>
    <row r="9763" spans="3:6">
      <c r="C9763" s="12"/>
      <c r="D9763" s="12"/>
      <c r="E9763" t="b">
        <f t="shared" si="152"/>
        <v>1</v>
      </c>
      <c r="F9763" s="12">
        <v>0</v>
      </c>
    </row>
    <row r="9764" spans="3:6">
      <c r="C9764" s="12"/>
      <c r="D9764" s="12"/>
      <c r="E9764" t="b">
        <f t="shared" si="152"/>
        <v>1</v>
      </c>
      <c r="F9764" s="12">
        <v>0</v>
      </c>
    </row>
    <row r="9765" spans="3:6">
      <c r="C9765" s="12"/>
      <c r="D9765" s="12"/>
      <c r="E9765" t="b">
        <f t="shared" si="152"/>
        <v>1</v>
      </c>
      <c r="F9765" s="12">
        <v>0</v>
      </c>
    </row>
    <row r="9766" spans="3:6">
      <c r="C9766" s="12"/>
      <c r="D9766" s="12"/>
      <c r="E9766" t="b">
        <f t="shared" si="152"/>
        <v>1</v>
      </c>
      <c r="F9766" s="12">
        <v>0</v>
      </c>
    </row>
    <row r="9767" spans="3:6">
      <c r="C9767" s="12"/>
      <c r="D9767" s="12"/>
      <c r="E9767" t="b">
        <f t="shared" si="152"/>
        <v>1</v>
      </c>
      <c r="F9767" s="12">
        <v>0</v>
      </c>
    </row>
    <row r="9768" spans="3:6">
      <c r="C9768" s="12"/>
      <c r="D9768" s="12"/>
      <c r="E9768" t="b">
        <f t="shared" si="152"/>
        <v>1</v>
      </c>
      <c r="F9768" s="12">
        <v>0</v>
      </c>
    </row>
    <row r="9769" spans="3:6">
      <c r="C9769" s="12"/>
      <c r="D9769" s="12"/>
      <c r="E9769" t="b">
        <f t="shared" si="152"/>
        <v>1</v>
      </c>
      <c r="F9769" s="12">
        <v>0</v>
      </c>
    </row>
    <row r="9770" spans="3:6">
      <c r="C9770" s="12"/>
      <c r="D9770" s="12"/>
      <c r="E9770" t="b">
        <f t="shared" si="152"/>
        <v>1</v>
      </c>
      <c r="F9770" s="12">
        <v>0</v>
      </c>
    </row>
    <row r="9771" spans="3:6">
      <c r="C9771" s="12"/>
      <c r="D9771" s="12"/>
      <c r="E9771" t="b">
        <f t="shared" si="152"/>
        <v>1</v>
      </c>
      <c r="F9771" s="12">
        <v>0</v>
      </c>
    </row>
    <row r="9772" spans="3:6">
      <c r="C9772" s="12"/>
      <c r="D9772" s="12"/>
      <c r="E9772" t="b">
        <f t="shared" si="152"/>
        <v>1</v>
      </c>
      <c r="F9772" s="12">
        <v>0</v>
      </c>
    </row>
    <row r="9773" spans="3:6">
      <c r="C9773" s="12"/>
      <c r="D9773" s="12"/>
      <c r="E9773" t="b">
        <f t="shared" si="152"/>
        <v>1</v>
      </c>
      <c r="F9773" s="12">
        <v>0</v>
      </c>
    </row>
    <row r="9774" spans="3:6">
      <c r="C9774" s="12"/>
      <c r="D9774" s="12"/>
      <c r="E9774" t="b">
        <f t="shared" si="152"/>
        <v>1</v>
      </c>
      <c r="F9774" s="12">
        <v>0</v>
      </c>
    </row>
    <row r="9775" spans="3:6">
      <c r="C9775" s="12"/>
      <c r="D9775" s="12"/>
      <c r="E9775" t="b">
        <f t="shared" si="152"/>
        <v>1</v>
      </c>
      <c r="F9775" s="12">
        <v>0</v>
      </c>
    </row>
    <row r="9776" spans="3:6">
      <c r="C9776" s="12"/>
      <c r="D9776" s="12"/>
      <c r="E9776" t="b">
        <f t="shared" si="152"/>
        <v>1</v>
      </c>
      <c r="F9776" s="12">
        <v>0</v>
      </c>
    </row>
    <row r="9777" spans="3:6">
      <c r="C9777" s="12"/>
      <c r="D9777" s="12"/>
      <c r="E9777" t="b">
        <f t="shared" si="152"/>
        <v>1</v>
      </c>
      <c r="F9777" s="12">
        <v>0</v>
      </c>
    </row>
    <row r="9778" spans="3:6">
      <c r="C9778" s="12"/>
      <c r="D9778" s="12"/>
      <c r="E9778" t="b">
        <f t="shared" si="152"/>
        <v>1</v>
      </c>
      <c r="F9778" s="12">
        <v>0</v>
      </c>
    </row>
    <row r="9779" spans="3:6">
      <c r="C9779" s="12"/>
      <c r="D9779" s="12"/>
      <c r="E9779" t="b">
        <f t="shared" si="152"/>
        <v>1</v>
      </c>
      <c r="F9779" s="12">
        <v>0</v>
      </c>
    </row>
    <row r="9780" spans="3:6">
      <c r="C9780" s="12"/>
      <c r="D9780" s="12"/>
      <c r="E9780" t="b">
        <f t="shared" si="152"/>
        <v>1</v>
      </c>
      <c r="F9780" s="12">
        <v>0</v>
      </c>
    </row>
    <row r="9781" spans="3:6">
      <c r="C9781" s="12"/>
      <c r="D9781" s="12"/>
      <c r="E9781" t="b">
        <f t="shared" si="152"/>
        <v>1</v>
      </c>
      <c r="F9781" s="12">
        <v>0</v>
      </c>
    </row>
    <row r="9782" spans="3:6">
      <c r="C9782" s="12"/>
      <c r="D9782" s="12"/>
      <c r="E9782" t="b">
        <f t="shared" si="152"/>
        <v>1</v>
      </c>
      <c r="F9782" s="12">
        <v>0</v>
      </c>
    </row>
    <row r="9783" spans="3:6">
      <c r="C9783" s="12"/>
      <c r="D9783" s="12"/>
      <c r="E9783" t="b">
        <f t="shared" si="152"/>
        <v>1</v>
      </c>
      <c r="F9783" s="12">
        <v>0</v>
      </c>
    </row>
    <row r="9784" spans="3:6">
      <c r="C9784" s="12"/>
      <c r="D9784" s="12"/>
      <c r="E9784" t="b">
        <f t="shared" si="152"/>
        <v>1</v>
      </c>
      <c r="F9784" s="12">
        <v>0</v>
      </c>
    </row>
    <row r="9785" spans="3:6">
      <c r="C9785" s="12"/>
      <c r="D9785" s="12"/>
      <c r="E9785" t="b">
        <f t="shared" si="152"/>
        <v>1</v>
      </c>
      <c r="F9785" s="12">
        <v>0</v>
      </c>
    </row>
    <row r="9786" spans="3:6">
      <c r="C9786" s="12"/>
      <c r="D9786" s="12"/>
      <c r="E9786" t="b">
        <f t="shared" si="152"/>
        <v>1</v>
      </c>
      <c r="F9786" s="12">
        <v>0</v>
      </c>
    </row>
    <row r="9787" spans="3:6">
      <c r="C9787" s="12"/>
      <c r="D9787" s="12"/>
      <c r="E9787" t="b">
        <f t="shared" si="152"/>
        <v>1</v>
      </c>
      <c r="F9787" s="12">
        <v>0</v>
      </c>
    </row>
    <row r="9788" spans="3:6">
      <c r="C9788" s="12"/>
      <c r="D9788" s="12"/>
      <c r="E9788" t="b">
        <f t="shared" si="152"/>
        <v>1</v>
      </c>
      <c r="F9788" s="12">
        <v>0</v>
      </c>
    </row>
    <row r="9789" spans="3:6">
      <c r="C9789" s="12"/>
      <c r="D9789" s="12"/>
      <c r="E9789" t="b">
        <f t="shared" si="152"/>
        <v>1</v>
      </c>
      <c r="F9789" s="12">
        <v>0</v>
      </c>
    </row>
    <row r="9790" spans="3:6">
      <c r="C9790" s="12"/>
      <c r="D9790" s="12"/>
      <c r="E9790" t="b">
        <f t="shared" si="152"/>
        <v>1</v>
      </c>
      <c r="F9790" s="12">
        <v>0</v>
      </c>
    </row>
    <row r="9791" spans="3:6">
      <c r="C9791" s="12"/>
      <c r="D9791" s="12"/>
      <c r="E9791" t="b">
        <f t="shared" si="152"/>
        <v>1</v>
      </c>
      <c r="F9791" s="12">
        <v>0</v>
      </c>
    </row>
    <row r="9792" spans="3:6">
      <c r="C9792" s="12"/>
      <c r="D9792" s="12"/>
      <c r="E9792" t="b">
        <f t="shared" si="152"/>
        <v>1</v>
      </c>
      <c r="F9792" s="12">
        <v>0</v>
      </c>
    </row>
    <row r="9793" spans="3:6">
      <c r="C9793" s="12"/>
      <c r="D9793" s="12"/>
      <c r="E9793" t="b">
        <f t="shared" si="152"/>
        <v>1</v>
      </c>
      <c r="F9793" s="12">
        <v>0</v>
      </c>
    </row>
    <row r="9794" spans="3:6">
      <c r="C9794" s="12"/>
      <c r="D9794" s="12"/>
      <c r="E9794" t="b">
        <f t="shared" si="152"/>
        <v>1</v>
      </c>
      <c r="F9794" s="12">
        <v>0</v>
      </c>
    </row>
    <row r="9795" spans="3:6">
      <c r="C9795" s="12"/>
      <c r="D9795" s="12"/>
      <c r="E9795" t="b">
        <f t="shared" ref="E9795:E9858" si="153">F9795=C9795</f>
        <v>1</v>
      </c>
      <c r="F9795" s="12">
        <v>0</v>
      </c>
    </row>
    <row r="9796" spans="3:6">
      <c r="C9796" s="12"/>
      <c r="D9796" s="12"/>
      <c r="E9796" t="b">
        <f t="shared" si="153"/>
        <v>1</v>
      </c>
      <c r="F9796" s="12">
        <v>0</v>
      </c>
    </row>
    <row r="9797" spans="3:6">
      <c r="C9797" s="12"/>
      <c r="D9797" s="12"/>
      <c r="E9797" t="b">
        <f t="shared" si="153"/>
        <v>1</v>
      </c>
      <c r="F9797" s="12">
        <v>0</v>
      </c>
    </row>
    <row r="9798" spans="3:6">
      <c r="C9798" s="12"/>
      <c r="D9798" s="12"/>
      <c r="E9798" t="b">
        <f t="shared" si="153"/>
        <v>1</v>
      </c>
      <c r="F9798" s="12">
        <v>0</v>
      </c>
    </row>
    <row r="9799" spans="3:6">
      <c r="C9799" s="12"/>
      <c r="D9799" s="12"/>
      <c r="E9799" t="b">
        <f t="shared" si="153"/>
        <v>1</v>
      </c>
      <c r="F9799" s="12">
        <v>0</v>
      </c>
    </row>
    <row r="9800" spans="3:6">
      <c r="C9800" s="12"/>
      <c r="D9800" s="12"/>
      <c r="E9800" t="b">
        <f t="shared" si="153"/>
        <v>1</v>
      </c>
      <c r="F9800" s="12">
        <v>0</v>
      </c>
    </row>
    <row r="9801" spans="3:6">
      <c r="C9801" s="12"/>
      <c r="D9801" s="12"/>
      <c r="E9801" t="b">
        <f t="shared" si="153"/>
        <v>1</v>
      </c>
      <c r="F9801" s="12">
        <v>0</v>
      </c>
    </row>
    <row r="9802" spans="3:6">
      <c r="C9802" s="12"/>
      <c r="D9802" s="12"/>
      <c r="E9802" t="b">
        <f t="shared" si="153"/>
        <v>1</v>
      </c>
      <c r="F9802" s="12">
        <v>0</v>
      </c>
    </row>
    <row r="9803" spans="3:6">
      <c r="C9803" s="12"/>
      <c r="D9803" s="12"/>
      <c r="E9803" t="b">
        <f t="shared" si="153"/>
        <v>1</v>
      </c>
      <c r="F9803" s="12">
        <v>0</v>
      </c>
    </row>
    <row r="9804" spans="3:6">
      <c r="C9804" s="12"/>
      <c r="D9804" s="12"/>
      <c r="E9804" t="b">
        <f t="shared" si="153"/>
        <v>1</v>
      </c>
      <c r="F9804" s="12">
        <v>0</v>
      </c>
    </row>
    <row r="9805" spans="3:6">
      <c r="C9805" s="12"/>
      <c r="D9805" s="12"/>
      <c r="E9805" t="b">
        <f t="shared" si="153"/>
        <v>1</v>
      </c>
      <c r="F9805" s="12">
        <v>0</v>
      </c>
    </row>
    <row r="9806" spans="3:6">
      <c r="C9806" s="12"/>
      <c r="D9806" s="12"/>
      <c r="E9806" t="b">
        <f t="shared" si="153"/>
        <v>1</v>
      </c>
      <c r="F9806" s="12">
        <v>0</v>
      </c>
    </row>
    <row r="9807" spans="3:6">
      <c r="C9807" s="12"/>
      <c r="D9807" s="12"/>
      <c r="E9807" t="b">
        <f t="shared" si="153"/>
        <v>1</v>
      </c>
      <c r="F9807" s="12">
        <v>0</v>
      </c>
    </row>
    <row r="9808" spans="3:6">
      <c r="C9808" s="12"/>
      <c r="D9808" s="12"/>
      <c r="E9808" t="b">
        <f t="shared" si="153"/>
        <v>1</v>
      </c>
      <c r="F9808" s="12">
        <v>0</v>
      </c>
    </row>
    <row r="9809" spans="3:6">
      <c r="C9809" s="12"/>
      <c r="D9809" s="12"/>
      <c r="E9809" t="b">
        <f t="shared" si="153"/>
        <v>1</v>
      </c>
      <c r="F9809" s="12">
        <v>0</v>
      </c>
    </row>
    <row r="9810" spans="3:6">
      <c r="C9810" s="12"/>
      <c r="D9810" s="12"/>
      <c r="E9810" t="b">
        <f t="shared" si="153"/>
        <v>1</v>
      </c>
      <c r="F9810" s="12">
        <v>0</v>
      </c>
    </row>
    <row r="9811" spans="3:6">
      <c r="C9811" s="12"/>
      <c r="D9811" s="12"/>
      <c r="E9811" t="b">
        <f t="shared" si="153"/>
        <v>1</v>
      </c>
      <c r="F9811" s="12">
        <v>0</v>
      </c>
    </row>
    <row r="9812" spans="3:6">
      <c r="C9812" s="12"/>
      <c r="D9812" s="12"/>
      <c r="E9812" t="b">
        <f t="shared" si="153"/>
        <v>1</v>
      </c>
      <c r="F9812" s="12">
        <v>0</v>
      </c>
    </row>
    <row r="9813" spans="3:6">
      <c r="C9813" s="12"/>
      <c r="D9813" s="12"/>
      <c r="E9813" t="b">
        <f t="shared" si="153"/>
        <v>1</v>
      </c>
      <c r="F9813" s="12">
        <v>0</v>
      </c>
    </row>
    <row r="9814" spans="3:6">
      <c r="C9814" s="12"/>
      <c r="D9814" s="12"/>
      <c r="E9814" t="b">
        <f t="shared" si="153"/>
        <v>1</v>
      </c>
      <c r="F9814" s="12">
        <v>0</v>
      </c>
    </row>
    <row r="9815" spans="3:6">
      <c r="C9815" s="12"/>
      <c r="D9815" s="12"/>
      <c r="E9815" t="b">
        <f t="shared" si="153"/>
        <v>1</v>
      </c>
      <c r="F9815" s="12">
        <v>0</v>
      </c>
    </row>
    <row r="9816" spans="3:6">
      <c r="C9816" s="12"/>
      <c r="D9816" s="12"/>
      <c r="E9816" t="b">
        <f t="shared" si="153"/>
        <v>1</v>
      </c>
      <c r="F9816" s="12">
        <v>0</v>
      </c>
    </row>
    <row r="9817" spans="3:6">
      <c r="C9817" s="12"/>
      <c r="D9817" s="12"/>
      <c r="E9817" t="b">
        <f t="shared" si="153"/>
        <v>1</v>
      </c>
      <c r="F9817" s="12">
        <v>0</v>
      </c>
    </row>
    <row r="9818" spans="3:6">
      <c r="C9818" s="12"/>
      <c r="D9818" s="12"/>
      <c r="E9818" t="b">
        <f t="shared" si="153"/>
        <v>1</v>
      </c>
      <c r="F9818" s="12">
        <v>0</v>
      </c>
    </row>
    <row r="9819" spans="3:6">
      <c r="C9819" s="12"/>
      <c r="D9819" s="12"/>
      <c r="E9819" t="b">
        <f t="shared" si="153"/>
        <v>1</v>
      </c>
      <c r="F9819" s="12">
        <v>0</v>
      </c>
    </row>
    <row r="9820" spans="3:6">
      <c r="C9820" s="12"/>
      <c r="D9820" s="12"/>
      <c r="E9820" t="b">
        <f t="shared" si="153"/>
        <v>1</v>
      </c>
      <c r="F9820" s="12">
        <v>0</v>
      </c>
    </row>
    <row r="9821" spans="3:6">
      <c r="C9821" s="12"/>
      <c r="D9821" s="12"/>
      <c r="E9821" t="b">
        <f t="shared" si="153"/>
        <v>1</v>
      </c>
      <c r="F9821" s="12">
        <v>0</v>
      </c>
    </row>
    <row r="9822" spans="3:6">
      <c r="C9822" s="12"/>
      <c r="D9822" s="12"/>
      <c r="E9822" t="b">
        <f t="shared" si="153"/>
        <v>1</v>
      </c>
      <c r="F9822" s="12">
        <v>0</v>
      </c>
    </row>
    <row r="9823" spans="3:6">
      <c r="C9823" s="12"/>
      <c r="D9823" s="12"/>
      <c r="E9823" t="b">
        <f t="shared" si="153"/>
        <v>1</v>
      </c>
      <c r="F9823" s="12">
        <v>0</v>
      </c>
    </row>
    <row r="9824" spans="3:6">
      <c r="C9824" s="12"/>
      <c r="D9824" s="12"/>
      <c r="E9824" t="b">
        <f t="shared" si="153"/>
        <v>1</v>
      </c>
      <c r="F9824" s="12">
        <v>0</v>
      </c>
    </row>
    <row r="9825" spans="3:6">
      <c r="C9825" s="12"/>
      <c r="D9825" s="12"/>
      <c r="E9825" t="b">
        <f t="shared" si="153"/>
        <v>1</v>
      </c>
      <c r="F9825" s="12">
        <v>0</v>
      </c>
    </row>
    <row r="9826" spans="3:6">
      <c r="C9826" s="12"/>
      <c r="D9826" s="12"/>
      <c r="E9826" t="b">
        <f t="shared" si="153"/>
        <v>1</v>
      </c>
      <c r="F9826" s="12">
        <v>0</v>
      </c>
    </row>
    <row r="9827" spans="3:6">
      <c r="C9827" s="12"/>
      <c r="D9827" s="12"/>
      <c r="E9827" t="b">
        <f t="shared" si="153"/>
        <v>1</v>
      </c>
      <c r="F9827" s="12">
        <v>0</v>
      </c>
    </row>
    <row r="9828" spans="3:6">
      <c r="C9828" s="12"/>
      <c r="D9828" s="12"/>
      <c r="E9828" t="b">
        <f t="shared" si="153"/>
        <v>1</v>
      </c>
      <c r="F9828" s="12">
        <v>0</v>
      </c>
    </row>
    <row r="9829" spans="3:6">
      <c r="C9829" s="12"/>
      <c r="D9829" s="12"/>
      <c r="E9829" t="b">
        <f t="shared" si="153"/>
        <v>1</v>
      </c>
      <c r="F9829" s="12">
        <v>0</v>
      </c>
    </row>
    <row r="9830" spans="3:6">
      <c r="C9830" s="12"/>
      <c r="D9830" s="12"/>
      <c r="E9830" t="b">
        <f t="shared" si="153"/>
        <v>1</v>
      </c>
      <c r="F9830" s="12">
        <v>0</v>
      </c>
    </row>
    <row r="9831" spans="3:6">
      <c r="C9831" s="12"/>
      <c r="D9831" s="12"/>
      <c r="E9831" t="b">
        <f t="shared" si="153"/>
        <v>1</v>
      </c>
      <c r="F9831" s="12">
        <v>0</v>
      </c>
    </row>
    <row r="9832" spans="3:6">
      <c r="C9832" s="12"/>
      <c r="D9832" s="12"/>
      <c r="E9832" t="b">
        <f t="shared" si="153"/>
        <v>1</v>
      </c>
      <c r="F9832" s="12">
        <v>0</v>
      </c>
    </row>
    <row r="9833" spans="3:6">
      <c r="C9833" s="12"/>
      <c r="D9833" s="12"/>
      <c r="E9833" t="b">
        <f t="shared" si="153"/>
        <v>1</v>
      </c>
      <c r="F9833" s="12">
        <v>0</v>
      </c>
    </row>
    <row r="9834" spans="3:6">
      <c r="C9834" s="12"/>
      <c r="D9834" s="12"/>
      <c r="E9834" t="b">
        <f t="shared" si="153"/>
        <v>1</v>
      </c>
      <c r="F9834" s="12">
        <v>0</v>
      </c>
    </row>
    <row r="9835" spans="3:6">
      <c r="C9835" s="12"/>
      <c r="D9835" s="12"/>
      <c r="E9835" t="b">
        <f t="shared" si="153"/>
        <v>1</v>
      </c>
      <c r="F9835" s="12">
        <v>0</v>
      </c>
    </row>
    <row r="9836" spans="3:6">
      <c r="C9836" s="12"/>
      <c r="D9836" s="12"/>
      <c r="E9836" t="b">
        <f t="shared" si="153"/>
        <v>1</v>
      </c>
      <c r="F9836" s="12">
        <v>0</v>
      </c>
    </row>
    <row r="9837" spans="3:6">
      <c r="C9837" s="12"/>
      <c r="D9837" s="12"/>
      <c r="E9837" t="b">
        <f t="shared" si="153"/>
        <v>1</v>
      </c>
      <c r="F9837" s="12">
        <v>0</v>
      </c>
    </row>
    <row r="9838" spans="3:6">
      <c r="C9838" s="12"/>
      <c r="D9838" s="12"/>
      <c r="E9838" t="b">
        <f t="shared" si="153"/>
        <v>1</v>
      </c>
      <c r="F9838" s="12">
        <v>0</v>
      </c>
    </row>
    <row r="9839" spans="3:6">
      <c r="C9839" s="12"/>
      <c r="D9839" s="12"/>
      <c r="E9839" t="b">
        <f t="shared" si="153"/>
        <v>1</v>
      </c>
      <c r="F9839" s="12">
        <v>0</v>
      </c>
    </row>
    <row r="9840" spans="3:6">
      <c r="C9840" s="12"/>
      <c r="D9840" s="12"/>
      <c r="E9840" t="b">
        <f t="shared" si="153"/>
        <v>1</v>
      </c>
      <c r="F9840" s="12">
        <v>0</v>
      </c>
    </row>
    <row r="9841" spans="3:6">
      <c r="C9841" s="12"/>
      <c r="D9841" s="12"/>
      <c r="E9841" t="b">
        <f t="shared" si="153"/>
        <v>1</v>
      </c>
      <c r="F9841" s="12">
        <v>0</v>
      </c>
    </row>
    <row r="9842" spans="3:6">
      <c r="C9842" s="12"/>
      <c r="D9842" s="12"/>
      <c r="E9842" t="b">
        <f t="shared" si="153"/>
        <v>1</v>
      </c>
      <c r="F9842" s="12">
        <v>0</v>
      </c>
    </row>
    <row r="9843" spans="3:6">
      <c r="C9843" s="12"/>
      <c r="D9843" s="12"/>
      <c r="E9843" t="b">
        <f t="shared" si="153"/>
        <v>1</v>
      </c>
      <c r="F9843" s="12">
        <v>0</v>
      </c>
    </row>
    <row r="9844" spans="3:6">
      <c r="C9844" s="12"/>
      <c r="D9844" s="12"/>
      <c r="E9844" t="b">
        <f t="shared" si="153"/>
        <v>1</v>
      </c>
      <c r="F9844" s="12">
        <v>0</v>
      </c>
    </row>
    <row r="9845" spans="3:6">
      <c r="C9845" s="12"/>
      <c r="D9845" s="12"/>
      <c r="E9845" t="b">
        <f t="shared" si="153"/>
        <v>1</v>
      </c>
      <c r="F9845" s="12">
        <v>0</v>
      </c>
    </row>
    <row r="9846" spans="3:6">
      <c r="C9846" s="12"/>
      <c r="D9846" s="12"/>
      <c r="E9846" t="b">
        <f t="shared" si="153"/>
        <v>1</v>
      </c>
      <c r="F9846" s="12">
        <v>0</v>
      </c>
    </row>
    <row r="9847" spans="3:6">
      <c r="C9847" s="12"/>
      <c r="D9847" s="12"/>
      <c r="E9847" t="b">
        <f t="shared" si="153"/>
        <v>1</v>
      </c>
      <c r="F9847" s="12">
        <v>0</v>
      </c>
    </row>
    <row r="9848" spans="3:6">
      <c r="C9848" s="12"/>
      <c r="D9848" s="12"/>
      <c r="E9848" t="b">
        <f t="shared" si="153"/>
        <v>1</v>
      </c>
      <c r="F9848" s="12">
        <v>0</v>
      </c>
    </row>
    <row r="9849" spans="3:6">
      <c r="C9849" s="12"/>
      <c r="D9849" s="12"/>
      <c r="E9849" t="b">
        <f t="shared" si="153"/>
        <v>1</v>
      </c>
      <c r="F9849" s="12">
        <v>0</v>
      </c>
    </row>
    <row r="9850" spans="3:6">
      <c r="C9850" s="12"/>
      <c r="D9850" s="12"/>
      <c r="E9850" t="b">
        <f t="shared" si="153"/>
        <v>1</v>
      </c>
      <c r="F9850" s="12">
        <v>0</v>
      </c>
    </row>
    <row r="9851" spans="3:6">
      <c r="C9851" s="12"/>
      <c r="D9851" s="12"/>
      <c r="E9851" t="b">
        <f t="shared" si="153"/>
        <v>1</v>
      </c>
      <c r="F9851" s="12">
        <v>0</v>
      </c>
    </row>
    <row r="9852" spans="3:6">
      <c r="C9852" s="12"/>
      <c r="D9852" s="12"/>
      <c r="E9852" t="b">
        <f t="shared" si="153"/>
        <v>1</v>
      </c>
      <c r="F9852" s="12">
        <v>0</v>
      </c>
    </row>
    <row r="9853" spans="3:6">
      <c r="C9853" s="12"/>
      <c r="D9853" s="12"/>
      <c r="E9853" t="b">
        <f t="shared" si="153"/>
        <v>1</v>
      </c>
      <c r="F9853" s="12">
        <v>0</v>
      </c>
    </row>
    <row r="9854" spans="3:6">
      <c r="C9854" s="12"/>
      <c r="D9854" s="12"/>
      <c r="E9854" t="b">
        <f t="shared" si="153"/>
        <v>1</v>
      </c>
      <c r="F9854" s="12">
        <v>0</v>
      </c>
    </row>
    <row r="9855" spans="3:6">
      <c r="C9855" s="12"/>
      <c r="D9855" s="12"/>
      <c r="E9855" t="b">
        <f t="shared" si="153"/>
        <v>1</v>
      </c>
      <c r="F9855" s="12">
        <v>0</v>
      </c>
    </row>
    <row r="9856" spans="3:6">
      <c r="C9856" s="12"/>
      <c r="D9856" s="12"/>
      <c r="E9856" t="b">
        <f t="shared" si="153"/>
        <v>1</v>
      </c>
      <c r="F9856" s="12">
        <v>0</v>
      </c>
    </row>
    <row r="9857" spans="3:6">
      <c r="C9857" s="12"/>
      <c r="D9857" s="12"/>
      <c r="E9857" t="b">
        <f t="shared" si="153"/>
        <v>1</v>
      </c>
      <c r="F9857" s="12">
        <v>0</v>
      </c>
    </row>
    <row r="9858" spans="3:6">
      <c r="C9858" s="12"/>
      <c r="D9858" s="12"/>
      <c r="E9858" t="b">
        <f t="shared" si="153"/>
        <v>1</v>
      </c>
      <c r="F9858" s="12">
        <v>0</v>
      </c>
    </row>
    <row r="9859" spans="3:6">
      <c r="C9859" s="12"/>
      <c r="D9859" s="12"/>
      <c r="E9859" t="b">
        <f t="shared" ref="E9859:E9922" si="154">F9859=C9859</f>
        <v>1</v>
      </c>
      <c r="F9859" s="12">
        <v>0</v>
      </c>
    </row>
    <row r="9860" spans="3:6">
      <c r="C9860" s="12"/>
      <c r="D9860" s="12"/>
      <c r="E9860" t="b">
        <f t="shared" si="154"/>
        <v>1</v>
      </c>
      <c r="F9860" s="12">
        <v>0</v>
      </c>
    </row>
    <row r="9861" spans="3:6">
      <c r="C9861" s="12"/>
      <c r="D9861" s="12"/>
      <c r="E9861" t="b">
        <f t="shared" si="154"/>
        <v>1</v>
      </c>
      <c r="F9861" s="12">
        <v>0</v>
      </c>
    </row>
    <row r="9862" spans="3:6">
      <c r="C9862" s="12"/>
      <c r="D9862" s="12"/>
      <c r="E9862" t="b">
        <f t="shared" si="154"/>
        <v>1</v>
      </c>
      <c r="F9862" s="12">
        <v>0</v>
      </c>
    </row>
    <row r="9863" spans="3:6">
      <c r="C9863" s="12"/>
      <c r="D9863" s="12"/>
      <c r="E9863" t="b">
        <f t="shared" si="154"/>
        <v>1</v>
      </c>
      <c r="F9863" s="12">
        <v>0</v>
      </c>
    </row>
    <row r="9864" spans="3:6">
      <c r="C9864" s="12"/>
      <c r="D9864" s="12"/>
      <c r="E9864" t="b">
        <f t="shared" si="154"/>
        <v>1</v>
      </c>
      <c r="F9864" s="12">
        <v>0</v>
      </c>
    </row>
    <row r="9865" spans="3:6">
      <c r="C9865" s="12"/>
      <c r="D9865" s="12"/>
      <c r="E9865" t="b">
        <f t="shared" si="154"/>
        <v>1</v>
      </c>
      <c r="F9865" s="12">
        <v>0</v>
      </c>
    </row>
    <row r="9866" spans="3:6">
      <c r="C9866" s="12"/>
      <c r="D9866" s="12"/>
      <c r="E9866" t="b">
        <f t="shared" si="154"/>
        <v>1</v>
      </c>
      <c r="F9866" s="12">
        <v>0</v>
      </c>
    </row>
    <row r="9867" spans="3:6">
      <c r="C9867" s="12"/>
      <c r="D9867" s="12"/>
      <c r="E9867" t="b">
        <f t="shared" si="154"/>
        <v>1</v>
      </c>
      <c r="F9867" s="12">
        <v>0</v>
      </c>
    </row>
    <row r="9868" spans="3:6">
      <c r="C9868" s="12"/>
      <c r="D9868" s="12"/>
      <c r="E9868" t="b">
        <f t="shared" si="154"/>
        <v>1</v>
      </c>
      <c r="F9868" s="12">
        <v>0</v>
      </c>
    </row>
    <row r="9869" spans="3:6">
      <c r="C9869" s="12"/>
      <c r="D9869" s="12"/>
      <c r="E9869" t="b">
        <f t="shared" si="154"/>
        <v>1</v>
      </c>
      <c r="F9869" s="12">
        <v>0</v>
      </c>
    </row>
    <row r="9870" spans="3:6">
      <c r="C9870" s="12"/>
      <c r="D9870" s="12"/>
      <c r="E9870" t="b">
        <f t="shared" si="154"/>
        <v>1</v>
      </c>
      <c r="F9870" s="12">
        <v>0</v>
      </c>
    </row>
    <row r="9871" spans="3:6">
      <c r="C9871" s="12"/>
      <c r="D9871" s="12"/>
      <c r="E9871" t="b">
        <f t="shared" si="154"/>
        <v>1</v>
      </c>
      <c r="F9871" s="12">
        <v>0</v>
      </c>
    </row>
    <row r="9872" spans="3:6">
      <c r="C9872" s="12"/>
      <c r="D9872" s="12"/>
      <c r="E9872" t="b">
        <f t="shared" si="154"/>
        <v>1</v>
      </c>
      <c r="F9872" s="12">
        <v>0</v>
      </c>
    </row>
    <row r="9873" spans="3:6">
      <c r="C9873" s="12"/>
      <c r="D9873" s="12"/>
      <c r="E9873" t="b">
        <f t="shared" si="154"/>
        <v>1</v>
      </c>
      <c r="F9873" s="12">
        <v>0</v>
      </c>
    </row>
    <row r="9874" spans="3:6">
      <c r="C9874" s="12"/>
      <c r="D9874" s="12"/>
      <c r="E9874" t="b">
        <f t="shared" si="154"/>
        <v>1</v>
      </c>
      <c r="F9874" s="12">
        <v>0</v>
      </c>
    </row>
    <row r="9875" spans="3:6">
      <c r="C9875" s="12"/>
      <c r="D9875" s="12"/>
      <c r="E9875" t="b">
        <f t="shared" si="154"/>
        <v>1</v>
      </c>
      <c r="F9875" s="12">
        <v>0</v>
      </c>
    </row>
    <row r="9876" spans="3:6">
      <c r="C9876" s="12"/>
      <c r="D9876" s="12"/>
      <c r="E9876" t="b">
        <f t="shared" si="154"/>
        <v>1</v>
      </c>
      <c r="F9876" s="12">
        <v>0</v>
      </c>
    </row>
    <row r="9877" spans="3:6">
      <c r="C9877" s="12"/>
      <c r="D9877" s="12"/>
      <c r="E9877" t="b">
        <f t="shared" si="154"/>
        <v>1</v>
      </c>
      <c r="F9877" s="12">
        <v>0</v>
      </c>
    </row>
    <row r="9878" spans="3:6">
      <c r="C9878" s="12"/>
      <c r="D9878" s="12"/>
      <c r="E9878" t="b">
        <f t="shared" si="154"/>
        <v>1</v>
      </c>
      <c r="F9878" s="12">
        <v>0</v>
      </c>
    </row>
    <row r="9879" spans="3:6">
      <c r="C9879" s="12"/>
      <c r="D9879" s="12"/>
      <c r="E9879" t="b">
        <f t="shared" si="154"/>
        <v>1</v>
      </c>
      <c r="F9879" s="12">
        <v>0</v>
      </c>
    </row>
    <row r="9880" spans="3:6">
      <c r="C9880" s="12"/>
      <c r="D9880" s="12"/>
      <c r="E9880" t="b">
        <f t="shared" si="154"/>
        <v>1</v>
      </c>
      <c r="F9880" s="12">
        <v>0</v>
      </c>
    </row>
    <row r="9881" spans="3:6">
      <c r="C9881" s="12"/>
      <c r="D9881" s="12"/>
      <c r="E9881" t="b">
        <f t="shared" si="154"/>
        <v>1</v>
      </c>
      <c r="F9881" s="12">
        <v>0</v>
      </c>
    </row>
    <row r="9882" spans="3:6">
      <c r="C9882" s="12"/>
      <c r="D9882" s="12"/>
      <c r="E9882" t="b">
        <f t="shared" si="154"/>
        <v>1</v>
      </c>
      <c r="F9882" s="12">
        <v>0</v>
      </c>
    </row>
    <row r="9883" spans="3:6">
      <c r="C9883" s="12"/>
      <c r="D9883" s="12"/>
      <c r="E9883" t="b">
        <f t="shared" si="154"/>
        <v>1</v>
      </c>
      <c r="F9883" s="12">
        <v>0</v>
      </c>
    </row>
    <row r="9884" spans="3:6">
      <c r="C9884" s="12"/>
      <c r="D9884" s="12"/>
      <c r="E9884" t="b">
        <f t="shared" si="154"/>
        <v>1</v>
      </c>
      <c r="F9884" s="12">
        <v>0</v>
      </c>
    </row>
    <row r="9885" spans="3:6">
      <c r="C9885" s="12"/>
      <c r="D9885" s="12"/>
      <c r="E9885" t="b">
        <f t="shared" si="154"/>
        <v>1</v>
      </c>
      <c r="F9885" s="12">
        <v>0</v>
      </c>
    </row>
    <row r="9886" spans="3:6">
      <c r="C9886" s="12"/>
      <c r="D9886" s="12"/>
      <c r="E9886" t="b">
        <f t="shared" si="154"/>
        <v>1</v>
      </c>
      <c r="F9886" s="12">
        <v>0</v>
      </c>
    </row>
    <row r="9887" spans="3:6">
      <c r="C9887" s="12"/>
      <c r="D9887" s="12"/>
      <c r="E9887" t="b">
        <f t="shared" si="154"/>
        <v>1</v>
      </c>
      <c r="F9887" s="12">
        <v>0</v>
      </c>
    </row>
    <row r="9888" spans="3:6">
      <c r="C9888" s="12"/>
      <c r="D9888" s="12"/>
      <c r="E9888" t="b">
        <f t="shared" si="154"/>
        <v>1</v>
      </c>
      <c r="F9888" s="12">
        <v>0</v>
      </c>
    </row>
    <row r="9889" spans="3:6">
      <c r="C9889" s="12"/>
      <c r="D9889" s="12"/>
      <c r="E9889" t="b">
        <f t="shared" si="154"/>
        <v>1</v>
      </c>
      <c r="F9889" s="12">
        <v>0</v>
      </c>
    </row>
    <row r="9890" spans="3:6">
      <c r="C9890" s="12"/>
      <c r="D9890" s="12"/>
      <c r="E9890" t="b">
        <f t="shared" si="154"/>
        <v>1</v>
      </c>
      <c r="F9890" s="12">
        <v>0</v>
      </c>
    </row>
    <row r="9891" spans="3:6">
      <c r="C9891" s="12"/>
      <c r="D9891" s="12"/>
      <c r="E9891" t="b">
        <f t="shared" si="154"/>
        <v>1</v>
      </c>
      <c r="F9891" s="12">
        <v>0</v>
      </c>
    </row>
    <row r="9892" spans="3:6">
      <c r="C9892" s="12"/>
      <c r="D9892" s="12"/>
      <c r="E9892" t="b">
        <f t="shared" si="154"/>
        <v>1</v>
      </c>
      <c r="F9892" s="12">
        <v>0</v>
      </c>
    </row>
    <row r="9893" spans="3:6">
      <c r="C9893" s="12"/>
      <c r="D9893" s="12"/>
      <c r="E9893" t="b">
        <f t="shared" si="154"/>
        <v>1</v>
      </c>
      <c r="F9893" s="12">
        <v>0</v>
      </c>
    </row>
    <row r="9894" spans="3:6">
      <c r="C9894" s="12"/>
      <c r="D9894" s="12"/>
      <c r="E9894" t="b">
        <f t="shared" si="154"/>
        <v>1</v>
      </c>
      <c r="F9894" s="12">
        <v>0</v>
      </c>
    </row>
    <row r="9895" spans="3:6">
      <c r="C9895" s="12"/>
      <c r="D9895" s="12"/>
      <c r="E9895" t="b">
        <f t="shared" si="154"/>
        <v>1</v>
      </c>
      <c r="F9895" s="12">
        <v>0</v>
      </c>
    </row>
    <row r="9896" spans="3:6">
      <c r="C9896" s="12"/>
      <c r="D9896" s="12"/>
      <c r="E9896" t="b">
        <f t="shared" si="154"/>
        <v>1</v>
      </c>
      <c r="F9896" s="12">
        <v>0</v>
      </c>
    </row>
    <row r="9897" spans="3:6">
      <c r="C9897" s="12"/>
      <c r="D9897" s="12"/>
      <c r="E9897" t="b">
        <f t="shared" si="154"/>
        <v>1</v>
      </c>
      <c r="F9897" s="12">
        <v>0</v>
      </c>
    </row>
    <row r="9898" spans="3:6">
      <c r="C9898" s="12"/>
      <c r="D9898" s="12"/>
      <c r="E9898" t="b">
        <f t="shared" si="154"/>
        <v>1</v>
      </c>
      <c r="F9898" s="12">
        <v>0</v>
      </c>
    </row>
    <row r="9899" spans="3:6">
      <c r="C9899" s="12"/>
      <c r="D9899" s="12"/>
      <c r="E9899" t="b">
        <f t="shared" si="154"/>
        <v>1</v>
      </c>
      <c r="F9899" s="12">
        <v>0</v>
      </c>
    </row>
    <row r="9900" spans="3:6">
      <c r="C9900" s="12"/>
      <c r="D9900" s="12"/>
      <c r="E9900" t="b">
        <f t="shared" si="154"/>
        <v>1</v>
      </c>
      <c r="F9900" s="12">
        <v>0</v>
      </c>
    </row>
    <row r="9901" spans="3:6">
      <c r="C9901" s="12"/>
      <c r="D9901" s="12"/>
      <c r="E9901" t="b">
        <f t="shared" si="154"/>
        <v>1</v>
      </c>
      <c r="F9901" s="12">
        <v>0</v>
      </c>
    </row>
    <row r="9902" spans="3:6">
      <c r="C9902" s="12"/>
      <c r="D9902" s="12"/>
      <c r="E9902" t="b">
        <f t="shared" si="154"/>
        <v>1</v>
      </c>
      <c r="F9902" s="12">
        <v>0</v>
      </c>
    </row>
    <row r="9903" spans="3:6">
      <c r="C9903" s="12"/>
      <c r="D9903" s="12"/>
      <c r="E9903" t="b">
        <f t="shared" si="154"/>
        <v>1</v>
      </c>
      <c r="F9903" s="12">
        <v>0</v>
      </c>
    </row>
    <row r="9904" spans="3:6">
      <c r="C9904" s="12"/>
      <c r="D9904" s="12"/>
      <c r="E9904" t="b">
        <f t="shared" si="154"/>
        <v>1</v>
      </c>
      <c r="F9904" s="12">
        <v>0</v>
      </c>
    </row>
    <row r="9905" spans="3:6">
      <c r="C9905" s="12"/>
      <c r="D9905" s="12"/>
      <c r="E9905" t="b">
        <f t="shared" si="154"/>
        <v>1</v>
      </c>
      <c r="F9905" s="12">
        <v>0</v>
      </c>
    </row>
    <row r="9906" spans="3:6">
      <c r="C9906" s="12"/>
      <c r="D9906" s="12"/>
      <c r="E9906" t="b">
        <f t="shared" si="154"/>
        <v>1</v>
      </c>
      <c r="F9906" s="12">
        <v>0</v>
      </c>
    </row>
    <row r="9907" spans="3:6">
      <c r="C9907" s="12"/>
      <c r="D9907" s="12"/>
      <c r="E9907" t="b">
        <f t="shared" si="154"/>
        <v>1</v>
      </c>
      <c r="F9907" s="12">
        <v>0</v>
      </c>
    </row>
    <row r="9908" spans="3:6">
      <c r="C9908" s="12"/>
      <c r="D9908" s="12"/>
      <c r="E9908" t="b">
        <f t="shared" si="154"/>
        <v>1</v>
      </c>
      <c r="F9908" s="12">
        <v>0</v>
      </c>
    </row>
    <row r="9909" spans="3:6">
      <c r="C9909" s="12"/>
      <c r="D9909" s="12"/>
      <c r="E9909" t="b">
        <f t="shared" si="154"/>
        <v>1</v>
      </c>
      <c r="F9909" s="12">
        <v>0</v>
      </c>
    </row>
    <row r="9910" spans="3:6">
      <c r="C9910" s="12"/>
      <c r="D9910" s="12"/>
      <c r="E9910" t="b">
        <f t="shared" si="154"/>
        <v>1</v>
      </c>
      <c r="F9910" s="12">
        <v>0</v>
      </c>
    </row>
    <row r="9911" spans="3:6">
      <c r="C9911" s="12"/>
      <c r="D9911" s="12"/>
      <c r="E9911" t="b">
        <f t="shared" si="154"/>
        <v>1</v>
      </c>
      <c r="F9911" s="12">
        <v>0</v>
      </c>
    </row>
    <row r="9912" spans="3:6">
      <c r="C9912" s="12"/>
      <c r="D9912" s="12"/>
      <c r="E9912" t="b">
        <f t="shared" si="154"/>
        <v>1</v>
      </c>
      <c r="F9912" s="12">
        <v>0</v>
      </c>
    </row>
    <row r="9913" spans="3:6">
      <c r="C9913" s="12"/>
      <c r="D9913" s="12"/>
      <c r="E9913" t="b">
        <f t="shared" si="154"/>
        <v>1</v>
      </c>
      <c r="F9913" s="12">
        <v>0</v>
      </c>
    </row>
    <row r="9914" spans="3:6">
      <c r="C9914" s="12"/>
      <c r="D9914" s="12"/>
      <c r="E9914" t="b">
        <f t="shared" si="154"/>
        <v>1</v>
      </c>
      <c r="F9914" s="12">
        <v>0</v>
      </c>
    </row>
    <row r="9915" spans="3:6">
      <c r="C9915" s="12"/>
      <c r="D9915" s="12"/>
      <c r="E9915" t="b">
        <f t="shared" si="154"/>
        <v>1</v>
      </c>
      <c r="F9915" s="12">
        <v>0</v>
      </c>
    </row>
    <row r="9916" spans="3:6">
      <c r="C9916" s="12"/>
      <c r="D9916" s="12"/>
      <c r="E9916" t="b">
        <f t="shared" si="154"/>
        <v>1</v>
      </c>
      <c r="F9916" s="12">
        <v>0</v>
      </c>
    </row>
    <row r="9917" spans="3:6">
      <c r="C9917" s="12"/>
      <c r="D9917" s="12"/>
      <c r="E9917" t="b">
        <f t="shared" si="154"/>
        <v>1</v>
      </c>
      <c r="F9917" s="12">
        <v>0</v>
      </c>
    </row>
    <row r="9918" spans="3:6">
      <c r="C9918" s="12"/>
      <c r="D9918" s="12"/>
      <c r="E9918" t="b">
        <f t="shared" si="154"/>
        <v>1</v>
      </c>
      <c r="F9918" s="12">
        <v>0</v>
      </c>
    </row>
    <row r="9919" spans="3:6">
      <c r="C9919" s="12"/>
      <c r="D9919" s="12"/>
      <c r="E9919" t="b">
        <f t="shared" si="154"/>
        <v>1</v>
      </c>
      <c r="F9919" s="12">
        <v>0</v>
      </c>
    </row>
    <row r="9920" spans="3:6">
      <c r="C9920" s="12"/>
      <c r="D9920" s="12"/>
      <c r="E9920" t="b">
        <f t="shared" si="154"/>
        <v>1</v>
      </c>
      <c r="F9920" s="12">
        <v>0</v>
      </c>
    </row>
    <row r="9921" spans="3:6">
      <c r="C9921" s="12"/>
      <c r="D9921" s="12"/>
      <c r="E9921" t="b">
        <f t="shared" si="154"/>
        <v>1</v>
      </c>
      <c r="F9921" s="12">
        <v>0</v>
      </c>
    </row>
    <row r="9922" spans="3:6">
      <c r="C9922" s="12"/>
      <c r="D9922" s="12"/>
      <c r="E9922" t="b">
        <f t="shared" si="154"/>
        <v>1</v>
      </c>
      <c r="F9922" s="12">
        <v>0</v>
      </c>
    </row>
    <row r="9923" spans="3:6">
      <c r="C9923" s="12"/>
      <c r="D9923" s="12"/>
      <c r="E9923" t="b">
        <f t="shared" ref="E9923:E9986" si="155">F9923=C9923</f>
        <v>1</v>
      </c>
      <c r="F9923" s="12">
        <v>0</v>
      </c>
    </row>
    <row r="9924" spans="3:6">
      <c r="C9924" s="12"/>
      <c r="D9924" s="12"/>
      <c r="E9924" t="b">
        <f t="shared" si="155"/>
        <v>1</v>
      </c>
      <c r="F9924" s="12">
        <v>0</v>
      </c>
    </row>
    <row r="9925" spans="3:6">
      <c r="C9925" s="12"/>
      <c r="D9925" s="12"/>
      <c r="E9925" t="b">
        <f t="shared" si="155"/>
        <v>1</v>
      </c>
      <c r="F9925" s="12">
        <v>0</v>
      </c>
    </row>
    <row r="9926" spans="3:6">
      <c r="C9926" s="12"/>
      <c r="D9926" s="12"/>
      <c r="E9926" t="b">
        <f t="shared" si="155"/>
        <v>1</v>
      </c>
      <c r="F9926" s="12">
        <v>0</v>
      </c>
    </row>
    <row r="9927" spans="3:6">
      <c r="C9927" s="12"/>
      <c r="D9927" s="12"/>
      <c r="E9927" t="b">
        <f t="shared" si="155"/>
        <v>1</v>
      </c>
      <c r="F9927" s="12">
        <v>0</v>
      </c>
    </row>
    <row r="9928" spans="3:6">
      <c r="C9928" s="12"/>
      <c r="D9928" s="12"/>
      <c r="E9928" t="b">
        <f t="shared" si="155"/>
        <v>1</v>
      </c>
      <c r="F9928" s="12">
        <v>0</v>
      </c>
    </row>
    <row r="9929" spans="3:6">
      <c r="C9929" s="12"/>
      <c r="D9929" s="12"/>
      <c r="E9929" t="b">
        <f t="shared" si="155"/>
        <v>1</v>
      </c>
      <c r="F9929" s="12">
        <v>0</v>
      </c>
    </row>
    <row r="9930" spans="3:6">
      <c r="C9930" s="12"/>
      <c r="D9930" s="12"/>
      <c r="E9930" t="b">
        <f t="shared" si="155"/>
        <v>1</v>
      </c>
      <c r="F9930" s="12">
        <v>0</v>
      </c>
    </row>
    <row r="9931" spans="3:6">
      <c r="C9931" s="12"/>
      <c r="D9931" s="12"/>
      <c r="E9931" t="b">
        <f t="shared" si="155"/>
        <v>1</v>
      </c>
      <c r="F9931" s="12">
        <v>0</v>
      </c>
    </row>
    <row r="9932" spans="3:6">
      <c r="C9932" s="12"/>
      <c r="D9932" s="12"/>
      <c r="E9932" t="b">
        <f t="shared" si="155"/>
        <v>1</v>
      </c>
      <c r="F9932" s="12">
        <v>0</v>
      </c>
    </row>
    <row r="9933" spans="3:6">
      <c r="C9933" s="12"/>
      <c r="D9933" s="12"/>
      <c r="E9933" t="b">
        <f t="shared" si="155"/>
        <v>1</v>
      </c>
      <c r="F9933" s="12">
        <v>0</v>
      </c>
    </row>
    <row r="9934" spans="3:6">
      <c r="C9934" s="12"/>
      <c r="D9934" s="12"/>
      <c r="E9934" t="b">
        <f t="shared" si="155"/>
        <v>1</v>
      </c>
      <c r="F9934" s="12">
        <v>0</v>
      </c>
    </row>
    <row r="9935" spans="3:6">
      <c r="C9935" s="12"/>
      <c r="D9935" s="12"/>
      <c r="E9935" t="b">
        <f t="shared" si="155"/>
        <v>1</v>
      </c>
      <c r="F9935" s="12">
        <v>0</v>
      </c>
    </row>
    <row r="9936" spans="3:6">
      <c r="C9936" s="12"/>
      <c r="D9936" s="12"/>
      <c r="E9936" t="b">
        <f t="shared" si="155"/>
        <v>1</v>
      </c>
      <c r="F9936" s="12">
        <v>0</v>
      </c>
    </row>
    <row r="9937" spans="3:6">
      <c r="C9937" s="12"/>
      <c r="D9937" s="12"/>
      <c r="E9937" t="b">
        <f t="shared" si="155"/>
        <v>1</v>
      </c>
      <c r="F9937" s="12">
        <v>0</v>
      </c>
    </row>
    <row r="9938" spans="3:6">
      <c r="C9938" s="12"/>
      <c r="D9938" s="12"/>
      <c r="E9938" t="b">
        <f t="shared" si="155"/>
        <v>1</v>
      </c>
      <c r="F9938" s="12">
        <v>0</v>
      </c>
    </row>
    <row r="9939" spans="3:6">
      <c r="C9939" s="12"/>
      <c r="D9939" s="12"/>
      <c r="E9939" t="b">
        <f t="shared" si="155"/>
        <v>1</v>
      </c>
      <c r="F9939" s="12">
        <v>0</v>
      </c>
    </row>
    <row r="9940" spans="3:6">
      <c r="C9940" s="12"/>
      <c r="D9940" s="12"/>
      <c r="E9940" t="b">
        <f t="shared" si="155"/>
        <v>1</v>
      </c>
      <c r="F9940" s="12">
        <v>0</v>
      </c>
    </row>
    <row r="9941" spans="3:6">
      <c r="C9941" s="12"/>
      <c r="D9941" s="12"/>
      <c r="E9941" t="b">
        <f t="shared" si="155"/>
        <v>1</v>
      </c>
      <c r="F9941" s="12">
        <v>0</v>
      </c>
    </row>
    <row r="9942" spans="3:6">
      <c r="C9942" s="12"/>
      <c r="D9942" s="12"/>
      <c r="E9942" t="b">
        <f t="shared" si="155"/>
        <v>1</v>
      </c>
      <c r="F9942" s="12">
        <v>0</v>
      </c>
    </row>
    <row r="9943" spans="3:6">
      <c r="C9943" s="12"/>
      <c r="D9943" s="12"/>
      <c r="E9943" t="b">
        <f t="shared" si="155"/>
        <v>1</v>
      </c>
      <c r="F9943" s="12">
        <v>0</v>
      </c>
    </row>
    <row r="9944" spans="3:6">
      <c r="C9944" s="12"/>
      <c r="D9944" s="12"/>
      <c r="E9944" t="b">
        <f t="shared" si="155"/>
        <v>1</v>
      </c>
      <c r="F9944" s="12">
        <v>0</v>
      </c>
    </row>
    <row r="9945" spans="3:6">
      <c r="C9945" s="12"/>
      <c r="D9945" s="12"/>
      <c r="E9945" t="b">
        <f t="shared" si="155"/>
        <v>1</v>
      </c>
      <c r="F9945" s="12">
        <v>0</v>
      </c>
    </row>
    <row r="9946" spans="3:6">
      <c r="C9946" s="12"/>
      <c r="D9946" s="12"/>
      <c r="E9946" t="b">
        <f t="shared" si="155"/>
        <v>1</v>
      </c>
      <c r="F9946" s="12">
        <v>0</v>
      </c>
    </row>
    <row r="9947" spans="3:6">
      <c r="C9947" s="12"/>
      <c r="D9947" s="12"/>
      <c r="E9947" t="b">
        <f t="shared" si="155"/>
        <v>1</v>
      </c>
      <c r="F9947" s="12">
        <v>0</v>
      </c>
    </row>
    <row r="9948" spans="3:6">
      <c r="C9948" s="12"/>
      <c r="D9948" s="12"/>
      <c r="E9948" t="b">
        <f t="shared" si="155"/>
        <v>1</v>
      </c>
      <c r="F9948" s="12">
        <v>0</v>
      </c>
    </row>
    <row r="9949" spans="3:6">
      <c r="C9949" s="12"/>
      <c r="D9949" s="12"/>
      <c r="E9949" t="b">
        <f t="shared" si="155"/>
        <v>1</v>
      </c>
      <c r="F9949" s="12">
        <v>0</v>
      </c>
    </row>
    <row r="9950" spans="3:6">
      <c r="C9950" s="12"/>
      <c r="D9950" s="12"/>
      <c r="E9950" t="b">
        <f t="shared" si="155"/>
        <v>1</v>
      </c>
      <c r="F9950" s="12">
        <v>0</v>
      </c>
    </row>
    <row r="9951" spans="3:6">
      <c r="C9951" s="12"/>
      <c r="D9951" s="12"/>
      <c r="E9951" t="b">
        <f t="shared" si="155"/>
        <v>1</v>
      </c>
      <c r="F9951" s="12">
        <v>0</v>
      </c>
    </row>
    <row r="9952" spans="3:6">
      <c r="C9952" s="12"/>
      <c r="D9952" s="12"/>
      <c r="E9952" t="b">
        <f t="shared" si="155"/>
        <v>1</v>
      </c>
      <c r="F9952" s="12">
        <v>0</v>
      </c>
    </row>
    <row r="9953" spans="3:6">
      <c r="C9953" s="12"/>
      <c r="D9953" s="12"/>
      <c r="E9953" t="b">
        <f t="shared" si="155"/>
        <v>1</v>
      </c>
      <c r="F9953" s="12">
        <v>0</v>
      </c>
    </row>
    <row r="9954" spans="3:6">
      <c r="C9954" s="12"/>
      <c r="D9954" s="12"/>
      <c r="E9954" t="b">
        <f t="shared" si="155"/>
        <v>1</v>
      </c>
      <c r="F9954" s="12">
        <v>0</v>
      </c>
    </row>
    <row r="9955" spans="3:6">
      <c r="C9955" s="12"/>
      <c r="D9955" s="12"/>
      <c r="E9955" t="b">
        <f t="shared" si="155"/>
        <v>1</v>
      </c>
      <c r="F9955" s="12">
        <v>0</v>
      </c>
    </row>
    <row r="9956" spans="3:6">
      <c r="C9956" s="12"/>
      <c r="D9956" s="12"/>
      <c r="E9956" t="b">
        <f t="shared" si="155"/>
        <v>1</v>
      </c>
      <c r="F9956" s="12">
        <v>0</v>
      </c>
    </row>
    <row r="9957" spans="3:6">
      <c r="C9957" s="12"/>
      <c r="D9957" s="12"/>
      <c r="E9957" t="b">
        <f t="shared" si="155"/>
        <v>1</v>
      </c>
      <c r="F9957" s="12">
        <v>0</v>
      </c>
    </row>
    <row r="9958" spans="3:6">
      <c r="C9958" s="12"/>
      <c r="D9958" s="12"/>
      <c r="E9958" t="b">
        <f t="shared" si="155"/>
        <v>1</v>
      </c>
      <c r="F9958" s="12">
        <v>0</v>
      </c>
    </row>
    <row r="9959" spans="3:6">
      <c r="C9959" s="12"/>
      <c r="D9959" s="12"/>
      <c r="E9959" t="b">
        <f t="shared" si="155"/>
        <v>1</v>
      </c>
      <c r="F9959" s="12">
        <v>0</v>
      </c>
    </row>
    <row r="9960" spans="3:6">
      <c r="C9960" s="12"/>
      <c r="D9960" s="12"/>
      <c r="E9960" t="b">
        <f t="shared" si="155"/>
        <v>1</v>
      </c>
      <c r="F9960" s="12">
        <v>0</v>
      </c>
    </row>
    <row r="9961" spans="3:6">
      <c r="C9961" s="12"/>
      <c r="D9961" s="12"/>
      <c r="E9961" t="b">
        <f t="shared" si="155"/>
        <v>1</v>
      </c>
      <c r="F9961" s="12">
        <v>0</v>
      </c>
    </row>
    <row r="9962" spans="3:6">
      <c r="C9962" s="12"/>
      <c r="D9962" s="12"/>
      <c r="E9962" t="b">
        <f t="shared" si="155"/>
        <v>1</v>
      </c>
      <c r="F9962" s="12">
        <v>0</v>
      </c>
    </row>
    <row r="9963" spans="3:6">
      <c r="C9963" s="12"/>
      <c r="D9963" s="12"/>
      <c r="E9963" t="b">
        <f t="shared" si="155"/>
        <v>1</v>
      </c>
      <c r="F9963" s="12">
        <v>0</v>
      </c>
    </row>
    <row r="9964" spans="3:6">
      <c r="C9964" s="12"/>
      <c r="D9964" s="12"/>
      <c r="E9964" t="b">
        <f t="shared" si="155"/>
        <v>1</v>
      </c>
      <c r="F9964" s="12">
        <v>0</v>
      </c>
    </row>
    <row r="9965" spans="3:6">
      <c r="C9965" s="12"/>
      <c r="D9965" s="12"/>
      <c r="E9965" t="b">
        <f t="shared" si="155"/>
        <v>1</v>
      </c>
      <c r="F9965" s="12">
        <v>0</v>
      </c>
    </row>
    <row r="9966" spans="3:6">
      <c r="C9966" s="12"/>
      <c r="D9966" s="12"/>
      <c r="E9966" t="b">
        <f t="shared" si="155"/>
        <v>1</v>
      </c>
      <c r="F9966" s="12">
        <v>0</v>
      </c>
    </row>
    <row r="9967" spans="3:6">
      <c r="C9967" s="12"/>
      <c r="D9967" s="12"/>
      <c r="E9967" t="b">
        <f t="shared" si="155"/>
        <v>1</v>
      </c>
      <c r="F9967" s="12">
        <v>0</v>
      </c>
    </row>
    <row r="9968" spans="3:6">
      <c r="C9968" s="12"/>
      <c r="D9968" s="12"/>
      <c r="E9968" t="b">
        <f t="shared" si="155"/>
        <v>1</v>
      </c>
      <c r="F9968" s="12">
        <v>0</v>
      </c>
    </row>
    <row r="9969" spans="3:6">
      <c r="C9969" s="12"/>
      <c r="D9969" s="12"/>
      <c r="E9969" t="b">
        <f t="shared" si="155"/>
        <v>1</v>
      </c>
      <c r="F9969" s="12">
        <v>0</v>
      </c>
    </row>
    <row r="9970" spans="3:6">
      <c r="C9970" s="12"/>
      <c r="D9970" s="12"/>
      <c r="E9970" t="b">
        <f t="shared" si="155"/>
        <v>1</v>
      </c>
      <c r="F9970" s="12">
        <v>0</v>
      </c>
    </row>
    <row r="9971" spans="3:6">
      <c r="C9971" s="12"/>
      <c r="D9971" s="12"/>
      <c r="E9971" t="b">
        <f t="shared" si="155"/>
        <v>1</v>
      </c>
      <c r="F9971" s="12">
        <v>0</v>
      </c>
    </row>
    <row r="9972" spans="3:6">
      <c r="C9972" s="12"/>
      <c r="D9972" s="12"/>
      <c r="E9972" t="b">
        <f t="shared" si="155"/>
        <v>1</v>
      </c>
      <c r="F9972" s="12">
        <v>0</v>
      </c>
    </row>
    <row r="9973" spans="3:6">
      <c r="C9973" s="12"/>
      <c r="D9973" s="12"/>
      <c r="E9973" t="b">
        <f t="shared" si="155"/>
        <v>1</v>
      </c>
      <c r="F9973" s="12">
        <v>0</v>
      </c>
    </row>
    <row r="9974" spans="3:6">
      <c r="C9974" s="12"/>
      <c r="D9974" s="12"/>
      <c r="E9974" t="b">
        <f t="shared" si="155"/>
        <v>1</v>
      </c>
      <c r="F9974" s="12">
        <v>0</v>
      </c>
    </row>
    <row r="9975" spans="3:6">
      <c r="C9975" s="12"/>
      <c r="D9975" s="12"/>
      <c r="E9975" t="b">
        <f t="shared" si="155"/>
        <v>1</v>
      </c>
      <c r="F9975" s="12">
        <v>0</v>
      </c>
    </row>
    <row r="9976" spans="3:6">
      <c r="C9976" s="12"/>
      <c r="D9976" s="12"/>
      <c r="E9976" t="b">
        <f t="shared" si="155"/>
        <v>1</v>
      </c>
      <c r="F9976" s="12">
        <v>0</v>
      </c>
    </row>
    <row r="9977" spans="3:6">
      <c r="C9977" s="12"/>
      <c r="D9977" s="12"/>
      <c r="E9977" t="b">
        <f t="shared" si="155"/>
        <v>1</v>
      </c>
      <c r="F9977" s="12">
        <v>0</v>
      </c>
    </row>
    <row r="9978" spans="3:6">
      <c r="C9978" s="12"/>
      <c r="D9978" s="12"/>
      <c r="E9978" t="b">
        <f t="shared" si="155"/>
        <v>1</v>
      </c>
      <c r="F9978" s="12">
        <v>0</v>
      </c>
    </row>
    <row r="9979" spans="3:6">
      <c r="C9979" s="12"/>
      <c r="D9979" s="12"/>
      <c r="E9979" t="b">
        <f t="shared" si="155"/>
        <v>1</v>
      </c>
      <c r="F9979" s="12">
        <v>0</v>
      </c>
    </row>
    <row r="9980" spans="3:6">
      <c r="C9980" s="12"/>
      <c r="D9980" s="12"/>
      <c r="E9980" t="b">
        <f t="shared" si="155"/>
        <v>1</v>
      </c>
      <c r="F9980" s="12">
        <v>0</v>
      </c>
    </row>
    <row r="9981" spans="3:6">
      <c r="C9981" s="12"/>
      <c r="D9981" s="12"/>
      <c r="E9981" t="b">
        <f t="shared" si="155"/>
        <v>1</v>
      </c>
      <c r="F9981" s="12">
        <v>0</v>
      </c>
    </row>
    <row r="9982" spans="3:6">
      <c r="C9982" s="12"/>
      <c r="D9982" s="12"/>
      <c r="E9982" t="b">
        <f t="shared" si="155"/>
        <v>1</v>
      </c>
      <c r="F9982" s="12">
        <v>0</v>
      </c>
    </row>
    <row r="9983" spans="3:6">
      <c r="C9983" s="12"/>
      <c r="D9983" s="12"/>
      <c r="E9983" t="b">
        <f t="shared" si="155"/>
        <v>1</v>
      </c>
      <c r="F9983" s="12">
        <v>0</v>
      </c>
    </row>
    <row r="9984" spans="3:6">
      <c r="C9984" s="12"/>
      <c r="D9984" s="12"/>
      <c r="E9984" t="b">
        <f t="shared" si="155"/>
        <v>1</v>
      </c>
      <c r="F9984" s="12">
        <v>0</v>
      </c>
    </row>
    <row r="9985" spans="3:6">
      <c r="C9985" s="12"/>
      <c r="D9985" s="12"/>
      <c r="E9985" t="b">
        <f t="shared" si="155"/>
        <v>1</v>
      </c>
      <c r="F9985" s="12">
        <v>0</v>
      </c>
    </row>
    <row r="9986" spans="3:6">
      <c r="C9986" s="12"/>
      <c r="D9986" s="12"/>
      <c r="E9986" t="b">
        <f t="shared" si="155"/>
        <v>1</v>
      </c>
      <c r="F9986" s="12">
        <v>0</v>
      </c>
    </row>
    <row r="9987" spans="3:6">
      <c r="C9987" s="12"/>
      <c r="D9987" s="12"/>
      <c r="E9987" t="b">
        <f t="shared" ref="E9987:E10000" si="156">F9987=C9987</f>
        <v>1</v>
      </c>
      <c r="F9987" s="12">
        <v>0</v>
      </c>
    </row>
    <row r="9988" spans="3:6">
      <c r="C9988" s="12"/>
      <c r="D9988" s="12"/>
      <c r="E9988" t="b">
        <f t="shared" si="156"/>
        <v>1</v>
      </c>
      <c r="F9988" s="12">
        <v>0</v>
      </c>
    </row>
    <row r="9989" spans="3:6">
      <c r="C9989" s="12"/>
      <c r="D9989" s="12"/>
      <c r="E9989" t="b">
        <f t="shared" si="156"/>
        <v>1</v>
      </c>
      <c r="F9989" s="12">
        <v>0</v>
      </c>
    </row>
    <row r="9990" spans="3:6">
      <c r="C9990" s="12"/>
      <c r="D9990" s="12"/>
      <c r="E9990" t="b">
        <f t="shared" si="156"/>
        <v>1</v>
      </c>
      <c r="F9990" s="12">
        <v>0</v>
      </c>
    </row>
    <row r="9991" spans="3:6">
      <c r="C9991" s="12"/>
      <c r="D9991" s="12"/>
      <c r="E9991" t="b">
        <f t="shared" si="156"/>
        <v>1</v>
      </c>
      <c r="F9991" s="12">
        <v>0</v>
      </c>
    </row>
    <row r="9992" spans="3:6">
      <c r="C9992" s="12"/>
      <c r="D9992" s="12"/>
      <c r="E9992" t="b">
        <f t="shared" si="156"/>
        <v>1</v>
      </c>
      <c r="F9992" s="12">
        <v>0</v>
      </c>
    </row>
    <row r="9993" spans="3:6">
      <c r="C9993" s="12"/>
      <c r="D9993" s="12"/>
      <c r="E9993" t="b">
        <f t="shared" si="156"/>
        <v>1</v>
      </c>
      <c r="F9993" s="12">
        <v>0</v>
      </c>
    </row>
    <row r="9994" spans="3:6">
      <c r="C9994" s="12"/>
      <c r="D9994" s="12"/>
      <c r="E9994" t="b">
        <f t="shared" si="156"/>
        <v>1</v>
      </c>
      <c r="F9994" s="12">
        <v>0</v>
      </c>
    </row>
    <row r="9995" spans="3:6">
      <c r="C9995" s="12"/>
      <c r="D9995" s="12"/>
      <c r="E9995" t="b">
        <f t="shared" si="156"/>
        <v>1</v>
      </c>
      <c r="F9995" s="12">
        <v>0</v>
      </c>
    </row>
    <row r="9996" spans="3:6">
      <c r="C9996" s="12"/>
      <c r="D9996" s="12"/>
      <c r="E9996" t="b">
        <f t="shared" si="156"/>
        <v>1</v>
      </c>
      <c r="F9996" s="12">
        <v>0</v>
      </c>
    </row>
    <row r="9997" spans="3:6">
      <c r="C9997" s="12"/>
      <c r="D9997" s="12"/>
      <c r="E9997" t="b">
        <f t="shared" si="156"/>
        <v>1</v>
      </c>
      <c r="F9997" s="12">
        <v>0</v>
      </c>
    </row>
    <row r="9998" spans="3:6">
      <c r="C9998" s="12"/>
      <c r="D9998" s="12"/>
      <c r="E9998" t="b">
        <f t="shared" si="156"/>
        <v>1</v>
      </c>
      <c r="F9998" s="12">
        <v>0</v>
      </c>
    </row>
    <row r="9999" spans="3:6">
      <c r="C9999" s="12"/>
      <c r="D9999" s="12"/>
      <c r="E9999" t="b">
        <f t="shared" si="156"/>
        <v>1</v>
      </c>
      <c r="F9999" s="12"/>
    </row>
    <row r="10000" spans="3:6">
      <c r="C10000" s="12"/>
      <c r="D10000" s="12"/>
      <c r="E10000" t="b">
        <f t="shared" si="156"/>
        <v>1</v>
      </c>
      <c r="F10000" s="12"/>
    </row>
    <row r="10001" spans="3:4">
      <c r="C10001" s="12"/>
      <c r="D10001" s="12"/>
    </row>
    <row r="10002" spans="3:4">
      <c r="C10002" s="12"/>
      <c r="D10002" s="12"/>
    </row>
    <row r="10003" spans="3:4">
      <c r="C10003" s="12"/>
      <c r="D10003" s="12"/>
    </row>
    <row r="10004" spans="3:4">
      <c r="C10004" s="12"/>
      <c r="D10004" s="12"/>
    </row>
    <row r="10005" spans="3:4">
      <c r="C10005" s="12"/>
      <c r="D10005" s="12"/>
    </row>
    <row r="10006" spans="3:4">
      <c r="C10006" s="12"/>
      <c r="D10006" s="12"/>
    </row>
    <row r="10007" spans="3:4">
      <c r="C10007" s="12"/>
      <c r="D10007" s="12"/>
    </row>
    <row r="10008" spans="3:4">
      <c r="C10008" s="12"/>
      <c r="D10008" s="12"/>
    </row>
    <row r="10009" spans="3:4">
      <c r="C10009" s="12"/>
      <c r="D10009" s="12"/>
    </row>
    <row r="10010" spans="3:4">
      <c r="C10010" s="12"/>
      <c r="D10010" s="12"/>
    </row>
    <row r="10011" spans="3:4">
      <c r="C10011" s="12"/>
      <c r="D10011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E69AB-42C1-4D02-858C-F719EF516C71}">
  <sheetPr codeName="Foglio2"/>
  <dimension ref="A1:K22"/>
  <sheetViews>
    <sheetView topLeftCell="A11" workbookViewId="0">
      <selection activeCell="A2" sqref="A2"/>
    </sheetView>
  </sheetViews>
  <sheetFormatPr defaultColWidth="8.86328125" defaultRowHeight="14.75"/>
  <cols>
    <col min="1" max="1" width="10.7265625" bestFit="1" customWidth="1"/>
    <col min="2" max="2" width="23.40625" customWidth="1"/>
    <col min="3" max="3" width="35.1328125" customWidth="1"/>
    <col min="4" max="4" width="27.26953125" customWidth="1"/>
    <col min="5" max="5" width="16.40625" customWidth="1"/>
    <col min="6" max="6" width="16.1328125" customWidth="1"/>
    <col min="7" max="7" width="20.1328125" customWidth="1"/>
    <col min="8" max="8" width="22.86328125" customWidth="1"/>
    <col min="9" max="9" width="32.40625" customWidth="1"/>
    <col min="10" max="10" width="28.40625" customWidth="1"/>
    <col min="11" max="11" width="23.40625" customWidth="1"/>
  </cols>
  <sheetData>
    <row r="1" spans="1:1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12">
        <v>45293</v>
      </c>
      <c r="B2">
        <v>1.75</v>
      </c>
      <c r="C2">
        <v>0.5</v>
      </c>
      <c r="D2">
        <v>1</v>
      </c>
      <c r="E2">
        <v>3</v>
      </c>
      <c r="F2">
        <v>4.5</v>
      </c>
      <c r="G2">
        <v>2.75</v>
      </c>
      <c r="H2">
        <v>7.49</v>
      </c>
      <c r="I2">
        <f t="shared" ref="I2:K4" si="0">D2</f>
        <v>1</v>
      </c>
      <c r="J2">
        <f t="shared" si="0"/>
        <v>3</v>
      </c>
      <c r="K2">
        <f t="shared" si="0"/>
        <v>4.5</v>
      </c>
    </row>
    <row r="3" spans="1:11">
      <c r="A3" s="12">
        <v>45315</v>
      </c>
      <c r="B3">
        <v>1.75</v>
      </c>
      <c r="C3">
        <v>0.5</v>
      </c>
      <c r="D3">
        <v>1</v>
      </c>
      <c r="E3">
        <v>3</v>
      </c>
      <c r="F3">
        <v>3.5</v>
      </c>
      <c r="G3">
        <v>2.75</v>
      </c>
      <c r="H3">
        <v>7.49</v>
      </c>
      <c r="I3">
        <f t="shared" si="0"/>
        <v>1</v>
      </c>
      <c r="J3">
        <f t="shared" si="0"/>
        <v>3</v>
      </c>
      <c r="K3">
        <f t="shared" si="0"/>
        <v>3.5</v>
      </c>
    </row>
    <row r="4" spans="1:11">
      <c r="A4" s="12">
        <v>45350</v>
      </c>
      <c r="B4">
        <v>1.75</v>
      </c>
      <c r="C4">
        <v>0.5</v>
      </c>
      <c r="D4">
        <v>1</v>
      </c>
      <c r="E4">
        <v>3</v>
      </c>
      <c r="F4">
        <v>3.5</v>
      </c>
      <c r="G4">
        <v>2.75</v>
      </c>
      <c r="H4">
        <v>7.49</v>
      </c>
      <c r="I4">
        <f t="shared" si="0"/>
        <v>1</v>
      </c>
      <c r="J4">
        <f t="shared" si="0"/>
        <v>3</v>
      </c>
      <c r="K4">
        <f t="shared" si="0"/>
        <v>3.5</v>
      </c>
    </row>
    <row r="5" spans="1:11">
      <c r="A5" s="12">
        <v>45376</v>
      </c>
      <c r="B5">
        <v>1.75</v>
      </c>
      <c r="C5">
        <v>0.5</v>
      </c>
      <c r="D5">
        <v>1</v>
      </c>
      <c r="E5">
        <v>3</v>
      </c>
      <c r="F5">
        <v>3.5</v>
      </c>
      <c r="G5">
        <v>2.75</v>
      </c>
      <c r="H5">
        <v>7.49</v>
      </c>
      <c r="I5">
        <f t="shared" ref="I5:K9" si="1">D5</f>
        <v>1</v>
      </c>
      <c r="J5">
        <f t="shared" si="1"/>
        <v>3</v>
      </c>
      <c r="K5">
        <f t="shared" si="1"/>
        <v>3.5</v>
      </c>
    </row>
    <row r="6" spans="1:11">
      <c r="A6" s="12">
        <v>45406</v>
      </c>
      <c r="B6">
        <v>1.75</v>
      </c>
      <c r="C6">
        <v>0.5</v>
      </c>
      <c r="D6">
        <v>1.5</v>
      </c>
      <c r="E6">
        <v>3</v>
      </c>
      <c r="F6">
        <v>3.5</v>
      </c>
      <c r="G6">
        <v>2.75</v>
      </c>
      <c r="H6">
        <v>7.49</v>
      </c>
      <c r="I6">
        <f t="shared" si="1"/>
        <v>1.5</v>
      </c>
      <c r="J6">
        <f t="shared" si="1"/>
        <v>3</v>
      </c>
      <c r="K6">
        <f t="shared" si="1"/>
        <v>3.5</v>
      </c>
    </row>
    <row r="7" spans="1:11">
      <c r="A7" s="12">
        <v>45434</v>
      </c>
      <c r="B7">
        <v>2.5</v>
      </c>
      <c r="C7">
        <v>0.5</v>
      </c>
      <c r="D7">
        <v>1.5</v>
      </c>
      <c r="E7">
        <v>3</v>
      </c>
      <c r="F7">
        <v>3.5</v>
      </c>
      <c r="G7">
        <v>2.75</v>
      </c>
      <c r="H7">
        <v>7.49</v>
      </c>
      <c r="I7">
        <f t="shared" si="1"/>
        <v>1.5</v>
      </c>
      <c r="J7">
        <f t="shared" si="1"/>
        <v>3</v>
      </c>
      <c r="K7">
        <f t="shared" si="1"/>
        <v>3.5</v>
      </c>
    </row>
    <row r="8" spans="1:11">
      <c r="A8" s="12">
        <v>45469</v>
      </c>
      <c r="B8">
        <v>2.5</v>
      </c>
      <c r="C8">
        <v>0.5</v>
      </c>
      <c r="D8">
        <v>1.5</v>
      </c>
      <c r="E8">
        <v>3</v>
      </c>
      <c r="F8">
        <v>3.5</v>
      </c>
      <c r="G8">
        <v>2.75</v>
      </c>
      <c r="H8">
        <v>7.49</v>
      </c>
      <c r="I8">
        <f t="shared" si="1"/>
        <v>1.5</v>
      </c>
      <c r="J8">
        <f t="shared" si="1"/>
        <v>3</v>
      </c>
      <c r="K8">
        <f t="shared" si="1"/>
        <v>3.5</v>
      </c>
    </row>
    <row r="9" spans="1:11">
      <c r="A9" s="12">
        <v>45504</v>
      </c>
      <c r="B9">
        <v>2.5</v>
      </c>
      <c r="C9">
        <v>0.5</v>
      </c>
      <c r="D9">
        <v>1.5</v>
      </c>
      <c r="E9">
        <v>3</v>
      </c>
      <c r="F9">
        <v>3.5</v>
      </c>
      <c r="G9">
        <v>2.75</v>
      </c>
      <c r="H9">
        <v>7.49</v>
      </c>
      <c r="I9">
        <f t="shared" si="1"/>
        <v>1.5</v>
      </c>
      <c r="J9">
        <f t="shared" si="1"/>
        <v>3</v>
      </c>
      <c r="K9">
        <f t="shared" si="1"/>
        <v>3.5</v>
      </c>
    </row>
    <row r="10" spans="1:11">
      <c r="A10" s="12">
        <v>45539</v>
      </c>
      <c r="B10">
        <v>2.5</v>
      </c>
      <c r="C10">
        <v>0.5</v>
      </c>
      <c r="D10">
        <v>1.5</v>
      </c>
      <c r="E10">
        <v>3</v>
      </c>
      <c r="F10">
        <v>3.5</v>
      </c>
      <c r="G10">
        <v>2.75</v>
      </c>
      <c r="H10">
        <v>9.99</v>
      </c>
      <c r="I10">
        <f t="shared" ref="I10:K15" si="2">D10</f>
        <v>1.5</v>
      </c>
      <c r="J10">
        <f t="shared" si="2"/>
        <v>3</v>
      </c>
      <c r="K10">
        <f t="shared" si="2"/>
        <v>3.5</v>
      </c>
    </row>
    <row r="11" spans="1:11">
      <c r="A11" s="12">
        <v>45560</v>
      </c>
      <c r="B11">
        <v>2.5</v>
      </c>
      <c r="C11">
        <v>0.5</v>
      </c>
      <c r="D11">
        <v>1.5</v>
      </c>
      <c r="E11">
        <v>3</v>
      </c>
      <c r="F11">
        <v>3.5</v>
      </c>
      <c r="G11">
        <v>2.75</v>
      </c>
      <c r="H11">
        <v>9.99</v>
      </c>
      <c r="I11">
        <f t="shared" si="2"/>
        <v>1.5</v>
      </c>
      <c r="J11">
        <f t="shared" si="2"/>
        <v>3</v>
      </c>
      <c r="K11">
        <f t="shared" si="2"/>
        <v>3.5</v>
      </c>
    </row>
    <row r="12" spans="1:11">
      <c r="A12" s="12">
        <v>45593</v>
      </c>
      <c r="B12">
        <v>2.5</v>
      </c>
      <c r="C12">
        <v>0.5</v>
      </c>
      <c r="D12">
        <v>1.5</v>
      </c>
      <c r="E12">
        <v>3</v>
      </c>
      <c r="F12">
        <v>3.5</v>
      </c>
      <c r="G12">
        <v>2.75</v>
      </c>
      <c r="H12">
        <v>9.99</v>
      </c>
      <c r="I12">
        <f t="shared" si="2"/>
        <v>1.5</v>
      </c>
      <c r="J12">
        <f t="shared" si="2"/>
        <v>3</v>
      </c>
      <c r="K12">
        <f t="shared" si="2"/>
        <v>3.5</v>
      </c>
    </row>
    <row r="13" spans="1:11">
      <c r="A13" s="12">
        <v>45623</v>
      </c>
      <c r="B13">
        <v>1.75</v>
      </c>
      <c r="C13">
        <v>0.5</v>
      </c>
      <c r="D13">
        <v>1</v>
      </c>
      <c r="E13">
        <v>3</v>
      </c>
      <c r="F13">
        <v>3.5</v>
      </c>
      <c r="G13">
        <v>2.75</v>
      </c>
      <c r="H13">
        <v>9.99</v>
      </c>
      <c r="I13">
        <f t="shared" si="2"/>
        <v>1</v>
      </c>
      <c r="J13">
        <f t="shared" si="2"/>
        <v>3</v>
      </c>
      <c r="K13">
        <f t="shared" si="2"/>
        <v>3.5</v>
      </c>
    </row>
    <row r="14" spans="1:11">
      <c r="A14" s="12">
        <v>45644</v>
      </c>
      <c r="B14">
        <v>1.75</v>
      </c>
      <c r="C14">
        <v>0.5</v>
      </c>
      <c r="D14">
        <v>1</v>
      </c>
      <c r="E14">
        <v>3</v>
      </c>
      <c r="F14">
        <v>3.5</v>
      </c>
      <c r="G14">
        <v>2.75</v>
      </c>
      <c r="H14">
        <v>9.99</v>
      </c>
      <c r="I14">
        <f t="shared" si="2"/>
        <v>1</v>
      </c>
      <c r="J14">
        <f t="shared" si="2"/>
        <v>3</v>
      </c>
      <c r="K14">
        <f t="shared" si="2"/>
        <v>3.5</v>
      </c>
    </row>
    <row r="15" spans="1:11">
      <c r="A15" s="12">
        <v>45686</v>
      </c>
      <c r="B15">
        <v>1.75</v>
      </c>
      <c r="C15">
        <v>0.5</v>
      </c>
      <c r="D15">
        <v>1</v>
      </c>
      <c r="E15">
        <v>3</v>
      </c>
      <c r="F15">
        <v>4.5</v>
      </c>
      <c r="G15">
        <v>2.75</v>
      </c>
      <c r="H15">
        <v>9.99</v>
      </c>
      <c r="I15">
        <f t="shared" si="2"/>
        <v>1</v>
      </c>
      <c r="J15">
        <f t="shared" si="2"/>
        <v>3</v>
      </c>
      <c r="K15">
        <f t="shared" si="2"/>
        <v>4.5</v>
      </c>
    </row>
    <row r="16" spans="1:11">
      <c r="A16" s="12">
        <v>45715</v>
      </c>
      <c r="B16">
        <v>1.75</v>
      </c>
      <c r="C16">
        <v>0.5</v>
      </c>
      <c r="D16">
        <v>1</v>
      </c>
      <c r="E16">
        <v>3</v>
      </c>
      <c r="F16">
        <v>4.5</v>
      </c>
      <c r="G16">
        <v>2.75</v>
      </c>
      <c r="H16">
        <v>9.99</v>
      </c>
      <c r="I16">
        <f t="shared" ref="I16:K17" si="3">D16</f>
        <v>1</v>
      </c>
      <c r="J16">
        <f t="shared" si="3"/>
        <v>3</v>
      </c>
      <c r="K16">
        <f t="shared" si="3"/>
        <v>4.5</v>
      </c>
    </row>
    <row r="17" spans="1:11">
      <c r="A17" s="12">
        <v>45740</v>
      </c>
      <c r="B17">
        <v>1.75</v>
      </c>
      <c r="C17">
        <v>0.5</v>
      </c>
      <c r="D17">
        <v>1</v>
      </c>
      <c r="E17">
        <v>3</v>
      </c>
      <c r="F17">
        <v>4.5</v>
      </c>
      <c r="G17">
        <v>2.75</v>
      </c>
      <c r="H17">
        <v>9.99</v>
      </c>
      <c r="I17">
        <f t="shared" si="3"/>
        <v>1</v>
      </c>
      <c r="J17">
        <f t="shared" si="3"/>
        <v>3</v>
      </c>
      <c r="K17">
        <f t="shared" si="3"/>
        <v>4.5</v>
      </c>
    </row>
    <row r="18" spans="1:11">
      <c r="A18" s="12">
        <v>45770</v>
      </c>
      <c r="B18">
        <v>2.5</v>
      </c>
      <c r="C18">
        <v>0.5</v>
      </c>
      <c r="D18">
        <v>1</v>
      </c>
      <c r="E18">
        <v>3</v>
      </c>
      <c r="F18">
        <v>4.5</v>
      </c>
      <c r="G18">
        <v>3.5</v>
      </c>
      <c r="H18">
        <v>9.99</v>
      </c>
      <c r="I18">
        <f>D18</f>
        <v>1</v>
      </c>
      <c r="J18">
        <f>E18</f>
        <v>3</v>
      </c>
      <c r="K18">
        <f>F18</f>
        <v>4.5</v>
      </c>
    </row>
    <row r="19" spans="1:11">
      <c r="A19" s="12">
        <v>45798</v>
      </c>
      <c r="B19">
        <v>2.5</v>
      </c>
      <c r="C19">
        <v>0.5</v>
      </c>
      <c r="D19">
        <v>1</v>
      </c>
      <c r="E19">
        <v>3</v>
      </c>
      <c r="F19">
        <v>4.5</v>
      </c>
      <c r="G19">
        <v>3.5</v>
      </c>
      <c r="H19">
        <v>9.99</v>
      </c>
      <c r="I19">
        <f t="shared" ref="I19:I22" si="4">D19</f>
        <v>1</v>
      </c>
      <c r="J19">
        <f t="shared" ref="J19:J22" si="5">E19</f>
        <v>3</v>
      </c>
      <c r="K19">
        <f t="shared" ref="K19:K22" si="6">F19</f>
        <v>4.5</v>
      </c>
    </row>
    <row r="20" spans="1:11">
      <c r="A20" s="12">
        <v>45833</v>
      </c>
      <c r="B20">
        <v>2.5</v>
      </c>
      <c r="C20">
        <v>0.5</v>
      </c>
      <c r="D20">
        <v>1</v>
      </c>
      <c r="E20">
        <v>3</v>
      </c>
      <c r="F20">
        <v>4.5</v>
      </c>
      <c r="G20">
        <v>3.5</v>
      </c>
      <c r="H20">
        <v>9.99</v>
      </c>
      <c r="I20">
        <f t="shared" si="4"/>
        <v>1</v>
      </c>
      <c r="J20">
        <f t="shared" si="5"/>
        <v>3</v>
      </c>
      <c r="K20">
        <f t="shared" si="6"/>
        <v>4.5</v>
      </c>
    </row>
    <row r="21" spans="1:11">
      <c r="A21" s="12">
        <v>45868</v>
      </c>
      <c r="B21">
        <v>2.5</v>
      </c>
      <c r="C21">
        <v>0.5</v>
      </c>
      <c r="D21">
        <v>1</v>
      </c>
      <c r="E21">
        <v>3</v>
      </c>
      <c r="F21">
        <v>4.5</v>
      </c>
      <c r="G21">
        <v>3.5</v>
      </c>
      <c r="H21">
        <v>9.99</v>
      </c>
      <c r="I21">
        <f t="shared" si="4"/>
        <v>1</v>
      </c>
      <c r="J21">
        <f t="shared" si="5"/>
        <v>3</v>
      </c>
      <c r="K21">
        <f t="shared" si="6"/>
        <v>4.5</v>
      </c>
    </row>
    <row r="22" spans="1:11">
      <c r="A22" s="12">
        <v>45903</v>
      </c>
      <c r="B22">
        <v>2.5</v>
      </c>
      <c r="C22">
        <v>0.5</v>
      </c>
      <c r="D22">
        <v>1</v>
      </c>
      <c r="E22">
        <v>3</v>
      </c>
      <c r="F22">
        <v>4.5</v>
      </c>
      <c r="G22">
        <v>3.5</v>
      </c>
      <c r="H22">
        <v>9.99</v>
      </c>
      <c r="I22">
        <f t="shared" si="4"/>
        <v>1</v>
      </c>
      <c r="J22">
        <f t="shared" si="5"/>
        <v>3</v>
      </c>
      <c r="K22">
        <f t="shared" si="6"/>
        <v>4.5</v>
      </c>
    </row>
  </sheetData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48D5-5B57-493E-84E5-F33118CA805E}">
  <sheetPr codeName="Foglio3"/>
  <dimension ref="A1:AU505"/>
  <sheetViews>
    <sheetView topLeftCell="A396" workbookViewId="0">
      <selection activeCell="A436" sqref="A436"/>
    </sheetView>
  </sheetViews>
  <sheetFormatPr defaultColWidth="8.86328125" defaultRowHeight="14.75"/>
  <cols>
    <col min="1" max="1" width="10.7265625" bestFit="1" customWidth="1"/>
    <col min="2" max="3" width="11.40625" bestFit="1" customWidth="1"/>
    <col min="4" max="4" width="12.40625" bestFit="1" customWidth="1"/>
    <col min="5" max="6" width="11.40625" bestFit="1" customWidth="1"/>
    <col min="7" max="7" width="11" bestFit="1" customWidth="1"/>
    <col min="8" max="8" width="11.7265625" bestFit="1" customWidth="1"/>
    <col min="9" max="9" width="13.40625" bestFit="1" customWidth="1"/>
    <col min="10" max="10" width="12.7265625" bestFit="1" customWidth="1"/>
    <col min="11" max="11" width="13.40625" bestFit="1" customWidth="1"/>
    <col min="12" max="12" width="22.26953125" bestFit="1" customWidth="1"/>
    <col min="13" max="13" width="22.1328125" bestFit="1" customWidth="1"/>
    <col min="14" max="14" width="23.26953125" bestFit="1" customWidth="1"/>
    <col min="15" max="16" width="22.26953125" bestFit="1" customWidth="1"/>
    <col min="17" max="17" width="21.7265625" bestFit="1" customWidth="1"/>
    <col min="18" max="18" width="12.1328125" bestFit="1" customWidth="1"/>
    <col min="19" max="19" width="22.40625" bestFit="1" customWidth="1"/>
    <col min="20" max="20" width="24.40625" bestFit="1" customWidth="1"/>
    <col min="21" max="21" width="23.40625" bestFit="1" customWidth="1"/>
    <col min="22" max="22" width="24.40625" bestFit="1" customWidth="1"/>
    <col min="23" max="23" width="24.1328125" bestFit="1" customWidth="1"/>
    <col min="24" max="24" width="36.1328125" bestFit="1" customWidth="1"/>
    <col min="25" max="25" width="28" bestFit="1" customWidth="1"/>
    <col min="26" max="26" width="16.7265625" bestFit="1" customWidth="1"/>
    <col min="27" max="27" width="16.40625" bestFit="1" customWidth="1"/>
    <col min="28" max="28" width="27" bestFit="1" customWidth="1"/>
    <col min="29" max="29" width="23.26953125" bestFit="1" customWidth="1"/>
    <col min="30" max="30" width="29.40625" bestFit="1" customWidth="1"/>
    <col min="31" max="31" width="25.26953125" bestFit="1" customWidth="1"/>
    <col min="32" max="32" width="20" bestFit="1" customWidth="1"/>
    <col min="38" max="43" width="9" bestFit="1" customWidth="1"/>
    <col min="44" max="44" width="12" bestFit="1" customWidth="1"/>
    <col min="45" max="47" width="9" bestFit="1" customWidth="1"/>
  </cols>
  <sheetData>
    <row r="1" spans="1:47">
      <c r="A1" s="3" t="s">
        <v>0</v>
      </c>
      <c r="B1" s="1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21" t="s">
        <v>1</v>
      </c>
      <c r="X1" s="20" t="s">
        <v>2</v>
      </c>
      <c r="Y1" s="20" t="s">
        <v>3</v>
      </c>
      <c r="Z1" s="20" t="s">
        <v>4</v>
      </c>
      <c r="AA1" s="20" t="s">
        <v>5</v>
      </c>
      <c r="AB1" s="20" t="s">
        <v>6</v>
      </c>
      <c r="AC1" s="20" t="s">
        <v>7</v>
      </c>
      <c r="AD1" s="20" t="s">
        <v>8</v>
      </c>
      <c r="AE1" s="20" t="s">
        <v>9</v>
      </c>
      <c r="AF1" s="20" t="s">
        <v>10</v>
      </c>
      <c r="AL1" cm="1">
        <f t="array" aca="1" ref="AL1:AU498" ca="1">INDIRECT("'Output Fondi'!B2:K" &amp; COUNTA('Output Fondi'!A:A))</f>
        <v>1.3382210000000001</v>
      </c>
      <c r="AM1">
        <f ca="1"/>
        <v>0.181446</v>
      </c>
      <c r="AN1">
        <f ca="1"/>
        <v>0.63847299999999996</v>
      </c>
      <c r="AO1">
        <f ca="1"/>
        <v>2.0379689999999999</v>
      </c>
      <c r="AP1">
        <f ca="1"/>
        <v>2.9639289999999998</v>
      </c>
      <c r="AQ1">
        <f ca="1"/>
        <v>1.8141389999999999</v>
      </c>
      <c r="AR1">
        <f ca="1"/>
        <v>6.0357310402110356</v>
      </c>
      <c r="AS1">
        <f ca="1"/>
        <v>0.72244900000000001</v>
      </c>
      <c r="AT1">
        <f ca="1"/>
        <v>2.0825770000000001</v>
      </c>
      <c r="AU1">
        <f ca="1"/>
        <v>2.9572620000000001</v>
      </c>
    </row>
    <row r="2" spans="1:47">
      <c r="A2" s="43">
        <f>TBL_TEV[[#This Row],[Data2]]</f>
        <v>45293</v>
      </c>
      <c r="B2" cm="1">
        <f t="array" ref="B2">_xlfn.XLOOKUP(_xlfn.ANCHORARRAY(A2), TBL_Limiti_CDA[Data], TBL_Limiti_CDA[Etica Rendita Bilanciata], , -1)</f>
        <v>1.75</v>
      </c>
      <c r="C2" cm="1">
        <f t="array" ref="C2">_xlfn.XLOOKUP(_xlfn.ANCHORARRAY(A2), TBL_Limiti_CDA[Data], TBL_Limiti_CDA[Etica Obbligazionario Breve Termine], , -1)</f>
        <v>0.5</v>
      </c>
      <c r="D2" cm="1">
        <f t="array" ref="D2">_xlfn.XLOOKUP(_xlfn.ANCHORARRAY(A2), TBL_Limiti_CDA[Data], TBL_Limiti_CDA[Etica Obbligazionario Misto], , -1)</f>
        <v>1</v>
      </c>
      <c r="E2" cm="1">
        <f t="array" ref="E2">_xlfn.XLOOKUP(_xlfn.ANCHORARRAY(A2), TBL_Limiti_CDA[Data], TBL_Limiti_CDA[Etica Bilanciato], , -1)</f>
        <v>3</v>
      </c>
      <c r="F2" cm="1">
        <f t="array" ref="F2">_xlfn.XLOOKUP(_xlfn.ANCHORARRAY(A2), TBL_Limiti_CDA[Data], TBL_Limiti_CDA[Etica Azionario], , -1)</f>
        <v>4.5</v>
      </c>
      <c r="G2" cm="1">
        <f t="array" ref="G2">_xlfn.XLOOKUP(_xlfn.ANCHORARRAY(A2), TBL_Limiti_CDA[Data], TBL_Limiti_CDA[Etica Transizione Climatica], , -1)</f>
        <v>2.75</v>
      </c>
      <c r="H2" cm="1">
        <f t="array" ref="H2">_xlfn.XLOOKUP(_xlfn.ANCHORARRAY(A2), TBL_Limiti_CDA[Data], TBL_Limiti_CDA[Etica Obiettivo Sociale], , -1)</f>
        <v>7.49</v>
      </c>
      <c r="I2" cm="1">
        <f t="array" ref="I2">_xlfn.XLOOKUP(_xlfn.ANCHORARRAY(A2), TBL_Limiti_CDA[Data], TBL_Limiti_CDA[Etica Conservative Allocation], , -1)</f>
        <v>1</v>
      </c>
      <c r="J2" cm="1">
        <f t="array" ref="J2">_xlfn.XLOOKUP(_xlfn.ANCHORARRAY(A2), TBL_Limiti_CDA[Data], TBL_Limiti_CDA[Etica Dynamic Allocation], , -1)</f>
        <v>3</v>
      </c>
      <c r="K2" cm="1">
        <f t="array" ref="K2">_xlfn.XLOOKUP(_xlfn.ANCHORARRAY(A2), TBL_Limiti_CDA[Data], TBL_Limiti_CDA[Etica Global Equity], , -1)</f>
        <v>4.5</v>
      </c>
      <c r="L2" cm="1">
        <f t="array" ref="L2">_xlfn.ANCHORARRAY(B2)+0.15</f>
        <v>1.9</v>
      </c>
      <c r="M2" cm="1">
        <f t="array" ref="M2">_xlfn.ANCHORARRAY(C2)+0.1</f>
        <v>0.6</v>
      </c>
      <c r="N2" cm="1">
        <f t="array" ref="N2">_xlfn.ANCHORARRAY(D2)+0.15</f>
        <v>1.1499999999999999</v>
      </c>
      <c r="O2" cm="1">
        <f t="array" ref="O2">_xlfn.ANCHORARRAY(E2)+0.15</f>
        <v>3.15</v>
      </c>
      <c r="P2" cm="1">
        <f t="array" ref="P2">_xlfn.ANCHORARRAY(F2)+0.15</f>
        <v>4.6500000000000004</v>
      </c>
      <c r="Q2" cm="1">
        <f t="array" ref="Q2">_xlfn.ANCHORARRAY(G2)+0.15</f>
        <v>2.9</v>
      </c>
      <c r="R2" cm="1">
        <f t="array" ref="R2">_xlfn.ANCHORARRAY(H2)</f>
        <v>7.49</v>
      </c>
      <c r="S2" cm="1">
        <f t="array" ref="S2">_xlfn.ANCHORARRAY(R2)+0.15</f>
        <v>7.6400000000000006</v>
      </c>
      <c r="T2" cm="1">
        <f t="array" ref="T2">_xlfn.ANCHORARRAY(I2)+0.15</f>
        <v>1.1499999999999999</v>
      </c>
      <c r="U2" cm="1">
        <f t="array" ref="U2">_xlfn.ANCHORARRAY(J2)+0.15</f>
        <v>3.15</v>
      </c>
      <c r="V2" cm="1">
        <f t="array" ref="V2">_xlfn.ANCHORARRAY(K2)+0.15</f>
        <v>4.6500000000000004</v>
      </c>
      <c r="W2">
        <f>TBL_TEV[[#This Row],[Etica Rendita Bilanciata]]</f>
        <v>1.3382210000000001</v>
      </c>
      <c r="X2">
        <f>TBL_TEV[[#This Row],[Etica Obbligazionario Breve Termine]]</f>
        <v>0.181446</v>
      </c>
      <c r="Y2">
        <f>TBL_TEV[[#This Row],[Etica Obbligazionario Misto]]</f>
        <v>0.63847299999999996</v>
      </c>
      <c r="Z2">
        <f>TBL_TEV[[#This Row],[Etica Bilanciato]]</f>
        <v>2.0379689999999999</v>
      </c>
      <c r="AA2">
        <f>TBL_TEV[[#This Row],[Etica Azionario]]</f>
        <v>2.9639289999999998</v>
      </c>
      <c r="AB2">
        <f>TBL_TEV[[#This Row],[Etica Transizione Climatica]]</f>
        <v>1.8141389999999999</v>
      </c>
      <c r="AC2">
        <f>TBL_TEV[[#This Row],[Etica Obiettivo Sociale]]</f>
        <v>6.0357310402110356</v>
      </c>
      <c r="AD2">
        <f>TBL_TEV[[#This Row],[Etica Conservative Allocation]]</f>
        <v>0.72244900000000001</v>
      </c>
      <c r="AE2">
        <f>TBL_TEV[[#This Row],[Etica Dynamic Allocation]]</f>
        <v>2.0825770000000001</v>
      </c>
      <c r="AF2">
        <f>TBL_TEV[[#This Row],[Etica Global Equity]]</f>
        <v>2.9572620000000001</v>
      </c>
      <c r="AL2">
        <f ca="1"/>
        <v>1.3948929999999999</v>
      </c>
      <c r="AM2">
        <f ca="1"/>
        <v>0.18112800000000001</v>
      </c>
      <c r="AN2">
        <f ca="1"/>
        <v>0.68165100000000001</v>
      </c>
      <c r="AO2">
        <f ca="1"/>
        <v>2.0944829999999999</v>
      </c>
      <c r="AP2">
        <f ca="1"/>
        <v>3.0148869999999999</v>
      </c>
      <c r="AQ2">
        <f ca="1"/>
        <v>1.8509679999999999</v>
      </c>
      <c r="AR2">
        <f ca="1"/>
        <v>6.0119643541636583</v>
      </c>
      <c r="AS2">
        <f ca="1"/>
        <v>0.711337</v>
      </c>
      <c r="AT2">
        <f ca="1"/>
        <v>2.0395569999999998</v>
      </c>
      <c r="AU2">
        <f ca="1"/>
        <v>2.921862</v>
      </c>
    </row>
    <row r="3" spans="1:47">
      <c r="A3" s="43">
        <f>TBL_TEV[[#This Row],[Data2]]</f>
        <v>45294</v>
      </c>
      <c r="B3" cm="1">
        <f t="array" ref="B3">_xlfn.XLOOKUP(_xlfn.ANCHORARRAY(A3), TBL_Limiti_CDA[Data], TBL_Limiti_CDA[Etica Rendita Bilanciata], , -1)</f>
        <v>1.75</v>
      </c>
      <c r="C3" cm="1">
        <f t="array" ref="C3">_xlfn.XLOOKUP(_xlfn.ANCHORARRAY(A3), TBL_Limiti_CDA[Data], TBL_Limiti_CDA[Etica Obbligazionario Breve Termine], , -1)</f>
        <v>0.5</v>
      </c>
      <c r="D3" cm="1">
        <f t="array" ref="D3">_xlfn.XLOOKUP(_xlfn.ANCHORARRAY(A3), TBL_Limiti_CDA[Data], TBL_Limiti_CDA[Etica Obbligazionario Misto], , -1)</f>
        <v>1</v>
      </c>
      <c r="E3" cm="1">
        <f t="array" ref="E3">_xlfn.XLOOKUP(_xlfn.ANCHORARRAY(A3), TBL_Limiti_CDA[Data], TBL_Limiti_CDA[Etica Bilanciato], , -1)</f>
        <v>3</v>
      </c>
      <c r="F3" cm="1">
        <f t="array" ref="F3">_xlfn.XLOOKUP(_xlfn.ANCHORARRAY(A3), TBL_Limiti_CDA[Data], TBL_Limiti_CDA[Etica Azionario], , -1)</f>
        <v>4.5</v>
      </c>
      <c r="G3" cm="1">
        <f t="array" ref="G3">_xlfn.XLOOKUP(_xlfn.ANCHORARRAY(A3), TBL_Limiti_CDA[Data], TBL_Limiti_CDA[Etica Transizione Climatica], , -1)</f>
        <v>2.75</v>
      </c>
      <c r="H3" cm="1">
        <f t="array" ref="H3">_xlfn.XLOOKUP(_xlfn.ANCHORARRAY(A3), TBL_Limiti_CDA[Data], TBL_Limiti_CDA[Etica Obiettivo Sociale], , -1)</f>
        <v>7.49</v>
      </c>
      <c r="I3" cm="1">
        <f t="array" ref="I3">_xlfn.XLOOKUP(_xlfn.ANCHORARRAY(A3), TBL_Limiti_CDA[Data], TBL_Limiti_CDA[Etica Conservative Allocation], , -1)</f>
        <v>1</v>
      </c>
      <c r="J3" cm="1">
        <f t="array" ref="J3">_xlfn.XLOOKUP(_xlfn.ANCHORARRAY(A3), TBL_Limiti_CDA[Data], TBL_Limiti_CDA[Etica Dynamic Allocation], , -1)</f>
        <v>3</v>
      </c>
      <c r="K3" cm="1">
        <f t="array" ref="K3">_xlfn.XLOOKUP(_xlfn.ANCHORARRAY(A3), TBL_Limiti_CDA[Data], TBL_Limiti_CDA[Etica Global Equity], , -1)</f>
        <v>4.5</v>
      </c>
      <c r="L3" cm="1">
        <f t="array" ref="L3">_xlfn.ANCHORARRAY(B3)+0.15</f>
        <v>1.9</v>
      </c>
      <c r="M3" cm="1">
        <f t="array" ref="M3">_xlfn.ANCHORARRAY(C3)+0.1</f>
        <v>0.6</v>
      </c>
      <c r="N3" cm="1">
        <f t="array" ref="N3">_xlfn.ANCHORARRAY(D3)+0.15</f>
        <v>1.1499999999999999</v>
      </c>
      <c r="O3" cm="1">
        <f t="array" ref="O3">_xlfn.ANCHORARRAY(E3)+0.15</f>
        <v>3.15</v>
      </c>
      <c r="P3" cm="1">
        <f t="array" ref="P3">_xlfn.ANCHORARRAY(F3)+0.15</f>
        <v>4.6500000000000004</v>
      </c>
      <c r="Q3" cm="1">
        <f t="array" ref="Q3">_xlfn.ANCHORARRAY(G3)+0.15</f>
        <v>2.9</v>
      </c>
      <c r="R3" cm="1">
        <f t="array" ref="R3">_xlfn.ANCHORARRAY(H3)</f>
        <v>7.49</v>
      </c>
      <c r="S3" cm="1">
        <f t="array" ref="S3">_xlfn.ANCHORARRAY(R3)+0.15</f>
        <v>7.6400000000000006</v>
      </c>
      <c r="T3" cm="1">
        <f t="array" ref="T3">_xlfn.ANCHORARRAY(I3)+0.15</f>
        <v>1.1499999999999999</v>
      </c>
      <c r="U3" cm="1">
        <f t="array" ref="U3">_xlfn.ANCHORARRAY(J3)+0.15</f>
        <v>3.15</v>
      </c>
      <c r="V3" cm="1">
        <f t="array" ref="V3">_xlfn.ANCHORARRAY(K3)+0.15</f>
        <v>4.6500000000000004</v>
      </c>
      <c r="W3">
        <f>TBL_TEV[[#This Row],[Etica Rendita Bilanciata]]</f>
        <v>1.3948929999999999</v>
      </c>
      <c r="X3">
        <f>TBL_TEV[[#This Row],[Etica Obbligazionario Breve Termine]]</f>
        <v>0.18112800000000001</v>
      </c>
      <c r="Y3">
        <f>TBL_TEV[[#This Row],[Etica Obbligazionario Misto]]</f>
        <v>0.68165100000000001</v>
      </c>
      <c r="Z3">
        <f>TBL_TEV[[#This Row],[Etica Bilanciato]]</f>
        <v>2.0944829999999999</v>
      </c>
      <c r="AA3">
        <f>TBL_TEV[[#This Row],[Etica Azionario]]</f>
        <v>3.0148869999999999</v>
      </c>
      <c r="AB3">
        <f>TBL_TEV[[#This Row],[Etica Transizione Climatica]]</f>
        <v>1.8509679999999999</v>
      </c>
      <c r="AC3">
        <f>TBL_TEV[[#This Row],[Etica Obiettivo Sociale]]</f>
        <v>6.0119643541636583</v>
      </c>
      <c r="AD3">
        <f>TBL_TEV[[#This Row],[Etica Conservative Allocation]]</f>
        <v>0.711337</v>
      </c>
      <c r="AE3">
        <f>TBL_TEV[[#This Row],[Etica Dynamic Allocation]]</f>
        <v>2.0395569999999998</v>
      </c>
      <c r="AF3">
        <f>TBL_TEV[[#This Row],[Etica Global Equity]]</f>
        <v>2.921862</v>
      </c>
      <c r="AL3">
        <f ca="1"/>
        <v>1.3766370000000001</v>
      </c>
      <c r="AM3">
        <f ca="1"/>
        <v>0.17922299999999999</v>
      </c>
      <c r="AN3">
        <f ca="1"/>
        <v>0.67736499999999999</v>
      </c>
      <c r="AO3">
        <f ca="1"/>
        <v>2.0670199999999999</v>
      </c>
      <c r="AP3">
        <f ca="1"/>
        <v>2.9783750000000002</v>
      </c>
      <c r="AQ3">
        <f ca="1"/>
        <v>1.842554</v>
      </c>
      <c r="AR3">
        <f ca="1"/>
        <v>6.0124200032349355</v>
      </c>
      <c r="AS3">
        <f ca="1"/>
        <v>0.71451200000000004</v>
      </c>
      <c r="AT3">
        <f ca="1"/>
        <v>2.047018</v>
      </c>
      <c r="AU3">
        <f ca="1"/>
        <v>2.9420229999999998</v>
      </c>
    </row>
    <row r="4" spans="1:47">
      <c r="A4" s="43">
        <f>TBL_TEV[[#This Row],[Data2]]</f>
        <v>45295</v>
      </c>
      <c r="B4" cm="1">
        <f t="array" ref="B4">_xlfn.XLOOKUP(_xlfn.ANCHORARRAY(A4), TBL_Limiti_CDA[Data], TBL_Limiti_CDA[Etica Rendita Bilanciata], , -1)</f>
        <v>1.75</v>
      </c>
      <c r="C4" cm="1">
        <f t="array" ref="C4">_xlfn.XLOOKUP(_xlfn.ANCHORARRAY(A4), TBL_Limiti_CDA[Data], TBL_Limiti_CDA[Etica Obbligazionario Breve Termine], , -1)</f>
        <v>0.5</v>
      </c>
      <c r="D4" cm="1">
        <f t="array" ref="D4">_xlfn.XLOOKUP(_xlfn.ANCHORARRAY(A4), TBL_Limiti_CDA[Data], TBL_Limiti_CDA[Etica Obbligazionario Misto], , -1)</f>
        <v>1</v>
      </c>
      <c r="E4" cm="1">
        <f t="array" ref="E4">_xlfn.XLOOKUP(_xlfn.ANCHORARRAY(A4), TBL_Limiti_CDA[Data], TBL_Limiti_CDA[Etica Bilanciato], , -1)</f>
        <v>3</v>
      </c>
      <c r="F4" cm="1">
        <f t="array" ref="F4">_xlfn.XLOOKUP(_xlfn.ANCHORARRAY(A4), TBL_Limiti_CDA[Data], TBL_Limiti_CDA[Etica Azionario], , -1)</f>
        <v>4.5</v>
      </c>
      <c r="G4" cm="1">
        <f t="array" ref="G4">_xlfn.XLOOKUP(_xlfn.ANCHORARRAY(A4), TBL_Limiti_CDA[Data], TBL_Limiti_CDA[Etica Transizione Climatica], , -1)</f>
        <v>2.75</v>
      </c>
      <c r="H4" cm="1">
        <f t="array" ref="H4">_xlfn.XLOOKUP(_xlfn.ANCHORARRAY(A4), TBL_Limiti_CDA[Data], TBL_Limiti_CDA[Etica Obiettivo Sociale], , -1)</f>
        <v>7.49</v>
      </c>
      <c r="I4" cm="1">
        <f t="array" ref="I4">_xlfn.XLOOKUP(_xlfn.ANCHORARRAY(A4), TBL_Limiti_CDA[Data], TBL_Limiti_CDA[Etica Conservative Allocation], , -1)</f>
        <v>1</v>
      </c>
      <c r="J4" cm="1">
        <f t="array" ref="J4">_xlfn.XLOOKUP(_xlfn.ANCHORARRAY(A4), TBL_Limiti_CDA[Data], TBL_Limiti_CDA[Etica Dynamic Allocation], , -1)</f>
        <v>3</v>
      </c>
      <c r="K4" cm="1">
        <f t="array" ref="K4">_xlfn.XLOOKUP(_xlfn.ANCHORARRAY(A4), TBL_Limiti_CDA[Data], TBL_Limiti_CDA[Etica Global Equity], , -1)</f>
        <v>4.5</v>
      </c>
      <c r="L4" cm="1">
        <f t="array" ref="L4">_xlfn.ANCHORARRAY(B4)+0.15</f>
        <v>1.9</v>
      </c>
      <c r="M4" cm="1">
        <f t="array" ref="M4">_xlfn.ANCHORARRAY(C4)+0.1</f>
        <v>0.6</v>
      </c>
      <c r="N4" cm="1">
        <f t="array" ref="N4">_xlfn.ANCHORARRAY(D4)+0.15</f>
        <v>1.1499999999999999</v>
      </c>
      <c r="O4" cm="1">
        <f t="array" ref="O4">_xlfn.ANCHORARRAY(E4)+0.15</f>
        <v>3.15</v>
      </c>
      <c r="P4" cm="1">
        <f t="array" ref="P4">_xlfn.ANCHORARRAY(F4)+0.15</f>
        <v>4.6500000000000004</v>
      </c>
      <c r="Q4" cm="1">
        <f t="array" ref="Q4">_xlfn.ANCHORARRAY(G4)+0.15</f>
        <v>2.9</v>
      </c>
      <c r="R4" cm="1">
        <f t="array" ref="R4">_xlfn.ANCHORARRAY(H4)</f>
        <v>7.49</v>
      </c>
      <c r="S4" cm="1">
        <f t="array" ref="S4">_xlfn.ANCHORARRAY(R4)+0.15</f>
        <v>7.6400000000000006</v>
      </c>
      <c r="T4" cm="1">
        <f t="array" ref="T4">_xlfn.ANCHORARRAY(I4)+0.15</f>
        <v>1.1499999999999999</v>
      </c>
      <c r="U4" cm="1">
        <f t="array" ref="U4">_xlfn.ANCHORARRAY(J4)+0.15</f>
        <v>3.15</v>
      </c>
      <c r="V4" cm="1">
        <f t="array" ref="V4">_xlfn.ANCHORARRAY(K4)+0.15</f>
        <v>4.6500000000000004</v>
      </c>
      <c r="W4">
        <f>TBL_TEV[[#This Row],[Etica Rendita Bilanciata]]</f>
        <v>1.3766370000000001</v>
      </c>
      <c r="X4">
        <f>TBL_TEV[[#This Row],[Etica Obbligazionario Breve Termine]]</f>
        <v>0.17922299999999999</v>
      </c>
      <c r="Y4">
        <f>TBL_TEV[[#This Row],[Etica Obbligazionario Misto]]</f>
        <v>0.67736499999999999</v>
      </c>
      <c r="Z4">
        <f>TBL_TEV[[#This Row],[Etica Bilanciato]]</f>
        <v>2.0670199999999999</v>
      </c>
      <c r="AA4">
        <f>TBL_TEV[[#This Row],[Etica Azionario]]</f>
        <v>2.9783750000000002</v>
      </c>
      <c r="AB4">
        <f>TBL_TEV[[#This Row],[Etica Transizione Climatica]]</f>
        <v>1.842554</v>
      </c>
      <c r="AC4">
        <f>TBL_TEV[[#This Row],[Etica Obiettivo Sociale]]</f>
        <v>6.0124200032349355</v>
      </c>
      <c r="AD4">
        <f>TBL_TEV[[#This Row],[Etica Conservative Allocation]]</f>
        <v>0.71451200000000004</v>
      </c>
      <c r="AE4">
        <f>TBL_TEV[[#This Row],[Etica Dynamic Allocation]]</f>
        <v>2.047018</v>
      </c>
      <c r="AF4">
        <f>TBL_TEV[[#This Row],[Etica Global Equity]]</f>
        <v>2.9420229999999998</v>
      </c>
      <c r="AL4">
        <f ca="1"/>
        <v>1.3674299999999999</v>
      </c>
      <c r="AM4">
        <f ca="1"/>
        <v>0.177318</v>
      </c>
      <c r="AN4">
        <f ca="1"/>
        <v>0.67133299999999996</v>
      </c>
      <c r="AO4">
        <f ca="1"/>
        <v>2.0549550000000001</v>
      </c>
      <c r="AP4">
        <f ca="1"/>
        <v>2.962342</v>
      </c>
      <c r="AQ4">
        <f ca="1"/>
        <v>1.840808</v>
      </c>
      <c r="AR4">
        <f ca="1"/>
        <v>5.9834841183883647</v>
      </c>
      <c r="AS4">
        <f ca="1"/>
        <v>0.71228899999999995</v>
      </c>
      <c r="AT4">
        <f ca="1"/>
        <v>2.0386039999999999</v>
      </c>
      <c r="AU4">
        <f ca="1"/>
        <v>2.9378950000000001</v>
      </c>
    </row>
    <row r="5" spans="1:47">
      <c r="A5" s="43">
        <f>TBL_TEV[[#This Row],[Data2]]</f>
        <v>45296</v>
      </c>
      <c r="B5" cm="1">
        <f t="array" ref="B5">_xlfn.XLOOKUP(_xlfn.ANCHORARRAY(A5), TBL_Limiti_CDA[Data], TBL_Limiti_CDA[Etica Rendita Bilanciata], , -1)</f>
        <v>1.75</v>
      </c>
      <c r="C5" cm="1">
        <f t="array" ref="C5">_xlfn.XLOOKUP(_xlfn.ANCHORARRAY(A5), TBL_Limiti_CDA[Data], TBL_Limiti_CDA[Etica Obbligazionario Breve Termine], , -1)</f>
        <v>0.5</v>
      </c>
      <c r="D5" cm="1">
        <f t="array" ref="D5">_xlfn.XLOOKUP(_xlfn.ANCHORARRAY(A5), TBL_Limiti_CDA[Data], TBL_Limiti_CDA[Etica Obbligazionario Misto], , -1)</f>
        <v>1</v>
      </c>
      <c r="E5" cm="1">
        <f t="array" ref="E5">_xlfn.XLOOKUP(_xlfn.ANCHORARRAY(A5), TBL_Limiti_CDA[Data], TBL_Limiti_CDA[Etica Bilanciato], , -1)</f>
        <v>3</v>
      </c>
      <c r="F5" cm="1">
        <f t="array" ref="F5">_xlfn.XLOOKUP(_xlfn.ANCHORARRAY(A5), TBL_Limiti_CDA[Data], TBL_Limiti_CDA[Etica Azionario], , -1)</f>
        <v>4.5</v>
      </c>
      <c r="G5" cm="1">
        <f t="array" ref="G5">_xlfn.XLOOKUP(_xlfn.ANCHORARRAY(A5), TBL_Limiti_CDA[Data], TBL_Limiti_CDA[Etica Transizione Climatica], , -1)</f>
        <v>2.75</v>
      </c>
      <c r="H5" cm="1">
        <f t="array" ref="H5">_xlfn.XLOOKUP(_xlfn.ANCHORARRAY(A5), TBL_Limiti_CDA[Data], TBL_Limiti_CDA[Etica Obiettivo Sociale], , -1)</f>
        <v>7.49</v>
      </c>
      <c r="I5" cm="1">
        <f t="array" ref="I5">_xlfn.XLOOKUP(_xlfn.ANCHORARRAY(A5), TBL_Limiti_CDA[Data], TBL_Limiti_CDA[Etica Conservative Allocation], , -1)</f>
        <v>1</v>
      </c>
      <c r="J5" cm="1">
        <f t="array" ref="J5">_xlfn.XLOOKUP(_xlfn.ANCHORARRAY(A5), TBL_Limiti_CDA[Data], TBL_Limiti_CDA[Etica Dynamic Allocation], , -1)</f>
        <v>3</v>
      </c>
      <c r="K5" cm="1">
        <f t="array" ref="K5">_xlfn.XLOOKUP(_xlfn.ANCHORARRAY(A5), TBL_Limiti_CDA[Data], TBL_Limiti_CDA[Etica Global Equity], , -1)</f>
        <v>4.5</v>
      </c>
      <c r="L5" cm="1">
        <f t="array" ref="L5">_xlfn.ANCHORARRAY(B5)+0.15</f>
        <v>1.9</v>
      </c>
      <c r="M5" cm="1">
        <f t="array" ref="M5">_xlfn.ANCHORARRAY(C5)+0.1</f>
        <v>0.6</v>
      </c>
      <c r="N5" cm="1">
        <f t="array" ref="N5">_xlfn.ANCHORARRAY(D5)+0.15</f>
        <v>1.1499999999999999</v>
      </c>
      <c r="O5" cm="1">
        <f t="array" ref="O5">_xlfn.ANCHORARRAY(E5)+0.15</f>
        <v>3.15</v>
      </c>
      <c r="P5" cm="1">
        <f t="array" ref="P5">_xlfn.ANCHORARRAY(F5)+0.15</f>
        <v>4.6500000000000004</v>
      </c>
      <c r="Q5" cm="1">
        <f t="array" ref="Q5">_xlfn.ANCHORARRAY(G5)+0.15</f>
        <v>2.9</v>
      </c>
      <c r="R5" cm="1">
        <f t="array" ref="R5">_xlfn.ANCHORARRAY(H5)</f>
        <v>7.49</v>
      </c>
      <c r="S5" cm="1">
        <f t="array" ref="S5">_xlfn.ANCHORARRAY(R5)+0.15</f>
        <v>7.6400000000000006</v>
      </c>
      <c r="T5" cm="1">
        <f t="array" ref="T5">_xlfn.ANCHORARRAY(I5)+0.15</f>
        <v>1.1499999999999999</v>
      </c>
      <c r="U5" cm="1">
        <f t="array" ref="U5">_xlfn.ANCHORARRAY(J5)+0.15</f>
        <v>3.15</v>
      </c>
      <c r="V5" cm="1">
        <f t="array" ref="V5">_xlfn.ANCHORARRAY(K5)+0.15</f>
        <v>4.6500000000000004</v>
      </c>
      <c r="W5">
        <f>TBL_TEV[[#This Row],[Etica Rendita Bilanciata]]</f>
        <v>1.3674299999999999</v>
      </c>
      <c r="X5">
        <f>TBL_TEV[[#This Row],[Etica Obbligazionario Breve Termine]]</f>
        <v>0.177318</v>
      </c>
      <c r="Y5">
        <f>TBL_TEV[[#This Row],[Etica Obbligazionario Misto]]</f>
        <v>0.67133299999999996</v>
      </c>
      <c r="Z5">
        <f>TBL_TEV[[#This Row],[Etica Bilanciato]]</f>
        <v>2.0549550000000001</v>
      </c>
      <c r="AA5">
        <f>TBL_TEV[[#This Row],[Etica Azionario]]</f>
        <v>2.962342</v>
      </c>
      <c r="AB5">
        <f>TBL_TEV[[#This Row],[Etica Transizione Climatica]]</f>
        <v>1.840808</v>
      </c>
      <c r="AC5">
        <f>TBL_TEV[[#This Row],[Etica Obiettivo Sociale]]</f>
        <v>5.9834841183883647</v>
      </c>
      <c r="AD5">
        <f>TBL_TEV[[#This Row],[Etica Conservative Allocation]]</f>
        <v>0.71228899999999995</v>
      </c>
      <c r="AE5">
        <f>TBL_TEV[[#This Row],[Etica Dynamic Allocation]]</f>
        <v>2.0386039999999999</v>
      </c>
      <c r="AF5">
        <f>TBL_TEV[[#This Row],[Etica Global Equity]]</f>
        <v>2.9378950000000001</v>
      </c>
      <c r="AL5">
        <f ca="1"/>
        <v>1.36616</v>
      </c>
      <c r="AM5">
        <f ca="1"/>
        <v>0.17700099999999999</v>
      </c>
      <c r="AN5">
        <f ca="1"/>
        <v>0.67371400000000004</v>
      </c>
      <c r="AO5">
        <f ca="1"/>
        <v>2.0440019999999999</v>
      </c>
      <c r="AP5">
        <f ca="1"/>
        <v>2.9428160000000001</v>
      </c>
      <c r="AQ5">
        <f ca="1"/>
        <v>1.8506499999999999</v>
      </c>
      <c r="AR5">
        <f ca="1"/>
        <v>5.9795534815140243</v>
      </c>
      <c r="AS5">
        <f ca="1"/>
        <v>0.716893</v>
      </c>
      <c r="AT5">
        <f ca="1"/>
        <v>2.0624159999999998</v>
      </c>
      <c r="AU5">
        <f ca="1"/>
        <v>2.9839310000000001</v>
      </c>
    </row>
    <row r="6" spans="1:47">
      <c r="A6" s="43">
        <f>TBL_TEV[[#This Row],[Data2]]</f>
        <v>45299</v>
      </c>
      <c r="B6" cm="1">
        <f t="array" ref="B6">_xlfn.XLOOKUP(_xlfn.ANCHORARRAY(A6), TBL_Limiti_CDA[Data], TBL_Limiti_CDA[Etica Rendita Bilanciata], , -1)</f>
        <v>1.75</v>
      </c>
      <c r="C6" cm="1">
        <f t="array" ref="C6">_xlfn.XLOOKUP(_xlfn.ANCHORARRAY(A6), TBL_Limiti_CDA[Data], TBL_Limiti_CDA[Etica Obbligazionario Breve Termine], , -1)</f>
        <v>0.5</v>
      </c>
      <c r="D6" cm="1">
        <f t="array" ref="D6">_xlfn.XLOOKUP(_xlfn.ANCHORARRAY(A6), TBL_Limiti_CDA[Data], TBL_Limiti_CDA[Etica Obbligazionario Misto], , -1)</f>
        <v>1</v>
      </c>
      <c r="E6" cm="1">
        <f t="array" ref="E6">_xlfn.XLOOKUP(_xlfn.ANCHORARRAY(A6), TBL_Limiti_CDA[Data], TBL_Limiti_CDA[Etica Bilanciato], , -1)</f>
        <v>3</v>
      </c>
      <c r="F6" cm="1">
        <f t="array" ref="F6">_xlfn.XLOOKUP(_xlfn.ANCHORARRAY(A6), TBL_Limiti_CDA[Data], TBL_Limiti_CDA[Etica Azionario], , -1)</f>
        <v>4.5</v>
      </c>
      <c r="G6" cm="1">
        <f t="array" ref="G6">_xlfn.XLOOKUP(_xlfn.ANCHORARRAY(A6), TBL_Limiti_CDA[Data], TBL_Limiti_CDA[Etica Transizione Climatica], , -1)</f>
        <v>2.75</v>
      </c>
      <c r="H6" cm="1">
        <f t="array" ref="H6">_xlfn.XLOOKUP(_xlfn.ANCHORARRAY(A6), TBL_Limiti_CDA[Data], TBL_Limiti_CDA[Etica Obiettivo Sociale], , -1)</f>
        <v>7.49</v>
      </c>
      <c r="I6" cm="1">
        <f t="array" ref="I6">_xlfn.XLOOKUP(_xlfn.ANCHORARRAY(A6), TBL_Limiti_CDA[Data], TBL_Limiti_CDA[Etica Conservative Allocation], , -1)</f>
        <v>1</v>
      </c>
      <c r="J6" cm="1">
        <f t="array" ref="J6">_xlfn.XLOOKUP(_xlfn.ANCHORARRAY(A6), TBL_Limiti_CDA[Data], TBL_Limiti_CDA[Etica Dynamic Allocation], , -1)</f>
        <v>3</v>
      </c>
      <c r="K6" cm="1">
        <f t="array" ref="K6">_xlfn.XLOOKUP(_xlfn.ANCHORARRAY(A6), TBL_Limiti_CDA[Data], TBL_Limiti_CDA[Etica Global Equity], , -1)</f>
        <v>4.5</v>
      </c>
      <c r="L6" cm="1">
        <f t="array" ref="L6">_xlfn.ANCHORARRAY(B6)+0.15</f>
        <v>1.9</v>
      </c>
      <c r="M6" cm="1">
        <f t="array" ref="M6">_xlfn.ANCHORARRAY(C6)+0.1</f>
        <v>0.6</v>
      </c>
      <c r="N6" cm="1">
        <f t="array" ref="N6">_xlfn.ANCHORARRAY(D6)+0.15</f>
        <v>1.1499999999999999</v>
      </c>
      <c r="O6" cm="1">
        <f t="array" ref="O6">_xlfn.ANCHORARRAY(E6)+0.15</f>
        <v>3.15</v>
      </c>
      <c r="P6" cm="1">
        <f t="array" ref="P6">_xlfn.ANCHORARRAY(F6)+0.15</f>
        <v>4.6500000000000004</v>
      </c>
      <c r="Q6" cm="1">
        <f t="array" ref="Q6">_xlfn.ANCHORARRAY(G6)+0.15</f>
        <v>2.9</v>
      </c>
      <c r="R6" cm="1">
        <f t="array" ref="R6">_xlfn.ANCHORARRAY(H6)</f>
        <v>7.49</v>
      </c>
      <c r="S6" cm="1">
        <f t="array" ref="S6">_xlfn.ANCHORARRAY(R6)+0.15</f>
        <v>7.6400000000000006</v>
      </c>
      <c r="T6" cm="1">
        <f t="array" ref="T6">_xlfn.ANCHORARRAY(I6)+0.15</f>
        <v>1.1499999999999999</v>
      </c>
      <c r="U6" cm="1">
        <f t="array" ref="U6">_xlfn.ANCHORARRAY(J6)+0.15</f>
        <v>3.15</v>
      </c>
      <c r="V6" cm="1">
        <f t="array" ref="V6">_xlfn.ANCHORARRAY(K6)+0.15</f>
        <v>4.6500000000000004</v>
      </c>
      <c r="W6">
        <f>TBL_TEV[[#This Row],[Etica Rendita Bilanciata]]</f>
        <v>1.36616</v>
      </c>
      <c r="X6">
        <f>TBL_TEV[[#This Row],[Etica Obbligazionario Breve Termine]]</f>
        <v>0.17700099999999999</v>
      </c>
      <c r="Y6">
        <f>TBL_TEV[[#This Row],[Etica Obbligazionario Misto]]</f>
        <v>0.67371400000000004</v>
      </c>
      <c r="Z6">
        <f>TBL_TEV[[#This Row],[Etica Bilanciato]]</f>
        <v>2.0440019999999999</v>
      </c>
      <c r="AA6">
        <f>TBL_TEV[[#This Row],[Etica Azionario]]</f>
        <v>2.9428160000000001</v>
      </c>
      <c r="AB6">
        <f>TBL_TEV[[#This Row],[Etica Transizione Climatica]]</f>
        <v>1.8506499999999999</v>
      </c>
      <c r="AC6">
        <f>TBL_TEV[[#This Row],[Etica Obiettivo Sociale]]</f>
        <v>5.9795534815140243</v>
      </c>
      <c r="AD6">
        <f>TBL_TEV[[#This Row],[Etica Conservative Allocation]]</f>
        <v>0.716893</v>
      </c>
      <c r="AE6">
        <f>TBL_TEV[[#This Row],[Etica Dynamic Allocation]]</f>
        <v>2.0624159999999998</v>
      </c>
      <c r="AF6">
        <f>TBL_TEV[[#This Row],[Etica Global Equity]]</f>
        <v>2.9839310000000001</v>
      </c>
      <c r="AL6">
        <f ca="1"/>
        <v>1.3623499999999999</v>
      </c>
      <c r="AM6">
        <f ca="1"/>
        <v>0.17588999999999999</v>
      </c>
      <c r="AN6">
        <f ca="1"/>
        <v>0.66688800000000004</v>
      </c>
      <c r="AO6">
        <f ca="1"/>
        <v>2.0506690000000001</v>
      </c>
      <c r="AP6">
        <f ca="1"/>
        <v>2.9591669999999999</v>
      </c>
      <c r="AQ6">
        <f ca="1"/>
        <v>1.86208</v>
      </c>
      <c r="AR6">
        <f ca="1"/>
        <v>5.8988179380230985</v>
      </c>
      <c r="AS6">
        <f ca="1"/>
        <v>0.71848000000000001</v>
      </c>
      <c r="AT6">
        <f ca="1"/>
        <v>2.069242</v>
      </c>
      <c r="AU6">
        <f ca="1"/>
        <v>2.9842490000000002</v>
      </c>
    </row>
    <row r="7" spans="1:47">
      <c r="A7" s="43">
        <f>TBL_TEV[[#This Row],[Data2]]</f>
        <v>45300</v>
      </c>
      <c r="B7" cm="1">
        <f t="array" ref="B7">_xlfn.XLOOKUP(_xlfn.ANCHORARRAY(A7), TBL_Limiti_CDA[Data], TBL_Limiti_CDA[Etica Rendita Bilanciata], , -1)</f>
        <v>1.75</v>
      </c>
      <c r="C7" cm="1">
        <f t="array" ref="C7">_xlfn.XLOOKUP(_xlfn.ANCHORARRAY(A7), TBL_Limiti_CDA[Data], TBL_Limiti_CDA[Etica Obbligazionario Breve Termine], , -1)</f>
        <v>0.5</v>
      </c>
      <c r="D7" cm="1">
        <f t="array" ref="D7">_xlfn.XLOOKUP(_xlfn.ANCHORARRAY(A7), TBL_Limiti_CDA[Data], TBL_Limiti_CDA[Etica Obbligazionario Misto], , -1)</f>
        <v>1</v>
      </c>
      <c r="E7" cm="1">
        <f t="array" ref="E7">_xlfn.XLOOKUP(_xlfn.ANCHORARRAY(A7), TBL_Limiti_CDA[Data], TBL_Limiti_CDA[Etica Bilanciato], , -1)</f>
        <v>3</v>
      </c>
      <c r="F7" cm="1">
        <f t="array" ref="F7">_xlfn.XLOOKUP(_xlfn.ANCHORARRAY(A7), TBL_Limiti_CDA[Data], TBL_Limiti_CDA[Etica Azionario], , -1)</f>
        <v>4.5</v>
      </c>
      <c r="G7" cm="1">
        <f t="array" ref="G7">_xlfn.XLOOKUP(_xlfn.ANCHORARRAY(A7), TBL_Limiti_CDA[Data], TBL_Limiti_CDA[Etica Transizione Climatica], , -1)</f>
        <v>2.75</v>
      </c>
      <c r="H7" cm="1">
        <f t="array" ref="H7">_xlfn.XLOOKUP(_xlfn.ANCHORARRAY(A7), TBL_Limiti_CDA[Data], TBL_Limiti_CDA[Etica Obiettivo Sociale], , -1)</f>
        <v>7.49</v>
      </c>
      <c r="I7" cm="1">
        <f t="array" ref="I7">_xlfn.XLOOKUP(_xlfn.ANCHORARRAY(A7), TBL_Limiti_CDA[Data], TBL_Limiti_CDA[Etica Conservative Allocation], , -1)</f>
        <v>1</v>
      </c>
      <c r="J7" cm="1">
        <f t="array" ref="J7">_xlfn.XLOOKUP(_xlfn.ANCHORARRAY(A7), TBL_Limiti_CDA[Data], TBL_Limiti_CDA[Etica Dynamic Allocation], , -1)</f>
        <v>3</v>
      </c>
      <c r="K7" cm="1">
        <f t="array" ref="K7">_xlfn.XLOOKUP(_xlfn.ANCHORARRAY(A7), TBL_Limiti_CDA[Data], TBL_Limiti_CDA[Etica Global Equity], , -1)</f>
        <v>4.5</v>
      </c>
      <c r="L7" cm="1">
        <f t="array" ref="L7">_xlfn.ANCHORARRAY(B7)+0.15</f>
        <v>1.9</v>
      </c>
      <c r="M7" cm="1">
        <f t="array" ref="M7">_xlfn.ANCHORARRAY(C7)+0.1</f>
        <v>0.6</v>
      </c>
      <c r="N7" cm="1">
        <f t="array" ref="N7">_xlfn.ANCHORARRAY(D7)+0.15</f>
        <v>1.1499999999999999</v>
      </c>
      <c r="O7" cm="1">
        <f t="array" ref="O7">_xlfn.ANCHORARRAY(E7)+0.15</f>
        <v>3.15</v>
      </c>
      <c r="P7" cm="1">
        <f t="array" ref="P7">_xlfn.ANCHORARRAY(F7)+0.15</f>
        <v>4.6500000000000004</v>
      </c>
      <c r="Q7" cm="1">
        <f t="array" ref="Q7">_xlfn.ANCHORARRAY(G7)+0.15</f>
        <v>2.9</v>
      </c>
      <c r="R7" cm="1">
        <f t="array" ref="R7">_xlfn.ANCHORARRAY(H7)</f>
        <v>7.49</v>
      </c>
      <c r="S7" cm="1">
        <f t="array" ref="S7">_xlfn.ANCHORARRAY(R7)+0.15</f>
        <v>7.6400000000000006</v>
      </c>
      <c r="T7" cm="1">
        <f t="array" ref="T7">_xlfn.ANCHORARRAY(I7)+0.15</f>
        <v>1.1499999999999999</v>
      </c>
      <c r="U7" cm="1">
        <f t="array" ref="U7">_xlfn.ANCHORARRAY(J7)+0.15</f>
        <v>3.15</v>
      </c>
      <c r="V7" cm="1">
        <f t="array" ref="V7">_xlfn.ANCHORARRAY(K7)+0.15</f>
        <v>4.6500000000000004</v>
      </c>
      <c r="W7">
        <f>TBL_TEV[[#This Row],[Etica Rendita Bilanciata]]</f>
        <v>1.3623499999999999</v>
      </c>
      <c r="X7">
        <f>TBL_TEV[[#This Row],[Etica Obbligazionario Breve Termine]]</f>
        <v>0.17588999999999999</v>
      </c>
      <c r="Y7">
        <f>TBL_TEV[[#This Row],[Etica Obbligazionario Misto]]</f>
        <v>0.66688800000000004</v>
      </c>
      <c r="Z7">
        <f>TBL_TEV[[#This Row],[Etica Bilanciato]]</f>
        <v>2.0506690000000001</v>
      </c>
      <c r="AA7">
        <f>TBL_TEV[[#This Row],[Etica Azionario]]</f>
        <v>2.9591669999999999</v>
      </c>
      <c r="AB7">
        <f>TBL_TEV[[#This Row],[Etica Transizione Climatica]]</f>
        <v>1.86208</v>
      </c>
      <c r="AC7">
        <f>TBL_TEV[[#This Row],[Etica Obiettivo Sociale]]</f>
        <v>5.8988179380230985</v>
      </c>
      <c r="AD7">
        <f>TBL_TEV[[#This Row],[Etica Conservative Allocation]]</f>
        <v>0.71848000000000001</v>
      </c>
      <c r="AE7">
        <f>TBL_TEV[[#This Row],[Etica Dynamic Allocation]]</f>
        <v>2.069242</v>
      </c>
      <c r="AF7">
        <f>TBL_TEV[[#This Row],[Etica Global Equity]]</f>
        <v>2.9842490000000002</v>
      </c>
      <c r="AL7">
        <f ca="1"/>
        <v>1.353461</v>
      </c>
      <c r="AM7">
        <f ca="1"/>
        <v>0.177477</v>
      </c>
      <c r="AN7">
        <f ca="1"/>
        <v>0.65990300000000002</v>
      </c>
      <c r="AO7">
        <f ca="1"/>
        <v>2.0343179999999998</v>
      </c>
      <c r="AP7">
        <f ca="1"/>
        <v>2.939006</v>
      </c>
      <c r="AQ7">
        <f ca="1"/>
        <v>1.859381</v>
      </c>
      <c r="AR7">
        <f ca="1"/>
        <v>5.8304006116530749</v>
      </c>
      <c r="AS7">
        <f ca="1"/>
        <v>0.71784499999999996</v>
      </c>
      <c r="AT7">
        <f ca="1"/>
        <v>2.0635270000000001</v>
      </c>
      <c r="AU7">
        <f ca="1"/>
        <v>2.9763109999999999</v>
      </c>
    </row>
    <row r="8" spans="1:47">
      <c r="A8" s="43">
        <f>TBL_TEV[[#This Row],[Data2]]</f>
        <v>45301</v>
      </c>
      <c r="B8" cm="1">
        <f t="array" ref="B8">_xlfn.XLOOKUP(_xlfn.ANCHORARRAY(A8), TBL_Limiti_CDA[Data], TBL_Limiti_CDA[Etica Rendita Bilanciata], , -1)</f>
        <v>1.75</v>
      </c>
      <c r="C8" cm="1">
        <f t="array" ref="C8">_xlfn.XLOOKUP(_xlfn.ANCHORARRAY(A8), TBL_Limiti_CDA[Data], TBL_Limiti_CDA[Etica Obbligazionario Breve Termine], , -1)</f>
        <v>0.5</v>
      </c>
      <c r="D8" cm="1">
        <f t="array" ref="D8">_xlfn.XLOOKUP(_xlfn.ANCHORARRAY(A8), TBL_Limiti_CDA[Data], TBL_Limiti_CDA[Etica Obbligazionario Misto], , -1)</f>
        <v>1</v>
      </c>
      <c r="E8" cm="1">
        <f t="array" ref="E8">_xlfn.XLOOKUP(_xlfn.ANCHORARRAY(A8), TBL_Limiti_CDA[Data], TBL_Limiti_CDA[Etica Bilanciato], , -1)</f>
        <v>3</v>
      </c>
      <c r="F8" cm="1">
        <f t="array" ref="F8">_xlfn.XLOOKUP(_xlfn.ANCHORARRAY(A8), TBL_Limiti_CDA[Data], TBL_Limiti_CDA[Etica Azionario], , -1)</f>
        <v>4.5</v>
      </c>
      <c r="G8" cm="1">
        <f t="array" ref="G8">_xlfn.XLOOKUP(_xlfn.ANCHORARRAY(A8), TBL_Limiti_CDA[Data], TBL_Limiti_CDA[Etica Transizione Climatica], , -1)</f>
        <v>2.75</v>
      </c>
      <c r="H8" cm="1">
        <f t="array" ref="H8">_xlfn.XLOOKUP(_xlfn.ANCHORARRAY(A8), TBL_Limiti_CDA[Data], TBL_Limiti_CDA[Etica Obiettivo Sociale], , -1)</f>
        <v>7.49</v>
      </c>
      <c r="I8" cm="1">
        <f t="array" ref="I8">_xlfn.XLOOKUP(_xlfn.ANCHORARRAY(A8), TBL_Limiti_CDA[Data], TBL_Limiti_CDA[Etica Conservative Allocation], , -1)</f>
        <v>1</v>
      </c>
      <c r="J8" cm="1">
        <f t="array" ref="J8">_xlfn.XLOOKUP(_xlfn.ANCHORARRAY(A8), TBL_Limiti_CDA[Data], TBL_Limiti_CDA[Etica Dynamic Allocation], , -1)</f>
        <v>3</v>
      </c>
      <c r="K8" cm="1">
        <f t="array" ref="K8">_xlfn.XLOOKUP(_xlfn.ANCHORARRAY(A8), TBL_Limiti_CDA[Data], TBL_Limiti_CDA[Etica Global Equity], , -1)</f>
        <v>4.5</v>
      </c>
      <c r="L8" cm="1">
        <f t="array" ref="L8">_xlfn.ANCHORARRAY(B8)+0.15</f>
        <v>1.9</v>
      </c>
      <c r="M8" cm="1">
        <f t="array" ref="M8">_xlfn.ANCHORARRAY(C8)+0.1</f>
        <v>0.6</v>
      </c>
      <c r="N8" cm="1">
        <f t="array" ref="N8">_xlfn.ANCHORARRAY(D8)+0.15</f>
        <v>1.1499999999999999</v>
      </c>
      <c r="O8" cm="1">
        <f t="array" ref="O8">_xlfn.ANCHORARRAY(E8)+0.15</f>
        <v>3.15</v>
      </c>
      <c r="P8" cm="1">
        <f t="array" ref="P8">_xlfn.ANCHORARRAY(F8)+0.15</f>
        <v>4.6500000000000004</v>
      </c>
      <c r="Q8" cm="1">
        <f t="array" ref="Q8">_xlfn.ANCHORARRAY(G8)+0.15</f>
        <v>2.9</v>
      </c>
      <c r="R8" cm="1">
        <f t="array" ref="R8">_xlfn.ANCHORARRAY(H8)</f>
        <v>7.49</v>
      </c>
      <c r="S8" cm="1">
        <f t="array" ref="S8">_xlfn.ANCHORARRAY(R8)+0.15</f>
        <v>7.6400000000000006</v>
      </c>
      <c r="T8" cm="1">
        <f t="array" ref="T8">_xlfn.ANCHORARRAY(I8)+0.15</f>
        <v>1.1499999999999999</v>
      </c>
      <c r="U8" cm="1">
        <f t="array" ref="U8">_xlfn.ANCHORARRAY(J8)+0.15</f>
        <v>3.15</v>
      </c>
      <c r="V8" cm="1">
        <f t="array" ref="V8">_xlfn.ANCHORARRAY(K8)+0.15</f>
        <v>4.6500000000000004</v>
      </c>
      <c r="W8">
        <f>TBL_TEV[[#This Row],[Etica Rendita Bilanciata]]</f>
        <v>1.353461</v>
      </c>
      <c r="X8">
        <f>TBL_TEV[[#This Row],[Etica Obbligazionario Breve Termine]]</f>
        <v>0.177477</v>
      </c>
      <c r="Y8">
        <f>TBL_TEV[[#This Row],[Etica Obbligazionario Misto]]</f>
        <v>0.65990300000000002</v>
      </c>
      <c r="Z8">
        <f>TBL_TEV[[#This Row],[Etica Bilanciato]]</f>
        <v>2.0343179999999998</v>
      </c>
      <c r="AA8">
        <f>TBL_TEV[[#This Row],[Etica Azionario]]</f>
        <v>2.939006</v>
      </c>
      <c r="AB8">
        <f>TBL_TEV[[#This Row],[Etica Transizione Climatica]]</f>
        <v>1.859381</v>
      </c>
      <c r="AC8">
        <f>TBL_TEV[[#This Row],[Etica Obiettivo Sociale]]</f>
        <v>5.8304006116530749</v>
      </c>
      <c r="AD8">
        <f>TBL_TEV[[#This Row],[Etica Conservative Allocation]]</f>
        <v>0.71784499999999996</v>
      </c>
      <c r="AE8">
        <f>TBL_TEV[[#This Row],[Etica Dynamic Allocation]]</f>
        <v>2.0635270000000001</v>
      </c>
      <c r="AF8">
        <f>TBL_TEV[[#This Row],[Etica Global Equity]]</f>
        <v>2.9763109999999999</v>
      </c>
      <c r="AL8">
        <f ca="1"/>
        <v>1.3448880000000001</v>
      </c>
      <c r="AM8">
        <f ca="1"/>
        <v>0.177318</v>
      </c>
      <c r="AN8">
        <f ca="1"/>
        <v>0.65704600000000002</v>
      </c>
      <c r="AO8">
        <f ca="1"/>
        <v>2.0182850000000001</v>
      </c>
      <c r="AP8">
        <f ca="1"/>
        <v>2.9147180000000001</v>
      </c>
      <c r="AQ8">
        <f ca="1"/>
        <v>1.854619</v>
      </c>
      <c r="AR8">
        <f ca="1"/>
        <v>5.7935550932780311</v>
      </c>
      <c r="AS8">
        <f ca="1"/>
        <v>0.71149499999999999</v>
      </c>
      <c r="AT8">
        <f ca="1"/>
        <v>2.0543200000000001</v>
      </c>
      <c r="AU8">
        <f ca="1"/>
        <v>2.972343</v>
      </c>
    </row>
    <row r="9" spans="1:47">
      <c r="A9" s="43">
        <f>TBL_TEV[[#This Row],[Data2]]</f>
        <v>45302</v>
      </c>
      <c r="B9" cm="1">
        <f t="array" ref="B9">_xlfn.XLOOKUP(_xlfn.ANCHORARRAY(A9), TBL_Limiti_CDA[Data], TBL_Limiti_CDA[Etica Rendita Bilanciata], , -1)</f>
        <v>1.75</v>
      </c>
      <c r="C9" cm="1">
        <f t="array" ref="C9">_xlfn.XLOOKUP(_xlfn.ANCHORARRAY(A9), TBL_Limiti_CDA[Data], TBL_Limiti_CDA[Etica Obbligazionario Breve Termine], , -1)</f>
        <v>0.5</v>
      </c>
      <c r="D9" cm="1">
        <f t="array" ref="D9">_xlfn.XLOOKUP(_xlfn.ANCHORARRAY(A9), TBL_Limiti_CDA[Data], TBL_Limiti_CDA[Etica Obbligazionario Misto], , -1)</f>
        <v>1</v>
      </c>
      <c r="E9" cm="1">
        <f t="array" ref="E9">_xlfn.XLOOKUP(_xlfn.ANCHORARRAY(A9), TBL_Limiti_CDA[Data], TBL_Limiti_CDA[Etica Bilanciato], , -1)</f>
        <v>3</v>
      </c>
      <c r="F9" cm="1">
        <f t="array" ref="F9">_xlfn.XLOOKUP(_xlfn.ANCHORARRAY(A9), TBL_Limiti_CDA[Data], TBL_Limiti_CDA[Etica Azionario], , -1)</f>
        <v>4.5</v>
      </c>
      <c r="G9" cm="1">
        <f t="array" ref="G9">_xlfn.XLOOKUP(_xlfn.ANCHORARRAY(A9), TBL_Limiti_CDA[Data], TBL_Limiti_CDA[Etica Transizione Climatica], , -1)</f>
        <v>2.75</v>
      </c>
      <c r="H9" cm="1">
        <f t="array" ref="H9">_xlfn.XLOOKUP(_xlfn.ANCHORARRAY(A9), TBL_Limiti_CDA[Data], TBL_Limiti_CDA[Etica Obiettivo Sociale], , -1)</f>
        <v>7.49</v>
      </c>
      <c r="I9" cm="1">
        <f t="array" ref="I9">_xlfn.XLOOKUP(_xlfn.ANCHORARRAY(A9), TBL_Limiti_CDA[Data], TBL_Limiti_CDA[Etica Conservative Allocation], , -1)</f>
        <v>1</v>
      </c>
      <c r="J9" cm="1">
        <f t="array" ref="J9">_xlfn.XLOOKUP(_xlfn.ANCHORARRAY(A9), TBL_Limiti_CDA[Data], TBL_Limiti_CDA[Etica Dynamic Allocation], , -1)</f>
        <v>3</v>
      </c>
      <c r="K9" cm="1">
        <f t="array" ref="K9">_xlfn.XLOOKUP(_xlfn.ANCHORARRAY(A9), TBL_Limiti_CDA[Data], TBL_Limiti_CDA[Etica Global Equity], , -1)</f>
        <v>4.5</v>
      </c>
      <c r="L9" cm="1">
        <f t="array" ref="L9">_xlfn.ANCHORARRAY(B9)+0.15</f>
        <v>1.9</v>
      </c>
      <c r="M9" cm="1">
        <f t="array" ref="M9">_xlfn.ANCHORARRAY(C9)+0.1</f>
        <v>0.6</v>
      </c>
      <c r="N9" cm="1">
        <f t="array" ref="N9">_xlfn.ANCHORARRAY(D9)+0.15</f>
        <v>1.1499999999999999</v>
      </c>
      <c r="O9" cm="1">
        <f t="array" ref="O9">_xlfn.ANCHORARRAY(E9)+0.15</f>
        <v>3.15</v>
      </c>
      <c r="P9" cm="1">
        <f t="array" ref="P9">_xlfn.ANCHORARRAY(F9)+0.15</f>
        <v>4.6500000000000004</v>
      </c>
      <c r="Q9" cm="1">
        <f t="array" ref="Q9">_xlfn.ANCHORARRAY(G9)+0.15</f>
        <v>2.9</v>
      </c>
      <c r="R9" cm="1">
        <f t="array" ref="R9">_xlfn.ANCHORARRAY(H9)</f>
        <v>7.49</v>
      </c>
      <c r="S9" cm="1">
        <f t="array" ref="S9">_xlfn.ANCHORARRAY(R9)+0.15</f>
        <v>7.6400000000000006</v>
      </c>
      <c r="T9" cm="1">
        <f t="array" ref="T9">_xlfn.ANCHORARRAY(I9)+0.15</f>
        <v>1.1499999999999999</v>
      </c>
      <c r="U9" cm="1">
        <f t="array" ref="U9">_xlfn.ANCHORARRAY(J9)+0.15</f>
        <v>3.15</v>
      </c>
      <c r="V9" cm="1">
        <f t="array" ref="V9">_xlfn.ANCHORARRAY(K9)+0.15</f>
        <v>4.6500000000000004</v>
      </c>
      <c r="W9">
        <f>TBL_TEV[[#This Row],[Etica Rendita Bilanciata]]</f>
        <v>1.3448880000000001</v>
      </c>
      <c r="X9">
        <f>TBL_TEV[[#This Row],[Etica Obbligazionario Breve Termine]]</f>
        <v>0.177318</v>
      </c>
      <c r="Y9">
        <f>TBL_TEV[[#This Row],[Etica Obbligazionario Misto]]</f>
        <v>0.65704600000000002</v>
      </c>
      <c r="Z9">
        <f>TBL_TEV[[#This Row],[Etica Bilanciato]]</f>
        <v>2.0182850000000001</v>
      </c>
      <c r="AA9">
        <f>TBL_TEV[[#This Row],[Etica Azionario]]</f>
        <v>2.9147180000000001</v>
      </c>
      <c r="AB9">
        <f>TBL_TEV[[#This Row],[Etica Transizione Climatica]]</f>
        <v>1.854619</v>
      </c>
      <c r="AC9">
        <f>TBL_TEV[[#This Row],[Etica Obiettivo Sociale]]</f>
        <v>5.7935550932780311</v>
      </c>
      <c r="AD9">
        <f>TBL_TEV[[#This Row],[Etica Conservative Allocation]]</f>
        <v>0.71149499999999999</v>
      </c>
      <c r="AE9">
        <f>TBL_TEV[[#This Row],[Etica Dynamic Allocation]]</f>
        <v>2.0543200000000001</v>
      </c>
      <c r="AF9">
        <f>TBL_TEV[[#This Row],[Etica Global Equity]]</f>
        <v>2.972343</v>
      </c>
      <c r="AL9">
        <f ca="1"/>
        <v>1.329966</v>
      </c>
      <c r="AM9">
        <f ca="1"/>
        <v>0.17779400000000001</v>
      </c>
      <c r="AN9">
        <f ca="1"/>
        <v>0.65434700000000001</v>
      </c>
      <c r="AO9">
        <f ca="1"/>
        <v>1.9901869999999999</v>
      </c>
      <c r="AP9">
        <f ca="1"/>
        <v>2.8726509999999998</v>
      </c>
      <c r="AQ9">
        <f ca="1"/>
        <v>1.831601</v>
      </c>
      <c r="AR9">
        <f ca="1"/>
        <v>5.7776225880288496</v>
      </c>
      <c r="AS9">
        <f ca="1"/>
        <v>0.71117799999999998</v>
      </c>
      <c r="AT9">
        <f ca="1"/>
        <v>2.06575</v>
      </c>
      <c r="AU9">
        <f ca="1"/>
        <v>2.9975830000000001</v>
      </c>
    </row>
    <row r="10" spans="1:47">
      <c r="A10" s="43">
        <f>TBL_TEV[[#This Row],[Data2]]</f>
        <v>45303</v>
      </c>
      <c r="B10" cm="1">
        <f t="array" ref="B10">_xlfn.XLOOKUP(_xlfn.ANCHORARRAY(A10), TBL_Limiti_CDA[Data], TBL_Limiti_CDA[Etica Rendita Bilanciata], , -1)</f>
        <v>1.75</v>
      </c>
      <c r="C10" cm="1">
        <f t="array" ref="C10">_xlfn.XLOOKUP(_xlfn.ANCHORARRAY(A10), TBL_Limiti_CDA[Data], TBL_Limiti_CDA[Etica Obbligazionario Breve Termine], , -1)</f>
        <v>0.5</v>
      </c>
      <c r="D10" cm="1">
        <f t="array" ref="D10">_xlfn.XLOOKUP(_xlfn.ANCHORARRAY(A10), TBL_Limiti_CDA[Data], TBL_Limiti_CDA[Etica Obbligazionario Misto], , -1)</f>
        <v>1</v>
      </c>
      <c r="E10" cm="1">
        <f t="array" ref="E10">_xlfn.XLOOKUP(_xlfn.ANCHORARRAY(A10), TBL_Limiti_CDA[Data], TBL_Limiti_CDA[Etica Bilanciato], , -1)</f>
        <v>3</v>
      </c>
      <c r="F10" cm="1">
        <f t="array" ref="F10">_xlfn.XLOOKUP(_xlfn.ANCHORARRAY(A10), TBL_Limiti_CDA[Data], TBL_Limiti_CDA[Etica Azionario], , -1)</f>
        <v>4.5</v>
      </c>
      <c r="G10" cm="1">
        <f t="array" ref="G10">_xlfn.XLOOKUP(_xlfn.ANCHORARRAY(A10), TBL_Limiti_CDA[Data], TBL_Limiti_CDA[Etica Transizione Climatica], , -1)</f>
        <v>2.75</v>
      </c>
      <c r="H10" cm="1">
        <f t="array" ref="H10">_xlfn.XLOOKUP(_xlfn.ANCHORARRAY(A10), TBL_Limiti_CDA[Data], TBL_Limiti_CDA[Etica Obiettivo Sociale], , -1)</f>
        <v>7.49</v>
      </c>
      <c r="I10" cm="1">
        <f t="array" ref="I10">_xlfn.XLOOKUP(_xlfn.ANCHORARRAY(A10), TBL_Limiti_CDA[Data], TBL_Limiti_CDA[Etica Conservative Allocation], , -1)</f>
        <v>1</v>
      </c>
      <c r="J10" cm="1">
        <f t="array" ref="J10">_xlfn.XLOOKUP(_xlfn.ANCHORARRAY(A10), TBL_Limiti_CDA[Data], TBL_Limiti_CDA[Etica Dynamic Allocation], , -1)</f>
        <v>3</v>
      </c>
      <c r="K10" cm="1">
        <f t="array" ref="K10">_xlfn.XLOOKUP(_xlfn.ANCHORARRAY(A10), TBL_Limiti_CDA[Data], TBL_Limiti_CDA[Etica Global Equity], , -1)</f>
        <v>4.5</v>
      </c>
      <c r="L10" cm="1">
        <f t="array" ref="L10">_xlfn.ANCHORARRAY(B10)+0.15</f>
        <v>1.9</v>
      </c>
      <c r="M10" cm="1">
        <f t="array" ref="M10">_xlfn.ANCHORARRAY(C10)+0.1</f>
        <v>0.6</v>
      </c>
      <c r="N10" cm="1">
        <f t="array" ref="N10">_xlfn.ANCHORARRAY(D10)+0.15</f>
        <v>1.1499999999999999</v>
      </c>
      <c r="O10" cm="1">
        <f t="array" ref="O10">_xlfn.ANCHORARRAY(E10)+0.15</f>
        <v>3.15</v>
      </c>
      <c r="P10" cm="1">
        <f t="array" ref="P10">_xlfn.ANCHORARRAY(F10)+0.15</f>
        <v>4.6500000000000004</v>
      </c>
      <c r="Q10" cm="1">
        <f t="array" ref="Q10">_xlfn.ANCHORARRAY(G10)+0.15</f>
        <v>2.9</v>
      </c>
      <c r="R10" cm="1">
        <f t="array" ref="R10">_xlfn.ANCHORARRAY(H10)</f>
        <v>7.49</v>
      </c>
      <c r="S10" cm="1">
        <f t="array" ref="S10">_xlfn.ANCHORARRAY(R10)+0.15</f>
        <v>7.6400000000000006</v>
      </c>
      <c r="T10" cm="1">
        <f t="array" ref="T10">_xlfn.ANCHORARRAY(I10)+0.15</f>
        <v>1.1499999999999999</v>
      </c>
      <c r="U10" cm="1">
        <f t="array" ref="U10">_xlfn.ANCHORARRAY(J10)+0.15</f>
        <v>3.15</v>
      </c>
      <c r="V10" cm="1">
        <f t="array" ref="V10">_xlfn.ANCHORARRAY(K10)+0.15</f>
        <v>4.6500000000000004</v>
      </c>
      <c r="W10">
        <f>TBL_TEV[[#This Row],[Etica Rendita Bilanciata]]</f>
        <v>1.329966</v>
      </c>
      <c r="X10">
        <f>TBL_TEV[[#This Row],[Etica Obbligazionario Breve Termine]]</f>
        <v>0.17779400000000001</v>
      </c>
      <c r="Y10">
        <f>TBL_TEV[[#This Row],[Etica Obbligazionario Misto]]</f>
        <v>0.65434700000000001</v>
      </c>
      <c r="Z10">
        <f>TBL_TEV[[#This Row],[Etica Bilanciato]]</f>
        <v>1.9901869999999999</v>
      </c>
      <c r="AA10">
        <f>TBL_TEV[[#This Row],[Etica Azionario]]</f>
        <v>2.8726509999999998</v>
      </c>
      <c r="AB10">
        <f>TBL_TEV[[#This Row],[Etica Transizione Climatica]]</f>
        <v>1.831601</v>
      </c>
      <c r="AC10">
        <f>TBL_TEV[[#This Row],[Etica Obiettivo Sociale]]</f>
        <v>5.7776225880288496</v>
      </c>
      <c r="AD10">
        <f>TBL_TEV[[#This Row],[Etica Conservative Allocation]]</f>
        <v>0.71117799999999998</v>
      </c>
      <c r="AE10">
        <f>TBL_TEV[[#This Row],[Etica Dynamic Allocation]]</f>
        <v>2.06575</v>
      </c>
      <c r="AF10">
        <f>TBL_TEV[[#This Row],[Etica Global Equity]]</f>
        <v>2.9975830000000001</v>
      </c>
      <c r="AL10">
        <f ca="1"/>
        <v>1.319807</v>
      </c>
      <c r="AM10">
        <f ca="1"/>
        <v>0.17636599999999999</v>
      </c>
      <c r="AN10">
        <f ca="1"/>
        <v>0.64688599999999996</v>
      </c>
      <c r="AO10">
        <f ca="1"/>
        <v>1.975741</v>
      </c>
      <c r="AP10">
        <f ca="1"/>
        <v>2.8540779999999999</v>
      </c>
      <c r="AQ10">
        <f ca="1"/>
        <v>1.813504</v>
      </c>
      <c r="AR10">
        <f ca="1"/>
        <v>5.7513380734199684</v>
      </c>
      <c r="AS10">
        <f ca="1"/>
        <v>0.71054300000000004</v>
      </c>
      <c r="AT10">
        <f ca="1"/>
        <v>2.0641620000000001</v>
      </c>
      <c r="AU10">
        <f ca="1"/>
        <v>2.9720249999999999</v>
      </c>
    </row>
    <row r="11" spans="1:47">
      <c r="A11" s="43">
        <f>TBL_TEV[[#This Row],[Data2]]</f>
        <v>45306</v>
      </c>
      <c r="B11" cm="1">
        <f t="array" ref="B11">_xlfn.XLOOKUP(_xlfn.ANCHORARRAY(A11), TBL_Limiti_CDA[Data], TBL_Limiti_CDA[Etica Rendita Bilanciata], , -1)</f>
        <v>1.75</v>
      </c>
      <c r="C11" cm="1">
        <f t="array" ref="C11">_xlfn.XLOOKUP(_xlfn.ANCHORARRAY(A11), TBL_Limiti_CDA[Data], TBL_Limiti_CDA[Etica Obbligazionario Breve Termine], , -1)</f>
        <v>0.5</v>
      </c>
      <c r="D11" cm="1">
        <f t="array" ref="D11">_xlfn.XLOOKUP(_xlfn.ANCHORARRAY(A11), TBL_Limiti_CDA[Data], TBL_Limiti_CDA[Etica Obbligazionario Misto], , -1)</f>
        <v>1</v>
      </c>
      <c r="E11" cm="1">
        <f t="array" ref="E11">_xlfn.XLOOKUP(_xlfn.ANCHORARRAY(A11), TBL_Limiti_CDA[Data], TBL_Limiti_CDA[Etica Bilanciato], , -1)</f>
        <v>3</v>
      </c>
      <c r="F11" cm="1">
        <f t="array" ref="F11">_xlfn.XLOOKUP(_xlfn.ANCHORARRAY(A11), TBL_Limiti_CDA[Data], TBL_Limiti_CDA[Etica Azionario], , -1)</f>
        <v>4.5</v>
      </c>
      <c r="G11" cm="1">
        <f t="array" ref="G11">_xlfn.XLOOKUP(_xlfn.ANCHORARRAY(A11), TBL_Limiti_CDA[Data], TBL_Limiti_CDA[Etica Transizione Climatica], , -1)</f>
        <v>2.75</v>
      </c>
      <c r="H11" cm="1">
        <f t="array" ref="H11">_xlfn.XLOOKUP(_xlfn.ANCHORARRAY(A11), TBL_Limiti_CDA[Data], TBL_Limiti_CDA[Etica Obiettivo Sociale], , -1)</f>
        <v>7.49</v>
      </c>
      <c r="I11" cm="1">
        <f t="array" ref="I11">_xlfn.XLOOKUP(_xlfn.ANCHORARRAY(A11), TBL_Limiti_CDA[Data], TBL_Limiti_CDA[Etica Conservative Allocation], , -1)</f>
        <v>1</v>
      </c>
      <c r="J11" cm="1">
        <f t="array" ref="J11">_xlfn.XLOOKUP(_xlfn.ANCHORARRAY(A11), TBL_Limiti_CDA[Data], TBL_Limiti_CDA[Etica Dynamic Allocation], , -1)</f>
        <v>3</v>
      </c>
      <c r="K11" cm="1">
        <f t="array" ref="K11">_xlfn.XLOOKUP(_xlfn.ANCHORARRAY(A11), TBL_Limiti_CDA[Data], TBL_Limiti_CDA[Etica Global Equity], , -1)</f>
        <v>4.5</v>
      </c>
      <c r="L11" cm="1">
        <f t="array" ref="L11">_xlfn.ANCHORARRAY(B11)+0.15</f>
        <v>1.9</v>
      </c>
      <c r="M11" cm="1">
        <f t="array" ref="M11">_xlfn.ANCHORARRAY(C11)+0.1</f>
        <v>0.6</v>
      </c>
      <c r="N11" cm="1">
        <f t="array" ref="N11">_xlfn.ANCHORARRAY(D11)+0.15</f>
        <v>1.1499999999999999</v>
      </c>
      <c r="O11" cm="1">
        <f t="array" ref="O11">_xlfn.ANCHORARRAY(E11)+0.15</f>
        <v>3.15</v>
      </c>
      <c r="P11" cm="1">
        <f t="array" ref="P11">_xlfn.ANCHORARRAY(F11)+0.15</f>
        <v>4.6500000000000004</v>
      </c>
      <c r="Q11" cm="1">
        <f t="array" ref="Q11">_xlfn.ANCHORARRAY(G11)+0.15</f>
        <v>2.9</v>
      </c>
      <c r="R11" cm="1">
        <f t="array" ref="R11">_xlfn.ANCHORARRAY(H11)</f>
        <v>7.49</v>
      </c>
      <c r="S11" cm="1">
        <f t="array" ref="S11">_xlfn.ANCHORARRAY(R11)+0.15</f>
        <v>7.6400000000000006</v>
      </c>
      <c r="T11" cm="1">
        <f t="array" ref="T11">_xlfn.ANCHORARRAY(I11)+0.15</f>
        <v>1.1499999999999999</v>
      </c>
      <c r="U11" cm="1">
        <f t="array" ref="U11">_xlfn.ANCHORARRAY(J11)+0.15</f>
        <v>3.15</v>
      </c>
      <c r="V11" cm="1">
        <f t="array" ref="V11">_xlfn.ANCHORARRAY(K11)+0.15</f>
        <v>4.6500000000000004</v>
      </c>
      <c r="W11">
        <f>TBL_TEV[[#This Row],[Etica Rendita Bilanciata]]</f>
        <v>1.319807</v>
      </c>
      <c r="X11">
        <f>TBL_TEV[[#This Row],[Etica Obbligazionario Breve Termine]]</f>
        <v>0.17636599999999999</v>
      </c>
      <c r="Y11">
        <f>TBL_TEV[[#This Row],[Etica Obbligazionario Misto]]</f>
        <v>0.64688599999999996</v>
      </c>
      <c r="Z11">
        <f>TBL_TEV[[#This Row],[Etica Bilanciato]]</f>
        <v>1.975741</v>
      </c>
      <c r="AA11">
        <f>TBL_TEV[[#This Row],[Etica Azionario]]</f>
        <v>2.8540779999999999</v>
      </c>
      <c r="AB11">
        <f>TBL_TEV[[#This Row],[Etica Transizione Climatica]]</f>
        <v>1.813504</v>
      </c>
      <c r="AC11">
        <f>TBL_TEV[[#This Row],[Etica Obiettivo Sociale]]</f>
        <v>5.7513380734199684</v>
      </c>
      <c r="AD11">
        <f>TBL_TEV[[#This Row],[Etica Conservative Allocation]]</f>
        <v>0.71054300000000004</v>
      </c>
      <c r="AE11">
        <f>TBL_TEV[[#This Row],[Etica Dynamic Allocation]]</f>
        <v>2.0641620000000001</v>
      </c>
      <c r="AF11">
        <f>TBL_TEV[[#This Row],[Etica Global Equity]]</f>
        <v>2.9720249999999999</v>
      </c>
      <c r="AL11">
        <f ca="1"/>
        <v>1.3105990000000001</v>
      </c>
      <c r="AM11">
        <f ca="1"/>
        <v>0.175096</v>
      </c>
      <c r="AN11">
        <f ca="1"/>
        <v>0.64418799999999998</v>
      </c>
      <c r="AO11">
        <f ca="1"/>
        <v>1.963994</v>
      </c>
      <c r="AP11">
        <f ca="1"/>
        <v>2.8366159999999998</v>
      </c>
      <c r="AQ11">
        <f ca="1"/>
        <v>1.7965180000000001</v>
      </c>
      <c r="AR11">
        <f ca="1"/>
        <v>5.7679622276370752</v>
      </c>
      <c r="AS11">
        <f ca="1"/>
        <v>0.703399</v>
      </c>
      <c r="AT11">
        <f ca="1"/>
        <v>2.0489229999999998</v>
      </c>
      <c r="AU11">
        <f ca="1"/>
        <v>2.9520230000000001</v>
      </c>
    </row>
    <row r="12" spans="1:47">
      <c r="A12" s="43">
        <f>TBL_TEV[[#This Row],[Data2]]</f>
        <v>45307</v>
      </c>
      <c r="B12" cm="1">
        <f t="array" ref="B12">_xlfn.XLOOKUP(_xlfn.ANCHORARRAY(A12), TBL_Limiti_CDA[Data], TBL_Limiti_CDA[Etica Rendita Bilanciata], , -1)</f>
        <v>1.75</v>
      </c>
      <c r="C12" cm="1">
        <f t="array" ref="C12">_xlfn.XLOOKUP(_xlfn.ANCHORARRAY(A12), TBL_Limiti_CDA[Data], TBL_Limiti_CDA[Etica Obbligazionario Breve Termine], , -1)</f>
        <v>0.5</v>
      </c>
      <c r="D12" cm="1">
        <f t="array" ref="D12">_xlfn.XLOOKUP(_xlfn.ANCHORARRAY(A12), TBL_Limiti_CDA[Data], TBL_Limiti_CDA[Etica Obbligazionario Misto], , -1)</f>
        <v>1</v>
      </c>
      <c r="E12" cm="1">
        <f t="array" ref="E12">_xlfn.XLOOKUP(_xlfn.ANCHORARRAY(A12), TBL_Limiti_CDA[Data], TBL_Limiti_CDA[Etica Bilanciato], , -1)</f>
        <v>3</v>
      </c>
      <c r="F12" cm="1">
        <f t="array" ref="F12">_xlfn.XLOOKUP(_xlfn.ANCHORARRAY(A12), TBL_Limiti_CDA[Data], TBL_Limiti_CDA[Etica Azionario], , -1)</f>
        <v>4.5</v>
      </c>
      <c r="G12" cm="1">
        <f t="array" ref="G12">_xlfn.XLOOKUP(_xlfn.ANCHORARRAY(A12), TBL_Limiti_CDA[Data], TBL_Limiti_CDA[Etica Transizione Climatica], , -1)</f>
        <v>2.75</v>
      </c>
      <c r="H12" cm="1">
        <f t="array" ref="H12">_xlfn.XLOOKUP(_xlfn.ANCHORARRAY(A12), TBL_Limiti_CDA[Data], TBL_Limiti_CDA[Etica Obiettivo Sociale], , -1)</f>
        <v>7.49</v>
      </c>
      <c r="I12" cm="1">
        <f t="array" ref="I12">_xlfn.XLOOKUP(_xlfn.ANCHORARRAY(A12), TBL_Limiti_CDA[Data], TBL_Limiti_CDA[Etica Conservative Allocation], , -1)</f>
        <v>1</v>
      </c>
      <c r="J12" cm="1">
        <f t="array" ref="J12">_xlfn.XLOOKUP(_xlfn.ANCHORARRAY(A12), TBL_Limiti_CDA[Data], TBL_Limiti_CDA[Etica Dynamic Allocation], , -1)</f>
        <v>3</v>
      </c>
      <c r="K12" cm="1">
        <f t="array" ref="K12">_xlfn.XLOOKUP(_xlfn.ANCHORARRAY(A12), TBL_Limiti_CDA[Data], TBL_Limiti_CDA[Etica Global Equity], , -1)</f>
        <v>4.5</v>
      </c>
      <c r="L12" cm="1">
        <f t="array" ref="L12">_xlfn.ANCHORARRAY(B12)+0.15</f>
        <v>1.9</v>
      </c>
      <c r="M12" cm="1">
        <f t="array" ref="M12">_xlfn.ANCHORARRAY(C12)+0.1</f>
        <v>0.6</v>
      </c>
      <c r="N12" cm="1">
        <f t="array" ref="N12">_xlfn.ANCHORARRAY(D12)+0.15</f>
        <v>1.1499999999999999</v>
      </c>
      <c r="O12" cm="1">
        <f t="array" ref="O12">_xlfn.ANCHORARRAY(E12)+0.15</f>
        <v>3.15</v>
      </c>
      <c r="P12" cm="1">
        <f t="array" ref="P12">_xlfn.ANCHORARRAY(F12)+0.15</f>
        <v>4.6500000000000004</v>
      </c>
      <c r="Q12" cm="1">
        <f t="array" ref="Q12">_xlfn.ANCHORARRAY(G12)+0.15</f>
        <v>2.9</v>
      </c>
      <c r="R12" cm="1">
        <f t="array" ref="R12">_xlfn.ANCHORARRAY(H12)</f>
        <v>7.49</v>
      </c>
      <c r="S12" cm="1">
        <f t="array" ref="S12">_xlfn.ANCHORARRAY(R12)+0.15</f>
        <v>7.6400000000000006</v>
      </c>
      <c r="T12" cm="1">
        <f t="array" ref="T12">_xlfn.ANCHORARRAY(I12)+0.15</f>
        <v>1.1499999999999999</v>
      </c>
      <c r="U12" cm="1">
        <f t="array" ref="U12">_xlfn.ANCHORARRAY(J12)+0.15</f>
        <v>3.15</v>
      </c>
      <c r="V12" cm="1">
        <f t="array" ref="V12">_xlfn.ANCHORARRAY(K12)+0.15</f>
        <v>4.6500000000000004</v>
      </c>
      <c r="W12">
        <f>TBL_TEV[[#This Row],[Etica Rendita Bilanciata]]</f>
        <v>1.3105990000000001</v>
      </c>
      <c r="X12">
        <f>TBL_TEV[[#This Row],[Etica Obbligazionario Breve Termine]]</f>
        <v>0.175096</v>
      </c>
      <c r="Y12">
        <f>TBL_TEV[[#This Row],[Etica Obbligazionario Misto]]</f>
        <v>0.64418799999999998</v>
      </c>
      <c r="Z12">
        <f>TBL_TEV[[#This Row],[Etica Bilanciato]]</f>
        <v>1.963994</v>
      </c>
      <c r="AA12">
        <f>TBL_TEV[[#This Row],[Etica Azionario]]</f>
        <v>2.8366159999999998</v>
      </c>
      <c r="AB12">
        <f>TBL_TEV[[#This Row],[Etica Transizione Climatica]]</f>
        <v>1.7965180000000001</v>
      </c>
      <c r="AC12">
        <f>TBL_TEV[[#This Row],[Etica Obiettivo Sociale]]</f>
        <v>5.7679622276370752</v>
      </c>
      <c r="AD12">
        <f>TBL_TEV[[#This Row],[Etica Conservative Allocation]]</f>
        <v>0.703399</v>
      </c>
      <c r="AE12">
        <f>TBL_TEV[[#This Row],[Etica Dynamic Allocation]]</f>
        <v>2.0489229999999998</v>
      </c>
      <c r="AF12">
        <f>TBL_TEV[[#This Row],[Etica Global Equity]]</f>
        <v>2.9520230000000001</v>
      </c>
      <c r="AL12">
        <f ca="1"/>
        <v>1.316155</v>
      </c>
      <c r="AM12">
        <f ca="1"/>
        <v>0.172873</v>
      </c>
      <c r="AN12">
        <f ca="1"/>
        <v>0.64768000000000003</v>
      </c>
      <c r="AO12">
        <f ca="1"/>
        <v>1.9593910000000001</v>
      </c>
      <c r="AP12">
        <f ca="1"/>
        <v>2.8262969999999998</v>
      </c>
      <c r="AQ12">
        <f ca="1"/>
        <v>1.787946</v>
      </c>
      <c r="AR12">
        <f ca="1"/>
        <v>5.7293044297161684</v>
      </c>
      <c r="AS12">
        <f ca="1"/>
        <v>0.61021599999999998</v>
      </c>
      <c r="AT12">
        <f ca="1"/>
        <v>2.0112999999999999</v>
      </c>
      <c r="AU12">
        <f ca="1"/>
        <v>2.9525000000000001</v>
      </c>
    </row>
    <row r="13" spans="1:47">
      <c r="A13" s="43">
        <f>TBL_TEV[[#This Row],[Data2]]</f>
        <v>45308</v>
      </c>
      <c r="B13" cm="1">
        <f t="array" ref="B13">_xlfn.XLOOKUP(_xlfn.ANCHORARRAY(A13), TBL_Limiti_CDA[Data], TBL_Limiti_CDA[Etica Rendita Bilanciata], , -1)</f>
        <v>1.75</v>
      </c>
      <c r="C13" cm="1">
        <f t="array" ref="C13">_xlfn.XLOOKUP(_xlfn.ANCHORARRAY(A13), TBL_Limiti_CDA[Data], TBL_Limiti_CDA[Etica Obbligazionario Breve Termine], , -1)</f>
        <v>0.5</v>
      </c>
      <c r="D13" cm="1">
        <f t="array" ref="D13">_xlfn.XLOOKUP(_xlfn.ANCHORARRAY(A13), TBL_Limiti_CDA[Data], TBL_Limiti_CDA[Etica Obbligazionario Misto], , -1)</f>
        <v>1</v>
      </c>
      <c r="E13" cm="1">
        <f t="array" ref="E13">_xlfn.XLOOKUP(_xlfn.ANCHORARRAY(A13), TBL_Limiti_CDA[Data], TBL_Limiti_CDA[Etica Bilanciato], , -1)</f>
        <v>3</v>
      </c>
      <c r="F13" cm="1">
        <f t="array" ref="F13">_xlfn.XLOOKUP(_xlfn.ANCHORARRAY(A13), TBL_Limiti_CDA[Data], TBL_Limiti_CDA[Etica Azionario], , -1)</f>
        <v>4.5</v>
      </c>
      <c r="G13" cm="1">
        <f t="array" ref="G13">_xlfn.XLOOKUP(_xlfn.ANCHORARRAY(A13), TBL_Limiti_CDA[Data], TBL_Limiti_CDA[Etica Transizione Climatica], , -1)</f>
        <v>2.75</v>
      </c>
      <c r="H13" cm="1">
        <f t="array" ref="H13">_xlfn.XLOOKUP(_xlfn.ANCHORARRAY(A13), TBL_Limiti_CDA[Data], TBL_Limiti_CDA[Etica Obiettivo Sociale], , -1)</f>
        <v>7.49</v>
      </c>
      <c r="I13" cm="1">
        <f t="array" ref="I13">_xlfn.XLOOKUP(_xlfn.ANCHORARRAY(A13), TBL_Limiti_CDA[Data], TBL_Limiti_CDA[Etica Conservative Allocation], , -1)</f>
        <v>1</v>
      </c>
      <c r="J13" cm="1">
        <f t="array" ref="J13">_xlfn.XLOOKUP(_xlfn.ANCHORARRAY(A13), TBL_Limiti_CDA[Data], TBL_Limiti_CDA[Etica Dynamic Allocation], , -1)</f>
        <v>3</v>
      </c>
      <c r="K13" cm="1">
        <f t="array" ref="K13">_xlfn.XLOOKUP(_xlfn.ANCHORARRAY(A13), TBL_Limiti_CDA[Data], TBL_Limiti_CDA[Etica Global Equity], , -1)</f>
        <v>4.5</v>
      </c>
      <c r="L13" cm="1">
        <f t="array" ref="L13">_xlfn.ANCHORARRAY(B13)+0.15</f>
        <v>1.9</v>
      </c>
      <c r="M13" cm="1">
        <f t="array" ref="M13">_xlfn.ANCHORARRAY(C13)+0.1</f>
        <v>0.6</v>
      </c>
      <c r="N13" cm="1">
        <f t="array" ref="N13">_xlfn.ANCHORARRAY(D13)+0.15</f>
        <v>1.1499999999999999</v>
      </c>
      <c r="O13" cm="1">
        <f t="array" ref="O13">_xlfn.ANCHORARRAY(E13)+0.15</f>
        <v>3.15</v>
      </c>
      <c r="P13" cm="1">
        <f t="array" ref="P13">_xlfn.ANCHORARRAY(F13)+0.15</f>
        <v>4.6500000000000004</v>
      </c>
      <c r="Q13" cm="1">
        <f t="array" ref="Q13">_xlfn.ANCHORARRAY(G13)+0.15</f>
        <v>2.9</v>
      </c>
      <c r="R13" cm="1">
        <f t="array" ref="R13">_xlfn.ANCHORARRAY(H13)</f>
        <v>7.49</v>
      </c>
      <c r="S13" cm="1">
        <f t="array" ref="S13">_xlfn.ANCHORARRAY(R13)+0.15</f>
        <v>7.6400000000000006</v>
      </c>
      <c r="T13" cm="1">
        <f t="array" ref="T13">_xlfn.ANCHORARRAY(I13)+0.15</f>
        <v>1.1499999999999999</v>
      </c>
      <c r="U13" cm="1">
        <f t="array" ref="U13">_xlfn.ANCHORARRAY(J13)+0.15</f>
        <v>3.15</v>
      </c>
      <c r="V13" cm="1">
        <f t="array" ref="V13">_xlfn.ANCHORARRAY(K13)+0.15</f>
        <v>4.6500000000000004</v>
      </c>
      <c r="W13">
        <f>TBL_TEV[[#This Row],[Etica Rendita Bilanciata]]</f>
        <v>1.316155</v>
      </c>
      <c r="X13">
        <f>TBL_TEV[[#This Row],[Etica Obbligazionario Breve Termine]]</f>
        <v>0.172873</v>
      </c>
      <c r="Y13">
        <f>TBL_TEV[[#This Row],[Etica Obbligazionario Misto]]</f>
        <v>0.64768000000000003</v>
      </c>
      <c r="Z13">
        <f>TBL_TEV[[#This Row],[Etica Bilanciato]]</f>
        <v>1.9593910000000001</v>
      </c>
      <c r="AA13">
        <f>TBL_TEV[[#This Row],[Etica Azionario]]</f>
        <v>2.8262969999999998</v>
      </c>
      <c r="AB13">
        <f>TBL_TEV[[#This Row],[Etica Transizione Climatica]]</f>
        <v>1.787946</v>
      </c>
      <c r="AC13">
        <f>TBL_TEV[[#This Row],[Etica Obiettivo Sociale]]</f>
        <v>5.7293044297161684</v>
      </c>
      <c r="AD13">
        <f>TBL_TEV[[#This Row],[Etica Conservative Allocation]]</f>
        <v>0.61021599999999998</v>
      </c>
      <c r="AE13">
        <f>TBL_TEV[[#This Row],[Etica Dynamic Allocation]]</f>
        <v>2.0112999999999999</v>
      </c>
      <c r="AF13">
        <f>TBL_TEV[[#This Row],[Etica Global Equity]]</f>
        <v>2.9525000000000001</v>
      </c>
      <c r="AL13">
        <f ca="1"/>
        <v>1.334252</v>
      </c>
      <c r="AM13">
        <f ca="1"/>
        <v>0.17255599999999999</v>
      </c>
      <c r="AN13">
        <f ca="1"/>
        <v>0.69800200000000001</v>
      </c>
      <c r="AO13">
        <f ca="1"/>
        <v>1.973201</v>
      </c>
      <c r="AP13">
        <f ca="1"/>
        <v>2.8239160000000001</v>
      </c>
      <c r="AQ13">
        <f ca="1"/>
        <v>1.7908029999999999</v>
      </c>
      <c r="AR13">
        <f ca="1"/>
        <v>5.9096074137105399</v>
      </c>
      <c r="AS13">
        <f ca="1"/>
        <v>0.61021599999999998</v>
      </c>
      <c r="AT13">
        <f ca="1"/>
        <v>2.0119349999999998</v>
      </c>
      <c r="AU13">
        <f ca="1"/>
        <v>2.9453559999999999</v>
      </c>
    </row>
    <row r="14" spans="1:47">
      <c r="A14" s="43">
        <f>TBL_TEV[[#This Row],[Data2]]</f>
        <v>45309</v>
      </c>
      <c r="B14" cm="1">
        <f t="array" ref="B14">_xlfn.XLOOKUP(_xlfn.ANCHORARRAY(A14), TBL_Limiti_CDA[Data], TBL_Limiti_CDA[Etica Rendita Bilanciata], , -1)</f>
        <v>1.75</v>
      </c>
      <c r="C14" cm="1">
        <f t="array" ref="C14">_xlfn.XLOOKUP(_xlfn.ANCHORARRAY(A14), TBL_Limiti_CDA[Data], TBL_Limiti_CDA[Etica Obbligazionario Breve Termine], , -1)</f>
        <v>0.5</v>
      </c>
      <c r="D14" cm="1">
        <f t="array" ref="D14">_xlfn.XLOOKUP(_xlfn.ANCHORARRAY(A14), TBL_Limiti_CDA[Data], TBL_Limiti_CDA[Etica Obbligazionario Misto], , -1)</f>
        <v>1</v>
      </c>
      <c r="E14" cm="1">
        <f t="array" ref="E14">_xlfn.XLOOKUP(_xlfn.ANCHORARRAY(A14), TBL_Limiti_CDA[Data], TBL_Limiti_CDA[Etica Bilanciato], , -1)</f>
        <v>3</v>
      </c>
      <c r="F14" cm="1">
        <f t="array" ref="F14">_xlfn.XLOOKUP(_xlfn.ANCHORARRAY(A14), TBL_Limiti_CDA[Data], TBL_Limiti_CDA[Etica Azionario], , -1)</f>
        <v>4.5</v>
      </c>
      <c r="G14" cm="1">
        <f t="array" ref="G14">_xlfn.XLOOKUP(_xlfn.ANCHORARRAY(A14), TBL_Limiti_CDA[Data], TBL_Limiti_CDA[Etica Transizione Climatica], , -1)</f>
        <v>2.75</v>
      </c>
      <c r="H14" cm="1">
        <f t="array" ref="H14">_xlfn.XLOOKUP(_xlfn.ANCHORARRAY(A14), TBL_Limiti_CDA[Data], TBL_Limiti_CDA[Etica Obiettivo Sociale], , -1)</f>
        <v>7.49</v>
      </c>
      <c r="I14" cm="1">
        <f t="array" ref="I14">_xlfn.XLOOKUP(_xlfn.ANCHORARRAY(A14), TBL_Limiti_CDA[Data], TBL_Limiti_CDA[Etica Conservative Allocation], , -1)</f>
        <v>1</v>
      </c>
      <c r="J14" cm="1">
        <f t="array" ref="J14">_xlfn.XLOOKUP(_xlfn.ANCHORARRAY(A14), TBL_Limiti_CDA[Data], TBL_Limiti_CDA[Etica Dynamic Allocation], , -1)</f>
        <v>3</v>
      </c>
      <c r="K14" cm="1">
        <f t="array" ref="K14">_xlfn.XLOOKUP(_xlfn.ANCHORARRAY(A14), TBL_Limiti_CDA[Data], TBL_Limiti_CDA[Etica Global Equity], , -1)</f>
        <v>4.5</v>
      </c>
      <c r="L14" cm="1">
        <f t="array" ref="L14">_xlfn.ANCHORARRAY(B14)+0.15</f>
        <v>1.9</v>
      </c>
      <c r="M14" cm="1">
        <f t="array" ref="M14">_xlfn.ANCHORARRAY(C14)+0.1</f>
        <v>0.6</v>
      </c>
      <c r="N14" cm="1">
        <f t="array" ref="N14">_xlfn.ANCHORARRAY(D14)+0.15</f>
        <v>1.1499999999999999</v>
      </c>
      <c r="O14" cm="1">
        <f t="array" ref="O14">_xlfn.ANCHORARRAY(E14)+0.15</f>
        <v>3.15</v>
      </c>
      <c r="P14" cm="1">
        <f t="array" ref="P14">_xlfn.ANCHORARRAY(F14)+0.15</f>
        <v>4.6500000000000004</v>
      </c>
      <c r="Q14" cm="1">
        <f t="array" ref="Q14">_xlfn.ANCHORARRAY(G14)+0.15</f>
        <v>2.9</v>
      </c>
      <c r="R14" cm="1">
        <f t="array" ref="R14">_xlfn.ANCHORARRAY(H14)</f>
        <v>7.49</v>
      </c>
      <c r="S14" cm="1">
        <f t="array" ref="S14">_xlfn.ANCHORARRAY(R14)+0.15</f>
        <v>7.6400000000000006</v>
      </c>
      <c r="T14" cm="1">
        <f t="array" ref="T14">_xlfn.ANCHORARRAY(I14)+0.15</f>
        <v>1.1499999999999999</v>
      </c>
      <c r="U14" cm="1">
        <f t="array" ref="U14">_xlfn.ANCHORARRAY(J14)+0.15</f>
        <v>3.15</v>
      </c>
      <c r="V14" cm="1">
        <f t="array" ref="V14">_xlfn.ANCHORARRAY(K14)+0.15</f>
        <v>4.6500000000000004</v>
      </c>
      <c r="W14">
        <f>TBL_TEV[[#This Row],[Etica Rendita Bilanciata]]</f>
        <v>1.334252</v>
      </c>
      <c r="X14">
        <f>TBL_TEV[[#This Row],[Etica Obbligazionario Breve Termine]]</f>
        <v>0.17255599999999999</v>
      </c>
      <c r="Y14">
        <f>TBL_TEV[[#This Row],[Etica Obbligazionario Misto]]</f>
        <v>0.69800200000000001</v>
      </c>
      <c r="Z14">
        <f>TBL_TEV[[#This Row],[Etica Bilanciato]]</f>
        <v>1.973201</v>
      </c>
      <c r="AA14">
        <f>TBL_TEV[[#This Row],[Etica Azionario]]</f>
        <v>2.8239160000000001</v>
      </c>
      <c r="AB14">
        <f>TBL_TEV[[#This Row],[Etica Transizione Climatica]]</f>
        <v>1.7908029999999999</v>
      </c>
      <c r="AC14">
        <f>TBL_TEV[[#This Row],[Etica Obiettivo Sociale]]</f>
        <v>5.9096074137105399</v>
      </c>
      <c r="AD14">
        <f>TBL_TEV[[#This Row],[Etica Conservative Allocation]]</f>
        <v>0.61021599999999998</v>
      </c>
      <c r="AE14">
        <f>TBL_TEV[[#This Row],[Etica Dynamic Allocation]]</f>
        <v>2.0119349999999998</v>
      </c>
      <c r="AF14">
        <f>TBL_TEV[[#This Row],[Etica Global Equity]]</f>
        <v>2.9453559999999999</v>
      </c>
      <c r="AL14">
        <f ca="1"/>
        <v>1.3339350000000001</v>
      </c>
      <c r="AM14">
        <f ca="1"/>
        <v>0.17255599999999999</v>
      </c>
      <c r="AN14">
        <f ca="1"/>
        <v>0.70165299999999997</v>
      </c>
      <c r="AO14">
        <f ca="1"/>
        <v>1.9651050000000001</v>
      </c>
      <c r="AP14">
        <f ca="1"/>
        <v>2.8123279999999999</v>
      </c>
      <c r="AQ14">
        <f ca="1"/>
        <v>1.7942959999999999</v>
      </c>
      <c r="AR14">
        <f ca="1"/>
        <v>5.9294479171696892</v>
      </c>
      <c r="AS14">
        <f ca="1"/>
        <v>0.61847099999999999</v>
      </c>
      <c r="AT14">
        <f ca="1"/>
        <v>2.0308259999999998</v>
      </c>
      <c r="AU14">
        <f ca="1"/>
        <v>2.9523410000000001</v>
      </c>
    </row>
    <row r="15" spans="1:47">
      <c r="A15" s="43">
        <f>TBL_TEV[[#This Row],[Data2]]</f>
        <v>45310</v>
      </c>
      <c r="B15" cm="1">
        <f t="array" ref="B15">_xlfn.XLOOKUP(_xlfn.ANCHORARRAY(A15), TBL_Limiti_CDA[Data], TBL_Limiti_CDA[Etica Rendita Bilanciata], , -1)</f>
        <v>1.75</v>
      </c>
      <c r="C15" cm="1">
        <f t="array" ref="C15">_xlfn.XLOOKUP(_xlfn.ANCHORARRAY(A15), TBL_Limiti_CDA[Data], TBL_Limiti_CDA[Etica Obbligazionario Breve Termine], , -1)</f>
        <v>0.5</v>
      </c>
      <c r="D15" cm="1">
        <f t="array" ref="D15">_xlfn.XLOOKUP(_xlfn.ANCHORARRAY(A15), TBL_Limiti_CDA[Data], TBL_Limiti_CDA[Etica Obbligazionario Misto], , -1)</f>
        <v>1</v>
      </c>
      <c r="E15" cm="1">
        <f t="array" ref="E15">_xlfn.XLOOKUP(_xlfn.ANCHORARRAY(A15), TBL_Limiti_CDA[Data], TBL_Limiti_CDA[Etica Bilanciato], , -1)</f>
        <v>3</v>
      </c>
      <c r="F15" cm="1">
        <f t="array" ref="F15">_xlfn.XLOOKUP(_xlfn.ANCHORARRAY(A15), TBL_Limiti_CDA[Data], TBL_Limiti_CDA[Etica Azionario], , -1)</f>
        <v>4.5</v>
      </c>
      <c r="G15" cm="1">
        <f t="array" ref="G15">_xlfn.XLOOKUP(_xlfn.ANCHORARRAY(A15), TBL_Limiti_CDA[Data], TBL_Limiti_CDA[Etica Transizione Climatica], , -1)</f>
        <v>2.75</v>
      </c>
      <c r="H15" cm="1">
        <f t="array" ref="H15">_xlfn.XLOOKUP(_xlfn.ANCHORARRAY(A15), TBL_Limiti_CDA[Data], TBL_Limiti_CDA[Etica Obiettivo Sociale], , -1)</f>
        <v>7.49</v>
      </c>
      <c r="I15" cm="1">
        <f t="array" ref="I15">_xlfn.XLOOKUP(_xlfn.ANCHORARRAY(A15), TBL_Limiti_CDA[Data], TBL_Limiti_CDA[Etica Conservative Allocation], , -1)</f>
        <v>1</v>
      </c>
      <c r="J15" cm="1">
        <f t="array" ref="J15">_xlfn.XLOOKUP(_xlfn.ANCHORARRAY(A15), TBL_Limiti_CDA[Data], TBL_Limiti_CDA[Etica Dynamic Allocation], , -1)</f>
        <v>3</v>
      </c>
      <c r="K15" cm="1">
        <f t="array" ref="K15">_xlfn.XLOOKUP(_xlfn.ANCHORARRAY(A15), TBL_Limiti_CDA[Data], TBL_Limiti_CDA[Etica Global Equity], , -1)</f>
        <v>4.5</v>
      </c>
      <c r="L15" cm="1">
        <f t="array" ref="L15">_xlfn.ANCHORARRAY(B15)+0.15</f>
        <v>1.9</v>
      </c>
      <c r="M15" cm="1">
        <f t="array" ref="M15">_xlfn.ANCHORARRAY(C15)+0.1</f>
        <v>0.6</v>
      </c>
      <c r="N15" cm="1">
        <f t="array" ref="N15">_xlfn.ANCHORARRAY(D15)+0.15</f>
        <v>1.1499999999999999</v>
      </c>
      <c r="O15" cm="1">
        <f t="array" ref="O15">_xlfn.ANCHORARRAY(E15)+0.15</f>
        <v>3.15</v>
      </c>
      <c r="P15" cm="1">
        <f t="array" ref="P15">_xlfn.ANCHORARRAY(F15)+0.15</f>
        <v>4.6500000000000004</v>
      </c>
      <c r="Q15" cm="1">
        <f t="array" ref="Q15">_xlfn.ANCHORARRAY(G15)+0.15</f>
        <v>2.9</v>
      </c>
      <c r="R15" cm="1">
        <f t="array" ref="R15">_xlfn.ANCHORARRAY(H15)</f>
        <v>7.49</v>
      </c>
      <c r="S15" cm="1">
        <f t="array" ref="S15">_xlfn.ANCHORARRAY(R15)+0.15</f>
        <v>7.6400000000000006</v>
      </c>
      <c r="T15" cm="1">
        <f t="array" ref="T15">_xlfn.ANCHORARRAY(I15)+0.15</f>
        <v>1.1499999999999999</v>
      </c>
      <c r="U15" cm="1">
        <f t="array" ref="U15">_xlfn.ANCHORARRAY(J15)+0.15</f>
        <v>3.15</v>
      </c>
      <c r="V15" cm="1">
        <f t="array" ref="V15">_xlfn.ANCHORARRAY(K15)+0.15</f>
        <v>4.6500000000000004</v>
      </c>
      <c r="W15">
        <f>TBL_TEV[[#This Row],[Etica Rendita Bilanciata]]</f>
        <v>1.3339350000000001</v>
      </c>
      <c r="X15">
        <f>TBL_TEV[[#This Row],[Etica Obbligazionario Breve Termine]]</f>
        <v>0.17255599999999999</v>
      </c>
      <c r="Y15">
        <f>TBL_TEV[[#This Row],[Etica Obbligazionario Misto]]</f>
        <v>0.70165299999999997</v>
      </c>
      <c r="Z15">
        <f>TBL_TEV[[#This Row],[Etica Bilanciato]]</f>
        <v>1.9651050000000001</v>
      </c>
      <c r="AA15">
        <f>TBL_TEV[[#This Row],[Etica Azionario]]</f>
        <v>2.8123279999999999</v>
      </c>
      <c r="AB15">
        <f>TBL_TEV[[#This Row],[Etica Transizione Climatica]]</f>
        <v>1.7942959999999999</v>
      </c>
      <c r="AC15">
        <f>TBL_TEV[[#This Row],[Etica Obiettivo Sociale]]</f>
        <v>5.9294479171696892</v>
      </c>
      <c r="AD15">
        <f>TBL_TEV[[#This Row],[Etica Conservative Allocation]]</f>
        <v>0.61847099999999999</v>
      </c>
      <c r="AE15">
        <f>TBL_TEV[[#This Row],[Etica Dynamic Allocation]]</f>
        <v>2.0308259999999998</v>
      </c>
      <c r="AF15">
        <f>TBL_TEV[[#This Row],[Etica Global Equity]]</f>
        <v>2.9523410000000001</v>
      </c>
      <c r="AL15">
        <f ca="1"/>
        <v>1.3253630000000001</v>
      </c>
      <c r="AM15">
        <f ca="1"/>
        <v>0.17255599999999999</v>
      </c>
      <c r="AN15">
        <f ca="1"/>
        <v>0.70276400000000006</v>
      </c>
      <c r="AO15">
        <f ca="1"/>
        <v>1.9455800000000001</v>
      </c>
      <c r="AP15">
        <f ca="1"/>
        <v>2.7553380000000001</v>
      </c>
      <c r="AQ15">
        <f ca="1"/>
        <v>1.7893749999999999</v>
      </c>
      <c r="AR15">
        <f ca="1"/>
        <v>6.0664129226383654</v>
      </c>
      <c r="AS15">
        <f ca="1"/>
        <v>0.62926499999999996</v>
      </c>
      <c r="AT15">
        <f ca="1"/>
        <v>2.0660669999999999</v>
      </c>
      <c r="AU15">
        <f ca="1"/>
        <v>3.012505</v>
      </c>
    </row>
    <row r="16" spans="1:47">
      <c r="A16" s="43">
        <f>TBL_TEV[[#This Row],[Data2]]</f>
        <v>45313</v>
      </c>
      <c r="B16" cm="1">
        <f t="array" ref="B16">_xlfn.XLOOKUP(_xlfn.ANCHORARRAY(A16), TBL_Limiti_CDA[Data], TBL_Limiti_CDA[Etica Rendita Bilanciata], , -1)</f>
        <v>1.75</v>
      </c>
      <c r="C16" cm="1">
        <f t="array" ref="C16">_xlfn.XLOOKUP(_xlfn.ANCHORARRAY(A16), TBL_Limiti_CDA[Data], TBL_Limiti_CDA[Etica Obbligazionario Breve Termine], , -1)</f>
        <v>0.5</v>
      </c>
      <c r="D16" cm="1">
        <f t="array" ref="D16">_xlfn.XLOOKUP(_xlfn.ANCHORARRAY(A16), TBL_Limiti_CDA[Data], TBL_Limiti_CDA[Etica Obbligazionario Misto], , -1)</f>
        <v>1</v>
      </c>
      <c r="E16" cm="1">
        <f t="array" ref="E16">_xlfn.XLOOKUP(_xlfn.ANCHORARRAY(A16), TBL_Limiti_CDA[Data], TBL_Limiti_CDA[Etica Bilanciato], , -1)</f>
        <v>3</v>
      </c>
      <c r="F16" cm="1">
        <f t="array" ref="F16">_xlfn.XLOOKUP(_xlfn.ANCHORARRAY(A16), TBL_Limiti_CDA[Data], TBL_Limiti_CDA[Etica Azionario], , -1)</f>
        <v>4.5</v>
      </c>
      <c r="G16" cm="1">
        <f t="array" ref="G16">_xlfn.XLOOKUP(_xlfn.ANCHORARRAY(A16), TBL_Limiti_CDA[Data], TBL_Limiti_CDA[Etica Transizione Climatica], , -1)</f>
        <v>2.75</v>
      </c>
      <c r="H16" cm="1">
        <f t="array" ref="H16">_xlfn.XLOOKUP(_xlfn.ANCHORARRAY(A16), TBL_Limiti_CDA[Data], TBL_Limiti_CDA[Etica Obiettivo Sociale], , -1)</f>
        <v>7.49</v>
      </c>
      <c r="I16" cm="1">
        <f t="array" ref="I16">_xlfn.XLOOKUP(_xlfn.ANCHORARRAY(A16), TBL_Limiti_CDA[Data], TBL_Limiti_CDA[Etica Conservative Allocation], , -1)</f>
        <v>1</v>
      </c>
      <c r="J16" cm="1">
        <f t="array" ref="J16">_xlfn.XLOOKUP(_xlfn.ANCHORARRAY(A16), TBL_Limiti_CDA[Data], TBL_Limiti_CDA[Etica Dynamic Allocation], , -1)</f>
        <v>3</v>
      </c>
      <c r="K16" cm="1">
        <f t="array" ref="K16">_xlfn.XLOOKUP(_xlfn.ANCHORARRAY(A16), TBL_Limiti_CDA[Data], TBL_Limiti_CDA[Etica Global Equity], , -1)</f>
        <v>4.5</v>
      </c>
      <c r="L16" cm="1">
        <f t="array" ref="L16">_xlfn.ANCHORARRAY(B16)+0.15</f>
        <v>1.9</v>
      </c>
      <c r="M16" cm="1">
        <f t="array" ref="M16">_xlfn.ANCHORARRAY(C16)+0.1</f>
        <v>0.6</v>
      </c>
      <c r="N16" cm="1">
        <f t="array" ref="N16">_xlfn.ANCHORARRAY(D16)+0.15</f>
        <v>1.1499999999999999</v>
      </c>
      <c r="O16" cm="1">
        <f t="array" ref="O16">_xlfn.ANCHORARRAY(E16)+0.15</f>
        <v>3.15</v>
      </c>
      <c r="P16" cm="1">
        <f t="array" ref="P16">_xlfn.ANCHORARRAY(F16)+0.15</f>
        <v>4.6500000000000004</v>
      </c>
      <c r="Q16" cm="1">
        <f t="array" ref="Q16">_xlfn.ANCHORARRAY(G16)+0.15</f>
        <v>2.9</v>
      </c>
      <c r="R16" cm="1">
        <f t="array" ref="R16">_xlfn.ANCHORARRAY(H16)</f>
        <v>7.49</v>
      </c>
      <c r="S16" cm="1">
        <f t="array" ref="S16">_xlfn.ANCHORARRAY(R16)+0.15</f>
        <v>7.6400000000000006</v>
      </c>
      <c r="T16" cm="1">
        <f t="array" ref="T16">_xlfn.ANCHORARRAY(I16)+0.15</f>
        <v>1.1499999999999999</v>
      </c>
      <c r="U16" cm="1">
        <f t="array" ref="U16">_xlfn.ANCHORARRAY(J16)+0.15</f>
        <v>3.15</v>
      </c>
      <c r="V16" cm="1">
        <f t="array" ref="V16">_xlfn.ANCHORARRAY(K16)+0.15</f>
        <v>4.6500000000000004</v>
      </c>
      <c r="W16">
        <f>TBL_TEV[[#This Row],[Etica Rendita Bilanciata]]</f>
        <v>1.3253630000000001</v>
      </c>
      <c r="X16">
        <f>TBL_TEV[[#This Row],[Etica Obbligazionario Breve Termine]]</f>
        <v>0.17255599999999999</v>
      </c>
      <c r="Y16">
        <f>TBL_TEV[[#This Row],[Etica Obbligazionario Misto]]</f>
        <v>0.70276400000000006</v>
      </c>
      <c r="Z16">
        <f>TBL_TEV[[#This Row],[Etica Bilanciato]]</f>
        <v>1.9455800000000001</v>
      </c>
      <c r="AA16">
        <f>TBL_TEV[[#This Row],[Etica Azionario]]</f>
        <v>2.7553380000000001</v>
      </c>
      <c r="AB16">
        <f>TBL_TEV[[#This Row],[Etica Transizione Climatica]]</f>
        <v>1.7893749999999999</v>
      </c>
      <c r="AC16">
        <f>TBL_TEV[[#This Row],[Etica Obiettivo Sociale]]</f>
        <v>6.0664129226383654</v>
      </c>
      <c r="AD16">
        <f>TBL_TEV[[#This Row],[Etica Conservative Allocation]]</f>
        <v>0.62926499999999996</v>
      </c>
      <c r="AE16">
        <f>TBL_TEV[[#This Row],[Etica Dynamic Allocation]]</f>
        <v>2.0660669999999999</v>
      </c>
      <c r="AF16">
        <f>TBL_TEV[[#This Row],[Etica Global Equity]]</f>
        <v>3.012505</v>
      </c>
      <c r="AL16">
        <f ca="1"/>
        <v>1.3236159999999999</v>
      </c>
      <c r="AM16">
        <f ca="1"/>
        <v>0.17128599999999999</v>
      </c>
      <c r="AN16">
        <f ca="1"/>
        <v>0.69847800000000004</v>
      </c>
      <c r="AO16">
        <f ca="1"/>
        <v>1.946215</v>
      </c>
      <c r="AP16">
        <f ca="1"/>
        <v>2.7578779999999998</v>
      </c>
      <c r="AQ16">
        <f ca="1"/>
        <v>1.799534</v>
      </c>
      <c r="AR16">
        <f ca="1"/>
        <v>6.0374497830877818</v>
      </c>
      <c r="AS16">
        <f ca="1"/>
        <v>0.63069399999999998</v>
      </c>
      <c r="AT16">
        <f ca="1"/>
        <v>2.0617809999999999</v>
      </c>
      <c r="AU16">
        <f ca="1"/>
        <v>3.0002819999999999</v>
      </c>
    </row>
    <row r="17" spans="1:47">
      <c r="A17" s="43">
        <f>TBL_TEV[[#This Row],[Data2]]</f>
        <v>45314</v>
      </c>
      <c r="B17" cm="1">
        <f t="array" ref="B17">_xlfn.XLOOKUP(_xlfn.ANCHORARRAY(A17), TBL_Limiti_CDA[Data], TBL_Limiti_CDA[Etica Rendita Bilanciata], , -1)</f>
        <v>1.75</v>
      </c>
      <c r="C17" cm="1">
        <f t="array" ref="C17">_xlfn.XLOOKUP(_xlfn.ANCHORARRAY(A17), TBL_Limiti_CDA[Data], TBL_Limiti_CDA[Etica Obbligazionario Breve Termine], , -1)</f>
        <v>0.5</v>
      </c>
      <c r="D17" cm="1">
        <f t="array" ref="D17">_xlfn.XLOOKUP(_xlfn.ANCHORARRAY(A17), TBL_Limiti_CDA[Data], TBL_Limiti_CDA[Etica Obbligazionario Misto], , -1)</f>
        <v>1</v>
      </c>
      <c r="E17" cm="1">
        <f t="array" ref="E17">_xlfn.XLOOKUP(_xlfn.ANCHORARRAY(A17), TBL_Limiti_CDA[Data], TBL_Limiti_CDA[Etica Bilanciato], , -1)</f>
        <v>3</v>
      </c>
      <c r="F17" cm="1">
        <f t="array" ref="F17">_xlfn.XLOOKUP(_xlfn.ANCHORARRAY(A17), TBL_Limiti_CDA[Data], TBL_Limiti_CDA[Etica Azionario], , -1)</f>
        <v>4.5</v>
      </c>
      <c r="G17" cm="1">
        <f t="array" ref="G17">_xlfn.XLOOKUP(_xlfn.ANCHORARRAY(A17), TBL_Limiti_CDA[Data], TBL_Limiti_CDA[Etica Transizione Climatica], , -1)</f>
        <v>2.75</v>
      </c>
      <c r="H17" cm="1">
        <f t="array" ref="H17">_xlfn.XLOOKUP(_xlfn.ANCHORARRAY(A17), TBL_Limiti_CDA[Data], TBL_Limiti_CDA[Etica Obiettivo Sociale], , -1)</f>
        <v>7.49</v>
      </c>
      <c r="I17" cm="1">
        <f t="array" ref="I17">_xlfn.XLOOKUP(_xlfn.ANCHORARRAY(A17), TBL_Limiti_CDA[Data], TBL_Limiti_CDA[Etica Conservative Allocation], , -1)</f>
        <v>1</v>
      </c>
      <c r="J17" cm="1">
        <f t="array" ref="J17">_xlfn.XLOOKUP(_xlfn.ANCHORARRAY(A17), TBL_Limiti_CDA[Data], TBL_Limiti_CDA[Etica Dynamic Allocation], , -1)</f>
        <v>3</v>
      </c>
      <c r="K17" cm="1">
        <f t="array" ref="K17">_xlfn.XLOOKUP(_xlfn.ANCHORARRAY(A17), TBL_Limiti_CDA[Data], TBL_Limiti_CDA[Etica Global Equity], , -1)</f>
        <v>4.5</v>
      </c>
      <c r="L17" cm="1">
        <f t="array" ref="L17">_xlfn.ANCHORARRAY(B17)+0.15</f>
        <v>1.9</v>
      </c>
      <c r="M17" cm="1">
        <f t="array" ref="M17">_xlfn.ANCHORARRAY(C17)+0.1</f>
        <v>0.6</v>
      </c>
      <c r="N17" cm="1">
        <f t="array" ref="N17">_xlfn.ANCHORARRAY(D17)+0.15</f>
        <v>1.1499999999999999</v>
      </c>
      <c r="O17" cm="1">
        <f t="array" ref="O17">_xlfn.ANCHORARRAY(E17)+0.15</f>
        <v>3.15</v>
      </c>
      <c r="P17" cm="1">
        <f t="array" ref="P17">_xlfn.ANCHORARRAY(F17)+0.15</f>
        <v>4.6500000000000004</v>
      </c>
      <c r="Q17" cm="1">
        <f t="array" ref="Q17">_xlfn.ANCHORARRAY(G17)+0.15</f>
        <v>2.9</v>
      </c>
      <c r="R17" cm="1">
        <f t="array" ref="R17">_xlfn.ANCHORARRAY(H17)</f>
        <v>7.49</v>
      </c>
      <c r="S17" cm="1">
        <f t="array" ref="S17">_xlfn.ANCHORARRAY(R17)+0.15</f>
        <v>7.6400000000000006</v>
      </c>
      <c r="T17" cm="1">
        <f t="array" ref="T17">_xlfn.ANCHORARRAY(I17)+0.15</f>
        <v>1.1499999999999999</v>
      </c>
      <c r="U17" cm="1">
        <f t="array" ref="U17">_xlfn.ANCHORARRAY(J17)+0.15</f>
        <v>3.15</v>
      </c>
      <c r="V17" cm="1">
        <f t="array" ref="V17">_xlfn.ANCHORARRAY(K17)+0.15</f>
        <v>4.6500000000000004</v>
      </c>
      <c r="W17">
        <f>TBL_TEV[[#This Row],[Etica Rendita Bilanciata]]</f>
        <v>1.3236159999999999</v>
      </c>
      <c r="X17">
        <f>TBL_TEV[[#This Row],[Etica Obbligazionario Breve Termine]]</f>
        <v>0.17128599999999999</v>
      </c>
      <c r="Y17">
        <f>TBL_TEV[[#This Row],[Etica Obbligazionario Misto]]</f>
        <v>0.69847800000000004</v>
      </c>
      <c r="Z17">
        <f>TBL_TEV[[#This Row],[Etica Bilanciato]]</f>
        <v>1.946215</v>
      </c>
      <c r="AA17">
        <f>TBL_TEV[[#This Row],[Etica Azionario]]</f>
        <v>2.7578779999999998</v>
      </c>
      <c r="AB17">
        <f>TBL_TEV[[#This Row],[Etica Transizione Climatica]]</f>
        <v>1.799534</v>
      </c>
      <c r="AC17">
        <f>TBL_TEV[[#This Row],[Etica Obiettivo Sociale]]</f>
        <v>6.0374497830877818</v>
      </c>
      <c r="AD17">
        <f>TBL_TEV[[#This Row],[Etica Conservative Allocation]]</f>
        <v>0.63069399999999998</v>
      </c>
      <c r="AE17">
        <f>TBL_TEV[[#This Row],[Etica Dynamic Allocation]]</f>
        <v>2.0617809999999999</v>
      </c>
      <c r="AF17">
        <f>TBL_TEV[[#This Row],[Etica Global Equity]]</f>
        <v>3.0002819999999999</v>
      </c>
      <c r="AL17">
        <f ca="1"/>
        <v>1.322505</v>
      </c>
      <c r="AM17">
        <f ca="1"/>
        <v>0.170492</v>
      </c>
      <c r="AN17">
        <f ca="1"/>
        <v>0.69863699999999995</v>
      </c>
      <c r="AO17">
        <f ca="1"/>
        <v>1.954469</v>
      </c>
      <c r="AP17">
        <f ca="1"/>
        <v>2.7681969999999998</v>
      </c>
      <c r="AQ17">
        <f ca="1"/>
        <v>1.7933429999999999</v>
      </c>
      <c r="AR17">
        <f ca="1"/>
        <v>6.0074912734185082</v>
      </c>
      <c r="AS17">
        <f ca="1"/>
        <v>0.75721400000000005</v>
      </c>
      <c r="AT17">
        <f ca="1"/>
        <v>2.1681400000000002</v>
      </c>
      <c r="AU17">
        <f ca="1"/>
        <v>3.00806</v>
      </c>
    </row>
    <row r="18" spans="1:47">
      <c r="A18" s="43">
        <f>TBL_TEV[[#This Row],[Data2]]</f>
        <v>45315</v>
      </c>
      <c r="B18" cm="1">
        <f t="array" ref="B18">_xlfn.XLOOKUP(_xlfn.ANCHORARRAY(A18), TBL_Limiti_CDA[Data], TBL_Limiti_CDA[Etica Rendita Bilanciata], , -1)</f>
        <v>1.75</v>
      </c>
      <c r="C18" cm="1">
        <f t="array" ref="C18">_xlfn.XLOOKUP(_xlfn.ANCHORARRAY(A18), TBL_Limiti_CDA[Data], TBL_Limiti_CDA[Etica Obbligazionario Breve Termine], , -1)</f>
        <v>0.5</v>
      </c>
      <c r="D18" cm="1">
        <f t="array" ref="D18">_xlfn.XLOOKUP(_xlfn.ANCHORARRAY(A18), TBL_Limiti_CDA[Data], TBL_Limiti_CDA[Etica Obbligazionario Misto], , -1)</f>
        <v>1</v>
      </c>
      <c r="E18" cm="1">
        <f t="array" ref="E18">_xlfn.XLOOKUP(_xlfn.ANCHORARRAY(A18), TBL_Limiti_CDA[Data], TBL_Limiti_CDA[Etica Bilanciato], , -1)</f>
        <v>3</v>
      </c>
      <c r="F18" cm="1">
        <f t="array" ref="F18">_xlfn.XLOOKUP(_xlfn.ANCHORARRAY(A18), TBL_Limiti_CDA[Data], TBL_Limiti_CDA[Etica Azionario], , -1)</f>
        <v>3.5</v>
      </c>
      <c r="G18" cm="1">
        <f t="array" ref="G18">_xlfn.XLOOKUP(_xlfn.ANCHORARRAY(A18), TBL_Limiti_CDA[Data], TBL_Limiti_CDA[Etica Transizione Climatica], , -1)</f>
        <v>2.75</v>
      </c>
      <c r="H18" cm="1">
        <f t="array" ref="H18">_xlfn.XLOOKUP(_xlfn.ANCHORARRAY(A18), TBL_Limiti_CDA[Data], TBL_Limiti_CDA[Etica Obiettivo Sociale], , -1)</f>
        <v>7.49</v>
      </c>
      <c r="I18" cm="1">
        <f t="array" ref="I18">_xlfn.XLOOKUP(_xlfn.ANCHORARRAY(A18), TBL_Limiti_CDA[Data], TBL_Limiti_CDA[Etica Conservative Allocation], , -1)</f>
        <v>1</v>
      </c>
      <c r="J18" cm="1">
        <f t="array" ref="J18">_xlfn.XLOOKUP(_xlfn.ANCHORARRAY(A18), TBL_Limiti_CDA[Data], TBL_Limiti_CDA[Etica Dynamic Allocation], , -1)</f>
        <v>3</v>
      </c>
      <c r="K18" cm="1">
        <f t="array" ref="K18">_xlfn.XLOOKUP(_xlfn.ANCHORARRAY(A18), TBL_Limiti_CDA[Data], TBL_Limiti_CDA[Etica Global Equity], , -1)</f>
        <v>3.5</v>
      </c>
      <c r="L18" cm="1">
        <f t="array" ref="L18">_xlfn.ANCHORARRAY(B18)+0.15</f>
        <v>1.9</v>
      </c>
      <c r="M18" cm="1">
        <f t="array" ref="M18">_xlfn.ANCHORARRAY(C18)+0.1</f>
        <v>0.6</v>
      </c>
      <c r="N18" cm="1">
        <f t="array" ref="N18">_xlfn.ANCHORARRAY(D18)+0.15</f>
        <v>1.1499999999999999</v>
      </c>
      <c r="O18" cm="1">
        <f t="array" ref="O18">_xlfn.ANCHORARRAY(E18)+0.15</f>
        <v>3.15</v>
      </c>
      <c r="P18" cm="1">
        <f t="array" ref="P18">_xlfn.ANCHORARRAY(F18)+0.15</f>
        <v>3.65</v>
      </c>
      <c r="Q18" cm="1">
        <f t="array" ref="Q18">_xlfn.ANCHORARRAY(G18)+0.15</f>
        <v>2.9</v>
      </c>
      <c r="R18" cm="1">
        <f t="array" ref="R18">_xlfn.ANCHORARRAY(H18)</f>
        <v>7.49</v>
      </c>
      <c r="S18" cm="1">
        <f t="array" ref="S18">_xlfn.ANCHORARRAY(R18)+0.15</f>
        <v>7.6400000000000006</v>
      </c>
      <c r="T18" cm="1">
        <f t="array" ref="T18">_xlfn.ANCHORARRAY(I18)+0.15</f>
        <v>1.1499999999999999</v>
      </c>
      <c r="U18" cm="1">
        <f t="array" ref="U18">_xlfn.ANCHORARRAY(J18)+0.15</f>
        <v>3.15</v>
      </c>
      <c r="V18" cm="1">
        <f t="array" ref="V18">_xlfn.ANCHORARRAY(K18)+0.15</f>
        <v>3.65</v>
      </c>
      <c r="W18">
        <f>TBL_TEV[[#This Row],[Etica Rendita Bilanciata]]</f>
        <v>1.322505</v>
      </c>
      <c r="X18">
        <f>TBL_TEV[[#This Row],[Etica Obbligazionario Breve Termine]]</f>
        <v>0.170492</v>
      </c>
      <c r="Y18">
        <f>TBL_TEV[[#This Row],[Etica Obbligazionario Misto]]</f>
        <v>0.69863699999999995</v>
      </c>
      <c r="Z18">
        <f>TBL_TEV[[#This Row],[Etica Bilanciato]]</f>
        <v>1.954469</v>
      </c>
      <c r="AA18">
        <f>TBL_TEV[[#This Row],[Etica Azionario]]</f>
        <v>2.7681969999999998</v>
      </c>
      <c r="AB18">
        <f>TBL_TEV[[#This Row],[Etica Transizione Climatica]]</f>
        <v>1.7933429999999999</v>
      </c>
      <c r="AC18">
        <f>TBL_TEV[[#This Row],[Etica Obiettivo Sociale]]</f>
        <v>6.0074912734185082</v>
      </c>
      <c r="AD18">
        <f>TBL_TEV[[#This Row],[Etica Conservative Allocation]]</f>
        <v>0.75721400000000005</v>
      </c>
      <c r="AE18">
        <f>TBL_TEV[[#This Row],[Etica Dynamic Allocation]]</f>
        <v>2.1681400000000002</v>
      </c>
      <c r="AF18">
        <f>TBL_TEV[[#This Row],[Etica Global Equity]]</f>
        <v>3.00806</v>
      </c>
      <c r="AL18">
        <f ca="1"/>
        <v>1.247736</v>
      </c>
      <c r="AM18">
        <f ca="1"/>
        <v>0.16985700000000001</v>
      </c>
      <c r="AN18">
        <f ca="1"/>
        <v>0.66069699999999998</v>
      </c>
      <c r="AO18">
        <f ca="1"/>
        <v>1.9508179999999999</v>
      </c>
      <c r="AP18">
        <f ca="1"/>
        <v>2.756291</v>
      </c>
      <c r="AQ18">
        <f ca="1"/>
        <v>1.7908029999999999</v>
      </c>
      <c r="AR18">
        <f ca="1"/>
        <v>6.0148773964993936</v>
      </c>
      <c r="AS18">
        <f ca="1"/>
        <v>0.67641300000000004</v>
      </c>
      <c r="AT18">
        <f ca="1"/>
        <v>2.078449</v>
      </c>
      <c r="AU18">
        <f ca="1"/>
        <v>3.02203</v>
      </c>
    </row>
    <row r="19" spans="1:47">
      <c r="A19" s="43">
        <f>TBL_TEV[[#This Row],[Data2]]</f>
        <v>45316</v>
      </c>
      <c r="B19" cm="1">
        <f t="array" ref="B19">_xlfn.XLOOKUP(_xlfn.ANCHORARRAY(A19), TBL_Limiti_CDA[Data], TBL_Limiti_CDA[Etica Rendita Bilanciata], , -1)</f>
        <v>1.75</v>
      </c>
      <c r="C19" cm="1">
        <f t="array" ref="C19">_xlfn.XLOOKUP(_xlfn.ANCHORARRAY(A19), TBL_Limiti_CDA[Data], TBL_Limiti_CDA[Etica Obbligazionario Breve Termine], , -1)</f>
        <v>0.5</v>
      </c>
      <c r="D19" cm="1">
        <f t="array" ref="D19">_xlfn.XLOOKUP(_xlfn.ANCHORARRAY(A19), TBL_Limiti_CDA[Data], TBL_Limiti_CDA[Etica Obbligazionario Misto], , -1)</f>
        <v>1</v>
      </c>
      <c r="E19" cm="1">
        <f t="array" ref="E19">_xlfn.XLOOKUP(_xlfn.ANCHORARRAY(A19), TBL_Limiti_CDA[Data], TBL_Limiti_CDA[Etica Bilanciato], , -1)</f>
        <v>3</v>
      </c>
      <c r="F19" cm="1">
        <f t="array" ref="F19">_xlfn.XLOOKUP(_xlfn.ANCHORARRAY(A19), TBL_Limiti_CDA[Data], TBL_Limiti_CDA[Etica Azionario], , -1)</f>
        <v>3.5</v>
      </c>
      <c r="G19" cm="1">
        <f t="array" ref="G19">_xlfn.XLOOKUP(_xlfn.ANCHORARRAY(A19), TBL_Limiti_CDA[Data], TBL_Limiti_CDA[Etica Transizione Climatica], , -1)</f>
        <v>2.75</v>
      </c>
      <c r="H19" cm="1">
        <f t="array" ref="H19">_xlfn.XLOOKUP(_xlfn.ANCHORARRAY(A19), TBL_Limiti_CDA[Data], TBL_Limiti_CDA[Etica Obiettivo Sociale], , -1)</f>
        <v>7.49</v>
      </c>
      <c r="I19" cm="1">
        <f t="array" ref="I19">_xlfn.XLOOKUP(_xlfn.ANCHORARRAY(A19), TBL_Limiti_CDA[Data], TBL_Limiti_CDA[Etica Conservative Allocation], , -1)</f>
        <v>1</v>
      </c>
      <c r="J19" cm="1">
        <f t="array" ref="J19">_xlfn.XLOOKUP(_xlfn.ANCHORARRAY(A19), TBL_Limiti_CDA[Data], TBL_Limiti_CDA[Etica Dynamic Allocation], , -1)</f>
        <v>3</v>
      </c>
      <c r="K19" cm="1">
        <f t="array" ref="K19">_xlfn.XLOOKUP(_xlfn.ANCHORARRAY(A19), TBL_Limiti_CDA[Data], TBL_Limiti_CDA[Etica Global Equity], , -1)</f>
        <v>3.5</v>
      </c>
      <c r="L19" cm="1">
        <f t="array" ref="L19">_xlfn.ANCHORARRAY(B19)+0.15</f>
        <v>1.9</v>
      </c>
      <c r="M19" cm="1">
        <f t="array" ref="M19">_xlfn.ANCHORARRAY(C19)+0.1</f>
        <v>0.6</v>
      </c>
      <c r="N19" cm="1">
        <f t="array" ref="N19">_xlfn.ANCHORARRAY(D19)+0.15</f>
        <v>1.1499999999999999</v>
      </c>
      <c r="O19" cm="1">
        <f t="array" ref="O19">_xlfn.ANCHORARRAY(E19)+0.15</f>
        <v>3.15</v>
      </c>
      <c r="P19" cm="1">
        <f t="array" ref="P19">_xlfn.ANCHORARRAY(F19)+0.15</f>
        <v>3.65</v>
      </c>
      <c r="Q19" cm="1">
        <f t="array" ref="Q19">_xlfn.ANCHORARRAY(G19)+0.15</f>
        <v>2.9</v>
      </c>
      <c r="R19" cm="1">
        <f t="array" ref="R19">_xlfn.ANCHORARRAY(H19)</f>
        <v>7.49</v>
      </c>
      <c r="S19" cm="1">
        <f t="array" ref="S19">_xlfn.ANCHORARRAY(R19)+0.15</f>
        <v>7.6400000000000006</v>
      </c>
      <c r="T19" cm="1">
        <f t="array" ref="T19">_xlfn.ANCHORARRAY(I19)+0.15</f>
        <v>1.1499999999999999</v>
      </c>
      <c r="U19" cm="1">
        <f t="array" ref="U19">_xlfn.ANCHORARRAY(J19)+0.15</f>
        <v>3.15</v>
      </c>
      <c r="V19" cm="1">
        <f t="array" ref="V19">_xlfn.ANCHORARRAY(K19)+0.15</f>
        <v>3.65</v>
      </c>
      <c r="W19">
        <f>TBL_TEV[[#This Row],[Etica Rendita Bilanciata]]</f>
        <v>1.247736</v>
      </c>
      <c r="X19">
        <f>TBL_TEV[[#This Row],[Etica Obbligazionario Breve Termine]]</f>
        <v>0.16985700000000001</v>
      </c>
      <c r="Y19">
        <f>TBL_TEV[[#This Row],[Etica Obbligazionario Misto]]</f>
        <v>0.66069699999999998</v>
      </c>
      <c r="Z19">
        <f>TBL_TEV[[#This Row],[Etica Bilanciato]]</f>
        <v>1.9508179999999999</v>
      </c>
      <c r="AA19">
        <f>TBL_TEV[[#This Row],[Etica Azionario]]</f>
        <v>2.756291</v>
      </c>
      <c r="AB19">
        <f>TBL_TEV[[#This Row],[Etica Transizione Climatica]]</f>
        <v>1.7908029999999999</v>
      </c>
      <c r="AC19">
        <f>TBL_TEV[[#This Row],[Etica Obiettivo Sociale]]</f>
        <v>6.0148773964993936</v>
      </c>
      <c r="AD19">
        <f>TBL_TEV[[#This Row],[Etica Conservative Allocation]]</f>
        <v>0.67641300000000004</v>
      </c>
      <c r="AE19">
        <f>TBL_TEV[[#This Row],[Etica Dynamic Allocation]]</f>
        <v>2.078449</v>
      </c>
      <c r="AF19">
        <f>TBL_TEV[[#This Row],[Etica Global Equity]]</f>
        <v>3.02203</v>
      </c>
      <c r="AL19">
        <f ca="1"/>
        <v>1.229163</v>
      </c>
      <c r="AM19">
        <f ca="1"/>
        <v>0.167794</v>
      </c>
      <c r="AN19">
        <f ca="1"/>
        <v>0.65037900000000004</v>
      </c>
      <c r="AO19">
        <f ca="1"/>
        <v>1.9311339999999999</v>
      </c>
      <c r="AP19">
        <f ca="1"/>
        <v>2.7323200000000001</v>
      </c>
      <c r="AQ19">
        <f ca="1"/>
        <v>1.7693730000000001</v>
      </c>
      <c r="AR19">
        <f ca="1"/>
        <v>5.9937775485109466</v>
      </c>
      <c r="AS19">
        <f ca="1"/>
        <v>0.75784899999999999</v>
      </c>
      <c r="AT19">
        <f ca="1"/>
        <v>2.1646480000000001</v>
      </c>
      <c r="AU19">
        <f ca="1"/>
        <v>3.0858460000000001</v>
      </c>
    </row>
    <row r="20" spans="1:47">
      <c r="A20" s="43">
        <f>TBL_TEV[[#This Row],[Data2]]</f>
        <v>45317</v>
      </c>
      <c r="B20" cm="1">
        <f t="array" ref="B20">_xlfn.XLOOKUP(_xlfn.ANCHORARRAY(A20), TBL_Limiti_CDA[Data], TBL_Limiti_CDA[Etica Rendita Bilanciata], , -1)</f>
        <v>1.75</v>
      </c>
      <c r="C20" cm="1">
        <f t="array" ref="C20">_xlfn.XLOOKUP(_xlfn.ANCHORARRAY(A20), TBL_Limiti_CDA[Data], TBL_Limiti_CDA[Etica Obbligazionario Breve Termine], , -1)</f>
        <v>0.5</v>
      </c>
      <c r="D20" cm="1">
        <f t="array" ref="D20">_xlfn.XLOOKUP(_xlfn.ANCHORARRAY(A20), TBL_Limiti_CDA[Data], TBL_Limiti_CDA[Etica Obbligazionario Misto], , -1)</f>
        <v>1</v>
      </c>
      <c r="E20" cm="1">
        <f t="array" ref="E20">_xlfn.XLOOKUP(_xlfn.ANCHORARRAY(A20), TBL_Limiti_CDA[Data], TBL_Limiti_CDA[Etica Bilanciato], , -1)</f>
        <v>3</v>
      </c>
      <c r="F20" cm="1">
        <f t="array" ref="F20">_xlfn.XLOOKUP(_xlfn.ANCHORARRAY(A20), TBL_Limiti_CDA[Data], TBL_Limiti_CDA[Etica Azionario], , -1)</f>
        <v>3.5</v>
      </c>
      <c r="G20" cm="1">
        <f t="array" ref="G20">_xlfn.XLOOKUP(_xlfn.ANCHORARRAY(A20), TBL_Limiti_CDA[Data], TBL_Limiti_CDA[Etica Transizione Climatica], , -1)</f>
        <v>2.75</v>
      </c>
      <c r="H20" cm="1">
        <f t="array" ref="H20">_xlfn.XLOOKUP(_xlfn.ANCHORARRAY(A20), TBL_Limiti_CDA[Data], TBL_Limiti_CDA[Etica Obiettivo Sociale], , -1)</f>
        <v>7.49</v>
      </c>
      <c r="I20" cm="1">
        <f t="array" ref="I20">_xlfn.XLOOKUP(_xlfn.ANCHORARRAY(A20), TBL_Limiti_CDA[Data], TBL_Limiti_CDA[Etica Conservative Allocation], , -1)</f>
        <v>1</v>
      </c>
      <c r="J20" cm="1">
        <f t="array" ref="J20">_xlfn.XLOOKUP(_xlfn.ANCHORARRAY(A20), TBL_Limiti_CDA[Data], TBL_Limiti_CDA[Etica Dynamic Allocation], , -1)</f>
        <v>3</v>
      </c>
      <c r="K20" cm="1">
        <f t="array" ref="K20">_xlfn.XLOOKUP(_xlfn.ANCHORARRAY(A20), TBL_Limiti_CDA[Data], TBL_Limiti_CDA[Etica Global Equity], , -1)</f>
        <v>3.5</v>
      </c>
      <c r="L20" cm="1">
        <f t="array" ref="L20">_xlfn.ANCHORARRAY(B20)+0.15</f>
        <v>1.9</v>
      </c>
      <c r="M20" cm="1">
        <f t="array" ref="M20">_xlfn.ANCHORARRAY(C20)+0.1</f>
        <v>0.6</v>
      </c>
      <c r="N20" cm="1">
        <f t="array" ref="N20">_xlfn.ANCHORARRAY(D20)+0.15</f>
        <v>1.1499999999999999</v>
      </c>
      <c r="O20" cm="1">
        <f t="array" ref="O20">_xlfn.ANCHORARRAY(E20)+0.15</f>
        <v>3.15</v>
      </c>
      <c r="P20" cm="1">
        <f t="array" ref="P20">_xlfn.ANCHORARRAY(F20)+0.15</f>
        <v>3.65</v>
      </c>
      <c r="Q20" cm="1">
        <f t="array" ref="Q20">_xlfn.ANCHORARRAY(G20)+0.15</f>
        <v>2.9</v>
      </c>
      <c r="R20" cm="1">
        <f t="array" ref="R20">_xlfn.ANCHORARRAY(H20)</f>
        <v>7.49</v>
      </c>
      <c r="S20" cm="1">
        <f t="array" ref="S20">_xlfn.ANCHORARRAY(R20)+0.15</f>
        <v>7.6400000000000006</v>
      </c>
      <c r="T20" cm="1">
        <f t="array" ref="T20">_xlfn.ANCHORARRAY(I20)+0.15</f>
        <v>1.1499999999999999</v>
      </c>
      <c r="U20" cm="1">
        <f t="array" ref="U20">_xlfn.ANCHORARRAY(J20)+0.15</f>
        <v>3.15</v>
      </c>
      <c r="V20" cm="1">
        <f t="array" ref="V20">_xlfn.ANCHORARRAY(K20)+0.15</f>
        <v>3.65</v>
      </c>
      <c r="W20">
        <f>TBL_TEV[[#This Row],[Etica Rendita Bilanciata]]</f>
        <v>1.229163</v>
      </c>
      <c r="X20">
        <f>TBL_TEV[[#This Row],[Etica Obbligazionario Breve Termine]]</f>
        <v>0.167794</v>
      </c>
      <c r="Y20">
        <f>TBL_TEV[[#This Row],[Etica Obbligazionario Misto]]</f>
        <v>0.65037900000000004</v>
      </c>
      <c r="Z20">
        <f>TBL_TEV[[#This Row],[Etica Bilanciato]]</f>
        <v>1.9311339999999999</v>
      </c>
      <c r="AA20">
        <f>TBL_TEV[[#This Row],[Etica Azionario]]</f>
        <v>2.7323200000000001</v>
      </c>
      <c r="AB20">
        <f>TBL_TEV[[#This Row],[Etica Transizione Climatica]]</f>
        <v>1.7693730000000001</v>
      </c>
      <c r="AC20">
        <f>TBL_TEV[[#This Row],[Etica Obiettivo Sociale]]</f>
        <v>5.9937775485109466</v>
      </c>
      <c r="AD20">
        <f>TBL_TEV[[#This Row],[Etica Conservative Allocation]]</f>
        <v>0.75784899999999999</v>
      </c>
      <c r="AE20">
        <f>TBL_TEV[[#This Row],[Etica Dynamic Allocation]]</f>
        <v>2.1646480000000001</v>
      </c>
      <c r="AF20">
        <f>TBL_TEV[[#This Row],[Etica Global Equity]]</f>
        <v>3.0858460000000001</v>
      </c>
      <c r="AL20">
        <f ca="1"/>
        <v>1.228369</v>
      </c>
      <c r="AM20">
        <f ca="1"/>
        <v>0.16652400000000001</v>
      </c>
      <c r="AN20">
        <f ca="1"/>
        <v>0.65085499999999996</v>
      </c>
      <c r="AO20">
        <f ca="1"/>
        <v>1.9301809999999999</v>
      </c>
      <c r="AP20">
        <f ca="1"/>
        <v>2.7289870000000001</v>
      </c>
      <c r="AQ20">
        <f ca="1"/>
        <v>1.7849299999999999</v>
      </c>
      <c r="AR20">
        <f ca="1"/>
        <v>5.9801709161744832</v>
      </c>
      <c r="AS20">
        <f ca="1"/>
        <v>0.74943599999999999</v>
      </c>
      <c r="AT20">
        <f ca="1"/>
        <v>2.253228</v>
      </c>
      <c r="AU20">
        <f ca="1"/>
        <v>3.1839499999999998</v>
      </c>
    </row>
    <row r="21" spans="1:47">
      <c r="A21" s="43">
        <f>TBL_TEV[[#This Row],[Data2]]</f>
        <v>45320</v>
      </c>
      <c r="B21" cm="1">
        <f t="array" ref="B21">_xlfn.XLOOKUP(_xlfn.ANCHORARRAY(A21), TBL_Limiti_CDA[Data], TBL_Limiti_CDA[Etica Rendita Bilanciata], , -1)</f>
        <v>1.75</v>
      </c>
      <c r="C21" cm="1">
        <f t="array" ref="C21">_xlfn.XLOOKUP(_xlfn.ANCHORARRAY(A21), TBL_Limiti_CDA[Data], TBL_Limiti_CDA[Etica Obbligazionario Breve Termine], , -1)</f>
        <v>0.5</v>
      </c>
      <c r="D21" cm="1">
        <f t="array" ref="D21">_xlfn.XLOOKUP(_xlfn.ANCHORARRAY(A21), TBL_Limiti_CDA[Data], TBL_Limiti_CDA[Etica Obbligazionario Misto], , -1)</f>
        <v>1</v>
      </c>
      <c r="E21" cm="1">
        <f t="array" ref="E21">_xlfn.XLOOKUP(_xlfn.ANCHORARRAY(A21), TBL_Limiti_CDA[Data], TBL_Limiti_CDA[Etica Bilanciato], , -1)</f>
        <v>3</v>
      </c>
      <c r="F21" cm="1">
        <f t="array" ref="F21">_xlfn.XLOOKUP(_xlfn.ANCHORARRAY(A21), TBL_Limiti_CDA[Data], TBL_Limiti_CDA[Etica Azionario], , -1)</f>
        <v>3.5</v>
      </c>
      <c r="G21" cm="1">
        <f t="array" ref="G21">_xlfn.XLOOKUP(_xlfn.ANCHORARRAY(A21), TBL_Limiti_CDA[Data], TBL_Limiti_CDA[Etica Transizione Climatica], , -1)</f>
        <v>2.75</v>
      </c>
      <c r="H21" cm="1">
        <f t="array" ref="H21">_xlfn.XLOOKUP(_xlfn.ANCHORARRAY(A21), TBL_Limiti_CDA[Data], TBL_Limiti_CDA[Etica Obiettivo Sociale], , -1)</f>
        <v>7.49</v>
      </c>
      <c r="I21" cm="1">
        <f t="array" ref="I21">_xlfn.XLOOKUP(_xlfn.ANCHORARRAY(A21), TBL_Limiti_CDA[Data], TBL_Limiti_CDA[Etica Conservative Allocation], , -1)</f>
        <v>1</v>
      </c>
      <c r="J21" cm="1">
        <f t="array" ref="J21">_xlfn.XLOOKUP(_xlfn.ANCHORARRAY(A21), TBL_Limiti_CDA[Data], TBL_Limiti_CDA[Etica Dynamic Allocation], , -1)</f>
        <v>3</v>
      </c>
      <c r="K21" cm="1">
        <f t="array" ref="K21">_xlfn.XLOOKUP(_xlfn.ANCHORARRAY(A21), TBL_Limiti_CDA[Data], TBL_Limiti_CDA[Etica Global Equity], , -1)</f>
        <v>3.5</v>
      </c>
      <c r="L21" cm="1">
        <f t="array" ref="L21">_xlfn.ANCHORARRAY(B21)+0.15</f>
        <v>1.9</v>
      </c>
      <c r="M21" cm="1">
        <f t="array" ref="M21">_xlfn.ANCHORARRAY(C21)+0.1</f>
        <v>0.6</v>
      </c>
      <c r="N21" cm="1">
        <f t="array" ref="N21">_xlfn.ANCHORARRAY(D21)+0.15</f>
        <v>1.1499999999999999</v>
      </c>
      <c r="O21" cm="1">
        <f t="array" ref="O21">_xlfn.ANCHORARRAY(E21)+0.15</f>
        <v>3.15</v>
      </c>
      <c r="P21" cm="1">
        <f t="array" ref="P21">_xlfn.ANCHORARRAY(F21)+0.15</f>
        <v>3.65</v>
      </c>
      <c r="Q21" cm="1">
        <f t="array" ref="Q21">_xlfn.ANCHORARRAY(G21)+0.15</f>
        <v>2.9</v>
      </c>
      <c r="R21" cm="1">
        <f t="array" ref="R21">_xlfn.ANCHORARRAY(H21)</f>
        <v>7.49</v>
      </c>
      <c r="S21" cm="1">
        <f t="array" ref="S21">_xlfn.ANCHORARRAY(R21)+0.15</f>
        <v>7.6400000000000006</v>
      </c>
      <c r="T21" cm="1">
        <f t="array" ref="T21">_xlfn.ANCHORARRAY(I21)+0.15</f>
        <v>1.1499999999999999</v>
      </c>
      <c r="U21" cm="1">
        <f t="array" ref="U21">_xlfn.ANCHORARRAY(J21)+0.15</f>
        <v>3.15</v>
      </c>
      <c r="V21" cm="1">
        <f t="array" ref="V21">_xlfn.ANCHORARRAY(K21)+0.15</f>
        <v>3.65</v>
      </c>
      <c r="W21">
        <f>TBL_TEV[[#This Row],[Etica Rendita Bilanciata]]</f>
        <v>1.228369</v>
      </c>
      <c r="X21">
        <f>TBL_TEV[[#This Row],[Etica Obbligazionario Breve Termine]]</f>
        <v>0.16652400000000001</v>
      </c>
      <c r="Y21">
        <f>TBL_TEV[[#This Row],[Etica Obbligazionario Misto]]</f>
        <v>0.65085499999999996</v>
      </c>
      <c r="Z21">
        <f>TBL_TEV[[#This Row],[Etica Bilanciato]]</f>
        <v>1.9301809999999999</v>
      </c>
      <c r="AA21">
        <f>TBL_TEV[[#This Row],[Etica Azionario]]</f>
        <v>2.7289870000000001</v>
      </c>
      <c r="AB21">
        <f>TBL_TEV[[#This Row],[Etica Transizione Climatica]]</f>
        <v>1.7849299999999999</v>
      </c>
      <c r="AC21">
        <f>TBL_TEV[[#This Row],[Etica Obiettivo Sociale]]</f>
        <v>5.9801709161744832</v>
      </c>
      <c r="AD21">
        <f>TBL_TEV[[#This Row],[Etica Conservative Allocation]]</f>
        <v>0.74943599999999999</v>
      </c>
      <c r="AE21">
        <f>TBL_TEV[[#This Row],[Etica Dynamic Allocation]]</f>
        <v>2.253228</v>
      </c>
      <c r="AF21">
        <f>TBL_TEV[[#This Row],[Etica Global Equity]]</f>
        <v>3.1839499999999998</v>
      </c>
      <c r="AL21">
        <f ca="1"/>
        <v>1.2193210000000001</v>
      </c>
      <c r="AM21">
        <f ca="1"/>
        <v>0.16509499999999999</v>
      </c>
      <c r="AN21">
        <f ca="1"/>
        <v>0.66006200000000004</v>
      </c>
      <c r="AO21">
        <f ca="1"/>
        <v>1.952564</v>
      </c>
      <c r="AP21">
        <f ca="1"/>
        <v>2.7267640000000002</v>
      </c>
      <c r="AQ21">
        <f ca="1"/>
        <v>1.795248</v>
      </c>
      <c r="AR21">
        <f ca="1"/>
        <v>5.949747534948</v>
      </c>
      <c r="AS21">
        <f ca="1"/>
        <v>0.73372000000000004</v>
      </c>
      <c r="AT21">
        <f ca="1"/>
        <v>2.1917930000000001</v>
      </c>
      <c r="AU21">
        <f ca="1"/>
        <v>3.2209379999999999</v>
      </c>
    </row>
    <row r="22" spans="1:47">
      <c r="A22" s="43">
        <f>TBL_TEV[[#This Row],[Data2]]</f>
        <v>45321</v>
      </c>
      <c r="B22" cm="1">
        <f t="array" ref="B22">_xlfn.XLOOKUP(_xlfn.ANCHORARRAY(A22), TBL_Limiti_CDA[Data], TBL_Limiti_CDA[Etica Rendita Bilanciata], , -1)</f>
        <v>1.75</v>
      </c>
      <c r="C22" cm="1">
        <f t="array" ref="C22">_xlfn.XLOOKUP(_xlfn.ANCHORARRAY(A22), TBL_Limiti_CDA[Data], TBL_Limiti_CDA[Etica Obbligazionario Breve Termine], , -1)</f>
        <v>0.5</v>
      </c>
      <c r="D22" cm="1">
        <f t="array" ref="D22">_xlfn.XLOOKUP(_xlfn.ANCHORARRAY(A22), TBL_Limiti_CDA[Data], TBL_Limiti_CDA[Etica Obbligazionario Misto], , -1)</f>
        <v>1</v>
      </c>
      <c r="E22" cm="1">
        <f t="array" ref="E22">_xlfn.XLOOKUP(_xlfn.ANCHORARRAY(A22), TBL_Limiti_CDA[Data], TBL_Limiti_CDA[Etica Bilanciato], , -1)</f>
        <v>3</v>
      </c>
      <c r="F22" cm="1">
        <f t="array" ref="F22">_xlfn.XLOOKUP(_xlfn.ANCHORARRAY(A22), TBL_Limiti_CDA[Data], TBL_Limiti_CDA[Etica Azionario], , -1)</f>
        <v>3.5</v>
      </c>
      <c r="G22" cm="1">
        <f t="array" ref="G22">_xlfn.XLOOKUP(_xlfn.ANCHORARRAY(A22), TBL_Limiti_CDA[Data], TBL_Limiti_CDA[Etica Transizione Climatica], , -1)</f>
        <v>2.75</v>
      </c>
      <c r="H22" cm="1">
        <f t="array" ref="H22">_xlfn.XLOOKUP(_xlfn.ANCHORARRAY(A22), TBL_Limiti_CDA[Data], TBL_Limiti_CDA[Etica Obiettivo Sociale], , -1)</f>
        <v>7.49</v>
      </c>
      <c r="I22" cm="1">
        <f t="array" ref="I22">_xlfn.XLOOKUP(_xlfn.ANCHORARRAY(A22), TBL_Limiti_CDA[Data], TBL_Limiti_CDA[Etica Conservative Allocation], , -1)</f>
        <v>1</v>
      </c>
      <c r="J22" cm="1">
        <f t="array" ref="J22">_xlfn.XLOOKUP(_xlfn.ANCHORARRAY(A22), TBL_Limiti_CDA[Data], TBL_Limiti_CDA[Etica Dynamic Allocation], , -1)</f>
        <v>3</v>
      </c>
      <c r="K22" cm="1">
        <f t="array" ref="K22">_xlfn.XLOOKUP(_xlfn.ANCHORARRAY(A22), TBL_Limiti_CDA[Data], TBL_Limiti_CDA[Etica Global Equity], , -1)</f>
        <v>3.5</v>
      </c>
      <c r="L22" cm="1">
        <f t="array" ref="L22">_xlfn.ANCHORARRAY(B22)+0.15</f>
        <v>1.9</v>
      </c>
      <c r="M22" cm="1">
        <f t="array" ref="M22">_xlfn.ANCHORARRAY(C22)+0.1</f>
        <v>0.6</v>
      </c>
      <c r="N22" cm="1">
        <f t="array" ref="N22">_xlfn.ANCHORARRAY(D22)+0.15</f>
        <v>1.1499999999999999</v>
      </c>
      <c r="O22" cm="1">
        <f t="array" ref="O22">_xlfn.ANCHORARRAY(E22)+0.15</f>
        <v>3.15</v>
      </c>
      <c r="P22" cm="1">
        <f t="array" ref="P22">_xlfn.ANCHORARRAY(F22)+0.15</f>
        <v>3.65</v>
      </c>
      <c r="Q22" cm="1">
        <f t="array" ref="Q22">_xlfn.ANCHORARRAY(G22)+0.15</f>
        <v>2.9</v>
      </c>
      <c r="R22" cm="1">
        <f t="array" ref="R22">_xlfn.ANCHORARRAY(H22)</f>
        <v>7.49</v>
      </c>
      <c r="S22" cm="1">
        <f t="array" ref="S22">_xlfn.ANCHORARRAY(R22)+0.15</f>
        <v>7.6400000000000006</v>
      </c>
      <c r="T22" cm="1">
        <f t="array" ref="T22">_xlfn.ANCHORARRAY(I22)+0.15</f>
        <v>1.1499999999999999</v>
      </c>
      <c r="U22" cm="1">
        <f t="array" ref="U22">_xlfn.ANCHORARRAY(J22)+0.15</f>
        <v>3.15</v>
      </c>
      <c r="V22" cm="1">
        <f t="array" ref="V22">_xlfn.ANCHORARRAY(K22)+0.15</f>
        <v>3.65</v>
      </c>
      <c r="W22">
        <f>TBL_TEV[[#This Row],[Etica Rendita Bilanciata]]</f>
        <v>1.2193210000000001</v>
      </c>
      <c r="X22">
        <f>TBL_TEV[[#This Row],[Etica Obbligazionario Breve Termine]]</f>
        <v>0.16509499999999999</v>
      </c>
      <c r="Y22">
        <f>TBL_TEV[[#This Row],[Etica Obbligazionario Misto]]</f>
        <v>0.66006200000000004</v>
      </c>
      <c r="Z22">
        <f>TBL_TEV[[#This Row],[Etica Bilanciato]]</f>
        <v>1.952564</v>
      </c>
      <c r="AA22">
        <f>TBL_TEV[[#This Row],[Etica Azionario]]</f>
        <v>2.7267640000000002</v>
      </c>
      <c r="AB22">
        <f>TBL_TEV[[#This Row],[Etica Transizione Climatica]]</f>
        <v>1.795248</v>
      </c>
      <c r="AC22">
        <f>TBL_TEV[[#This Row],[Etica Obiettivo Sociale]]</f>
        <v>5.949747534948</v>
      </c>
      <c r="AD22">
        <f>TBL_TEV[[#This Row],[Etica Conservative Allocation]]</f>
        <v>0.73372000000000004</v>
      </c>
      <c r="AE22">
        <f>TBL_TEV[[#This Row],[Etica Dynamic Allocation]]</f>
        <v>2.1917930000000001</v>
      </c>
      <c r="AF22">
        <f>TBL_TEV[[#This Row],[Etica Global Equity]]</f>
        <v>3.2209379999999999</v>
      </c>
      <c r="AL22">
        <f ca="1"/>
        <v>1.21567</v>
      </c>
      <c r="AM22">
        <f ca="1"/>
        <v>0.16446</v>
      </c>
      <c r="AN22">
        <f ca="1"/>
        <v>0.67403199999999996</v>
      </c>
      <c r="AO22">
        <f ca="1"/>
        <v>1.958121</v>
      </c>
      <c r="AP22">
        <f ca="1"/>
        <v>2.7416860000000001</v>
      </c>
      <c r="AQ22">
        <f ca="1"/>
        <v>1.8112809999999999</v>
      </c>
      <c r="AR22">
        <f ca="1"/>
        <v>6.3447127283348053</v>
      </c>
      <c r="AS22">
        <f ca="1"/>
        <v>0.72768699999999997</v>
      </c>
      <c r="AT22">
        <f ca="1"/>
        <v>2.271325</v>
      </c>
      <c r="AU22">
        <f ca="1"/>
        <v>3.2698309999999999</v>
      </c>
    </row>
    <row r="23" spans="1:47">
      <c r="A23" s="43">
        <f>TBL_TEV[[#This Row],[Data2]]</f>
        <v>45322</v>
      </c>
      <c r="B23" cm="1">
        <f t="array" ref="B23">_xlfn.XLOOKUP(_xlfn.ANCHORARRAY(A23), TBL_Limiti_CDA[Data], TBL_Limiti_CDA[Etica Rendita Bilanciata], , -1)</f>
        <v>1.75</v>
      </c>
      <c r="C23" cm="1">
        <f t="array" ref="C23">_xlfn.XLOOKUP(_xlfn.ANCHORARRAY(A23), TBL_Limiti_CDA[Data], TBL_Limiti_CDA[Etica Obbligazionario Breve Termine], , -1)</f>
        <v>0.5</v>
      </c>
      <c r="D23" cm="1">
        <f t="array" ref="D23">_xlfn.XLOOKUP(_xlfn.ANCHORARRAY(A23), TBL_Limiti_CDA[Data], TBL_Limiti_CDA[Etica Obbligazionario Misto], , -1)</f>
        <v>1</v>
      </c>
      <c r="E23" cm="1">
        <f t="array" ref="E23">_xlfn.XLOOKUP(_xlfn.ANCHORARRAY(A23), TBL_Limiti_CDA[Data], TBL_Limiti_CDA[Etica Bilanciato], , -1)</f>
        <v>3</v>
      </c>
      <c r="F23" cm="1">
        <f t="array" ref="F23">_xlfn.XLOOKUP(_xlfn.ANCHORARRAY(A23), TBL_Limiti_CDA[Data], TBL_Limiti_CDA[Etica Azionario], , -1)</f>
        <v>3.5</v>
      </c>
      <c r="G23" cm="1">
        <f t="array" ref="G23">_xlfn.XLOOKUP(_xlfn.ANCHORARRAY(A23), TBL_Limiti_CDA[Data], TBL_Limiti_CDA[Etica Transizione Climatica], , -1)</f>
        <v>2.75</v>
      </c>
      <c r="H23" cm="1">
        <f t="array" ref="H23">_xlfn.XLOOKUP(_xlfn.ANCHORARRAY(A23), TBL_Limiti_CDA[Data], TBL_Limiti_CDA[Etica Obiettivo Sociale], , -1)</f>
        <v>7.49</v>
      </c>
      <c r="I23" cm="1">
        <f t="array" ref="I23">_xlfn.XLOOKUP(_xlfn.ANCHORARRAY(A23), TBL_Limiti_CDA[Data], TBL_Limiti_CDA[Etica Conservative Allocation], , -1)</f>
        <v>1</v>
      </c>
      <c r="J23" cm="1">
        <f t="array" ref="J23">_xlfn.XLOOKUP(_xlfn.ANCHORARRAY(A23), TBL_Limiti_CDA[Data], TBL_Limiti_CDA[Etica Dynamic Allocation], , -1)</f>
        <v>3</v>
      </c>
      <c r="K23" cm="1">
        <f t="array" ref="K23">_xlfn.XLOOKUP(_xlfn.ANCHORARRAY(A23), TBL_Limiti_CDA[Data], TBL_Limiti_CDA[Etica Global Equity], , -1)</f>
        <v>3.5</v>
      </c>
      <c r="L23" cm="1">
        <f t="array" ref="L23">_xlfn.ANCHORARRAY(B23)+0.15</f>
        <v>1.9</v>
      </c>
      <c r="M23" cm="1">
        <f t="array" ref="M23">_xlfn.ANCHORARRAY(C23)+0.1</f>
        <v>0.6</v>
      </c>
      <c r="N23" cm="1">
        <f t="array" ref="N23">_xlfn.ANCHORARRAY(D23)+0.15</f>
        <v>1.1499999999999999</v>
      </c>
      <c r="O23" cm="1">
        <f t="array" ref="O23">_xlfn.ANCHORARRAY(E23)+0.15</f>
        <v>3.15</v>
      </c>
      <c r="P23" cm="1">
        <f t="array" ref="P23">_xlfn.ANCHORARRAY(F23)+0.15</f>
        <v>3.65</v>
      </c>
      <c r="Q23" cm="1">
        <f t="array" ref="Q23">_xlfn.ANCHORARRAY(G23)+0.15</f>
        <v>2.9</v>
      </c>
      <c r="R23" cm="1">
        <f t="array" ref="R23">_xlfn.ANCHORARRAY(H23)</f>
        <v>7.49</v>
      </c>
      <c r="S23" cm="1">
        <f t="array" ref="S23">_xlfn.ANCHORARRAY(R23)+0.15</f>
        <v>7.6400000000000006</v>
      </c>
      <c r="T23" cm="1">
        <f t="array" ref="T23">_xlfn.ANCHORARRAY(I23)+0.15</f>
        <v>1.1499999999999999</v>
      </c>
      <c r="U23" cm="1">
        <f t="array" ref="U23">_xlfn.ANCHORARRAY(J23)+0.15</f>
        <v>3.15</v>
      </c>
      <c r="V23" cm="1">
        <f t="array" ref="V23">_xlfn.ANCHORARRAY(K23)+0.15</f>
        <v>3.65</v>
      </c>
      <c r="W23">
        <f>TBL_TEV[[#This Row],[Etica Rendita Bilanciata]]</f>
        <v>1.21567</v>
      </c>
      <c r="X23">
        <f>TBL_TEV[[#This Row],[Etica Obbligazionario Breve Termine]]</f>
        <v>0.16446</v>
      </c>
      <c r="Y23">
        <f>TBL_TEV[[#This Row],[Etica Obbligazionario Misto]]</f>
        <v>0.67403199999999996</v>
      </c>
      <c r="Z23">
        <f>TBL_TEV[[#This Row],[Etica Bilanciato]]</f>
        <v>1.958121</v>
      </c>
      <c r="AA23">
        <f>TBL_TEV[[#This Row],[Etica Azionario]]</f>
        <v>2.7416860000000001</v>
      </c>
      <c r="AB23">
        <f>TBL_TEV[[#This Row],[Etica Transizione Climatica]]</f>
        <v>1.8112809999999999</v>
      </c>
      <c r="AC23">
        <f>TBL_TEV[[#This Row],[Etica Obiettivo Sociale]]</f>
        <v>6.3447127283348053</v>
      </c>
      <c r="AD23">
        <f>TBL_TEV[[#This Row],[Etica Conservative Allocation]]</f>
        <v>0.72768699999999997</v>
      </c>
      <c r="AE23">
        <f>TBL_TEV[[#This Row],[Etica Dynamic Allocation]]</f>
        <v>2.271325</v>
      </c>
      <c r="AF23">
        <f>TBL_TEV[[#This Row],[Etica Global Equity]]</f>
        <v>3.2698309999999999</v>
      </c>
      <c r="AL23">
        <f ca="1"/>
        <v>1.230909</v>
      </c>
      <c r="AM23">
        <f ca="1"/>
        <v>0.16700000000000001</v>
      </c>
      <c r="AN23">
        <f ca="1"/>
        <v>0.69450999999999996</v>
      </c>
      <c r="AO23">
        <f ca="1"/>
        <v>1.944151</v>
      </c>
      <c r="AP23">
        <f ca="1"/>
        <v>2.7045400000000002</v>
      </c>
      <c r="AQ23">
        <f ca="1"/>
        <v>1.8173140000000001</v>
      </c>
      <c r="AR23">
        <f ca="1"/>
        <v>6.6788607001160702</v>
      </c>
      <c r="AS23">
        <f ca="1"/>
        <v>0.72530600000000001</v>
      </c>
      <c r="AT23">
        <f ca="1"/>
        <v>2.2638639999999999</v>
      </c>
      <c r="AU23">
        <f ca="1"/>
        <v>3.2493530000000002</v>
      </c>
    </row>
    <row r="24" spans="1:47">
      <c r="A24" s="43">
        <f>TBL_TEV[[#This Row],[Data2]]</f>
        <v>45323</v>
      </c>
      <c r="B24" cm="1">
        <f t="array" ref="B24">_xlfn.XLOOKUP(_xlfn.ANCHORARRAY(A24), TBL_Limiti_CDA[Data], TBL_Limiti_CDA[Etica Rendita Bilanciata], , -1)</f>
        <v>1.75</v>
      </c>
      <c r="C24" cm="1">
        <f t="array" ref="C24">_xlfn.XLOOKUP(_xlfn.ANCHORARRAY(A24), TBL_Limiti_CDA[Data], TBL_Limiti_CDA[Etica Obbligazionario Breve Termine], , -1)</f>
        <v>0.5</v>
      </c>
      <c r="D24" cm="1">
        <f t="array" ref="D24">_xlfn.XLOOKUP(_xlfn.ANCHORARRAY(A24), TBL_Limiti_CDA[Data], TBL_Limiti_CDA[Etica Obbligazionario Misto], , -1)</f>
        <v>1</v>
      </c>
      <c r="E24" cm="1">
        <f t="array" ref="E24">_xlfn.XLOOKUP(_xlfn.ANCHORARRAY(A24), TBL_Limiti_CDA[Data], TBL_Limiti_CDA[Etica Bilanciato], , -1)</f>
        <v>3</v>
      </c>
      <c r="F24" cm="1">
        <f t="array" ref="F24">_xlfn.XLOOKUP(_xlfn.ANCHORARRAY(A24), TBL_Limiti_CDA[Data], TBL_Limiti_CDA[Etica Azionario], , -1)</f>
        <v>3.5</v>
      </c>
      <c r="G24" cm="1">
        <f t="array" ref="G24">_xlfn.XLOOKUP(_xlfn.ANCHORARRAY(A24), TBL_Limiti_CDA[Data], TBL_Limiti_CDA[Etica Transizione Climatica], , -1)</f>
        <v>2.75</v>
      </c>
      <c r="H24" cm="1">
        <f t="array" ref="H24">_xlfn.XLOOKUP(_xlfn.ANCHORARRAY(A24), TBL_Limiti_CDA[Data], TBL_Limiti_CDA[Etica Obiettivo Sociale], , -1)</f>
        <v>7.49</v>
      </c>
      <c r="I24" cm="1">
        <f t="array" ref="I24">_xlfn.XLOOKUP(_xlfn.ANCHORARRAY(A24), TBL_Limiti_CDA[Data], TBL_Limiti_CDA[Etica Conservative Allocation], , -1)</f>
        <v>1</v>
      </c>
      <c r="J24" cm="1">
        <f t="array" ref="J24">_xlfn.XLOOKUP(_xlfn.ANCHORARRAY(A24), TBL_Limiti_CDA[Data], TBL_Limiti_CDA[Etica Dynamic Allocation], , -1)</f>
        <v>3</v>
      </c>
      <c r="K24" cm="1">
        <f t="array" ref="K24">_xlfn.XLOOKUP(_xlfn.ANCHORARRAY(A24), TBL_Limiti_CDA[Data], TBL_Limiti_CDA[Etica Global Equity], , -1)</f>
        <v>3.5</v>
      </c>
      <c r="L24" cm="1">
        <f t="array" ref="L24">_xlfn.ANCHORARRAY(B24)+0.15</f>
        <v>1.9</v>
      </c>
      <c r="M24" cm="1">
        <f t="array" ref="M24">_xlfn.ANCHORARRAY(C24)+0.1</f>
        <v>0.6</v>
      </c>
      <c r="N24" cm="1">
        <f t="array" ref="N24">_xlfn.ANCHORARRAY(D24)+0.15</f>
        <v>1.1499999999999999</v>
      </c>
      <c r="O24" cm="1">
        <f t="array" ref="O24">_xlfn.ANCHORARRAY(E24)+0.15</f>
        <v>3.15</v>
      </c>
      <c r="P24" cm="1">
        <f t="array" ref="P24">_xlfn.ANCHORARRAY(F24)+0.15</f>
        <v>3.65</v>
      </c>
      <c r="Q24" cm="1">
        <f t="array" ref="Q24">_xlfn.ANCHORARRAY(G24)+0.15</f>
        <v>2.9</v>
      </c>
      <c r="R24" cm="1">
        <f t="array" ref="R24">_xlfn.ANCHORARRAY(H24)</f>
        <v>7.49</v>
      </c>
      <c r="S24" cm="1">
        <f t="array" ref="S24">_xlfn.ANCHORARRAY(R24)+0.15</f>
        <v>7.6400000000000006</v>
      </c>
      <c r="T24" cm="1">
        <f t="array" ref="T24">_xlfn.ANCHORARRAY(I24)+0.15</f>
        <v>1.1499999999999999</v>
      </c>
      <c r="U24" cm="1">
        <f t="array" ref="U24">_xlfn.ANCHORARRAY(J24)+0.15</f>
        <v>3.15</v>
      </c>
      <c r="V24" cm="1">
        <f t="array" ref="V24">_xlfn.ANCHORARRAY(K24)+0.15</f>
        <v>3.65</v>
      </c>
      <c r="W24">
        <f>TBL_TEV[[#This Row],[Etica Rendita Bilanciata]]</f>
        <v>1.230909</v>
      </c>
      <c r="X24">
        <f>TBL_TEV[[#This Row],[Etica Obbligazionario Breve Termine]]</f>
        <v>0.16700000000000001</v>
      </c>
      <c r="Y24">
        <f>TBL_TEV[[#This Row],[Etica Obbligazionario Misto]]</f>
        <v>0.69450999999999996</v>
      </c>
      <c r="Z24">
        <f>TBL_TEV[[#This Row],[Etica Bilanciato]]</f>
        <v>1.944151</v>
      </c>
      <c r="AA24">
        <f>TBL_TEV[[#This Row],[Etica Azionario]]</f>
        <v>2.7045400000000002</v>
      </c>
      <c r="AB24">
        <f>TBL_TEV[[#This Row],[Etica Transizione Climatica]]</f>
        <v>1.8173140000000001</v>
      </c>
      <c r="AC24">
        <f>TBL_TEV[[#This Row],[Etica Obiettivo Sociale]]</f>
        <v>6.6788607001160702</v>
      </c>
      <c r="AD24">
        <f>TBL_TEV[[#This Row],[Etica Conservative Allocation]]</f>
        <v>0.72530600000000001</v>
      </c>
      <c r="AE24">
        <f>TBL_TEV[[#This Row],[Etica Dynamic Allocation]]</f>
        <v>2.2638639999999999</v>
      </c>
      <c r="AF24">
        <f>TBL_TEV[[#This Row],[Etica Global Equity]]</f>
        <v>3.2493530000000002</v>
      </c>
      <c r="AL24">
        <f ca="1"/>
        <v>1.314727</v>
      </c>
      <c r="AM24">
        <f ca="1"/>
        <v>0.17144499999999999</v>
      </c>
      <c r="AN24">
        <f ca="1"/>
        <v>0.69800200000000001</v>
      </c>
      <c r="AO24">
        <f ca="1"/>
        <v>2.0465420000000001</v>
      </c>
      <c r="AP24">
        <f ca="1"/>
        <v>2.8545539999999998</v>
      </c>
      <c r="AQ24">
        <f ca="1"/>
        <v>1.941611</v>
      </c>
      <c r="AR24">
        <f ca="1"/>
        <v>6.4421934237441372</v>
      </c>
      <c r="AS24">
        <f ca="1"/>
        <v>0.72054399999999996</v>
      </c>
      <c r="AT24">
        <f ca="1"/>
        <v>2.2389410000000001</v>
      </c>
      <c r="AU24">
        <f ca="1"/>
        <v>3.2004600000000001</v>
      </c>
    </row>
    <row r="25" spans="1:47">
      <c r="A25" s="43">
        <f>TBL_TEV[[#This Row],[Data2]]</f>
        <v>45324</v>
      </c>
      <c r="B25" cm="1">
        <f t="array" ref="B25">_xlfn.XLOOKUP(_xlfn.ANCHORARRAY(A25), TBL_Limiti_CDA[Data], TBL_Limiti_CDA[Etica Rendita Bilanciata], , -1)</f>
        <v>1.75</v>
      </c>
      <c r="C25" cm="1">
        <f t="array" ref="C25">_xlfn.XLOOKUP(_xlfn.ANCHORARRAY(A25), TBL_Limiti_CDA[Data], TBL_Limiti_CDA[Etica Obbligazionario Breve Termine], , -1)</f>
        <v>0.5</v>
      </c>
      <c r="D25" cm="1">
        <f t="array" ref="D25">_xlfn.XLOOKUP(_xlfn.ANCHORARRAY(A25), TBL_Limiti_CDA[Data], TBL_Limiti_CDA[Etica Obbligazionario Misto], , -1)</f>
        <v>1</v>
      </c>
      <c r="E25" cm="1">
        <f t="array" ref="E25">_xlfn.XLOOKUP(_xlfn.ANCHORARRAY(A25), TBL_Limiti_CDA[Data], TBL_Limiti_CDA[Etica Bilanciato], , -1)</f>
        <v>3</v>
      </c>
      <c r="F25" cm="1">
        <f t="array" ref="F25">_xlfn.XLOOKUP(_xlfn.ANCHORARRAY(A25), TBL_Limiti_CDA[Data], TBL_Limiti_CDA[Etica Azionario], , -1)</f>
        <v>3.5</v>
      </c>
      <c r="G25" cm="1">
        <f t="array" ref="G25">_xlfn.XLOOKUP(_xlfn.ANCHORARRAY(A25), TBL_Limiti_CDA[Data], TBL_Limiti_CDA[Etica Transizione Climatica], , -1)</f>
        <v>2.75</v>
      </c>
      <c r="H25" cm="1">
        <f t="array" ref="H25">_xlfn.XLOOKUP(_xlfn.ANCHORARRAY(A25), TBL_Limiti_CDA[Data], TBL_Limiti_CDA[Etica Obiettivo Sociale], , -1)</f>
        <v>7.49</v>
      </c>
      <c r="I25" cm="1">
        <f t="array" ref="I25">_xlfn.XLOOKUP(_xlfn.ANCHORARRAY(A25), TBL_Limiti_CDA[Data], TBL_Limiti_CDA[Etica Conservative Allocation], , -1)</f>
        <v>1</v>
      </c>
      <c r="J25" cm="1">
        <f t="array" ref="J25">_xlfn.XLOOKUP(_xlfn.ANCHORARRAY(A25), TBL_Limiti_CDA[Data], TBL_Limiti_CDA[Etica Dynamic Allocation], , -1)</f>
        <v>3</v>
      </c>
      <c r="K25" cm="1">
        <f t="array" ref="K25">_xlfn.XLOOKUP(_xlfn.ANCHORARRAY(A25), TBL_Limiti_CDA[Data], TBL_Limiti_CDA[Etica Global Equity], , -1)</f>
        <v>3.5</v>
      </c>
      <c r="L25" cm="1">
        <f t="array" ref="L25">_xlfn.ANCHORARRAY(B25)+0.15</f>
        <v>1.9</v>
      </c>
      <c r="M25" cm="1">
        <f t="array" ref="M25">_xlfn.ANCHORARRAY(C25)+0.1</f>
        <v>0.6</v>
      </c>
      <c r="N25" cm="1">
        <f t="array" ref="N25">_xlfn.ANCHORARRAY(D25)+0.15</f>
        <v>1.1499999999999999</v>
      </c>
      <c r="O25" cm="1">
        <f t="array" ref="O25">_xlfn.ANCHORARRAY(E25)+0.15</f>
        <v>3.15</v>
      </c>
      <c r="P25" cm="1">
        <f t="array" ref="P25">_xlfn.ANCHORARRAY(F25)+0.15</f>
        <v>3.65</v>
      </c>
      <c r="Q25" cm="1">
        <f t="array" ref="Q25">_xlfn.ANCHORARRAY(G25)+0.15</f>
        <v>2.9</v>
      </c>
      <c r="R25" cm="1">
        <f t="array" ref="R25">_xlfn.ANCHORARRAY(H25)</f>
        <v>7.49</v>
      </c>
      <c r="S25" cm="1">
        <f t="array" ref="S25">_xlfn.ANCHORARRAY(R25)+0.15</f>
        <v>7.6400000000000006</v>
      </c>
      <c r="T25" cm="1">
        <f t="array" ref="T25">_xlfn.ANCHORARRAY(I25)+0.15</f>
        <v>1.1499999999999999</v>
      </c>
      <c r="U25" cm="1">
        <f t="array" ref="U25">_xlfn.ANCHORARRAY(J25)+0.15</f>
        <v>3.15</v>
      </c>
      <c r="V25" cm="1">
        <f t="array" ref="V25">_xlfn.ANCHORARRAY(K25)+0.15</f>
        <v>3.65</v>
      </c>
      <c r="W25">
        <f>TBL_TEV[[#This Row],[Etica Rendita Bilanciata]]</f>
        <v>1.314727</v>
      </c>
      <c r="X25">
        <f>TBL_TEV[[#This Row],[Etica Obbligazionario Breve Termine]]</f>
        <v>0.17144499999999999</v>
      </c>
      <c r="Y25">
        <f>TBL_TEV[[#This Row],[Etica Obbligazionario Misto]]</f>
        <v>0.69800200000000001</v>
      </c>
      <c r="Z25">
        <f>TBL_TEV[[#This Row],[Etica Bilanciato]]</f>
        <v>2.0465420000000001</v>
      </c>
      <c r="AA25">
        <f>TBL_TEV[[#This Row],[Etica Azionario]]</f>
        <v>2.8545539999999998</v>
      </c>
      <c r="AB25">
        <f>TBL_TEV[[#This Row],[Etica Transizione Climatica]]</f>
        <v>1.941611</v>
      </c>
      <c r="AC25">
        <f>TBL_TEV[[#This Row],[Etica Obiettivo Sociale]]</f>
        <v>6.4421934237441372</v>
      </c>
      <c r="AD25">
        <f>TBL_TEV[[#This Row],[Etica Conservative Allocation]]</f>
        <v>0.72054399999999996</v>
      </c>
      <c r="AE25">
        <f>TBL_TEV[[#This Row],[Etica Dynamic Allocation]]</f>
        <v>2.2389410000000001</v>
      </c>
      <c r="AF25">
        <f>TBL_TEV[[#This Row],[Etica Global Equity]]</f>
        <v>3.2004600000000001</v>
      </c>
      <c r="AL25">
        <f ca="1"/>
        <v>1.3023450000000001</v>
      </c>
      <c r="AM25">
        <f ca="1"/>
        <v>0.16954</v>
      </c>
      <c r="AN25">
        <f ca="1"/>
        <v>0.69133500000000003</v>
      </c>
      <c r="AO25">
        <f ca="1"/>
        <v>2.0228890000000002</v>
      </c>
      <c r="AP25">
        <f ca="1"/>
        <v>2.8247100000000001</v>
      </c>
      <c r="AQ25">
        <f ca="1"/>
        <v>1.9549460000000001</v>
      </c>
      <c r="AR25">
        <f ca="1"/>
        <v>6.4247180254204137</v>
      </c>
      <c r="AS25">
        <f ca="1"/>
        <v>0.72482999999999997</v>
      </c>
      <c r="AT25">
        <f ca="1"/>
        <v>2.2519580000000001</v>
      </c>
      <c r="AU25">
        <f ca="1"/>
        <v>3.2087140000000001</v>
      </c>
    </row>
    <row r="26" spans="1:47">
      <c r="A26" s="43">
        <f>TBL_TEV[[#This Row],[Data2]]</f>
        <v>45327</v>
      </c>
      <c r="B26" cm="1">
        <f t="array" ref="B26">_xlfn.XLOOKUP(_xlfn.ANCHORARRAY(A26), TBL_Limiti_CDA[Data], TBL_Limiti_CDA[Etica Rendita Bilanciata], , -1)</f>
        <v>1.75</v>
      </c>
      <c r="C26" cm="1">
        <f t="array" ref="C26">_xlfn.XLOOKUP(_xlfn.ANCHORARRAY(A26), TBL_Limiti_CDA[Data], TBL_Limiti_CDA[Etica Obbligazionario Breve Termine], , -1)</f>
        <v>0.5</v>
      </c>
      <c r="D26" cm="1">
        <f t="array" ref="D26">_xlfn.XLOOKUP(_xlfn.ANCHORARRAY(A26), TBL_Limiti_CDA[Data], TBL_Limiti_CDA[Etica Obbligazionario Misto], , -1)</f>
        <v>1</v>
      </c>
      <c r="E26" cm="1">
        <f t="array" ref="E26">_xlfn.XLOOKUP(_xlfn.ANCHORARRAY(A26), TBL_Limiti_CDA[Data], TBL_Limiti_CDA[Etica Bilanciato], , -1)</f>
        <v>3</v>
      </c>
      <c r="F26" cm="1">
        <f t="array" ref="F26">_xlfn.XLOOKUP(_xlfn.ANCHORARRAY(A26), TBL_Limiti_CDA[Data], TBL_Limiti_CDA[Etica Azionario], , -1)</f>
        <v>3.5</v>
      </c>
      <c r="G26" cm="1">
        <f t="array" ref="G26">_xlfn.XLOOKUP(_xlfn.ANCHORARRAY(A26), TBL_Limiti_CDA[Data], TBL_Limiti_CDA[Etica Transizione Climatica], , -1)</f>
        <v>2.75</v>
      </c>
      <c r="H26" cm="1">
        <f t="array" ref="H26">_xlfn.XLOOKUP(_xlfn.ANCHORARRAY(A26), TBL_Limiti_CDA[Data], TBL_Limiti_CDA[Etica Obiettivo Sociale], , -1)</f>
        <v>7.49</v>
      </c>
      <c r="I26" cm="1">
        <f t="array" ref="I26">_xlfn.XLOOKUP(_xlfn.ANCHORARRAY(A26), TBL_Limiti_CDA[Data], TBL_Limiti_CDA[Etica Conservative Allocation], , -1)</f>
        <v>1</v>
      </c>
      <c r="J26" cm="1">
        <f t="array" ref="J26">_xlfn.XLOOKUP(_xlfn.ANCHORARRAY(A26), TBL_Limiti_CDA[Data], TBL_Limiti_CDA[Etica Dynamic Allocation], , -1)</f>
        <v>3</v>
      </c>
      <c r="K26" cm="1">
        <f t="array" ref="K26">_xlfn.XLOOKUP(_xlfn.ANCHORARRAY(A26), TBL_Limiti_CDA[Data], TBL_Limiti_CDA[Etica Global Equity], , -1)</f>
        <v>3.5</v>
      </c>
      <c r="L26" cm="1">
        <f t="array" ref="L26">_xlfn.ANCHORARRAY(B26)+0.15</f>
        <v>1.9</v>
      </c>
      <c r="M26" cm="1">
        <f t="array" ref="M26">_xlfn.ANCHORARRAY(C26)+0.1</f>
        <v>0.6</v>
      </c>
      <c r="N26" cm="1">
        <f t="array" ref="N26">_xlfn.ANCHORARRAY(D26)+0.15</f>
        <v>1.1499999999999999</v>
      </c>
      <c r="O26" cm="1">
        <f t="array" ref="O26">_xlfn.ANCHORARRAY(E26)+0.15</f>
        <v>3.15</v>
      </c>
      <c r="P26" cm="1">
        <f t="array" ref="P26">_xlfn.ANCHORARRAY(F26)+0.15</f>
        <v>3.65</v>
      </c>
      <c r="Q26" cm="1">
        <f t="array" ref="Q26">_xlfn.ANCHORARRAY(G26)+0.15</f>
        <v>2.9</v>
      </c>
      <c r="R26" cm="1">
        <f t="array" ref="R26">_xlfn.ANCHORARRAY(H26)</f>
        <v>7.49</v>
      </c>
      <c r="S26" cm="1">
        <f t="array" ref="S26">_xlfn.ANCHORARRAY(R26)+0.15</f>
        <v>7.6400000000000006</v>
      </c>
      <c r="T26" cm="1">
        <f t="array" ref="T26">_xlfn.ANCHORARRAY(I26)+0.15</f>
        <v>1.1499999999999999</v>
      </c>
      <c r="U26" cm="1">
        <f t="array" ref="U26">_xlfn.ANCHORARRAY(J26)+0.15</f>
        <v>3.15</v>
      </c>
      <c r="V26" cm="1">
        <f t="array" ref="V26">_xlfn.ANCHORARRAY(K26)+0.15</f>
        <v>3.65</v>
      </c>
      <c r="W26">
        <f>TBL_TEV[[#This Row],[Etica Rendita Bilanciata]]</f>
        <v>1.3023450000000001</v>
      </c>
      <c r="X26">
        <f>TBL_TEV[[#This Row],[Etica Obbligazionario Breve Termine]]</f>
        <v>0.16954</v>
      </c>
      <c r="Y26">
        <f>TBL_TEV[[#This Row],[Etica Obbligazionario Misto]]</f>
        <v>0.69133500000000003</v>
      </c>
      <c r="Z26">
        <f>TBL_TEV[[#This Row],[Etica Bilanciato]]</f>
        <v>2.0228890000000002</v>
      </c>
      <c r="AA26">
        <f>TBL_TEV[[#This Row],[Etica Azionario]]</f>
        <v>2.8247100000000001</v>
      </c>
      <c r="AB26">
        <f>TBL_TEV[[#This Row],[Etica Transizione Climatica]]</f>
        <v>1.9549460000000001</v>
      </c>
      <c r="AC26">
        <f>TBL_TEV[[#This Row],[Etica Obiettivo Sociale]]</f>
        <v>6.4247180254204137</v>
      </c>
      <c r="AD26">
        <f>TBL_TEV[[#This Row],[Etica Conservative Allocation]]</f>
        <v>0.72482999999999997</v>
      </c>
      <c r="AE26">
        <f>TBL_TEV[[#This Row],[Etica Dynamic Allocation]]</f>
        <v>2.2519580000000001</v>
      </c>
      <c r="AF26">
        <f>TBL_TEV[[#This Row],[Etica Global Equity]]</f>
        <v>3.2087140000000001</v>
      </c>
      <c r="AL26">
        <f ca="1"/>
        <v>1.307901</v>
      </c>
      <c r="AM26">
        <f ca="1"/>
        <v>0.16811100000000001</v>
      </c>
      <c r="AN26">
        <f ca="1"/>
        <v>0.69308099999999995</v>
      </c>
      <c r="AO26">
        <f ca="1"/>
        <v>2.0411440000000001</v>
      </c>
      <c r="AP26">
        <f ca="1"/>
        <v>2.8467750000000001</v>
      </c>
      <c r="AQ26">
        <f ca="1"/>
        <v>1.9759</v>
      </c>
      <c r="AR26">
        <f ca="1"/>
        <v>6.4284845130961106</v>
      </c>
      <c r="AS26">
        <f ca="1"/>
        <v>0.72355999999999998</v>
      </c>
      <c r="AT26">
        <f ca="1"/>
        <v>2.2567200000000001</v>
      </c>
      <c r="AU26">
        <f ca="1"/>
        <v>3.215382</v>
      </c>
    </row>
    <row r="27" spans="1:47">
      <c r="A27" s="43">
        <f>TBL_TEV[[#This Row],[Data2]]</f>
        <v>45328</v>
      </c>
      <c r="B27" cm="1">
        <f t="array" ref="B27">_xlfn.XLOOKUP(_xlfn.ANCHORARRAY(A27), TBL_Limiti_CDA[Data], TBL_Limiti_CDA[Etica Rendita Bilanciata], , -1)</f>
        <v>1.75</v>
      </c>
      <c r="C27" cm="1">
        <f t="array" ref="C27">_xlfn.XLOOKUP(_xlfn.ANCHORARRAY(A27), TBL_Limiti_CDA[Data], TBL_Limiti_CDA[Etica Obbligazionario Breve Termine], , -1)</f>
        <v>0.5</v>
      </c>
      <c r="D27" cm="1">
        <f t="array" ref="D27">_xlfn.XLOOKUP(_xlfn.ANCHORARRAY(A27), TBL_Limiti_CDA[Data], TBL_Limiti_CDA[Etica Obbligazionario Misto], , -1)</f>
        <v>1</v>
      </c>
      <c r="E27" cm="1">
        <f t="array" ref="E27">_xlfn.XLOOKUP(_xlfn.ANCHORARRAY(A27), TBL_Limiti_CDA[Data], TBL_Limiti_CDA[Etica Bilanciato], , -1)</f>
        <v>3</v>
      </c>
      <c r="F27" cm="1">
        <f t="array" ref="F27">_xlfn.XLOOKUP(_xlfn.ANCHORARRAY(A27), TBL_Limiti_CDA[Data], TBL_Limiti_CDA[Etica Azionario], , -1)</f>
        <v>3.5</v>
      </c>
      <c r="G27" cm="1">
        <f t="array" ref="G27">_xlfn.XLOOKUP(_xlfn.ANCHORARRAY(A27), TBL_Limiti_CDA[Data], TBL_Limiti_CDA[Etica Transizione Climatica], , -1)</f>
        <v>2.75</v>
      </c>
      <c r="H27" cm="1">
        <f t="array" ref="H27">_xlfn.XLOOKUP(_xlfn.ANCHORARRAY(A27), TBL_Limiti_CDA[Data], TBL_Limiti_CDA[Etica Obiettivo Sociale], , -1)</f>
        <v>7.49</v>
      </c>
      <c r="I27" cm="1">
        <f t="array" ref="I27">_xlfn.XLOOKUP(_xlfn.ANCHORARRAY(A27), TBL_Limiti_CDA[Data], TBL_Limiti_CDA[Etica Conservative Allocation], , -1)</f>
        <v>1</v>
      </c>
      <c r="J27" cm="1">
        <f t="array" ref="J27">_xlfn.XLOOKUP(_xlfn.ANCHORARRAY(A27), TBL_Limiti_CDA[Data], TBL_Limiti_CDA[Etica Dynamic Allocation], , -1)</f>
        <v>3</v>
      </c>
      <c r="K27" cm="1">
        <f t="array" ref="K27">_xlfn.XLOOKUP(_xlfn.ANCHORARRAY(A27), TBL_Limiti_CDA[Data], TBL_Limiti_CDA[Etica Global Equity], , -1)</f>
        <v>3.5</v>
      </c>
      <c r="L27" cm="1">
        <f t="array" ref="L27">_xlfn.ANCHORARRAY(B27)+0.15</f>
        <v>1.9</v>
      </c>
      <c r="M27" cm="1">
        <f t="array" ref="M27">_xlfn.ANCHORARRAY(C27)+0.1</f>
        <v>0.6</v>
      </c>
      <c r="N27" cm="1">
        <f t="array" ref="N27">_xlfn.ANCHORARRAY(D27)+0.15</f>
        <v>1.1499999999999999</v>
      </c>
      <c r="O27" cm="1">
        <f t="array" ref="O27">_xlfn.ANCHORARRAY(E27)+0.15</f>
        <v>3.15</v>
      </c>
      <c r="P27" cm="1">
        <f t="array" ref="P27">_xlfn.ANCHORARRAY(F27)+0.15</f>
        <v>3.65</v>
      </c>
      <c r="Q27" cm="1">
        <f t="array" ref="Q27">_xlfn.ANCHORARRAY(G27)+0.15</f>
        <v>2.9</v>
      </c>
      <c r="R27" cm="1">
        <f t="array" ref="R27">_xlfn.ANCHORARRAY(H27)</f>
        <v>7.49</v>
      </c>
      <c r="S27" cm="1">
        <f t="array" ref="S27">_xlfn.ANCHORARRAY(R27)+0.15</f>
        <v>7.6400000000000006</v>
      </c>
      <c r="T27" cm="1">
        <f t="array" ref="T27">_xlfn.ANCHORARRAY(I27)+0.15</f>
        <v>1.1499999999999999</v>
      </c>
      <c r="U27" cm="1">
        <f t="array" ref="U27">_xlfn.ANCHORARRAY(J27)+0.15</f>
        <v>3.15</v>
      </c>
      <c r="V27" cm="1">
        <f t="array" ref="V27">_xlfn.ANCHORARRAY(K27)+0.15</f>
        <v>3.65</v>
      </c>
      <c r="W27">
        <f>TBL_TEV[[#This Row],[Etica Rendita Bilanciata]]</f>
        <v>1.307901</v>
      </c>
      <c r="X27">
        <f>TBL_TEV[[#This Row],[Etica Obbligazionario Breve Termine]]</f>
        <v>0.16811100000000001</v>
      </c>
      <c r="Y27">
        <f>TBL_TEV[[#This Row],[Etica Obbligazionario Misto]]</f>
        <v>0.69308099999999995</v>
      </c>
      <c r="Z27">
        <f>TBL_TEV[[#This Row],[Etica Bilanciato]]</f>
        <v>2.0411440000000001</v>
      </c>
      <c r="AA27">
        <f>TBL_TEV[[#This Row],[Etica Azionario]]</f>
        <v>2.8467750000000001</v>
      </c>
      <c r="AB27">
        <f>TBL_TEV[[#This Row],[Etica Transizione Climatica]]</f>
        <v>1.9759</v>
      </c>
      <c r="AC27">
        <f>TBL_TEV[[#This Row],[Etica Obiettivo Sociale]]</f>
        <v>6.4284845130961106</v>
      </c>
      <c r="AD27">
        <f>TBL_TEV[[#This Row],[Etica Conservative Allocation]]</f>
        <v>0.72355999999999998</v>
      </c>
      <c r="AE27">
        <f>TBL_TEV[[#This Row],[Etica Dynamic Allocation]]</f>
        <v>2.2567200000000001</v>
      </c>
      <c r="AF27">
        <f>TBL_TEV[[#This Row],[Etica Global Equity]]</f>
        <v>3.215382</v>
      </c>
      <c r="AL27">
        <f ca="1"/>
        <v>1.307107</v>
      </c>
      <c r="AM27">
        <f ca="1"/>
        <v>0.16700000000000001</v>
      </c>
      <c r="AN27">
        <f ca="1"/>
        <v>0.68831900000000001</v>
      </c>
      <c r="AO27">
        <f ca="1"/>
        <v>2.0405090000000001</v>
      </c>
      <c r="AP27">
        <f ca="1"/>
        <v>2.8548710000000002</v>
      </c>
      <c r="AQ27">
        <f ca="1"/>
        <v>1.9730430000000001</v>
      </c>
      <c r="AR27">
        <f ca="1"/>
        <v>6.3873902590837552</v>
      </c>
      <c r="AS27">
        <f ca="1"/>
        <v>0.72101999999999999</v>
      </c>
      <c r="AT27">
        <f ca="1"/>
        <v>2.2325910000000002</v>
      </c>
      <c r="AU27">
        <f ca="1"/>
        <v>3.17252</v>
      </c>
    </row>
    <row r="28" spans="1:47">
      <c r="A28" s="43">
        <f>TBL_TEV[[#This Row],[Data2]]</f>
        <v>45329</v>
      </c>
      <c r="B28" cm="1">
        <f t="array" ref="B28">_xlfn.XLOOKUP(_xlfn.ANCHORARRAY(A28), TBL_Limiti_CDA[Data], TBL_Limiti_CDA[Etica Rendita Bilanciata], , -1)</f>
        <v>1.75</v>
      </c>
      <c r="C28" cm="1">
        <f t="array" ref="C28">_xlfn.XLOOKUP(_xlfn.ANCHORARRAY(A28), TBL_Limiti_CDA[Data], TBL_Limiti_CDA[Etica Obbligazionario Breve Termine], , -1)</f>
        <v>0.5</v>
      </c>
      <c r="D28" cm="1">
        <f t="array" ref="D28">_xlfn.XLOOKUP(_xlfn.ANCHORARRAY(A28), TBL_Limiti_CDA[Data], TBL_Limiti_CDA[Etica Obbligazionario Misto], , -1)</f>
        <v>1</v>
      </c>
      <c r="E28" cm="1">
        <f t="array" ref="E28">_xlfn.XLOOKUP(_xlfn.ANCHORARRAY(A28), TBL_Limiti_CDA[Data], TBL_Limiti_CDA[Etica Bilanciato], , -1)</f>
        <v>3</v>
      </c>
      <c r="F28" cm="1">
        <f t="array" ref="F28">_xlfn.XLOOKUP(_xlfn.ANCHORARRAY(A28), TBL_Limiti_CDA[Data], TBL_Limiti_CDA[Etica Azionario], , -1)</f>
        <v>3.5</v>
      </c>
      <c r="G28" cm="1">
        <f t="array" ref="G28">_xlfn.XLOOKUP(_xlfn.ANCHORARRAY(A28), TBL_Limiti_CDA[Data], TBL_Limiti_CDA[Etica Transizione Climatica], , -1)</f>
        <v>2.75</v>
      </c>
      <c r="H28" cm="1">
        <f t="array" ref="H28">_xlfn.XLOOKUP(_xlfn.ANCHORARRAY(A28), TBL_Limiti_CDA[Data], TBL_Limiti_CDA[Etica Obiettivo Sociale], , -1)</f>
        <v>7.49</v>
      </c>
      <c r="I28" cm="1">
        <f t="array" ref="I28">_xlfn.XLOOKUP(_xlfn.ANCHORARRAY(A28), TBL_Limiti_CDA[Data], TBL_Limiti_CDA[Etica Conservative Allocation], , -1)</f>
        <v>1</v>
      </c>
      <c r="J28" cm="1">
        <f t="array" ref="J28">_xlfn.XLOOKUP(_xlfn.ANCHORARRAY(A28), TBL_Limiti_CDA[Data], TBL_Limiti_CDA[Etica Dynamic Allocation], , -1)</f>
        <v>3</v>
      </c>
      <c r="K28" cm="1">
        <f t="array" ref="K28">_xlfn.XLOOKUP(_xlfn.ANCHORARRAY(A28), TBL_Limiti_CDA[Data], TBL_Limiti_CDA[Etica Global Equity], , -1)</f>
        <v>3.5</v>
      </c>
      <c r="L28" cm="1">
        <f t="array" ref="L28">_xlfn.ANCHORARRAY(B28)+0.15</f>
        <v>1.9</v>
      </c>
      <c r="M28" cm="1">
        <f t="array" ref="M28">_xlfn.ANCHORARRAY(C28)+0.1</f>
        <v>0.6</v>
      </c>
      <c r="N28" cm="1">
        <f t="array" ref="N28">_xlfn.ANCHORARRAY(D28)+0.15</f>
        <v>1.1499999999999999</v>
      </c>
      <c r="O28" cm="1">
        <f t="array" ref="O28">_xlfn.ANCHORARRAY(E28)+0.15</f>
        <v>3.15</v>
      </c>
      <c r="P28" cm="1">
        <f t="array" ref="P28">_xlfn.ANCHORARRAY(F28)+0.15</f>
        <v>3.65</v>
      </c>
      <c r="Q28" cm="1">
        <f t="array" ref="Q28">_xlfn.ANCHORARRAY(G28)+0.15</f>
        <v>2.9</v>
      </c>
      <c r="R28" cm="1">
        <f t="array" ref="R28">_xlfn.ANCHORARRAY(H28)</f>
        <v>7.49</v>
      </c>
      <c r="S28" cm="1">
        <f t="array" ref="S28">_xlfn.ANCHORARRAY(R28)+0.15</f>
        <v>7.6400000000000006</v>
      </c>
      <c r="T28" cm="1">
        <f t="array" ref="T28">_xlfn.ANCHORARRAY(I28)+0.15</f>
        <v>1.1499999999999999</v>
      </c>
      <c r="U28" cm="1">
        <f t="array" ref="U28">_xlfn.ANCHORARRAY(J28)+0.15</f>
        <v>3.15</v>
      </c>
      <c r="V28" cm="1">
        <f t="array" ref="V28">_xlfn.ANCHORARRAY(K28)+0.15</f>
        <v>3.65</v>
      </c>
      <c r="W28">
        <f>TBL_TEV[[#This Row],[Etica Rendita Bilanciata]]</f>
        <v>1.307107</v>
      </c>
      <c r="X28">
        <f>TBL_TEV[[#This Row],[Etica Obbligazionario Breve Termine]]</f>
        <v>0.16700000000000001</v>
      </c>
      <c r="Y28">
        <f>TBL_TEV[[#This Row],[Etica Obbligazionario Misto]]</f>
        <v>0.68831900000000001</v>
      </c>
      <c r="Z28">
        <f>TBL_TEV[[#This Row],[Etica Bilanciato]]</f>
        <v>2.0405090000000001</v>
      </c>
      <c r="AA28">
        <f>TBL_TEV[[#This Row],[Etica Azionario]]</f>
        <v>2.8548710000000002</v>
      </c>
      <c r="AB28">
        <f>TBL_TEV[[#This Row],[Etica Transizione Climatica]]</f>
        <v>1.9730430000000001</v>
      </c>
      <c r="AC28">
        <f>TBL_TEV[[#This Row],[Etica Obiettivo Sociale]]</f>
        <v>6.3873902590837552</v>
      </c>
      <c r="AD28">
        <f>TBL_TEV[[#This Row],[Etica Conservative Allocation]]</f>
        <v>0.72101999999999999</v>
      </c>
      <c r="AE28">
        <f>TBL_TEV[[#This Row],[Etica Dynamic Allocation]]</f>
        <v>2.2325910000000002</v>
      </c>
      <c r="AF28">
        <f>TBL_TEV[[#This Row],[Etica Global Equity]]</f>
        <v>3.17252</v>
      </c>
      <c r="AL28">
        <f ca="1"/>
        <v>1.3347290000000001</v>
      </c>
      <c r="AM28">
        <f ca="1"/>
        <v>0.16620599999999999</v>
      </c>
      <c r="AN28">
        <f ca="1"/>
        <v>0.72244900000000001</v>
      </c>
      <c r="AO28">
        <f ca="1"/>
        <v>2.0474939999999999</v>
      </c>
      <c r="AP28">
        <f ca="1"/>
        <v>2.871381</v>
      </c>
      <c r="AQ28">
        <f ca="1"/>
        <v>1.964788</v>
      </c>
      <c r="AR28">
        <f ca="1"/>
        <v>6.3201944681726863</v>
      </c>
      <c r="AS28">
        <f ca="1"/>
        <v>0.71768699999999996</v>
      </c>
      <c r="AT28">
        <f ca="1"/>
        <v>2.2316379999999998</v>
      </c>
      <c r="AU28">
        <f ca="1"/>
        <v>3.1583920000000001</v>
      </c>
    </row>
    <row r="29" spans="1:47">
      <c r="A29" s="43">
        <f>TBL_TEV[[#This Row],[Data2]]</f>
        <v>45330</v>
      </c>
      <c r="B29" cm="1">
        <f t="array" ref="B29">_xlfn.XLOOKUP(_xlfn.ANCHORARRAY(A29), TBL_Limiti_CDA[Data], TBL_Limiti_CDA[Etica Rendita Bilanciata], , -1)</f>
        <v>1.75</v>
      </c>
      <c r="C29" cm="1">
        <f t="array" ref="C29">_xlfn.XLOOKUP(_xlfn.ANCHORARRAY(A29), TBL_Limiti_CDA[Data], TBL_Limiti_CDA[Etica Obbligazionario Breve Termine], , -1)</f>
        <v>0.5</v>
      </c>
      <c r="D29" cm="1">
        <f t="array" ref="D29">_xlfn.XLOOKUP(_xlfn.ANCHORARRAY(A29), TBL_Limiti_CDA[Data], TBL_Limiti_CDA[Etica Obbligazionario Misto], , -1)</f>
        <v>1</v>
      </c>
      <c r="E29" cm="1">
        <f t="array" ref="E29">_xlfn.XLOOKUP(_xlfn.ANCHORARRAY(A29), TBL_Limiti_CDA[Data], TBL_Limiti_CDA[Etica Bilanciato], , -1)</f>
        <v>3</v>
      </c>
      <c r="F29" cm="1">
        <f t="array" ref="F29">_xlfn.XLOOKUP(_xlfn.ANCHORARRAY(A29), TBL_Limiti_CDA[Data], TBL_Limiti_CDA[Etica Azionario], , -1)</f>
        <v>3.5</v>
      </c>
      <c r="G29" cm="1">
        <f t="array" ref="G29">_xlfn.XLOOKUP(_xlfn.ANCHORARRAY(A29), TBL_Limiti_CDA[Data], TBL_Limiti_CDA[Etica Transizione Climatica], , -1)</f>
        <v>2.75</v>
      </c>
      <c r="H29" cm="1">
        <f t="array" ref="H29">_xlfn.XLOOKUP(_xlfn.ANCHORARRAY(A29), TBL_Limiti_CDA[Data], TBL_Limiti_CDA[Etica Obiettivo Sociale], , -1)</f>
        <v>7.49</v>
      </c>
      <c r="I29" cm="1">
        <f t="array" ref="I29">_xlfn.XLOOKUP(_xlfn.ANCHORARRAY(A29), TBL_Limiti_CDA[Data], TBL_Limiti_CDA[Etica Conservative Allocation], , -1)</f>
        <v>1</v>
      </c>
      <c r="J29" cm="1">
        <f t="array" ref="J29">_xlfn.XLOOKUP(_xlfn.ANCHORARRAY(A29), TBL_Limiti_CDA[Data], TBL_Limiti_CDA[Etica Dynamic Allocation], , -1)</f>
        <v>3</v>
      </c>
      <c r="K29" cm="1">
        <f t="array" ref="K29">_xlfn.XLOOKUP(_xlfn.ANCHORARRAY(A29), TBL_Limiti_CDA[Data], TBL_Limiti_CDA[Etica Global Equity], , -1)</f>
        <v>3.5</v>
      </c>
      <c r="L29" cm="1">
        <f t="array" ref="L29">_xlfn.ANCHORARRAY(B29)+0.15</f>
        <v>1.9</v>
      </c>
      <c r="M29" cm="1">
        <f t="array" ref="M29">_xlfn.ANCHORARRAY(C29)+0.1</f>
        <v>0.6</v>
      </c>
      <c r="N29" cm="1">
        <f t="array" ref="N29">_xlfn.ANCHORARRAY(D29)+0.15</f>
        <v>1.1499999999999999</v>
      </c>
      <c r="O29" cm="1">
        <f t="array" ref="O29">_xlfn.ANCHORARRAY(E29)+0.15</f>
        <v>3.15</v>
      </c>
      <c r="P29" cm="1">
        <f t="array" ref="P29">_xlfn.ANCHORARRAY(F29)+0.15</f>
        <v>3.65</v>
      </c>
      <c r="Q29" cm="1">
        <f t="array" ref="Q29">_xlfn.ANCHORARRAY(G29)+0.15</f>
        <v>2.9</v>
      </c>
      <c r="R29" cm="1">
        <f t="array" ref="R29">_xlfn.ANCHORARRAY(H29)</f>
        <v>7.49</v>
      </c>
      <c r="S29" cm="1">
        <f t="array" ref="S29">_xlfn.ANCHORARRAY(R29)+0.15</f>
        <v>7.6400000000000006</v>
      </c>
      <c r="T29" cm="1">
        <f t="array" ref="T29">_xlfn.ANCHORARRAY(I29)+0.15</f>
        <v>1.1499999999999999</v>
      </c>
      <c r="U29" cm="1">
        <f t="array" ref="U29">_xlfn.ANCHORARRAY(J29)+0.15</f>
        <v>3.15</v>
      </c>
      <c r="V29" cm="1">
        <f t="array" ref="V29">_xlfn.ANCHORARRAY(K29)+0.15</f>
        <v>3.65</v>
      </c>
      <c r="W29">
        <f>TBL_TEV[[#This Row],[Etica Rendita Bilanciata]]</f>
        <v>1.3347290000000001</v>
      </c>
      <c r="X29">
        <f>TBL_TEV[[#This Row],[Etica Obbligazionario Breve Termine]]</f>
        <v>0.16620599999999999</v>
      </c>
      <c r="Y29">
        <f>TBL_TEV[[#This Row],[Etica Obbligazionario Misto]]</f>
        <v>0.72244900000000001</v>
      </c>
      <c r="Z29">
        <f>TBL_TEV[[#This Row],[Etica Bilanciato]]</f>
        <v>2.0474939999999999</v>
      </c>
      <c r="AA29">
        <f>TBL_TEV[[#This Row],[Etica Azionario]]</f>
        <v>2.871381</v>
      </c>
      <c r="AB29">
        <f>TBL_TEV[[#This Row],[Etica Transizione Climatica]]</f>
        <v>1.964788</v>
      </c>
      <c r="AC29">
        <f>TBL_TEV[[#This Row],[Etica Obiettivo Sociale]]</f>
        <v>6.3201944681726863</v>
      </c>
      <c r="AD29">
        <f>TBL_TEV[[#This Row],[Etica Conservative Allocation]]</f>
        <v>0.71768699999999996</v>
      </c>
      <c r="AE29">
        <f>TBL_TEV[[#This Row],[Etica Dynamic Allocation]]</f>
        <v>2.2316379999999998</v>
      </c>
      <c r="AF29">
        <f>TBL_TEV[[#This Row],[Etica Global Equity]]</f>
        <v>3.1583920000000001</v>
      </c>
      <c r="AL29">
        <f ca="1"/>
        <v>1.3290139999999999</v>
      </c>
      <c r="AM29">
        <f ca="1"/>
        <v>0.166047</v>
      </c>
      <c r="AN29">
        <f ca="1"/>
        <v>0.68942999999999999</v>
      </c>
      <c r="AO29">
        <f ca="1"/>
        <v>2.0379689999999999</v>
      </c>
      <c r="AP29">
        <f ca="1"/>
        <v>2.862174</v>
      </c>
      <c r="AQ29">
        <f ca="1"/>
        <v>1.969233</v>
      </c>
      <c r="AR29">
        <f ca="1"/>
        <v>6.2917411862284398</v>
      </c>
      <c r="AS29">
        <f ca="1"/>
        <v>0.71705200000000002</v>
      </c>
      <c r="AT29">
        <f ca="1"/>
        <v>2.2251300000000001</v>
      </c>
      <c r="AU29">
        <f ca="1"/>
        <v>3.1437879999999998</v>
      </c>
    </row>
    <row r="30" spans="1:47">
      <c r="A30" s="43">
        <f>TBL_TEV[[#This Row],[Data2]]</f>
        <v>45331</v>
      </c>
      <c r="B30" cm="1">
        <f t="array" ref="B30">_xlfn.XLOOKUP(_xlfn.ANCHORARRAY(A30), TBL_Limiti_CDA[Data], TBL_Limiti_CDA[Etica Rendita Bilanciata], , -1)</f>
        <v>1.75</v>
      </c>
      <c r="C30" cm="1">
        <f t="array" ref="C30">_xlfn.XLOOKUP(_xlfn.ANCHORARRAY(A30), TBL_Limiti_CDA[Data], TBL_Limiti_CDA[Etica Obbligazionario Breve Termine], , -1)</f>
        <v>0.5</v>
      </c>
      <c r="D30" cm="1">
        <f t="array" ref="D30">_xlfn.XLOOKUP(_xlfn.ANCHORARRAY(A30), TBL_Limiti_CDA[Data], TBL_Limiti_CDA[Etica Obbligazionario Misto], , -1)</f>
        <v>1</v>
      </c>
      <c r="E30" cm="1">
        <f t="array" ref="E30">_xlfn.XLOOKUP(_xlfn.ANCHORARRAY(A30), TBL_Limiti_CDA[Data], TBL_Limiti_CDA[Etica Bilanciato], , -1)</f>
        <v>3</v>
      </c>
      <c r="F30" cm="1">
        <f t="array" ref="F30">_xlfn.XLOOKUP(_xlfn.ANCHORARRAY(A30), TBL_Limiti_CDA[Data], TBL_Limiti_CDA[Etica Azionario], , -1)</f>
        <v>3.5</v>
      </c>
      <c r="G30" cm="1">
        <f t="array" ref="G30">_xlfn.XLOOKUP(_xlfn.ANCHORARRAY(A30), TBL_Limiti_CDA[Data], TBL_Limiti_CDA[Etica Transizione Climatica], , -1)</f>
        <v>2.75</v>
      </c>
      <c r="H30" cm="1">
        <f t="array" ref="H30">_xlfn.XLOOKUP(_xlfn.ANCHORARRAY(A30), TBL_Limiti_CDA[Data], TBL_Limiti_CDA[Etica Obiettivo Sociale], , -1)</f>
        <v>7.49</v>
      </c>
      <c r="I30" cm="1">
        <f t="array" ref="I30">_xlfn.XLOOKUP(_xlfn.ANCHORARRAY(A30), TBL_Limiti_CDA[Data], TBL_Limiti_CDA[Etica Conservative Allocation], , -1)</f>
        <v>1</v>
      </c>
      <c r="J30" cm="1">
        <f t="array" ref="J30">_xlfn.XLOOKUP(_xlfn.ANCHORARRAY(A30), TBL_Limiti_CDA[Data], TBL_Limiti_CDA[Etica Dynamic Allocation], , -1)</f>
        <v>3</v>
      </c>
      <c r="K30" cm="1">
        <f t="array" ref="K30">_xlfn.XLOOKUP(_xlfn.ANCHORARRAY(A30), TBL_Limiti_CDA[Data], TBL_Limiti_CDA[Etica Global Equity], , -1)</f>
        <v>3.5</v>
      </c>
      <c r="L30" cm="1">
        <f t="array" ref="L30">_xlfn.ANCHORARRAY(B30)+0.15</f>
        <v>1.9</v>
      </c>
      <c r="M30" cm="1">
        <f t="array" ref="M30">_xlfn.ANCHORARRAY(C30)+0.1</f>
        <v>0.6</v>
      </c>
      <c r="N30" cm="1">
        <f t="array" ref="N30">_xlfn.ANCHORARRAY(D30)+0.15</f>
        <v>1.1499999999999999</v>
      </c>
      <c r="O30" cm="1">
        <f t="array" ref="O30">_xlfn.ANCHORARRAY(E30)+0.15</f>
        <v>3.15</v>
      </c>
      <c r="P30" cm="1">
        <f t="array" ref="P30">_xlfn.ANCHORARRAY(F30)+0.15</f>
        <v>3.65</v>
      </c>
      <c r="Q30" cm="1">
        <f t="array" ref="Q30">_xlfn.ANCHORARRAY(G30)+0.15</f>
        <v>2.9</v>
      </c>
      <c r="R30" cm="1">
        <f t="array" ref="R30">_xlfn.ANCHORARRAY(H30)</f>
        <v>7.49</v>
      </c>
      <c r="S30" cm="1">
        <f t="array" ref="S30">_xlfn.ANCHORARRAY(R30)+0.15</f>
        <v>7.6400000000000006</v>
      </c>
      <c r="T30" cm="1">
        <f t="array" ref="T30">_xlfn.ANCHORARRAY(I30)+0.15</f>
        <v>1.1499999999999999</v>
      </c>
      <c r="U30" cm="1">
        <f t="array" ref="U30">_xlfn.ANCHORARRAY(J30)+0.15</f>
        <v>3.15</v>
      </c>
      <c r="V30" cm="1">
        <f t="array" ref="V30">_xlfn.ANCHORARRAY(K30)+0.15</f>
        <v>3.65</v>
      </c>
      <c r="W30">
        <f>TBL_TEV[[#This Row],[Etica Rendita Bilanciata]]</f>
        <v>1.3290139999999999</v>
      </c>
      <c r="X30">
        <f>TBL_TEV[[#This Row],[Etica Obbligazionario Breve Termine]]</f>
        <v>0.166047</v>
      </c>
      <c r="Y30">
        <f>TBL_TEV[[#This Row],[Etica Obbligazionario Misto]]</f>
        <v>0.68942999999999999</v>
      </c>
      <c r="Z30">
        <f>TBL_TEV[[#This Row],[Etica Bilanciato]]</f>
        <v>2.0379689999999999</v>
      </c>
      <c r="AA30">
        <f>TBL_TEV[[#This Row],[Etica Azionario]]</f>
        <v>2.862174</v>
      </c>
      <c r="AB30">
        <f>TBL_TEV[[#This Row],[Etica Transizione Climatica]]</f>
        <v>1.969233</v>
      </c>
      <c r="AC30">
        <f>TBL_TEV[[#This Row],[Etica Obiettivo Sociale]]</f>
        <v>6.2917411862284398</v>
      </c>
      <c r="AD30">
        <f>TBL_TEV[[#This Row],[Etica Conservative Allocation]]</f>
        <v>0.71705200000000002</v>
      </c>
      <c r="AE30">
        <f>TBL_TEV[[#This Row],[Etica Dynamic Allocation]]</f>
        <v>2.2251300000000001</v>
      </c>
      <c r="AF30">
        <f>TBL_TEV[[#This Row],[Etica Global Equity]]</f>
        <v>3.1437879999999998</v>
      </c>
      <c r="AL30">
        <f ca="1"/>
        <v>1.3364750000000001</v>
      </c>
      <c r="AM30">
        <f ca="1"/>
        <v>0.16477700000000001</v>
      </c>
      <c r="AN30">
        <f ca="1"/>
        <v>0.69593799999999995</v>
      </c>
      <c r="AO30">
        <f ca="1"/>
        <v>2.050351</v>
      </c>
      <c r="AP30">
        <f ca="1"/>
        <v>2.8794770000000001</v>
      </c>
      <c r="AQ30">
        <f ca="1"/>
        <v>1.966852</v>
      </c>
      <c r="AR30">
        <f ca="1"/>
        <v>6.2895713571095246</v>
      </c>
      <c r="AS30">
        <f ca="1"/>
        <v>0.71340000000000003</v>
      </c>
      <c r="AT30">
        <f ca="1"/>
        <v>2.217193</v>
      </c>
      <c r="AU30">
        <f ca="1"/>
        <v>3.127119</v>
      </c>
    </row>
    <row r="31" spans="1:47">
      <c r="A31" s="43">
        <f>TBL_TEV[[#This Row],[Data2]]</f>
        <v>45334</v>
      </c>
      <c r="B31" cm="1">
        <f t="array" ref="B31">_xlfn.XLOOKUP(_xlfn.ANCHORARRAY(A31), TBL_Limiti_CDA[Data], TBL_Limiti_CDA[Etica Rendita Bilanciata], , -1)</f>
        <v>1.75</v>
      </c>
      <c r="C31" cm="1">
        <f t="array" ref="C31">_xlfn.XLOOKUP(_xlfn.ANCHORARRAY(A31), TBL_Limiti_CDA[Data], TBL_Limiti_CDA[Etica Obbligazionario Breve Termine], , -1)</f>
        <v>0.5</v>
      </c>
      <c r="D31" cm="1">
        <f t="array" ref="D31">_xlfn.XLOOKUP(_xlfn.ANCHORARRAY(A31), TBL_Limiti_CDA[Data], TBL_Limiti_CDA[Etica Obbligazionario Misto], , -1)</f>
        <v>1</v>
      </c>
      <c r="E31" cm="1">
        <f t="array" ref="E31">_xlfn.XLOOKUP(_xlfn.ANCHORARRAY(A31), TBL_Limiti_CDA[Data], TBL_Limiti_CDA[Etica Bilanciato], , -1)</f>
        <v>3</v>
      </c>
      <c r="F31" cm="1">
        <f t="array" ref="F31">_xlfn.XLOOKUP(_xlfn.ANCHORARRAY(A31), TBL_Limiti_CDA[Data], TBL_Limiti_CDA[Etica Azionario], , -1)</f>
        <v>3.5</v>
      </c>
      <c r="G31" cm="1">
        <f t="array" ref="G31">_xlfn.XLOOKUP(_xlfn.ANCHORARRAY(A31), TBL_Limiti_CDA[Data], TBL_Limiti_CDA[Etica Transizione Climatica], , -1)</f>
        <v>2.75</v>
      </c>
      <c r="H31" cm="1">
        <f t="array" ref="H31">_xlfn.XLOOKUP(_xlfn.ANCHORARRAY(A31), TBL_Limiti_CDA[Data], TBL_Limiti_CDA[Etica Obiettivo Sociale], , -1)</f>
        <v>7.49</v>
      </c>
      <c r="I31" cm="1">
        <f t="array" ref="I31">_xlfn.XLOOKUP(_xlfn.ANCHORARRAY(A31), TBL_Limiti_CDA[Data], TBL_Limiti_CDA[Etica Conservative Allocation], , -1)</f>
        <v>1</v>
      </c>
      <c r="J31" cm="1">
        <f t="array" ref="J31">_xlfn.XLOOKUP(_xlfn.ANCHORARRAY(A31), TBL_Limiti_CDA[Data], TBL_Limiti_CDA[Etica Dynamic Allocation], , -1)</f>
        <v>3</v>
      </c>
      <c r="K31" cm="1">
        <f t="array" ref="K31">_xlfn.XLOOKUP(_xlfn.ANCHORARRAY(A31), TBL_Limiti_CDA[Data], TBL_Limiti_CDA[Etica Global Equity], , -1)</f>
        <v>3.5</v>
      </c>
      <c r="L31" cm="1">
        <f t="array" ref="L31">_xlfn.ANCHORARRAY(B31)+0.15</f>
        <v>1.9</v>
      </c>
      <c r="M31" cm="1">
        <f t="array" ref="M31">_xlfn.ANCHORARRAY(C31)+0.1</f>
        <v>0.6</v>
      </c>
      <c r="N31" cm="1">
        <f t="array" ref="N31">_xlfn.ANCHORARRAY(D31)+0.15</f>
        <v>1.1499999999999999</v>
      </c>
      <c r="O31" cm="1">
        <f t="array" ref="O31">_xlfn.ANCHORARRAY(E31)+0.15</f>
        <v>3.15</v>
      </c>
      <c r="P31" cm="1">
        <f t="array" ref="P31">_xlfn.ANCHORARRAY(F31)+0.15</f>
        <v>3.65</v>
      </c>
      <c r="Q31" cm="1">
        <f t="array" ref="Q31">_xlfn.ANCHORARRAY(G31)+0.15</f>
        <v>2.9</v>
      </c>
      <c r="R31" cm="1">
        <f t="array" ref="R31">_xlfn.ANCHORARRAY(H31)</f>
        <v>7.49</v>
      </c>
      <c r="S31" cm="1">
        <f t="array" ref="S31">_xlfn.ANCHORARRAY(R31)+0.15</f>
        <v>7.6400000000000006</v>
      </c>
      <c r="T31" cm="1">
        <f t="array" ref="T31">_xlfn.ANCHORARRAY(I31)+0.15</f>
        <v>1.1499999999999999</v>
      </c>
      <c r="U31" cm="1">
        <f t="array" ref="U31">_xlfn.ANCHORARRAY(J31)+0.15</f>
        <v>3.15</v>
      </c>
      <c r="V31" cm="1">
        <f t="array" ref="V31">_xlfn.ANCHORARRAY(K31)+0.15</f>
        <v>3.65</v>
      </c>
      <c r="W31">
        <f>TBL_TEV[[#This Row],[Etica Rendita Bilanciata]]</f>
        <v>1.3364750000000001</v>
      </c>
      <c r="X31">
        <f>TBL_TEV[[#This Row],[Etica Obbligazionario Breve Termine]]</f>
        <v>0.16477700000000001</v>
      </c>
      <c r="Y31">
        <f>TBL_TEV[[#This Row],[Etica Obbligazionario Misto]]</f>
        <v>0.69593799999999995</v>
      </c>
      <c r="Z31">
        <f>TBL_TEV[[#This Row],[Etica Bilanciato]]</f>
        <v>2.050351</v>
      </c>
      <c r="AA31">
        <f>TBL_TEV[[#This Row],[Etica Azionario]]</f>
        <v>2.8794770000000001</v>
      </c>
      <c r="AB31">
        <f>TBL_TEV[[#This Row],[Etica Transizione Climatica]]</f>
        <v>1.966852</v>
      </c>
      <c r="AC31">
        <f>TBL_TEV[[#This Row],[Etica Obiettivo Sociale]]</f>
        <v>6.2895713571095246</v>
      </c>
      <c r="AD31">
        <f>TBL_TEV[[#This Row],[Etica Conservative Allocation]]</f>
        <v>0.71340000000000003</v>
      </c>
      <c r="AE31">
        <f>TBL_TEV[[#This Row],[Etica Dynamic Allocation]]</f>
        <v>2.217193</v>
      </c>
      <c r="AF31">
        <f>TBL_TEV[[#This Row],[Etica Global Equity]]</f>
        <v>3.127119</v>
      </c>
      <c r="AL31">
        <f ca="1"/>
        <v>1.33203</v>
      </c>
      <c r="AM31">
        <f ca="1"/>
        <v>0.19763800000000001</v>
      </c>
      <c r="AN31">
        <f ca="1"/>
        <v>0.73451299999999997</v>
      </c>
      <c r="AO31">
        <f ca="1"/>
        <v>2.0493990000000002</v>
      </c>
      <c r="AP31">
        <f ca="1"/>
        <v>2.8740800000000002</v>
      </c>
      <c r="AQ31">
        <f ca="1"/>
        <v>1.964947</v>
      </c>
      <c r="AR31">
        <f ca="1"/>
        <v>6.3020853060032485</v>
      </c>
      <c r="AS31">
        <f ca="1"/>
        <v>0.70832099999999998</v>
      </c>
      <c r="AT31">
        <f ca="1"/>
        <v>2.184809</v>
      </c>
      <c r="AU31">
        <f ca="1"/>
        <v>3.0748920000000002</v>
      </c>
    </row>
    <row r="32" spans="1:47">
      <c r="A32" s="43">
        <f>TBL_TEV[[#This Row],[Data2]]</f>
        <v>45335</v>
      </c>
      <c r="B32" cm="1">
        <f t="array" ref="B32">_xlfn.XLOOKUP(_xlfn.ANCHORARRAY(A32), TBL_Limiti_CDA[Data], TBL_Limiti_CDA[Etica Rendita Bilanciata], , -1)</f>
        <v>1.75</v>
      </c>
      <c r="C32" cm="1">
        <f t="array" ref="C32">_xlfn.XLOOKUP(_xlfn.ANCHORARRAY(A32), TBL_Limiti_CDA[Data], TBL_Limiti_CDA[Etica Obbligazionario Breve Termine], , -1)</f>
        <v>0.5</v>
      </c>
      <c r="D32" cm="1">
        <f t="array" ref="D32">_xlfn.XLOOKUP(_xlfn.ANCHORARRAY(A32), TBL_Limiti_CDA[Data], TBL_Limiti_CDA[Etica Obbligazionario Misto], , -1)</f>
        <v>1</v>
      </c>
      <c r="E32" cm="1">
        <f t="array" ref="E32">_xlfn.XLOOKUP(_xlfn.ANCHORARRAY(A32), TBL_Limiti_CDA[Data], TBL_Limiti_CDA[Etica Bilanciato], , -1)</f>
        <v>3</v>
      </c>
      <c r="F32" cm="1">
        <f t="array" ref="F32">_xlfn.XLOOKUP(_xlfn.ANCHORARRAY(A32), TBL_Limiti_CDA[Data], TBL_Limiti_CDA[Etica Azionario], , -1)</f>
        <v>3.5</v>
      </c>
      <c r="G32" cm="1">
        <f t="array" ref="G32">_xlfn.XLOOKUP(_xlfn.ANCHORARRAY(A32), TBL_Limiti_CDA[Data], TBL_Limiti_CDA[Etica Transizione Climatica], , -1)</f>
        <v>2.75</v>
      </c>
      <c r="H32" cm="1">
        <f t="array" ref="H32">_xlfn.XLOOKUP(_xlfn.ANCHORARRAY(A32), TBL_Limiti_CDA[Data], TBL_Limiti_CDA[Etica Obiettivo Sociale], , -1)</f>
        <v>7.49</v>
      </c>
      <c r="I32" cm="1">
        <f t="array" ref="I32">_xlfn.XLOOKUP(_xlfn.ANCHORARRAY(A32), TBL_Limiti_CDA[Data], TBL_Limiti_CDA[Etica Conservative Allocation], , -1)</f>
        <v>1</v>
      </c>
      <c r="J32" cm="1">
        <f t="array" ref="J32">_xlfn.XLOOKUP(_xlfn.ANCHORARRAY(A32), TBL_Limiti_CDA[Data], TBL_Limiti_CDA[Etica Dynamic Allocation], , -1)</f>
        <v>3</v>
      </c>
      <c r="K32" cm="1">
        <f t="array" ref="K32">_xlfn.XLOOKUP(_xlfn.ANCHORARRAY(A32), TBL_Limiti_CDA[Data], TBL_Limiti_CDA[Etica Global Equity], , -1)</f>
        <v>3.5</v>
      </c>
      <c r="L32" cm="1">
        <f t="array" ref="L32">_xlfn.ANCHORARRAY(B32)+0.15</f>
        <v>1.9</v>
      </c>
      <c r="M32" cm="1">
        <f t="array" ref="M32">_xlfn.ANCHORARRAY(C32)+0.1</f>
        <v>0.6</v>
      </c>
      <c r="N32" cm="1">
        <f t="array" ref="N32">_xlfn.ANCHORARRAY(D32)+0.15</f>
        <v>1.1499999999999999</v>
      </c>
      <c r="O32" cm="1">
        <f t="array" ref="O32">_xlfn.ANCHORARRAY(E32)+0.15</f>
        <v>3.15</v>
      </c>
      <c r="P32" cm="1">
        <f t="array" ref="P32">_xlfn.ANCHORARRAY(F32)+0.15</f>
        <v>3.65</v>
      </c>
      <c r="Q32" cm="1">
        <f t="array" ref="Q32">_xlfn.ANCHORARRAY(G32)+0.15</f>
        <v>2.9</v>
      </c>
      <c r="R32" cm="1">
        <f t="array" ref="R32">_xlfn.ANCHORARRAY(H32)</f>
        <v>7.49</v>
      </c>
      <c r="S32" cm="1">
        <f t="array" ref="S32">_xlfn.ANCHORARRAY(R32)+0.15</f>
        <v>7.6400000000000006</v>
      </c>
      <c r="T32" cm="1">
        <f t="array" ref="T32">_xlfn.ANCHORARRAY(I32)+0.15</f>
        <v>1.1499999999999999</v>
      </c>
      <c r="U32" cm="1">
        <f t="array" ref="U32">_xlfn.ANCHORARRAY(J32)+0.15</f>
        <v>3.15</v>
      </c>
      <c r="V32" cm="1">
        <f t="array" ref="V32">_xlfn.ANCHORARRAY(K32)+0.15</f>
        <v>3.65</v>
      </c>
      <c r="W32">
        <f>TBL_TEV[[#This Row],[Etica Rendita Bilanciata]]</f>
        <v>1.33203</v>
      </c>
      <c r="X32">
        <f>TBL_TEV[[#This Row],[Etica Obbligazionario Breve Termine]]</f>
        <v>0.19763800000000001</v>
      </c>
      <c r="Y32">
        <f>TBL_TEV[[#This Row],[Etica Obbligazionario Misto]]</f>
        <v>0.73451299999999997</v>
      </c>
      <c r="Z32">
        <f>TBL_TEV[[#This Row],[Etica Bilanciato]]</f>
        <v>2.0493990000000002</v>
      </c>
      <c r="AA32">
        <f>TBL_TEV[[#This Row],[Etica Azionario]]</f>
        <v>2.8740800000000002</v>
      </c>
      <c r="AB32">
        <f>TBL_TEV[[#This Row],[Etica Transizione Climatica]]</f>
        <v>1.964947</v>
      </c>
      <c r="AC32">
        <f>TBL_TEV[[#This Row],[Etica Obiettivo Sociale]]</f>
        <v>6.3020853060032485</v>
      </c>
      <c r="AD32">
        <f>TBL_TEV[[#This Row],[Etica Conservative Allocation]]</f>
        <v>0.70832099999999998</v>
      </c>
      <c r="AE32">
        <f>TBL_TEV[[#This Row],[Etica Dynamic Allocation]]</f>
        <v>2.184809</v>
      </c>
      <c r="AF32">
        <f>TBL_TEV[[#This Row],[Etica Global Equity]]</f>
        <v>3.0748920000000002</v>
      </c>
      <c r="AL32">
        <f ca="1"/>
        <v>1.3433010000000001</v>
      </c>
      <c r="AM32">
        <f ca="1"/>
        <v>0.19684399999999999</v>
      </c>
      <c r="AN32">
        <f ca="1"/>
        <v>0.74070499999999995</v>
      </c>
      <c r="AO32">
        <f ca="1"/>
        <v>2.065591</v>
      </c>
      <c r="AP32">
        <f ca="1"/>
        <v>2.9056700000000002</v>
      </c>
      <c r="AQ32">
        <f ca="1"/>
        <v>1.9603429999999999</v>
      </c>
      <c r="AR32">
        <f ca="1"/>
        <v>6.3419128308431274</v>
      </c>
      <c r="AS32">
        <f ca="1"/>
        <v>0.69847800000000004</v>
      </c>
      <c r="AT32">
        <f ca="1"/>
        <v>2.1633779999999998</v>
      </c>
      <c r="AU32">
        <f ca="1"/>
        <v>3.0737809999999999</v>
      </c>
    </row>
    <row r="33" spans="1:47">
      <c r="A33" s="43">
        <f>TBL_TEV[[#This Row],[Data2]]</f>
        <v>45336</v>
      </c>
      <c r="B33" cm="1">
        <f t="array" ref="B33">_xlfn.XLOOKUP(_xlfn.ANCHORARRAY(A33), TBL_Limiti_CDA[Data], TBL_Limiti_CDA[Etica Rendita Bilanciata], , -1)</f>
        <v>1.75</v>
      </c>
      <c r="C33" cm="1">
        <f t="array" ref="C33">_xlfn.XLOOKUP(_xlfn.ANCHORARRAY(A33), TBL_Limiti_CDA[Data], TBL_Limiti_CDA[Etica Obbligazionario Breve Termine], , -1)</f>
        <v>0.5</v>
      </c>
      <c r="D33" cm="1">
        <f t="array" ref="D33">_xlfn.XLOOKUP(_xlfn.ANCHORARRAY(A33), TBL_Limiti_CDA[Data], TBL_Limiti_CDA[Etica Obbligazionario Misto], , -1)</f>
        <v>1</v>
      </c>
      <c r="E33" cm="1">
        <f t="array" ref="E33">_xlfn.XLOOKUP(_xlfn.ANCHORARRAY(A33), TBL_Limiti_CDA[Data], TBL_Limiti_CDA[Etica Bilanciato], , -1)</f>
        <v>3</v>
      </c>
      <c r="F33" cm="1">
        <f t="array" ref="F33">_xlfn.XLOOKUP(_xlfn.ANCHORARRAY(A33), TBL_Limiti_CDA[Data], TBL_Limiti_CDA[Etica Azionario], , -1)</f>
        <v>3.5</v>
      </c>
      <c r="G33" cm="1">
        <f t="array" ref="G33">_xlfn.XLOOKUP(_xlfn.ANCHORARRAY(A33), TBL_Limiti_CDA[Data], TBL_Limiti_CDA[Etica Transizione Climatica], , -1)</f>
        <v>2.75</v>
      </c>
      <c r="H33" cm="1">
        <f t="array" ref="H33">_xlfn.XLOOKUP(_xlfn.ANCHORARRAY(A33), TBL_Limiti_CDA[Data], TBL_Limiti_CDA[Etica Obiettivo Sociale], , -1)</f>
        <v>7.49</v>
      </c>
      <c r="I33" cm="1">
        <f t="array" ref="I33">_xlfn.XLOOKUP(_xlfn.ANCHORARRAY(A33), TBL_Limiti_CDA[Data], TBL_Limiti_CDA[Etica Conservative Allocation], , -1)</f>
        <v>1</v>
      </c>
      <c r="J33" cm="1">
        <f t="array" ref="J33">_xlfn.XLOOKUP(_xlfn.ANCHORARRAY(A33), TBL_Limiti_CDA[Data], TBL_Limiti_CDA[Etica Dynamic Allocation], , -1)</f>
        <v>3</v>
      </c>
      <c r="K33" cm="1">
        <f t="array" ref="K33">_xlfn.XLOOKUP(_xlfn.ANCHORARRAY(A33), TBL_Limiti_CDA[Data], TBL_Limiti_CDA[Etica Global Equity], , -1)</f>
        <v>3.5</v>
      </c>
      <c r="L33" cm="1">
        <f t="array" ref="L33">_xlfn.ANCHORARRAY(B33)+0.15</f>
        <v>1.9</v>
      </c>
      <c r="M33" cm="1">
        <f t="array" ref="M33">_xlfn.ANCHORARRAY(C33)+0.1</f>
        <v>0.6</v>
      </c>
      <c r="N33" cm="1">
        <f t="array" ref="N33">_xlfn.ANCHORARRAY(D33)+0.15</f>
        <v>1.1499999999999999</v>
      </c>
      <c r="O33" cm="1">
        <f t="array" ref="O33">_xlfn.ANCHORARRAY(E33)+0.15</f>
        <v>3.15</v>
      </c>
      <c r="P33" cm="1">
        <f t="array" ref="P33">_xlfn.ANCHORARRAY(F33)+0.15</f>
        <v>3.65</v>
      </c>
      <c r="Q33" cm="1">
        <f t="array" ref="Q33">_xlfn.ANCHORARRAY(G33)+0.15</f>
        <v>2.9</v>
      </c>
      <c r="R33" cm="1">
        <f t="array" ref="R33">_xlfn.ANCHORARRAY(H33)</f>
        <v>7.49</v>
      </c>
      <c r="S33" cm="1">
        <f t="array" ref="S33">_xlfn.ANCHORARRAY(R33)+0.15</f>
        <v>7.6400000000000006</v>
      </c>
      <c r="T33" cm="1">
        <f t="array" ref="T33">_xlfn.ANCHORARRAY(I33)+0.15</f>
        <v>1.1499999999999999</v>
      </c>
      <c r="U33" cm="1">
        <f t="array" ref="U33">_xlfn.ANCHORARRAY(J33)+0.15</f>
        <v>3.15</v>
      </c>
      <c r="V33" cm="1">
        <f t="array" ref="V33">_xlfn.ANCHORARRAY(K33)+0.15</f>
        <v>3.65</v>
      </c>
      <c r="W33">
        <f>TBL_TEV[[#This Row],[Etica Rendita Bilanciata]]</f>
        <v>1.3433010000000001</v>
      </c>
      <c r="X33">
        <f>TBL_TEV[[#This Row],[Etica Obbligazionario Breve Termine]]</f>
        <v>0.19684399999999999</v>
      </c>
      <c r="Y33">
        <f>TBL_TEV[[#This Row],[Etica Obbligazionario Misto]]</f>
        <v>0.74070499999999995</v>
      </c>
      <c r="Z33">
        <f>TBL_TEV[[#This Row],[Etica Bilanciato]]</f>
        <v>2.065591</v>
      </c>
      <c r="AA33">
        <f>TBL_TEV[[#This Row],[Etica Azionario]]</f>
        <v>2.9056700000000002</v>
      </c>
      <c r="AB33">
        <f>TBL_TEV[[#This Row],[Etica Transizione Climatica]]</f>
        <v>1.9603429999999999</v>
      </c>
      <c r="AC33">
        <f>TBL_TEV[[#This Row],[Etica Obiettivo Sociale]]</f>
        <v>6.3419128308431274</v>
      </c>
      <c r="AD33">
        <f>TBL_TEV[[#This Row],[Etica Conservative Allocation]]</f>
        <v>0.69847800000000004</v>
      </c>
      <c r="AE33">
        <f>TBL_TEV[[#This Row],[Etica Dynamic Allocation]]</f>
        <v>2.1633779999999998</v>
      </c>
      <c r="AF33">
        <f>TBL_TEV[[#This Row],[Etica Global Equity]]</f>
        <v>3.0737809999999999</v>
      </c>
      <c r="AL33">
        <f ca="1"/>
        <v>1.4001319999999999</v>
      </c>
      <c r="AM33">
        <f ca="1"/>
        <v>0.19636799999999999</v>
      </c>
      <c r="AN33">
        <f ca="1"/>
        <v>0.80198000000000003</v>
      </c>
      <c r="AO33">
        <f ca="1"/>
        <v>2.0962290000000001</v>
      </c>
      <c r="AP33">
        <f ca="1"/>
        <v>2.9331330000000002</v>
      </c>
      <c r="AQ33">
        <f ca="1"/>
        <v>1.9746300000000001</v>
      </c>
      <c r="AR33">
        <f ca="1"/>
        <v>6.4048441780000926</v>
      </c>
      <c r="AS33">
        <f ca="1"/>
        <v>0.69355699999999998</v>
      </c>
      <c r="AT33">
        <f ca="1"/>
        <v>2.1656</v>
      </c>
      <c r="AU33">
        <f ca="1"/>
        <v>3.0520330000000002</v>
      </c>
    </row>
    <row r="34" spans="1:47">
      <c r="A34" s="43">
        <f>TBL_TEV[[#This Row],[Data2]]</f>
        <v>45337</v>
      </c>
      <c r="B34" cm="1">
        <f t="array" ref="B34">_xlfn.XLOOKUP(_xlfn.ANCHORARRAY(A34), TBL_Limiti_CDA[Data], TBL_Limiti_CDA[Etica Rendita Bilanciata], , -1)</f>
        <v>1.75</v>
      </c>
      <c r="C34" cm="1">
        <f t="array" ref="C34">_xlfn.XLOOKUP(_xlfn.ANCHORARRAY(A34), TBL_Limiti_CDA[Data], TBL_Limiti_CDA[Etica Obbligazionario Breve Termine], , -1)</f>
        <v>0.5</v>
      </c>
      <c r="D34" cm="1">
        <f t="array" ref="D34">_xlfn.XLOOKUP(_xlfn.ANCHORARRAY(A34), TBL_Limiti_CDA[Data], TBL_Limiti_CDA[Etica Obbligazionario Misto], , -1)</f>
        <v>1</v>
      </c>
      <c r="E34" cm="1">
        <f t="array" ref="E34">_xlfn.XLOOKUP(_xlfn.ANCHORARRAY(A34), TBL_Limiti_CDA[Data], TBL_Limiti_CDA[Etica Bilanciato], , -1)</f>
        <v>3</v>
      </c>
      <c r="F34" cm="1">
        <f t="array" ref="F34">_xlfn.XLOOKUP(_xlfn.ANCHORARRAY(A34), TBL_Limiti_CDA[Data], TBL_Limiti_CDA[Etica Azionario], , -1)</f>
        <v>3.5</v>
      </c>
      <c r="G34" cm="1">
        <f t="array" ref="G34">_xlfn.XLOOKUP(_xlfn.ANCHORARRAY(A34), TBL_Limiti_CDA[Data], TBL_Limiti_CDA[Etica Transizione Climatica], , -1)</f>
        <v>2.75</v>
      </c>
      <c r="H34" cm="1">
        <f t="array" ref="H34">_xlfn.XLOOKUP(_xlfn.ANCHORARRAY(A34), TBL_Limiti_CDA[Data], TBL_Limiti_CDA[Etica Obiettivo Sociale], , -1)</f>
        <v>7.49</v>
      </c>
      <c r="I34" cm="1">
        <f t="array" ref="I34">_xlfn.XLOOKUP(_xlfn.ANCHORARRAY(A34), TBL_Limiti_CDA[Data], TBL_Limiti_CDA[Etica Conservative Allocation], , -1)</f>
        <v>1</v>
      </c>
      <c r="J34" cm="1">
        <f t="array" ref="J34">_xlfn.XLOOKUP(_xlfn.ANCHORARRAY(A34), TBL_Limiti_CDA[Data], TBL_Limiti_CDA[Etica Dynamic Allocation], , -1)</f>
        <v>3</v>
      </c>
      <c r="K34" cm="1">
        <f t="array" ref="K34">_xlfn.XLOOKUP(_xlfn.ANCHORARRAY(A34), TBL_Limiti_CDA[Data], TBL_Limiti_CDA[Etica Global Equity], , -1)</f>
        <v>3.5</v>
      </c>
      <c r="L34" cm="1">
        <f t="array" ref="L34">_xlfn.ANCHORARRAY(B34)+0.15</f>
        <v>1.9</v>
      </c>
      <c r="M34" cm="1">
        <f t="array" ref="M34">_xlfn.ANCHORARRAY(C34)+0.1</f>
        <v>0.6</v>
      </c>
      <c r="N34" cm="1">
        <f t="array" ref="N34">_xlfn.ANCHORARRAY(D34)+0.15</f>
        <v>1.1499999999999999</v>
      </c>
      <c r="O34" cm="1">
        <f t="array" ref="O34">_xlfn.ANCHORARRAY(E34)+0.15</f>
        <v>3.15</v>
      </c>
      <c r="P34" cm="1">
        <f t="array" ref="P34">_xlfn.ANCHORARRAY(F34)+0.15</f>
        <v>3.65</v>
      </c>
      <c r="Q34" cm="1">
        <f t="array" ref="Q34">_xlfn.ANCHORARRAY(G34)+0.15</f>
        <v>2.9</v>
      </c>
      <c r="R34" cm="1">
        <f t="array" ref="R34">_xlfn.ANCHORARRAY(H34)</f>
        <v>7.49</v>
      </c>
      <c r="S34" cm="1">
        <f t="array" ref="S34">_xlfn.ANCHORARRAY(R34)+0.15</f>
        <v>7.6400000000000006</v>
      </c>
      <c r="T34" cm="1">
        <f t="array" ref="T34">_xlfn.ANCHORARRAY(I34)+0.15</f>
        <v>1.1499999999999999</v>
      </c>
      <c r="U34" cm="1">
        <f t="array" ref="U34">_xlfn.ANCHORARRAY(J34)+0.15</f>
        <v>3.15</v>
      </c>
      <c r="V34" cm="1">
        <f t="array" ref="V34">_xlfn.ANCHORARRAY(K34)+0.15</f>
        <v>3.65</v>
      </c>
      <c r="W34">
        <f>TBL_TEV[[#This Row],[Etica Rendita Bilanciata]]</f>
        <v>1.4001319999999999</v>
      </c>
      <c r="X34">
        <f>TBL_TEV[[#This Row],[Etica Obbligazionario Breve Termine]]</f>
        <v>0.19636799999999999</v>
      </c>
      <c r="Y34">
        <f>TBL_TEV[[#This Row],[Etica Obbligazionario Misto]]</f>
        <v>0.80198000000000003</v>
      </c>
      <c r="Z34">
        <f>TBL_TEV[[#This Row],[Etica Bilanciato]]</f>
        <v>2.0962290000000001</v>
      </c>
      <c r="AA34">
        <f>TBL_TEV[[#This Row],[Etica Azionario]]</f>
        <v>2.9331330000000002</v>
      </c>
      <c r="AB34">
        <f>TBL_TEV[[#This Row],[Etica Transizione Climatica]]</f>
        <v>1.9746300000000001</v>
      </c>
      <c r="AC34">
        <f>TBL_TEV[[#This Row],[Etica Obiettivo Sociale]]</f>
        <v>6.4048441780000926</v>
      </c>
      <c r="AD34">
        <f>TBL_TEV[[#This Row],[Etica Conservative Allocation]]</f>
        <v>0.69355699999999998</v>
      </c>
      <c r="AE34">
        <f>TBL_TEV[[#This Row],[Etica Dynamic Allocation]]</f>
        <v>2.1656</v>
      </c>
      <c r="AF34">
        <f>TBL_TEV[[#This Row],[Etica Global Equity]]</f>
        <v>3.0520330000000002</v>
      </c>
      <c r="AL34">
        <f ca="1"/>
        <v>1.3972739999999999</v>
      </c>
      <c r="AM34">
        <f ca="1"/>
        <v>0.19986000000000001</v>
      </c>
      <c r="AN34">
        <f ca="1"/>
        <v>0.80086900000000005</v>
      </c>
      <c r="AO34">
        <f ca="1"/>
        <v>2.1094050000000002</v>
      </c>
      <c r="AP34">
        <f ca="1"/>
        <v>2.9374189999999998</v>
      </c>
      <c r="AQ34">
        <f ca="1"/>
        <v>1.969074</v>
      </c>
      <c r="AR34">
        <f ca="1"/>
        <v>6.3777221901828947</v>
      </c>
      <c r="AS34">
        <f ca="1"/>
        <v>0.69450999999999996</v>
      </c>
      <c r="AT34">
        <f ca="1"/>
        <v>2.1603620000000001</v>
      </c>
      <c r="AU34">
        <f ca="1"/>
        <v>3.0345710000000001</v>
      </c>
    </row>
    <row r="35" spans="1:47">
      <c r="A35" s="43">
        <f>TBL_TEV[[#This Row],[Data2]]</f>
        <v>45338</v>
      </c>
      <c r="B35" cm="1">
        <f t="array" ref="B35">_xlfn.XLOOKUP(_xlfn.ANCHORARRAY(A35), TBL_Limiti_CDA[Data], TBL_Limiti_CDA[Etica Rendita Bilanciata], , -1)</f>
        <v>1.75</v>
      </c>
      <c r="C35" cm="1">
        <f t="array" ref="C35">_xlfn.XLOOKUP(_xlfn.ANCHORARRAY(A35), TBL_Limiti_CDA[Data], TBL_Limiti_CDA[Etica Obbligazionario Breve Termine], , -1)</f>
        <v>0.5</v>
      </c>
      <c r="D35" cm="1">
        <f t="array" ref="D35">_xlfn.XLOOKUP(_xlfn.ANCHORARRAY(A35), TBL_Limiti_CDA[Data], TBL_Limiti_CDA[Etica Obbligazionario Misto], , -1)</f>
        <v>1</v>
      </c>
      <c r="E35" cm="1">
        <f t="array" ref="E35">_xlfn.XLOOKUP(_xlfn.ANCHORARRAY(A35), TBL_Limiti_CDA[Data], TBL_Limiti_CDA[Etica Bilanciato], , -1)</f>
        <v>3</v>
      </c>
      <c r="F35" cm="1">
        <f t="array" ref="F35">_xlfn.XLOOKUP(_xlfn.ANCHORARRAY(A35), TBL_Limiti_CDA[Data], TBL_Limiti_CDA[Etica Azionario], , -1)</f>
        <v>3.5</v>
      </c>
      <c r="G35" cm="1">
        <f t="array" ref="G35">_xlfn.XLOOKUP(_xlfn.ANCHORARRAY(A35), TBL_Limiti_CDA[Data], TBL_Limiti_CDA[Etica Transizione Climatica], , -1)</f>
        <v>2.75</v>
      </c>
      <c r="H35" cm="1">
        <f t="array" ref="H35">_xlfn.XLOOKUP(_xlfn.ANCHORARRAY(A35), TBL_Limiti_CDA[Data], TBL_Limiti_CDA[Etica Obiettivo Sociale], , -1)</f>
        <v>7.49</v>
      </c>
      <c r="I35" cm="1">
        <f t="array" ref="I35">_xlfn.XLOOKUP(_xlfn.ANCHORARRAY(A35), TBL_Limiti_CDA[Data], TBL_Limiti_CDA[Etica Conservative Allocation], , -1)</f>
        <v>1</v>
      </c>
      <c r="J35" cm="1">
        <f t="array" ref="J35">_xlfn.XLOOKUP(_xlfn.ANCHORARRAY(A35), TBL_Limiti_CDA[Data], TBL_Limiti_CDA[Etica Dynamic Allocation], , -1)</f>
        <v>3</v>
      </c>
      <c r="K35" cm="1">
        <f t="array" ref="K35">_xlfn.XLOOKUP(_xlfn.ANCHORARRAY(A35), TBL_Limiti_CDA[Data], TBL_Limiti_CDA[Etica Global Equity], , -1)</f>
        <v>3.5</v>
      </c>
      <c r="L35" cm="1">
        <f t="array" ref="L35">_xlfn.ANCHORARRAY(B35)+0.15</f>
        <v>1.9</v>
      </c>
      <c r="M35" cm="1">
        <f t="array" ref="M35">_xlfn.ANCHORARRAY(C35)+0.1</f>
        <v>0.6</v>
      </c>
      <c r="N35" cm="1">
        <f t="array" ref="N35">_xlfn.ANCHORARRAY(D35)+0.15</f>
        <v>1.1499999999999999</v>
      </c>
      <c r="O35" cm="1">
        <f t="array" ref="O35">_xlfn.ANCHORARRAY(E35)+0.15</f>
        <v>3.15</v>
      </c>
      <c r="P35" cm="1">
        <f t="array" ref="P35">_xlfn.ANCHORARRAY(F35)+0.15</f>
        <v>3.65</v>
      </c>
      <c r="Q35" cm="1">
        <f t="array" ref="Q35">_xlfn.ANCHORARRAY(G35)+0.15</f>
        <v>2.9</v>
      </c>
      <c r="R35" cm="1">
        <f t="array" ref="R35">_xlfn.ANCHORARRAY(H35)</f>
        <v>7.49</v>
      </c>
      <c r="S35" cm="1">
        <f t="array" ref="S35">_xlfn.ANCHORARRAY(R35)+0.15</f>
        <v>7.6400000000000006</v>
      </c>
      <c r="T35" cm="1">
        <f t="array" ref="T35">_xlfn.ANCHORARRAY(I35)+0.15</f>
        <v>1.1499999999999999</v>
      </c>
      <c r="U35" cm="1">
        <f t="array" ref="U35">_xlfn.ANCHORARRAY(J35)+0.15</f>
        <v>3.15</v>
      </c>
      <c r="V35" cm="1">
        <f t="array" ref="V35">_xlfn.ANCHORARRAY(K35)+0.15</f>
        <v>3.65</v>
      </c>
      <c r="W35">
        <f>TBL_TEV[[#This Row],[Etica Rendita Bilanciata]]</f>
        <v>1.3972739999999999</v>
      </c>
      <c r="X35">
        <f>TBL_TEV[[#This Row],[Etica Obbligazionario Breve Termine]]</f>
        <v>0.19986000000000001</v>
      </c>
      <c r="Y35">
        <f>TBL_TEV[[#This Row],[Etica Obbligazionario Misto]]</f>
        <v>0.80086900000000005</v>
      </c>
      <c r="Z35">
        <f>TBL_TEV[[#This Row],[Etica Bilanciato]]</f>
        <v>2.1094050000000002</v>
      </c>
      <c r="AA35">
        <f>TBL_TEV[[#This Row],[Etica Azionario]]</f>
        <v>2.9374189999999998</v>
      </c>
      <c r="AB35">
        <f>TBL_TEV[[#This Row],[Etica Transizione Climatica]]</f>
        <v>1.969074</v>
      </c>
      <c r="AC35">
        <f>TBL_TEV[[#This Row],[Etica Obiettivo Sociale]]</f>
        <v>6.3777221901828947</v>
      </c>
      <c r="AD35">
        <f>TBL_TEV[[#This Row],[Etica Conservative Allocation]]</f>
        <v>0.69450999999999996</v>
      </c>
      <c r="AE35">
        <f>TBL_TEV[[#This Row],[Etica Dynamic Allocation]]</f>
        <v>2.1603620000000001</v>
      </c>
      <c r="AF35">
        <f>TBL_TEV[[#This Row],[Etica Global Equity]]</f>
        <v>3.0345710000000001</v>
      </c>
      <c r="AL35">
        <f ca="1"/>
        <v>1.396004</v>
      </c>
      <c r="AM35">
        <f ca="1"/>
        <v>0.20017799999999999</v>
      </c>
      <c r="AN35">
        <f ca="1"/>
        <v>0.79959899999999995</v>
      </c>
      <c r="AO35">
        <f ca="1"/>
        <v>2.1052770000000001</v>
      </c>
      <c r="AP35">
        <f ca="1"/>
        <v>2.9345620000000001</v>
      </c>
      <c r="AQ35">
        <f ca="1"/>
        <v>1.962248</v>
      </c>
      <c r="AR35">
        <f ca="1"/>
        <v>6.3405936144719188</v>
      </c>
      <c r="AS35">
        <f ca="1"/>
        <v>0.69276400000000005</v>
      </c>
      <c r="AT35">
        <f ca="1"/>
        <v>2.151313</v>
      </c>
      <c r="AU35">
        <f ca="1"/>
        <v>3.0248870000000001</v>
      </c>
    </row>
    <row r="36" spans="1:47">
      <c r="A36" s="43">
        <f>TBL_TEV[[#This Row],[Data2]]</f>
        <v>45341</v>
      </c>
      <c r="B36" cm="1">
        <f t="array" ref="B36">_xlfn.XLOOKUP(_xlfn.ANCHORARRAY(A36), TBL_Limiti_CDA[Data], TBL_Limiti_CDA[Etica Rendita Bilanciata], , -1)</f>
        <v>1.75</v>
      </c>
      <c r="C36" cm="1">
        <f t="array" ref="C36">_xlfn.XLOOKUP(_xlfn.ANCHORARRAY(A36), TBL_Limiti_CDA[Data], TBL_Limiti_CDA[Etica Obbligazionario Breve Termine], , -1)</f>
        <v>0.5</v>
      </c>
      <c r="D36" cm="1">
        <f t="array" ref="D36">_xlfn.XLOOKUP(_xlfn.ANCHORARRAY(A36), TBL_Limiti_CDA[Data], TBL_Limiti_CDA[Etica Obbligazionario Misto], , -1)</f>
        <v>1</v>
      </c>
      <c r="E36" cm="1">
        <f t="array" ref="E36">_xlfn.XLOOKUP(_xlfn.ANCHORARRAY(A36), TBL_Limiti_CDA[Data], TBL_Limiti_CDA[Etica Bilanciato], , -1)</f>
        <v>3</v>
      </c>
      <c r="F36" cm="1">
        <f t="array" ref="F36">_xlfn.XLOOKUP(_xlfn.ANCHORARRAY(A36), TBL_Limiti_CDA[Data], TBL_Limiti_CDA[Etica Azionario], , -1)</f>
        <v>3.5</v>
      </c>
      <c r="G36" cm="1">
        <f t="array" ref="G36">_xlfn.XLOOKUP(_xlfn.ANCHORARRAY(A36), TBL_Limiti_CDA[Data], TBL_Limiti_CDA[Etica Transizione Climatica], , -1)</f>
        <v>2.75</v>
      </c>
      <c r="H36" cm="1">
        <f t="array" ref="H36">_xlfn.XLOOKUP(_xlfn.ANCHORARRAY(A36), TBL_Limiti_CDA[Data], TBL_Limiti_CDA[Etica Obiettivo Sociale], , -1)</f>
        <v>7.49</v>
      </c>
      <c r="I36" cm="1">
        <f t="array" ref="I36">_xlfn.XLOOKUP(_xlfn.ANCHORARRAY(A36), TBL_Limiti_CDA[Data], TBL_Limiti_CDA[Etica Conservative Allocation], , -1)</f>
        <v>1</v>
      </c>
      <c r="J36" cm="1">
        <f t="array" ref="J36">_xlfn.XLOOKUP(_xlfn.ANCHORARRAY(A36), TBL_Limiti_CDA[Data], TBL_Limiti_CDA[Etica Dynamic Allocation], , -1)</f>
        <v>3</v>
      </c>
      <c r="K36" cm="1">
        <f t="array" ref="K36">_xlfn.XLOOKUP(_xlfn.ANCHORARRAY(A36), TBL_Limiti_CDA[Data], TBL_Limiti_CDA[Etica Global Equity], , -1)</f>
        <v>3.5</v>
      </c>
      <c r="L36" cm="1">
        <f t="array" ref="L36">_xlfn.ANCHORARRAY(B36)+0.15</f>
        <v>1.9</v>
      </c>
      <c r="M36" cm="1">
        <f t="array" ref="M36">_xlfn.ANCHORARRAY(C36)+0.1</f>
        <v>0.6</v>
      </c>
      <c r="N36" cm="1">
        <f t="array" ref="N36">_xlfn.ANCHORARRAY(D36)+0.15</f>
        <v>1.1499999999999999</v>
      </c>
      <c r="O36" cm="1">
        <f t="array" ref="O36">_xlfn.ANCHORARRAY(E36)+0.15</f>
        <v>3.15</v>
      </c>
      <c r="P36" cm="1">
        <f t="array" ref="P36">_xlfn.ANCHORARRAY(F36)+0.15</f>
        <v>3.65</v>
      </c>
      <c r="Q36" cm="1">
        <f t="array" ref="Q36">_xlfn.ANCHORARRAY(G36)+0.15</f>
        <v>2.9</v>
      </c>
      <c r="R36" cm="1">
        <f t="array" ref="R36">_xlfn.ANCHORARRAY(H36)</f>
        <v>7.49</v>
      </c>
      <c r="S36" cm="1">
        <f t="array" ref="S36">_xlfn.ANCHORARRAY(R36)+0.15</f>
        <v>7.6400000000000006</v>
      </c>
      <c r="T36" cm="1">
        <f t="array" ref="T36">_xlfn.ANCHORARRAY(I36)+0.15</f>
        <v>1.1499999999999999</v>
      </c>
      <c r="U36" cm="1">
        <f t="array" ref="U36">_xlfn.ANCHORARRAY(J36)+0.15</f>
        <v>3.15</v>
      </c>
      <c r="V36" cm="1">
        <f t="array" ref="V36">_xlfn.ANCHORARRAY(K36)+0.15</f>
        <v>3.65</v>
      </c>
      <c r="W36">
        <f>TBL_TEV[[#This Row],[Etica Rendita Bilanciata]]</f>
        <v>1.396004</v>
      </c>
      <c r="X36">
        <f>TBL_TEV[[#This Row],[Etica Obbligazionario Breve Termine]]</f>
        <v>0.20017799999999999</v>
      </c>
      <c r="Y36">
        <f>TBL_TEV[[#This Row],[Etica Obbligazionario Misto]]</f>
        <v>0.79959899999999995</v>
      </c>
      <c r="Z36">
        <f>TBL_TEV[[#This Row],[Etica Bilanciato]]</f>
        <v>2.1052770000000001</v>
      </c>
      <c r="AA36">
        <f>TBL_TEV[[#This Row],[Etica Azionario]]</f>
        <v>2.9345620000000001</v>
      </c>
      <c r="AB36">
        <f>TBL_TEV[[#This Row],[Etica Transizione Climatica]]</f>
        <v>1.962248</v>
      </c>
      <c r="AC36">
        <f>TBL_TEV[[#This Row],[Etica Obiettivo Sociale]]</f>
        <v>6.3405936144719188</v>
      </c>
      <c r="AD36">
        <f>TBL_TEV[[#This Row],[Etica Conservative Allocation]]</f>
        <v>0.69276400000000005</v>
      </c>
      <c r="AE36">
        <f>TBL_TEV[[#This Row],[Etica Dynamic Allocation]]</f>
        <v>2.151313</v>
      </c>
      <c r="AF36">
        <f>TBL_TEV[[#This Row],[Etica Global Equity]]</f>
        <v>3.0248870000000001</v>
      </c>
      <c r="AL36">
        <f ca="1"/>
        <v>1.3586990000000001</v>
      </c>
      <c r="AM36">
        <f ca="1"/>
        <v>0.191605</v>
      </c>
      <c r="AN36">
        <f ca="1"/>
        <v>0.78483599999999998</v>
      </c>
      <c r="AO36">
        <f ca="1"/>
        <v>2.042573</v>
      </c>
      <c r="AP36">
        <f ca="1"/>
        <v>2.8610630000000001</v>
      </c>
      <c r="AQ36">
        <f ca="1"/>
        <v>1.871604</v>
      </c>
      <c r="AR36">
        <f ca="1"/>
        <v>6.2406896421939404</v>
      </c>
      <c r="AS36">
        <f ca="1"/>
        <v>0.69165200000000004</v>
      </c>
      <c r="AT36">
        <f ca="1"/>
        <v>2.1509960000000001</v>
      </c>
      <c r="AU36">
        <f ca="1"/>
        <v>3.0110769999999998</v>
      </c>
    </row>
    <row r="37" spans="1:47">
      <c r="A37" s="43">
        <f>TBL_TEV[[#This Row],[Data2]]</f>
        <v>45342</v>
      </c>
      <c r="B37" cm="1">
        <f t="array" ref="B37">_xlfn.XLOOKUP(_xlfn.ANCHORARRAY(A37), TBL_Limiti_CDA[Data], TBL_Limiti_CDA[Etica Rendita Bilanciata], , -1)</f>
        <v>1.75</v>
      </c>
      <c r="C37" cm="1">
        <f t="array" ref="C37">_xlfn.XLOOKUP(_xlfn.ANCHORARRAY(A37), TBL_Limiti_CDA[Data], TBL_Limiti_CDA[Etica Obbligazionario Breve Termine], , -1)</f>
        <v>0.5</v>
      </c>
      <c r="D37" cm="1">
        <f t="array" ref="D37">_xlfn.XLOOKUP(_xlfn.ANCHORARRAY(A37), TBL_Limiti_CDA[Data], TBL_Limiti_CDA[Etica Obbligazionario Misto], , -1)</f>
        <v>1</v>
      </c>
      <c r="E37" cm="1">
        <f t="array" ref="E37">_xlfn.XLOOKUP(_xlfn.ANCHORARRAY(A37), TBL_Limiti_CDA[Data], TBL_Limiti_CDA[Etica Bilanciato], , -1)</f>
        <v>3</v>
      </c>
      <c r="F37" cm="1">
        <f t="array" ref="F37">_xlfn.XLOOKUP(_xlfn.ANCHORARRAY(A37), TBL_Limiti_CDA[Data], TBL_Limiti_CDA[Etica Azionario], , -1)</f>
        <v>3.5</v>
      </c>
      <c r="G37" cm="1">
        <f t="array" ref="G37">_xlfn.XLOOKUP(_xlfn.ANCHORARRAY(A37), TBL_Limiti_CDA[Data], TBL_Limiti_CDA[Etica Transizione Climatica], , -1)</f>
        <v>2.75</v>
      </c>
      <c r="H37" cm="1">
        <f t="array" ref="H37">_xlfn.XLOOKUP(_xlfn.ANCHORARRAY(A37), TBL_Limiti_CDA[Data], TBL_Limiti_CDA[Etica Obiettivo Sociale], , -1)</f>
        <v>7.49</v>
      </c>
      <c r="I37" cm="1">
        <f t="array" ref="I37">_xlfn.XLOOKUP(_xlfn.ANCHORARRAY(A37), TBL_Limiti_CDA[Data], TBL_Limiti_CDA[Etica Conservative Allocation], , -1)</f>
        <v>1</v>
      </c>
      <c r="J37" cm="1">
        <f t="array" ref="J37">_xlfn.XLOOKUP(_xlfn.ANCHORARRAY(A37), TBL_Limiti_CDA[Data], TBL_Limiti_CDA[Etica Dynamic Allocation], , -1)</f>
        <v>3</v>
      </c>
      <c r="K37" cm="1">
        <f t="array" ref="K37">_xlfn.XLOOKUP(_xlfn.ANCHORARRAY(A37), TBL_Limiti_CDA[Data], TBL_Limiti_CDA[Etica Global Equity], , -1)</f>
        <v>3.5</v>
      </c>
      <c r="L37" cm="1">
        <f t="array" ref="L37">_xlfn.ANCHORARRAY(B37)+0.15</f>
        <v>1.9</v>
      </c>
      <c r="M37" cm="1">
        <f t="array" ref="M37">_xlfn.ANCHORARRAY(C37)+0.1</f>
        <v>0.6</v>
      </c>
      <c r="N37" cm="1">
        <f t="array" ref="N37">_xlfn.ANCHORARRAY(D37)+0.15</f>
        <v>1.1499999999999999</v>
      </c>
      <c r="O37" cm="1">
        <f t="array" ref="O37">_xlfn.ANCHORARRAY(E37)+0.15</f>
        <v>3.15</v>
      </c>
      <c r="P37" cm="1">
        <f t="array" ref="P37">_xlfn.ANCHORARRAY(F37)+0.15</f>
        <v>3.65</v>
      </c>
      <c r="Q37" cm="1">
        <f t="array" ref="Q37">_xlfn.ANCHORARRAY(G37)+0.15</f>
        <v>2.9</v>
      </c>
      <c r="R37" cm="1">
        <f t="array" ref="R37">_xlfn.ANCHORARRAY(H37)</f>
        <v>7.49</v>
      </c>
      <c r="S37" cm="1">
        <f t="array" ref="S37">_xlfn.ANCHORARRAY(R37)+0.15</f>
        <v>7.6400000000000006</v>
      </c>
      <c r="T37" cm="1">
        <f t="array" ref="T37">_xlfn.ANCHORARRAY(I37)+0.15</f>
        <v>1.1499999999999999</v>
      </c>
      <c r="U37" cm="1">
        <f t="array" ref="U37">_xlfn.ANCHORARRAY(J37)+0.15</f>
        <v>3.15</v>
      </c>
      <c r="V37" cm="1">
        <f t="array" ref="V37">_xlfn.ANCHORARRAY(K37)+0.15</f>
        <v>3.65</v>
      </c>
      <c r="W37">
        <f>TBL_TEV[[#This Row],[Etica Rendita Bilanciata]]</f>
        <v>1.3586990000000001</v>
      </c>
      <c r="X37">
        <f>TBL_TEV[[#This Row],[Etica Obbligazionario Breve Termine]]</f>
        <v>0.191605</v>
      </c>
      <c r="Y37">
        <f>TBL_TEV[[#This Row],[Etica Obbligazionario Misto]]</f>
        <v>0.78483599999999998</v>
      </c>
      <c r="Z37">
        <f>TBL_TEV[[#This Row],[Etica Bilanciato]]</f>
        <v>2.042573</v>
      </c>
      <c r="AA37">
        <f>TBL_TEV[[#This Row],[Etica Azionario]]</f>
        <v>2.8610630000000001</v>
      </c>
      <c r="AB37">
        <f>TBL_TEV[[#This Row],[Etica Transizione Climatica]]</f>
        <v>1.871604</v>
      </c>
      <c r="AC37">
        <f>TBL_TEV[[#This Row],[Etica Obiettivo Sociale]]</f>
        <v>6.2406896421939404</v>
      </c>
      <c r="AD37">
        <f>TBL_TEV[[#This Row],[Etica Conservative Allocation]]</f>
        <v>0.69165200000000004</v>
      </c>
      <c r="AE37">
        <f>TBL_TEV[[#This Row],[Etica Dynamic Allocation]]</f>
        <v>2.1509960000000001</v>
      </c>
      <c r="AF37">
        <f>TBL_TEV[[#This Row],[Etica Global Equity]]</f>
        <v>3.0110769999999998</v>
      </c>
      <c r="AL37">
        <f ca="1"/>
        <v>1.353461</v>
      </c>
      <c r="AM37">
        <f ca="1"/>
        <v>0.18604899999999999</v>
      </c>
      <c r="AN37">
        <f ca="1"/>
        <v>0.77769200000000005</v>
      </c>
      <c r="AO37">
        <f ca="1"/>
        <v>2.038287</v>
      </c>
      <c r="AP37">
        <f ca="1"/>
        <v>2.8455059999999999</v>
      </c>
      <c r="AQ37">
        <f ca="1"/>
        <v>1.841602</v>
      </c>
      <c r="AR37">
        <f ca="1"/>
        <v>6.1840506381446509</v>
      </c>
      <c r="AS37">
        <f ca="1"/>
        <v>0.67688899999999996</v>
      </c>
      <c r="AT37">
        <f ca="1"/>
        <v>2.0906729999999998</v>
      </c>
      <c r="AU37">
        <f ca="1"/>
        <v>2.9547219999999998</v>
      </c>
    </row>
    <row r="38" spans="1:47">
      <c r="A38" s="43">
        <f>TBL_TEV[[#This Row],[Data2]]</f>
        <v>45343</v>
      </c>
      <c r="B38" cm="1">
        <f t="array" ref="B38">_xlfn.XLOOKUP(_xlfn.ANCHORARRAY(A38), TBL_Limiti_CDA[Data], TBL_Limiti_CDA[Etica Rendita Bilanciata], , -1)</f>
        <v>1.75</v>
      </c>
      <c r="C38" cm="1">
        <f t="array" ref="C38">_xlfn.XLOOKUP(_xlfn.ANCHORARRAY(A38), TBL_Limiti_CDA[Data], TBL_Limiti_CDA[Etica Obbligazionario Breve Termine], , -1)</f>
        <v>0.5</v>
      </c>
      <c r="D38" cm="1">
        <f t="array" ref="D38">_xlfn.XLOOKUP(_xlfn.ANCHORARRAY(A38), TBL_Limiti_CDA[Data], TBL_Limiti_CDA[Etica Obbligazionario Misto], , -1)</f>
        <v>1</v>
      </c>
      <c r="E38" cm="1">
        <f t="array" ref="E38">_xlfn.XLOOKUP(_xlfn.ANCHORARRAY(A38), TBL_Limiti_CDA[Data], TBL_Limiti_CDA[Etica Bilanciato], , -1)</f>
        <v>3</v>
      </c>
      <c r="F38" cm="1">
        <f t="array" ref="F38">_xlfn.XLOOKUP(_xlfn.ANCHORARRAY(A38), TBL_Limiti_CDA[Data], TBL_Limiti_CDA[Etica Azionario], , -1)</f>
        <v>3.5</v>
      </c>
      <c r="G38" cm="1">
        <f t="array" ref="G38">_xlfn.XLOOKUP(_xlfn.ANCHORARRAY(A38), TBL_Limiti_CDA[Data], TBL_Limiti_CDA[Etica Transizione Climatica], , -1)</f>
        <v>2.75</v>
      </c>
      <c r="H38" cm="1">
        <f t="array" ref="H38">_xlfn.XLOOKUP(_xlfn.ANCHORARRAY(A38), TBL_Limiti_CDA[Data], TBL_Limiti_CDA[Etica Obiettivo Sociale], , -1)</f>
        <v>7.49</v>
      </c>
      <c r="I38" cm="1">
        <f t="array" ref="I38">_xlfn.XLOOKUP(_xlfn.ANCHORARRAY(A38), TBL_Limiti_CDA[Data], TBL_Limiti_CDA[Etica Conservative Allocation], , -1)</f>
        <v>1</v>
      </c>
      <c r="J38" cm="1">
        <f t="array" ref="J38">_xlfn.XLOOKUP(_xlfn.ANCHORARRAY(A38), TBL_Limiti_CDA[Data], TBL_Limiti_CDA[Etica Dynamic Allocation], , -1)</f>
        <v>3</v>
      </c>
      <c r="K38" cm="1">
        <f t="array" ref="K38">_xlfn.XLOOKUP(_xlfn.ANCHORARRAY(A38), TBL_Limiti_CDA[Data], TBL_Limiti_CDA[Etica Global Equity], , -1)</f>
        <v>3.5</v>
      </c>
      <c r="L38" cm="1">
        <f t="array" ref="L38">_xlfn.ANCHORARRAY(B38)+0.15</f>
        <v>1.9</v>
      </c>
      <c r="M38" cm="1">
        <f t="array" ref="M38">_xlfn.ANCHORARRAY(C38)+0.1</f>
        <v>0.6</v>
      </c>
      <c r="N38" cm="1">
        <f t="array" ref="N38">_xlfn.ANCHORARRAY(D38)+0.15</f>
        <v>1.1499999999999999</v>
      </c>
      <c r="O38" cm="1">
        <f t="array" ref="O38">_xlfn.ANCHORARRAY(E38)+0.15</f>
        <v>3.15</v>
      </c>
      <c r="P38" cm="1">
        <f t="array" ref="P38">_xlfn.ANCHORARRAY(F38)+0.15</f>
        <v>3.65</v>
      </c>
      <c r="Q38" cm="1">
        <f t="array" ref="Q38">_xlfn.ANCHORARRAY(G38)+0.15</f>
        <v>2.9</v>
      </c>
      <c r="R38" cm="1">
        <f t="array" ref="R38">_xlfn.ANCHORARRAY(H38)</f>
        <v>7.49</v>
      </c>
      <c r="S38" cm="1">
        <f t="array" ref="S38">_xlfn.ANCHORARRAY(R38)+0.15</f>
        <v>7.6400000000000006</v>
      </c>
      <c r="T38" cm="1">
        <f t="array" ref="T38">_xlfn.ANCHORARRAY(I38)+0.15</f>
        <v>1.1499999999999999</v>
      </c>
      <c r="U38" cm="1">
        <f t="array" ref="U38">_xlfn.ANCHORARRAY(J38)+0.15</f>
        <v>3.15</v>
      </c>
      <c r="V38" cm="1">
        <f t="array" ref="V38">_xlfn.ANCHORARRAY(K38)+0.15</f>
        <v>3.65</v>
      </c>
      <c r="W38">
        <f>TBL_TEV[[#This Row],[Etica Rendita Bilanciata]]</f>
        <v>1.353461</v>
      </c>
      <c r="X38">
        <f>TBL_TEV[[#This Row],[Etica Obbligazionario Breve Termine]]</f>
        <v>0.18604899999999999</v>
      </c>
      <c r="Y38">
        <f>TBL_TEV[[#This Row],[Etica Obbligazionario Misto]]</f>
        <v>0.77769200000000005</v>
      </c>
      <c r="Z38">
        <f>TBL_TEV[[#This Row],[Etica Bilanciato]]</f>
        <v>2.038287</v>
      </c>
      <c r="AA38">
        <f>TBL_TEV[[#This Row],[Etica Azionario]]</f>
        <v>2.8455059999999999</v>
      </c>
      <c r="AB38">
        <f>TBL_TEV[[#This Row],[Etica Transizione Climatica]]</f>
        <v>1.841602</v>
      </c>
      <c r="AC38">
        <f>TBL_TEV[[#This Row],[Etica Obiettivo Sociale]]</f>
        <v>6.1840506381446509</v>
      </c>
      <c r="AD38">
        <f>TBL_TEV[[#This Row],[Etica Conservative Allocation]]</f>
        <v>0.67688899999999996</v>
      </c>
      <c r="AE38">
        <f>TBL_TEV[[#This Row],[Etica Dynamic Allocation]]</f>
        <v>2.0906729999999998</v>
      </c>
      <c r="AF38">
        <f>TBL_TEV[[#This Row],[Etica Global Equity]]</f>
        <v>2.9547219999999998</v>
      </c>
      <c r="AL38">
        <f ca="1"/>
        <v>1.3493329999999999</v>
      </c>
      <c r="AM38">
        <f ca="1"/>
        <v>0.185414</v>
      </c>
      <c r="AN38">
        <f ca="1"/>
        <v>0.77658099999999997</v>
      </c>
      <c r="AO38">
        <f ca="1"/>
        <v>2.042414</v>
      </c>
      <c r="AP38">
        <f ca="1"/>
        <v>2.8532839999999999</v>
      </c>
      <c r="AQ38">
        <f ca="1"/>
        <v>1.921292</v>
      </c>
      <c r="AR38">
        <f ca="1"/>
        <v>6.2062131523274049</v>
      </c>
      <c r="AS38">
        <f ca="1"/>
        <v>0.66958700000000004</v>
      </c>
      <c r="AT38">
        <f ca="1"/>
        <v>2.0428899999999999</v>
      </c>
      <c r="AU38">
        <f ca="1"/>
        <v>2.884239</v>
      </c>
    </row>
    <row r="39" spans="1:47">
      <c r="A39" s="43">
        <f>TBL_TEV[[#This Row],[Data2]]</f>
        <v>45344</v>
      </c>
      <c r="B39" cm="1">
        <f t="array" ref="B39">_xlfn.XLOOKUP(_xlfn.ANCHORARRAY(A39), TBL_Limiti_CDA[Data], TBL_Limiti_CDA[Etica Rendita Bilanciata], , -1)</f>
        <v>1.75</v>
      </c>
      <c r="C39" cm="1">
        <f t="array" ref="C39">_xlfn.XLOOKUP(_xlfn.ANCHORARRAY(A39), TBL_Limiti_CDA[Data], TBL_Limiti_CDA[Etica Obbligazionario Breve Termine], , -1)</f>
        <v>0.5</v>
      </c>
      <c r="D39" cm="1">
        <f t="array" ref="D39">_xlfn.XLOOKUP(_xlfn.ANCHORARRAY(A39), TBL_Limiti_CDA[Data], TBL_Limiti_CDA[Etica Obbligazionario Misto], , -1)</f>
        <v>1</v>
      </c>
      <c r="E39" cm="1">
        <f t="array" ref="E39">_xlfn.XLOOKUP(_xlfn.ANCHORARRAY(A39), TBL_Limiti_CDA[Data], TBL_Limiti_CDA[Etica Bilanciato], , -1)</f>
        <v>3</v>
      </c>
      <c r="F39" cm="1">
        <f t="array" ref="F39">_xlfn.XLOOKUP(_xlfn.ANCHORARRAY(A39), TBL_Limiti_CDA[Data], TBL_Limiti_CDA[Etica Azionario], , -1)</f>
        <v>3.5</v>
      </c>
      <c r="G39" cm="1">
        <f t="array" ref="G39">_xlfn.XLOOKUP(_xlfn.ANCHORARRAY(A39), TBL_Limiti_CDA[Data], TBL_Limiti_CDA[Etica Transizione Climatica], , -1)</f>
        <v>2.75</v>
      </c>
      <c r="H39" cm="1">
        <f t="array" ref="H39">_xlfn.XLOOKUP(_xlfn.ANCHORARRAY(A39), TBL_Limiti_CDA[Data], TBL_Limiti_CDA[Etica Obiettivo Sociale], , -1)</f>
        <v>7.49</v>
      </c>
      <c r="I39" cm="1">
        <f t="array" ref="I39">_xlfn.XLOOKUP(_xlfn.ANCHORARRAY(A39), TBL_Limiti_CDA[Data], TBL_Limiti_CDA[Etica Conservative Allocation], , -1)</f>
        <v>1</v>
      </c>
      <c r="J39" cm="1">
        <f t="array" ref="J39">_xlfn.XLOOKUP(_xlfn.ANCHORARRAY(A39), TBL_Limiti_CDA[Data], TBL_Limiti_CDA[Etica Dynamic Allocation], , -1)</f>
        <v>3</v>
      </c>
      <c r="K39" cm="1">
        <f t="array" ref="K39">_xlfn.XLOOKUP(_xlfn.ANCHORARRAY(A39), TBL_Limiti_CDA[Data], TBL_Limiti_CDA[Etica Global Equity], , -1)</f>
        <v>3.5</v>
      </c>
      <c r="L39" cm="1">
        <f t="array" ref="L39">_xlfn.ANCHORARRAY(B39)+0.15</f>
        <v>1.9</v>
      </c>
      <c r="M39" cm="1">
        <f t="array" ref="M39">_xlfn.ANCHORARRAY(C39)+0.1</f>
        <v>0.6</v>
      </c>
      <c r="N39" cm="1">
        <f t="array" ref="N39">_xlfn.ANCHORARRAY(D39)+0.15</f>
        <v>1.1499999999999999</v>
      </c>
      <c r="O39" cm="1">
        <f t="array" ref="O39">_xlfn.ANCHORARRAY(E39)+0.15</f>
        <v>3.15</v>
      </c>
      <c r="P39" cm="1">
        <f t="array" ref="P39">_xlfn.ANCHORARRAY(F39)+0.15</f>
        <v>3.65</v>
      </c>
      <c r="Q39" cm="1">
        <f t="array" ref="Q39">_xlfn.ANCHORARRAY(G39)+0.15</f>
        <v>2.9</v>
      </c>
      <c r="R39" cm="1">
        <f t="array" ref="R39">_xlfn.ANCHORARRAY(H39)</f>
        <v>7.49</v>
      </c>
      <c r="S39" cm="1">
        <f t="array" ref="S39">_xlfn.ANCHORARRAY(R39)+0.15</f>
        <v>7.6400000000000006</v>
      </c>
      <c r="T39" cm="1">
        <f t="array" ref="T39">_xlfn.ANCHORARRAY(I39)+0.15</f>
        <v>1.1499999999999999</v>
      </c>
      <c r="U39" cm="1">
        <f t="array" ref="U39">_xlfn.ANCHORARRAY(J39)+0.15</f>
        <v>3.15</v>
      </c>
      <c r="V39" cm="1">
        <f t="array" ref="V39">_xlfn.ANCHORARRAY(K39)+0.15</f>
        <v>3.65</v>
      </c>
      <c r="W39">
        <f>TBL_TEV[[#This Row],[Etica Rendita Bilanciata]]</f>
        <v>1.3493329999999999</v>
      </c>
      <c r="X39">
        <f>TBL_TEV[[#This Row],[Etica Obbligazionario Breve Termine]]</f>
        <v>0.185414</v>
      </c>
      <c r="Y39">
        <f>TBL_TEV[[#This Row],[Etica Obbligazionario Misto]]</f>
        <v>0.77658099999999997</v>
      </c>
      <c r="Z39">
        <f>TBL_TEV[[#This Row],[Etica Bilanciato]]</f>
        <v>2.042414</v>
      </c>
      <c r="AA39">
        <f>TBL_TEV[[#This Row],[Etica Azionario]]</f>
        <v>2.8532839999999999</v>
      </c>
      <c r="AB39">
        <f>TBL_TEV[[#This Row],[Etica Transizione Climatica]]</f>
        <v>1.921292</v>
      </c>
      <c r="AC39">
        <f>TBL_TEV[[#This Row],[Etica Obiettivo Sociale]]</f>
        <v>6.2062131523274049</v>
      </c>
      <c r="AD39">
        <f>TBL_TEV[[#This Row],[Etica Conservative Allocation]]</f>
        <v>0.66958700000000004</v>
      </c>
      <c r="AE39">
        <f>TBL_TEV[[#This Row],[Etica Dynamic Allocation]]</f>
        <v>2.0428899999999999</v>
      </c>
      <c r="AF39">
        <f>TBL_TEV[[#This Row],[Etica Global Equity]]</f>
        <v>2.884239</v>
      </c>
      <c r="AL39">
        <f ca="1"/>
        <v>1.3579049999999999</v>
      </c>
      <c r="AM39">
        <f ca="1"/>
        <v>0.203511</v>
      </c>
      <c r="AN39">
        <f ca="1"/>
        <v>0.79023299999999996</v>
      </c>
      <c r="AO39">
        <f ca="1"/>
        <v>2.0516209999999999</v>
      </c>
      <c r="AP39">
        <f ca="1"/>
        <v>2.8701110000000001</v>
      </c>
      <c r="AQ39">
        <f ca="1"/>
        <v>1.9028769999999999</v>
      </c>
      <c r="AR39">
        <f ca="1"/>
        <v>6.220786109373126</v>
      </c>
      <c r="AS39">
        <f ca="1"/>
        <v>0.66545900000000002</v>
      </c>
      <c r="AT39">
        <f ca="1"/>
        <v>2.0387629999999999</v>
      </c>
      <c r="AU39">
        <f ca="1"/>
        <v>2.8878900000000001</v>
      </c>
    </row>
    <row r="40" spans="1:47">
      <c r="A40" s="43">
        <f>TBL_TEV[[#This Row],[Data2]]</f>
        <v>45345</v>
      </c>
      <c r="B40" cm="1">
        <f t="array" ref="B40">_xlfn.XLOOKUP(_xlfn.ANCHORARRAY(A40), TBL_Limiti_CDA[Data], TBL_Limiti_CDA[Etica Rendita Bilanciata], , -1)</f>
        <v>1.75</v>
      </c>
      <c r="C40" cm="1">
        <f t="array" ref="C40">_xlfn.XLOOKUP(_xlfn.ANCHORARRAY(A40), TBL_Limiti_CDA[Data], TBL_Limiti_CDA[Etica Obbligazionario Breve Termine], , -1)</f>
        <v>0.5</v>
      </c>
      <c r="D40" cm="1">
        <f t="array" ref="D40">_xlfn.XLOOKUP(_xlfn.ANCHORARRAY(A40), TBL_Limiti_CDA[Data], TBL_Limiti_CDA[Etica Obbligazionario Misto], , -1)</f>
        <v>1</v>
      </c>
      <c r="E40" cm="1">
        <f t="array" ref="E40">_xlfn.XLOOKUP(_xlfn.ANCHORARRAY(A40), TBL_Limiti_CDA[Data], TBL_Limiti_CDA[Etica Bilanciato], , -1)</f>
        <v>3</v>
      </c>
      <c r="F40" cm="1">
        <f t="array" ref="F40">_xlfn.XLOOKUP(_xlfn.ANCHORARRAY(A40), TBL_Limiti_CDA[Data], TBL_Limiti_CDA[Etica Azionario], , -1)</f>
        <v>3.5</v>
      </c>
      <c r="G40" cm="1">
        <f t="array" ref="G40">_xlfn.XLOOKUP(_xlfn.ANCHORARRAY(A40), TBL_Limiti_CDA[Data], TBL_Limiti_CDA[Etica Transizione Climatica], , -1)</f>
        <v>2.75</v>
      </c>
      <c r="H40" cm="1">
        <f t="array" ref="H40">_xlfn.XLOOKUP(_xlfn.ANCHORARRAY(A40), TBL_Limiti_CDA[Data], TBL_Limiti_CDA[Etica Obiettivo Sociale], , -1)</f>
        <v>7.49</v>
      </c>
      <c r="I40" cm="1">
        <f t="array" ref="I40">_xlfn.XLOOKUP(_xlfn.ANCHORARRAY(A40), TBL_Limiti_CDA[Data], TBL_Limiti_CDA[Etica Conservative Allocation], , -1)</f>
        <v>1</v>
      </c>
      <c r="J40" cm="1">
        <f t="array" ref="J40">_xlfn.XLOOKUP(_xlfn.ANCHORARRAY(A40), TBL_Limiti_CDA[Data], TBL_Limiti_CDA[Etica Dynamic Allocation], , -1)</f>
        <v>3</v>
      </c>
      <c r="K40" cm="1">
        <f t="array" ref="K40">_xlfn.XLOOKUP(_xlfn.ANCHORARRAY(A40), TBL_Limiti_CDA[Data], TBL_Limiti_CDA[Etica Global Equity], , -1)</f>
        <v>3.5</v>
      </c>
      <c r="L40" cm="1">
        <f t="array" ref="L40">_xlfn.ANCHORARRAY(B40)+0.15</f>
        <v>1.9</v>
      </c>
      <c r="M40" cm="1">
        <f t="array" ref="M40">_xlfn.ANCHORARRAY(C40)+0.1</f>
        <v>0.6</v>
      </c>
      <c r="N40" cm="1">
        <f t="array" ref="N40">_xlfn.ANCHORARRAY(D40)+0.15</f>
        <v>1.1499999999999999</v>
      </c>
      <c r="O40" cm="1">
        <f t="array" ref="O40">_xlfn.ANCHORARRAY(E40)+0.15</f>
        <v>3.15</v>
      </c>
      <c r="P40" cm="1">
        <f t="array" ref="P40">_xlfn.ANCHORARRAY(F40)+0.15</f>
        <v>3.65</v>
      </c>
      <c r="Q40" cm="1">
        <f t="array" ref="Q40">_xlfn.ANCHORARRAY(G40)+0.15</f>
        <v>2.9</v>
      </c>
      <c r="R40" cm="1">
        <f t="array" ref="R40">_xlfn.ANCHORARRAY(H40)</f>
        <v>7.49</v>
      </c>
      <c r="S40" cm="1">
        <f t="array" ref="S40">_xlfn.ANCHORARRAY(R40)+0.15</f>
        <v>7.6400000000000006</v>
      </c>
      <c r="T40" cm="1">
        <f t="array" ref="T40">_xlfn.ANCHORARRAY(I40)+0.15</f>
        <v>1.1499999999999999</v>
      </c>
      <c r="U40" cm="1">
        <f t="array" ref="U40">_xlfn.ANCHORARRAY(J40)+0.15</f>
        <v>3.15</v>
      </c>
      <c r="V40" cm="1">
        <f t="array" ref="V40">_xlfn.ANCHORARRAY(K40)+0.15</f>
        <v>3.65</v>
      </c>
      <c r="W40">
        <f>TBL_TEV[[#This Row],[Etica Rendita Bilanciata]]</f>
        <v>1.3579049999999999</v>
      </c>
      <c r="X40">
        <f>TBL_TEV[[#This Row],[Etica Obbligazionario Breve Termine]]</f>
        <v>0.203511</v>
      </c>
      <c r="Y40">
        <f>TBL_TEV[[#This Row],[Etica Obbligazionario Misto]]</f>
        <v>0.79023299999999996</v>
      </c>
      <c r="Z40">
        <f>TBL_TEV[[#This Row],[Etica Bilanciato]]</f>
        <v>2.0516209999999999</v>
      </c>
      <c r="AA40">
        <f>TBL_TEV[[#This Row],[Etica Azionario]]</f>
        <v>2.8701110000000001</v>
      </c>
      <c r="AB40">
        <f>TBL_TEV[[#This Row],[Etica Transizione Climatica]]</f>
        <v>1.9028769999999999</v>
      </c>
      <c r="AC40">
        <f>TBL_TEV[[#This Row],[Etica Obiettivo Sociale]]</f>
        <v>6.220786109373126</v>
      </c>
      <c r="AD40">
        <f>TBL_TEV[[#This Row],[Etica Conservative Allocation]]</f>
        <v>0.66545900000000002</v>
      </c>
      <c r="AE40">
        <f>TBL_TEV[[#This Row],[Etica Dynamic Allocation]]</f>
        <v>2.0387629999999999</v>
      </c>
      <c r="AF40">
        <f>TBL_TEV[[#This Row],[Etica Global Equity]]</f>
        <v>2.8878900000000001</v>
      </c>
      <c r="AL40">
        <f ca="1"/>
        <v>1.347904</v>
      </c>
      <c r="AM40">
        <f ca="1"/>
        <v>0.20160600000000001</v>
      </c>
      <c r="AN40">
        <f ca="1"/>
        <v>0.77721600000000002</v>
      </c>
      <c r="AO40">
        <f ca="1"/>
        <v>2.0397159999999999</v>
      </c>
      <c r="AP40">
        <f ca="1"/>
        <v>2.8624909999999999</v>
      </c>
      <c r="AQ40">
        <f ca="1"/>
        <v>1.8787480000000001</v>
      </c>
      <c r="AR40">
        <f ca="1"/>
        <v>6.1844298630390382</v>
      </c>
      <c r="AS40">
        <f ca="1"/>
        <v>0.66133200000000003</v>
      </c>
      <c r="AT40">
        <f ca="1"/>
        <v>2.032254</v>
      </c>
      <c r="AU40">
        <f ca="1"/>
        <v>2.8983680000000001</v>
      </c>
    </row>
    <row r="41" spans="1:47">
      <c r="A41" s="43">
        <f>TBL_TEV[[#This Row],[Data2]]</f>
        <v>45348</v>
      </c>
      <c r="B41" cm="1">
        <f t="array" ref="B41">_xlfn.XLOOKUP(_xlfn.ANCHORARRAY(A41), TBL_Limiti_CDA[Data], TBL_Limiti_CDA[Etica Rendita Bilanciata], , -1)</f>
        <v>1.75</v>
      </c>
      <c r="C41" cm="1">
        <f t="array" ref="C41">_xlfn.XLOOKUP(_xlfn.ANCHORARRAY(A41), TBL_Limiti_CDA[Data], TBL_Limiti_CDA[Etica Obbligazionario Breve Termine], , -1)</f>
        <v>0.5</v>
      </c>
      <c r="D41" cm="1">
        <f t="array" ref="D41">_xlfn.XLOOKUP(_xlfn.ANCHORARRAY(A41), TBL_Limiti_CDA[Data], TBL_Limiti_CDA[Etica Obbligazionario Misto], , -1)</f>
        <v>1</v>
      </c>
      <c r="E41" cm="1">
        <f t="array" ref="E41">_xlfn.XLOOKUP(_xlfn.ANCHORARRAY(A41), TBL_Limiti_CDA[Data], TBL_Limiti_CDA[Etica Bilanciato], , -1)</f>
        <v>3</v>
      </c>
      <c r="F41" cm="1">
        <f t="array" ref="F41">_xlfn.XLOOKUP(_xlfn.ANCHORARRAY(A41), TBL_Limiti_CDA[Data], TBL_Limiti_CDA[Etica Azionario], , -1)</f>
        <v>3.5</v>
      </c>
      <c r="G41" cm="1">
        <f t="array" ref="G41">_xlfn.XLOOKUP(_xlfn.ANCHORARRAY(A41), TBL_Limiti_CDA[Data], TBL_Limiti_CDA[Etica Transizione Climatica], , -1)</f>
        <v>2.75</v>
      </c>
      <c r="H41" cm="1">
        <f t="array" ref="H41">_xlfn.XLOOKUP(_xlfn.ANCHORARRAY(A41), TBL_Limiti_CDA[Data], TBL_Limiti_CDA[Etica Obiettivo Sociale], , -1)</f>
        <v>7.49</v>
      </c>
      <c r="I41" cm="1">
        <f t="array" ref="I41">_xlfn.XLOOKUP(_xlfn.ANCHORARRAY(A41), TBL_Limiti_CDA[Data], TBL_Limiti_CDA[Etica Conservative Allocation], , -1)</f>
        <v>1</v>
      </c>
      <c r="J41" cm="1">
        <f t="array" ref="J41">_xlfn.XLOOKUP(_xlfn.ANCHORARRAY(A41), TBL_Limiti_CDA[Data], TBL_Limiti_CDA[Etica Dynamic Allocation], , -1)</f>
        <v>3</v>
      </c>
      <c r="K41" cm="1">
        <f t="array" ref="K41">_xlfn.XLOOKUP(_xlfn.ANCHORARRAY(A41), TBL_Limiti_CDA[Data], TBL_Limiti_CDA[Etica Global Equity], , -1)</f>
        <v>3.5</v>
      </c>
      <c r="L41" cm="1">
        <f t="array" ref="L41">_xlfn.ANCHORARRAY(B41)+0.15</f>
        <v>1.9</v>
      </c>
      <c r="M41" cm="1">
        <f t="array" ref="M41">_xlfn.ANCHORARRAY(C41)+0.1</f>
        <v>0.6</v>
      </c>
      <c r="N41" cm="1">
        <f t="array" ref="N41">_xlfn.ANCHORARRAY(D41)+0.15</f>
        <v>1.1499999999999999</v>
      </c>
      <c r="O41" cm="1">
        <f t="array" ref="O41">_xlfn.ANCHORARRAY(E41)+0.15</f>
        <v>3.15</v>
      </c>
      <c r="P41" cm="1">
        <f t="array" ref="P41">_xlfn.ANCHORARRAY(F41)+0.15</f>
        <v>3.65</v>
      </c>
      <c r="Q41" cm="1">
        <f t="array" ref="Q41">_xlfn.ANCHORARRAY(G41)+0.15</f>
        <v>2.9</v>
      </c>
      <c r="R41" cm="1">
        <f t="array" ref="R41">_xlfn.ANCHORARRAY(H41)</f>
        <v>7.49</v>
      </c>
      <c r="S41" cm="1">
        <f t="array" ref="S41">_xlfn.ANCHORARRAY(R41)+0.15</f>
        <v>7.6400000000000006</v>
      </c>
      <c r="T41" cm="1">
        <f t="array" ref="T41">_xlfn.ANCHORARRAY(I41)+0.15</f>
        <v>1.1499999999999999</v>
      </c>
      <c r="U41" cm="1">
        <f t="array" ref="U41">_xlfn.ANCHORARRAY(J41)+0.15</f>
        <v>3.15</v>
      </c>
      <c r="V41" cm="1">
        <f t="array" ref="V41">_xlfn.ANCHORARRAY(K41)+0.15</f>
        <v>3.65</v>
      </c>
      <c r="W41">
        <f>TBL_TEV[[#This Row],[Etica Rendita Bilanciata]]</f>
        <v>1.347904</v>
      </c>
      <c r="X41">
        <f>TBL_TEV[[#This Row],[Etica Obbligazionario Breve Termine]]</f>
        <v>0.20160600000000001</v>
      </c>
      <c r="Y41">
        <f>TBL_TEV[[#This Row],[Etica Obbligazionario Misto]]</f>
        <v>0.77721600000000002</v>
      </c>
      <c r="Z41">
        <f>TBL_TEV[[#This Row],[Etica Bilanciato]]</f>
        <v>2.0397159999999999</v>
      </c>
      <c r="AA41">
        <f>TBL_TEV[[#This Row],[Etica Azionario]]</f>
        <v>2.8624909999999999</v>
      </c>
      <c r="AB41">
        <f>TBL_TEV[[#This Row],[Etica Transizione Climatica]]</f>
        <v>1.8787480000000001</v>
      </c>
      <c r="AC41">
        <f>TBL_TEV[[#This Row],[Etica Obiettivo Sociale]]</f>
        <v>6.1844298630390382</v>
      </c>
      <c r="AD41">
        <f>TBL_TEV[[#This Row],[Etica Conservative Allocation]]</f>
        <v>0.66133200000000003</v>
      </c>
      <c r="AE41">
        <f>TBL_TEV[[#This Row],[Etica Dynamic Allocation]]</f>
        <v>2.032254</v>
      </c>
      <c r="AF41">
        <f>TBL_TEV[[#This Row],[Etica Global Equity]]</f>
        <v>2.8983680000000001</v>
      </c>
      <c r="AL41">
        <f ca="1"/>
        <v>1.351397</v>
      </c>
      <c r="AM41">
        <f ca="1"/>
        <v>0.201765</v>
      </c>
      <c r="AN41">
        <f ca="1"/>
        <v>0.77737500000000004</v>
      </c>
      <c r="AO41">
        <f ca="1"/>
        <v>2.046065</v>
      </c>
      <c r="AP41">
        <f ca="1"/>
        <v>2.8690000000000002</v>
      </c>
      <c r="AQ41">
        <f ca="1"/>
        <v>1.8765259999999999</v>
      </c>
      <c r="AR41">
        <f ca="1"/>
        <v>6.340451748621339</v>
      </c>
      <c r="AS41">
        <f ca="1"/>
        <v>0.66149100000000005</v>
      </c>
      <c r="AT41">
        <f ca="1"/>
        <v>2.0270160000000002</v>
      </c>
      <c r="AU41">
        <f ca="1"/>
        <v>2.8880490000000001</v>
      </c>
    </row>
    <row r="42" spans="1:47">
      <c r="A42" s="43">
        <f>TBL_TEV[[#This Row],[Data2]]</f>
        <v>45349</v>
      </c>
      <c r="B42" cm="1">
        <f t="array" ref="B42">_xlfn.XLOOKUP(_xlfn.ANCHORARRAY(A42), TBL_Limiti_CDA[Data], TBL_Limiti_CDA[Etica Rendita Bilanciata], , -1)</f>
        <v>1.75</v>
      </c>
      <c r="C42" cm="1">
        <f t="array" ref="C42">_xlfn.XLOOKUP(_xlfn.ANCHORARRAY(A42), TBL_Limiti_CDA[Data], TBL_Limiti_CDA[Etica Obbligazionario Breve Termine], , -1)</f>
        <v>0.5</v>
      </c>
      <c r="D42" cm="1">
        <f t="array" ref="D42">_xlfn.XLOOKUP(_xlfn.ANCHORARRAY(A42), TBL_Limiti_CDA[Data], TBL_Limiti_CDA[Etica Obbligazionario Misto], , -1)</f>
        <v>1</v>
      </c>
      <c r="E42" cm="1">
        <f t="array" ref="E42">_xlfn.XLOOKUP(_xlfn.ANCHORARRAY(A42), TBL_Limiti_CDA[Data], TBL_Limiti_CDA[Etica Bilanciato], , -1)</f>
        <v>3</v>
      </c>
      <c r="F42" cm="1">
        <f t="array" ref="F42">_xlfn.XLOOKUP(_xlfn.ANCHORARRAY(A42), TBL_Limiti_CDA[Data], TBL_Limiti_CDA[Etica Azionario], , -1)</f>
        <v>3.5</v>
      </c>
      <c r="G42" cm="1">
        <f t="array" ref="G42">_xlfn.XLOOKUP(_xlfn.ANCHORARRAY(A42), TBL_Limiti_CDA[Data], TBL_Limiti_CDA[Etica Transizione Climatica], , -1)</f>
        <v>2.75</v>
      </c>
      <c r="H42" cm="1">
        <f t="array" ref="H42">_xlfn.XLOOKUP(_xlfn.ANCHORARRAY(A42), TBL_Limiti_CDA[Data], TBL_Limiti_CDA[Etica Obiettivo Sociale], , -1)</f>
        <v>7.49</v>
      </c>
      <c r="I42" cm="1">
        <f t="array" ref="I42">_xlfn.XLOOKUP(_xlfn.ANCHORARRAY(A42), TBL_Limiti_CDA[Data], TBL_Limiti_CDA[Etica Conservative Allocation], , -1)</f>
        <v>1</v>
      </c>
      <c r="J42" cm="1">
        <f t="array" ref="J42">_xlfn.XLOOKUP(_xlfn.ANCHORARRAY(A42), TBL_Limiti_CDA[Data], TBL_Limiti_CDA[Etica Dynamic Allocation], , -1)</f>
        <v>3</v>
      </c>
      <c r="K42" cm="1">
        <f t="array" ref="K42">_xlfn.XLOOKUP(_xlfn.ANCHORARRAY(A42), TBL_Limiti_CDA[Data], TBL_Limiti_CDA[Etica Global Equity], , -1)</f>
        <v>3.5</v>
      </c>
      <c r="L42" cm="1">
        <f t="array" ref="L42">_xlfn.ANCHORARRAY(B42)+0.15</f>
        <v>1.9</v>
      </c>
      <c r="M42" cm="1">
        <f t="array" ref="M42">_xlfn.ANCHORARRAY(C42)+0.1</f>
        <v>0.6</v>
      </c>
      <c r="N42" cm="1">
        <f t="array" ref="N42">_xlfn.ANCHORARRAY(D42)+0.15</f>
        <v>1.1499999999999999</v>
      </c>
      <c r="O42" cm="1">
        <f t="array" ref="O42">_xlfn.ANCHORARRAY(E42)+0.15</f>
        <v>3.15</v>
      </c>
      <c r="P42" cm="1">
        <f t="array" ref="P42">_xlfn.ANCHORARRAY(F42)+0.15</f>
        <v>3.65</v>
      </c>
      <c r="Q42" cm="1">
        <f t="array" ref="Q42">_xlfn.ANCHORARRAY(G42)+0.15</f>
        <v>2.9</v>
      </c>
      <c r="R42" cm="1">
        <f t="array" ref="R42">_xlfn.ANCHORARRAY(H42)</f>
        <v>7.49</v>
      </c>
      <c r="S42" cm="1">
        <f t="array" ref="S42">_xlfn.ANCHORARRAY(R42)+0.15</f>
        <v>7.6400000000000006</v>
      </c>
      <c r="T42" cm="1">
        <f t="array" ref="T42">_xlfn.ANCHORARRAY(I42)+0.15</f>
        <v>1.1499999999999999</v>
      </c>
      <c r="U42" cm="1">
        <f t="array" ref="U42">_xlfn.ANCHORARRAY(J42)+0.15</f>
        <v>3.15</v>
      </c>
      <c r="V42" cm="1">
        <f t="array" ref="V42">_xlfn.ANCHORARRAY(K42)+0.15</f>
        <v>3.65</v>
      </c>
      <c r="W42">
        <f>TBL_TEV[[#This Row],[Etica Rendita Bilanciata]]</f>
        <v>1.351397</v>
      </c>
      <c r="X42">
        <f>TBL_TEV[[#This Row],[Etica Obbligazionario Breve Termine]]</f>
        <v>0.201765</v>
      </c>
      <c r="Y42">
        <f>TBL_TEV[[#This Row],[Etica Obbligazionario Misto]]</f>
        <v>0.77737500000000004</v>
      </c>
      <c r="Z42">
        <f>TBL_TEV[[#This Row],[Etica Bilanciato]]</f>
        <v>2.046065</v>
      </c>
      <c r="AA42">
        <f>TBL_TEV[[#This Row],[Etica Azionario]]</f>
        <v>2.8690000000000002</v>
      </c>
      <c r="AB42">
        <f>TBL_TEV[[#This Row],[Etica Transizione Climatica]]</f>
        <v>1.8765259999999999</v>
      </c>
      <c r="AC42">
        <f>TBL_TEV[[#This Row],[Etica Obiettivo Sociale]]</f>
        <v>6.340451748621339</v>
      </c>
      <c r="AD42">
        <f>TBL_TEV[[#This Row],[Etica Conservative Allocation]]</f>
        <v>0.66149100000000005</v>
      </c>
      <c r="AE42">
        <f>TBL_TEV[[#This Row],[Etica Dynamic Allocation]]</f>
        <v>2.0270160000000002</v>
      </c>
      <c r="AF42">
        <f>TBL_TEV[[#This Row],[Etica Global Equity]]</f>
        <v>2.8880490000000001</v>
      </c>
      <c r="AL42">
        <f ca="1"/>
        <v>1.5288740000000001</v>
      </c>
      <c r="AM42">
        <f ca="1"/>
        <v>0.201765</v>
      </c>
      <c r="AN42">
        <f ca="1"/>
        <v>0.79197899999999999</v>
      </c>
      <c r="AO42">
        <f ca="1"/>
        <v>2.0905140000000002</v>
      </c>
      <c r="AP42">
        <f ca="1"/>
        <v>2.8601100000000002</v>
      </c>
      <c r="AQ42">
        <f ca="1"/>
        <v>1.934626</v>
      </c>
      <c r="AR42">
        <f ca="1"/>
        <v>6.5861658665334168</v>
      </c>
      <c r="AS42">
        <f ca="1"/>
        <v>0.66307799999999995</v>
      </c>
      <c r="AT42">
        <f ca="1"/>
        <v>2.027968</v>
      </c>
      <c r="AU42">
        <f ca="1"/>
        <v>2.885192</v>
      </c>
    </row>
    <row r="43" spans="1:47">
      <c r="A43" s="43">
        <f>TBL_TEV[[#This Row],[Data2]]</f>
        <v>45350</v>
      </c>
      <c r="B43" cm="1">
        <f t="array" ref="B43">_xlfn.XLOOKUP(_xlfn.ANCHORARRAY(A43), TBL_Limiti_CDA[Data], TBL_Limiti_CDA[Etica Rendita Bilanciata], , -1)</f>
        <v>1.75</v>
      </c>
      <c r="C43" cm="1">
        <f t="array" ref="C43">_xlfn.XLOOKUP(_xlfn.ANCHORARRAY(A43), TBL_Limiti_CDA[Data], TBL_Limiti_CDA[Etica Obbligazionario Breve Termine], , -1)</f>
        <v>0.5</v>
      </c>
      <c r="D43" cm="1">
        <f t="array" ref="D43">_xlfn.XLOOKUP(_xlfn.ANCHORARRAY(A43), TBL_Limiti_CDA[Data], TBL_Limiti_CDA[Etica Obbligazionario Misto], , -1)</f>
        <v>1</v>
      </c>
      <c r="E43" cm="1">
        <f t="array" ref="E43">_xlfn.XLOOKUP(_xlfn.ANCHORARRAY(A43), TBL_Limiti_CDA[Data], TBL_Limiti_CDA[Etica Bilanciato], , -1)</f>
        <v>3</v>
      </c>
      <c r="F43" cm="1">
        <f t="array" ref="F43">_xlfn.XLOOKUP(_xlfn.ANCHORARRAY(A43), TBL_Limiti_CDA[Data], TBL_Limiti_CDA[Etica Azionario], , -1)</f>
        <v>3.5</v>
      </c>
      <c r="G43" cm="1">
        <f t="array" ref="G43">_xlfn.XLOOKUP(_xlfn.ANCHORARRAY(A43), TBL_Limiti_CDA[Data], TBL_Limiti_CDA[Etica Transizione Climatica], , -1)</f>
        <v>2.75</v>
      </c>
      <c r="H43" cm="1">
        <f t="array" ref="H43">_xlfn.XLOOKUP(_xlfn.ANCHORARRAY(A43), TBL_Limiti_CDA[Data], TBL_Limiti_CDA[Etica Obiettivo Sociale], , -1)</f>
        <v>7.49</v>
      </c>
      <c r="I43" cm="1">
        <f t="array" ref="I43">_xlfn.XLOOKUP(_xlfn.ANCHORARRAY(A43), TBL_Limiti_CDA[Data], TBL_Limiti_CDA[Etica Conservative Allocation], , -1)</f>
        <v>1</v>
      </c>
      <c r="J43" cm="1">
        <f t="array" ref="J43">_xlfn.XLOOKUP(_xlfn.ANCHORARRAY(A43), TBL_Limiti_CDA[Data], TBL_Limiti_CDA[Etica Dynamic Allocation], , -1)</f>
        <v>3</v>
      </c>
      <c r="K43" cm="1">
        <f t="array" ref="K43">_xlfn.XLOOKUP(_xlfn.ANCHORARRAY(A43), TBL_Limiti_CDA[Data], TBL_Limiti_CDA[Etica Global Equity], , -1)</f>
        <v>3.5</v>
      </c>
      <c r="L43" cm="1">
        <f t="array" ref="L43">_xlfn.ANCHORARRAY(B43)+0.15</f>
        <v>1.9</v>
      </c>
      <c r="M43" cm="1">
        <f t="array" ref="M43">_xlfn.ANCHORARRAY(C43)+0.1</f>
        <v>0.6</v>
      </c>
      <c r="N43" cm="1">
        <f t="array" ref="N43">_xlfn.ANCHORARRAY(D43)+0.15</f>
        <v>1.1499999999999999</v>
      </c>
      <c r="O43" cm="1">
        <f t="array" ref="O43">_xlfn.ANCHORARRAY(E43)+0.15</f>
        <v>3.15</v>
      </c>
      <c r="P43" cm="1">
        <f t="array" ref="P43">_xlfn.ANCHORARRAY(F43)+0.15</f>
        <v>3.65</v>
      </c>
      <c r="Q43" cm="1">
        <f t="array" ref="Q43">_xlfn.ANCHORARRAY(G43)+0.15</f>
        <v>2.9</v>
      </c>
      <c r="R43" cm="1">
        <f t="array" ref="R43">_xlfn.ANCHORARRAY(H43)</f>
        <v>7.49</v>
      </c>
      <c r="S43" cm="1">
        <f t="array" ref="S43">_xlfn.ANCHORARRAY(R43)+0.15</f>
        <v>7.6400000000000006</v>
      </c>
      <c r="T43" cm="1">
        <f t="array" ref="T43">_xlfn.ANCHORARRAY(I43)+0.15</f>
        <v>1.1499999999999999</v>
      </c>
      <c r="U43" cm="1">
        <f t="array" ref="U43">_xlfn.ANCHORARRAY(J43)+0.15</f>
        <v>3.15</v>
      </c>
      <c r="V43" cm="1">
        <f t="array" ref="V43">_xlfn.ANCHORARRAY(K43)+0.15</f>
        <v>3.65</v>
      </c>
      <c r="W43">
        <f>TBL_TEV[[#This Row],[Etica Rendita Bilanciata]]</f>
        <v>1.5288740000000001</v>
      </c>
      <c r="X43">
        <f>TBL_TEV[[#This Row],[Etica Obbligazionario Breve Termine]]</f>
        <v>0.201765</v>
      </c>
      <c r="Y43">
        <f>TBL_TEV[[#This Row],[Etica Obbligazionario Misto]]</f>
        <v>0.79197899999999999</v>
      </c>
      <c r="Z43">
        <f>TBL_TEV[[#This Row],[Etica Bilanciato]]</f>
        <v>2.0905140000000002</v>
      </c>
      <c r="AA43">
        <f>TBL_TEV[[#This Row],[Etica Azionario]]</f>
        <v>2.8601100000000002</v>
      </c>
      <c r="AB43">
        <f>TBL_TEV[[#This Row],[Etica Transizione Climatica]]</f>
        <v>1.934626</v>
      </c>
      <c r="AC43">
        <f>TBL_TEV[[#This Row],[Etica Obiettivo Sociale]]</f>
        <v>6.5861658665334168</v>
      </c>
      <c r="AD43">
        <f>TBL_TEV[[#This Row],[Etica Conservative Allocation]]</f>
        <v>0.66307799999999995</v>
      </c>
      <c r="AE43">
        <f>TBL_TEV[[#This Row],[Etica Dynamic Allocation]]</f>
        <v>2.027968</v>
      </c>
      <c r="AF43">
        <f>TBL_TEV[[#This Row],[Etica Global Equity]]</f>
        <v>2.885192</v>
      </c>
      <c r="AL43">
        <f ca="1"/>
        <v>1.503633</v>
      </c>
      <c r="AM43">
        <f ca="1"/>
        <v>0.173985</v>
      </c>
      <c r="AN43">
        <f ca="1"/>
        <v>0.76435799999999998</v>
      </c>
      <c r="AO43">
        <f ca="1"/>
        <v>2.0811480000000002</v>
      </c>
      <c r="AP43">
        <f ca="1"/>
        <v>2.8651900000000001</v>
      </c>
      <c r="AQ43">
        <f ca="1"/>
        <v>1.9176409999999999</v>
      </c>
      <c r="AR43">
        <f ca="1"/>
        <v>6.5689429463550955</v>
      </c>
      <c r="AS43">
        <f ca="1"/>
        <v>0.64545699999999995</v>
      </c>
      <c r="AT43">
        <f ca="1"/>
        <v>1.9841549999999999</v>
      </c>
      <c r="AU43">
        <f ca="1"/>
        <v>2.8061370000000001</v>
      </c>
    </row>
    <row r="44" spans="1:47">
      <c r="A44" s="43">
        <f>TBL_TEV[[#This Row],[Data2]]</f>
        <v>45351</v>
      </c>
      <c r="B44" cm="1">
        <f t="array" ref="B44">_xlfn.XLOOKUP(_xlfn.ANCHORARRAY(A44), TBL_Limiti_CDA[Data], TBL_Limiti_CDA[Etica Rendita Bilanciata], , -1)</f>
        <v>1.75</v>
      </c>
      <c r="C44" cm="1">
        <f t="array" ref="C44">_xlfn.XLOOKUP(_xlfn.ANCHORARRAY(A44), TBL_Limiti_CDA[Data], TBL_Limiti_CDA[Etica Obbligazionario Breve Termine], , -1)</f>
        <v>0.5</v>
      </c>
      <c r="D44" cm="1">
        <f t="array" ref="D44">_xlfn.XLOOKUP(_xlfn.ANCHORARRAY(A44), TBL_Limiti_CDA[Data], TBL_Limiti_CDA[Etica Obbligazionario Misto], , -1)</f>
        <v>1</v>
      </c>
      <c r="E44" cm="1">
        <f t="array" ref="E44">_xlfn.XLOOKUP(_xlfn.ANCHORARRAY(A44), TBL_Limiti_CDA[Data], TBL_Limiti_CDA[Etica Bilanciato], , -1)</f>
        <v>3</v>
      </c>
      <c r="F44" cm="1">
        <f t="array" ref="F44">_xlfn.XLOOKUP(_xlfn.ANCHORARRAY(A44), TBL_Limiti_CDA[Data], TBL_Limiti_CDA[Etica Azionario], , -1)</f>
        <v>3.5</v>
      </c>
      <c r="G44" cm="1">
        <f t="array" ref="G44">_xlfn.XLOOKUP(_xlfn.ANCHORARRAY(A44), TBL_Limiti_CDA[Data], TBL_Limiti_CDA[Etica Transizione Climatica], , -1)</f>
        <v>2.75</v>
      </c>
      <c r="H44" cm="1">
        <f t="array" ref="H44">_xlfn.XLOOKUP(_xlfn.ANCHORARRAY(A44), TBL_Limiti_CDA[Data], TBL_Limiti_CDA[Etica Obiettivo Sociale], , -1)</f>
        <v>7.49</v>
      </c>
      <c r="I44" cm="1">
        <f t="array" ref="I44">_xlfn.XLOOKUP(_xlfn.ANCHORARRAY(A44), TBL_Limiti_CDA[Data], TBL_Limiti_CDA[Etica Conservative Allocation], , -1)</f>
        <v>1</v>
      </c>
      <c r="J44" cm="1">
        <f t="array" ref="J44">_xlfn.XLOOKUP(_xlfn.ANCHORARRAY(A44), TBL_Limiti_CDA[Data], TBL_Limiti_CDA[Etica Dynamic Allocation], , -1)</f>
        <v>3</v>
      </c>
      <c r="K44" cm="1">
        <f t="array" ref="K44">_xlfn.XLOOKUP(_xlfn.ANCHORARRAY(A44), TBL_Limiti_CDA[Data], TBL_Limiti_CDA[Etica Global Equity], , -1)</f>
        <v>3.5</v>
      </c>
      <c r="L44" cm="1">
        <f t="array" ref="L44">_xlfn.ANCHORARRAY(B44)+0.15</f>
        <v>1.9</v>
      </c>
      <c r="M44" cm="1">
        <f t="array" ref="M44">_xlfn.ANCHORARRAY(C44)+0.1</f>
        <v>0.6</v>
      </c>
      <c r="N44" cm="1">
        <f t="array" ref="N44">_xlfn.ANCHORARRAY(D44)+0.15</f>
        <v>1.1499999999999999</v>
      </c>
      <c r="O44" cm="1">
        <f t="array" ref="O44">_xlfn.ANCHORARRAY(E44)+0.15</f>
        <v>3.15</v>
      </c>
      <c r="P44" cm="1">
        <f t="array" ref="P44">_xlfn.ANCHORARRAY(F44)+0.15</f>
        <v>3.65</v>
      </c>
      <c r="Q44" cm="1">
        <f t="array" ref="Q44">_xlfn.ANCHORARRAY(G44)+0.15</f>
        <v>2.9</v>
      </c>
      <c r="R44" cm="1">
        <f t="array" ref="R44">_xlfn.ANCHORARRAY(H44)</f>
        <v>7.49</v>
      </c>
      <c r="S44" cm="1">
        <f t="array" ref="S44">_xlfn.ANCHORARRAY(R44)+0.15</f>
        <v>7.6400000000000006</v>
      </c>
      <c r="T44" cm="1">
        <f t="array" ref="T44">_xlfn.ANCHORARRAY(I44)+0.15</f>
        <v>1.1499999999999999</v>
      </c>
      <c r="U44" cm="1">
        <f t="array" ref="U44">_xlfn.ANCHORARRAY(J44)+0.15</f>
        <v>3.15</v>
      </c>
      <c r="V44" cm="1">
        <f t="array" ref="V44">_xlfn.ANCHORARRAY(K44)+0.15</f>
        <v>3.65</v>
      </c>
      <c r="W44">
        <f>TBL_TEV[[#This Row],[Etica Rendita Bilanciata]]</f>
        <v>1.503633</v>
      </c>
      <c r="X44">
        <f>TBL_TEV[[#This Row],[Etica Obbligazionario Breve Termine]]</f>
        <v>0.173985</v>
      </c>
      <c r="Y44">
        <f>TBL_TEV[[#This Row],[Etica Obbligazionario Misto]]</f>
        <v>0.76435799999999998</v>
      </c>
      <c r="Z44">
        <f>TBL_TEV[[#This Row],[Etica Bilanciato]]</f>
        <v>2.0811480000000002</v>
      </c>
      <c r="AA44">
        <f>TBL_TEV[[#This Row],[Etica Azionario]]</f>
        <v>2.8651900000000001</v>
      </c>
      <c r="AB44">
        <f>TBL_TEV[[#This Row],[Etica Transizione Climatica]]</f>
        <v>1.9176409999999999</v>
      </c>
      <c r="AC44">
        <f>TBL_TEV[[#This Row],[Etica Obiettivo Sociale]]</f>
        <v>6.5689429463550955</v>
      </c>
      <c r="AD44">
        <f>TBL_TEV[[#This Row],[Etica Conservative Allocation]]</f>
        <v>0.64545699999999995</v>
      </c>
      <c r="AE44">
        <f>TBL_TEV[[#This Row],[Etica Dynamic Allocation]]</f>
        <v>1.9841549999999999</v>
      </c>
      <c r="AF44">
        <f>TBL_TEV[[#This Row],[Etica Global Equity]]</f>
        <v>2.8061370000000001</v>
      </c>
      <c r="AL44">
        <f ca="1"/>
        <v>1.5050619999999999</v>
      </c>
      <c r="AM44">
        <f ca="1"/>
        <v>0.18684300000000001</v>
      </c>
      <c r="AN44">
        <f ca="1"/>
        <v>0.75435700000000006</v>
      </c>
      <c r="AO44">
        <f ca="1"/>
        <v>2.0968640000000001</v>
      </c>
      <c r="AP44">
        <f ca="1"/>
        <v>2.8918590000000002</v>
      </c>
      <c r="AQ44">
        <f ca="1"/>
        <v>1.927165</v>
      </c>
      <c r="AR44">
        <f ca="1"/>
        <v>6.5694487201945968</v>
      </c>
      <c r="AS44">
        <f ca="1"/>
        <v>0.61402599999999996</v>
      </c>
      <c r="AT44">
        <f ca="1"/>
        <v>1.9446270000000001</v>
      </c>
      <c r="AU44">
        <f ca="1"/>
        <v>2.7710539999999999</v>
      </c>
    </row>
    <row r="45" spans="1:47">
      <c r="A45" s="43">
        <f>TBL_TEV[[#This Row],[Data2]]</f>
        <v>45352</v>
      </c>
      <c r="B45" cm="1">
        <f t="array" ref="B45">_xlfn.XLOOKUP(_xlfn.ANCHORARRAY(A45), TBL_Limiti_CDA[Data], TBL_Limiti_CDA[Etica Rendita Bilanciata], , -1)</f>
        <v>1.75</v>
      </c>
      <c r="C45" cm="1">
        <f t="array" ref="C45">_xlfn.XLOOKUP(_xlfn.ANCHORARRAY(A45), TBL_Limiti_CDA[Data], TBL_Limiti_CDA[Etica Obbligazionario Breve Termine], , -1)</f>
        <v>0.5</v>
      </c>
      <c r="D45" cm="1">
        <f t="array" ref="D45">_xlfn.XLOOKUP(_xlfn.ANCHORARRAY(A45), TBL_Limiti_CDA[Data], TBL_Limiti_CDA[Etica Obbligazionario Misto], , -1)</f>
        <v>1</v>
      </c>
      <c r="E45" cm="1">
        <f t="array" ref="E45">_xlfn.XLOOKUP(_xlfn.ANCHORARRAY(A45), TBL_Limiti_CDA[Data], TBL_Limiti_CDA[Etica Bilanciato], , -1)</f>
        <v>3</v>
      </c>
      <c r="F45" cm="1">
        <f t="array" ref="F45">_xlfn.XLOOKUP(_xlfn.ANCHORARRAY(A45), TBL_Limiti_CDA[Data], TBL_Limiti_CDA[Etica Azionario], , -1)</f>
        <v>3.5</v>
      </c>
      <c r="G45" cm="1">
        <f t="array" ref="G45">_xlfn.XLOOKUP(_xlfn.ANCHORARRAY(A45), TBL_Limiti_CDA[Data], TBL_Limiti_CDA[Etica Transizione Climatica], , -1)</f>
        <v>2.75</v>
      </c>
      <c r="H45" cm="1">
        <f t="array" ref="H45">_xlfn.XLOOKUP(_xlfn.ANCHORARRAY(A45), TBL_Limiti_CDA[Data], TBL_Limiti_CDA[Etica Obiettivo Sociale], , -1)</f>
        <v>7.49</v>
      </c>
      <c r="I45" cm="1">
        <f t="array" ref="I45">_xlfn.XLOOKUP(_xlfn.ANCHORARRAY(A45), TBL_Limiti_CDA[Data], TBL_Limiti_CDA[Etica Conservative Allocation], , -1)</f>
        <v>1</v>
      </c>
      <c r="J45" cm="1">
        <f t="array" ref="J45">_xlfn.XLOOKUP(_xlfn.ANCHORARRAY(A45), TBL_Limiti_CDA[Data], TBL_Limiti_CDA[Etica Dynamic Allocation], , -1)</f>
        <v>3</v>
      </c>
      <c r="K45" cm="1">
        <f t="array" ref="K45">_xlfn.XLOOKUP(_xlfn.ANCHORARRAY(A45), TBL_Limiti_CDA[Data], TBL_Limiti_CDA[Etica Global Equity], , -1)</f>
        <v>3.5</v>
      </c>
      <c r="L45" cm="1">
        <f t="array" ref="L45">_xlfn.ANCHORARRAY(B45)+0.15</f>
        <v>1.9</v>
      </c>
      <c r="M45" cm="1">
        <f t="array" ref="M45">_xlfn.ANCHORARRAY(C45)+0.1</f>
        <v>0.6</v>
      </c>
      <c r="N45" cm="1">
        <f t="array" ref="N45">_xlfn.ANCHORARRAY(D45)+0.15</f>
        <v>1.1499999999999999</v>
      </c>
      <c r="O45" cm="1">
        <f t="array" ref="O45">_xlfn.ANCHORARRAY(E45)+0.15</f>
        <v>3.15</v>
      </c>
      <c r="P45" cm="1">
        <f t="array" ref="P45">_xlfn.ANCHORARRAY(F45)+0.15</f>
        <v>3.65</v>
      </c>
      <c r="Q45" cm="1">
        <f t="array" ref="Q45">_xlfn.ANCHORARRAY(G45)+0.15</f>
        <v>2.9</v>
      </c>
      <c r="R45" cm="1">
        <f t="array" ref="R45">_xlfn.ANCHORARRAY(H45)</f>
        <v>7.49</v>
      </c>
      <c r="S45" cm="1">
        <f t="array" ref="S45">_xlfn.ANCHORARRAY(R45)+0.15</f>
        <v>7.6400000000000006</v>
      </c>
      <c r="T45" cm="1">
        <f t="array" ref="T45">_xlfn.ANCHORARRAY(I45)+0.15</f>
        <v>1.1499999999999999</v>
      </c>
      <c r="U45" cm="1">
        <f t="array" ref="U45">_xlfn.ANCHORARRAY(J45)+0.15</f>
        <v>3.15</v>
      </c>
      <c r="V45" cm="1">
        <f t="array" ref="V45">_xlfn.ANCHORARRAY(K45)+0.15</f>
        <v>3.65</v>
      </c>
      <c r="W45">
        <f>TBL_TEV[[#This Row],[Etica Rendita Bilanciata]]</f>
        <v>1.5050619999999999</v>
      </c>
      <c r="X45">
        <f>TBL_TEV[[#This Row],[Etica Obbligazionario Breve Termine]]</f>
        <v>0.18684300000000001</v>
      </c>
      <c r="Y45">
        <f>TBL_TEV[[#This Row],[Etica Obbligazionario Misto]]</f>
        <v>0.75435700000000006</v>
      </c>
      <c r="Z45">
        <f>TBL_TEV[[#This Row],[Etica Bilanciato]]</f>
        <v>2.0968640000000001</v>
      </c>
      <c r="AA45">
        <f>TBL_TEV[[#This Row],[Etica Azionario]]</f>
        <v>2.8918590000000002</v>
      </c>
      <c r="AB45">
        <f>TBL_TEV[[#This Row],[Etica Transizione Climatica]]</f>
        <v>1.927165</v>
      </c>
      <c r="AC45">
        <f>TBL_TEV[[#This Row],[Etica Obiettivo Sociale]]</f>
        <v>6.5694487201945968</v>
      </c>
      <c r="AD45">
        <f>TBL_TEV[[#This Row],[Etica Conservative Allocation]]</f>
        <v>0.61402599999999996</v>
      </c>
      <c r="AE45">
        <f>TBL_TEV[[#This Row],[Etica Dynamic Allocation]]</f>
        <v>1.9446270000000001</v>
      </c>
      <c r="AF45">
        <f>TBL_TEV[[#This Row],[Etica Global Equity]]</f>
        <v>2.7710539999999999</v>
      </c>
      <c r="AL45">
        <f ca="1"/>
        <v>1.5049030000000001</v>
      </c>
      <c r="AM45">
        <f ca="1"/>
        <v>0.18684300000000001</v>
      </c>
      <c r="AN45">
        <f ca="1"/>
        <v>0.75927800000000001</v>
      </c>
      <c r="AO45">
        <f ca="1"/>
        <v>2.0895609999999998</v>
      </c>
      <c r="AP45">
        <f ca="1"/>
        <v>2.8783660000000002</v>
      </c>
      <c r="AQ45">
        <f ca="1"/>
        <v>1.9198630000000001</v>
      </c>
      <c r="AR45">
        <f ca="1"/>
        <v>6.5621155140455212</v>
      </c>
      <c r="AS45">
        <f ca="1"/>
        <v>0.60973999999999995</v>
      </c>
      <c r="AT45">
        <f ca="1"/>
        <v>1.9303399999999999</v>
      </c>
      <c r="AU45">
        <f ca="1"/>
        <v>2.7413690000000002</v>
      </c>
    </row>
    <row r="46" spans="1:47">
      <c r="A46" s="43">
        <f>TBL_TEV[[#This Row],[Data2]]</f>
        <v>45355</v>
      </c>
      <c r="B46" cm="1">
        <f t="array" ref="B46">_xlfn.XLOOKUP(_xlfn.ANCHORARRAY(A46), TBL_Limiti_CDA[Data], TBL_Limiti_CDA[Etica Rendita Bilanciata], , -1)</f>
        <v>1.75</v>
      </c>
      <c r="C46" cm="1">
        <f t="array" ref="C46">_xlfn.XLOOKUP(_xlfn.ANCHORARRAY(A46), TBL_Limiti_CDA[Data], TBL_Limiti_CDA[Etica Obbligazionario Breve Termine], , -1)</f>
        <v>0.5</v>
      </c>
      <c r="D46" cm="1">
        <f t="array" ref="D46">_xlfn.XLOOKUP(_xlfn.ANCHORARRAY(A46), TBL_Limiti_CDA[Data], TBL_Limiti_CDA[Etica Obbligazionario Misto], , -1)</f>
        <v>1</v>
      </c>
      <c r="E46" cm="1">
        <f t="array" ref="E46">_xlfn.XLOOKUP(_xlfn.ANCHORARRAY(A46), TBL_Limiti_CDA[Data], TBL_Limiti_CDA[Etica Bilanciato], , -1)</f>
        <v>3</v>
      </c>
      <c r="F46" cm="1">
        <f t="array" ref="F46">_xlfn.XLOOKUP(_xlfn.ANCHORARRAY(A46), TBL_Limiti_CDA[Data], TBL_Limiti_CDA[Etica Azionario], , -1)</f>
        <v>3.5</v>
      </c>
      <c r="G46" cm="1">
        <f t="array" ref="G46">_xlfn.XLOOKUP(_xlfn.ANCHORARRAY(A46), TBL_Limiti_CDA[Data], TBL_Limiti_CDA[Etica Transizione Climatica], , -1)</f>
        <v>2.75</v>
      </c>
      <c r="H46" cm="1">
        <f t="array" ref="H46">_xlfn.XLOOKUP(_xlfn.ANCHORARRAY(A46), TBL_Limiti_CDA[Data], TBL_Limiti_CDA[Etica Obiettivo Sociale], , -1)</f>
        <v>7.49</v>
      </c>
      <c r="I46" cm="1">
        <f t="array" ref="I46">_xlfn.XLOOKUP(_xlfn.ANCHORARRAY(A46), TBL_Limiti_CDA[Data], TBL_Limiti_CDA[Etica Conservative Allocation], , -1)</f>
        <v>1</v>
      </c>
      <c r="J46" cm="1">
        <f t="array" ref="J46">_xlfn.XLOOKUP(_xlfn.ANCHORARRAY(A46), TBL_Limiti_CDA[Data], TBL_Limiti_CDA[Etica Dynamic Allocation], , -1)</f>
        <v>3</v>
      </c>
      <c r="K46" cm="1">
        <f t="array" ref="K46">_xlfn.XLOOKUP(_xlfn.ANCHORARRAY(A46), TBL_Limiti_CDA[Data], TBL_Limiti_CDA[Etica Global Equity], , -1)</f>
        <v>3.5</v>
      </c>
      <c r="L46" cm="1">
        <f t="array" ref="L46">_xlfn.ANCHORARRAY(B46)+0.15</f>
        <v>1.9</v>
      </c>
      <c r="M46" cm="1">
        <f t="array" ref="M46">_xlfn.ANCHORARRAY(C46)+0.1</f>
        <v>0.6</v>
      </c>
      <c r="N46" cm="1">
        <f t="array" ref="N46">_xlfn.ANCHORARRAY(D46)+0.15</f>
        <v>1.1499999999999999</v>
      </c>
      <c r="O46" cm="1">
        <f t="array" ref="O46">_xlfn.ANCHORARRAY(E46)+0.15</f>
        <v>3.15</v>
      </c>
      <c r="P46" cm="1">
        <f t="array" ref="P46">_xlfn.ANCHORARRAY(F46)+0.15</f>
        <v>3.65</v>
      </c>
      <c r="Q46" cm="1">
        <f t="array" ref="Q46">_xlfn.ANCHORARRAY(G46)+0.15</f>
        <v>2.9</v>
      </c>
      <c r="R46" cm="1">
        <f t="array" ref="R46">_xlfn.ANCHORARRAY(H46)</f>
        <v>7.49</v>
      </c>
      <c r="S46" cm="1">
        <f t="array" ref="S46">_xlfn.ANCHORARRAY(R46)+0.15</f>
        <v>7.6400000000000006</v>
      </c>
      <c r="T46" cm="1">
        <f t="array" ref="T46">_xlfn.ANCHORARRAY(I46)+0.15</f>
        <v>1.1499999999999999</v>
      </c>
      <c r="U46" cm="1">
        <f t="array" ref="U46">_xlfn.ANCHORARRAY(J46)+0.15</f>
        <v>3.15</v>
      </c>
      <c r="V46" cm="1">
        <f t="array" ref="V46">_xlfn.ANCHORARRAY(K46)+0.15</f>
        <v>3.65</v>
      </c>
      <c r="W46">
        <f>TBL_TEV[[#This Row],[Etica Rendita Bilanciata]]</f>
        <v>1.5049030000000001</v>
      </c>
      <c r="X46">
        <f>TBL_TEV[[#This Row],[Etica Obbligazionario Breve Termine]]</f>
        <v>0.18684300000000001</v>
      </c>
      <c r="Y46">
        <f>TBL_TEV[[#This Row],[Etica Obbligazionario Misto]]</f>
        <v>0.75927800000000001</v>
      </c>
      <c r="Z46">
        <f>TBL_TEV[[#This Row],[Etica Bilanciato]]</f>
        <v>2.0895609999999998</v>
      </c>
      <c r="AA46">
        <f>TBL_TEV[[#This Row],[Etica Azionario]]</f>
        <v>2.8783660000000002</v>
      </c>
      <c r="AB46">
        <f>TBL_TEV[[#This Row],[Etica Transizione Climatica]]</f>
        <v>1.9198630000000001</v>
      </c>
      <c r="AC46">
        <f>TBL_TEV[[#This Row],[Etica Obiettivo Sociale]]</f>
        <v>6.5621155140455212</v>
      </c>
      <c r="AD46">
        <f>TBL_TEV[[#This Row],[Etica Conservative Allocation]]</f>
        <v>0.60973999999999995</v>
      </c>
      <c r="AE46">
        <f>TBL_TEV[[#This Row],[Etica Dynamic Allocation]]</f>
        <v>1.9303399999999999</v>
      </c>
      <c r="AF46">
        <f>TBL_TEV[[#This Row],[Etica Global Equity]]</f>
        <v>2.7413690000000002</v>
      </c>
      <c r="AL46">
        <f ca="1"/>
        <v>1.496014</v>
      </c>
      <c r="AM46">
        <f ca="1"/>
        <v>0.18890699999999999</v>
      </c>
      <c r="AN46">
        <f ca="1"/>
        <v>0.75880099999999995</v>
      </c>
      <c r="AO46">
        <f ca="1"/>
        <v>2.0724170000000002</v>
      </c>
      <c r="AP46">
        <f ca="1"/>
        <v>2.857888</v>
      </c>
      <c r="AQ46">
        <f ca="1"/>
        <v>1.9198630000000001</v>
      </c>
      <c r="AR46">
        <f ca="1"/>
        <v>6.5273923357384342</v>
      </c>
      <c r="AS46">
        <f ca="1"/>
        <v>0.60672400000000004</v>
      </c>
      <c r="AT46">
        <f ca="1"/>
        <v>1.9354199999999999</v>
      </c>
      <c r="AU46">
        <f ca="1"/>
        <v>2.7470840000000001</v>
      </c>
    </row>
    <row r="47" spans="1:47">
      <c r="A47" s="43">
        <f>TBL_TEV[[#This Row],[Data2]]</f>
        <v>45356</v>
      </c>
      <c r="B47" cm="1">
        <f t="array" ref="B47">_xlfn.XLOOKUP(_xlfn.ANCHORARRAY(A47), TBL_Limiti_CDA[Data], TBL_Limiti_CDA[Etica Rendita Bilanciata], , -1)</f>
        <v>1.75</v>
      </c>
      <c r="C47" cm="1">
        <f t="array" ref="C47">_xlfn.XLOOKUP(_xlfn.ANCHORARRAY(A47), TBL_Limiti_CDA[Data], TBL_Limiti_CDA[Etica Obbligazionario Breve Termine], , -1)</f>
        <v>0.5</v>
      </c>
      <c r="D47" cm="1">
        <f t="array" ref="D47">_xlfn.XLOOKUP(_xlfn.ANCHORARRAY(A47), TBL_Limiti_CDA[Data], TBL_Limiti_CDA[Etica Obbligazionario Misto], , -1)</f>
        <v>1</v>
      </c>
      <c r="E47" cm="1">
        <f t="array" ref="E47">_xlfn.XLOOKUP(_xlfn.ANCHORARRAY(A47), TBL_Limiti_CDA[Data], TBL_Limiti_CDA[Etica Bilanciato], , -1)</f>
        <v>3</v>
      </c>
      <c r="F47" cm="1">
        <f t="array" ref="F47">_xlfn.XLOOKUP(_xlfn.ANCHORARRAY(A47), TBL_Limiti_CDA[Data], TBL_Limiti_CDA[Etica Azionario], , -1)</f>
        <v>3.5</v>
      </c>
      <c r="G47" cm="1">
        <f t="array" ref="G47">_xlfn.XLOOKUP(_xlfn.ANCHORARRAY(A47), TBL_Limiti_CDA[Data], TBL_Limiti_CDA[Etica Transizione Climatica], , -1)</f>
        <v>2.75</v>
      </c>
      <c r="H47" cm="1">
        <f t="array" ref="H47">_xlfn.XLOOKUP(_xlfn.ANCHORARRAY(A47), TBL_Limiti_CDA[Data], TBL_Limiti_CDA[Etica Obiettivo Sociale], , -1)</f>
        <v>7.49</v>
      </c>
      <c r="I47" cm="1">
        <f t="array" ref="I47">_xlfn.XLOOKUP(_xlfn.ANCHORARRAY(A47), TBL_Limiti_CDA[Data], TBL_Limiti_CDA[Etica Conservative Allocation], , -1)</f>
        <v>1</v>
      </c>
      <c r="J47" cm="1">
        <f t="array" ref="J47">_xlfn.XLOOKUP(_xlfn.ANCHORARRAY(A47), TBL_Limiti_CDA[Data], TBL_Limiti_CDA[Etica Dynamic Allocation], , -1)</f>
        <v>3</v>
      </c>
      <c r="K47" cm="1">
        <f t="array" ref="K47">_xlfn.XLOOKUP(_xlfn.ANCHORARRAY(A47), TBL_Limiti_CDA[Data], TBL_Limiti_CDA[Etica Global Equity], , -1)</f>
        <v>3.5</v>
      </c>
      <c r="L47" cm="1">
        <f t="array" ref="L47">_xlfn.ANCHORARRAY(B47)+0.15</f>
        <v>1.9</v>
      </c>
      <c r="M47" cm="1">
        <f t="array" ref="M47">_xlfn.ANCHORARRAY(C47)+0.1</f>
        <v>0.6</v>
      </c>
      <c r="N47" cm="1">
        <f t="array" ref="N47">_xlfn.ANCHORARRAY(D47)+0.15</f>
        <v>1.1499999999999999</v>
      </c>
      <c r="O47" cm="1">
        <f t="array" ref="O47">_xlfn.ANCHORARRAY(E47)+0.15</f>
        <v>3.15</v>
      </c>
      <c r="P47" cm="1">
        <f t="array" ref="P47">_xlfn.ANCHORARRAY(F47)+0.15</f>
        <v>3.65</v>
      </c>
      <c r="Q47" cm="1">
        <f t="array" ref="Q47">_xlfn.ANCHORARRAY(G47)+0.15</f>
        <v>2.9</v>
      </c>
      <c r="R47" cm="1">
        <f t="array" ref="R47">_xlfn.ANCHORARRAY(H47)</f>
        <v>7.49</v>
      </c>
      <c r="S47" cm="1">
        <f t="array" ref="S47">_xlfn.ANCHORARRAY(R47)+0.15</f>
        <v>7.6400000000000006</v>
      </c>
      <c r="T47" cm="1">
        <f t="array" ref="T47">_xlfn.ANCHORARRAY(I47)+0.15</f>
        <v>1.1499999999999999</v>
      </c>
      <c r="U47" cm="1">
        <f t="array" ref="U47">_xlfn.ANCHORARRAY(J47)+0.15</f>
        <v>3.15</v>
      </c>
      <c r="V47" cm="1">
        <f t="array" ref="V47">_xlfn.ANCHORARRAY(K47)+0.15</f>
        <v>3.65</v>
      </c>
      <c r="W47">
        <f>TBL_TEV[[#This Row],[Etica Rendita Bilanciata]]</f>
        <v>1.496014</v>
      </c>
      <c r="X47">
        <f>TBL_TEV[[#This Row],[Etica Obbligazionario Breve Termine]]</f>
        <v>0.18890699999999999</v>
      </c>
      <c r="Y47">
        <f>TBL_TEV[[#This Row],[Etica Obbligazionario Misto]]</f>
        <v>0.75880099999999995</v>
      </c>
      <c r="Z47">
        <f>TBL_TEV[[#This Row],[Etica Bilanciato]]</f>
        <v>2.0724170000000002</v>
      </c>
      <c r="AA47">
        <f>TBL_TEV[[#This Row],[Etica Azionario]]</f>
        <v>2.857888</v>
      </c>
      <c r="AB47">
        <f>TBL_TEV[[#This Row],[Etica Transizione Climatica]]</f>
        <v>1.9198630000000001</v>
      </c>
      <c r="AC47">
        <f>TBL_TEV[[#This Row],[Etica Obiettivo Sociale]]</f>
        <v>6.5273923357384342</v>
      </c>
      <c r="AD47">
        <f>TBL_TEV[[#This Row],[Etica Conservative Allocation]]</f>
        <v>0.60672400000000004</v>
      </c>
      <c r="AE47">
        <f>TBL_TEV[[#This Row],[Etica Dynamic Allocation]]</f>
        <v>1.9354199999999999</v>
      </c>
      <c r="AF47">
        <f>TBL_TEV[[#This Row],[Etica Global Equity]]</f>
        <v>2.7470840000000001</v>
      </c>
      <c r="AL47">
        <f ca="1"/>
        <v>1.5009349999999999</v>
      </c>
      <c r="AM47">
        <f ca="1"/>
        <v>0.189224</v>
      </c>
      <c r="AN47">
        <f ca="1"/>
        <v>0.76372300000000004</v>
      </c>
      <c r="AO47">
        <f ca="1"/>
        <v>2.0732110000000001</v>
      </c>
      <c r="AP47">
        <f ca="1"/>
        <v>2.8588399999999998</v>
      </c>
      <c r="AQ47">
        <f ca="1"/>
        <v>1.9219269999999999</v>
      </c>
      <c r="AR47">
        <f ca="1"/>
        <v>6.5426942616508832</v>
      </c>
      <c r="AS47">
        <f ca="1"/>
        <v>0.61116899999999996</v>
      </c>
      <c r="AT47">
        <f ca="1"/>
        <v>1.9547870000000001</v>
      </c>
      <c r="AU47">
        <f ca="1"/>
        <v>2.7685140000000001</v>
      </c>
    </row>
    <row r="48" spans="1:47">
      <c r="A48" s="43">
        <f>TBL_TEV[[#This Row],[Data2]]</f>
        <v>45357</v>
      </c>
      <c r="B48" cm="1">
        <f t="array" ref="B48">_xlfn.XLOOKUP(_xlfn.ANCHORARRAY(A48), TBL_Limiti_CDA[Data], TBL_Limiti_CDA[Etica Rendita Bilanciata], , -1)</f>
        <v>1.75</v>
      </c>
      <c r="C48" cm="1">
        <f t="array" ref="C48">_xlfn.XLOOKUP(_xlfn.ANCHORARRAY(A48), TBL_Limiti_CDA[Data], TBL_Limiti_CDA[Etica Obbligazionario Breve Termine], , -1)</f>
        <v>0.5</v>
      </c>
      <c r="D48" cm="1">
        <f t="array" ref="D48">_xlfn.XLOOKUP(_xlfn.ANCHORARRAY(A48), TBL_Limiti_CDA[Data], TBL_Limiti_CDA[Etica Obbligazionario Misto], , -1)</f>
        <v>1</v>
      </c>
      <c r="E48" cm="1">
        <f t="array" ref="E48">_xlfn.XLOOKUP(_xlfn.ANCHORARRAY(A48), TBL_Limiti_CDA[Data], TBL_Limiti_CDA[Etica Bilanciato], , -1)</f>
        <v>3</v>
      </c>
      <c r="F48" cm="1">
        <f t="array" ref="F48">_xlfn.XLOOKUP(_xlfn.ANCHORARRAY(A48), TBL_Limiti_CDA[Data], TBL_Limiti_CDA[Etica Azionario], , -1)</f>
        <v>3.5</v>
      </c>
      <c r="G48" cm="1">
        <f t="array" ref="G48">_xlfn.XLOOKUP(_xlfn.ANCHORARRAY(A48), TBL_Limiti_CDA[Data], TBL_Limiti_CDA[Etica Transizione Climatica], , -1)</f>
        <v>2.75</v>
      </c>
      <c r="H48" cm="1">
        <f t="array" ref="H48">_xlfn.XLOOKUP(_xlfn.ANCHORARRAY(A48), TBL_Limiti_CDA[Data], TBL_Limiti_CDA[Etica Obiettivo Sociale], , -1)</f>
        <v>7.49</v>
      </c>
      <c r="I48" cm="1">
        <f t="array" ref="I48">_xlfn.XLOOKUP(_xlfn.ANCHORARRAY(A48), TBL_Limiti_CDA[Data], TBL_Limiti_CDA[Etica Conservative Allocation], , -1)</f>
        <v>1</v>
      </c>
      <c r="J48" cm="1">
        <f t="array" ref="J48">_xlfn.XLOOKUP(_xlfn.ANCHORARRAY(A48), TBL_Limiti_CDA[Data], TBL_Limiti_CDA[Etica Dynamic Allocation], , -1)</f>
        <v>3</v>
      </c>
      <c r="K48" cm="1">
        <f t="array" ref="K48">_xlfn.XLOOKUP(_xlfn.ANCHORARRAY(A48), TBL_Limiti_CDA[Data], TBL_Limiti_CDA[Etica Global Equity], , -1)</f>
        <v>3.5</v>
      </c>
      <c r="L48" cm="1">
        <f t="array" ref="L48">_xlfn.ANCHORARRAY(B48)+0.15</f>
        <v>1.9</v>
      </c>
      <c r="M48" cm="1">
        <f t="array" ref="M48">_xlfn.ANCHORARRAY(C48)+0.1</f>
        <v>0.6</v>
      </c>
      <c r="N48" cm="1">
        <f t="array" ref="N48">_xlfn.ANCHORARRAY(D48)+0.15</f>
        <v>1.1499999999999999</v>
      </c>
      <c r="O48" cm="1">
        <f t="array" ref="O48">_xlfn.ANCHORARRAY(E48)+0.15</f>
        <v>3.15</v>
      </c>
      <c r="P48" cm="1">
        <f t="array" ref="P48">_xlfn.ANCHORARRAY(F48)+0.15</f>
        <v>3.65</v>
      </c>
      <c r="Q48" cm="1">
        <f t="array" ref="Q48">_xlfn.ANCHORARRAY(G48)+0.15</f>
        <v>2.9</v>
      </c>
      <c r="R48" cm="1">
        <f t="array" ref="R48">_xlfn.ANCHORARRAY(H48)</f>
        <v>7.49</v>
      </c>
      <c r="S48" cm="1">
        <f t="array" ref="S48">_xlfn.ANCHORARRAY(R48)+0.15</f>
        <v>7.6400000000000006</v>
      </c>
      <c r="T48" cm="1">
        <f t="array" ref="T48">_xlfn.ANCHORARRAY(I48)+0.15</f>
        <v>1.1499999999999999</v>
      </c>
      <c r="U48" cm="1">
        <f t="array" ref="U48">_xlfn.ANCHORARRAY(J48)+0.15</f>
        <v>3.15</v>
      </c>
      <c r="V48" cm="1">
        <f t="array" ref="V48">_xlfn.ANCHORARRAY(K48)+0.15</f>
        <v>3.65</v>
      </c>
      <c r="W48">
        <f>TBL_TEV[[#This Row],[Etica Rendita Bilanciata]]</f>
        <v>1.5009349999999999</v>
      </c>
      <c r="X48">
        <f>TBL_TEV[[#This Row],[Etica Obbligazionario Breve Termine]]</f>
        <v>0.189224</v>
      </c>
      <c r="Y48">
        <f>TBL_TEV[[#This Row],[Etica Obbligazionario Misto]]</f>
        <v>0.76372300000000004</v>
      </c>
      <c r="Z48">
        <f>TBL_TEV[[#This Row],[Etica Bilanciato]]</f>
        <v>2.0732110000000001</v>
      </c>
      <c r="AA48">
        <f>TBL_TEV[[#This Row],[Etica Azionario]]</f>
        <v>2.8588399999999998</v>
      </c>
      <c r="AB48">
        <f>TBL_TEV[[#This Row],[Etica Transizione Climatica]]</f>
        <v>1.9219269999999999</v>
      </c>
      <c r="AC48">
        <f>TBL_TEV[[#This Row],[Etica Obiettivo Sociale]]</f>
        <v>6.5426942616508832</v>
      </c>
      <c r="AD48">
        <f>TBL_TEV[[#This Row],[Etica Conservative Allocation]]</f>
        <v>0.61116899999999996</v>
      </c>
      <c r="AE48">
        <f>TBL_TEV[[#This Row],[Etica Dynamic Allocation]]</f>
        <v>1.9547870000000001</v>
      </c>
      <c r="AF48">
        <f>TBL_TEV[[#This Row],[Etica Global Equity]]</f>
        <v>2.7685140000000001</v>
      </c>
      <c r="AL48">
        <f ca="1"/>
        <v>1.4955369999999999</v>
      </c>
      <c r="AM48">
        <f ca="1"/>
        <v>0.189383</v>
      </c>
      <c r="AN48">
        <f ca="1"/>
        <v>0.84499999999999997</v>
      </c>
      <c r="AO48">
        <f ca="1"/>
        <v>2.0622569999999998</v>
      </c>
      <c r="AP48">
        <f ca="1"/>
        <v>2.8496329999999999</v>
      </c>
      <c r="AQ48">
        <f ca="1"/>
        <v>1.9439919999999999</v>
      </c>
      <c r="AR48">
        <f ca="1"/>
        <v>6.4706801567198884</v>
      </c>
      <c r="AS48">
        <f ca="1"/>
        <v>0.63005900000000004</v>
      </c>
      <c r="AT48">
        <f ca="1"/>
        <v>2.1605210000000001</v>
      </c>
      <c r="AU48">
        <f ca="1"/>
        <v>3.1310880000000001</v>
      </c>
    </row>
    <row r="49" spans="1:47">
      <c r="A49" s="43">
        <f>TBL_TEV[[#This Row],[Data2]]</f>
        <v>45358</v>
      </c>
      <c r="B49" cm="1">
        <f t="array" ref="B49">_xlfn.XLOOKUP(_xlfn.ANCHORARRAY(A49), TBL_Limiti_CDA[Data], TBL_Limiti_CDA[Etica Rendita Bilanciata], , -1)</f>
        <v>1.75</v>
      </c>
      <c r="C49" cm="1">
        <f t="array" ref="C49">_xlfn.XLOOKUP(_xlfn.ANCHORARRAY(A49), TBL_Limiti_CDA[Data], TBL_Limiti_CDA[Etica Obbligazionario Breve Termine], , -1)</f>
        <v>0.5</v>
      </c>
      <c r="D49" cm="1">
        <f t="array" ref="D49">_xlfn.XLOOKUP(_xlfn.ANCHORARRAY(A49), TBL_Limiti_CDA[Data], TBL_Limiti_CDA[Etica Obbligazionario Misto], , -1)</f>
        <v>1</v>
      </c>
      <c r="E49" cm="1">
        <f t="array" ref="E49">_xlfn.XLOOKUP(_xlfn.ANCHORARRAY(A49), TBL_Limiti_CDA[Data], TBL_Limiti_CDA[Etica Bilanciato], , -1)</f>
        <v>3</v>
      </c>
      <c r="F49" cm="1">
        <f t="array" ref="F49">_xlfn.XLOOKUP(_xlfn.ANCHORARRAY(A49), TBL_Limiti_CDA[Data], TBL_Limiti_CDA[Etica Azionario], , -1)</f>
        <v>3.5</v>
      </c>
      <c r="G49" cm="1">
        <f t="array" ref="G49">_xlfn.XLOOKUP(_xlfn.ANCHORARRAY(A49), TBL_Limiti_CDA[Data], TBL_Limiti_CDA[Etica Transizione Climatica], , -1)</f>
        <v>2.75</v>
      </c>
      <c r="H49" cm="1">
        <f t="array" ref="H49">_xlfn.XLOOKUP(_xlfn.ANCHORARRAY(A49), TBL_Limiti_CDA[Data], TBL_Limiti_CDA[Etica Obiettivo Sociale], , -1)</f>
        <v>7.49</v>
      </c>
      <c r="I49" cm="1">
        <f t="array" ref="I49">_xlfn.XLOOKUP(_xlfn.ANCHORARRAY(A49), TBL_Limiti_CDA[Data], TBL_Limiti_CDA[Etica Conservative Allocation], , -1)</f>
        <v>1</v>
      </c>
      <c r="J49" cm="1">
        <f t="array" ref="J49">_xlfn.XLOOKUP(_xlfn.ANCHORARRAY(A49), TBL_Limiti_CDA[Data], TBL_Limiti_CDA[Etica Dynamic Allocation], , -1)</f>
        <v>3</v>
      </c>
      <c r="K49" cm="1">
        <f t="array" ref="K49">_xlfn.XLOOKUP(_xlfn.ANCHORARRAY(A49), TBL_Limiti_CDA[Data], TBL_Limiti_CDA[Etica Global Equity], , -1)</f>
        <v>3.5</v>
      </c>
      <c r="L49" cm="1">
        <f t="array" ref="L49">_xlfn.ANCHORARRAY(B49)+0.15</f>
        <v>1.9</v>
      </c>
      <c r="M49" cm="1">
        <f t="array" ref="M49">_xlfn.ANCHORARRAY(C49)+0.1</f>
        <v>0.6</v>
      </c>
      <c r="N49" cm="1">
        <f t="array" ref="N49">_xlfn.ANCHORARRAY(D49)+0.15</f>
        <v>1.1499999999999999</v>
      </c>
      <c r="O49" cm="1">
        <f t="array" ref="O49">_xlfn.ANCHORARRAY(E49)+0.15</f>
        <v>3.15</v>
      </c>
      <c r="P49" cm="1">
        <f t="array" ref="P49">_xlfn.ANCHORARRAY(F49)+0.15</f>
        <v>3.65</v>
      </c>
      <c r="Q49" cm="1">
        <f t="array" ref="Q49">_xlfn.ANCHORARRAY(G49)+0.15</f>
        <v>2.9</v>
      </c>
      <c r="R49" cm="1">
        <f t="array" ref="R49">_xlfn.ANCHORARRAY(H49)</f>
        <v>7.49</v>
      </c>
      <c r="S49" cm="1">
        <f t="array" ref="S49">_xlfn.ANCHORARRAY(R49)+0.15</f>
        <v>7.6400000000000006</v>
      </c>
      <c r="T49" cm="1">
        <f t="array" ref="T49">_xlfn.ANCHORARRAY(I49)+0.15</f>
        <v>1.1499999999999999</v>
      </c>
      <c r="U49" cm="1">
        <f t="array" ref="U49">_xlfn.ANCHORARRAY(J49)+0.15</f>
        <v>3.15</v>
      </c>
      <c r="V49" cm="1">
        <f t="array" ref="V49">_xlfn.ANCHORARRAY(K49)+0.15</f>
        <v>3.65</v>
      </c>
      <c r="W49">
        <f>TBL_TEV[[#This Row],[Etica Rendita Bilanciata]]</f>
        <v>1.4955369999999999</v>
      </c>
      <c r="X49">
        <f>TBL_TEV[[#This Row],[Etica Obbligazionario Breve Termine]]</f>
        <v>0.189383</v>
      </c>
      <c r="Y49">
        <f>TBL_TEV[[#This Row],[Etica Obbligazionario Misto]]</f>
        <v>0.84499999999999997</v>
      </c>
      <c r="Z49">
        <f>TBL_TEV[[#This Row],[Etica Bilanciato]]</f>
        <v>2.0622569999999998</v>
      </c>
      <c r="AA49">
        <f>TBL_TEV[[#This Row],[Etica Azionario]]</f>
        <v>2.8496329999999999</v>
      </c>
      <c r="AB49">
        <f>TBL_TEV[[#This Row],[Etica Transizione Climatica]]</f>
        <v>1.9439919999999999</v>
      </c>
      <c r="AC49">
        <f>TBL_TEV[[#This Row],[Etica Obiettivo Sociale]]</f>
        <v>6.4706801567198884</v>
      </c>
      <c r="AD49">
        <f>TBL_TEV[[#This Row],[Etica Conservative Allocation]]</f>
        <v>0.63005900000000004</v>
      </c>
      <c r="AE49">
        <f>TBL_TEV[[#This Row],[Etica Dynamic Allocation]]</f>
        <v>2.1605210000000001</v>
      </c>
      <c r="AF49">
        <f>TBL_TEV[[#This Row],[Etica Global Equity]]</f>
        <v>3.1310880000000001</v>
      </c>
      <c r="AL49">
        <f ca="1"/>
        <v>1.4876</v>
      </c>
      <c r="AM49">
        <f ca="1"/>
        <v>0.18906500000000001</v>
      </c>
      <c r="AN49">
        <f ca="1"/>
        <v>0.87246299999999999</v>
      </c>
      <c r="AO49">
        <f ca="1"/>
        <v>2.052098</v>
      </c>
      <c r="AP49">
        <f ca="1"/>
        <v>2.838203</v>
      </c>
      <c r="AQ49">
        <f ca="1"/>
        <v>1.94177</v>
      </c>
      <c r="AR49">
        <f ca="1"/>
        <v>6.4113478612102934</v>
      </c>
      <c r="AS49">
        <f ca="1"/>
        <v>0.63196399999999997</v>
      </c>
      <c r="AT49">
        <f ca="1"/>
        <v>2.175284</v>
      </c>
      <c r="AU49">
        <f ca="1"/>
        <v>3.1441050000000001</v>
      </c>
    </row>
    <row r="50" spans="1:47">
      <c r="A50" s="43">
        <f>TBL_TEV[[#This Row],[Data2]]</f>
        <v>45359</v>
      </c>
      <c r="B50" cm="1">
        <f t="array" ref="B50">_xlfn.XLOOKUP(_xlfn.ANCHORARRAY(A50), TBL_Limiti_CDA[Data], TBL_Limiti_CDA[Etica Rendita Bilanciata], , -1)</f>
        <v>1.75</v>
      </c>
      <c r="C50" cm="1">
        <f t="array" ref="C50">_xlfn.XLOOKUP(_xlfn.ANCHORARRAY(A50), TBL_Limiti_CDA[Data], TBL_Limiti_CDA[Etica Obbligazionario Breve Termine], , -1)</f>
        <v>0.5</v>
      </c>
      <c r="D50" cm="1">
        <f t="array" ref="D50">_xlfn.XLOOKUP(_xlfn.ANCHORARRAY(A50), TBL_Limiti_CDA[Data], TBL_Limiti_CDA[Etica Obbligazionario Misto], , -1)</f>
        <v>1</v>
      </c>
      <c r="E50" cm="1">
        <f t="array" ref="E50">_xlfn.XLOOKUP(_xlfn.ANCHORARRAY(A50), TBL_Limiti_CDA[Data], TBL_Limiti_CDA[Etica Bilanciato], , -1)</f>
        <v>3</v>
      </c>
      <c r="F50" cm="1">
        <f t="array" ref="F50">_xlfn.XLOOKUP(_xlfn.ANCHORARRAY(A50), TBL_Limiti_CDA[Data], TBL_Limiti_CDA[Etica Azionario], , -1)</f>
        <v>3.5</v>
      </c>
      <c r="G50" cm="1">
        <f t="array" ref="G50">_xlfn.XLOOKUP(_xlfn.ANCHORARRAY(A50), TBL_Limiti_CDA[Data], TBL_Limiti_CDA[Etica Transizione Climatica], , -1)</f>
        <v>2.75</v>
      </c>
      <c r="H50" cm="1">
        <f t="array" ref="H50">_xlfn.XLOOKUP(_xlfn.ANCHORARRAY(A50), TBL_Limiti_CDA[Data], TBL_Limiti_CDA[Etica Obiettivo Sociale], , -1)</f>
        <v>7.49</v>
      </c>
      <c r="I50" cm="1">
        <f t="array" ref="I50">_xlfn.XLOOKUP(_xlfn.ANCHORARRAY(A50), TBL_Limiti_CDA[Data], TBL_Limiti_CDA[Etica Conservative Allocation], , -1)</f>
        <v>1</v>
      </c>
      <c r="J50" cm="1">
        <f t="array" ref="J50">_xlfn.XLOOKUP(_xlfn.ANCHORARRAY(A50), TBL_Limiti_CDA[Data], TBL_Limiti_CDA[Etica Dynamic Allocation], , -1)</f>
        <v>3</v>
      </c>
      <c r="K50" cm="1">
        <f t="array" ref="K50">_xlfn.XLOOKUP(_xlfn.ANCHORARRAY(A50), TBL_Limiti_CDA[Data], TBL_Limiti_CDA[Etica Global Equity], , -1)</f>
        <v>3.5</v>
      </c>
      <c r="L50" cm="1">
        <f t="array" ref="L50">_xlfn.ANCHORARRAY(B50)+0.15</f>
        <v>1.9</v>
      </c>
      <c r="M50" cm="1">
        <f t="array" ref="M50">_xlfn.ANCHORARRAY(C50)+0.1</f>
        <v>0.6</v>
      </c>
      <c r="N50" cm="1">
        <f t="array" ref="N50">_xlfn.ANCHORARRAY(D50)+0.15</f>
        <v>1.1499999999999999</v>
      </c>
      <c r="O50" cm="1">
        <f t="array" ref="O50">_xlfn.ANCHORARRAY(E50)+0.15</f>
        <v>3.15</v>
      </c>
      <c r="P50" cm="1">
        <f t="array" ref="P50">_xlfn.ANCHORARRAY(F50)+0.15</f>
        <v>3.65</v>
      </c>
      <c r="Q50" cm="1">
        <f t="array" ref="Q50">_xlfn.ANCHORARRAY(G50)+0.15</f>
        <v>2.9</v>
      </c>
      <c r="R50" cm="1">
        <f t="array" ref="R50">_xlfn.ANCHORARRAY(H50)</f>
        <v>7.49</v>
      </c>
      <c r="S50" cm="1">
        <f t="array" ref="S50">_xlfn.ANCHORARRAY(R50)+0.15</f>
        <v>7.6400000000000006</v>
      </c>
      <c r="T50" cm="1">
        <f t="array" ref="T50">_xlfn.ANCHORARRAY(I50)+0.15</f>
        <v>1.1499999999999999</v>
      </c>
      <c r="U50" cm="1">
        <f t="array" ref="U50">_xlfn.ANCHORARRAY(J50)+0.15</f>
        <v>3.15</v>
      </c>
      <c r="V50" cm="1">
        <f t="array" ref="V50">_xlfn.ANCHORARRAY(K50)+0.15</f>
        <v>3.65</v>
      </c>
      <c r="W50">
        <f>TBL_TEV[[#This Row],[Etica Rendita Bilanciata]]</f>
        <v>1.4876</v>
      </c>
      <c r="X50">
        <f>TBL_TEV[[#This Row],[Etica Obbligazionario Breve Termine]]</f>
        <v>0.18906500000000001</v>
      </c>
      <c r="Y50">
        <f>TBL_TEV[[#This Row],[Etica Obbligazionario Misto]]</f>
        <v>0.87246299999999999</v>
      </c>
      <c r="Z50">
        <f>TBL_TEV[[#This Row],[Etica Bilanciato]]</f>
        <v>2.052098</v>
      </c>
      <c r="AA50">
        <f>TBL_TEV[[#This Row],[Etica Azionario]]</f>
        <v>2.838203</v>
      </c>
      <c r="AB50">
        <f>TBL_TEV[[#This Row],[Etica Transizione Climatica]]</f>
        <v>1.94177</v>
      </c>
      <c r="AC50">
        <f>TBL_TEV[[#This Row],[Etica Obiettivo Sociale]]</f>
        <v>6.4113478612102934</v>
      </c>
      <c r="AD50">
        <f>TBL_TEV[[#This Row],[Etica Conservative Allocation]]</f>
        <v>0.63196399999999997</v>
      </c>
      <c r="AE50">
        <f>TBL_TEV[[#This Row],[Etica Dynamic Allocation]]</f>
        <v>2.175284</v>
      </c>
      <c r="AF50">
        <f>TBL_TEV[[#This Row],[Etica Global Equity]]</f>
        <v>3.1441050000000001</v>
      </c>
      <c r="AL50">
        <f ca="1"/>
        <v>1.4209270000000001</v>
      </c>
      <c r="AM50">
        <f ca="1"/>
        <v>0.18890699999999999</v>
      </c>
      <c r="AN50">
        <f ca="1"/>
        <v>0.79039199999999998</v>
      </c>
      <c r="AO50">
        <f ca="1"/>
        <v>2.0386039999999999</v>
      </c>
      <c r="AP50">
        <f ca="1"/>
        <v>2.8418540000000001</v>
      </c>
      <c r="AQ50">
        <f ca="1"/>
        <v>1.9166879999999999</v>
      </c>
      <c r="AR50">
        <f ca="1"/>
        <v>6.3592782896823552</v>
      </c>
      <c r="AS50">
        <f ca="1"/>
        <v>0.626884</v>
      </c>
      <c r="AT50">
        <f ca="1"/>
        <v>2.1909999999999998</v>
      </c>
      <c r="AU50">
        <f ca="1"/>
        <v>3.2117300000000002</v>
      </c>
    </row>
    <row r="51" spans="1:47">
      <c r="A51" s="43">
        <f>TBL_TEV[[#This Row],[Data2]]</f>
        <v>45362</v>
      </c>
      <c r="B51" cm="1">
        <f t="array" ref="B51">_xlfn.XLOOKUP(_xlfn.ANCHORARRAY(A51), TBL_Limiti_CDA[Data], TBL_Limiti_CDA[Etica Rendita Bilanciata], , -1)</f>
        <v>1.75</v>
      </c>
      <c r="C51" cm="1">
        <f t="array" ref="C51">_xlfn.XLOOKUP(_xlfn.ANCHORARRAY(A51), TBL_Limiti_CDA[Data], TBL_Limiti_CDA[Etica Obbligazionario Breve Termine], , -1)</f>
        <v>0.5</v>
      </c>
      <c r="D51" cm="1">
        <f t="array" ref="D51">_xlfn.XLOOKUP(_xlfn.ANCHORARRAY(A51), TBL_Limiti_CDA[Data], TBL_Limiti_CDA[Etica Obbligazionario Misto], , -1)</f>
        <v>1</v>
      </c>
      <c r="E51" cm="1">
        <f t="array" ref="E51">_xlfn.XLOOKUP(_xlfn.ANCHORARRAY(A51), TBL_Limiti_CDA[Data], TBL_Limiti_CDA[Etica Bilanciato], , -1)</f>
        <v>3</v>
      </c>
      <c r="F51" cm="1">
        <f t="array" ref="F51">_xlfn.XLOOKUP(_xlfn.ANCHORARRAY(A51), TBL_Limiti_CDA[Data], TBL_Limiti_CDA[Etica Azionario], , -1)</f>
        <v>3.5</v>
      </c>
      <c r="G51" cm="1">
        <f t="array" ref="G51">_xlfn.XLOOKUP(_xlfn.ANCHORARRAY(A51), TBL_Limiti_CDA[Data], TBL_Limiti_CDA[Etica Transizione Climatica], , -1)</f>
        <v>2.75</v>
      </c>
      <c r="H51" cm="1">
        <f t="array" ref="H51">_xlfn.XLOOKUP(_xlfn.ANCHORARRAY(A51), TBL_Limiti_CDA[Data], TBL_Limiti_CDA[Etica Obiettivo Sociale], , -1)</f>
        <v>7.49</v>
      </c>
      <c r="I51" cm="1">
        <f t="array" ref="I51">_xlfn.XLOOKUP(_xlfn.ANCHORARRAY(A51), TBL_Limiti_CDA[Data], TBL_Limiti_CDA[Etica Conservative Allocation], , -1)</f>
        <v>1</v>
      </c>
      <c r="J51" cm="1">
        <f t="array" ref="J51">_xlfn.XLOOKUP(_xlfn.ANCHORARRAY(A51), TBL_Limiti_CDA[Data], TBL_Limiti_CDA[Etica Dynamic Allocation], , -1)</f>
        <v>3</v>
      </c>
      <c r="K51" cm="1">
        <f t="array" ref="K51">_xlfn.XLOOKUP(_xlfn.ANCHORARRAY(A51), TBL_Limiti_CDA[Data], TBL_Limiti_CDA[Etica Global Equity], , -1)</f>
        <v>3.5</v>
      </c>
      <c r="L51" cm="1">
        <f t="array" ref="L51">_xlfn.ANCHORARRAY(B51)+0.15</f>
        <v>1.9</v>
      </c>
      <c r="M51" cm="1">
        <f t="array" ref="M51">_xlfn.ANCHORARRAY(C51)+0.1</f>
        <v>0.6</v>
      </c>
      <c r="N51" cm="1">
        <f t="array" ref="N51">_xlfn.ANCHORARRAY(D51)+0.15</f>
        <v>1.1499999999999999</v>
      </c>
      <c r="O51" cm="1">
        <f t="array" ref="O51">_xlfn.ANCHORARRAY(E51)+0.15</f>
        <v>3.15</v>
      </c>
      <c r="P51" cm="1">
        <f t="array" ref="P51">_xlfn.ANCHORARRAY(F51)+0.15</f>
        <v>3.65</v>
      </c>
      <c r="Q51" cm="1">
        <f t="array" ref="Q51">_xlfn.ANCHORARRAY(G51)+0.15</f>
        <v>2.9</v>
      </c>
      <c r="R51" cm="1">
        <f t="array" ref="R51">_xlfn.ANCHORARRAY(H51)</f>
        <v>7.49</v>
      </c>
      <c r="S51" cm="1">
        <f t="array" ref="S51">_xlfn.ANCHORARRAY(R51)+0.15</f>
        <v>7.6400000000000006</v>
      </c>
      <c r="T51" cm="1">
        <f t="array" ref="T51">_xlfn.ANCHORARRAY(I51)+0.15</f>
        <v>1.1499999999999999</v>
      </c>
      <c r="U51" cm="1">
        <f t="array" ref="U51">_xlfn.ANCHORARRAY(J51)+0.15</f>
        <v>3.15</v>
      </c>
      <c r="V51" cm="1">
        <f t="array" ref="V51">_xlfn.ANCHORARRAY(K51)+0.15</f>
        <v>3.65</v>
      </c>
      <c r="W51">
        <f>TBL_TEV[[#This Row],[Etica Rendita Bilanciata]]</f>
        <v>1.4209270000000001</v>
      </c>
      <c r="X51">
        <f>TBL_TEV[[#This Row],[Etica Obbligazionario Breve Termine]]</f>
        <v>0.18890699999999999</v>
      </c>
      <c r="Y51">
        <f>TBL_TEV[[#This Row],[Etica Obbligazionario Misto]]</f>
        <v>0.79039199999999998</v>
      </c>
      <c r="Z51">
        <f>TBL_TEV[[#This Row],[Etica Bilanciato]]</f>
        <v>2.0386039999999999</v>
      </c>
      <c r="AA51">
        <f>TBL_TEV[[#This Row],[Etica Azionario]]</f>
        <v>2.8418540000000001</v>
      </c>
      <c r="AB51">
        <f>TBL_TEV[[#This Row],[Etica Transizione Climatica]]</f>
        <v>1.9166879999999999</v>
      </c>
      <c r="AC51">
        <f>TBL_TEV[[#This Row],[Etica Obiettivo Sociale]]</f>
        <v>6.3592782896823552</v>
      </c>
      <c r="AD51">
        <f>TBL_TEV[[#This Row],[Etica Conservative Allocation]]</f>
        <v>0.626884</v>
      </c>
      <c r="AE51">
        <f>TBL_TEV[[#This Row],[Etica Dynamic Allocation]]</f>
        <v>2.1909999999999998</v>
      </c>
      <c r="AF51">
        <f>TBL_TEV[[#This Row],[Etica Global Equity]]</f>
        <v>3.2117300000000002</v>
      </c>
      <c r="AL51">
        <f ca="1"/>
        <v>1.35727</v>
      </c>
      <c r="AM51">
        <f ca="1"/>
        <v>0.188113</v>
      </c>
      <c r="AN51">
        <f ca="1"/>
        <v>0.74737200000000004</v>
      </c>
      <c r="AO51">
        <f ca="1"/>
        <v>1.9860599999999999</v>
      </c>
      <c r="AP51">
        <f ca="1"/>
        <v>2.828837</v>
      </c>
      <c r="AQ51">
        <f ca="1"/>
        <v>1.9406589999999999</v>
      </c>
      <c r="AR51">
        <f ca="1"/>
        <v>6.3666788186148979</v>
      </c>
      <c r="AS51">
        <f ca="1"/>
        <v>0.634822</v>
      </c>
      <c r="AT51">
        <f ca="1"/>
        <v>2.2416390000000002</v>
      </c>
      <c r="AU51">
        <f ca="1"/>
        <v>3.3646020000000001</v>
      </c>
    </row>
    <row r="52" spans="1:47">
      <c r="A52" s="43">
        <f>TBL_TEV[[#This Row],[Data2]]</f>
        <v>45363</v>
      </c>
      <c r="B52" cm="1">
        <f t="array" ref="B52">_xlfn.XLOOKUP(_xlfn.ANCHORARRAY(A52), TBL_Limiti_CDA[Data], TBL_Limiti_CDA[Etica Rendita Bilanciata], , -1)</f>
        <v>1.75</v>
      </c>
      <c r="C52" cm="1">
        <f t="array" ref="C52">_xlfn.XLOOKUP(_xlfn.ANCHORARRAY(A52), TBL_Limiti_CDA[Data], TBL_Limiti_CDA[Etica Obbligazionario Breve Termine], , -1)</f>
        <v>0.5</v>
      </c>
      <c r="D52" cm="1">
        <f t="array" ref="D52">_xlfn.XLOOKUP(_xlfn.ANCHORARRAY(A52), TBL_Limiti_CDA[Data], TBL_Limiti_CDA[Etica Obbligazionario Misto], , -1)</f>
        <v>1</v>
      </c>
      <c r="E52" cm="1">
        <f t="array" ref="E52">_xlfn.XLOOKUP(_xlfn.ANCHORARRAY(A52), TBL_Limiti_CDA[Data], TBL_Limiti_CDA[Etica Bilanciato], , -1)</f>
        <v>3</v>
      </c>
      <c r="F52" cm="1">
        <f t="array" ref="F52">_xlfn.XLOOKUP(_xlfn.ANCHORARRAY(A52), TBL_Limiti_CDA[Data], TBL_Limiti_CDA[Etica Azionario], , -1)</f>
        <v>3.5</v>
      </c>
      <c r="G52" cm="1">
        <f t="array" ref="G52">_xlfn.XLOOKUP(_xlfn.ANCHORARRAY(A52), TBL_Limiti_CDA[Data], TBL_Limiti_CDA[Etica Transizione Climatica], , -1)</f>
        <v>2.75</v>
      </c>
      <c r="H52" cm="1">
        <f t="array" ref="H52">_xlfn.XLOOKUP(_xlfn.ANCHORARRAY(A52), TBL_Limiti_CDA[Data], TBL_Limiti_CDA[Etica Obiettivo Sociale], , -1)</f>
        <v>7.49</v>
      </c>
      <c r="I52" cm="1">
        <f t="array" ref="I52">_xlfn.XLOOKUP(_xlfn.ANCHORARRAY(A52), TBL_Limiti_CDA[Data], TBL_Limiti_CDA[Etica Conservative Allocation], , -1)</f>
        <v>1</v>
      </c>
      <c r="J52" cm="1">
        <f t="array" ref="J52">_xlfn.XLOOKUP(_xlfn.ANCHORARRAY(A52), TBL_Limiti_CDA[Data], TBL_Limiti_CDA[Etica Dynamic Allocation], , -1)</f>
        <v>3</v>
      </c>
      <c r="K52" cm="1">
        <f t="array" ref="K52">_xlfn.XLOOKUP(_xlfn.ANCHORARRAY(A52), TBL_Limiti_CDA[Data], TBL_Limiti_CDA[Etica Global Equity], , -1)</f>
        <v>3.5</v>
      </c>
      <c r="L52" cm="1">
        <f t="array" ref="L52">_xlfn.ANCHORARRAY(B52)+0.15</f>
        <v>1.9</v>
      </c>
      <c r="M52" cm="1">
        <f t="array" ref="M52">_xlfn.ANCHORARRAY(C52)+0.1</f>
        <v>0.6</v>
      </c>
      <c r="N52" cm="1">
        <f t="array" ref="N52">_xlfn.ANCHORARRAY(D52)+0.15</f>
        <v>1.1499999999999999</v>
      </c>
      <c r="O52" cm="1">
        <f t="array" ref="O52">_xlfn.ANCHORARRAY(E52)+0.15</f>
        <v>3.15</v>
      </c>
      <c r="P52" cm="1">
        <f t="array" ref="P52">_xlfn.ANCHORARRAY(F52)+0.15</f>
        <v>3.65</v>
      </c>
      <c r="Q52" cm="1">
        <f t="array" ref="Q52">_xlfn.ANCHORARRAY(G52)+0.15</f>
        <v>2.9</v>
      </c>
      <c r="R52" cm="1">
        <f t="array" ref="R52">_xlfn.ANCHORARRAY(H52)</f>
        <v>7.49</v>
      </c>
      <c r="S52" cm="1">
        <f t="array" ref="S52">_xlfn.ANCHORARRAY(R52)+0.15</f>
        <v>7.6400000000000006</v>
      </c>
      <c r="T52" cm="1">
        <f t="array" ref="T52">_xlfn.ANCHORARRAY(I52)+0.15</f>
        <v>1.1499999999999999</v>
      </c>
      <c r="U52" cm="1">
        <f t="array" ref="U52">_xlfn.ANCHORARRAY(J52)+0.15</f>
        <v>3.15</v>
      </c>
      <c r="V52" cm="1">
        <f t="array" ref="V52">_xlfn.ANCHORARRAY(K52)+0.15</f>
        <v>3.65</v>
      </c>
      <c r="W52">
        <f>TBL_TEV[[#This Row],[Etica Rendita Bilanciata]]</f>
        <v>1.35727</v>
      </c>
      <c r="X52">
        <f>TBL_TEV[[#This Row],[Etica Obbligazionario Breve Termine]]</f>
        <v>0.188113</v>
      </c>
      <c r="Y52">
        <f>TBL_TEV[[#This Row],[Etica Obbligazionario Misto]]</f>
        <v>0.74737200000000004</v>
      </c>
      <c r="Z52">
        <f>TBL_TEV[[#This Row],[Etica Bilanciato]]</f>
        <v>1.9860599999999999</v>
      </c>
      <c r="AA52">
        <f>TBL_TEV[[#This Row],[Etica Azionario]]</f>
        <v>2.828837</v>
      </c>
      <c r="AB52">
        <f>TBL_TEV[[#This Row],[Etica Transizione Climatica]]</f>
        <v>1.9406589999999999</v>
      </c>
      <c r="AC52">
        <f>TBL_TEV[[#This Row],[Etica Obiettivo Sociale]]</f>
        <v>6.3666788186148979</v>
      </c>
      <c r="AD52">
        <f>TBL_TEV[[#This Row],[Etica Conservative Allocation]]</f>
        <v>0.634822</v>
      </c>
      <c r="AE52">
        <f>TBL_TEV[[#This Row],[Etica Dynamic Allocation]]</f>
        <v>2.2416390000000002</v>
      </c>
      <c r="AF52">
        <f>TBL_TEV[[#This Row],[Etica Global Equity]]</f>
        <v>3.3646020000000001</v>
      </c>
      <c r="AL52">
        <f ca="1"/>
        <v>1.4477549999999999</v>
      </c>
      <c r="AM52">
        <f ca="1"/>
        <v>0.188113</v>
      </c>
      <c r="AN52">
        <f ca="1"/>
        <v>0.887544</v>
      </c>
      <c r="AO52">
        <f ca="1"/>
        <v>2.0157449999999999</v>
      </c>
      <c r="AP52">
        <f ca="1"/>
        <v>2.8505850000000001</v>
      </c>
      <c r="AQ52">
        <f ca="1"/>
        <v>1.96193</v>
      </c>
      <c r="AR52">
        <f ca="1"/>
        <v>6.2312183411928919</v>
      </c>
      <c r="AS52">
        <f ca="1"/>
        <v>0.63196399999999997</v>
      </c>
      <c r="AT52">
        <f ca="1"/>
        <v>2.2657690000000001</v>
      </c>
      <c r="AU52">
        <f ca="1"/>
        <v>3.420798</v>
      </c>
    </row>
    <row r="53" spans="1:47">
      <c r="A53" s="43">
        <f>TBL_TEV[[#This Row],[Data2]]</f>
        <v>45364</v>
      </c>
      <c r="B53" cm="1">
        <f t="array" ref="B53">_xlfn.XLOOKUP(_xlfn.ANCHORARRAY(A53), TBL_Limiti_CDA[Data], TBL_Limiti_CDA[Etica Rendita Bilanciata], , -1)</f>
        <v>1.75</v>
      </c>
      <c r="C53" cm="1">
        <f t="array" ref="C53">_xlfn.XLOOKUP(_xlfn.ANCHORARRAY(A53), TBL_Limiti_CDA[Data], TBL_Limiti_CDA[Etica Obbligazionario Breve Termine], , -1)</f>
        <v>0.5</v>
      </c>
      <c r="D53" cm="1">
        <f t="array" ref="D53">_xlfn.XLOOKUP(_xlfn.ANCHORARRAY(A53), TBL_Limiti_CDA[Data], TBL_Limiti_CDA[Etica Obbligazionario Misto], , -1)</f>
        <v>1</v>
      </c>
      <c r="E53" cm="1">
        <f t="array" ref="E53">_xlfn.XLOOKUP(_xlfn.ANCHORARRAY(A53), TBL_Limiti_CDA[Data], TBL_Limiti_CDA[Etica Bilanciato], , -1)</f>
        <v>3</v>
      </c>
      <c r="F53" cm="1">
        <f t="array" ref="F53">_xlfn.XLOOKUP(_xlfn.ANCHORARRAY(A53), TBL_Limiti_CDA[Data], TBL_Limiti_CDA[Etica Azionario], , -1)</f>
        <v>3.5</v>
      </c>
      <c r="G53" cm="1">
        <f t="array" ref="G53">_xlfn.XLOOKUP(_xlfn.ANCHORARRAY(A53), TBL_Limiti_CDA[Data], TBL_Limiti_CDA[Etica Transizione Climatica], , -1)</f>
        <v>2.75</v>
      </c>
      <c r="H53" cm="1">
        <f t="array" ref="H53">_xlfn.XLOOKUP(_xlfn.ANCHORARRAY(A53), TBL_Limiti_CDA[Data], TBL_Limiti_CDA[Etica Obiettivo Sociale], , -1)</f>
        <v>7.49</v>
      </c>
      <c r="I53" cm="1">
        <f t="array" ref="I53">_xlfn.XLOOKUP(_xlfn.ANCHORARRAY(A53), TBL_Limiti_CDA[Data], TBL_Limiti_CDA[Etica Conservative Allocation], , -1)</f>
        <v>1</v>
      </c>
      <c r="J53" cm="1">
        <f t="array" ref="J53">_xlfn.XLOOKUP(_xlfn.ANCHORARRAY(A53), TBL_Limiti_CDA[Data], TBL_Limiti_CDA[Etica Dynamic Allocation], , -1)</f>
        <v>3</v>
      </c>
      <c r="K53" cm="1">
        <f t="array" ref="K53">_xlfn.XLOOKUP(_xlfn.ANCHORARRAY(A53), TBL_Limiti_CDA[Data], TBL_Limiti_CDA[Etica Global Equity], , -1)</f>
        <v>3.5</v>
      </c>
      <c r="L53" cm="1">
        <f t="array" ref="L53">_xlfn.ANCHORARRAY(B53)+0.15</f>
        <v>1.9</v>
      </c>
      <c r="M53" cm="1">
        <f t="array" ref="M53">_xlfn.ANCHORARRAY(C53)+0.1</f>
        <v>0.6</v>
      </c>
      <c r="N53" cm="1">
        <f t="array" ref="N53">_xlfn.ANCHORARRAY(D53)+0.15</f>
        <v>1.1499999999999999</v>
      </c>
      <c r="O53" cm="1">
        <f t="array" ref="O53">_xlfn.ANCHORARRAY(E53)+0.15</f>
        <v>3.15</v>
      </c>
      <c r="P53" cm="1">
        <f t="array" ref="P53">_xlfn.ANCHORARRAY(F53)+0.15</f>
        <v>3.65</v>
      </c>
      <c r="Q53" cm="1">
        <f t="array" ref="Q53">_xlfn.ANCHORARRAY(G53)+0.15</f>
        <v>2.9</v>
      </c>
      <c r="R53" cm="1">
        <f t="array" ref="R53">_xlfn.ANCHORARRAY(H53)</f>
        <v>7.49</v>
      </c>
      <c r="S53" cm="1">
        <f t="array" ref="S53">_xlfn.ANCHORARRAY(R53)+0.15</f>
        <v>7.6400000000000006</v>
      </c>
      <c r="T53" cm="1">
        <f t="array" ref="T53">_xlfn.ANCHORARRAY(I53)+0.15</f>
        <v>1.1499999999999999</v>
      </c>
      <c r="U53" cm="1">
        <f t="array" ref="U53">_xlfn.ANCHORARRAY(J53)+0.15</f>
        <v>3.15</v>
      </c>
      <c r="V53" cm="1">
        <f t="array" ref="V53">_xlfn.ANCHORARRAY(K53)+0.15</f>
        <v>3.65</v>
      </c>
      <c r="W53">
        <f>TBL_TEV[[#This Row],[Etica Rendita Bilanciata]]</f>
        <v>1.4477549999999999</v>
      </c>
      <c r="X53">
        <f>TBL_TEV[[#This Row],[Etica Obbligazionario Breve Termine]]</f>
        <v>0.188113</v>
      </c>
      <c r="Y53">
        <f>TBL_TEV[[#This Row],[Etica Obbligazionario Misto]]</f>
        <v>0.887544</v>
      </c>
      <c r="Z53">
        <f>TBL_TEV[[#This Row],[Etica Bilanciato]]</f>
        <v>2.0157449999999999</v>
      </c>
      <c r="AA53">
        <f>TBL_TEV[[#This Row],[Etica Azionario]]</f>
        <v>2.8505850000000001</v>
      </c>
      <c r="AB53">
        <f>TBL_TEV[[#This Row],[Etica Transizione Climatica]]</f>
        <v>1.96193</v>
      </c>
      <c r="AC53">
        <f>TBL_TEV[[#This Row],[Etica Obiettivo Sociale]]</f>
        <v>6.2312183411928919</v>
      </c>
      <c r="AD53">
        <f>TBL_TEV[[#This Row],[Etica Conservative Allocation]]</f>
        <v>0.63196399999999997</v>
      </c>
      <c r="AE53">
        <f>TBL_TEV[[#This Row],[Etica Dynamic Allocation]]</f>
        <v>2.2657690000000001</v>
      </c>
      <c r="AF53">
        <f>TBL_TEV[[#This Row],[Etica Global Equity]]</f>
        <v>3.420798</v>
      </c>
      <c r="AL53">
        <f ca="1"/>
        <v>1.4564859999999999</v>
      </c>
      <c r="AM53">
        <f ca="1"/>
        <v>0.189383</v>
      </c>
      <c r="AN53">
        <f ca="1"/>
        <v>0.89246499999999995</v>
      </c>
      <c r="AO53">
        <f ca="1"/>
        <v>2.0181260000000001</v>
      </c>
      <c r="AP53">
        <f ca="1"/>
        <v>2.8607450000000001</v>
      </c>
      <c r="AQ53">
        <f ca="1"/>
        <v>1.950342</v>
      </c>
      <c r="AR53">
        <f ca="1"/>
        <v>6.2071778179359773</v>
      </c>
      <c r="AS53">
        <f ca="1"/>
        <v>0.63497999999999999</v>
      </c>
      <c r="AT53">
        <f ca="1"/>
        <v>2.262594</v>
      </c>
      <c r="AU53">
        <f ca="1"/>
        <v>3.4180990000000002</v>
      </c>
    </row>
    <row r="54" spans="1:47">
      <c r="A54" s="43">
        <f>TBL_TEV[[#This Row],[Data2]]</f>
        <v>45365</v>
      </c>
      <c r="B54" cm="1">
        <f t="array" ref="B54">_xlfn.XLOOKUP(_xlfn.ANCHORARRAY(A54), TBL_Limiti_CDA[Data], TBL_Limiti_CDA[Etica Rendita Bilanciata], , -1)</f>
        <v>1.75</v>
      </c>
      <c r="C54" cm="1">
        <f t="array" ref="C54">_xlfn.XLOOKUP(_xlfn.ANCHORARRAY(A54), TBL_Limiti_CDA[Data], TBL_Limiti_CDA[Etica Obbligazionario Breve Termine], , -1)</f>
        <v>0.5</v>
      </c>
      <c r="D54" cm="1">
        <f t="array" ref="D54">_xlfn.XLOOKUP(_xlfn.ANCHORARRAY(A54), TBL_Limiti_CDA[Data], TBL_Limiti_CDA[Etica Obbligazionario Misto], , -1)</f>
        <v>1</v>
      </c>
      <c r="E54" cm="1">
        <f t="array" ref="E54">_xlfn.XLOOKUP(_xlfn.ANCHORARRAY(A54), TBL_Limiti_CDA[Data], TBL_Limiti_CDA[Etica Bilanciato], , -1)</f>
        <v>3</v>
      </c>
      <c r="F54" cm="1">
        <f t="array" ref="F54">_xlfn.XLOOKUP(_xlfn.ANCHORARRAY(A54), TBL_Limiti_CDA[Data], TBL_Limiti_CDA[Etica Azionario], , -1)</f>
        <v>3.5</v>
      </c>
      <c r="G54" cm="1">
        <f t="array" ref="G54">_xlfn.XLOOKUP(_xlfn.ANCHORARRAY(A54), TBL_Limiti_CDA[Data], TBL_Limiti_CDA[Etica Transizione Climatica], , -1)</f>
        <v>2.75</v>
      </c>
      <c r="H54" cm="1">
        <f t="array" ref="H54">_xlfn.XLOOKUP(_xlfn.ANCHORARRAY(A54), TBL_Limiti_CDA[Data], TBL_Limiti_CDA[Etica Obiettivo Sociale], , -1)</f>
        <v>7.49</v>
      </c>
      <c r="I54" cm="1">
        <f t="array" ref="I54">_xlfn.XLOOKUP(_xlfn.ANCHORARRAY(A54), TBL_Limiti_CDA[Data], TBL_Limiti_CDA[Etica Conservative Allocation], , -1)</f>
        <v>1</v>
      </c>
      <c r="J54" cm="1">
        <f t="array" ref="J54">_xlfn.XLOOKUP(_xlfn.ANCHORARRAY(A54), TBL_Limiti_CDA[Data], TBL_Limiti_CDA[Etica Dynamic Allocation], , -1)</f>
        <v>3</v>
      </c>
      <c r="K54" cm="1">
        <f t="array" ref="K54">_xlfn.XLOOKUP(_xlfn.ANCHORARRAY(A54), TBL_Limiti_CDA[Data], TBL_Limiti_CDA[Etica Global Equity], , -1)</f>
        <v>3.5</v>
      </c>
      <c r="L54" cm="1">
        <f t="array" ref="L54">_xlfn.ANCHORARRAY(B54)+0.15</f>
        <v>1.9</v>
      </c>
      <c r="M54" cm="1">
        <f t="array" ref="M54">_xlfn.ANCHORARRAY(C54)+0.1</f>
        <v>0.6</v>
      </c>
      <c r="N54" cm="1">
        <f t="array" ref="N54">_xlfn.ANCHORARRAY(D54)+0.15</f>
        <v>1.1499999999999999</v>
      </c>
      <c r="O54" cm="1">
        <f t="array" ref="O54">_xlfn.ANCHORARRAY(E54)+0.15</f>
        <v>3.15</v>
      </c>
      <c r="P54" cm="1">
        <f t="array" ref="P54">_xlfn.ANCHORARRAY(F54)+0.15</f>
        <v>3.65</v>
      </c>
      <c r="Q54" cm="1">
        <f t="array" ref="Q54">_xlfn.ANCHORARRAY(G54)+0.15</f>
        <v>2.9</v>
      </c>
      <c r="R54" cm="1">
        <f t="array" ref="R54">_xlfn.ANCHORARRAY(H54)</f>
        <v>7.49</v>
      </c>
      <c r="S54" cm="1">
        <f t="array" ref="S54">_xlfn.ANCHORARRAY(R54)+0.15</f>
        <v>7.6400000000000006</v>
      </c>
      <c r="T54" cm="1">
        <f t="array" ref="T54">_xlfn.ANCHORARRAY(I54)+0.15</f>
        <v>1.1499999999999999</v>
      </c>
      <c r="U54" cm="1">
        <f t="array" ref="U54">_xlfn.ANCHORARRAY(J54)+0.15</f>
        <v>3.15</v>
      </c>
      <c r="V54" cm="1">
        <f t="array" ref="V54">_xlfn.ANCHORARRAY(K54)+0.15</f>
        <v>3.65</v>
      </c>
      <c r="W54">
        <f>TBL_TEV[[#This Row],[Etica Rendita Bilanciata]]</f>
        <v>1.4564859999999999</v>
      </c>
      <c r="X54">
        <f>TBL_TEV[[#This Row],[Etica Obbligazionario Breve Termine]]</f>
        <v>0.189383</v>
      </c>
      <c r="Y54">
        <f>TBL_TEV[[#This Row],[Etica Obbligazionario Misto]]</f>
        <v>0.89246499999999995</v>
      </c>
      <c r="Z54">
        <f>TBL_TEV[[#This Row],[Etica Bilanciato]]</f>
        <v>2.0181260000000001</v>
      </c>
      <c r="AA54">
        <f>TBL_TEV[[#This Row],[Etica Azionario]]</f>
        <v>2.8607450000000001</v>
      </c>
      <c r="AB54">
        <f>TBL_TEV[[#This Row],[Etica Transizione Climatica]]</f>
        <v>1.950342</v>
      </c>
      <c r="AC54">
        <f>TBL_TEV[[#This Row],[Etica Obiettivo Sociale]]</f>
        <v>6.2071778179359773</v>
      </c>
      <c r="AD54">
        <f>TBL_TEV[[#This Row],[Etica Conservative Allocation]]</f>
        <v>0.63497999999999999</v>
      </c>
      <c r="AE54">
        <f>TBL_TEV[[#This Row],[Etica Dynamic Allocation]]</f>
        <v>2.262594</v>
      </c>
      <c r="AF54">
        <f>TBL_TEV[[#This Row],[Etica Global Equity]]</f>
        <v>3.4180990000000002</v>
      </c>
      <c r="AL54">
        <f ca="1"/>
        <v>1.4577560000000001</v>
      </c>
      <c r="AM54">
        <f ca="1"/>
        <v>0.18890699999999999</v>
      </c>
      <c r="AN54">
        <f ca="1"/>
        <v>0.89468700000000001</v>
      </c>
      <c r="AO54">
        <f ca="1"/>
        <v>2.0165389999999999</v>
      </c>
      <c r="AP54">
        <f ca="1"/>
        <v>2.8556650000000001</v>
      </c>
      <c r="AQ54">
        <f ca="1"/>
        <v>1.9627239999999999</v>
      </c>
      <c r="AR54">
        <f ca="1"/>
        <v>6.1900882031800926</v>
      </c>
      <c r="AS54">
        <f ca="1"/>
        <v>0.63466299999999998</v>
      </c>
      <c r="AT54">
        <f ca="1"/>
        <v>2.248148</v>
      </c>
      <c r="AU54">
        <f ca="1"/>
        <v>3.4066689999999999</v>
      </c>
    </row>
    <row r="55" spans="1:47">
      <c r="A55" s="43">
        <f>TBL_TEV[[#This Row],[Data2]]</f>
        <v>45366</v>
      </c>
      <c r="B55" cm="1">
        <f t="array" ref="B55">_xlfn.XLOOKUP(_xlfn.ANCHORARRAY(A55), TBL_Limiti_CDA[Data], TBL_Limiti_CDA[Etica Rendita Bilanciata], , -1)</f>
        <v>1.75</v>
      </c>
      <c r="C55" cm="1">
        <f t="array" ref="C55">_xlfn.XLOOKUP(_xlfn.ANCHORARRAY(A55), TBL_Limiti_CDA[Data], TBL_Limiti_CDA[Etica Obbligazionario Breve Termine], , -1)</f>
        <v>0.5</v>
      </c>
      <c r="D55" cm="1">
        <f t="array" ref="D55">_xlfn.XLOOKUP(_xlfn.ANCHORARRAY(A55), TBL_Limiti_CDA[Data], TBL_Limiti_CDA[Etica Obbligazionario Misto], , -1)</f>
        <v>1</v>
      </c>
      <c r="E55" cm="1">
        <f t="array" ref="E55">_xlfn.XLOOKUP(_xlfn.ANCHORARRAY(A55), TBL_Limiti_CDA[Data], TBL_Limiti_CDA[Etica Bilanciato], , -1)</f>
        <v>3</v>
      </c>
      <c r="F55" cm="1">
        <f t="array" ref="F55">_xlfn.XLOOKUP(_xlfn.ANCHORARRAY(A55), TBL_Limiti_CDA[Data], TBL_Limiti_CDA[Etica Azionario], , -1)</f>
        <v>3.5</v>
      </c>
      <c r="G55" cm="1">
        <f t="array" ref="G55">_xlfn.XLOOKUP(_xlfn.ANCHORARRAY(A55), TBL_Limiti_CDA[Data], TBL_Limiti_CDA[Etica Transizione Climatica], , -1)</f>
        <v>2.75</v>
      </c>
      <c r="H55" cm="1">
        <f t="array" ref="H55">_xlfn.XLOOKUP(_xlfn.ANCHORARRAY(A55), TBL_Limiti_CDA[Data], TBL_Limiti_CDA[Etica Obiettivo Sociale], , -1)</f>
        <v>7.49</v>
      </c>
      <c r="I55" cm="1">
        <f t="array" ref="I55">_xlfn.XLOOKUP(_xlfn.ANCHORARRAY(A55), TBL_Limiti_CDA[Data], TBL_Limiti_CDA[Etica Conservative Allocation], , -1)</f>
        <v>1</v>
      </c>
      <c r="J55" cm="1">
        <f t="array" ref="J55">_xlfn.XLOOKUP(_xlfn.ANCHORARRAY(A55), TBL_Limiti_CDA[Data], TBL_Limiti_CDA[Etica Dynamic Allocation], , -1)</f>
        <v>3</v>
      </c>
      <c r="K55" cm="1">
        <f t="array" ref="K55">_xlfn.XLOOKUP(_xlfn.ANCHORARRAY(A55), TBL_Limiti_CDA[Data], TBL_Limiti_CDA[Etica Global Equity], , -1)</f>
        <v>3.5</v>
      </c>
      <c r="L55" cm="1">
        <f t="array" ref="L55">_xlfn.ANCHORARRAY(B55)+0.15</f>
        <v>1.9</v>
      </c>
      <c r="M55" cm="1">
        <f t="array" ref="M55">_xlfn.ANCHORARRAY(C55)+0.1</f>
        <v>0.6</v>
      </c>
      <c r="N55" cm="1">
        <f t="array" ref="N55">_xlfn.ANCHORARRAY(D55)+0.15</f>
        <v>1.1499999999999999</v>
      </c>
      <c r="O55" cm="1">
        <f t="array" ref="O55">_xlfn.ANCHORARRAY(E55)+0.15</f>
        <v>3.15</v>
      </c>
      <c r="P55" cm="1">
        <f t="array" ref="P55">_xlfn.ANCHORARRAY(F55)+0.15</f>
        <v>3.65</v>
      </c>
      <c r="Q55" cm="1">
        <f t="array" ref="Q55">_xlfn.ANCHORARRAY(G55)+0.15</f>
        <v>2.9</v>
      </c>
      <c r="R55" cm="1">
        <f t="array" ref="R55">_xlfn.ANCHORARRAY(H55)</f>
        <v>7.49</v>
      </c>
      <c r="S55" cm="1">
        <f t="array" ref="S55">_xlfn.ANCHORARRAY(R55)+0.15</f>
        <v>7.6400000000000006</v>
      </c>
      <c r="T55" cm="1">
        <f t="array" ref="T55">_xlfn.ANCHORARRAY(I55)+0.15</f>
        <v>1.1499999999999999</v>
      </c>
      <c r="U55" cm="1">
        <f t="array" ref="U55">_xlfn.ANCHORARRAY(J55)+0.15</f>
        <v>3.15</v>
      </c>
      <c r="V55" cm="1">
        <f t="array" ref="V55">_xlfn.ANCHORARRAY(K55)+0.15</f>
        <v>3.65</v>
      </c>
      <c r="W55">
        <f>TBL_TEV[[#This Row],[Etica Rendita Bilanciata]]</f>
        <v>1.4577560000000001</v>
      </c>
      <c r="X55">
        <f>TBL_TEV[[#This Row],[Etica Obbligazionario Breve Termine]]</f>
        <v>0.18890699999999999</v>
      </c>
      <c r="Y55">
        <f>TBL_TEV[[#This Row],[Etica Obbligazionario Misto]]</f>
        <v>0.89468700000000001</v>
      </c>
      <c r="Z55">
        <f>TBL_TEV[[#This Row],[Etica Bilanciato]]</f>
        <v>2.0165389999999999</v>
      </c>
      <c r="AA55">
        <f>TBL_TEV[[#This Row],[Etica Azionario]]</f>
        <v>2.8556650000000001</v>
      </c>
      <c r="AB55">
        <f>TBL_TEV[[#This Row],[Etica Transizione Climatica]]</f>
        <v>1.9627239999999999</v>
      </c>
      <c r="AC55">
        <f>TBL_TEV[[#This Row],[Etica Obiettivo Sociale]]</f>
        <v>6.1900882031800926</v>
      </c>
      <c r="AD55">
        <f>TBL_TEV[[#This Row],[Etica Conservative Allocation]]</f>
        <v>0.63466299999999998</v>
      </c>
      <c r="AE55">
        <f>TBL_TEV[[#This Row],[Etica Dynamic Allocation]]</f>
        <v>2.248148</v>
      </c>
      <c r="AF55">
        <f>TBL_TEV[[#This Row],[Etica Global Equity]]</f>
        <v>3.4066689999999999</v>
      </c>
      <c r="AL55">
        <f ca="1"/>
        <v>1.4617249999999999</v>
      </c>
      <c r="AM55">
        <f ca="1"/>
        <v>0.188748</v>
      </c>
      <c r="AN55">
        <f ca="1"/>
        <v>0.90357699999999996</v>
      </c>
      <c r="AO55">
        <f ca="1"/>
        <v>2.014475</v>
      </c>
      <c r="AP55">
        <f ca="1"/>
        <v>2.8551890000000002</v>
      </c>
      <c r="AQ55">
        <f ca="1"/>
        <v>1.9587559999999999</v>
      </c>
      <c r="AR55">
        <f ca="1"/>
        <v>6.2634860987447079</v>
      </c>
      <c r="AS55">
        <f ca="1"/>
        <v>0.67291999999999996</v>
      </c>
      <c r="AT55">
        <f ca="1"/>
        <v>2.2440199999999999</v>
      </c>
      <c r="AU55">
        <f ca="1"/>
        <v>3.411273</v>
      </c>
    </row>
    <row r="56" spans="1:47">
      <c r="A56" s="43">
        <f>TBL_TEV[[#This Row],[Data2]]</f>
        <v>45369</v>
      </c>
      <c r="B56" cm="1">
        <f t="array" ref="B56">_xlfn.XLOOKUP(_xlfn.ANCHORARRAY(A56), TBL_Limiti_CDA[Data], TBL_Limiti_CDA[Etica Rendita Bilanciata], , -1)</f>
        <v>1.75</v>
      </c>
      <c r="C56" cm="1">
        <f t="array" ref="C56">_xlfn.XLOOKUP(_xlfn.ANCHORARRAY(A56), TBL_Limiti_CDA[Data], TBL_Limiti_CDA[Etica Obbligazionario Breve Termine], , -1)</f>
        <v>0.5</v>
      </c>
      <c r="D56" cm="1">
        <f t="array" ref="D56">_xlfn.XLOOKUP(_xlfn.ANCHORARRAY(A56), TBL_Limiti_CDA[Data], TBL_Limiti_CDA[Etica Obbligazionario Misto], , -1)</f>
        <v>1</v>
      </c>
      <c r="E56" cm="1">
        <f t="array" ref="E56">_xlfn.XLOOKUP(_xlfn.ANCHORARRAY(A56), TBL_Limiti_CDA[Data], TBL_Limiti_CDA[Etica Bilanciato], , -1)</f>
        <v>3</v>
      </c>
      <c r="F56" cm="1">
        <f t="array" ref="F56">_xlfn.XLOOKUP(_xlfn.ANCHORARRAY(A56), TBL_Limiti_CDA[Data], TBL_Limiti_CDA[Etica Azionario], , -1)</f>
        <v>3.5</v>
      </c>
      <c r="G56" cm="1">
        <f t="array" ref="G56">_xlfn.XLOOKUP(_xlfn.ANCHORARRAY(A56), TBL_Limiti_CDA[Data], TBL_Limiti_CDA[Etica Transizione Climatica], , -1)</f>
        <v>2.75</v>
      </c>
      <c r="H56" cm="1">
        <f t="array" ref="H56">_xlfn.XLOOKUP(_xlfn.ANCHORARRAY(A56), TBL_Limiti_CDA[Data], TBL_Limiti_CDA[Etica Obiettivo Sociale], , -1)</f>
        <v>7.49</v>
      </c>
      <c r="I56" cm="1">
        <f t="array" ref="I56">_xlfn.XLOOKUP(_xlfn.ANCHORARRAY(A56), TBL_Limiti_CDA[Data], TBL_Limiti_CDA[Etica Conservative Allocation], , -1)</f>
        <v>1</v>
      </c>
      <c r="J56" cm="1">
        <f t="array" ref="J56">_xlfn.XLOOKUP(_xlfn.ANCHORARRAY(A56), TBL_Limiti_CDA[Data], TBL_Limiti_CDA[Etica Dynamic Allocation], , -1)</f>
        <v>3</v>
      </c>
      <c r="K56" cm="1">
        <f t="array" ref="K56">_xlfn.XLOOKUP(_xlfn.ANCHORARRAY(A56), TBL_Limiti_CDA[Data], TBL_Limiti_CDA[Etica Global Equity], , -1)</f>
        <v>3.5</v>
      </c>
      <c r="L56" cm="1">
        <f t="array" ref="L56">_xlfn.ANCHORARRAY(B56)+0.15</f>
        <v>1.9</v>
      </c>
      <c r="M56" cm="1">
        <f t="array" ref="M56">_xlfn.ANCHORARRAY(C56)+0.1</f>
        <v>0.6</v>
      </c>
      <c r="N56" cm="1">
        <f t="array" ref="N56">_xlfn.ANCHORARRAY(D56)+0.15</f>
        <v>1.1499999999999999</v>
      </c>
      <c r="O56" cm="1">
        <f t="array" ref="O56">_xlfn.ANCHORARRAY(E56)+0.15</f>
        <v>3.15</v>
      </c>
      <c r="P56" cm="1">
        <f t="array" ref="P56">_xlfn.ANCHORARRAY(F56)+0.15</f>
        <v>3.65</v>
      </c>
      <c r="Q56" cm="1">
        <f t="array" ref="Q56">_xlfn.ANCHORARRAY(G56)+0.15</f>
        <v>2.9</v>
      </c>
      <c r="R56" cm="1">
        <f t="array" ref="R56">_xlfn.ANCHORARRAY(H56)</f>
        <v>7.49</v>
      </c>
      <c r="S56" cm="1">
        <f t="array" ref="S56">_xlfn.ANCHORARRAY(R56)+0.15</f>
        <v>7.6400000000000006</v>
      </c>
      <c r="T56" cm="1">
        <f t="array" ref="T56">_xlfn.ANCHORARRAY(I56)+0.15</f>
        <v>1.1499999999999999</v>
      </c>
      <c r="U56" cm="1">
        <f t="array" ref="U56">_xlfn.ANCHORARRAY(J56)+0.15</f>
        <v>3.15</v>
      </c>
      <c r="V56" cm="1">
        <f t="array" ref="V56">_xlfn.ANCHORARRAY(K56)+0.15</f>
        <v>3.65</v>
      </c>
      <c r="W56">
        <f>TBL_TEV[[#This Row],[Etica Rendita Bilanciata]]</f>
        <v>1.4617249999999999</v>
      </c>
      <c r="X56">
        <f>TBL_TEV[[#This Row],[Etica Obbligazionario Breve Termine]]</f>
        <v>0.188748</v>
      </c>
      <c r="Y56">
        <f>TBL_TEV[[#This Row],[Etica Obbligazionario Misto]]</f>
        <v>0.90357699999999996</v>
      </c>
      <c r="Z56">
        <f>TBL_TEV[[#This Row],[Etica Bilanciato]]</f>
        <v>2.014475</v>
      </c>
      <c r="AA56">
        <f>TBL_TEV[[#This Row],[Etica Azionario]]</f>
        <v>2.8551890000000002</v>
      </c>
      <c r="AB56">
        <f>TBL_TEV[[#This Row],[Etica Transizione Climatica]]</f>
        <v>1.9587559999999999</v>
      </c>
      <c r="AC56">
        <f>TBL_TEV[[#This Row],[Etica Obiettivo Sociale]]</f>
        <v>6.2634860987447079</v>
      </c>
      <c r="AD56">
        <f>TBL_TEV[[#This Row],[Etica Conservative Allocation]]</f>
        <v>0.67291999999999996</v>
      </c>
      <c r="AE56">
        <f>TBL_TEV[[#This Row],[Etica Dynamic Allocation]]</f>
        <v>2.2440199999999999</v>
      </c>
      <c r="AF56">
        <f>TBL_TEV[[#This Row],[Etica Global Equity]]</f>
        <v>3.411273</v>
      </c>
      <c r="AL56">
        <f ca="1"/>
        <v>1.456169</v>
      </c>
      <c r="AM56">
        <f ca="1"/>
        <v>0.18842999999999999</v>
      </c>
      <c r="AN56">
        <f ca="1"/>
        <v>0.89960799999999996</v>
      </c>
      <c r="AO56">
        <f ca="1"/>
        <v>2.0038390000000001</v>
      </c>
      <c r="AP56">
        <f ca="1"/>
        <v>2.839156</v>
      </c>
      <c r="AQ56">
        <f ca="1"/>
        <v>1.9697089999999999</v>
      </c>
      <c r="AR56">
        <f ca="1"/>
        <v>6.2482515006106256</v>
      </c>
      <c r="AS56">
        <f ca="1"/>
        <v>0.74594300000000002</v>
      </c>
      <c r="AT56">
        <f ca="1"/>
        <v>2.2424330000000001</v>
      </c>
      <c r="AU56">
        <f ca="1"/>
        <v>3.3511090000000001</v>
      </c>
    </row>
    <row r="57" spans="1:47">
      <c r="A57" s="43">
        <f>TBL_TEV[[#This Row],[Data2]]</f>
        <v>45370</v>
      </c>
      <c r="B57" cm="1">
        <f t="array" ref="B57">_xlfn.XLOOKUP(_xlfn.ANCHORARRAY(A57), TBL_Limiti_CDA[Data], TBL_Limiti_CDA[Etica Rendita Bilanciata], , -1)</f>
        <v>1.75</v>
      </c>
      <c r="C57" cm="1">
        <f t="array" ref="C57">_xlfn.XLOOKUP(_xlfn.ANCHORARRAY(A57), TBL_Limiti_CDA[Data], TBL_Limiti_CDA[Etica Obbligazionario Breve Termine], , -1)</f>
        <v>0.5</v>
      </c>
      <c r="D57" cm="1">
        <f t="array" ref="D57">_xlfn.XLOOKUP(_xlfn.ANCHORARRAY(A57), TBL_Limiti_CDA[Data], TBL_Limiti_CDA[Etica Obbligazionario Misto], , -1)</f>
        <v>1</v>
      </c>
      <c r="E57" cm="1">
        <f t="array" ref="E57">_xlfn.XLOOKUP(_xlfn.ANCHORARRAY(A57), TBL_Limiti_CDA[Data], TBL_Limiti_CDA[Etica Bilanciato], , -1)</f>
        <v>3</v>
      </c>
      <c r="F57" cm="1">
        <f t="array" ref="F57">_xlfn.XLOOKUP(_xlfn.ANCHORARRAY(A57), TBL_Limiti_CDA[Data], TBL_Limiti_CDA[Etica Azionario], , -1)</f>
        <v>3.5</v>
      </c>
      <c r="G57" cm="1">
        <f t="array" ref="G57">_xlfn.XLOOKUP(_xlfn.ANCHORARRAY(A57), TBL_Limiti_CDA[Data], TBL_Limiti_CDA[Etica Transizione Climatica], , -1)</f>
        <v>2.75</v>
      </c>
      <c r="H57" cm="1">
        <f t="array" ref="H57">_xlfn.XLOOKUP(_xlfn.ANCHORARRAY(A57), TBL_Limiti_CDA[Data], TBL_Limiti_CDA[Etica Obiettivo Sociale], , -1)</f>
        <v>7.49</v>
      </c>
      <c r="I57" cm="1">
        <f t="array" ref="I57">_xlfn.XLOOKUP(_xlfn.ANCHORARRAY(A57), TBL_Limiti_CDA[Data], TBL_Limiti_CDA[Etica Conservative Allocation], , -1)</f>
        <v>1</v>
      </c>
      <c r="J57" cm="1">
        <f t="array" ref="J57">_xlfn.XLOOKUP(_xlfn.ANCHORARRAY(A57), TBL_Limiti_CDA[Data], TBL_Limiti_CDA[Etica Dynamic Allocation], , -1)</f>
        <v>3</v>
      </c>
      <c r="K57" cm="1">
        <f t="array" ref="K57">_xlfn.XLOOKUP(_xlfn.ANCHORARRAY(A57), TBL_Limiti_CDA[Data], TBL_Limiti_CDA[Etica Global Equity], , -1)</f>
        <v>3.5</v>
      </c>
      <c r="L57" cm="1">
        <f t="array" ref="L57">_xlfn.ANCHORARRAY(B57)+0.15</f>
        <v>1.9</v>
      </c>
      <c r="M57" cm="1">
        <f t="array" ref="M57">_xlfn.ANCHORARRAY(C57)+0.1</f>
        <v>0.6</v>
      </c>
      <c r="N57" cm="1">
        <f t="array" ref="N57">_xlfn.ANCHORARRAY(D57)+0.15</f>
        <v>1.1499999999999999</v>
      </c>
      <c r="O57" cm="1">
        <f t="array" ref="O57">_xlfn.ANCHORARRAY(E57)+0.15</f>
        <v>3.15</v>
      </c>
      <c r="P57" cm="1">
        <f t="array" ref="P57">_xlfn.ANCHORARRAY(F57)+0.15</f>
        <v>3.65</v>
      </c>
      <c r="Q57" cm="1">
        <f t="array" ref="Q57">_xlfn.ANCHORARRAY(G57)+0.15</f>
        <v>2.9</v>
      </c>
      <c r="R57" cm="1">
        <f t="array" ref="R57">_xlfn.ANCHORARRAY(H57)</f>
        <v>7.49</v>
      </c>
      <c r="S57" cm="1">
        <f t="array" ref="S57">_xlfn.ANCHORARRAY(R57)+0.15</f>
        <v>7.6400000000000006</v>
      </c>
      <c r="T57" cm="1">
        <f t="array" ref="T57">_xlfn.ANCHORARRAY(I57)+0.15</f>
        <v>1.1499999999999999</v>
      </c>
      <c r="U57" cm="1">
        <f t="array" ref="U57">_xlfn.ANCHORARRAY(J57)+0.15</f>
        <v>3.15</v>
      </c>
      <c r="V57" cm="1">
        <f t="array" ref="V57">_xlfn.ANCHORARRAY(K57)+0.15</f>
        <v>3.65</v>
      </c>
      <c r="W57">
        <f>TBL_TEV[[#This Row],[Etica Rendita Bilanciata]]</f>
        <v>1.456169</v>
      </c>
      <c r="X57">
        <f>TBL_TEV[[#This Row],[Etica Obbligazionario Breve Termine]]</f>
        <v>0.18842999999999999</v>
      </c>
      <c r="Y57">
        <f>TBL_TEV[[#This Row],[Etica Obbligazionario Misto]]</f>
        <v>0.89960799999999996</v>
      </c>
      <c r="Z57">
        <f>TBL_TEV[[#This Row],[Etica Bilanciato]]</f>
        <v>2.0038390000000001</v>
      </c>
      <c r="AA57">
        <f>TBL_TEV[[#This Row],[Etica Azionario]]</f>
        <v>2.839156</v>
      </c>
      <c r="AB57">
        <f>TBL_TEV[[#This Row],[Etica Transizione Climatica]]</f>
        <v>1.9697089999999999</v>
      </c>
      <c r="AC57">
        <f>TBL_TEV[[#This Row],[Etica Obiettivo Sociale]]</f>
        <v>6.2482515006106256</v>
      </c>
      <c r="AD57">
        <f>TBL_TEV[[#This Row],[Etica Conservative Allocation]]</f>
        <v>0.74594300000000002</v>
      </c>
      <c r="AE57">
        <f>TBL_TEV[[#This Row],[Etica Dynamic Allocation]]</f>
        <v>2.2424330000000001</v>
      </c>
      <c r="AF57">
        <f>TBL_TEV[[#This Row],[Etica Global Equity]]</f>
        <v>3.3511090000000001</v>
      </c>
      <c r="AL57">
        <f ca="1"/>
        <v>1.451724</v>
      </c>
      <c r="AM57">
        <f ca="1"/>
        <v>0.18747800000000001</v>
      </c>
      <c r="AN57">
        <f ca="1"/>
        <v>0.89627500000000004</v>
      </c>
      <c r="AO57">
        <f ca="1"/>
        <v>1.9917750000000001</v>
      </c>
      <c r="AP57">
        <f ca="1"/>
        <v>2.8228049999999998</v>
      </c>
      <c r="AQ57">
        <f ca="1"/>
        <v>1.9833609999999999</v>
      </c>
      <c r="AR57">
        <f ca="1"/>
        <v>6.2211991174375623</v>
      </c>
      <c r="AS57">
        <f ca="1"/>
        <v>0.74499099999999996</v>
      </c>
      <c r="AT57">
        <f ca="1"/>
        <v>2.2376710000000002</v>
      </c>
      <c r="AU57">
        <f ca="1"/>
        <v>3.3823810000000001</v>
      </c>
    </row>
    <row r="58" spans="1:47">
      <c r="A58" s="43">
        <f>TBL_TEV[[#This Row],[Data2]]</f>
        <v>45371</v>
      </c>
      <c r="B58" cm="1">
        <f t="array" ref="B58">_xlfn.XLOOKUP(_xlfn.ANCHORARRAY(A58), TBL_Limiti_CDA[Data], TBL_Limiti_CDA[Etica Rendita Bilanciata], , -1)</f>
        <v>1.75</v>
      </c>
      <c r="C58" cm="1">
        <f t="array" ref="C58">_xlfn.XLOOKUP(_xlfn.ANCHORARRAY(A58), TBL_Limiti_CDA[Data], TBL_Limiti_CDA[Etica Obbligazionario Breve Termine], , -1)</f>
        <v>0.5</v>
      </c>
      <c r="D58" cm="1">
        <f t="array" ref="D58">_xlfn.XLOOKUP(_xlfn.ANCHORARRAY(A58), TBL_Limiti_CDA[Data], TBL_Limiti_CDA[Etica Obbligazionario Misto], , -1)</f>
        <v>1</v>
      </c>
      <c r="E58" cm="1">
        <f t="array" ref="E58">_xlfn.XLOOKUP(_xlfn.ANCHORARRAY(A58), TBL_Limiti_CDA[Data], TBL_Limiti_CDA[Etica Bilanciato], , -1)</f>
        <v>3</v>
      </c>
      <c r="F58" cm="1">
        <f t="array" ref="F58">_xlfn.XLOOKUP(_xlfn.ANCHORARRAY(A58), TBL_Limiti_CDA[Data], TBL_Limiti_CDA[Etica Azionario], , -1)</f>
        <v>3.5</v>
      </c>
      <c r="G58" cm="1">
        <f t="array" ref="G58">_xlfn.XLOOKUP(_xlfn.ANCHORARRAY(A58), TBL_Limiti_CDA[Data], TBL_Limiti_CDA[Etica Transizione Climatica], , -1)</f>
        <v>2.75</v>
      </c>
      <c r="H58" cm="1">
        <f t="array" ref="H58">_xlfn.XLOOKUP(_xlfn.ANCHORARRAY(A58), TBL_Limiti_CDA[Data], TBL_Limiti_CDA[Etica Obiettivo Sociale], , -1)</f>
        <v>7.49</v>
      </c>
      <c r="I58" cm="1">
        <f t="array" ref="I58">_xlfn.XLOOKUP(_xlfn.ANCHORARRAY(A58), TBL_Limiti_CDA[Data], TBL_Limiti_CDA[Etica Conservative Allocation], , -1)</f>
        <v>1</v>
      </c>
      <c r="J58" cm="1">
        <f t="array" ref="J58">_xlfn.XLOOKUP(_xlfn.ANCHORARRAY(A58), TBL_Limiti_CDA[Data], TBL_Limiti_CDA[Etica Dynamic Allocation], , -1)</f>
        <v>3</v>
      </c>
      <c r="K58" cm="1">
        <f t="array" ref="K58">_xlfn.XLOOKUP(_xlfn.ANCHORARRAY(A58), TBL_Limiti_CDA[Data], TBL_Limiti_CDA[Etica Global Equity], , -1)</f>
        <v>3.5</v>
      </c>
      <c r="L58" cm="1">
        <f t="array" ref="L58">_xlfn.ANCHORARRAY(B58)+0.15</f>
        <v>1.9</v>
      </c>
      <c r="M58" cm="1">
        <f t="array" ref="M58">_xlfn.ANCHORARRAY(C58)+0.1</f>
        <v>0.6</v>
      </c>
      <c r="N58" cm="1">
        <f t="array" ref="N58">_xlfn.ANCHORARRAY(D58)+0.15</f>
        <v>1.1499999999999999</v>
      </c>
      <c r="O58" cm="1">
        <f t="array" ref="O58">_xlfn.ANCHORARRAY(E58)+0.15</f>
        <v>3.15</v>
      </c>
      <c r="P58" cm="1">
        <f t="array" ref="P58">_xlfn.ANCHORARRAY(F58)+0.15</f>
        <v>3.65</v>
      </c>
      <c r="Q58" cm="1">
        <f t="array" ref="Q58">_xlfn.ANCHORARRAY(G58)+0.15</f>
        <v>2.9</v>
      </c>
      <c r="R58" cm="1">
        <f t="array" ref="R58">_xlfn.ANCHORARRAY(H58)</f>
        <v>7.49</v>
      </c>
      <c r="S58" cm="1">
        <f t="array" ref="S58">_xlfn.ANCHORARRAY(R58)+0.15</f>
        <v>7.6400000000000006</v>
      </c>
      <c r="T58" cm="1">
        <f t="array" ref="T58">_xlfn.ANCHORARRAY(I58)+0.15</f>
        <v>1.1499999999999999</v>
      </c>
      <c r="U58" cm="1">
        <f t="array" ref="U58">_xlfn.ANCHORARRAY(J58)+0.15</f>
        <v>3.15</v>
      </c>
      <c r="V58" cm="1">
        <f t="array" ref="V58">_xlfn.ANCHORARRAY(K58)+0.15</f>
        <v>3.65</v>
      </c>
      <c r="W58">
        <f>TBL_TEV[[#This Row],[Etica Rendita Bilanciata]]</f>
        <v>1.451724</v>
      </c>
      <c r="X58">
        <f>TBL_TEV[[#This Row],[Etica Obbligazionario Breve Termine]]</f>
        <v>0.18747800000000001</v>
      </c>
      <c r="Y58">
        <f>TBL_TEV[[#This Row],[Etica Obbligazionario Misto]]</f>
        <v>0.89627500000000004</v>
      </c>
      <c r="Z58">
        <f>TBL_TEV[[#This Row],[Etica Bilanciato]]</f>
        <v>1.9917750000000001</v>
      </c>
      <c r="AA58">
        <f>TBL_TEV[[#This Row],[Etica Azionario]]</f>
        <v>2.8228049999999998</v>
      </c>
      <c r="AB58">
        <f>TBL_TEV[[#This Row],[Etica Transizione Climatica]]</f>
        <v>1.9833609999999999</v>
      </c>
      <c r="AC58">
        <f>TBL_TEV[[#This Row],[Etica Obiettivo Sociale]]</f>
        <v>6.2211991174375623</v>
      </c>
      <c r="AD58">
        <f>TBL_TEV[[#This Row],[Etica Conservative Allocation]]</f>
        <v>0.74499099999999996</v>
      </c>
      <c r="AE58">
        <f>TBL_TEV[[#This Row],[Etica Dynamic Allocation]]</f>
        <v>2.2376710000000002</v>
      </c>
      <c r="AF58">
        <f>TBL_TEV[[#This Row],[Etica Global Equity]]</f>
        <v>3.3823810000000001</v>
      </c>
      <c r="AL58">
        <f ca="1"/>
        <v>1.4572799999999999</v>
      </c>
      <c r="AM58">
        <f ca="1"/>
        <v>0.188113</v>
      </c>
      <c r="AN58">
        <f ca="1"/>
        <v>0.90024300000000002</v>
      </c>
      <c r="AO58">
        <f ca="1"/>
        <v>1.986218</v>
      </c>
      <c r="AP58">
        <f ca="1"/>
        <v>2.811534</v>
      </c>
      <c r="AQ58">
        <f ca="1"/>
        <v>1.9824090000000001</v>
      </c>
      <c r="AR58">
        <f ca="1"/>
        <v>6.1999769425771047</v>
      </c>
      <c r="AS58">
        <f ca="1"/>
        <v>0.74626099999999995</v>
      </c>
      <c r="AT58">
        <f ca="1"/>
        <v>2.2279870000000002</v>
      </c>
      <c r="AU58">
        <f ca="1"/>
        <v>3.3698410000000001</v>
      </c>
    </row>
    <row r="59" spans="1:47">
      <c r="A59" s="43">
        <f>TBL_TEV[[#This Row],[Data2]]</f>
        <v>45372</v>
      </c>
      <c r="B59" cm="1">
        <f t="array" ref="B59">_xlfn.XLOOKUP(_xlfn.ANCHORARRAY(A59), TBL_Limiti_CDA[Data], TBL_Limiti_CDA[Etica Rendita Bilanciata], , -1)</f>
        <v>1.75</v>
      </c>
      <c r="C59" cm="1">
        <f t="array" ref="C59">_xlfn.XLOOKUP(_xlfn.ANCHORARRAY(A59), TBL_Limiti_CDA[Data], TBL_Limiti_CDA[Etica Obbligazionario Breve Termine], , -1)</f>
        <v>0.5</v>
      </c>
      <c r="D59" cm="1">
        <f t="array" ref="D59">_xlfn.XLOOKUP(_xlfn.ANCHORARRAY(A59), TBL_Limiti_CDA[Data], TBL_Limiti_CDA[Etica Obbligazionario Misto], , -1)</f>
        <v>1</v>
      </c>
      <c r="E59" cm="1">
        <f t="array" ref="E59">_xlfn.XLOOKUP(_xlfn.ANCHORARRAY(A59), TBL_Limiti_CDA[Data], TBL_Limiti_CDA[Etica Bilanciato], , -1)</f>
        <v>3</v>
      </c>
      <c r="F59" cm="1">
        <f t="array" ref="F59">_xlfn.XLOOKUP(_xlfn.ANCHORARRAY(A59), TBL_Limiti_CDA[Data], TBL_Limiti_CDA[Etica Azionario], , -1)</f>
        <v>3.5</v>
      </c>
      <c r="G59" cm="1">
        <f t="array" ref="G59">_xlfn.XLOOKUP(_xlfn.ANCHORARRAY(A59), TBL_Limiti_CDA[Data], TBL_Limiti_CDA[Etica Transizione Climatica], , -1)</f>
        <v>2.75</v>
      </c>
      <c r="H59" cm="1">
        <f t="array" ref="H59">_xlfn.XLOOKUP(_xlfn.ANCHORARRAY(A59), TBL_Limiti_CDA[Data], TBL_Limiti_CDA[Etica Obiettivo Sociale], , -1)</f>
        <v>7.49</v>
      </c>
      <c r="I59" cm="1">
        <f t="array" ref="I59">_xlfn.XLOOKUP(_xlfn.ANCHORARRAY(A59), TBL_Limiti_CDA[Data], TBL_Limiti_CDA[Etica Conservative Allocation], , -1)</f>
        <v>1</v>
      </c>
      <c r="J59" cm="1">
        <f t="array" ref="J59">_xlfn.XLOOKUP(_xlfn.ANCHORARRAY(A59), TBL_Limiti_CDA[Data], TBL_Limiti_CDA[Etica Dynamic Allocation], , -1)</f>
        <v>3</v>
      </c>
      <c r="K59" cm="1">
        <f t="array" ref="K59">_xlfn.XLOOKUP(_xlfn.ANCHORARRAY(A59), TBL_Limiti_CDA[Data], TBL_Limiti_CDA[Etica Global Equity], , -1)</f>
        <v>3.5</v>
      </c>
      <c r="L59" cm="1">
        <f t="array" ref="L59">_xlfn.ANCHORARRAY(B59)+0.15</f>
        <v>1.9</v>
      </c>
      <c r="M59" cm="1">
        <f t="array" ref="M59">_xlfn.ANCHORARRAY(C59)+0.1</f>
        <v>0.6</v>
      </c>
      <c r="N59" cm="1">
        <f t="array" ref="N59">_xlfn.ANCHORARRAY(D59)+0.15</f>
        <v>1.1499999999999999</v>
      </c>
      <c r="O59" cm="1">
        <f t="array" ref="O59">_xlfn.ANCHORARRAY(E59)+0.15</f>
        <v>3.15</v>
      </c>
      <c r="P59" cm="1">
        <f t="array" ref="P59">_xlfn.ANCHORARRAY(F59)+0.15</f>
        <v>3.65</v>
      </c>
      <c r="Q59" cm="1">
        <f t="array" ref="Q59">_xlfn.ANCHORARRAY(G59)+0.15</f>
        <v>2.9</v>
      </c>
      <c r="R59" cm="1">
        <f t="array" ref="R59">_xlfn.ANCHORARRAY(H59)</f>
        <v>7.49</v>
      </c>
      <c r="S59" cm="1">
        <f t="array" ref="S59">_xlfn.ANCHORARRAY(R59)+0.15</f>
        <v>7.6400000000000006</v>
      </c>
      <c r="T59" cm="1">
        <f t="array" ref="T59">_xlfn.ANCHORARRAY(I59)+0.15</f>
        <v>1.1499999999999999</v>
      </c>
      <c r="U59" cm="1">
        <f t="array" ref="U59">_xlfn.ANCHORARRAY(J59)+0.15</f>
        <v>3.15</v>
      </c>
      <c r="V59" cm="1">
        <f t="array" ref="V59">_xlfn.ANCHORARRAY(K59)+0.15</f>
        <v>3.65</v>
      </c>
      <c r="W59">
        <f>TBL_TEV[[#This Row],[Etica Rendita Bilanciata]]</f>
        <v>1.4572799999999999</v>
      </c>
      <c r="X59">
        <f>TBL_TEV[[#This Row],[Etica Obbligazionario Breve Termine]]</f>
        <v>0.188113</v>
      </c>
      <c r="Y59">
        <f>TBL_TEV[[#This Row],[Etica Obbligazionario Misto]]</f>
        <v>0.90024300000000002</v>
      </c>
      <c r="Z59">
        <f>TBL_TEV[[#This Row],[Etica Bilanciato]]</f>
        <v>1.986218</v>
      </c>
      <c r="AA59">
        <f>TBL_TEV[[#This Row],[Etica Azionario]]</f>
        <v>2.811534</v>
      </c>
      <c r="AB59">
        <f>TBL_TEV[[#This Row],[Etica Transizione Climatica]]</f>
        <v>1.9824090000000001</v>
      </c>
      <c r="AC59">
        <f>TBL_TEV[[#This Row],[Etica Obiettivo Sociale]]</f>
        <v>6.1999769425771047</v>
      </c>
      <c r="AD59">
        <f>TBL_TEV[[#This Row],[Etica Conservative Allocation]]</f>
        <v>0.74626099999999995</v>
      </c>
      <c r="AE59">
        <f>TBL_TEV[[#This Row],[Etica Dynamic Allocation]]</f>
        <v>2.2279870000000002</v>
      </c>
      <c r="AF59">
        <f>TBL_TEV[[#This Row],[Etica Global Equity]]</f>
        <v>3.3698410000000001</v>
      </c>
      <c r="AL59">
        <f ca="1"/>
        <v>1.465058</v>
      </c>
      <c r="AM59">
        <f ca="1"/>
        <v>0.18731900000000001</v>
      </c>
      <c r="AN59">
        <f ca="1"/>
        <v>0.90421200000000002</v>
      </c>
      <c r="AO59">
        <f ca="1"/>
        <v>1.987806</v>
      </c>
      <c r="AP59">
        <f ca="1"/>
        <v>2.8058190000000001</v>
      </c>
      <c r="AQ59">
        <f ca="1"/>
        <v>2.0025689999999998</v>
      </c>
      <c r="AR59">
        <f ca="1"/>
        <v>6.3758435380745215</v>
      </c>
      <c r="AS59">
        <f ca="1"/>
        <v>0.74753099999999995</v>
      </c>
      <c r="AT59">
        <f ca="1"/>
        <v>2.2271930000000002</v>
      </c>
      <c r="AU59">
        <f ca="1"/>
        <v>3.360633</v>
      </c>
    </row>
    <row r="60" spans="1:47">
      <c r="A60" s="43">
        <f>TBL_TEV[[#This Row],[Data2]]</f>
        <v>45373</v>
      </c>
      <c r="B60" cm="1">
        <f t="array" ref="B60">_xlfn.XLOOKUP(_xlfn.ANCHORARRAY(A60), TBL_Limiti_CDA[Data], TBL_Limiti_CDA[Etica Rendita Bilanciata], , -1)</f>
        <v>1.75</v>
      </c>
      <c r="C60" cm="1">
        <f t="array" ref="C60">_xlfn.XLOOKUP(_xlfn.ANCHORARRAY(A60), TBL_Limiti_CDA[Data], TBL_Limiti_CDA[Etica Obbligazionario Breve Termine], , -1)</f>
        <v>0.5</v>
      </c>
      <c r="D60" cm="1">
        <f t="array" ref="D60">_xlfn.XLOOKUP(_xlfn.ANCHORARRAY(A60), TBL_Limiti_CDA[Data], TBL_Limiti_CDA[Etica Obbligazionario Misto], , -1)</f>
        <v>1</v>
      </c>
      <c r="E60" cm="1">
        <f t="array" ref="E60">_xlfn.XLOOKUP(_xlfn.ANCHORARRAY(A60), TBL_Limiti_CDA[Data], TBL_Limiti_CDA[Etica Bilanciato], , -1)</f>
        <v>3</v>
      </c>
      <c r="F60" cm="1">
        <f t="array" ref="F60">_xlfn.XLOOKUP(_xlfn.ANCHORARRAY(A60), TBL_Limiti_CDA[Data], TBL_Limiti_CDA[Etica Azionario], , -1)</f>
        <v>3.5</v>
      </c>
      <c r="G60" cm="1">
        <f t="array" ref="G60">_xlfn.XLOOKUP(_xlfn.ANCHORARRAY(A60), TBL_Limiti_CDA[Data], TBL_Limiti_CDA[Etica Transizione Climatica], , -1)</f>
        <v>2.75</v>
      </c>
      <c r="H60" cm="1">
        <f t="array" ref="H60">_xlfn.XLOOKUP(_xlfn.ANCHORARRAY(A60), TBL_Limiti_CDA[Data], TBL_Limiti_CDA[Etica Obiettivo Sociale], , -1)</f>
        <v>7.49</v>
      </c>
      <c r="I60" cm="1">
        <f t="array" ref="I60">_xlfn.XLOOKUP(_xlfn.ANCHORARRAY(A60), TBL_Limiti_CDA[Data], TBL_Limiti_CDA[Etica Conservative Allocation], , -1)</f>
        <v>1</v>
      </c>
      <c r="J60" cm="1">
        <f t="array" ref="J60">_xlfn.XLOOKUP(_xlfn.ANCHORARRAY(A60), TBL_Limiti_CDA[Data], TBL_Limiti_CDA[Etica Dynamic Allocation], , -1)</f>
        <v>3</v>
      </c>
      <c r="K60" cm="1">
        <f t="array" ref="K60">_xlfn.XLOOKUP(_xlfn.ANCHORARRAY(A60), TBL_Limiti_CDA[Data], TBL_Limiti_CDA[Etica Global Equity], , -1)</f>
        <v>3.5</v>
      </c>
      <c r="L60" cm="1">
        <f t="array" ref="L60">_xlfn.ANCHORARRAY(B60)+0.15</f>
        <v>1.9</v>
      </c>
      <c r="M60" cm="1">
        <f t="array" ref="M60">_xlfn.ANCHORARRAY(C60)+0.1</f>
        <v>0.6</v>
      </c>
      <c r="N60" cm="1">
        <f t="array" ref="N60">_xlfn.ANCHORARRAY(D60)+0.15</f>
        <v>1.1499999999999999</v>
      </c>
      <c r="O60" cm="1">
        <f t="array" ref="O60">_xlfn.ANCHORARRAY(E60)+0.15</f>
        <v>3.15</v>
      </c>
      <c r="P60" cm="1">
        <f t="array" ref="P60">_xlfn.ANCHORARRAY(F60)+0.15</f>
        <v>3.65</v>
      </c>
      <c r="Q60" cm="1">
        <f t="array" ref="Q60">_xlfn.ANCHORARRAY(G60)+0.15</f>
        <v>2.9</v>
      </c>
      <c r="R60" cm="1">
        <f t="array" ref="R60">_xlfn.ANCHORARRAY(H60)</f>
        <v>7.49</v>
      </c>
      <c r="S60" cm="1">
        <f t="array" ref="S60">_xlfn.ANCHORARRAY(R60)+0.15</f>
        <v>7.6400000000000006</v>
      </c>
      <c r="T60" cm="1">
        <f t="array" ref="T60">_xlfn.ANCHORARRAY(I60)+0.15</f>
        <v>1.1499999999999999</v>
      </c>
      <c r="U60" cm="1">
        <f t="array" ref="U60">_xlfn.ANCHORARRAY(J60)+0.15</f>
        <v>3.15</v>
      </c>
      <c r="V60" cm="1">
        <f t="array" ref="V60">_xlfn.ANCHORARRAY(K60)+0.15</f>
        <v>3.65</v>
      </c>
      <c r="W60">
        <f>TBL_TEV[[#This Row],[Etica Rendita Bilanciata]]</f>
        <v>1.465058</v>
      </c>
      <c r="X60">
        <f>TBL_TEV[[#This Row],[Etica Obbligazionario Breve Termine]]</f>
        <v>0.18731900000000001</v>
      </c>
      <c r="Y60">
        <f>TBL_TEV[[#This Row],[Etica Obbligazionario Misto]]</f>
        <v>0.90421200000000002</v>
      </c>
      <c r="Z60">
        <f>TBL_TEV[[#This Row],[Etica Bilanciato]]</f>
        <v>1.987806</v>
      </c>
      <c r="AA60">
        <f>TBL_TEV[[#This Row],[Etica Azionario]]</f>
        <v>2.8058190000000001</v>
      </c>
      <c r="AB60">
        <f>TBL_TEV[[#This Row],[Etica Transizione Climatica]]</f>
        <v>2.0025689999999998</v>
      </c>
      <c r="AC60">
        <f>TBL_TEV[[#This Row],[Etica Obiettivo Sociale]]</f>
        <v>6.3758435380745215</v>
      </c>
      <c r="AD60">
        <f>TBL_TEV[[#This Row],[Etica Conservative Allocation]]</f>
        <v>0.74753099999999995</v>
      </c>
      <c r="AE60">
        <f>TBL_TEV[[#This Row],[Etica Dynamic Allocation]]</f>
        <v>2.2271930000000002</v>
      </c>
      <c r="AF60">
        <f>TBL_TEV[[#This Row],[Etica Global Equity]]</f>
        <v>3.360633</v>
      </c>
      <c r="AL60">
        <f ca="1"/>
        <v>1.472996</v>
      </c>
      <c r="AM60">
        <f ca="1"/>
        <v>0.18573200000000001</v>
      </c>
      <c r="AN60">
        <f ca="1"/>
        <v>0.91024400000000005</v>
      </c>
      <c r="AO60">
        <f ca="1"/>
        <v>1.9884409999999999</v>
      </c>
      <c r="AP60">
        <f ca="1"/>
        <v>2.8040729999999998</v>
      </c>
      <c r="AQ60">
        <f ca="1"/>
        <v>2.015428</v>
      </c>
      <c r="AR60">
        <f ca="1"/>
        <v>6.3174621340602135</v>
      </c>
      <c r="AS60">
        <f ca="1"/>
        <v>0.75483299999999998</v>
      </c>
      <c r="AT60">
        <f ca="1"/>
        <v>2.2262409999999999</v>
      </c>
      <c r="AU60">
        <f ca="1"/>
        <v>3.3538070000000002</v>
      </c>
    </row>
    <row r="61" spans="1:47">
      <c r="A61" s="43">
        <f>TBL_TEV[[#This Row],[Data2]]</f>
        <v>45376</v>
      </c>
      <c r="B61" cm="1">
        <f t="array" ref="B61">_xlfn.XLOOKUP(_xlfn.ANCHORARRAY(A61), TBL_Limiti_CDA[Data], TBL_Limiti_CDA[Etica Rendita Bilanciata], , -1)</f>
        <v>1.75</v>
      </c>
      <c r="C61" cm="1">
        <f t="array" ref="C61">_xlfn.XLOOKUP(_xlfn.ANCHORARRAY(A61), TBL_Limiti_CDA[Data], TBL_Limiti_CDA[Etica Obbligazionario Breve Termine], , -1)</f>
        <v>0.5</v>
      </c>
      <c r="D61" cm="1">
        <f t="array" ref="D61">_xlfn.XLOOKUP(_xlfn.ANCHORARRAY(A61), TBL_Limiti_CDA[Data], TBL_Limiti_CDA[Etica Obbligazionario Misto], , -1)</f>
        <v>1</v>
      </c>
      <c r="E61" cm="1">
        <f t="array" ref="E61">_xlfn.XLOOKUP(_xlfn.ANCHORARRAY(A61), TBL_Limiti_CDA[Data], TBL_Limiti_CDA[Etica Bilanciato], , -1)</f>
        <v>3</v>
      </c>
      <c r="F61" cm="1">
        <f t="array" ref="F61">_xlfn.XLOOKUP(_xlfn.ANCHORARRAY(A61), TBL_Limiti_CDA[Data], TBL_Limiti_CDA[Etica Azionario], , -1)</f>
        <v>3.5</v>
      </c>
      <c r="G61" cm="1">
        <f t="array" ref="G61">_xlfn.XLOOKUP(_xlfn.ANCHORARRAY(A61), TBL_Limiti_CDA[Data], TBL_Limiti_CDA[Etica Transizione Climatica], , -1)</f>
        <v>2.75</v>
      </c>
      <c r="H61" cm="1">
        <f t="array" ref="H61">_xlfn.XLOOKUP(_xlfn.ANCHORARRAY(A61), TBL_Limiti_CDA[Data], TBL_Limiti_CDA[Etica Obiettivo Sociale], , -1)</f>
        <v>7.49</v>
      </c>
      <c r="I61" cm="1">
        <f t="array" ref="I61">_xlfn.XLOOKUP(_xlfn.ANCHORARRAY(A61), TBL_Limiti_CDA[Data], TBL_Limiti_CDA[Etica Conservative Allocation], , -1)</f>
        <v>1</v>
      </c>
      <c r="J61" cm="1">
        <f t="array" ref="J61">_xlfn.XLOOKUP(_xlfn.ANCHORARRAY(A61), TBL_Limiti_CDA[Data], TBL_Limiti_CDA[Etica Dynamic Allocation], , -1)</f>
        <v>3</v>
      </c>
      <c r="K61" cm="1">
        <f t="array" ref="K61">_xlfn.XLOOKUP(_xlfn.ANCHORARRAY(A61), TBL_Limiti_CDA[Data], TBL_Limiti_CDA[Etica Global Equity], , -1)</f>
        <v>3.5</v>
      </c>
      <c r="L61" cm="1">
        <f t="array" ref="L61">_xlfn.ANCHORARRAY(B61)+0.15</f>
        <v>1.9</v>
      </c>
      <c r="M61" cm="1">
        <f t="array" ref="M61">_xlfn.ANCHORARRAY(C61)+0.1</f>
        <v>0.6</v>
      </c>
      <c r="N61" cm="1">
        <f t="array" ref="N61">_xlfn.ANCHORARRAY(D61)+0.15</f>
        <v>1.1499999999999999</v>
      </c>
      <c r="O61" cm="1">
        <f t="array" ref="O61">_xlfn.ANCHORARRAY(E61)+0.15</f>
        <v>3.15</v>
      </c>
      <c r="P61" cm="1">
        <f t="array" ref="P61">_xlfn.ANCHORARRAY(F61)+0.15</f>
        <v>3.65</v>
      </c>
      <c r="Q61" cm="1">
        <f t="array" ref="Q61">_xlfn.ANCHORARRAY(G61)+0.15</f>
        <v>2.9</v>
      </c>
      <c r="R61" cm="1">
        <f t="array" ref="R61">_xlfn.ANCHORARRAY(H61)</f>
        <v>7.49</v>
      </c>
      <c r="S61" cm="1">
        <f t="array" ref="S61">_xlfn.ANCHORARRAY(R61)+0.15</f>
        <v>7.6400000000000006</v>
      </c>
      <c r="T61" cm="1">
        <f t="array" ref="T61">_xlfn.ANCHORARRAY(I61)+0.15</f>
        <v>1.1499999999999999</v>
      </c>
      <c r="U61" cm="1">
        <f t="array" ref="U61">_xlfn.ANCHORARRAY(J61)+0.15</f>
        <v>3.15</v>
      </c>
      <c r="V61" cm="1">
        <f t="array" ref="V61">_xlfn.ANCHORARRAY(K61)+0.15</f>
        <v>3.65</v>
      </c>
      <c r="W61">
        <f>TBL_TEV[[#This Row],[Etica Rendita Bilanciata]]</f>
        <v>1.472996</v>
      </c>
      <c r="X61">
        <f>TBL_TEV[[#This Row],[Etica Obbligazionario Breve Termine]]</f>
        <v>0.18573200000000001</v>
      </c>
      <c r="Y61">
        <f>TBL_TEV[[#This Row],[Etica Obbligazionario Misto]]</f>
        <v>0.91024400000000005</v>
      </c>
      <c r="Z61">
        <f>TBL_TEV[[#This Row],[Etica Bilanciato]]</f>
        <v>1.9884409999999999</v>
      </c>
      <c r="AA61">
        <f>TBL_TEV[[#This Row],[Etica Azionario]]</f>
        <v>2.8040729999999998</v>
      </c>
      <c r="AB61">
        <f>TBL_TEV[[#This Row],[Etica Transizione Climatica]]</f>
        <v>2.015428</v>
      </c>
      <c r="AC61">
        <f>TBL_TEV[[#This Row],[Etica Obiettivo Sociale]]</f>
        <v>6.3174621340602135</v>
      </c>
      <c r="AD61">
        <f>TBL_TEV[[#This Row],[Etica Conservative Allocation]]</f>
        <v>0.75483299999999998</v>
      </c>
      <c r="AE61">
        <f>TBL_TEV[[#This Row],[Etica Dynamic Allocation]]</f>
        <v>2.2262409999999999</v>
      </c>
      <c r="AF61">
        <f>TBL_TEV[[#This Row],[Etica Global Equity]]</f>
        <v>3.3538070000000002</v>
      </c>
      <c r="AL61">
        <f ca="1"/>
        <v>1.468709</v>
      </c>
      <c r="AM61">
        <f ca="1"/>
        <v>0.18509700000000001</v>
      </c>
      <c r="AN61">
        <f ca="1"/>
        <v>0.90849800000000003</v>
      </c>
      <c r="AO61">
        <f ca="1"/>
        <v>1.985107</v>
      </c>
      <c r="AP61">
        <f ca="1"/>
        <v>2.8005810000000002</v>
      </c>
      <c r="AQ61">
        <f ca="1"/>
        <v>1.994156</v>
      </c>
      <c r="AR61">
        <f ca="1"/>
        <v>6.3124206402886758</v>
      </c>
      <c r="AS61">
        <f ca="1"/>
        <v>0.74943599999999999</v>
      </c>
      <c r="AT61">
        <f ca="1"/>
        <v>2.2051280000000002</v>
      </c>
      <c r="AU61">
        <f ca="1"/>
        <v>3.3345989999999999</v>
      </c>
    </row>
    <row r="62" spans="1:47">
      <c r="A62" s="43">
        <f>TBL_TEV[[#This Row],[Data2]]</f>
        <v>45377</v>
      </c>
      <c r="B62" cm="1">
        <f t="array" ref="B62">_xlfn.XLOOKUP(_xlfn.ANCHORARRAY(A62), TBL_Limiti_CDA[Data], TBL_Limiti_CDA[Etica Rendita Bilanciata], , -1)</f>
        <v>1.75</v>
      </c>
      <c r="C62" cm="1">
        <f t="array" ref="C62">_xlfn.XLOOKUP(_xlfn.ANCHORARRAY(A62), TBL_Limiti_CDA[Data], TBL_Limiti_CDA[Etica Obbligazionario Breve Termine], , -1)</f>
        <v>0.5</v>
      </c>
      <c r="D62" cm="1">
        <f t="array" ref="D62">_xlfn.XLOOKUP(_xlfn.ANCHORARRAY(A62), TBL_Limiti_CDA[Data], TBL_Limiti_CDA[Etica Obbligazionario Misto], , -1)</f>
        <v>1</v>
      </c>
      <c r="E62" cm="1">
        <f t="array" ref="E62">_xlfn.XLOOKUP(_xlfn.ANCHORARRAY(A62), TBL_Limiti_CDA[Data], TBL_Limiti_CDA[Etica Bilanciato], , -1)</f>
        <v>3</v>
      </c>
      <c r="F62" cm="1">
        <f t="array" ref="F62">_xlfn.XLOOKUP(_xlfn.ANCHORARRAY(A62), TBL_Limiti_CDA[Data], TBL_Limiti_CDA[Etica Azionario], , -1)</f>
        <v>3.5</v>
      </c>
      <c r="G62" cm="1">
        <f t="array" ref="G62">_xlfn.XLOOKUP(_xlfn.ANCHORARRAY(A62), TBL_Limiti_CDA[Data], TBL_Limiti_CDA[Etica Transizione Climatica], , -1)</f>
        <v>2.75</v>
      </c>
      <c r="H62" cm="1">
        <f t="array" ref="H62">_xlfn.XLOOKUP(_xlfn.ANCHORARRAY(A62), TBL_Limiti_CDA[Data], TBL_Limiti_CDA[Etica Obiettivo Sociale], , -1)</f>
        <v>7.49</v>
      </c>
      <c r="I62" cm="1">
        <f t="array" ref="I62">_xlfn.XLOOKUP(_xlfn.ANCHORARRAY(A62), TBL_Limiti_CDA[Data], TBL_Limiti_CDA[Etica Conservative Allocation], , -1)</f>
        <v>1</v>
      </c>
      <c r="J62" cm="1">
        <f t="array" ref="J62">_xlfn.XLOOKUP(_xlfn.ANCHORARRAY(A62), TBL_Limiti_CDA[Data], TBL_Limiti_CDA[Etica Dynamic Allocation], , -1)</f>
        <v>3</v>
      </c>
      <c r="K62" cm="1">
        <f t="array" ref="K62">_xlfn.XLOOKUP(_xlfn.ANCHORARRAY(A62), TBL_Limiti_CDA[Data], TBL_Limiti_CDA[Etica Global Equity], , -1)</f>
        <v>3.5</v>
      </c>
      <c r="L62" cm="1">
        <f t="array" ref="L62">_xlfn.ANCHORARRAY(B62)+0.15</f>
        <v>1.9</v>
      </c>
      <c r="M62" cm="1">
        <f t="array" ref="M62">_xlfn.ANCHORARRAY(C62)+0.1</f>
        <v>0.6</v>
      </c>
      <c r="N62" cm="1">
        <f t="array" ref="N62">_xlfn.ANCHORARRAY(D62)+0.15</f>
        <v>1.1499999999999999</v>
      </c>
      <c r="O62" cm="1">
        <f t="array" ref="O62">_xlfn.ANCHORARRAY(E62)+0.15</f>
        <v>3.15</v>
      </c>
      <c r="P62" cm="1">
        <f t="array" ref="P62">_xlfn.ANCHORARRAY(F62)+0.15</f>
        <v>3.65</v>
      </c>
      <c r="Q62" cm="1">
        <f t="array" ref="Q62">_xlfn.ANCHORARRAY(G62)+0.15</f>
        <v>2.9</v>
      </c>
      <c r="R62" cm="1">
        <f t="array" ref="R62">_xlfn.ANCHORARRAY(H62)</f>
        <v>7.49</v>
      </c>
      <c r="S62" cm="1">
        <f t="array" ref="S62">_xlfn.ANCHORARRAY(R62)+0.15</f>
        <v>7.6400000000000006</v>
      </c>
      <c r="T62" cm="1">
        <f t="array" ref="T62">_xlfn.ANCHORARRAY(I62)+0.15</f>
        <v>1.1499999999999999</v>
      </c>
      <c r="U62" cm="1">
        <f t="array" ref="U62">_xlfn.ANCHORARRAY(J62)+0.15</f>
        <v>3.15</v>
      </c>
      <c r="V62" cm="1">
        <f t="array" ref="V62">_xlfn.ANCHORARRAY(K62)+0.15</f>
        <v>3.65</v>
      </c>
      <c r="W62">
        <f>TBL_TEV[[#This Row],[Etica Rendita Bilanciata]]</f>
        <v>1.468709</v>
      </c>
      <c r="X62">
        <f>TBL_TEV[[#This Row],[Etica Obbligazionario Breve Termine]]</f>
        <v>0.18509700000000001</v>
      </c>
      <c r="Y62">
        <f>TBL_TEV[[#This Row],[Etica Obbligazionario Misto]]</f>
        <v>0.90849800000000003</v>
      </c>
      <c r="Z62">
        <f>TBL_TEV[[#This Row],[Etica Bilanciato]]</f>
        <v>1.985107</v>
      </c>
      <c r="AA62">
        <f>TBL_TEV[[#This Row],[Etica Azionario]]</f>
        <v>2.8005810000000002</v>
      </c>
      <c r="AB62">
        <f>TBL_TEV[[#This Row],[Etica Transizione Climatica]]</f>
        <v>1.994156</v>
      </c>
      <c r="AC62">
        <f>TBL_TEV[[#This Row],[Etica Obiettivo Sociale]]</f>
        <v>6.3124206402886758</v>
      </c>
      <c r="AD62">
        <f>TBL_TEV[[#This Row],[Etica Conservative Allocation]]</f>
        <v>0.74943599999999999</v>
      </c>
      <c r="AE62">
        <f>TBL_TEV[[#This Row],[Etica Dynamic Allocation]]</f>
        <v>2.2051280000000002</v>
      </c>
      <c r="AF62">
        <f>TBL_TEV[[#This Row],[Etica Global Equity]]</f>
        <v>3.3345989999999999</v>
      </c>
      <c r="AL62">
        <f ca="1"/>
        <v>1.479822</v>
      </c>
      <c r="AM62">
        <f ca="1"/>
        <v>0.18430299999999999</v>
      </c>
      <c r="AN62">
        <f ca="1"/>
        <v>0.921991</v>
      </c>
      <c r="AO62">
        <f ca="1"/>
        <v>2.005744</v>
      </c>
      <c r="AP62">
        <f ca="1"/>
        <v>2.8135979999999998</v>
      </c>
      <c r="AQ62">
        <f ca="1"/>
        <v>2.0138400000000001</v>
      </c>
      <c r="AR62">
        <f ca="1"/>
        <v>6.2962786559061792</v>
      </c>
      <c r="AS62">
        <f ca="1"/>
        <v>0.751023</v>
      </c>
      <c r="AT62">
        <f ca="1"/>
        <v>2.4218150000000001</v>
      </c>
      <c r="AU62">
        <f ca="1"/>
        <v>3.6376430000000002</v>
      </c>
    </row>
    <row r="63" spans="1:47">
      <c r="A63" s="43">
        <f>TBL_TEV[[#This Row],[Data2]]</f>
        <v>45378</v>
      </c>
      <c r="B63" cm="1">
        <f t="array" ref="B63">_xlfn.XLOOKUP(_xlfn.ANCHORARRAY(A63), TBL_Limiti_CDA[Data], TBL_Limiti_CDA[Etica Rendita Bilanciata], , -1)</f>
        <v>1.75</v>
      </c>
      <c r="C63" cm="1">
        <f t="array" ref="C63">_xlfn.XLOOKUP(_xlfn.ANCHORARRAY(A63), TBL_Limiti_CDA[Data], TBL_Limiti_CDA[Etica Obbligazionario Breve Termine], , -1)</f>
        <v>0.5</v>
      </c>
      <c r="D63" cm="1">
        <f t="array" ref="D63">_xlfn.XLOOKUP(_xlfn.ANCHORARRAY(A63), TBL_Limiti_CDA[Data], TBL_Limiti_CDA[Etica Obbligazionario Misto], , -1)</f>
        <v>1</v>
      </c>
      <c r="E63" cm="1">
        <f t="array" ref="E63">_xlfn.XLOOKUP(_xlfn.ANCHORARRAY(A63), TBL_Limiti_CDA[Data], TBL_Limiti_CDA[Etica Bilanciato], , -1)</f>
        <v>3</v>
      </c>
      <c r="F63" cm="1">
        <f t="array" ref="F63">_xlfn.XLOOKUP(_xlfn.ANCHORARRAY(A63), TBL_Limiti_CDA[Data], TBL_Limiti_CDA[Etica Azionario], , -1)</f>
        <v>3.5</v>
      </c>
      <c r="G63" cm="1">
        <f t="array" ref="G63">_xlfn.XLOOKUP(_xlfn.ANCHORARRAY(A63), TBL_Limiti_CDA[Data], TBL_Limiti_CDA[Etica Transizione Climatica], , -1)</f>
        <v>2.75</v>
      </c>
      <c r="H63" cm="1">
        <f t="array" ref="H63">_xlfn.XLOOKUP(_xlfn.ANCHORARRAY(A63), TBL_Limiti_CDA[Data], TBL_Limiti_CDA[Etica Obiettivo Sociale], , -1)</f>
        <v>7.49</v>
      </c>
      <c r="I63" cm="1">
        <f t="array" ref="I63">_xlfn.XLOOKUP(_xlfn.ANCHORARRAY(A63), TBL_Limiti_CDA[Data], TBL_Limiti_CDA[Etica Conservative Allocation], , -1)</f>
        <v>1</v>
      </c>
      <c r="J63" cm="1">
        <f t="array" ref="J63">_xlfn.XLOOKUP(_xlfn.ANCHORARRAY(A63), TBL_Limiti_CDA[Data], TBL_Limiti_CDA[Etica Dynamic Allocation], , -1)</f>
        <v>3</v>
      </c>
      <c r="K63" cm="1">
        <f t="array" ref="K63">_xlfn.XLOOKUP(_xlfn.ANCHORARRAY(A63), TBL_Limiti_CDA[Data], TBL_Limiti_CDA[Etica Global Equity], , -1)</f>
        <v>3.5</v>
      </c>
      <c r="L63" cm="1">
        <f t="array" ref="L63">_xlfn.ANCHORARRAY(B63)+0.15</f>
        <v>1.9</v>
      </c>
      <c r="M63" cm="1">
        <f t="array" ref="M63">_xlfn.ANCHORARRAY(C63)+0.1</f>
        <v>0.6</v>
      </c>
      <c r="N63" cm="1">
        <f t="array" ref="N63">_xlfn.ANCHORARRAY(D63)+0.15</f>
        <v>1.1499999999999999</v>
      </c>
      <c r="O63" cm="1">
        <f t="array" ref="O63">_xlfn.ANCHORARRAY(E63)+0.15</f>
        <v>3.15</v>
      </c>
      <c r="P63" cm="1">
        <f t="array" ref="P63">_xlfn.ANCHORARRAY(F63)+0.15</f>
        <v>3.65</v>
      </c>
      <c r="Q63" cm="1">
        <f t="array" ref="Q63">_xlfn.ANCHORARRAY(G63)+0.15</f>
        <v>2.9</v>
      </c>
      <c r="R63" cm="1">
        <f t="array" ref="R63">_xlfn.ANCHORARRAY(H63)</f>
        <v>7.49</v>
      </c>
      <c r="S63" cm="1">
        <f t="array" ref="S63">_xlfn.ANCHORARRAY(R63)+0.15</f>
        <v>7.6400000000000006</v>
      </c>
      <c r="T63" cm="1">
        <f t="array" ref="T63">_xlfn.ANCHORARRAY(I63)+0.15</f>
        <v>1.1499999999999999</v>
      </c>
      <c r="U63" cm="1">
        <f t="array" ref="U63">_xlfn.ANCHORARRAY(J63)+0.15</f>
        <v>3.15</v>
      </c>
      <c r="V63" cm="1">
        <f t="array" ref="V63">_xlfn.ANCHORARRAY(K63)+0.15</f>
        <v>3.65</v>
      </c>
      <c r="W63">
        <f>TBL_TEV[[#This Row],[Etica Rendita Bilanciata]]</f>
        <v>1.479822</v>
      </c>
      <c r="X63">
        <f>TBL_TEV[[#This Row],[Etica Obbligazionario Breve Termine]]</f>
        <v>0.18430299999999999</v>
      </c>
      <c r="Y63">
        <f>TBL_TEV[[#This Row],[Etica Obbligazionario Misto]]</f>
        <v>0.921991</v>
      </c>
      <c r="Z63">
        <f>TBL_TEV[[#This Row],[Etica Bilanciato]]</f>
        <v>2.005744</v>
      </c>
      <c r="AA63">
        <f>TBL_TEV[[#This Row],[Etica Azionario]]</f>
        <v>2.8135979999999998</v>
      </c>
      <c r="AB63">
        <f>TBL_TEV[[#This Row],[Etica Transizione Climatica]]</f>
        <v>2.0138400000000001</v>
      </c>
      <c r="AC63">
        <f>TBL_TEV[[#This Row],[Etica Obiettivo Sociale]]</f>
        <v>6.2962786559061792</v>
      </c>
      <c r="AD63">
        <f>TBL_TEV[[#This Row],[Etica Conservative Allocation]]</f>
        <v>0.751023</v>
      </c>
      <c r="AE63">
        <f>TBL_TEV[[#This Row],[Etica Dynamic Allocation]]</f>
        <v>2.4218150000000001</v>
      </c>
      <c r="AF63">
        <f>TBL_TEV[[#This Row],[Etica Global Equity]]</f>
        <v>3.6376430000000002</v>
      </c>
      <c r="AL63">
        <f ca="1"/>
        <v>1.442358</v>
      </c>
      <c r="AM63">
        <f ca="1"/>
        <v>0.16572999999999999</v>
      </c>
      <c r="AN63">
        <f ca="1"/>
        <v>0.87214499999999995</v>
      </c>
      <c r="AO63">
        <f ca="1"/>
        <v>1.911767</v>
      </c>
      <c r="AP63">
        <f ca="1"/>
        <v>2.7134299999999998</v>
      </c>
      <c r="AQ63">
        <f ca="1"/>
        <v>1.975741</v>
      </c>
      <c r="AR63">
        <f ca="1"/>
        <v>6.2947147267397074</v>
      </c>
      <c r="AS63">
        <f ca="1"/>
        <v>0.747054</v>
      </c>
      <c r="AT63">
        <f ca="1"/>
        <v>2.3981620000000001</v>
      </c>
      <c r="AU63">
        <f ca="1"/>
        <v>3.6203400000000001</v>
      </c>
    </row>
    <row r="64" spans="1:47">
      <c r="A64" s="43">
        <f>TBL_TEV[[#This Row],[Data2]]</f>
        <v>45379</v>
      </c>
      <c r="B64" cm="1">
        <f t="array" ref="B64">_xlfn.XLOOKUP(_xlfn.ANCHORARRAY(A64), TBL_Limiti_CDA[Data], TBL_Limiti_CDA[Etica Rendita Bilanciata], , -1)</f>
        <v>1.75</v>
      </c>
      <c r="C64" cm="1">
        <f t="array" ref="C64">_xlfn.XLOOKUP(_xlfn.ANCHORARRAY(A64), TBL_Limiti_CDA[Data], TBL_Limiti_CDA[Etica Obbligazionario Breve Termine], , -1)</f>
        <v>0.5</v>
      </c>
      <c r="D64" cm="1">
        <f t="array" ref="D64">_xlfn.XLOOKUP(_xlfn.ANCHORARRAY(A64), TBL_Limiti_CDA[Data], TBL_Limiti_CDA[Etica Obbligazionario Misto], , -1)</f>
        <v>1</v>
      </c>
      <c r="E64" cm="1">
        <f t="array" ref="E64">_xlfn.XLOOKUP(_xlfn.ANCHORARRAY(A64), TBL_Limiti_CDA[Data], TBL_Limiti_CDA[Etica Bilanciato], , -1)</f>
        <v>3</v>
      </c>
      <c r="F64" cm="1">
        <f t="array" ref="F64">_xlfn.XLOOKUP(_xlfn.ANCHORARRAY(A64), TBL_Limiti_CDA[Data], TBL_Limiti_CDA[Etica Azionario], , -1)</f>
        <v>3.5</v>
      </c>
      <c r="G64" cm="1">
        <f t="array" ref="G64">_xlfn.XLOOKUP(_xlfn.ANCHORARRAY(A64), TBL_Limiti_CDA[Data], TBL_Limiti_CDA[Etica Transizione Climatica], , -1)</f>
        <v>2.75</v>
      </c>
      <c r="H64" cm="1">
        <f t="array" ref="H64">_xlfn.XLOOKUP(_xlfn.ANCHORARRAY(A64), TBL_Limiti_CDA[Data], TBL_Limiti_CDA[Etica Obiettivo Sociale], , -1)</f>
        <v>7.49</v>
      </c>
      <c r="I64" cm="1">
        <f t="array" ref="I64">_xlfn.XLOOKUP(_xlfn.ANCHORARRAY(A64), TBL_Limiti_CDA[Data], TBL_Limiti_CDA[Etica Conservative Allocation], , -1)</f>
        <v>1</v>
      </c>
      <c r="J64" cm="1">
        <f t="array" ref="J64">_xlfn.XLOOKUP(_xlfn.ANCHORARRAY(A64), TBL_Limiti_CDA[Data], TBL_Limiti_CDA[Etica Dynamic Allocation], , -1)</f>
        <v>3</v>
      </c>
      <c r="K64" cm="1">
        <f t="array" ref="K64">_xlfn.XLOOKUP(_xlfn.ANCHORARRAY(A64), TBL_Limiti_CDA[Data], TBL_Limiti_CDA[Etica Global Equity], , -1)</f>
        <v>3.5</v>
      </c>
      <c r="L64" cm="1">
        <f t="array" ref="L64">_xlfn.ANCHORARRAY(B64)+0.15</f>
        <v>1.9</v>
      </c>
      <c r="M64" cm="1">
        <f t="array" ref="M64">_xlfn.ANCHORARRAY(C64)+0.1</f>
        <v>0.6</v>
      </c>
      <c r="N64" cm="1">
        <f t="array" ref="N64">_xlfn.ANCHORARRAY(D64)+0.15</f>
        <v>1.1499999999999999</v>
      </c>
      <c r="O64" cm="1">
        <f t="array" ref="O64">_xlfn.ANCHORARRAY(E64)+0.15</f>
        <v>3.15</v>
      </c>
      <c r="P64" cm="1">
        <f t="array" ref="P64">_xlfn.ANCHORARRAY(F64)+0.15</f>
        <v>3.65</v>
      </c>
      <c r="Q64" cm="1">
        <f t="array" ref="Q64">_xlfn.ANCHORARRAY(G64)+0.15</f>
        <v>2.9</v>
      </c>
      <c r="R64" cm="1">
        <f t="array" ref="R64">_xlfn.ANCHORARRAY(H64)</f>
        <v>7.49</v>
      </c>
      <c r="S64" cm="1">
        <f t="array" ref="S64">_xlfn.ANCHORARRAY(R64)+0.15</f>
        <v>7.6400000000000006</v>
      </c>
      <c r="T64" cm="1">
        <f t="array" ref="T64">_xlfn.ANCHORARRAY(I64)+0.15</f>
        <v>1.1499999999999999</v>
      </c>
      <c r="U64" cm="1">
        <f t="array" ref="U64">_xlfn.ANCHORARRAY(J64)+0.15</f>
        <v>3.15</v>
      </c>
      <c r="V64" cm="1">
        <f t="array" ref="V64">_xlfn.ANCHORARRAY(K64)+0.15</f>
        <v>3.65</v>
      </c>
      <c r="W64">
        <f>TBL_TEV[[#This Row],[Etica Rendita Bilanciata]]</f>
        <v>1.442358</v>
      </c>
      <c r="X64">
        <f>TBL_TEV[[#This Row],[Etica Obbligazionario Breve Termine]]</f>
        <v>0.16572999999999999</v>
      </c>
      <c r="Y64">
        <f>TBL_TEV[[#This Row],[Etica Obbligazionario Misto]]</f>
        <v>0.87214499999999995</v>
      </c>
      <c r="Z64">
        <f>TBL_TEV[[#This Row],[Etica Bilanciato]]</f>
        <v>1.911767</v>
      </c>
      <c r="AA64">
        <f>TBL_TEV[[#This Row],[Etica Azionario]]</f>
        <v>2.7134299999999998</v>
      </c>
      <c r="AB64">
        <f>TBL_TEV[[#This Row],[Etica Transizione Climatica]]</f>
        <v>1.975741</v>
      </c>
      <c r="AC64">
        <f>TBL_TEV[[#This Row],[Etica Obiettivo Sociale]]</f>
        <v>6.2947147267397074</v>
      </c>
      <c r="AD64">
        <f>TBL_TEV[[#This Row],[Etica Conservative Allocation]]</f>
        <v>0.747054</v>
      </c>
      <c r="AE64">
        <f>TBL_TEV[[#This Row],[Etica Dynamic Allocation]]</f>
        <v>2.3981620000000001</v>
      </c>
      <c r="AF64">
        <f>TBL_TEV[[#This Row],[Etica Global Equity]]</f>
        <v>3.6203400000000001</v>
      </c>
      <c r="AL64">
        <f ca="1"/>
        <v>1.435214</v>
      </c>
      <c r="AM64">
        <f ca="1"/>
        <v>0.15684000000000001</v>
      </c>
      <c r="AN64">
        <f ca="1"/>
        <v>0.86754200000000004</v>
      </c>
      <c r="AO64">
        <f ca="1"/>
        <v>1.9028769999999999</v>
      </c>
      <c r="AP64">
        <f ca="1"/>
        <v>2.7008890000000001</v>
      </c>
      <c r="AQ64">
        <f ca="1"/>
        <v>1.975741</v>
      </c>
      <c r="AR64">
        <f ca="1"/>
        <v>6.2947147267397074</v>
      </c>
      <c r="AS64">
        <f ca="1"/>
        <v>0.66022099999999995</v>
      </c>
      <c r="AT64">
        <f ca="1"/>
        <v>2.399114</v>
      </c>
      <c r="AU64">
        <f ca="1"/>
        <v>3.6227209999999999</v>
      </c>
    </row>
    <row r="65" spans="1:47">
      <c r="A65" s="43">
        <f>TBL_TEV[[#This Row],[Data2]]</f>
        <v>45380</v>
      </c>
      <c r="B65" cm="1">
        <f t="array" ref="B65">_xlfn.XLOOKUP(_xlfn.ANCHORARRAY(A65), TBL_Limiti_CDA[Data], TBL_Limiti_CDA[Etica Rendita Bilanciata], , -1)</f>
        <v>1.75</v>
      </c>
      <c r="C65" cm="1">
        <f t="array" ref="C65">_xlfn.XLOOKUP(_xlfn.ANCHORARRAY(A65), TBL_Limiti_CDA[Data], TBL_Limiti_CDA[Etica Obbligazionario Breve Termine], , -1)</f>
        <v>0.5</v>
      </c>
      <c r="D65" cm="1">
        <f t="array" ref="D65">_xlfn.XLOOKUP(_xlfn.ANCHORARRAY(A65), TBL_Limiti_CDA[Data], TBL_Limiti_CDA[Etica Obbligazionario Misto], , -1)</f>
        <v>1</v>
      </c>
      <c r="E65" cm="1">
        <f t="array" ref="E65">_xlfn.XLOOKUP(_xlfn.ANCHORARRAY(A65), TBL_Limiti_CDA[Data], TBL_Limiti_CDA[Etica Bilanciato], , -1)</f>
        <v>3</v>
      </c>
      <c r="F65" cm="1">
        <f t="array" ref="F65">_xlfn.XLOOKUP(_xlfn.ANCHORARRAY(A65), TBL_Limiti_CDA[Data], TBL_Limiti_CDA[Etica Azionario], , -1)</f>
        <v>3.5</v>
      </c>
      <c r="G65" cm="1">
        <f t="array" ref="G65">_xlfn.XLOOKUP(_xlfn.ANCHORARRAY(A65), TBL_Limiti_CDA[Data], TBL_Limiti_CDA[Etica Transizione Climatica], , -1)</f>
        <v>2.75</v>
      </c>
      <c r="H65" cm="1">
        <f t="array" ref="H65">_xlfn.XLOOKUP(_xlfn.ANCHORARRAY(A65), TBL_Limiti_CDA[Data], TBL_Limiti_CDA[Etica Obiettivo Sociale], , -1)</f>
        <v>7.49</v>
      </c>
      <c r="I65" cm="1">
        <f t="array" ref="I65">_xlfn.XLOOKUP(_xlfn.ANCHORARRAY(A65), TBL_Limiti_CDA[Data], TBL_Limiti_CDA[Etica Conservative Allocation], , -1)</f>
        <v>1</v>
      </c>
      <c r="J65" cm="1">
        <f t="array" ref="J65">_xlfn.XLOOKUP(_xlfn.ANCHORARRAY(A65), TBL_Limiti_CDA[Data], TBL_Limiti_CDA[Etica Dynamic Allocation], , -1)</f>
        <v>3</v>
      </c>
      <c r="K65" cm="1">
        <f t="array" ref="K65">_xlfn.XLOOKUP(_xlfn.ANCHORARRAY(A65), TBL_Limiti_CDA[Data], TBL_Limiti_CDA[Etica Global Equity], , -1)</f>
        <v>3.5</v>
      </c>
      <c r="L65" cm="1">
        <f t="array" ref="L65">_xlfn.ANCHORARRAY(B65)+0.15</f>
        <v>1.9</v>
      </c>
      <c r="M65" cm="1">
        <f t="array" ref="M65">_xlfn.ANCHORARRAY(C65)+0.1</f>
        <v>0.6</v>
      </c>
      <c r="N65" cm="1">
        <f t="array" ref="N65">_xlfn.ANCHORARRAY(D65)+0.15</f>
        <v>1.1499999999999999</v>
      </c>
      <c r="O65" cm="1">
        <f t="array" ref="O65">_xlfn.ANCHORARRAY(E65)+0.15</f>
        <v>3.15</v>
      </c>
      <c r="P65" cm="1">
        <f t="array" ref="P65">_xlfn.ANCHORARRAY(F65)+0.15</f>
        <v>3.65</v>
      </c>
      <c r="Q65" cm="1">
        <f t="array" ref="Q65">_xlfn.ANCHORARRAY(G65)+0.15</f>
        <v>2.9</v>
      </c>
      <c r="R65" cm="1">
        <f t="array" ref="R65">_xlfn.ANCHORARRAY(H65)</f>
        <v>7.49</v>
      </c>
      <c r="S65" cm="1">
        <f t="array" ref="S65">_xlfn.ANCHORARRAY(R65)+0.15</f>
        <v>7.6400000000000006</v>
      </c>
      <c r="T65" cm="1">
        <f t="array" ref="T65">_xlfn.ANCHORARRAY(I65)+0.15</f>
        <v>1.1499999999999999</v>
      </c>
      <c r="U65" cm="1">
        <f t="array" ref="U65">_xlfn.ANCHORARRAY(J65)+0.15</f>
        <v>3.15</v>
      </c>
      <c r="V65" cm="1">
        <f t="array" ref="V65">_xlfn.ANCHORARRAY(K65)+0.15</f>
        <v>3.65</v>
      </c>
      <c r="W65">
        <f>TBL_TEV[[#This Row],[Etica Rendita Bilanciata]]</f>
        <v>1.435214</v>
      </c>
      <c r="X65">
        <f>TBL_TEV[[#This Row],[Etica Obbligazionario Breve Termine]]</f>
        <v>0.15684000000000001</v>
      </c>
      <c r="Y65">
        <f>TBL_TEV[[#This Row],[Etica Obbligazionario Misto]]</f>
        <v>0.86754200000000004</v>
      </c>
      <c r="Z65">
        <f>TBL_TEV[[#This Row],[Etica Bilanciato]]</f>
        <v>1.9028769999999999</v>
      </c>
      <c r="AA65">
        <f>TBL_TEV[[#This Row],[Etica Azionario]]</f>
        <v>2.7008890000000001</v>
      </c>
      <c r="AB65">
        <f>TBL_TEV[[#This Row],[Etica Transizione Climatica]]</f>
        <v>1.975741</v>
      </c>
      <c r="AC65">
        <f>TBL_TEV[[#This Row],[Etica Obiettivo Sociale]]</f>
        <v>6.2947147267397074</v>
      </c>
      <c r="AD65">
        <f>TBL_TEV[[#This Row],[Etica Conservative Allocation]]</f>
        <v>0.66022099999999995</v>
      </c>
      <c r="AE65">
        <f>TBL_TEV[[#This Row],[Etica Dynamic Allocation]]</f>
        <v>2.399114</v>
      </c>
      <c r="AF65">
        <f>TBL_TEV[[#This Row],[Etica Global Equity]]</f>
        <v>3.6227209999999999</v>
      </c>
      <c r="AL65">
        <f ca="1"/>
        <v>1.392671</v>
      </c>
      <c r="AM65">
        <f ca="1"/>
        <v>0.15604599999999999</v>
      </c>
      <c r="AN65">
        <f ca="1"/>
        <v>0.85055599999999998</v>
      </c>
      <c r="AO65">
        <f ca="1"/>
        <v>1.8325530000000001</v>
      </c>
      <c r="AP65">
        <f ca="1"/>
        <v>2.6078640000000002</v>
      </c>
      <c r="AQ65">
        <f ca="1"/>
        <v>2.0309849999999998</v>
      </c>
      <c r="AR65">
        <f ca="1"/>
        <v>6.1943378074318547</v>
      </c>
      <c r="AS65">
        <f ca="1"/>
        <v>0.64387000000000005</v>
      </c>
      <c r="AT65">
        <f ca="1"/>
        <v>2.398479</v>
      </c>
      <c r="AU65">
        <f ca="1"/>
        <v>3.6230389999999999</v>
      </c>
    </row>
    <row r="66" spans="1:47">
      <c r="A66" s="43">
        <f>TBL_TEV[[#This Row],[Data2]]</f>
        <v>45384</v>
      </c>
      <c r="B66" cm="1">
        <f t="array" ref="B66">_xlfn.XLOOKUP(_xlfn.ANCHORARRAY(A66), TBL_Limiti_CDA[Data], TBL_Limiti_CDA[Etica Rendita Bilanciata], , -1)</f>
        <v>1.75</v>
      </c>
      <c r="C66" cm="1">
        <f t="array" ref="C66">_xlfn.XLOOKUP(_xlfn.ANCHORARRAY(A66), TBL_Limiti_CDA[Data], TBL_Limiti_CDA[Etica Obbligazionario Breve Termine], , -1)</f>
        <v>0.5</v>
      </c>
      <c r="D66" cm="1">
        <f t="array" ref="D66">_xlfn.XLOOKUP(_xlfn.ANCHORARRAY(A66), TBL_Limiti_CDA[Data], TBL_Limiti_CDA[Etica Obbligazionario Misto], , -1)</f>
        <v>1</v>
      </c>
      <c r="E66" cm="1">
        <f t="array" ref="E66">_xlfn.XLOOKUP(_xlfn.ANCHORARRAY(A66), TBL_Limiti_CDA[Data], TBL_Limiti_CDA[Etica Bilanciato], , -1)</f>
        <v>3</v>
      </c>
      <c r="F66" cm="1">
        <f t="array" ref="F66">_xlfn.XLOOKUP(_xlfn.ANCHORARRAY(A66), TBL_Limiti_CDA[Data], TBL_Limiti_CDA[Etica Azionario], , -1)</f>
        <v>3.5</v>
      </c>
      <c r="G66" cm="1">
        <f t="array" ref="G66">_xlfn.XLOOKUP(_xlfn.ANCHORARRAY(A66), TBL_Limiti_CDA[Data], TBL_Limiti_CDA[Etica Transizione Climatica], , -1)</f>
        <v>2.75</v>
      </c>
      <c r="H66" cm="1">
        <f t="array" ref="H66">_xlfn.XLOOKUP(_xlfn.ANCHORARRAY(A66), TBL_Limiti_CDA[Data], TBL_Limiti_CDA[Etica Obiettivo Sociale], , -1)</f>
        <v>7.49</v>
      </c>
      <c r="I66" cm="1">
        <f t="array" ref="I66">_xlfn.XLOOKUP(_xlfn.ANCHORARRAY(A66), TBL_Limiti_CDA[Data], TBL_Limiti_CDA[Etica Conservative Allocation], , -1)</f>
        <v>1</v>
      </c>
      <c r="J66" cm="1">
        <f t="array" ref="J66">_xlfn.XLOOKUP(_xlfn.ANCHORARRAY(A66), TBL_Limiti_CDA[Data], TBL_Limiti_CDA[Etica Dynamic Allocation], , -1)</f>
        <v>3</v>
      </c>
      <c r="K66" cm="1">
        <f t="array" ref="K66">_xlfn.XLOOKUP(_xlfn.ANCHORARRAY(A66), TBL_Limiti_CDA[Data], TBL_Limiti_CDA[Etica Global Equity], , -1)</f>
        <v>3.5</v>
      </c>
      <c r="L66" cm="1">
        <f t="array" ref="L66">_xlfn.ANCHORARRAY(B66)+0.15</f>
        <v>1.9</v>
      </c>
      <c r="M66" cm="1">
        <f t="array" ref="M66">_xlfn.ANCHORARRAY(C66)+0.1</f>
        <v>0.6</v>
      </c>
      <c r="N66" cm="1">
        <f t="array" ref="N66">_xlfn.ANCHORARRAY(D66)+0.15</f>
        <v>1.1499999999999999</v>
      </c>
      <c r="O66" cm="1">
        <f t="array" ref="O66">_xlfn.ANCHORARRAY(E66)+0.15</f>
        <v>3.15</v>
      </c>
      <c r="P66" cm="1">
        <f t="array" ref="P66">_xlfn.ANCHORARRAY(F66)+0.15</f>
        <v>3.65</v>
      </c>
      <c r="Q66" cm="1">
        <f t="array" ref="Q66">_xlfn.ANCHORARRAY(G66)+0.15</f>
        <v>2.9</v>
      </c>
      <c r="R66" cm="1">
        <f t="array" ref="R66">_xlfn.ANCHORARRAY(H66)</f>
        <v>7.49</v>
      </c>
      <c r="S66" cm="1">
        <f t="array" ref="S66">_xlfn.ANCHORARRAY(R66)+0.15</f>
        <v>7.6400000000000006</v>
      </c>
      <c r="T66" cm="1">
        <f t="array" ref="T66">_xlfn.ANCHORARRAY(I66)+0.15</f>
        <v>1.1499999999999999</v>
      </c>
      <c r="U66" cm="1">
        <f t="array" ref="U66">_xlfn.ANCHORARRAY(J66)+0.15</f>
        <v>3.15</v>
      </c>
      <c r="V66" cm="1">
        <f t="array" ref="V66">_xlfn.ANCHORARRAY(K66)+0.15</f>
        <v>3.65</v>
      </c>
      <c r="W66">
        <f>TBL_TEV[[#This Row],[Etica Rendita Bilanciata]]</f>
        <v>1.392671</v>
      </c>
      <c r="X66">
        <f>TBL_TEV[[#This Row],[Etica Obbligazionario Breve Termine]]</f>
        <v>0.15604599999999999</v>
      </c>
      <c r="Y66">
        <f>TBL_TEV[[#This Row],[Etica Obbligazionario Misto]]</f>
        <v>0.85055599999999998</v>
      </c>
      <c r="Z66">
        <f>TBL_TEV[[#This Row],[Etica Bilanciato]]</f>
        <v>1.8325530000000001</v>
      </c>
      <c r="AA66">
        <f>TBL_TEV[[#This Row],[Etica Azionario]]</f>
        <v>2.6078640000000002</v>
      </c>
      <c r="AB66">
        <f>TBL_TEV[[#This Row],[Etica Transizione Climatica]]</f>
        <v>2.0309849999999998</v>
      </c>
      <c r="AC66">
        <f>TBL_TEV[[#This Row],[Etica Obiettivo Sociale]]</f>
        <v>6.1943378074318547</v>
      </c>
      <c r="AD66">
        <f>TBL_TEV[[#This Row],[Etica Conservative Allocation]]</f>
        <v>0.64387000000000005</v>
      </c>
      <c r="AE66">
        <f>TBL_TEV[[#This Row],[Etica Dynamic Allocation]]</f>
        <v>2.398479</v>
      </c>
      <c r="AF66">
        <f>TBL_TEV[[#This Row],[Etica Global Equity]]</f>
        <v>3.6230389999999999</v>
      </c>
      <c r="AL66">
        <f ca="1"/>
        <v>1.414895</v>
      </c>
      <c r="AM66">
        <f ca="1"/>
        <v>0.155888</v>
      </c>
      <c r="AN66">
        <f ca="1"/>
        <v>0.85865199999999997</v>
      </c>
      <c r="AO66">
        <f ca="1"/>
        <v>1.858905</v>
      </c>
      <c r="AP66">
        <f ca="1"/>
        <v>2.6404070000000002</v>
      </c>
      <c r="AQ66">
        <f ca="1"/>
        <v>2.0262220000000002</v>
      </c>
      <c r="AR66">
        <f ca="1"/>
        <v>6.2351291594603495</v>
      </c>
      <c r="AS66">
        <f ca="1"/>
        <v>0.64101300000000005</v>
      </c>
      <c r="AT66">
        <f ca="1"/>
        <v>2.3965740000000002</v>
      </c>
      <c r="AU66">
        <f ca="1"/>
        <v>3.6090689999999999</v>
      </c>
    </row>
    <row r="67" spans="1:47">
      <c r="A67" s="43">
        <f>TBL_TEV[[#This Row],[Data2]]</f>
        <v>45385</v>
      </c>
      <c r="B67" cm="1">
        <f t="array" ref="B67">_xlfn.XLOOKUP(_xlfn.ANCHORARRAY(A67), TBL_Limiti_CDA[Data], TBL_Limiti_CDA[Etica Rendita Bilanciata], , -1)</f>
        <v>1.75</v>
      </c>
      <c r="C67" cm="1">
        <f t="array" ref="C67">_xlfn.XLOOKUP(_xlfn.ANCHORARRAY(A67), TBL_Limiti_CDA[Data], TBL_Limiti_CDA[Etica Obbligazionario Breve Termine], , -1)</f>
        <v>0.5</v>
      </c>
      <c r="D67" cm="1">
        <f t="array" ref="D67">_xlfn.XLOOKUP(_xlfn.ANCHORARRAY(A67), TBL_Limiti_CDA[Data], TBL_Limiti_CDA[Etica Obbligazionario Misto], , -1)</f>
        <v>1</v>
      </c>
      <c r="E67" cm="1">
        <f t="array" ref="E67">_xlfn.XLOOKUP(_xlfn.ANCHORARRAY(A67), TBL_Limiti_CDA[Data], TBL_Limiti_CDA[Etica Bilanciato], , -1)</f>
        <v>3</v>
      </c>
      <c r="F67" cm="1">
        <f t="array" ref="F67">_xlfn.XLOOKUP(_xlfn.ANCHORARRAY(A67), TBL_Limiti_CDA[Data], TBL_Limiti_CDA[Etica Azionario], , -1)</f>
        <v>3.5</v>
      </c>
      <c r="G67" cm="1">
        <f t="array" ref="G67">_xlfn.XLOOKUP(_xlfn.ANCHORARRAY(A67), TBL_Limiti_CDA[Data], TBL_Limiti_CDA[Etica Transizione Climatica], , -1)</f>
        <v>2.75</v>
      </c>
      <c r="H67" cm="1">
        <f t="array" ref="H67">_xlfn.XLOOKUP(_xlfn.ANCHORARRAY(A67), TBL_Limiti_CDA[Data], TBL_Limiti_CDA[Etica Obiettivo Sociale], , -1)</f>
        <v>7.49</v>
      </c>
      <c r="I67" cm="1">
        <f t="array" ref="I67">_xlfn.XLOOKUP(_xlfn.ANCHORARRAY(A67), TBL_Limiti_CDA[Data], TBL_Limiti_CDA[Etica Conservative Allocation], , -1)</f>
        <v>1</v>
      </c>
      <c r="J67" cm="1">
        <f t="array" ref="J67">_xlfn.XLOOKUP(_xlfn.ANCHORARRAY(A67), TBL_Limiti_CDA[Data], TBL_Limiti_CDA[Etica Dynamic Allocation], , -1)</f>
        <v>3</v>
      </c>
      <c r="K67" cm="1">
        <f t="array" ref="K67">_xlfn.XLOOKUP(_xlfn.ANCHORARRAY(A67), TBL_Limiti_CDA[Data], TBL_Limiti_CDA[Etica Global Equity], , -1)</f>
        <v>3.5</v>
      </c>
      <c r="L67" cm="1">
        <f t="array" ref="L67">_xlfn.ANCHORARRAY(B67)+0.15</f>
        <v>1.9</v>
      </c>
      <c r="M67" cm="1">
        <f t="array" ref="M67">_xlfn.ANCHORARRAY(C67)+0.1</f>
        <v>0.6</v>
      </c>
      <c r="N67" cm="1">
        <f t="array" ref="N67">_xlfn.ANCHORARRAY(D67)+0.15</f>
        <v>1.1499999999999999</v>
      </c>
      <c r="O67" cm="1">
        <f t="array" ref="O67">_xlfn.ANCHORARRAY(E67)+0.15</f>
        <v>3.15</v>
      </c>
      <c r="P67" cm="1">
        <f t="array" ref="P67">_xlfn.ANCHORARRAY(F67)+0.15</f>
        <v>3.65</v>
      </c>
      <c r="Q67" cm="1">
        <f t="array" ref="Q67">_xlfn.ANCHORARRAY(G67)+0.15</f>
        <v>2.9</v>
      </c>
      <c r="R67" cm="1">
        <f t="array" ref="R67">_xlfn.ANCHORARRAY(H67)</f>
        <v>7.49</v>
      </c>
      <c r="S67" cm="1">
        <f t="array" ref="S67">_xlfn.ANCHORARRAY(R67)+0.15</f>
        <v>7.6400000000000006</v>
      </c>
      <c r="T67" cm="1">
        <f t="array" ref="T67">_xlfn.ANCHORARRAY(I67)+0.15</f>
        <v>1.1499999999999999</v>
      </c>
      <c r="U67" cm="1">
        <f t="array" ref="U67">_xlfn.ANCHORARRAY(J67)+0.15</f>
        <v>3.15</v>
      </c>
      <c r="V67" cm="1">
        <f t="array" ref="V67">_xlfn.ANCHORARRAY(K67)+0.15</f>
        <v>3.65</v>
      </c>
      <c r="W67">
        <f>TBL_TEV[[#This Row],[Etica Rendita Bilanciata]]</f>
        <v>1.414895</v>
      </c>
      <c r="X67">
        <f>TBL_TEV[[#This Row],[Etica Obbligazionario Breve Termine]]</f>
        <v>0.155888</v>
      </c>
      <c r="Y67">
        <f>TBL_TEV[[#This Row],[Etica Obbligazionario Misto]]</f>
        <v>0.85865199999999997</v>
      </c>
      <c r="Z67">
        <f>TBL_TEV[[#This Row],[Etica Bilanciato]]</f>
        <v>1.858905</v>
      </c>
      <c r="AA67">
        <f>TBL_TEV[[#This Row],[Etica Azionario]]</f>
        <v>2.6404070000000002</v>
      </c>
      <c r="AB67">
        <f>TBL_TEV[[#This Row],[Etica Transizione Climatica]]</f>
        <v>2.0262220000000002</v>
      </c>
      <c r="AC67">
        <f>TBL_TEV[[#This Row],[Etica Obiettivo Sociale]]</f>
        <v>6.2351291594603495</v>
      </c>
      <c r="AD67">
        <f>TBL_TEV[[#This Row],[Etica Conservative Allocation]]</f>
        <v>0.64101300000000005</v>
      </c>
      <c r="AE67">
        <f>TBL_TEV[[#This Row],[Etica Dynamic Allocation]]</f>
        <v>2.3965740000000002</v>
      </c>
      <c r="AF67">
        <f>TBL_TEV[[#This Row],[Etica Global Equity]]</f>
        <v>3.6090689999999999</v>
      </c>
      <c r="AL67">
        <f ca="1"/>
        <v>1.426642</v>
      </c>
      <c r="AM67">
        <f ca="1"/>
        <v>0.15937999999999999</v>
      </c>
      <c r="AN67">
        <f ca="1"/>
        <v>0.88548000000000004</v>
      </c>
      <c r="AO67">
        <f ca="1"/>
        <v>1.85192</v>
      </c>
      <c r="AP67">
        <f ca="1"/>
        <v>2.5956410000000001</v>
      </c>
      <c r="AQ67">
        <f ca="1"/>
        <v>2.047018</v>
      </c>
      <c r="AR67">
        <f ca="1"/>
        <v>6.2246476602788938</v>
      </c>
      <c r="AS67">
        <f ca="1"/>
        <v>0.61751800000000001</v>
      </c>
      <c r="AT67">
        <f ca="1"/>
        <v>2.39086</v>
      </c>
      <c r="AU67">
        <f ca="1"/>
        <v>3.6019260000000002</v>
      </c>
    </row>
    <row r="68" spans="1:47">
      <c r="A68" s="43">
        <f>TBL_TEV[[#This Row],[Data2]]</f>
        <v>45386</v>
      </c>
      <c r="B68" cm="1">
        <f t="array" ref="B68">_xlfn.XLOOKUP(_xlfn.ANCHORARRAY(A68), TBL_Limiti_CDA[Data], TBL_Limiti_CDA[Etica Rendita Bilanciata], , -1)</f>
        <v>1.75</v>
      </c>
      <c r="C68" cm="1">
        <f t="array" ref="C68">_xlfn.XLOOKUP(_xlfn.ANCHORARRAY(A68), TBL_Limiti_CDA[Data], TBL_Limiti_CDA[Etica Obbligazionario Breve Termine], , -1)</f>
        <v>0.5</v>
      </c>
      <c r="D68" cm="1">
        <f t="array" ref="D68">_xlfn.XLOOKUP(_xlfn.ANCHORARRAY(A68), TBL_Limiti_CDA[Data], TBL_Limiti_CDA[Etica Obbligazionario Misto], , -1)</f>
        <v>1</v>
      </c>
      <c r="E68" cm="1">
        <f t="array" ref="E68">_xlfn.XLOOKUP(_xlfn.ANCHORARRAY(A68), TBL_Limiti_CDA[Data], TBL_Limiti_CDA[Etica Bilanciato], , -1)</f>
        <v>3</v>
      </c>
      <c r="F68" cm="1">
        <f t="array" ref="F68">_xlfn.XLOOKUP(_xlfn.ANCHORARRAY(A68), TBL_Limiti_CDA[Data], TBL_Limiti_CDA[Etica Azionario], , -1)</f>
        <v>3.5</v>
      </c>
      <c r="G68" cm="1">
        <f t="array" ref="G68">_xlfn.XLOOKUP(_xlfn.ANCHORARRAY(A68), TBL_Limiti_CDA[Data], TBL_Limiti_CDA[Etica Transizione Climatica], , -1)</f>
        <v>2.75</v>
      </c>
      <c r="H68" cm="1">
        <f t="array" ref="H68">_xlfn.XLOOKUP(_xlfn.ANCHORARRAY(A68), TBL_Limiti_CDA[Data], TBL_Limiti_CDA[Etica Obiettivo Sociale], , -1)</f>
        <v>7.49</v>
      </c>
      <c r="I68" cm="1">
        <f t="array" ref="I68">_xlfn.XLOOKUP(_xlfn.ANCHORARRAY(A68), TBL_Limiti_CDA[Data], TBL_Limiti_CDA[Etica Conservative Allocation], , -1)</f>
        <v>1</v>
      </c>
      <c r="J68" cm="1">
        <f t="array" ref="J68">_xlfn.XLOOKUP(_xlfn.ANCHORARRAY(A68), TBL_Limiti_CDA[Data], TBL_Limiti_CDA[Etica Dynamic Allocation], , -1)</f>
        <v>3</v>
      </c>
      <c r="K68" cm="1">
        <f t="array" ref="K68">_xlfn.XLOOKUP(_xlfn.ANCHORARRAY(A68), TBL_Limiti_CDA[Data], TBL_Limiti_CDA[Etica Global Equity], , -1)</f>
        <v>3.5</v>
      </c>
      <c r="L68" cm="1">
        <f t="array" ref="L68">_xlfn.ANCHORARRAY(B68)+0.15</f>
        <v>1.9</v>
      </c>
      <c r="M68" cm="1">
        <f t="array" ref="M68">_xlfn.ANCHORARRAY(C68)+0.1</f>
        <v>0.6</v>
      </c>
      <c r="N68" cm="1">
        <f t="array" ref="N68">_xlfn.ANCHORARRAY(D68)+0.15</f>
        <v>1.1499999999999999</v>
      </c>
      <c r="O68" cm="1">
        <f t="array" ref="O68">_xlfn.ANCHORARRAY(E68)+0.15</f>
        <v>3.15</v>
      </c>
      <c r="P68" cm="1">
        <f t="array" ref="P68">_xlfn.ANCHORARRAY(F68)+0.15</f>
        <v>3.65</v>
      </c>
      <c r="Q68" cm="1">
        <f t="array" ref="Q68">_xlfn.ANCHORARRAY(G68)+0.15</f>
        <v>2.9</v>
      </c>
      <c r="R68" cm="1">
        <f t="array" ref="R68">_xlfn.ANCHORARRAY(H68)</f>
        <v>7.49</v>
      </c>
      <c r="S68" cm="1">
        <f t="array" ref="S68">_xlfn.ANCHORARRAY(R68)+0.15</f>
        <v>7.6400000000000006</v>
      </c>
      <c r="T68" cm="1">
        <f t="array" ref="T68">_xlfn.ANCHORARRAY(I68)+0.15</f>
        <v>1.1499999999999999</v>
      </c>
      <c r="U68" cm="1">
        <f t="array" ref="U68">_xlfn.ANCHORARRAY(J68)+0.15</f>
        <v>3.15</v>
      </c>
      <c r="V68" cm="1">
        <f t="array" ref="V68">_xlfn.ANCHORARRAY(K68)+0.15</f>
        <v>3.65</v>
      </c>
      <c r="W68">
        <f>TBL_TEV[[#This Row],[Etica Rendita Bilanciata]]</f>
        <v>1.426642</v>
      </c>
      <c r="X68">
        <f>TBL_TEV[[#This Row],[Etica Obbligazionario Breve Termine]]</f>
        <v>0.15937999999999999</v>
      </c>
      <c r="Y68">
        <f>TBL_TEV[[#This Row],[Etica Obbligazionario Misto]]</f>
        <v>0.88548000000000004</v>
      </c>
      <c r="Z68">
        <f>TBL_TEV[[#This Row],[Etica Bilanciato]]</f>
        <v>1.85192</v>
      </c>
      <c r="AA68">
        <f>TBL_TEV[[#This Row],[Etica Azionario]]</f>
        <v>2.5956410000000001</v>
      </c>
      <c r="AB68">
        <f>TBL_TEV[[#This Row],[Etica Transizione Climatica]]</f>
        <v>2.047018</v>
      </c>
      <c r="AC68">
        <f>TBL_TEV[[#This Row],[Etica Obiettivo Sociale]]</f>
        <v>6.2246476602788938</v>
      </c>
      <c r="AD68">
        <f>TBL_TEV[[#This Row],[Etica Conservative Allocation]]</f>
        <v>0.61751800000000001</v>
      </c>
      <c r="AE68">
        <f>TBL_TEV[[#This Row],[Etica Dynamic Allocation]]</f>
        <v>2.39086</v>
      </c>
      <c r="AF68">
        <f>TBL_TEV[[#This Row],[Etica Global Equity]]</f>
        <v>3.6019260000000002</v>
      </c>
      <c r="AL68">
        <f ca="1"/>
        <v>1.4390240000000001</v>
      </c>
      <c r="AM68">
        <f ca="1"/>
        <v>0.159856</v>
      </c>
      <c r="AN68">
        <f ca="1"/>
        <v>0.8931</v>
      </c>
      <c r="AO68">
        <f ca="1"/>
        <v>1.8576349999999999</v>
      </c>
      <c r="AP68">
        <f ca="1"/>
        <v>2.5932599999999999</v>
      </c>
      <c r="AQ68">
        <f ca="1"/>
        <v>2.059876</v>
      </c>
      <c r="AR68">
        <f ca="1"/>
        <v>6.4385185937787606</v>
      </c>
      <c r="AS68">
        <f ca="1"/>
        <v>0.61434299999999997</v>
      </c>
      <c r="AT68">
        <f ca="1"/>
        <v>2.3873669999999998</v>
      </c>
      <c r="AU68">
        <f ca="1"/>
        <v>3.5887500000000001</v>
      </c>
    </row>
    <row r="69" spans="1:47">
      <c r="A69" s="43">
        <f>TBL_TEV[[#This Row],[Data2]]</f>
        <v>45387</v>
      </c>
      <c r="B69" cm="1">
        <f t="array" ref="B69">_xlfn.XLOOKUP(_xlfn.ANCHORARRAY(A69), TBL_Limiti_CDA[Data], TBL_Limiti_CDA[Etica Rendita Bilanciata], , -1)</f>
        <v>1.75</v>
      </c>
      <c r="C69" cm="1">
        <f t="array" ref="C69">_xlfn.XLOOKUP(_xlfn.ANCHORARRAY(A69), TBL_Limiti_CDA[Data], TBL_Limiti_CDA[Etica Obbligazionario Breve Termine], , -1)</f>
        <v>0.5</v>
      </c>
      <c r="D69" cm="1">
        <f t="array" ref="D69">_xlfn.XLOOKUP(_xlfn.ANCHORARRAY(A69), TBL_Limiti_CDA[Data], TBL_Limiti_CDA[Etica Obbligazionario Misto], , -1)</f>
        <v>1</v>
      </c>
      <c r="E69" cm="1">
        <f t="array" ref="E69">_xlfn.XLOOKUP(_xlfn.ANCHORARRAY(A69), TBL_Limiti_CDA[Data], TBL_Limiti_CDA[Etica Bilanciato], , -1)</f>
        <v>3</v>
      </c>
      <c r="F69" cm="1">
        <f t="array" ref="F69">_xlfn.XLOOKUP(_xlfn.ANCHORARRAY(A69), TBL_Limiti_CDA[Data], TBL_Limiti_CDA[Etica Azionario], , -1)</f>
        <v>3.5</v>
      </c>
      <c r="G69" cm="1">
        <f t="array" ref="G69">_xlfn.XLOOKUP(_xlfn.ANCHORARRAY(A69), TBL_Limiti_CDA[Data], TBL_Limiti_CDA[Etica Transizione Climatica], , -1)</f>
        <v>2.75</v>
      </c>
      <c r="H69" cm="1">
        <f t="array" ref="H69">_xlfn.XLOOKUP(_xlfn.ANCHORARRAY(A69), TBL_Limiti_CDA[Data], TBL_Limiti_CDA[Etica Obiettivo Sociale], , -1)</f>
        <v>7.49</v>
      </c>
      <c r="I69" cm="1">
        <f t="array" ref="I69">_xlfn.XLOOKUP(_xlfn.ANCHORARRAY(A69), TBL_Limiti_CDA[Data], TBL_Limiti_CDA[Etica Conservative Allocation], , -1)</f>
        <v>1</v>
      </c>
      <c r="J69" cm="1">
        <f t="array" ref="J69">_xlfn.XLOOKUP(_xlfn.ANCHORARRAY(A69), TBL_Limiti_CDA[Data], TBL_Limiti_CDA[Etica Dynamic Allocation], , -1)</f>
        <v>3</v>
      </c>
      <c r="K69" cm="1">
        <f t="array" ref="K69">_xlfn.XLOOKUP(_xlfn.ANCHORARRAY(A69), TBL_Limiti_CDA[Data], TBL_Limiti_CDA[Etica Global Equity], , -1)</f>
        <v>3.5</v>
      </c>
      <c r="L69" cm="1">
        <f t="array" ref="L69">_xlfn.ANCHORARRAY(B69)+0.15</f>
        <v>1.9</v>
      </c>
      <c r="M69" cm="1">
        <f t="array" ref="M69">_xlfn.ANCHORARRAY(C69)+0.1</f>
        <v>0.6</v>
      </c>
      <c r="N69" cm="1">
        <f t="array" ref="N69">_xlfn.ANCHORARRAY(D69)+0.15</f>
        <v>1.1499999999999999</v>
      </c>
      <c r="O69" cm="1">
        <f t="array" ref="O69">_xlfn.ANCHORARRAY(E69)+0.15</f>
        <v>3.15</v>
      </c>
      <c r="P69" cm="1">
        <f t="array" ref="P69">_xlfn.ANCHORARRAY(F69)+0.15</f>
        <v>3.65</v>
      </c>
      <c r="Q69" cm="1">
        <f t="array" ref="Q69">_xlfn.ANCHORARRAY(G69)+0.15</f>
        <v>2.9</v>
      </c>
      <c r="R69" cm="1">
        <f t="array" ref="R69">_xlfn.ANCHORARRAY(H69)</f>
        <v>7.49</v>
      </c>
      <c r="S69" cm="1">
        <f t="array" ref="S69">_xlfn.ANCHORARRAY(R69)+0.15</f>
        <v>7.6400000000000006</v>
      </c>
      <c r="T69" cm="1">
        <f t="array" ref="T69">_xlfn.ANCHORARRAY(I69)+0.15</f>
        <v>1.1499999999999999</v>
      </c>
      <c r="U69" cm="1">
        <f t="array" ref="U69">_xlfn.ANCHORARRAY(J69)+0.15</f>
        <v>3.15</v>
      </c>
      <c r="V69" cm="1">
        <f t="array" ref="V69">_xlfn.ANCHORARRAY(K69)+0.15</f>
        <v>3.65</v>
      </c>
      <c r="W69">
        <f>TBL_TEV[[#This Row],[Etica Rendita Bilanciata]]</f>
        <v>1.4390240000000001</v>
      </c>
      <c r="X69">
        <f>TBL_TEV[[#This Row],[Etica Obbligazionario Breve Termine]]</f>
        <v>0.159856</v>
      </c>
      <c r="Y69">
        <f>TBL_TEV[[#This Row],[Etica Obbligazionario Misto]]</f>
        <v>0.8931</v>
      </c>
      <c r="Z69">
        <f>TBL_TEV[[#This Row],[Etica Bilanciato]]</f>
        <v>1.8576349999999999</v>
      </c>
      <c r="AA69">
        <f>TBL_TEV[[#This Row],[Etica Azionario]]</f>
        <v>2.5932599999999999</v>
      </c>
      <c r="AB69">
        <f>TBL_TEV[[#This Row],[Etica Transizione Climatica]]</f>
        <v>2.059876</v>
      </c>
      <c r="AC69">
        <f>TBL_TEV[[#This Row],[Etica Obiettivo Sociale]]</f>
        <v>6.4385185937787606</v>
      </c>
      <c r="AD69">
        <f>TBL_TEV[[#This Row],[Etica Conservative Allocation]]</f>
        <v>0.61434299999999997</v>
      </c>
      <c r="AE69">
        <f>TBL_TEV[[#This Row],[Etica Dynamic Allocation]]</f>
        <v>2.3873669999999998</v>
      </c>
      <c r="AF69">
        <f>TBL_TEV[[#This Row],[Etica Global Equity]]</f>
        <v>3.5887500000000001</v>
      </c>
      <c r="AL69">
        <f ca="1"/>
        <v>1.41934</v>
      </c>
      <c r="AM69">
        <f ca="1"/>
        <v>0.15779299999999999</v>
      </c>
      <c r="AN69">
        <f ca="1"/>
        <v>0.88706700000000005</v>
      </c>
      <c r="AO69">
        <f ca="1"/>
        <v>1.8344579999999999</v>
      </c>
      <c r="AP69">
        <f ca="1"/>
        <v>2.5672250000000001</v>
      </c>
      <c r="AQ69">
        <f ca="1"/>
        <v>2.0073319999999999</v>
      </c>
      <c r="AR69">
        <f ca="1"/>
        <v>6.4224736227050148</v>
      </c>
      <c r="AS69">
        <f ca="1"/>
        <v>0.61339100000000002</v>
      </c>
      <c r="AT69">
        <f ca="1"/>
        <v>2.3983210000000001</v>
      </c>
      <c r="AU69">
        <f ca="1"/>
        <v>3.6138319999999999</v>
      </c>
    </row>
    <row r="70" spans="1:47">
      <c r="A70" s="43">
        <f>TBL_TEV[[#This Row],[Data2]]</f>
        <v>45390</v>
      </c>
      <c r="B70" cm="1">
        <f t="array" ref="B70">_xlfn.XLOOKUP(_xlfn.ANCHORARRAY(A70), TBL_Limiti_CDA[Data], TBL_Limiti_CDA[Etica Rendita Bilanciata], , -1)</f>
        <v>1.75</v>
      </c>
      <c r="C70" cm="1">
        <f t="array" ref="C70">_xlfn.XLOOKUP(_xlfn.ANCHORARRAY(A70), TBL_Limiti_CDA[Data], TBL_Limiti_CDA[Etica Obbligazionario Breve Termine], , -1)</f>
        <v>0.5</v>
      </c>
      <c r="D70" cm="1">
        <f t="array" ref="D70">_xlfn.XLOOKUP(_xlfn.ANCHORARRAY(A70), TBL_Limiti_CDA[Data], TBL_Limiti_CDA[Etica Obbligazionario Misto], , -1)</f>
        <v>1</v>
      </c>
      <c r="E70" cm="1">
        <f t="array" ref="E70">_xlfn.XLOOKUP(_xlfn.ANCHORARRAY(A70), TBL_Limiti_CDA[Data], TBL_Limiti_CDA[Etica Bilanciato], , -1)</f>
        <v>3</v>
      </c>
      <c r="F70" cm="1">
        <f t="array" ref="F70">_xlfn.XLOOKUP(_xlfn.ANCHORARRAY(A70), TBL_Limiti_CDA[Data], TBL_Limiti_CDA[Etica Azionario], , -1)</f>
        <v>3.5</v>
      </c>
      <c r="G70" cm="1">
        <f t="array" ref="G70">_xlfn.XLOOKUP(_xlfn.ANCHORARRAY(A70), TBL_Limiti_CDA[Data], TBL_Limiti_CDA[Etica Transizione Climatica], , -1)</f>
        <v>2.75</v>
      </c>
      <c r="H70" cm="1">
        <f t="array" ref="H70">_xlfn.XLOOKUP(_xlfn.ANCHORARRAY(A70), TBL_Limiti_CDA[Data], TBL_Limiti_CDA[Etica Obiettivo Sociale], , -1)</f>
        <v>7.49</v>
      </c>
      <c r="I70" cm="1">
        <f t="array" ref="I70">_xlfn.XLOOKUP(_xlfn.ANCHORARRAY(A70), TBL_Limiti_CDA[Data], TBL_Limiti_CDA[Etica Conservative Allocation], , -1)</f>
        <v>1</v>
      </c>
      <c r="J70" cm="1">
        <f t="array" ref="J70">_xlfn.XLOOKUP(_xlfn.ANCHORARRAY(A70), TBL_Limiti_CDA[Data], TBL_Limiti_CDA[Etica Dynamic Allocation], , -1)</f>
        <v>3</v>
      </c>
      <c r="K70" cm="1">
        <f t="array" ref="K70">_xlfn.XLOOKUP(_xlfn.ANCHORARRAY(A70), TBL_Limiti_CDA[Data], TBL_Limiti_CDA[Etica Global Equity], , -1)</f>
        <v>3.5</v>
      </c>
      <c r="L70" cm="1">
        <f t="array" ref="L70">_xlfn.ANCHORARRAY(B70)+0.15</f>
        <v>1.9</v>
      </c>
      <c r="M70" cm="1">
        <f t="array" ref="M70">_xlfn.ANCHORARRAY(C70)+0.1</f>
        <v>0.6</v>
      </c>
      <c r="N70" cm="1">
        <f t="array" ref="N70">_xlfn.ANCHORARRAY(D70)+0.15</f>
        <v>1.1499999999999999</v>
      </c>
      <c r="O70" cm="1">
        <f t="array" ref="O70">_xlfn.ANCHORARRAY(E70)+0.15</f>
        <v>3.15</v>
      </c>
      <c r="P70" cm="1">
        <f t="array" ref="P70">_xlfn.ANCHORARRAY(F70)+0.15</f>
        <v>3.65</v>
      </c>
      <c r="Q70" cm="1">
        <f t="array" ref="Q70">_xlfn.ANCHORARRAY(G70)+0.15</f>
        <v>2.9</v>
      </c>
      <c r="R70" cm="1">
        <f t="array" ref="R70">_xlfn.ANCHORARRAY(H70)</f>
        <v>7.49</v>
      </c>
      <c r="S70" cm="1">
        <f t="array" ref="S70">_xlfn.ANCHORARRAY(R70)+0.15</f>
        <v>7.6400000000000006</v>
      </c>
      <c r="T70" cm="1">
        <f t="array" ref="T70">_xlfn.ANCHORARRAY(I70)+0.15</f>
        <v>1.1499999999999999</v>
      </c>
      <c r="U70" cm="1">
        <f t="array" ref="U70">_xlfn.ANCHORARRAY(J70)+0.15</f>
        <v>3.15</v>
      </c>
      <c r="V70" cm="1">
        <f t="array" ref="V70">_xlfn.ANCHORARRAY(K70)+0.15</f>
        <v>3.65</v>
      </c>
      <c r="W70">
        <f>TBL_TEV[[#This Row],[Etica Rendita Bilanciata]]</f>
        <v>1.41934</v>
      </c>
      <c r="X70">
        <f>TBL_TEV[[#This Row],[Etica Obbligazionario Breve Termine]]</f>
        <v>0.15779299999999999</v>
      </c>
      <c r="Y70">
        <f>TBL_TEV[[#This Row],[Etica Obbligazionario Misto]]</f>
        <v>0.88706700000000005</v>
      </c>
      <c r="Z70">
        <f>TBL_TEV[[#This Row],[Etica Bilanciato]]</f>
        <v>1.8344579999999999</v>
      </c>
      <c r="AA70">
        <f>TBL_TEV[[#This Row],[Etica Azionario]]</f>
        <v>2.5672250000000001</v>
      </c>
      <c r="AB70">
        <f>TBL_TEV[[#This Row],[Etica Transizione Climatica]]</f>
        <v>2.0073319999999999</v>
      </c>
      <c r="AC70">
        <f>TBL_TEV[[#This Row],[Etica Obiettivo Sociale]]</f>
        <v>6.4224736227050148</v>
      </c>
      <c r="AD70">
        <f>TBL_TEV[[#This Row],[Etica Conservative Allocation]]</f>
        <v>0.61339100000000002</v>
      </c>
      <c r="AE70">
        <f>TBL_TEV[[#This Row],[Etica Dynamic Allocation]]</f>
        <v>2.3983210000000001</v>
      </c>
      <c r="AF70">
        <f>TBL_TEV[[#This Row],[Etica Global Equity]]</f>
        <v>3.6138319999999999</v>
      </c>
      <c r="AL70">
        <f ca="1"/>
        <v>1.4331510000000001</v>
      </c>
      <c r="AM70">
        <f ca="1"/>
        <v>0.15906300000000001</v>
      </c>
      <c r="AN70">
        <f ca="1"/>
        <v>0.89627500000000004</v>
      </c>
      <c r="AO70">
        <f ca="1"/>
        <v>1.862873</v>
      </c>
      <c r="AP70">
        <f ca="1"/>
        <v>2.6059589999999999</v>
      </c>
      <c r="AQ70">
        <f ca="1"/>
        <v>2.0295559999999999</v>
      </c>
      <c r="AR70">
        <f ca="1"/>
        <v>6.3777387856583019</v>
      </c>
      <c r="AS70">
        <f ca="1"/>
        <v>0.61228000000000005</v>
      </c>
      <c r="AT70">
        <f ca="1"/>
        <v>2.3872080000000002</v>
      </c>
      <c r="AU70">
        <f ca="1"/>
        <v>3.6012909999999998</v>
      </c>
    </row>
    <row r="71" spans="1:47">
      <c r="A71" s="43">
        <f>TBL_TEV[[#This Row],[Data2]]</f>
        <v>45391</v>
      </c>
      <c r="B71" cm="1">
        <f t="array" ref="B71">_xlfn.XLOOKUP(_xlfn.ANCHORARRAY(A71), TBL_Limiti_CDA[Data], TBL_Limiti_CDA[Etica Rendita Bilanciata], , -1)</f>
        <v>1.75</v>
      </c>
      <c r="C71" cm="1">
        <f t="array" ref="C71">_xlfn.XLOOKUP(_xlfn.ANCHORARRAY(A71), TBL_Limiti_CDA[Data], TBL_Limiti_CDA[Etica Obbligazionario Breve Termine], , -1)</f>
        <v>0.5</v>
      </c>
      <c r="D71" cm="1">
        <f t="array" ref="D71">_xlfn.XLOOKUP(_xlfn.ANCHORARRAY(A71), TBL_Limiti_CDA[Data], TBL_Limiti_CDA[Etica Obbligazionario Misto], , -1)</f>
        <v>1</v>
      </c>
      <c r="E71" cm="1">
        <f t="array" ref="E71">_xlfn.XLOOKUP(_xlfn.ANCHORARRAY(A71), TBL_Limiti_CDA[Data], TBL_Limiti_CDA[Etica Bilanciato], , -1)</f>
        <v>3</v>
      </c>
      <c r="F71" cm="1">
        <f t="array" ref="F71">_xlfn.XLOOKUP(_xlfn.ANCHORARRAY(A71), TBL_Limiti_CDA[Data], TBL_Limiti_CDA[Etica Azionario], , -1)</f>
        <v>3.5</v>
      </c>
      <c r="G71" cm="1">
        <f t="array" ref="G71">_xlfn.XLOOKUP(_xlfn.ANCHORARRAY(A71), TBL_Limiti_CDA[Data], TBL_Limiti_CDA[Etica Transizione Climatica], , -1)</f>
        <v>2.75</v>
      </c>
      <c r="H71" cm="1">
        <f t="array" ref="H71">_xlfn.XLOOKUP(_xlfn.ANCHORARRAY(A71), TBL_Limiti_CDA[Data], TBL_Limiti_CDA[Etica Obiettivo Sociale], , -1)</f>
        <v>7.49</v>
      </c>
      <c r="I71" cm="1">
        <f t="array" ref="I71">_xlfn.XLOOKUP(_xlfn.ANCHORARRAY(A71), TBL_Limiti_CDA[Data], TBL_Limiti_CDA[Etica Conservative Allocation], , -1)</f>
        <v>1</v>
      </c>
      <c r="J71" cm="1">
        <f t="array" ref="J71">_xlfn.XLOOKUP(_xlfn.ANCHORARRAY(A71), TBL_Limiti_CDA[Data], TBL_Limiti_CDA[Etica Dynamic Allocation], , -1)</f>
        <v>3</v>
      </c>
      <c r="K71" cm="1">
        <f t="array" ref="K71">_xlfn.XLOOKUP(_xlfn.ANCHORARRAY(A71), TBL_Limiti_CDA[Data], TBL_Limiti_CDA[Etica Global Equity], , -1)</f>
        <v>3.5</v>
      </c>
      <c r="L71" cm="1">
        <f t="array" ref="L71">_xlfn.ANCHORARRAY(B71)+0.15</f>
        <v>1.9</v>
      </c>
      <c r="M71" cm="1">
        <f t="array" ref="M71">_xlfn.ANCHORARRAY(C71)+0.1</f>
        <v>0.6</v>
      </c>
      <c r="N71" cm="1">
        <f t="array" ref="N71">_xlfn.ANCHORARRAY(D71)+0.15</f>
        <v>1.1499999999999999</v>
      </c>
      <c r="O71" cm="1">
        <f t="array" ref="O71">_xlfn.ANCHORARRAY(E71)+0.15</f>
        <v>3.15</v>
      </c>
      <c r="P71" cm="1">
        <f t="array" ref="P71">_xlfn.ANCHORARRAY(F71)+0.15</f>
        <v>3.65</v>
      </c>
      <c r="Q71" cm="1">
        <f t="array" ref="Q71">_xlfn.ANCHORARRAY(G71)+0.15</f>
        <v>2.9</v>
      </c>
      <c r="R71" cm="1">
        <f t="array" ref="R71">_xlfn.ANCHORARRAY(H71)</f>
        <v>7.49</v>
      </c>
      <c r="S71" cm="1">
        <f t="array" ref="S71">_xlfn.ANCHORARRAY(R71)+0.15</f>
        <v>7.6400000000000006</v>
      </c>
      <c r="T71" cm="1">
        <f t="array" ref="T71">_xlfn.ANCHORARRAY(I71)+0.15</f>
        <v>1.1499999999999999</v>
      </c>
      <c r="U71" cm="1">
        <f t="array" ref="U71">_xlfn.ANCHORARRAY(J71)+0.15</f>
        <v>3.15</v>
      </c>
      <c r="V71" cm="1">
        <f t="array" ref="V71">_xlfn.ANCHORARRAY(K71)+0.15</f>
        <v>3.65</v>
      </c>
      <c r="W71">
        <f>TBL_TEV[[#This Row],[Etica Rendita Bilanciata]]</f>
        <v>1.4331510000000001</v>
      </c>
      <c r="X71">
        <f>TBL_TEV[[#This Row],[Etica Obbligazionario Breve Termine]]</f>
        <v>0.15906300000000001</v>
      </c>
      <c r="Y71">
        <f>TBL_TEV[[#This Row],[Etica Obbligazionario Misto]]</f>
        <v>0.89627500000000004</v>
      </c>
      <c r="Z71">
        <f>TBL_TEV[[#This Row],[Etica Bilanciato]]</f>
        <v>1.862873</v>
      </c>
      <c r="AA71">
        <f>TBL_TEV[[#This Row],[Etica Azionario]]</f>
        <v>2.6059589999999999</v>
      </c>
      <c r="AB71">
        <f>TBL_TEV[[#This Row],[Etica Transizione Climatica]]</f>
        <v>2.0295559999999999</v>
      </c>
      <c r="AC71">
        <f>TBL_TEV[[#This Row],[Etica Obiettivo Sociale]]</f>
        <v>6.3777387856583019</v>
      </c>
      <c r="AD71">
        <f>TBL_TEV[[#This Row],[Etica Conservative Allocation]]</f>
        <v>0.61228000000000005</v>
      </c>
      <c r="AE71">
        <f>TBL_TEV[[#This Row],[Etica Dynamic Allocation]]</f>
        <v>2.3872080000000002</v>
      </c>
      <c r="AF71">
        <f>TBL_TEV[[#This Row],[Etica Global Equity]]</f>
        <v>3.6012909999999998</v>
      </c>
      <c r="AL71">
        <f ca="1"/>
        <v>1.4391830000000001</v>
      </c>
      <c r="AM71">
        <f ca="1"/>
        <v>0.15795100000000001</v>
      </c>
      <c r="AN71">
        <f ca="1"/>
        <v>0.89532199999999995</v>
      </c>
      <c r="AO71">
        <f ca="1"/>
        <v>1.8763669999999999</v>
      </c>
      <c r="AP71">
        <f ca="1"/>
        <v>2.6269140000000002</v>
      </c>
      <c r="AQ71">
        <f ca="1"/>
        <v>1.9993939999999999</v>
      </c>
      <c r="AR71">
        <f ca="1"/>
        <v>6.3480742818745233</v>
      </c>
      <c r="AS71">
        <f ca="1"/>
        <v>0.60688200000000003</v>
      </c>
      <c r="AT71">
        <f ca="1"/>
        <v>2.359111</v>
      </c>
      <c r="AU71">
        <f ca="1"/>
        <v>3.5474760000000001</v>
      </c>
    </row>
    <row r="72" spans="1:47">
      <c r="A72" s="43">
        <f>TBL_TEV[[#This Row],[Data2]]</f>
        <v>45392</v>
      </c>
      <c r="B72" cm="1">
        <f t="array" ref="B72">_xlfn.XLOOKUP(_xlfn.ANCHORARRAY(A72), TBL_Limiti_CDA[Data], TBL_Limiti_CDA[Etica Rendita Bilanciata], , -1)</f>
        <v>1.75</v>
      </c>
      <c r="C72" cm="1">
        <f t="array" ref="C72">_xlfn.XLOOKUP(_xlfn.ANCHORARRAY(A72), TBL_Limiti_CDA[Data], TBL_Limiti_CDA[Etica Obbligazionario Breve Termine], , -1)</f>
        <v>0.5</v>
      </c>
      <c r="D72" cm="1">
        <f t="array" ref="D72">_xlfn.XLOOKUP(_xlfn.ANCHORARRAY(A72), TBL_Limiti_CDA[Data], TBL_Limiti_CDA[Etica Obbligazionario Misto], , -1)</f>
        <v>1</v>
      </c>
      <c r="E72" cm="1">
        <f t="array" ref="E72">_xlfn.XLOOKUP(_xlfn.ANCHORARRAY(A72), TBL_Limiti_CDA[Data], TBL_Limiti_CDA[Etica Bilanciato], , -1)</f>
        <v>3</v>
      </c>
      <c r="F72" cm="1">
        <f t="array" ref="F72">_xlfn.XLOOKUP(_xlfn.ANCHORARRAY(A72), TBL_Limiti_CDA[Data], TBL_Limiti_CDA[Etica Azionario], , -1)</f>
        <v>3.5</v>
      </c>
      <c r="G72" cm="1">
        <f t="array" ref="G72">_xlfn.XLOOKUP(_xlfn.ANCHORARRAY(A72), TBL_Limiti_CDA[Data], TBL_Limiti_CDA[Etica Transizione Climatica], , -1)</f>
        <v>2.75</v>
      </c>
      <c r="H72" cm="1">
        <f t="array" ref="H72">_xlfn.XLOOKUP(_xlfn.ANCHORARRAY(A72), TBL_Limiti_CDA[Data], TBL_Limiti_CDA[Etica Obiettivo Sociale], , -1)</f>
        <v>7.49</v>
      </c>
      <c r="I72" cm="1">
        <f t="array" ref="I72">_xlfn.XLOOKUP(_xlfn.ANCHORARRAY(A72), TBL_Limiti_CDA[Data], TBL_Limiti_CDA[Etica Conservative Allocation], , -1)</f>
        <v>1</v>
      </c>
      <c r="J72" cm="1">
        <f t="array" ref="J72">_xlfn.XLOOKUP(_xlfn.ANCHORARRAY(A72), TBL_Limiti_CDA[Data], TBL_Limiti_CDA[Etica Dynamic Allocation], , -1)</f>
        <v>3</v>
      </c>
      <c r="K72" cm="1">
        <f t="array" ref="K72">_xlfn.XLOOKUP(_xlfn.ANCHORARRAY(A72), TBL_Limiti_CDA[Data], TBL_Limiti_CDA[Etica Global Equity], , -1)</f>
        <v>3.5</v>
      </c>
      <c r="L72" cm="1">
        <f t="array" ref="L72">_xlfn.ANCHORARRAY(B72)+0.15</f>
        <v>1.9</v>
      </c>
      <c r="M72" cm="1">
        <f t="array" ref="M72">_xlfn.ANCHORARRAY(C72)+0.1</f>
        <v>0.6</v>
      </c>
      <c r="N72" cm="1">
        <f t="array" ref="N72">_xlfn.ANCHORARRAY(D72)+0.15</f>
        <v>1.1499999999999999</v>
      </c>
      <c r="O72" cm="1">
        <f t="array" ref="O72">_xlfn.ANCHORARRAY(E72)+0.15</f>
        <v>3.15</v>
      </c>
      <c r="P72" cm="1">
        <f t="array" ref="P72">_xlfn.ANCHORARRAY(F72)+0.15</f>
        <v>3.65</v>
      </c>
      <c r="Q72" cm="1">
        <f t="array" ref="Q72">_xlfn.ANCHORARRAY(G72)+0.15</f>
        <v>2.9</v>
      </c>
      <c r="R72" cm="1">
        <f t="array" ref="R72">_xlfn.ANCHORARRAY(H72)</f>
        <v>7.49</v>
      </c>
      <c r="S72" cm="1">
        <f t="array" ref="S72">_xlfn.ANCHORARRAY(R72)+0.15</f>
        <v>7.6400000000000006</v>
      </c>
      <c r="T72" cm="1">
        <f t="array" ref="T72">_xlfn.ANCHORARRAY(I72)+0.15</f>
        <v>1.1499999999999999</v>
      </c>
      <c r="U72" cm="1">
        <f t="array" ref="U72">_xlfn.ANCHORARRAY(J72)+0.15</f>
        <v>3.15</v>
      </c>
      <c r="V72" cm="1">
        <f t="array" ref="V72">_xlfn.ANCHORARRAY(K72)+0.15</f>
        <v>3.65</v>
      </c>
      <c r="W72">
        <f>TBL_TEV[[#This Row],[Etica Rendita Bilanciata]]</f>
        <v>1.4391830000000001</v>
      </c>
      <c r="X72">
        <f>TBL_TEV[[#This Row],[Etica Obbligazionario Breve Termine]]</f>
        <v>0.15795100000000001</v>
      </c>
      <c r="Y72">
        <f>TBL_TEV[[#This Row],[Etica Obbligazionario Misto]]</f>
        <v>0.89532199999999995</v>
      </c>
      <c r="Z72">
        <f>TBL_TEV[[#This Row],[Etica Bilanciato]]</f>
        <v>1.8763669999999999</v>
      </c>
      <c r="AA72">
        <f>TBL_TEV[[#This Row],[Etica Azionario]]</f>
        <v>2.6269140000000002</v>
      </c>
      <c r="AB72">
        <f>TBL_TEV[[#This Row],[Etica Transizione Climatica]]</f>
        <v>1.9993939999999999</v>
      </c>
      <c r="AC72">
        <f>TBL_TEV[[#This Row],[Etica Obiettivo Sociale]]</f>
        <v>6.3480742818745233</v>
      </c>
      <c r="AD72">
        <f>TBL_TEV[[#This Row],[Etica Conservative Allocation]]</f>
        <v>0.60688200000000003</v>
      </c>
      <c r="AE72">
        <f>TBL_TEV[[#This Row],[Etica Dynamic Allocation]]</f>
        <v>2.359111</v>
      </c>
      <c r="AF72">
        <f>TBL_TEV[[#This Row],[Etica Global Equity]]</f>
        <v>3.5474760000000001</v>
      </c>
      <c r="AL72">
        <f ca="1"/>
        <v>1.480615</v>
      </c>
      <c r="AM72">
        <f ca="1"/>
        <v>0.15795100000000001</v>
      </c>
      <c r="AN72">
        <f ca="1"/>
        <v>0.92072100000000001</v>
      </c>
      <c r="AO72">
        <f ca="1"/>
        <v>1.8990670000000001</v>
      </c>
      <c r="AP72">
        <f ca="1"/>
        <v>2.6627900000000002</v>
      </c>
      <c r="AQ72">
        <f ca="1"/>
        <v>2.0263810000000002</v>
      </c>
      <c r="AR72">
        <f ca="1"/>
        <v>6.3402952421185335</v>
      </c>
      <c r="AS72">
        <f ca="1"/>
        <v>0.59561200000000003</v>
      </c>
      <c r="AT72">
        <f ca="1"/>
        <v>2.2911679999999999</v>
      </c>
      <c r="AU72">
        <f ca="1"/>
        <v>3.4641350000000002</v>
      </c>
    </row>
    <row r="73" spans="1:47">
      <c r="A73" s="43">
        <f>TBL_TEV[[#This Row],[Data2]]</f>
        <v>45393</v>
      </c>
      <c r="B73" cm="1">
        <f t="array" ref="B73">_xlfn.XLOOKUP(_xlfn.ANCHORARRAY(A73), TBL_Limiti_CDA[Data], TBL_Limiti_CDA[Etica Rendita Bilanciata], , -1)</f>
        <v>1.75</v>
      </c>
      <c r="C73" cm="1">
        <f t="array" ref="C73">_xlfn.XLOOKUP(_xlfn.ANCHORARRAY(A73), TBL_Limiti_CDA[Data], TBL_Limiti_CDA[Etica Obbligazionario Breve Termine], , -1)</f>
        <v>0.5</v>
      </c>
      <c r="D73" cm="1">
        <f t="array" ref="D73">_xlfn.XLOOKUP(_xlfn.ANCHORARRAY(A73), TBL_Limiti_CDA[Data], TBL_Limiti_CDA[Etica Obbligazionario Misto], , -1)</f>
        <v>1</v>
      </c>
      <c r="E73" cm="1">
        <f t="array" ref="E73">_xlfn.XLOOKUP(_xlfn.ANCHORARRAY(A73), TBL_Limiti_CDA[Data], TBL_Limiti_CDA[Etica Bilanciato], , -1)</f>
        <v>3</v>
      </c>
      <c r="F73" cm="1">
        <f t="array" ref="F73">_xlfn.XLOOKUP(_xlfn.ANCHORARRAY(A73), TBL_Limiti_CDA[Data], TBL_Limiti_CDA[Etica Azionario], , -1)</f>
        <v>3.5</v>
      </c>
      <c r="G73" cm="1">
        <f t="array" ref="G73">_xlfn.XLOOKUP(_xlfn.ANCHORARRAY(A73), TBL_Limiti_CDA[Data], TBL_Limiti_CDA[Etica Transizione Climatica], , -1)</f>
        <v>2.75</v>
      </c>
      <c r="H73" cm="1">
        <f t="array" ref="H73">_xlfn.XLOOKUP(_xlfn.ANCHORARRAY(A73), TBL_Limiti_CDA[Data], TBL_Limiti_CDA[Etica Obiettivo Sociale], , -1)</f>
        <v>7.49</v>
      </c>
      <c r="I73" cm="1">
        <f t="array" ref="I73">_xlfn.XLOOKUP(_xlfn.ANCHORARRAY(A73), TBL_Limiti_CDA[Data], TBL_Limiti_CDA[Etica Conservative Allocation], , -1)</f>
        <v>1</v>
      </c>
      <c r="J73" cm="1">
        <f t="array" ref="J73">_xlfn.XLOOKUP(_xlfn.ANCHORARRAY(A73), TBL_Limiti_CDA[Data], TBL_Limiti_CDA[Etica Dynamic Allocation], , -1)</f>
        <v>3</v>
      </c>
      <c r="K73" cm="1">
        <f t="array" ref="K73">_xlfn.XLOOKUP(_xlfn.ANCHORARRAY(A73), TBL_Limiti_CDA[Data], TBL_Limiti_CDA[Etica Global Equity], , -1)</f>
        <v>3.5</v>
      </c>
      <c r="L73" cm="1">
        <f t="array" ref="L73">_xlfn.ANCHORARRAY(B73)+0.15</f>
        <v>1.9</v>
      </c>
      <c r="M73" cm="1">
        <f t="array" ref="M73">_xlfn.ANCHORARRAY(C73)+0.1</f>
        <v>0.6</v>
      </c>
      <c r="N73" cm="1">
        <f t="array" ref="N73">_xlfn.ANCHORARRAY(D73)+0.15</f>
        <v>1.1499999999999999</v>
      </c>
      <c r="O73" cm="1">
        <f t="array" ref="O73">_xlfn.ANCHORARRAY(E73)+0.15</f>
        <v>3.15</v>
      </c>
      <c r="P73" cm="1">
        <f t="array" ref="P73">_xlfn.ANCHORARRAY(F73)+0.15</f>
        <v>3.65</v>
      </c>
      <c r="Q73" cm="1">
        <f t="array" ref="Q73">_xlfn.ANCHORARRAY(G73)+0.15</f>
        <v>2.9</v>
      </c>
      <c r="R73" cm="1">
        <f t="array" ref="R73">_xlfn.ANCHORARRAY(H73)</f>
        <v>7.49</v>
      </c>
      <c r="S73" cm="1">
        <f t="array" ref="S73">_xlfn.ANCHORARRAY(R73)+0.15</f>
        <v>7.6400000000000006</v>
      </c>
      <c r="T73" cm="1">
        <f t="array" ref="T73">_xlfn.ANCHORARRAY(I73)+0.15</f>
        <v>1.1499999999999999</v>
      </c>
      <c r="U73" cm="1">
        <f t="array" ref="U73">_xlfn.ANCHORARRAY(J73)+0.15</f>
        <v>3.15</v>
      </c>
      <c r="V73" cm="1">
        <f t="array" ref="V73">_xlfn.ANCHORARRAY(K73)+0.15</f>
        <v>3.65</v>
      </c>
      <c r="W73">
        <f>TBL_TEV[[#This Row],[Etica Rendita Bilanciata]]</f>
        <v>1.480615</v>
      </c>
      <c r="X73">
        <f>TBL_TEV[[#This Row],[Etica Obbligazionario Breve Termine]]</f>
        <v>0.15795100000000001</v>
      </c>
      <c r="Y73">
        <f>TBL_TEV[[#This Row],[Etica Obbligazionario Misto]]</f>
        <v>0.92072100000000001</v>
      </c>
      <c r="Z73">
        <f>TBL_TEV[[#This Row],[Etica Bilanciato]]</f>
        <v>1.8990670000000001</v>
      </c>
      <c r="AA73">
        <f>TBL_TEV[[#This Row],[Etica Azionario]]</f>
        <v>2.6627900000000002</v>
      </c>
      <c r="AB73">
        <f>TBL_TEV[[#This Row],[Etica Transizione Climatica]]</f>
        <v>2.0263810000000002</v>
      </c>
      <c r="AC73">
        <f>TBL_TEV[[#This Row],[Etica Obiettivo Sociale]]</f>
        <v>6.3402952421185335</v>
      </c>
      <c r="AD73">
        <f>TBL_TEV[[#This Row],[Etica Conservative Allocation]]</f>
        <v>0.59561200000000003</v>
      </c>
      <c r="AE73">
        <f>TBL_TEV[[#This Row],[Etica Dynamic Allocation]]</f>
        <v>2.2911679999999999</v>
      </c>
      <c r="AF73">
        <f>TBL_TEV[[#This Row],[Etica Global Equity]]</f>
        <v>3.4641350000000002</v>
      </c>
      <c r="AL73">
        <f ca="1"/>
        <v>1.49014</v>
      </c>
      <c r="AM73">
        <f ca="1"/>
        <v>0.15969800000000001</v>
      </c>
      <c r="AN73">
        <f ca="1"/>
        <v>0.93627800000000005</v>
      </c>
      <c r="AO73">
        <f ca="1"/>
        <v>1.889384</v>
      </c>
      <c r="AP73">
        <f ca="1"/>
        <v>2.6504080000000001</v>
      </c>
      <c r="AQ73">
        <f ca="1"/>
        <v>2.0030450000000002</v>
      </c>
      <c r="AR73">
        <f ca="1"/>
        <v>6.4006020298519735</v>
      </c>
      <c r="AS73">
        <f ca="1"/>
        <v>0.59577000000000002</v>
      </c>
      <c r="AT73">
        <f ca="1"/>
        <v>2.3056139999999998</v>
      </c>
      <c r="AU73">
        <f ca="1"/>
        <v>3.4814379999999998</v>
      </c>
    </row>
    <row r="74" spans="1:47">
      <c r="A74" s="43">
        <f>TBL_TEV[[#This Row],[Data2]]</f>
        <v>45394</v>
      </c>
      <c r="B74" cm="1">
        <f t="array" ref="B74">_xlfn.XLOOKUP(_xlfn.ANCHORARRAY(A74), TBL_Limiti_CDA[Data], TBL_Limiti_CDA[Etica Rendita Bilanciata], , -1)</f>
        <v>1.75</v>
      </c>
      <c r="C74" cm="1">
        <f t="array" ref="C74">_xlfn.XLOOKUP(_xlfn.ANCHORARRAY(A74), TBL_Limiti_CDA[Data], TBL_Limiti_CDA[Etica Obbligazionario Breve Termine], , -1)</f>
        <v>0.5</v>
      </c>
      <c r="D74" cm="1">
        <f t="array" ref="D74">_xlfn.XLOOKUP(_xlfn.ANCHORARRAY(A74), TBL_Limiti_CDA[Data], TBL_Limiti_CDA[Etica Obbligazionario Misto], , -1)</f>
        <v>1</v>
      </c>
      <c r="E74" cm="1">
        <f t="array" ref="E74">_xlfn.XLOOKUP(_xlfn.ANCHORARRAY(A74), TBL_Limiti_CDA[Data], TBL_Limiti_CDA[Etica Bilanciato], , -1)</f>
        <v>3</v>
      </c>
      <c r="F74" cm="1">
        <f t="array" ref="F74">_xlfn.XLOOKUP(_xlfn.ANCHORARRAY(A74), TBL_Limiti_CDA[Data], TBL_Limiti_CDA[Etica Azionario], , -1)</f>
        <v>3.5</v>
      </c>
      <c r="G74" cm="1">
        <f t="array" ref="G74">_xlfn.XLOOKUP(_xlfn.ANCHORARRAY(A74), TBL_Limiti_CDA[Data], TBL_Limiti_CDA[Etica Transizione Climatica], , -1)</f>
        <v>2.75</v>
      </c>
      <c r="H74" cm="1">
        <f t="array" ref="H74">_xlfn.XLOOKUP(_xlfn.ANCHORARRAY(A74), TBL_Limiti_CDA[Data], TBL_Limiti_CDA[Etica Obiettivo Sociale], , -1)</f>
        <v>7.49</v>
      </c>
      <c r="I74" cm="1">
        <f t="array" ref="I74">_xlfn.XLOOKUP(_xlfn.ANCHORARRAY(A74), TBL_Limiti_CDA[Data], TBL_Limiti_CDA[Etica Conservative Allocation], , -1)</f>
        <v>1</v>
      </c>
      <c r="J74" cm="1">
        <f t="array" ref="J74">_xlfn.XLOOKUP(_xlfn.ANCHORARRAY(A74), TBL_Limiti_CDA[Data], TBL_Limiti_CDA[Etica Dynamic Allocation], , -1)</f>
        <v>3</v>
      </c>
      <c r="K74" cm="1">
        <f t="array" ref="K74">_xlfn.XLOOKUP(_xlfn.ANCHORARRAY(A74), TBL_Limiti_CDA[Data], TBL_Limiti_CDA[Etica Global Equity], , -1)</f>
        <v>3.5</v>
      </c>
      <c r="L74" cm="1">
        <f t="array" ref="L74">_xlfn.ANCHORARRAY(B74)+0.15</f>
        <v>1.9</v>
      </c>
      <c r="M74" cm="1">
        <f t="array" ref="M74">_xlfn.ANCHORARRAY(C74)+0.1</f>
        <v>0.6</v>
      </c>
      <c r="N74" cm="1">
        <f t="array" ref="N74">_xlfn.ANCHORARRAY(D74)+0.15</f>
        <v>1.1499999999999999</v>
      </c>
      <c r="O74" cm="1">
        <f t="array" ref="O74">_xlfn.ANCHORARRAY(E74)+0.15</f>
        <v>3.15</v>
      </c>
      <c r="P74" cm="1">
        <f t="array" ref="P74">_xlfn.ANCHORARRAY(F74)+0.15</f>
        <v>3.65</v>
      </c>
      <c r="Q74" cm="1">
        <f t="array" ref="Q74">_xlfn.ANCHORARRAY(G74)+0.15</f>
        <v>2.9</v>
      </c>
      <c r="R74" cm="1">
        <f t="array" ref="R74">_xlfn.ANCHORARRAY(H74)</f>
        <v>7.49</v>
      </c>
      <c r="S74" cm="1">
        <f t="array" ref="S74">_xlfn.ANCHORARRAY(R74)+0.15</f>
        <v>7.6400000000000006</v>
      </c>
      <c r="T74" cm="1">
        <f t="array" ref="T74">_xlfn.ANCHORARRAY(I74)+0.15</f>
        <v>1.1499999999999999</v>
      </c>
      <c r="U74" cm="1">
        <f t="array" ref="U74">_xlfn.ANCHORARRAY(J74)+0.15</f>
        <v>3.15</v>
      </c>
      <c r="V74" cm="1">
        <f t="array" ref="V74">_xlfn.ANCHORARRAY(K74)+0.15</f>
        <v>3.65</v>
      </c>
      <c r="W74">
        <f>TBL_TEV[[#This Row],[Etica Rendita Bilanciata]]</f>
        <v>1.49014</v>
      </c>
      <c r="X74">
        <f>TBL_TEV[[#This Row],[Etica Obbligazionario Breve Termine]]</f>
        <v>0.15969800000000001</v>
      </c>
      <c r="Y74">
        <f>TBL_TEV[[#This Row],[Etica Obbligazionario Misto]]</f>
        <v>0.93627800000000005</v>
      </c>
      <c r="Z74">
        <f>TBL_TEV[[#This Row],[Etica Bilanciato]]</f>
        <v>1.889384</v>
      </c>
      <c r="AA74">
        <f>TBL_TEV[[#This Row],[Etica Azionario]]</f>
        <v>2.6504080000000001</v>
      </c>
      <c r="AB74">
        <f>TBL_TEV[[#This Row],[Etica Transizione Climatica]]</f>
        <v>2.0030450000000002</v>
      </c>
      <c r="AC74">
        <f>TBL_TEV[[#This Row],[Etica Obiettivo Sociale]]</f>
        <v>6.4006020298519735</v>
      </c>
      <c r="AD74">
        <f>TBL_TEV[[#This Row],[Etica Conservative Allocation]]</f>
        <v>0.59577000000000002</v>
      </c>
      <c r="AE74">
        <f>TBL_TEV[[#This Row],[Etica Dynamic Allocation]]</f>
        <v>2.3056139999999998</v>
      </c>
      <c r="AF74">
        <f>TBL_TEV[[#This Row],[Etica Global Equity]]</f>
        <v>3.4814379999999998</v>
      </c>
      <c r="AL74">
        <f ca="1"/>
        <v>1.472837</v>
      </c>
      <c r="AM74">
        <f ca="1"/>
        <v>0.16017400000000001</v>
      </c>
      <c r="AN74">
        <f ca="1"/>
        <v>0.93103999999999998</v>
      </c>
      <c r="AO74">
        <f ca="1"/>
        <v>1.859381</v>
      </c>
      <c r="AP74">
        <f ca="1"/>
        <v>2.6035780000000002</v>
      </c>
      <c r="AQ74">
        <f ca="1"/>
        <v>1.98733</v>
      </c>
      <c r="AR74">
        <f ca="1"/>
        <v>6.3650185453998089</v>
      </c>
      <c r="AS74">
        <f ca="1"/>
        <v>0.59497699999999998</v>
      </c>
      <c r="AT74">
        <f ca="1"/>
        <v>2.3106930000000001</v>
      </c>
      <c r="AU74">
        <f ca="1"/>
        <v>3.4782630000000001</v>
      </c>
    </row>
    <row r="75" spans="1:47">
      <c r="A75" s="43">
        <f>TBL_TEV[[#This Row],[Data2]]</f>
        <v>45397</v>
      </c>
      <c r="B75" cm="1">
        <f t="array" ref="B75">_xlfn.XLOOKUP(_xlfn.ANCHORARRAY(A75), TBL_Limiti_CDA[Data], TBL_Limiti_CDA[Etica Rendita Bilanciata], , -1)</f>
        <v>1.75</v>
      </c>
      <c r="C75" cm="1">
        <f t="array" ref="C75">_xlfn.XLOOKUP(_xlfn.ANCHORARRAY(A75), TBL_Limiti_CDA[Data], TBL_Limiti_CDA[Etica Obbligazionario Breve Termine], , -1)</f>
        <v>0.5</v>
      </c>
      <c r="D75" cm="1">
        <f t="array" ref="D75">_xlfn.XLOOKUP(_xlfn.ANCHORARRAY(A75), TBL_Limiti_CDA[Data], TBL_Limiti_CDA[Etica Obbligazionario Misto], , -1)</f>
        <v>1</v>
      </c>
      <c r="E75" cm="1">
        <f t="array" ref="E75">_xlfn.XLOOKUP(_xlfn.ANCHORARRAY(A75), TBL_Limiti_CDA[Data], TBL_Limiti_CDA[Etica Bilanciato], , -1)</f>
        <v>3</v>
      </c>
      <c r="F75" cm="1">
        <f t="array" ref="F75">_xlfn.XLOOKUP(_xlfn.ANCHORARRAY(A75), TBL_Limiti_CDA[Data], TBL_Limiti_CDA[Etica Azionario], , -1)</f>
        <v>3.5</v>
      </c>
      <c r="G75" cm="1">
        <f t="array" ref="G75">_xlfn.XLOOKUP(_xlfn.ANCHORARRAY(A75), TBL_Limiti_CDA[Data], TBL_Limiti_CDA[Etica Transizione Climatica], , -1)</f>
        <v>2.75</v>
      </c>
      <c r="H75" cm="1">
        <f t="array" ref="H75">_xlfn.XLOOKUP(_xlfn.ANCHORARRAY(A75), TBL_Limiti_CDA[Data], TBL_Limiti_CDA[Etica Obiettivo Sociale], , -1)</f>
        <v>7.49</v>
      </c>
      <c r="I75" cm="1">
        <f t="array" ref="I75">_xlfn.XLOOKUP(_xlfn.ANCHORARRAY(A75), TBL_Limiti_CDA[Data], TBL_Limiti_CDA[Etica Conservative Allocation], , -1)</f>
        <v>1</v>
      </c>
      <c r="J75" cm="1">
        <f t="array" ref="J75">_xlfn.XLOOKUP(_xlfn.ANCHORARRAY(A75), TBL_Limiti_CDA[Data], TBL_Limiti_CDA[Etica Dynamic Allocation], , -1)</f>
        <v>3</v>
      </c>
      <c r="K75" cm="1">
        <f t="array" ref="K75">_xlfn.XLOOKUP(_xlfn.ANCHORARRAY(A75), TBL_Limiti_CDA[Data], TBL_Limiti_CDA[Etica Global Equity], , -1)</f>
        <v>3.5</v>
      </c>
      <c r="L75" cm="1">
        <f t="array" ref="L75">_xlfn.ANCHORARRAY(B75)+0.15</f>
        <v>1.9</v>
      </c>
      <c r="M75" cm="1">
        <f t="array" ref="M75">_xlfn.ANCHORARRAY(C75)+0.1</f>
        <v>0.6</v>
      </c>
      <c r="N75" cm="1">
        <f t="array" ref="N75">_xlfn.ANCHORARRAY(D75)+0.15</f>
        <v>1.1499999999999999</v>
      </c>
      <c r="O75" cm="1">
        <f t="array" ref="O75">_xlfn.ANCHORARRAY(E75)+0.15</f>
        <v>3.15</v>
      </c>
      <c r="P75" cm="1">
        <f t="array" ref="P75">_xlfn.ANCHORARRAY(F75)+0.15</f>
        <v>3.65</v>
      </c>
      <c r="Q75" cm="1">
        <f t="array" ref="Q75">_xlfn.ANCHORARRAY(G75)+0.15</f>
        <v>2.9</v>
      </c>
      <c r="R75" cm="1">
        <f t="array" ref="R75">_xlfn.ANCHORARRAY(H75)</f>
        <v>7.49</v>
      </c>
      <c r="S75" cm="1">
        <f t="array" ref="S75">_xlfn.ANCHORARRAY(R75)+0.15</f>
        <v>7.6400000000000006</v>
      </c>
      <c r="T75" cm="1">
        <f t="array" ref="T75">_xlfn.ANCHORARRAY(I75)+0.15</f>
        <v>1.1499999999999999</v>
      </c>
      <c r="U75" cm="1">
        <f t="array" ref="U75">_xlfn.ANCHORARRAY(J75)+0.15</f>
        <v>3.15</v>
      </c>
      <c r="V75" cm="1">
        <f t="array" ref="V75">_xlfn.ANCHORARRAY(K75)+0.15</f>
        <v>3.65</v>
      </c>
      <c r="W75">
        <f>TBL_TEV[[#This Row],[Etica Rendita Bilanciata]]</f>
        <v>1.472837</v>
      </c>
      <c r="X75">
        <f>TBL_TEV[[#This Row],[Etica Obbligazionario Breve Termine]]</f>
        <v>0.16017400000000001</v>
      </c>
      <c r="Y75">
        <f>TBL_TEV[[#This Row],[Etica Obbligazionario Misto]]</f>
        <v>0.93103999999999998</v>
      </c>
      <c r="Z75">
        <f>TBL_TEV[[#This Row],[Etica Bilanciato]]</f>
        <v>1.859381</v>
      </c>
      <c r="AA75">
        <f>TBL_TEV[[#This Row],[Etica Azionario]]</f>
        <v>2.6035780000000002</v>
      </c>
      <c r="AB75">
        <f>TBL_TEV[[#This Row],[Etica Transizione Climatica]]</f>
        <v>1.98733</v>
      </c>
      <c r="AC75">
        <f>TBL_TEV[[#This Row],[Etica Obiettivo Sociale]]</f>
        <v>6.3650185453998089</v>
      </c>
      <c r="AD75">
        <f>TBL_TEV[[#This Row],[Etica Conservative Allocation]]</f>
        <v>0.59497699999999998</v>
      </c>
      <c r="AE75">
        <f>TBL_TEV[[#This Row],[Etica Dynamic Allocation]]</f>
        <v>2.3106930000000001</v>
      </c>
      <c r="AF75">
        <f>TBL_TEV[[#This Row],[Etica Global Equity]]</f>
        <v>3.4782630000000001</v>
      </c>
      <c r="AL75">
        <f ca="1"/>
        <v>1.4672810000000001</v>
      </c>
      <c r="AM75">
        <f ca="1"/>
        <v>0.15953899999999999</v>
      </c>
      <c r="AN75">
        <f ca="1"/>
        <v>0.93659599999999998</v>
      </c>
      <c r="AO75">
        <f ca="1"/>
        <v>1.850333</v>
      </c>
      <c r="AP75">
        <f ca="1"/>
        <v>2.595323</v>
      </c>
      <c r="AQ75">
        <f ca="1"/>
        <v>1.9954259999999999</v>
      </c>
      <c r="AR75">
        <f ca="1"/>
        <v>6.2731369902453684</v>
      </c>
      <c r="AS75">
        <f ca="1"/>
        <v>0.61815299999999995</v>
      </c>
      <c r="AT75">
        <f ca="1"/>
        <v>2.3635549999999999</v>
      </c>
      <c r="AU75">
        <f ca="1"/>
        <v>3.5428730000000002</v>
      </c>
    </row>
    <row r="76" spans="1:47">
      <c r="A76" s="43">
        <f>TBL_TEV[[#This Row],[Data2]]</f>
        <v>45398</v>
      </c>
      <c r="B76" cm="1">
        <f t="array" ref="B76">_xlfn.XLOOKUP(_xlfn.ANCHORARRAY(A76), TBL_Limiti_CDA[Data], TBL_Limiti_CDA[Etica Rendita Bilanciata], , -1)</f>
        <v>1.75</v>
      </c>
      <c r="C76" cm="1">
        <f t="array" ref="C76">_xlfn.XLOOKUP(_xlfn.ANCHORARRAY(A76), TBL_Limiti_CDA[Data], TBL_Limiti_CDA[Etica Obbligazionario Breve Termine], , -1)</f>
        <v>0.5</v>
      </c>
      <c r="D76" cm="1">
        <f t="array" ref="D76">_xlfn.XLOOKUP(_xlfn.ANCHORARRAY(A76), TBL_Limiti_CDA[Data], TBL_Limiti_CDA[Etica Obbligazionario Misto], , -1)</f>
        <v>1</v>
      </c>
      <c r="E76" cm="1">
        <f t="array" ref="E76">_xlfn.XLOOKUP(_xlfn.ANCHORARRAY(A76), TBL_Limiti_CDA[Data], TBL_Limiti_CDA[Etica Bilanciato], , -1)</f>
        <v>3</v>
      </c>
      <c r="F76" cm="1">
        <f t="array" ref="F76">_xlfn.XLOOKUP(_xlfn.ANCHORARRAY(A76), TBL_Limiti_CDA[Data], TBL_Limiti_CDA[Etica Azionario], , -1)</f>
        <v>3.5</v>
      </c>
      <c r="G76" cm="1">
        <f t="array" ref="G76">_xlfn.XLOOKUP(_xlfn.ANCHORARRAY(A76), TBL_Limiti_CDA[Data], TBL_Limiti_CDA[Etica Transizione Climatica], , -1)</f>
        <v>2.75</v>
      </c>
      <c r="H76" cm="1">
        <f t="array" ref="H76">_xlfn.XLOOKUP(_xlfn.ANCHORARRAY(A76), TBL_Limiti_CDA[Data], TBL_Limiti_CDA[Etica Obiettivo Sociale], , -1)</f>
        <v>7.49</v>
      </c>
      <c r="I76" cm="1">
        <f t="array" ref="I76">_xlfn.XLOOKUP(_xlfn.ANCHORARRAY(A76), TBL_Limiti_CDA[Data], TBL_Limiti_CDA[Etica Conservative Allocation], , -1)</f>
        <v>1</v>
      </c>
      <c r="J76" cm="1">
        <f t="array" ref="J76">_xlfn.XLOOKUP(_xlfn.ANCHORARRAY(A76), TBL_Limiti_CDA[Data], TBL_Limiti_CDA[Etica Dynamic Allocation], , -1)</f>
        <v>3</v>
      </c>
      <c r="K76" cm="1">
        <f t="array" ref="K76">_xlfn.XLOOKUP(_xlfn.ANCHORARRAY(A76), TBL_Limiti_CDA[Data], TBL_Limiti_CDA[Etica Global Equity], , -1)</f>
        <v>3.5</v>
      </c>
      <c r="L76" cm="1">
        <f t="array" ref="L76">_xlfn.ANCHORARRAY(B76)+0.15</f>
        <v>1.9</v>
      </c>
      <c r="M76" cm="1">
        <f t="array" ref="M76">_xlfn.ANCHORARRAY(C76)+0.1</f>
        <v>0.6</v>
      </c>
      <c r="N76" cm="1">
        <f t="array" ref="N76">_xlfn.ANCHORARRAY(D76)+0.15</f>
        <v>1.1499999999999999</v>
      </c>
      <c r="O76" cm="1">
        <f t="array" ref="O76">_xlfn.ANCHORARRAY(E76)+0.15</f>
        <v>3.15</v>
      </c>
      <c r="P76" cm="1">
        <f t="array" ref="P76">_xlfn.ANCHORARRAY(F76)+0.15</f>
        <v>3.65</v>
      </c>
      <c r="Q76" cm="1">
        <f t="array" ref="Q76">_xlfn.ANCHORARRAY(G76)+0.15</f>
        <v>2.9</v>
      </c>
      <c r="R76" cm="1">
        <f t="array" ref="R76">_xlfn.ANCHORARRAY(H76)</f>
        <v>7.49</v>
      </c>
      <c r="S76" cm="1">
        <f t="array" ref="S76">_xlfn.ANCHORARRAY(R76)+0.15</f>
        <v>7.6400000000000006</v>
      </c>
      <c r="T76" cm="1">
        <f t="array" ref="T76">_xlfn.ANCHORARRAY(I76)+0.15</f>
        <v>1.1499999999999999</v>
      </c>
      <c r="U76" cm="1">
        <f t="array" ref="U76">_xlfn.ANCHORARRAY(J76)+0.15</f>
        <v>3.15</v>
      </c>
      <c r="V76" cm="1">
        <f t="array" ref="V76">_xlfn.ANCHORARRAY(K76)+0.15</f>
        <v>3.65</v>
      </c>
      <c r="W76">
        <f>TBL_TEV[[#This Row],[Etica Rendita Bilanciata]]</f>
        <v>1.4672810000000001</v>
      </c>
      <c r="X76">
        <f>TBL_TEV[[#This Row],[Etica Obbligazionario Breve Termine]]</f>
        <v>0.15953899999999999</v>
      </c>
      <c r="Y76">
        <f>TBL_TEV[[#This Row],[Etica Obbligazionario Misto]]</f>
        <v>0.93659599999999998</v>
      </c>
      <c r="Z76">
        <f>TBL_TEV[[#This Row],[Etica Bilanciato]]</f>
        <v>1.850333</v>
      </c>
      <c r="AA76">
        <f>TBL_TEV[[#This Row],[Etica Azionario]]</f>
        <v>2.595323</v>
      </c>
      <c r="AB76">
        <f>TBL_TEV[[#This Row],[Etica Transizione Climatica]]</f>
        <v>1.9954259999999999</v>
      </c>
      <c r="AC76">
        <f>TBL_TEV[[#This Row],[Etica Obiettivo Sociale]]</f>
        <v>6.2731369902453684</v>
      </c>
      <c r="AD76">
        <f>TBL_TEV[[#This Row],[Etica Conservative Allocation]]</f>
        <v>0.61815299999999995</v>
      </c>
      <c r="AE76">
        <f>TBL_TEV[[#This Row],[Etica Dynamic Allocation]]</f>
        <v>2.3635549999999999</v>
      </c>
      <c r="AF76">
        <f>TBL_TEV[[#This Row],[Etica Global Equity]]</f>
        <v>3.5428730000000002</v>
      </c>
      <c r="AL76">
        <f ca="1"/>
        <v>1.4642649999999999</v>
      </c>
      <c r="AM76">
        <f ca="1"/>
        <v>0.159856</v>
      </c>
      <c r="AN76">
        <f ca="1"/>
        <v>0.93294500000000002</v>
      </c>
      <c r="AO76">
        <f ca="1"/>
        <v>1.851126</v>
      </c>
      <c r="AP76">
        <f ca="1"/>
        <v>2.6081819999999998</v>
      </c>
      <c r="AQ76">
        <f ca="1"/>
        <v>1.9524060000000001</v>
      </c>
      <c r="AR76">
        <f ca="1"/>
        <v>6.2501877007173796</v>
      </c>
      <c r="AS76">
        <f ca="1"/>
        <v>0.62783699999999998</v>
      </c>
      <c r="AT76">
        <f ca="1"/>
        <v>2.385621</v>
      </c>
      <c r="AU76">
        <f ca="1"/>
        <v>3.5739869999999998</v>
      </c>
    </row>
    <row r="77" spans="1:47">
      <c r="A77" s="43">
        <f>TBL_TEV[[#This Row],[Data2]]</f>
        <v>45399</v>
      </c>
      <c r="B77" cm="1">
        <f t="array" ref="B77">_xlfn.XLOOKUP(_xlfn.ANCHORARRAY(A77), TBL_Limiti_CDA[Data], TBL_Limiti_CDA[Etica Rendita Bilanciata], , -1)</f>
        <v>1.75</v>
      </c>
      <c r="C77" cm="1">
        <f t="array" ref="C77">_xlfn.XLOOKUP(_xlfn.ANCHORARRAY(A77), TBL_Limiti_CDA[Data], TBL_Limiti_CDA[Etica Obbligazionario Breve Termine], , -1)</f>
        <v>0.5</v>
      </c>
      <c r="D77" cm="1">
        <f t="array" ref="D77">_xlfn.XLOOKUP(_xlfn.ANCHORARRAY(A77), TBL_Limiti_CDA[Data], TBL_Limiti_CDA[Etica Obbligazionario Misto], , -1)</f>
        <v>1</v>
      </c>
      <c r="E77" cm="1">
        <f t="array" ref="E77">_xlfn.XLOOKUP(_xlfn.ANCHORARRAY(A77), TBL_Limiti_CDA[Data], TBL_Limiti_CDA[Etica Bilanciato], , -1)</f>
        <v>3</v>
      </c>
      <c r="F77" cm="1">
        <f t="array" ref="F77">_xlfn.XLOOKUP(_xlfn.ANCHORARRAY(A77), TBL_Limiti_CDA[Data], TBL_Limiti_CDA[Etica Azionario], , -1)</f>
        <v>3.5</v>
      </c>
      <c r="G77" cm="1">
        <f t="array" ref="G77">_xlfn.XLOOKUP(_xlfn.ANCHORARRAY(A77), TBL_Limiti_CDA[Data], TBL_Limiti_CDA[Etica Transizione Climatica], , -1)</f>
        <v>2.75</v>
      </c>
      <c r="H77" cm="1">
        <f t="array" ref="H77">_xlfn.XLOOKUP(_xlfn.ANCHORARRAY(A77), TBL_Limiti_CDA[Data], TBL_Limiti_CDA[Etica Obiettivo Sociale], , -1)</f>
        <v>7.49</v>
      </c>
      <c r="I77" cm="1">
        <f t="array" ref="I77">_xlfn.XLOOKUP(_xlfn.ANCHORARRAY(A77), TBL_Limiti_CDA[Data], TBL_Limiti_CDA[Etica Conservative Allocation], , -1)</f>
        <v>1</v>
      </c>
      <c r="J77" cm="1">
        <f t="array" ref="J77">_xlfn.XLOOKUP(_xlfn.ANCHORARRAY(A77), TBL_Limiti_CDA[Data], TBL_Limiti_CDA[Etica Dynamic Allocation], , -1)</f>
        <v>3</v>
      </c>
      <c r="K77" cm="1">
        <f t="array" ref="K77">_xlfn.XLOOKUP(_xlfn.ANCHORARRAY(A77), TBL_Limiti_CDA[Data], TBL_Limiti_CDA[Etica Global Equity], , -1)</f>
        <v>3.5</v>
      </c>
      <c r="L77" cm="1">
        <f t="array" ref="L77">_xlfn.ANCHORARRAY(B77)+0.15</f>
        <v>1.9</v>
      </c>
      <c r="M77" cm="1">
        <f t="array" ref="M77">_xlfn.ANCHORARRAY(C77)+0.1</f>
        <v>0.6</v>
      </c>
      <c r="N77" cm="1">
        <f t="array" ref="N77">_xlfn.ANCHORARRAY(D77)+0.15</f>
        <v>1.1499999999999999</v>
      </c>
      <c r="O77" cm="1">
        <f t="array" ref="O77">_xlfn.ANCHORARRAY(E77)+0.15</f>
        <v>3.15</v>
      </c>
      <c r="P77" cm="1">
        <f t="array" ref="P77">_xlfn.ANCHORARRAY(F77)+0.15</f>
        <v>3.65</v>
      </c>
      <c r="Q77" cm="1">
        <f t="array" ref="Q77">_xlfn.ANCHORARRAY(G77)+0.15</f>
        <v>2.9</v>
      </c>
      <c r="R77" cm="1">
        <f t="array" ref="R77">_xlfn.ANCHORARRAY(H77)</f>
        <v>7.49</v>
      </c>
      <c r="S77" cm="1">
        <f t="array" ref="S77">_xlfn.ANCHORARRAY(R77)+0.15</f>
        <v>7.6400000000000006</v>
      </c>
      <c r="T77" cm="1">
        <f t="array" ref="T77">_xlfn.ANCHORARRAY(I77)+0.15</f>
        <v>1.1499999999999999</v>
      </c>
      <c r="U77" cm="1">
        <f t="array" ref="U77">_xlfn.ANCHORARRAY(J77)+0.15</f>
        <v>3.15</v>
      </c>
      <c r="V77" cm="1">
        <f t="array" ref="V77">_xlfn.ANCHORARRAY(K77)+0.15</f>
        <v>3.65</v>
      </c>
      <c r="W77">
        <f>TBL_TEV[[#This Row],[Etica Rendita Bilanciata]]</f>
        <v>1.4642649999999999</v>
      </c>
      <c r="X77">
        <f>TBL_TEV[[#This Row],[Etica Obbligazionario Breve Termine]]</f>
        <v>0.159856</v>
      </c>
      <c r="Y77">
        <f>TBL_TEV[[#This Row],[Etica Obbligazionario Misto]]</f>
        <v>0.93294500000000002</v>
      </c>
      <c r="Z77">
        <f>TBL_TEV[[#This Row],[Etica Bilanciato]]</f>
        <v>1.851126</v>
      </c>
      <c r="AA77">
        <f>TBL_TEV[[#This Row],[Etica Azionario]]</f>
        <v>2.6081819999999998</v>
      </c>
      <c r="AB77">
        <f>TBL_TEV[[#This Row],[Etica Transizione Climatica]]</f>
        <v>1.9524060000000001</v>
      </c>
      <c r="AC77">
        <f>TBL_TEV[[#This Row],[Etica Obiettivo Sociale]]</f>
        <v>6.2501877007173796</v>
      </c>
      <c r="AD77">
        <f>TBL_TEV[[#This Row],[Etica Conservative Allocation]]</f>
        <v>0.62783699999999998</v>
      </c>
      <c r="AE77">
        <f>TBL_TEV[[#This Row],[Etica Dynamic Allocation]]</f>
        <v>2.385621</v>
      </c>
      <c r="AF77">
        <f>TBL_TEV[[#This Row],[Etica Global Equity]]</f>
        <v>3.5739869999999998</v>
      </c>
      <c r="AL77">
        <f ca="1"/>
        <v>1.689365</v>
      </c>
      <c r="AM77">
        <f ca="1"/>
        <v>0.15953899999999999</v>
      </c>
      <c r="AN77">
        <f ca="1"/>
        <v>1.1150249999999999</v>
      </c>
      <c r="AO77">
        <f ca="1"/>
        <v>1.925419</v>
      </c>
      <c r="AP77">
        <f ca="1"/>
        <v>2.5881799999999999</v>
      </c>
      <c r="AQ77">
        <f ca="1"/>
        <v>2.0024099999999998</v>
      </c>
      <c r="AR77">
        <f ca="1"/>
        <v>6.4300296346666057</v>
      </c>
      <c r="AS77">
        <f ca="1"/>
        <v>0.62497899999999995</v>
      </c>
      <c r="AT77">
        <f ca="1"/>
        <v>2.3924470000000002</v>
      </c>
      <c r="AU77">
        <f ca="1"/>
        <v>3.5831940000000002</v>
      </c>
    </row>
    <row r="78" spans="1:47">
      <c r="A78" s="43">
        <f>TBL_TEV[[#This Row],[Data2]]</f>
        <v>45400</v>
      </c>
      <c r="B78" cm="1">
        <f t="array" ref="B78">_xlfn.XLOOKUP(_xlfn.ANCHORARRAY(A78), TBL_Limiti_CDA[Data], TBL_Limiti_CDA[Etica Rendita Bilanciata], , -1)</f>
        <v>1.75</v>
      </c>
      <c r="C78" cm="1">
        <f t="array" ref="C78">_xlfn.XLOOKUP(_xlfn.ANCHORARRAY(A78), TBL_Limiti_CDA[Data], TBL_Limiti_CDA[Etica Obbligazionario Breve Termine], , -1)</f>
        <v>0.5</v>
      </c>
      <c r="D78" cm="1">
        <f t="array" ref="D78">_xlfn.XLOOKUP(_xlfn.ANCHORARRAY(A78), TBL_Limiti_CDA[Data], TBL_Limiti_CDA[Etica Obbligazionario Misto], , -1)</f>
        <v>1</v>
      </c>
      <c r="E78" cm="1">
        <f t="array" ref="E78">_xlfn.XLOOKUP(_xlfn.ANCHORARRAY(A78), TBL_Limiti_CDA[Data], TBL_Limiti_CDA[Etica Bilanciato], , -1)</f>
        <v>3</v>
      </c>
      <c r="F78" cm="1">
        <f t="array" ref="F78">_xlfn.XLOOKUP(_xlfn.ANCHORARRAY(A78), TBL_Limiti_CDA[Data], TBL_Limiti_CDA[Etica Azionario], , -1)</f>
        <v>3.5</v>
      </c>
      <c r="G78" cm="1">
        <f t="array" ref="G78">_xlfn.XLOOKUP(_xlfn.ANCHORARRAY(A78), TBL_Limiti_CDA[Data], TBL_Limiti_CDA[Etica Transizione Climatica], , -1)</f>
        <v>2.75</v>
      </c>
      <c r="H78" cm="1">
        <f t="array" ref="H78">_xlfn.XLOOKUP(_xlfn.ANCHORARRAY(A78), TBL_Limiti_CDA[Data], TBL_Limiti_CDA[Etica Obiettivo Sociale], , -1)</f>
        <v>7.49</v>
      </c>
      <c r="I78" cm="1">
        <f t="array" ref="I78">_xlfn.XLOOKUP(_xlfn.ANCHORARRAY(A78), TBL_Limiti_CDA[Data], TBL_Limiti_CDA[Etica Conservative Allocation], , -1)</f>
        <v>1</v>
      </c>
      <c r="J78" cm="1">
        <f t="array" ref="J78">_xlfn.XLOOKUP(_xlfn.ANCHORARRAY(A78), TBL_Limiti_CDA[Data], TBL_Limiti_CDA[Etica Dynamic Allocation], , -1)</f>
        <v>3</v>
      </c>
      <c r="K78" cm="1">
        <f t="array" ref="K78">_xlfn.XLOOKUP(_xlfn.ANCHORARRAY(A78), TBL_Limiti_CDA[Data], TBL_Limiti_CDA[Etica Global Equity], , -1)</f>
        <v>3.5</v>
      </c>
      <c r="L78" cm="1">
        <f t="array" ref="L78">_xlfn.ANCHORARRAY(B78)+0.15</f>
        <v>1.9</v>
      </c>
      <c r="M78" cm="1">
        <f t="array" ref="M78">_xlfn.ANCHORARRAY(C78)+0.1</f>
        <v>0.6</v>
      </c>
      <c r="N78" cm="1">
        <f t="array" ref="N78">_xlfn.ANCHORARRAY(D78)+0.15</f>
        <v>1.1499999999999999</v>
      </c>
      <c r="O78" cm="1">
        <f t="array" ref="O78">_xlfn.ANCHORARRAY(E78)+0.15</f>
        <v>3.15</v>
      </c>
      <c r="P78" cm="1">
        <f t="array" ref="P78">_xlfn.ANCHORARRAY(F78)+0.15</f>
        <v>3.65</v>
      </c>
      <c r="Q78" cm="1">
        <f t="array" ref="Q78">_xlfn.ANCHORARRAY(G78)+0.15</f>
        <v>2.9</v>
      </c>
      <c r="R78" cm="1">
        <f t="array" ref="R78">_xlfn.ANCHORARRAY(H78)</f>
        <v>7.49</v>
      </c>
      <c r="S78" cm="1">
        <f t="array" ref="S78">_xlfn.ANCHORARRAY(R78)+0.15</f>
        <v>7.6400000000000006</v>
      </c>
      <c r="T78" cm="1">
        <f t="array" ref="T78">_xlfn.ANCHORARRAY(I78)+0.15</f>
        <v>1.1499999999999999</v>
      </c>
      <c r="U78" cm="1">
        <f t="array" ref="U78">_xlfn.ANCHORARRAY(J78)+0.15</f>
        <v>3.15</v>
      </c>
      <c r="V78" cm="1">
        <f t="array" ref="V78">_xlfn.ANCHORARRAY(K78)+0.15</f>
        <v>3.65</v>
      </c>
      <c r="W78">
        <f>TBL_TEV[[#This Row],[Etica Rendita Bilanciata]]</f>
        <v>1.689365</v>
      </c>
      <c r="X78">
        <f>TBL_TEV[[#This Row],[Etica Obbligazionario Breve Termine]]</f>
        <v>0.15953899999999999</v>
      </c>
      <c r="Y78">
        <f>TBL_TEV[[#This Row],[Etica Obbligazionario Misto]]</f>
        <v>1.1150249999999999</v>
      </c>
      <c r="Z78">
        <f>TBL_TEV[[#This Row],[Etica Bilanciato]]</f>
        <v>1.925419</v>
      </c>
      <c r="AA78">
        <f>TBL_TEV[[#This Row],[Etica Azionario]]</f>
        <v>2.5881799999999999</v>
      </c>
      <c r="AB78">
        <f>TBL_TEV[[#This Row],[Etica Transizione Climatica]]</f>
        <v>2.0024099999999998</v>
      </c>
      <c r="AC78">
        <f>TBL_TEV[[#This Row],[Etica Obiettivo Sociale]]</f>
        <v>6.4300296346666057</v>
      </c>
      <c r="AD78">
        <f>TBL_TEV[[#This Row],[Etica Conservative Allocation]]</f>
        <v>0.62497899999999995</v>
      </c>
      <c r="AE78">
        <f>TBL_TEV[[#This Row],[Etica Dynamic Allocation]]</f>
        <v>2.3924470000000002</v>
      </c>
      <c r="AF78">
        <f>TBL_TEV[[#This Row],[Etica Global Equity]]</f>
        <v>3.5831940000000002</v>
      </c>
      <c r="AL78">
        <f ca="1"/>
        <v>1.6861900000000001</v>
      </c>
      <c r="AM78">
        <f ca="1"/>
        <v>0.15842800000000001</v>
      </c>
      <c r="AN78">
        <f ca="1"/>
        <v>1.118994</v>
      </c>
      <c r="AO78">
        <f ca="1"/>
        <v>1.925419</v>
      </c>
      <c r="AP78">
        <f ca="1"/>
        <v>2.583259</v>
      </c>
      <c r="AQ78">
        <f ca="1"/>
        <v>1.9498660000000001</v>
      </c>
      <c r="AR78">
        <f ca="1"/>
        <v>6.5892985248041391</v>
      </c>
      <c r="AS78">
        <f ca="1"/>
        <v>0.67212700000000003</v>
      </c>
      <c r="AT78">
        <f ca="1"/>
        <v>2.4273709999999999</v>
      </c>
      <c r="AU78">
        <f ca="1"/>
        <v>3.6506609999999999</v>
      </c>
    </row>
    <row r="79" spans="1:47">
      <c r="A79" s="43">
        <f>TBL_TEV[[#This Row],[Data2]]</f>
        <v>45401</v>
      </c>
      <c r="B79" cm="1">
        <f t="array" ref="B79">_xlfn.XLOOKUP(_xlfn.ANCHORARRAY(A79), TBL_Limiti_CDA[Data], TBL_Limiti_CDA[Etica Rendita Bilanciata], , -1)</f>
        <v>1.75</v>
      </c>
      <c r="C79" cm="1">
        <f t="array" ref="C79">_xlfn.XLOOKUP(_xlfn.ANCHORARRAY(A79), TBL_Limiti_CDA[Data], TBL_Limiti_CDA[Etica Obbligazionario Breve Termine], , -1)</f>
        <v>0.5</v>
      </c>
      <c r="D79" cm="1">
        <f t="array" ref="D79">_xlfn.XLOOKUP(_xlfn.ANCHORARRAY(A79), TBL_Limiti_CDA[Data], TBL_Limiti_CDA[Etica Obbligazionario Misto], , -1)</f>
        <v>1</v>
      </c>
      <c r="E79" cm="1">
        <f t="array" ref="E79">_xlfn.XLOOKUP(_xlfn.ANCHORARRAY(A79), TBL_Limiti_CDA[Data], TBL_Limiti_CDA[Etica Bilanciato], , -1)</f>
        <v>3</v>
      </c>
      <c r="F79" cm="1">
        <f t="array" ref="F79">_xlfn.XLOOKUP(_xlfn.ANCHORARRAY(A79), TBL_Limiti_CDA[Data], TBL_Limiti_CDA[Etica Azionario], , -1)</f>
        <v>3.5</v>
      </c>
      <c r="G79" cm="1">
        <f t="array" ref="G79">_xlfn.XLOOKUP(_xlfn.ANCHORARRAY(A79), TBL_Limiti_CDA[Data], TBL_Limiti_CDA[Etica Transizione Climatica], , -1)</f>
        <v>2.75</v>
      </c>
      <c r="H79" cm="1">
        <f t="array" ref="H79">_xlfn.XLOOKUP(_xlfn.ANCHORARRAY(A79), TBL_Limiti_CDA[Data], TBL_Limiti_CDA[Etica Obiettivo Sociale], , -1)</f>
        <v>7.49</v>
      </c>
      <c r="I79" cm="1">
        <f t="array" ref="I79">_xlfn.XLOOKUP(_xlfn.ANCHORARRAY(A79), TBL_Limiti_CDA[Data], TBL_Limiti_CDA[Etica Conservative Allocation], , -1)</f>
        <v>1</v>
      </c>
      <c r="J79" cm="1">
        <f t="array" ref="J79">_xlfn.XLOOKUP(_xlfn.ANCHORARRAY(A79), TBL_Limiti_CDA[Data], TBL_Limiti_CDA[Etica Dynamic Allocation], , -1)</f>
        <v>3</v>
      </c>
      <c r="K79" cm="1">
        <f t="array" ref="K79">_xlfn.XLOOKUP(_xlfn.ANCHORARRAY(A79), TBL_Limiti_CDA[Data], TBL_Limiti_CDA[Etica Global Equity], , -1)</f>
        <v>3.5</v>
      </c>
      <c r="L79" cm="1">
        <f t="array" ref="L79">_xlfn.ANCHORARRAY(B79)+0.15</f>
        <v>1.9</v>
      </c>
      <c r="M79" cm="1">
        <f t="array" ref="M79">_xlfn.ANCHORARRAY(C79)+0.1</f>
        <v>0.6</v>
      </c>
      <c r="N79" cm="1">
        <f t="array" ref="N79">_xlfn.ANCHORARRAY(D79)+0.15</f>
        <v>1.1499999999999999</v>
      </c>
      <c r="O79" cm="1">
        <f t="array" ref="O79">_xlfn.ANCHORARRAY(E79)+0.15</f>
        <v>3.15</v>
      </c>
      <c r="P79" cm="1">
        <f t="array" ref="P79">_xlfn.ANCHORARRAY(F79)+0.15</f>
        <v>3.65</v>
      </c>
      <c r="Q79" cm="1">
        <f t="array" ref="Q79">_xlfn.ANCHORARRAY(G79)+0.15</f>
        <v>2.9</v>
      </c>
      <c r="R79" cm="1">
        <f t="array" ref="R79">_xlfn.ANCHORARRAY(H79)</f>
        <v>7.49</v>
      </c>
      <c r="S79" cm="1">
        <f t="array" ref="S79">_xlfn.ANCHORARRAY(R79)+0.15</f>
        <v>7.6400000000000006</v>
      </c>
      <c r="T79" cm="1">
        <f t="array" ref="T79">_xlfn.ANCHORARRAY(I79)+0.15</f>
        <v>1.1499999999999999</v>
      </c>
      <c r="U79" cm="1">
        <f t="array" ref="U79">_xlfn.ANCHORARRAY(J79)+0.15</f>
        <v>3.15</v>
      </c>
      <c r="V79" cm="1">
        <f t="array" ref="V79">_xlfn.ANCHORARRAY(K79)+0.15</f>
        <v>3.65</v>
      </c>
      <c r="W79">
        <f>TBL_TEV[[#This Row],[Etica Rendita Bilanciata]]</f>
        <v>1.6861900000000001</v>
      </c>
      <c r="X79">
        <f>TBL_TEV[[#This Row],[Etica Obbligazionario Breve Termine]]</f>
        <v>0.15842800000000001</v>
      </c>
      <c r="Y79">
        <f>TBL_TEV[[#This Row],[Etica Obbligazionario Misto]]</f>
        <v>1.118994</v>
      </c>
      <c r="Z79">
        <f>TBL_TEV[[#This Row],[Etica Bilanciato]]</f>
        <v>1.925419</v>
      </c>
      <c r="AA79">
        <f>TBL_TEV[[#This Row],[Etica Azionario]]</f>
        <v>2.583259</v>
      </c>
      <c r="AB79">
        <f>TBL_TEV[[#This Row],[Etica Transizione Climatica]]</f>
        <v>1.9498660000000001</v>
      </c>
      <c r="AC79">
        <f>TBL_TEV[[#This Row],[Etica Obiettivo Sociale]]</f>
        <v>6.5892985248041391</v>
      </c>
      <c r="AD79">
        <f>TBL_TEV[[#This Row],[Etica Conservative Allocation]]</f>
        <v>0.67212700000000003</v>
      </c>
      <c r="AE79">
        <f>TBL_TEV[[#This Row],[Etica Dynamic Allocation]]</f>
        <v>2.4273709999999999</v>
      </c>
      <c r="AF79">
        <f>TBL_TEV[[#This Row],[Etica Global Equity]]</f>
        <v>3.6506609999999999</v>
      </c>
      <c r="AL79">
        <f ca="1"/>
        <v>1.6904760000000001</v>
      </c>
      <c r="AM79">
        <f ca="1"/>
        <v>0.15890399999999999</v>
      </c>
      <c r="AN79">
        <f ca="1"/>
        <v>1.122169</v>
      </c>
      <c r="AO79">
        <f ca="1"/>
        <v>1.9251020000000001</v>
      </c>
      <c r="AP79">
        <f ca="1"/>
        <v>2.5892909999999998</v>
      </c>
      <c r="AQ79">
        <f ca="1"/>
        <v>1.9655819999999999</v>
      </c>
      <c r="AR79">
        <f ca="1"/>
        <v>6.533130782460236</v>
      </c>
      <c r="AS79">
        <f ca="1"/>
        <v>0.66784100000000002</v>
      </c>
      <c r="AT79">
        <f ca="1"/>
        <v>2.4291170000000002</v>
      </c>
      <c r="AU79">
        <f ca="1"/>
        <v>3.6371669999999998</v>
      </c>
    </row>
    <row r="80" spans="1:47">
      <c r="A80" s="43">
        <f>TBL_TEV[[#This Row],[Data2]]</f>
        <v>45404</v>
      </c>
      <c r="B80" cm="1">
        <f t="array" ref="B80">_xlfn.XLOOKUP(_xlfn.ANCHORARRAY(A80), TBL_Limiti_CDA[Data], TBL_Limiti_CDA[Etica Rendita Bilanciata], , -1)</f>
        <v>1.75</v>
      </c>
      <c r="C80" cm="1">
        <f t="array" ref="C80">_xlfn.XLOOKUP(_xlfn.ANCHORARRAY(A80), TBL_Limiti_CDA[Data], TBL_Limiti_CDA[Etica Obbligazionario Breve Termine], , -1)</f>
        <v>0.5</v>
      </c>
      <c r="D80" cm="1">
        <f t="array" ref="D80">_xlfn.XLOOKUP(_xlfn.ANCHORARRAY(A80), TBL_Limiti_CDA[Data], TBL_Limiti_CDA[Etica Obbligazionario Misto], , -1)</f>
        <v>1</v>
      </c>
      <c r="E80" cm="1">
        <f t="array" ref="E80">_xlfn.XLOOKUP(_xlfn.ANCHORARRAY(A80), TBL_Limiti_CDA[Data], TBL_Limiti_CDA[Etica Bilanciato], , -1)</f>
        <v>3</v>
      </c>
      <c r="F80" cm="1">
        <f t="array" ref="F80">_xlfn.XLOOKUP(_xlfn.ANCHORARRAY(A80), TBL_Limiti_CDA[Data], TBL_Limiti_CDA[Etica Azionario], , -1)</f>
        <v>3.5</v>
      </c>
      <c r="G80" cm="1">
        <f t="array" ref="G80">_xlfn.XLOOKUP(_xlfn.ANCHORARRAY(A80), TBL_Limiti_CDA[Data], TBL_Limiti_CDA[Etica Transizione Climatica], , -1)</f>
        <v>2.75</v>
      </c>
      <c r="H80" cm="1">
        <f t="array" ref="H80">_xlfn.XLOOKUP(_xlfn.ANCHORARRAY(A80), TBL_Limiti_CDA[Data], TBL_Limiti_CDA[Etica Obiettivo Sociale], , -1)</f>
        <v>7.49</v>
      </c>
      <c r="I80" cm="1">
        <f t="array" ref="I80">_xlfn.XLOOKUP(_xlfn.ANCHORARRAY(A80), TBL_Limiti_CDA[Data], TBL_Limiti_CDA[Etica Conservative Allocation], , -1)</f>
        <v>1</v>
      </c>
      <c r="J80" cm="1">
        <f t="array" ref="J80">_xlfn.XLOOKUP(_xlfn.ANCHORARRAY(A80), TBL_Limiti_CDA[Data], TBL_Limiti_CDA[Etica Dynamic Allocation], , -1)</f>
        <v>3</v>
      </c>
      <c r="K80" cm="1">
        <f t="array" ref="K80">_xlfn.XLOOKUP(_xlfn.ANCHORARRAY(A80), TBL_Limiti_CDA[Data], TBL_Limiti_CDA[Etica Global Equity], , -1)</f>
        <v>3.5</v>
      </c>
      <c r="L80" cm="1">
        <f t="array" ref="L80">_xlfn.ANCHORARRAY(B80)+0.15</f>
        <v>1.9</v>
      </c>
      <c r="M80" cm="1">
        <f t="array" ref="M80">_xlfn.ANCHORARRAY(C80)+0.1</f>
        <v>0.6</v>
      </c>
      <c r="N80" cm="1">
        <f t="array" ref="N80">_xlfn.ANCHORARRAY(D80)+0.15</f>
        <v>1.1499999999999999</v>
      </c>
      <c r="O80" cm="1">
        <f t="array" ref="O80">_xlfn.ANCHORARRAY(E80)+0.15</f>
        <v>3.15</v>
      </c>
      <c r="P80" cm="1">
        <f t="array" ref="P80">_xlfn.ANCHORARRAY(F80)+0.15</f>
        <v>3.65</v>
      </c>
      <c r="Q80" cm="1">
        <f t="array" ref="Q80">_xlfn.ANCHORARRAY(G80)+0.15</f>
        <v>2.9</v>
      </c>
      <c r="R80" cm="1">
        <f t="array" ref="R80">_xlfn.ANCHORARRAY(H80)</f>
        <v>7.49</v>
      </c>
      <c r="S80" cm="1">
        <f t="array" ref="S80">_xlfn.ANCHORARRAY(R80)+0.15</f>
        <v>7.6400000000000006</v>
      </c>
      <c r="T80" cm="1">
        <f t="array" ref="T80">_xlfn.ANCHORARRAY(I80)+0.15</f>
        <v>1.1499999999999999</v>
      </c>
      <c r="U80" cm="1">
        <f t="array" ref="U80">_xlfn.ANCHORARRAY(J80)+0.15</f>
        <v>3.15</v>
      </c>
      <c r="V80" cm="1">
        <f t="array" ref="V80">_xlfn.ANCHORARRAY(K80)+0.15</f>
        <v>3.65</v>
      </c>
      <c r="W80">
        <f>TBL_TEV[[#This Row],[Etica Rendita Bilanciata]]</f>
        <v>1.6904760000000001</v>
      </c>
      <c r="X80">
        <f>TBL_TEV[[#This Row],[Etica Obbligazionario Breve Termine]]</f>
        <v>0.15890399999999999</v>
      </c>
      <c r="Y80">
        <f>TBL_TEV[[#This Row],[Etica Obbligazionario Misto]]</f>
        <v>1.122169</v>
      </c>
      <c r="Z80">
        <f>TBL_TEV[[#This Row],[Etica Bilanciato]]</f>
        <v>1.9251020000000001</v>
      </c>
      <c r="AA80">
        <f>TBL_TEV[[#This Row],[Etica Azionario]]</f>
        <v>2.5892909999999998</v>
      </c>
      <c r="AB80">
        <f>TBL_TEV[[#This Row],[Etica Transizione Climatica]]</f>
        <v>1.9655819999999999</v>
      </c>
      <c r="AC80">
        <f>TBL_TEV[[#This Row],[Etica Obiettivo Sociale]]</f>
        <v>6.533130782460236</v>
      </c>
      <c r="AD80">
        <f>TBL_TEV[[#This Row],[Etica Conservative Allocation]]</f>
        <v>0.66784100000000002</v>
      </c>
      <c r="AE80">
        <f>TBL_TEV[[#This Row],[Etica Dynamic Allocation]]</f>
        <v>2.4291170000000002</v>
      </c>
      <c r="AF80">
        <f>TBL_TEV[[#This Row],[Etica Global Equity]]</f>
        <v>3.6371669999999998</v>
      </c>
      <c r="AL80">
        <f ca="1"/>
        <v>1.666506</v>
      </c>
      <c r="AM80">
        <f ca="1"/>
        <v>0.220973</v>
      </c>
      <c r="AN80">
        <f ca="1"/>
        <v>1.1069290000000001</v>
      </c>
      <c r="AO80">
        <f ca="1"/>
        <v>1.897797</v>
      </c>
      <c r="AP80">
        <f ca="1"/>
        <v>2.5653199999999998</v>
      </c>
      <c r="AQ80">
        <f ca="1"/>
        <v>1.9759</v>
      </c>
      <c r="AR80">
        <f ca="1"/>
        <v>6.7580658537424423</v>
      </c>
      <c r="AS80">
        <f ca="1"/>
        <v>0.66815800000000003</v>
      </c>
      <c r="AT80">
        <f ca="1"/>
        <v>2.436896</v>
      </c>
      <c r="AU80">
        <f ca="1"/>
        <v>3.650026</v>
      </c>
    </row>
    <row r="81" spans="1:47">
      <c r="A81" s="43">
        <f>TBL_TEV[[#This Row],[Data2]]</f>
        <v>45405</v>
      </c>
      <c r="B81" cm="1">
        <f t="array" ref="B81">_xlfn.XLOOKUP(_xlfn.ANCHORARRAY(A81), TBL_Limiti_CDA[Data], TBL_Limiti_CDA[Etica Rendita Bilanciata], , -1)</f>
        <v>1.75</v>
      </c>
      <c r="C81" cm="1">
        <f t="array" ref="C81">_xlfn.XLOOKUP(_xlfn.ANCHORARRAY(A81), TBL_Limiti_CDA[Data], TBL_Limiti_CDA[Etica Obbligazionario Breve Termine], , -1)</f>
        <v>0.5</v>
      </c>
      <c r="D81" cm="1">
        <f t="array" ref="D81">_xlfn.XLOOKUP(_xlfn.ANCHORARRAY(A81), TBL_Limiti_CDA[Data], TBL_Limiti_CDA[Etica Obbligazionario Misto], , -1)</f>
        <v>1</v>
      </c>
      <c r="E81" cm="1">
        <f t="array" ref="E81">_xlfn.XLOOKUP(_xlfn.ANCHORARRAY(A81), TBL_Limiti_CDA[Data], TBL_Limiti_CDA[Etica Bilanciato], , -1)</f>
        <v>3</v>
      </c>
      <c r="F81" cm="1">
        <f t="array" ref="F81">_xlfn.XLOOKUP(_xlfn.ANCHORARRAY(A81), TBL_Limiti_CDA[Data], TBL_Limiti_CDA[Etica Azionario], , -1)</f>
        <v>3.5</v>
      </c>
      <c r="G81" cm="1">
        <f t="array" ref="G81">_xlfn.XLOOKUP(_xlfn.ANCHORARRAY(A81), TBL_Limiti_CDA[Data], TBL_Limiti_CDA[Etica Transizione Climatica], , -1)</f>
        <v>2.75</v>
      </c>
      <c r="H81" cm="1">
        <f t="array" ref="H81">_xlfn.XLOOKUP(_xlfn.ANCHORARRAY(A81), TBL_Limiti_CDA[Data], TBL_Limiti_CDA[Etica Obiettivo Sociale], , -1)</f>
        <v>7.49</v>
      </c>
      <c r="I81" cm="1">
        <f t="array" ref="I81">_xlfn.XLOOKUP(_xlfn.ANCHORARRAY(A81), TBL_Limiti_CDA[Data], TBL_Limiti_CDA[Etica Conservative Allocation], , -1)</f>
        <v>1</v>
      </c>
      <c r="J81" cm="1">
        <f t="array" ref="J81">_xlfn.XLOOKUP(_xlfn.ANCHORARRAY(A81), TBL_Limiti_CDA[Data], TBL_Limiti_CDA[Etica Dynamic Allocation], , -1)</f>
        <v>3</v>
      </c>
      <c r="K81" cm="1">
        <f t="array" ref="K81">_xlfn.XLOOKUP(_xlfn.ANCHORARRAY(A81), TBL_Limiti_CDA[Data], TBL_Limiti_CDA[Etica Global Equity], , -1)</f>
        <v>3.5</v>
      </c>
      <c r="L81" cm="1">
        <f t="array" ref="L81">_xlfn.ANCHORARRAY(B81)+0.15</f>
        <v>1.9</v>
      </c>
      <c r="M81" cm="1">
        <f t="array" ref="M81">_xlfn.ANCHORARRAY(C81)+0.1</f>
        <v>0.6</v>
      </c>
      <c r="N81" cm="1">
        <f t="array" ref="N81">_xlfn.ANCHORARRAY(D81)+0.15</f>
        <v>1.1499999999999999</v>
      </c>
      <c r="O81" cm="1">
        <f t="array" ref="O81">_xlfn.ANCHORARRAY(E81)+0.15</f>
        <v>3.15</v>
      </c>
      <c r="P81" cm="1">
        <f t="array" ref="P81">_xlfn.ANCHORARRAY(F81)+0.15</f>
        <v>3.65</v>
      </c>
      <c r="Q81" cm="1">
        <f t="array" ref="Q81">_xlfn.ANCHORARRAY(G81)+0.15</f>
        <v>2.9</v>
      </c>
      <c r="R81" cm="1">
        <f t="array" ref="R81">_xlfn.ANCHORARRAY(H81)</f>
        <v>7.49</v>
      </c>
      <c r="S81" cm="1">
        <f t="array" ref="S81">_xlfn.ANCHORARRAY(R81)+0.15</f>
        <v>7.6400000000000006</v>
      </c>
      <c r="T81" cm="1">
        <f t="array" ref="T81">_xlfn.ANCHORARRAY(I81)+0.15</f>
        <v>1.1499999999999999</v>
      </c>
      <c r="U81" cm="1">
        <f t="array" ref="U81">_xlfn.ANCHORARRAY(J81)+0.15</f>
        <v>3.15</v>
      </c>
      <c r="V81" cm="1">
        <f t="array" ref="V81">_xlfn.ANCHORARRAY(K81)+0.15</f>
        <v>3.65</v>
      </c>
      <c r="W81">
        <f>TBL_TEV[[#This Row],[Etica Rendita Bilanciata]]</f>
        <v>1.666506</v>
      </c>
      <c r="X81">
        <f>TBL_TEV[[#This Row],[Etica Obbligazionario Breve Termine]]</f>
        <v>0.220973</v>
      </c>
      <c r="Y81">
        <f>TBL_TEV[[#This Row],[Etica Obbligazionario Misto]]</f>
        <v>1.1069290000000001</v>
      </c>
      <c r="Z81">
        <f>TBL_TEV[[#This Row],[Etica Bilanciato]]</f>
        <v>1.897797</v>
      </c>
      <c r="AA81">
        <f>TBL_TEV[[#This Row],[Etica Azionario]]</f>
        <v>2.5653199999999998</v>
      </c>
      <c r="AB81">
        <f>TBL_TEV[[#This Row],[Etica Transizione Climatica]]</f>
        <v>1.9759</v>
      </c>
      <c r="AC81">
        <f>TBL_TEV[[#This Row],[Etica Obiettivo Sociale]]</f>
        <v>6.7580658537424423</v>
      </c>
      <c r="AD81">
        <f>TBL_TEV[[#This Row],[Etica Conservative Allocation]]</f>
        <v>0.66815800000000003</v>
      </c>
      <c r="AE81">
        <f>TBL_TEV[[#This Row],[Etica Dynamic Allocation]]</f>
        <v>2.436896</v>
      </c>
      <c r="AF81">
        <f>TBL_TEV[[#This Row],[Etica Global Equity]]</f>
        <v>3.650026</v>
      </c>
      <c r="AL81">
        <f ca="1"/>
        <v>1.6649179999999999</v>
      </c>
      <c r="AM81">
        <f ca="1"/>
        <v>0.221132</v>
      </c>
      <c r="AN81">
        <f ca="1"/>
        <v>1.1066119999999999</v>
      </c>
      <c r="AO81">
        <f ca="1"/>
        <v>1.8949400000000001</v>
      </c>
      <c r="AP81">
        <f ca="1"/>
        <v>2.5613519999999999</v>
      </c>
      <c r="AQ81">
        <f ca="1"/>
        <v>1.916371</v>
      </c>
      <c r="AR81">
        <f ca="1"/>
        <v>6.7693923581324666</v>
      </c>
      <c r="AS81">
        <f ca="1"/>
        <v>0.66212599999999999</v>
      </c>
      <c r="AT81">
        <f ca="1"/>
        <v>2.440229</v>
      </c>
      <c r="AU81">
        <f ca="1"/>
        <v>3.653359</v>
      </c>
    </row>
    <row r="82" spans="1:47">
      <c r="A82" s="43">
        <f>TBL_TEV[[#This Row],[Data2]]</f>
        <v>45406</v>
      </c>
      <c r="B82" cm="1">
        <f t="array" ref="B82">_xlfn.XLOOKUP(_xlfn.ANCHORARRAY(A82), TBL_Limiti_CDA[Data], TBL_Limiti_CDA[Etica Rendita Bilanciata], , -1)</f>
        <v>1.75</v>
      </c>
      <c r="C82" cm="1">
        <f t="array" ref="C82">_xlfn.XLOOKUP(_xlfn.ANCHORARRAY(A82), TBL_Limiti_CDA[Data], TBL_Limiti_CDA[Etica Obbligazionario Breve Termine], , -1)</f>
        <v>0.5</v>
      </c>
      <c r="D82" cm="1">
        <f t="array" ref="D82">_xlfn.XLOOKUP(_xlfn.ANCHORARRAY(A82), TBL_Limiti_CDA[Data], TBL_Limiti_CDA[Etica Obbligazionario Misto], , -1)</f>
        <v>1.5</v>
      </c>
      <c r="E82" cm="1">
        <f t="array" ref="E82">_xlfn.XLOOKUP(_xlfn.ANCHORARRAY(A82), TBL_Limiti_CDA[Data], TBL_Limiti_CDA[Etica Bilanciato], , -1)</f>
        <v>3</v>
      </c>
      <c r="F82" cm="1">
        <f t="array" ref="F82">_xlfn.XLOOKUP(_xlfn.ANCHORARRAY(A82), TBL_Limiti_CDA[Data], TBL_Limiti_CDA[Etica Azionario], , -1)</f>
        <v>3.5</v>
      </c>
      <c r="G82" cm="1">
        <f t="array" ref="G82">_xlfn.XLOOKUP(_xlfn.ANCHORARRAY(A82), TBL_Limiti_CDA[Data], TBL_Limiti_CDA[Etica Transizione Climatica], , -1)</f>
        <v>2.75</v>
      </c>
      <c r="H82" cm="1">
        <f t="array" ref="H82">_xlfn.XLOOKUP(_xlfn.ANCHORARRAY(A82), TBL_Limiti_CDA[Data], TBL_Limiti_CDA[Etica Obiettivo Sociale], , -1)</f>
        <v>7.49</v>
      </c>
      <c r="I82" cm="1">
        <f t="array" ref="I82">_xlfn.XLOOKUP(_xlfn.ANCHORARRAY(A82), TBL_Limiti_CDA[Data], TBL_Limiti_CDA[Etica Conservative Allocation], , -1)</f>
        <v>1.5</v>
      </c>
      <c r="J82" cm="1">
        <f t="array" ref="J82">_xlfn.XLOOKUP(_xlfn.ANCHORARRAY(A82), TBL_Limiti_CDA[Data], TBL_Limiti_CDA[Etica Dynamic Allocation], , -1)</f>
        <v>3</v>
      </c>
      <c r="K82" cm="1">
        <f t="array" ref="K82">_xlfn.XLOOKUP(_xlfn.ANCHORARRAY(A82), TBL_Limiti_CDA[Data], TBL_Limiti_CDA[Etica Global Equity], , -1)</f>
        <v>3.5</v>
      </c>
      <c r="L82" cm="1">
        <f t="array" ref="L82">_xlfn.ANCHORARRAY(B82)+0.15</f>
        <v>1.9</v>
      </c>
      <c r="M82" cm="1">
        <f t="array" ref="M82">_xlfn.ANCHORARRAY(C82)+0.1</f>
        <v>0.6</v>
      </c>
      <c r="N82" cm="1">
        <f t="array" ref="N82">_xlfn.ANCHORARRAY(D82)+0.15</f>
        <v>1.65</v>
      </c>
      <c r="O82" cm="1">
        <f t="array" ref="O82">_xlfn.ANCHORARRAY(E82)+0.15</f>
        <v>3.15</v>
      </c>
      <c r="P82" cm="1">
        <f t="array" ref="P82">_xlfn.ANCHORARRAY(F82)+0.15</f>
        <v>3.65</v>
      </c>
      <c r="Q82" cm="1">
        <f t="array" ref="Q82">_xlfn.ANCHORARRAY(G82)+0.15</f>
        <v>2.9</v>
      </c>
      <c r="R82" cm="1">
        <f t="array" ref="R82">_xlfn.ANCHORARRAY(H82)</f>
        <v>7.49</v>
      </c>
      <c r="S82" cm="1">
        <f t="array" ref="S82">_xlfn.ANCHORARRAY(R82)+0.15</f>
        <v>7.6400000000000006</v>
      </c>
      <c r="T82" cm="1">
        <f t="array" ref="T82">_xlfn.ANCHORARRAY(I82)+0.15</f>
        <v>1.65</v>
      </c>
      <c r="U82" cm="1">
        <f t="array" ref="U82">_xlfn.ANCHORARRAY(J82)+0.15</f>
        <v>3.15</v>
      </c>
      <c r="V82" cm="1">
        <f t="array" ref="V82">_xlfn.ANCHORARRAY(K82)+0.15</f>
        <v>3.65</v>
      </c>
      <c r="W82">
        <f>TBL_TEV[[#This Row],[Etica Rendita Bilanciata]]</f>
        <v>1.6649179999999999</v>
      </c>
      <c r="X82">
        <f>TBL_TEV[[#This Row],[Etica Obbligazionario Breve Termine]]</f>
        <v>0.221132</v>
      </c>
      <c r="Y82">
        <f>TBL_TEV[[#This Row],[Etica Obbligazionario Misto]]</f>
        <v>1.1066119999999999</v>
      </c>
      <c r="Z82">
        <f>TBL_TEV[[#This Row],[Etica Bilanciato]]</f>
        <v>1.8949400000000001</v>
      </c>
      <c r="AA82">
        <f>TBL_TEV[[#This Row],[Etica Azionario]]</f>
        <v>2.5613519999999999</v>
      </c>
      <c r="AB82">
        <f>TBL_TEV[[#This Row],[Etica Transizione Climatica]]</f>
        <v>1.916371</v>
      </c>
      <c r="AC82">
        <f>TBL_TEV[[#This Row],[Etica Obiettivo Sociale]]</f>
        <v>6.7693923581324666</v>
      </c>
      <c r="AD82">
        <f>TBL_TEV[[#This Row],[Etica Conservative Allocation]]</f>
        <v>0.66212599999999999</v>
      </c>
      <c r="AE82">
        <f>TBL_TEV[[#This Row],[Etica Dynamic Allocation]]</f>
        <v>2.440229</v>
      </c>
      <c r="AF82">
        <f>TBL_TEV[[#This Row],[Etica Global Equity]]</f>
        <v>3.653359</v>
      </c>
      <c r="AL82">
        <f ca="1"/>
        <v>1.649044</v>
      </c>
      <c r="AM82">
        <f ca="1"/>
        <v>0.219386</v>
      </c>
      <c r="AN82">
        <f ca="1"/>
        <v>1.0943890000000001</v>
      </c>
      <c r="AO82">
        <f ca="1"/>
        <v>1.8830340000000001</v>
      </c>
      <c r="AP82">
        <f ca="1"/>
        <v>2.5516679999999998</v>
      </c>
      <c r="AQ82">
        <f ca="1"/>
        <v>1.9127190000000001</v>
      </c>
      <c r="AR82">
        <f ca="1"/>
        <v>6.7693923581324666</v>
      </c>
      <c r="AS82">
        <f ca="1"/>
        <v>0.66434800000000005</v>
      </c>
      <c r="AT82">
        <f ca="1"/>
        <v>2.4457849999999999</v>
      </c>
      <c r="AU82">
        <f ca="1"/>
        <v>3.6422469999999998</v>
      </c>
    </row>
    <row r="83" spans="1:47">
      <c r="A83" s="43">
        <f>TBL_TEV[[#This Row],[Data2]]</f>
        <v>45407</v>
      </c>
      <c r="B83" cm="1">
        <f t="array" ref="B83">_xlfn.XLOOKUP(_xlfn.ANCHORARRAY(A83), TBL_Limiti_CDA[Data], TBL_Limiti_CDA[Etica Rendita Bilanciata], , -1)</f>
        <v>1.75</v>
      </c>
      <c r="C83" cm="1">
        <f t="array" ref="C83">_xlfn.XLOOKUP(_xlfn.ANCHORARRAY(A83), TBL_Limiti_CDA[Data], TBL_Limiti_CDA[Etica Obbligazionario Breve Termine], , -1)</f>
        <v>0.5</v>
      </c>
      <c r="D83" cm="1">
        <f t="array" ref="D83">_xlfn.XLOOKUP(_xlfn.ANCHORARRAY(A83), TBL_Limiti_CDA[Data], TBL_Limiti_CDA[Etica Obbligazionario Misto], , -1)</f>
        <v>1.5</v>
      </c>
      <c r="E83" cm="1">
        <f t="array" ref="E83">_xlfn.XLOOKUP(_xlfn.ANCHORARRAY(A83), TBL_Limiti_CDA[Data], TBL_Limiti_CDA[Etica Bilanciato], , -1)</f>
        <v>3</v>
      </c>
      <c r="F83" cm="1">
        <f t="array" ref="F83">_xlfn.XLOOKUP(_xlfn.ANCHORARRAY(A83), TBL_Limiti_CDA[Data], TBL_Limiti_CDA[Etica Azionario], , -1)</f>
        <v>3.5</v>
      </c>
      <c r="G83" cm="1">
        <f t="array" ref="G83">_xlfn.XLOOKUP(_xlfn.ANCHORARRAY(A83), TBL_Limiti_CDA[Data], TBL_Limiti_CDA[Etica Transizione Climatica], , -1)</f>
        <v>2.75</v>
      </c>
      <c r="H83" cm="1">
        <f t="array" ref="H83">_xlfn.XLOOKUP(_xlfn.ANCHORARRAY(A83), TBL_Limiti_CDA[Data], TBL_Limiti_CDA[Etica Obiettivo Sociale], , -1)</f>
        <v>7.49</v>
      </c>
      <c r="I83" cm="1">
        <f t="array" ref="I83">_xlfn.XLOOKUP(_xlfn.ANCHORARRAY(A83), TBL_Limiti_CDA[Data], TBL_Limiti_CDA[Etica Conservative Allocation], , -1)</f>
        <v>1.5</v>
      </c>
      <c r="J83" cm="1">
        <f t="array" ref="J83">_xlfn.XLOOKUP(_xlfn.ANCHORARRAY(A83), TBL_Limiti_CDA[Data], TBL_Limiti_CDA[Etica Dynamic Allocation], , -1)</f>
        <v>3</v>
      </c>
      <c r="K83" cm="1">
        <f t="array" ref="K83">_xlfn.XLOOKUP(_xlfn.ANCHORARRAY(A83), TBL_Limiti_CDA[Data], TBL_Limiti_CDA[Etica Global Equity], , -1)</f>
        <v>3.5</v>
      </c>
      <c r="L83" cm="1">
        <f t="array" ref="L83">_xlfn.ANCHORARRAY(B83)+0.15</f>
        <v>1.9</v>
      </c>
      <c r="M83" cm="1">
        <f t="array" ref="M83">_xlfn.ANCHORARRAY(C83)+0.1</f>
        <v>0.6</v>
      </c>
      <c r="N83" cm="1">
        <f t="array" ref="N83">_xlfn.ANCHORARRAY(D83)+0.15</f>
        <v>1.65</v>
      </c>
      <c r="O83" cm="1">
        <f t="array" ref="O83">_xlfn.ANCHORARRAY(E83)+0.15</f>
        <v>3.15</v>
      </c>
      <c r="P83" cm="1">
        <f t="array" ref="P83">_xlfn.ANCHORARRAY(F83)+0.15</f>
        <v>3.65</v>
      </c>
      <c r="Q83" cm="1">
        <f t="array" ref="Q83">_xlfn.ANCHORARRAY(G83)+0.15</f>
        <v>2.9</v>
      </c>
      <c r="R83" cm="1">
        <f t="array" ref="R83">_xlfn.ANCHORARRAY(H83)</f>
        <v>7.49</v>
      </c>
      <c r="S83" cm="1">
        <f t="array" ref="S83">_xlfn.ANCHORARRAY(R83)+0.15</f>
        <v>7.6400000000000006</v>
      </c>
      <c r="T83" cm="1">
        <f t="array" ref="T83">_xlfn.ANCHORARRAY(I83)+0.15</f>
        <v>1.65</v>
      </c>
      <c r="U83" cm="1">
        <f t="array" ref="U83">_xlfn.ANCHORARRAY(J83)+0.15</f>
        <v>3.15</v>
      </c>
      <c r="V83" cm="1">
        <f t="array" ref="V83">_xlfn.ANCHORARRAY(K83)+0.15</f>
        <v>3.65</v>
      </c>
      <c r="W83">
        <f>TBL_TEV[[#This Row],[Etica Rendita Bilanciata]]</f>
        <v>1.649044</v>
      </c>
      <c r="X83">
        <f>TBL_TEV[[#This Row],[Etica Obbligazionario Breve Termine]]</f>
        <v>0.219386</v>
      </c>
      <c r="Y83">
        <f>TBL_TEV[[#This Row],[Etica Obbligazionario Misto]]</f>
        <v>1.0943890000000001</v>
      </c>
      <c r="Z83">
        <f>TBL_TEV[[#This Row],[Etica Bilanciato]]</f>
        <v>1.8830340000000001</v>
      </c>
      <c r="AA83">
        <f>TBL_TEV[[#This Row],[Etica Azionario]]</f>
        <v>2.5516679999999998</v>
      </c>
      <c r="AB83">
        <f>TBL_TEV[[#This Row],[Etica Transizione Climatica]]</f>
        <v>1.9127190000000001</v>
      </c>
      <c r="AC83">
        <f>TBL_TEV[[#This Row],[Etica Obiettivo Sociale]]</f>
        <v>6.7693923581324666</v>
      </c>
      <c r="AD83">
        <f>TBL_TEV[[#This Row],[Etica Conservative Allocation]]</f>
        <v>0.66434800000000005</v>
      </c>
      <c r="AE83">
        <f>TBL_TEV[[#This Row],[Etica Dynamic Allocation]]</f>
        <v>2.4457849999999999</v>
      </c>
      <c r="AF83">
        <f>TBL_TEV[[#This Row],[Etica Global Equity]]</f>
        <v>3.6422469999999998</v>
      </c>
      <c r="AL83">
        <f ca="1"/>
        <v>1.6541239999999999</v>
      </c>
      <c r="AM83">
        <f ca="1"/>
        <v>0.222243</v>
      </c>
      <c r="AN83">
        <f ca="1"/>
        <v>1.1020080000000001</v>
      </c>
      <c r="AO83">
        <f ca="1"/>
        <v>1.8847799999999999</v>
      </c>
      <c r="AP83">
        <f ca="1"/>
        <v>2.558494</v>
      </c>
      <c r="AQ83">
        <f ca="1"/>
        <v>1.9643120000000001</v>
      </c>
      <c r="AR83">
        <f ca="1"/>
        <v>6.7710457496950331</v>
      </c>
      <c r="AS83">
        <f ca="1"/>
        <v>0.65228399999999997</v>
      </c>
      <c r="AT83">
        <f ca="1"/>
        <v>2.408639</v>
      </c>
      <c r="AU83">
        <f ca="1"/>
        <v>3.5306489999999999</v>
      </c>
    </row>
    <row r="84" spans="1:47">
      <c r="A84" s="43">
        <f>TBL_TEV[[#This Row],[Data2]]</f>
        <v>45408</v>
      </c>
      <c r="B84" cm="1">
        <f t="array" ref="B84">_xlfn.XLOOKUP(_xlfn.ANCHORARRAY(A84), TBL_Limiti_CDA[Data], TBL_Limiti_CDA[Etica Rendita Bilanciata], , -1)</f>
        <v>1.75</v>
      </c>
      <c r="C84" cm="1">
        <f t="array" ref="C84">_xlfn.XLOOKUP(_xlfn.ANCHORARRAY(A84), TBL_Limiti_CDA[Data], TBL_Limiti_CDA[Etica Obbligazionario Breve Termine], , -1)</f>
        <v>0.5</v>
      </c>
      <c r="D84" cm="1">
        <f t="array" ref="D84">_xlfn.XLOOKUP(_xlfn.ANCHORARRAY(A84), TBL_Limiti_CDA[Data], TBL_Limiti_CDA[Etica Obbligazionario Misto], , -1)</f>
        <v>1.5</v>
      </c>
      <c r="E84" cm="1">
        <f t="array" ref="E84">_xlfn.XLOOKUP(_xlfn.ANCHORARRAY(A84), TBL_Limiti_CDA[Data], TBL_Limiti_CDA[Etica Bilanciato], , -1)</f>
        <v>3</v>
      </c>
      <c r="F84" cm="1">
        <f t="array" ref="F84">_xlfn.XLOOKUP(_xlfn.ANCHORARRAY(A84), TBL_Limiti_CDA[Data], TBL_Limiti_CDA[Etica Azionario], , -1)</f>
        <v>3.5</v>
      </c>
      <c r="G84" cm="1">
        <f t="array" ref="G84">_xlfn.XLOOKUP(_xlfn.ANCHORARRAY(A84), TBL_Limiti_CDA[Data], TBL_Limiti_CDA[Etica Transizione Climatica], , -1)</f>
        <v>2.75</v>
      </c>
      <c r="H84" cm="1">
        <f t="array" ref="H84">_xlfn.XLOOKUP(_xlfn.ANCHORARRAY(A84), TBL_Limiti_CDA[Data], TBL_Limiti_CDA[Etica Obiettivo Sociale], , -1)</f>
        <v>7.49</v>
      </c>
      <c r="I84" cm="1">
        <f t="array" ref="I84">_xlfn.XLOOKUP(_xlfn.ANCHORARRAY(A84), TBL_Limiti_CDA[Data], TBL_Limiti_CDA[Etica Conservative Allocation], , -1)</f>
        <v>1.5</v>
      </c>
      <c r="J84" cm="1">
        <f t="array" ref="J84">_xlfn.XLOOKUP(_xlfn.ANCHORARRAY(A84), TBL_Limiti_CDA[Data], TBL_Limiti_CDA[Etica Dynamic Allocation], , -1)</f>
        <v>3</v>
      </c>
      <c r="K84" cm="1">
        <f t="array" ref="K84">_xlfn.XLOOKUP(_xlfn.ANCHORARRAY(A84), TBL_Limiti_CDA[Data], TBL_Limiti_CDA[Etica Global Equity], , -1)</f>
        <v>3.5</v>
      </c>
      <c r="L84" cm="1">
        <f t="array" ref="L84">_xlfn.ANCHORARRAY(B84)+0.15</f>
        <v>1.9</v>
      </c>
      <c r="M84" cm="1">
        <f t="array" ref="M84">_xlfn.ANCHORARRAY(C84)+0.1</f>
        <v>0.6</v>
      </c>
      <c r="N84" cm="1">
        <f t="array" ref="N84">_xlfn.ANCHORARRAY(D84)+0.15</f>
        <v>1.65</v>
      </c>
      <c r="O84" cm="1">
        <f t="array" ref="O84">_xlfn.ANCHORARRAY(E84)+0.15</f>
        <v>3.15</v>
      </c>
      <c r="P84" cm="1">
        <f t="array" ref="P84">_xlfn.ANCHORARRAY(F84)+0.15</f>
        <v>3.65</v>
      </c>
      <c r="Q84" cm="1">
        <f t="array" ref="Q84">_xlfn.ANCHORARRAY(G84)+0.15</f>
        <v>2.9</v>
      </c>
      <c r="R84" cm="1">
        <f t="array" ref="R84">_xlfn.ANCHORARRAY(H84)</f>
        <v>7.49</v>
      </c>
      <c r="S84" cm="1">
        <f t="array" ref="S84">_xlfn.ANCHORARRAY(R84)+0.15</f>
        <v>7.6400000000000006</v>
      </c>
      <c r="T84" cm="1">
        <f t="array" ref="T84">_xlfn.ANCHORARRAY(I84)+0.15</f>
        <v>1.65</v>
      </c>
      <c r="U84" cm="1">
        <f t="array" ref="U84">_xlfn.ANCHORARRAY(J84)+0.15</f>
        <v>3.15</v>
      </c>
      <c r="V84" cm="1">
        <f t="array" ref="V84">_xlfn.ANCHORARRAY(K84)+0.15</f>
        <v>3.65</v>
      </c>
      <c r="W84">
        <f>TBL_TEV[[#This Row],[Etica Rendita Bilanciata]]</f>
        <v>1.6541239999999999</v>
      </c>
      <c r="X84">
        <f>TBL_TEV[[#This Row],[Etica Obbligazionario Breve Termine]]</f>
        <v>0.222243</v>
      </c>
      <c r="Y84">
        <f>TBL_TEV[[#This Row],[Etica Obbligazionario Misto]]</f>
        <v>1.1020080000000001</v>
      </c>
      <c r="Z84">
        <f>TBL_TEV[[#This Row],[Etica Bilanciato]]</f>
        <v>1.8847799999999999</v>
      </c>
      <c r="AA84">
        <f>TBL_TEV[[#This Row],[Etica Azionario]]</f>
        <v>2.558494</v>
      </c>
      <c r="AB84">
        <f>TBL_TEV[[#This Row],[Etica Transizione Climatica]]</f>
        <v>1.9643120000000001</v>
      </c>
      <c r="AC84">
        <f>TBL_TEV[[#This Row],[Etica Obiettivo Sociale]]</f>
        <v>6.7710457496950331</v>
      </c>
      <c r="AD84">
        <f>TBL_TEV[[#This Row],[Etica Conservative Allocation]]</f>
        <v>0.65228399999999997</v>
      </c>
      <c r="AE84">
        <f>TBL_TEV[[#This Row],[Etica Dynamic Allocation]]</f>
        <v>2.408639</v>
      </c>
      <c r="AF84">
        <f>TBL_TEV[[#This Row],[Etica Global Equity]]</f>
        <v>3.5306489999999999</v>
      </c>
      <c r="AL84">
        <f ca="1"/>
        <v>1.657934</v>
      </c>
      <c r="AM84">
        <f ca="1"/>
        <v>0.222084</v>
      </c>
      <c r="AN84">
        <f ca="1"/>
        <v>1.111057</v>
      </c>
      <c r="AO84">
        <f ca="1"/>
        <v>1.8830340000000001</v>
      </c>
      <c r="AP84">
        <f ca="1"/>
        <v>2.545477</v>
      </c>
      <c r="AQ84">
        <f ca="1"/>
        <v>1.950342</v>
      </c>
      <c r="AR84">
        <f ca="1"/>
        <v>6.8580296705511721</v>
      </c>
      <c r="AS84">
        <f ca="1"/>
        <v>0.65164900000000003</v>
      </c>
      <c r="AT84">
        <f ca="1"/>
        <v>2.4003839999999999</v>
      </c>
      <c r="AU84">
        <f ca="1"/>
        <v>3.443657</v>
      </c>
    </row>
    <row r="85" spans="1:47">
      <c r="A85" s="43">
        <f>TBL_TEV[[#This Row],[Data2]]</f>
        <v>45411</v>
      </c>
      <c r="B85" cm="1">
        <f t="array" ref="B85">_xlfn.XLOOKUP(_xlfn.ANCHORARRAY(A85), TBL_Limiti_CDA[Data], TBL_Limiti_CDA[Etica Rendita Bilanciata], , -1)</f>
        <v>1.75</v>
      </c>
      <c r="C85" cm="1">
        <f t="array" ref="C85">_xlfn.XLOOKUP(_xlfn.ANCHORARRAY(A85), TBL_Limiti_CDA[Data], TBL_Limiti_CDA[Etica Obbligazionario Breve Termine], , -1)</f>
        <v>0.5</v>
      </c>
      <c r="D85" cm="1">
        <f t="array" ref="D85">_xlfn.XLOOKUP(_xlfn.ANCHORARRAY(A85), TBL_Limiti_CDA[Data], TBL_Limiti_CDA[Etica Obbligazionario Misto], , -1)</f>
        <v>1.5</v>
      </c>
      <c r="E85" cm="1">
        <f t="array" ref="E85">_xlfn.XLOOKUP(_xlfn.ANCHORARRAY(A85), TBL_Limiti_CDA[Data], TBL_Limiti_CDA[Etica Bilanciato], , -1)</f>
        <v>3</v>
      </c>
      <c r="F85" cm="1">
        <f t="array" ref="F85">_xlfn.XLOOKUP(_xlfn.ANCHORARRAY(A85), TBL_Limiti_CDA[Data], TBL_Limiti_CDA[Etica Azionario], , -1)</f>
        <v>3.5</v>
      </c>
      <c r="G85" cm="1">
        <f t="array" ref="G85">_xlfn.XLOOKUP(_xlfn.ANCHORARRAY(A85), TBL_Limiti_CDA[Data], TBL_Limiti_CDA[Etica Transizione Climatica], , -1)</f>
        <v>2.75</v>
      </c>
      <c r="H85" cm="1">
        <f t="array" ref="H85">_xlfn.XLOOKUP(_xlfn.ANCHORARRAY(A85), TBL_Limiti_CDA[Data], TBL_Limiti_CDA[Etica Obiettivo Sociale], , -1)</f>
        <v>7.49</v>
      </c>
      <c r="I85" cm="1">
        <f t="array" ref="I85">_xlfn.XLOOKUP(_xlfn.ANCHORARRAY(A85), TBL_Limiti_CDA[Data], TBL_Limiti_CDA[Etica Conservative Allocation], , -1)</f>
        <v>1.5</v>
      </c>
      <c r="J85" cm="1">
        <f t="array" ref="J85">_xlfn.XLOOKUP(_xlfn.ANCHORARRAY(A85), TBL_Limiti_CDA[Data], TBL_Limiti_CDA[Etica Dynamic Allocation], , -1)</f>
        <v>3</v>
      </c>
      <c r="K85" cm="1">
        <f t="array" ref="K85">_xlfn.XLOOKUP(_xlfn.ANCHORARRAY(A85), TBL_Limiti_CDA[Data], TBL_Limiti_CDA[Etica Global Equity], , -1)</f>
        <v>3.5</v>
      </c>
      <c r="L85" cm="1">
        <f t="array" ref="L85">_xlfn.ANCHORARRAY(B85)+0.15</f>
        <v>1.9</v>
      </c>
      <c r="M85" cm="1">
        <f t="array" ref="M85">_xlfn.ANCHORARRAY(C85)+0.1</f>
        <v>0.6</v>
      </c>
      <c r="N85" cm="1">
        <f t="array" ref="N85">_xlfn.ANCHORARRAY(D85)+0.15</f>
        <v>1.65</v>
      </c>
      <c r="O85" cm="1">
        <f t="array" ref="O85">_xlfn.ANCHORARRAY(E85)+0.15</f>
        <v>3.15</v>
      </c>
      <c r="P85" cm="1">
        <f t="array" ref="P85">_xlfn.ANCHORARRAY(F85)+0.15</f>
        <v>3.65</v>
      </c>
      <c r="Q85" cm="1">
        <f t="array" ref="Q85">_xlfn.ANCHORARRAY(G85)+0.15</f>
        <v>2.9</v>
      </c>
      <c r="R85" cm="1">
        <f t="array" ref="R85">_xlfn.ANCHORARRAY(H85)</f>
        <v>7.49</v>
      </c>
      <c r="S85" cm="1">
        <f t="array" ref="S85">_xlfn.ANCHORARRAY(R85)+0.15</f>
        <v>7.6400000000000006</v>
      </c>
      <c r="T85" cm="1">
        <f t="array" ref="T85">_xlfn.ANCHORARRAY(I85)+0.15</f>
        <v>1.65</v>
      </c>
      <c r="U85" cm="1">
        <f t="array" ref="U85">_xlfn.ANCHORARRAY(J85)+0.15</f>
        <v>3.15</v>
      </c>
      <c r="V85" cm="1">
        <f t="array" ref="V85">_xlfn.ANCHORARRAY(K85)+0.15</f>
        <v>3.65</v>
      </c>
      <c r="W85">
        <f>TBL_TEV[[#This Row],[Etica Rendita Bilanciata]]</f>
        <v>1.657934</v>
      </c>
      <c r="X85">
        <f>TBL_TEV[[#This Row],[Etica Obbligazionario Breve Termine]]</f>
        <v>0.222084</v>
      </c>
      <c r="Y85">
        <f>TBL_TEV[[#This Row],[Etica Obbligazionario Misto]]</f>
        <v>1.111057</v>
      </c>
      <c r="Z85">
        <f>TBL_TEV[[#This Row],[Etica Bilanciato]]</f>
        <v>1.8830340000000001</v>
      </c>
      <c r="AA85">
        <f>TBL_TEV[[#This Row],[Etica Azionario]]</f>
        <v>2.545477</v>
      </c>
      <c r="AB85">
        <f>TBL_TEV[[#This Row],[Etica Transizione Climatica]]</f>
        <v>1.950342</v>
      </c>
      <c r="AC85">
        <f>TBL_TEV[[#This Row],[Etica Obiettivo Sociale]]</f>
        <v>6.8580296705511721</v>
      </c>
      <c r="AD85">
        <f>TBL_TEV[[#This Row],[Etica Conservative Allocation]]</f>
        <v>0.65164900000000003</v>
      </c>
      <c r="AE85">
        <f>TBL_TEV[[#This Row],[Etica Dynamic Allocation]]</f>
        <v>2.4003839999999999</v>
      </c>
      <c r="AF85">
        <f>TBL_TEV[[#This Row],[Etica Global Equity]]</f>
        <v>3.443657</v>
      </c>
      <c r="AL85">
        <f ca="1"/>
        <v>1.630471</v>
      </c>
      <c r="AM85">
        <f ca="1"/>
        <v>0.18842999999999999</v>
      </c>
      <c r="AN85">
        <f ca="1"/>
        <v>1.082165</v>
      </c>
      <c r="AO85">
        <f ca="1"/>
        <v>1.8696999999999999</v>
      </c>
      <c r="AP85">
        <f ca="1"/>
        <v>2.554208</v>
      </c>
      <c r="AQ85">
        <f ca="1"/>
        <v>1.934944</v>
      </c>
      <c r="AR85">
        <f ca="1"/>
        <v>6.810495819286996</v>
      </c>
      <c r="AS85">
        <f ca="1"/>
        <v>0.63561500000000004</v>
      </c>
      <c r="AT85">
        <f ca="1"/>
        <v>2.3741910000000002</v>
      </c>
      <c r="AU85">
        <f ca="1"/>
        <v>3.448102</v>
      </c>
    </row>
    <row r="86" spans="1:47">
      <c r="A86" s="43">
        <f>TBL_TEV[[#This Row],[Data2]]</f>
        <v>45412</v>
      </c>
      <c r="B86" cm="1">
        <f t="array" ref="B86">_xlfn.XLOOKUP(_xlfn.ANCHORARRAY(A86), TBL_Limiti_CDA[Data], TBL_Limiti_CDA[Etica Rendita Bilanciata], , -1)</f>
        <v>1.75</v>
      </c>
      <c r="C86" cm="1">
        <f t="array" ref="C86">_xlfn.XLOOKUP(_xlfn.ANCHORARRAY(A86), TBL_Limiti_CDA[Data], TBL_Limiti_CDA[Etica Obbligazionario Breve Termine], , -1)</f>
        <v>0.5</v>
      </c>
      <c r="D86" cm="1">
        <f t="array" ref="D86">_xlfn.XLOOKUP(_xlfn.ANCHORARRAY(A86), TBL_Limiti_CDA[Data], TBL_Limiti_CDA[Etica Obbligazionario Misto], , -1)</f>
        <v>1.5</v>
      </c>
      <c r="E86" cm="1">
        <f t="array" ref="E86">_xlfn.XLOOKUP(_xlfn.ANCHORARRAY(A86), TBL_Limiti_CDA[Data], TBL_Limiti_CDA[Etica Bilanciato], , -1)</f>
        <v>3</v>
      </c>
      <c r="F86" cm="1">
        <f t="array" ref="F86">_xlfn.XLOOKUP(_xlfn.ANCHORARRAY(A86), TBL_Limiti_CDA[Data], TBL_Limiti_CDA[Etica Azionario], , -1)</f>
        <v>3.5</v>
      </c>
      <c r="G86" cm="1">
        <f t="array" ref="G86">_xlfn.XLOOKUP(_xlfn.ANCHORARRAY(A86), TBL_Limiti_CDA[Data], TBL_Limiti_CDA[Etica Transizione Climatica], , -1)</f>
        <v>2.75</v>
      </c>
      <c r="H86" cm="1">
        <f t="array" ref="H86">_xlfn.XLOOKUP(_xlfn.ANCHORARRAY(A86), TBL_Limiti_CDA[Data], TBL_Limiti_CDA[Etica Obiettivo Sociale], , -1)</f>
        <v>7.49</v>
      </c>
      <c r="I86" cm="1">
        <f t="array" ref="I86">_xlfn.XLOOKUP(_xlfn.ANCHORARRAY(A86), TBL_Limiti_CDA[Data], TBL_Limiti_CDA[Etica Conservative Allocation], , -1)</f>
        <v>1.5</v>
      </c>
      <c r="J86" cm="1">
        <f t="array" ref="J86">_xlfn.XLOOKUP(_xlfn.ANCHORARRAY(A86), TBL_Limiti_CDA[Data], TBL_Limiti_CDA[Etica Dynamic Allocation], , -1)</f>
        <v>3</v>
      </c>
      <c r="K86" cm="1">
        <f t="array" ref="K86">_xlfn.XLOOKUP(_xlfn.ANCHORARRAY(A86), TBL_Limiti_CDA[Data], TBL_Limiti_CDA[Etica Global Equity], , -1)</f>
        <v>3.5</v>
      </c>
      <c r="L86" cm="1">
        <f t="array" ref="L86">_xlfn.ANCHORARRAY(B86)+0.15</f>
        <v>1.9</v>
      </c>
      <c r="M86" cm="1">
        <f t="array" ref="M86">_xlfn.ANCHORARRAY(C86)+0.1</f>
        <v>0.6</v>
      </c>
      <c r="N86" cm="1">
        <f t="array" ref="N86">_xlfn.ANCHORARRAY(D86)+0.15</f>
        <v>1.65</v>
      </c>
      <c r="O86" cm="1">
        <f t="array" ref="O86">_xlfn.ANCHORARRAY(E86)+0.15</f>
        <v>3.15</v>
      </c>
      <c r="P86" cm="1">
        <f t="array" ref="P86">_xlfn.ANCHORARRAY(F86)+0.15</f>
        <v>3.65</v>
      </c>
      <c r="Q86" cm="1">
        <f t="array" ref="Q86">_xlfn.ANCHORARRAY(G86)+0.15</f>
        <v>2.9</v>
      </c>
      <c r="R86" cm="1">
        <f t="array" ref="R86">_xlfn.ANCHORARRAY(H86)</f>
        <v>7.49</v>
      </c>
      <c r="S86" cm="1">
        <f t="array" ref="S86">_xlfn.ANCHORARRAY(R86)+0.15</f>
        <v>7.6400000000000006</v>
      </c>
      <c r="T86" cm="1">
        <f t="array" ref="T86">_xlfn.ANCHORARRAY(I86)+0.15</f>
        <v>1.65</v>
      </c>
      <c r="U86" cm="1">
        <f t="array" ref="U86">_xlfn.ANCHORARRAY(J86)+0.15</f>
        <v>3.15</v>
      </c>
      <c r="V86" cm="1">
        <f t="array" ref="V86">_xlfn.ANCHORARRAY(K86)+0.15</f>
        <v>3.65</v>
      </c>
      <c r="W86">
        <f>TBL_TEV[[#This Row],[Etica Rendita Bilanciata]]</f>
        <v>1.630471</v>
      </c>
      <c r="X86">
        <f>TBL_TEV[[#This Row],[Etica Obbligazionario Breve Termine]]</f>
        <v>0.18842999999999999</v>
      </c>
      <c r="Y86">
        <f>TBL_TEV[[#This Row],[Etica Obbligazionario Misto]]</f>
        <v>1.082165</v>
      </c>
      <c r="Z86">
        <f>TBL_TEV[[#This Row],[Etica Bilanciato]]</f>
        <v>1.8696999999999999</v>
      </c>
      <c r="AA86">
        <f>TBL_TEV[[#This Row],[Etica Azionario]]</f>
        <v>2.554208</v>
      </c>
      <c r="AB86">
        <f>TBL_TEV[[#This Row],[Etica Transizione Climatica]]</f>
        <v>1.934944</v>
      </c>
      <c r="AC86">
        <f>TBL_TEV[[#This Row],[Etica Obiettivo Sociale]]</f>
        <v>6.810495819286996</v>
      </c>
      <c r="AD86">
        <f>TBL_TEV[[#This Row],[Etica Conservative Allocation]]</f>
        <v>0.63561500000000004</v>
      </c>
      <c r="AE86">
        <f>TBL_TEV[[#This Row],[Etica Dynamic Allocation]]</f>
        <v>2.3741910000000002</v>
      </c>
      <c r="AF86">
        <f>TBL_TEV[[#This Row],[Etica Global Equity]]</f>
        <v>3.448102</v>
      </c>
      <c r="AL86">
        <f ca="1"/>
        <v>1.627772</v>
      </c>
      <c r="AM86">
        <f ca="1"/>
        <v>0.18589</v>
      </c>
      <c r="AN86">
        <f ca="1"/>
        <v>1.073752</v>
      </c>
      <c r="AO86">
        <f ca="1"/>
        <v>1.872716</v>
      </c>
      <c r="AP86">
        <f ca="1"/>
        <v>2.5624630000000002</v>
      </c>
      <c r="AQ86">
        <f ca="1"/>
        <v>1.911449</v>
      </c>
      <c r="AR86">
        <f ca="1"/>
        <v>6.810495819286996</v>
      </c>
      <c r="AS86">
        <f ca="1"/>
        <v>0.630853</v>
      </c>
      <c r="AT86">
        <f ca="1"/>
        <v>2.3745090000000002</v>
      </c>
      <c r="AU86">
        <f ca="1"/>
        <v>3.4152420000000001</v>
      </c>
    </row>
    <row r="87" spans="1:47">
      <c r="A87" s="43">
        <f>TBL_TEV[[#This Row],[Data2]]</f>
        <v>45413</v>
      </c>
      <c r="B87" cm="1">
        <f t="array" ref="B87">_xlfn.XLOOKUP(_xlfn.ANCHORARRAY(A87), TBL_Limiti_CDA[Data], TBL_Limiti_CDA[Etica Rendita Bilanciata], , -1)</f>
        <v>1.75</v>
      </c>
      <c r="C87" cm="1">
        <f t="array" ref="C87">_xlfn.XLOOKUP(_xlfn.ANCHORARRAY(A87), TBL_Limiti_CDA[Data], TBL_Limiti_CDA[Etica Obbligazionario Breve Termine], , -1)</f>
        <v>0.5</v>
      </c>
      <c r="D87" cm="1">
        <f t="array" ref="D87">_xlfn.XLOOKUP(_xlfn.ANCHORARRAY(A87), TBL_Limiti_CDA[Data], TBL_Limiti_CDA[Etica Obbligazionario Misto], , -1)</f>
        <v>1.5</v>
      </c>
      <c r="E87" cm="1">
        <f t="array" ref="E87">_xlfn.XLOOKUP(_xlfn.ANCHORARRAY(A87), TBL_Limiti_CDA[Data], TBL_Limiti_CDA[Etica Bilanciato], , -1)</f>
        <v>3</v>
      </c>
      <c r="F87" cm="1">
        <f t="array" ref="F87">_xlfn.XLOOKUP(_xlfn.ANCHORARRAY(A87), TBL_Limiti_CDA[Data], TBL_Limiti_CDA[Etica Azionario], , -1)</f>
        <v>3.5</v>
      </c>
      <c r="G87" cm="1">
        <f t="array" ref="G87">_xlfn.XLOOKUP(_xlfn.ANCHORARRAY(A87), TBL_Limiti_CDA[Data], TBL_Limiti_CDA[Etica Transizione Climatica], , -1)</f>
        <v>2.75</v>
      </c>
      <c r="H87" cm="1">
        <f t="array" ref="H87">_xlfn.XLOOKUP(_xlfn.ANCHORARRAY(A87), TBL_Limiti_CDA[Data], TBL_Limiti_CDA[Etica Obiettivo Sociale], , -1)</f>
        <v>7.49</v>
      </c>
      <c r="I87" cm="1">
        <f t="array" ref="I87">_xlfn.XLOOKUP(_xlfn.ANCHORARRAY(A87), TBL_Limiti_CDA[Data], TBL_Limiti_CDA[Etica Conservative Allocation], , -1)</f>
        <v>1.5</v>
      </c>
      <c r="J87" cm="1">
        <f t="array" ref="J87">_xlfn.XLOOKUP(_xlfn.ANCHORARRAY(A87), TBL_Limiti_CDA[Data], TBL_Limiti_CDA[Etica Dynamic Allocation], , -1)</f>
        <v>3</v>
      </c>
      <c r="K87" cm="1">
        <f t="array" ref="K87">_xlfn.XLOOKUP(_xlfn.ANCHORARRAY(A87), TBL_Limiti_CDA[Data], TBL_Limiti_CDA[Etica Global Equity], , -1)</f>
        <v>3.5</v>
      </c>
      <c r="L87" cm="1">
        <f t="array" ref="L87">_xlfn.ANCHORARRAY(B87)+0.15</f>
        <v>1.9</v>
      </c>
      <c r="M87" cm="1">
        <f t="array" ref="M87">_xlfn.ANCHORARRAY(C87)+0.1</f>
        <v>0.6</v>
      </c>
      <c r="N87" cm="1">
        <f t="array" ref="N87">_xlfn.ANCHORARRAY(D87)+0.15</f>
        <v>1.65</v>
      </c>
      <c r="O87" cm="1">
        <f t="array" ref="O87">_xlfn.ANCHORARRAY(E87)+0.15</f>
        <v>3.15</v>
      </c>
      <c r="P87" cm="1">
        <f t="array" ref="P87">_xlfn.ANCHORARRAY(F87)+0.15</f>
        <v>3.65</v>
      </c>
      <c r="Q87" cm="1">
        <f t="array" ref="Q87">_xlfn.ANCHORARRAY(G87)+0.15</f>
        <v>2.9</v>
      </c>
      <c r="R87" cm="1">
        <f t="array" ref="R87">_xlfn.ANCHORARRAY(H87)</f>
        <v>7.49</v>
      </c>
      <c r="S87" cm="1">
        <f t="array" ref="S87">_xlfn.ANCHORARRAY(R87)+0.15</f>
        <v>7.6400000000000006</v>
      </c>
      <c r="T87" cm="1">
        <f t="array" ref="T87">_xlfn.ANCHORARRAY(I87)+0.15</f>
        <v>1.65</v>
      </c>
      <c r="U87" cm="1">
        <f t="array" ref="U87">_xlfn.ANCHORARRAY(J87)+0.15</f>
        <v>3.15</v>
      </c>
      <c r="V87" cm="1">
        <f t="array" ref="V87">_xlfn.ANCHORARRAY(K87)+0.15</f>
        <v>3.65</v>
      </c>
      <c r="W87">
        <f>TBL_TEV[[#This Row],[Etica Rendita Bilanciata]]</f>
        <v>1.627772</v>
      </c>
      <c r="X87">
        <f>TBL_TEV[[#This Row],[Etica Obbligazionario Breve Termine]]</f>
        <v>0.18589</v>
      </c>
      <c r="Y87">
        <f>TBL_TEV[[#This Row],[Etica Obbligazionario Misto]]</f>
        <v>1.073752</v>
      </c>
      <c r="Z87">
        <f>TBL_TEV[[#This Row],[Etica Bilanciato]]</f>
        <v>1.872716</v>
      </c>
      <c r="AA87">
        <f>TBL_TEV[[#This Row],[Etica Azionario]]</f>
        <v>2.5624630000000002</v>
      </c>
      <c r="AB87">
        <f>TBL_TEV[[#This Row],[Etica Transizione Climatica]]</f>
        <v>1.911449</v>
      </c>
      <c r="AC87">
        <f>TBL_TEV[[#This Row],[Etica Obiettivo Sociale]]</f>
        <v>6.810495819286996</v>
      </c>
      <c r="AD87">
        <f>TBL_TEV[[#This Row],[Etica Conservative Allocation]]</f>
        <v>0.630853</v>
      </c>
      <c r="AE87">
        <f>TBL_TEV[[#This Row],[Etica Dynamic Allocation]]</f>
        <v>2.3745090000000002</v>
      </c>
      <c r="AF87">
        <f>TBL_TEV[[#This Row],[Etica Global Equity]]</f>
        <v>3.4152420000000001</v>
      </c>
      <c r="AL87">
        <f ca="1"/>
        <v>1.639837</v>
      </c>
      <c r="AM87">
        <f ca="1"/>
        <v>0.185414</v>
      </c>
      <c r="AN87">
        <f ca="1"/>
        <v>1.082641</v>
      </c>
      <c r="AO87">
        <f ca="1"/>
        <v>1.8736679999999999</v>
      </c>
      <c r="AP87">
        <f ca="1"/>
        <v>2.5534150000000002</v>
      </c>
      <c r="AQ87">
        <f ca="1"/>
        <v>1.920498</v>
      </c>
      <c r="AR87">
        <f ca="1"/>
        <v>6.789010513571859</v>
      </c>
      <c r="AS87">
        <f ca="1"/>
        <v>0.63958400000000004</v>
      </c>
      <c r="AT87">
        <f ca="1"/>
        <v>2.4030830000000001</v>
      </c>
      <c r="AU87">
        <f ca="1"/>
        <v>3.4417520000000001</v>
      </c>
    </row>
    <row r="88" spans="1:47">
      <c r="A88" s="43">
        <f>TBL_TEV[[#This Row],[Data2]]</f>
        <v>45414</v>
      </c>
      <c r="B88" cm="1">
        <f t="array" ref="B88">_xlfn.XLOOKUP(_xlfn.ANCHORARRAY(A88), TBL_Limiti_CDA[Data], TBL_Limiti_CDA[Etica Rendita Bilanciata], , -1)</f>
        <v>1.75</v>
      </c>
      <c r="C88" cm="1">
        <f t="array" ref="C88">_xlfn.XLOOKUP(_xlfn.ANCHORARRAY(A88), TBL_Limiti_CDA[Data], TBL_Limiti_CDA[Etica Obbligazionario Breve Termine], , -1)</f>
        <v>0.5</v>
      </c>
      <c r="D88" cm="1">
        <f t="array" ref="D88">_xlfn.XLOOKUP(_xlfn.ANCHORARRAY(A88), TBL_Limiti_CDA[Data], TBL_Limiti_CDA[Etica Obbligazionario Misto], , -1)</f>
        <v>1.5</v>
      </c>
      <c r="E88" cm="1">
        <f t="array" ref="E88">_xlfn.XLOOKUP(_xlfn.ANCHORARRAY(A88), TBL_Limiti_CDA[Data], TBL_Limiti_CDA[Etica Bilanciato], , -1)</f>
        <v>3</v>
      </c>
      <c r="F88" cm="1">
        <f t="array" ref="F88">_xlfn.XLOOKUP(_xlfn.ANCHORARRAY(A88), TBL_Limiti_CDA[Data], TBL_Limiti_CDA[Etica Azionario], , -1)</f>
        <v>3.5</v>
      </c>
      <c r="G88" cm="1">
        <f t="array" ref="G88">_xlfn.XLOOKUP(_xlfn.ANCHORARRAY(A88), TBL_Limiti_CDA[Data], TBL_Limiti_CDA[Etica Transizione Climatica], , -1)</f>
        <v>2.75</v>
      </c>
      <c r="H88" cm="1">
        <f t="array" ref="H88">_xlfn.XLOOKUP(_xlfn.ANCHORARRAY(A88), TBL_Limiti_CDA[Data], TBL_Limiti_CDA[Etica Obiettivo Sociale], , -1)</f>
        <v>7.49</v>
      </c>
      <c r="I88" cm="1">
        <f t="array" ref="I88">_xlfn.XLOOKUP(_xlfn.ANCHORARRAY(A88), TBL_Limiti_CDA[Data], TBL_Limiti_CDA[Etica Conservative Allocation], , -1)</f>
        <v>1.5</v>
      </c>
      <c r="J88" cm="1">
        <f t="array" ref="J88">_xlfn.XLOOKUP(_xlfn.ANCHORARRAY(A88), TBL_Limiti_CDA[Data], TBL_Limiti_CDA[Etica Dynamic Allocation], , -1)</f>
        <v>3</v>
      </c>
      <c r="K88" cm="1">
        <f t="array" ref="K88">_xlfn.XLOOKUP(_xlfn.ANCHORARRAY(A88), TBL_Limiti_CDA[Data], TBL_Limiti_CDA[Etica Global Equity], , -1)</f>
        <v>3.5</v>
      </c>
      <c r="L88" cm="1">
        <f t="array" ref="L88">_xlfn.ANCHORARRAY(B88)+0.15</f>
        <v>1.9</v>
      </c>
      <c r="M88" cm="1">
        <f t="array" ref="M88">_xlfn.ANCHORARRAY(C88)+0.1</f>
        <v>0.6</v>
      </c>
      <c r="N88" cm="1">
        <f t="array" ref="N88">_xlfn.ANCHORARRAY(D88)+0.15</f>
        <v>1.65</v>
      </c>
      <c r="O88" cm="1">
        <f t="array" ref="O88">_xlfn.ANCHORARRAY(E88)+0.15</f>
        <v>3.15</v>
      </c>
      <c r="P88" cm="1">
        <f t="array" ref="P88">_xlfn.ANCHORARRAY(F88)+0.15</f>
        <v>3.65</v>
      </c>
      <c r="Q88" cm="1">
        <f t="array" ref="Q88">_xlfn.ANCHORARRAY(G88)+0.15</f>
        <v>2.9</v>
      </c>
      <c r="R88" cm="1">
        <f t="array" ref="R88">_xlfn.ANCHORARRAY(H88)</f>
        <v>7.49</v>
      </c>
      <c r="S88" cm="1">
        <f t="array" ref="S88">_xlfn.ANCHORARRAY(R88)+0.15</f>
        <v>7.6400000000000006</v>
      </c>
      <c r="T88" cm="1">
        <f t="array" ref="T88">_xlfn.ANCHORARRAY(I88)+0.15</f>
        <v>1.65</v>
      </c>
      <c r="U88" cm="1">
        <f t="array" ref="U88">_xlfn.ANCHORARRAY(J88)+0.15</f>
        <v>3.15</v>
      </c>
      <c r="V88" cm="1">
        <f t="array" ref="V88">_xlfn.ANCHORARRAY(K88)+0.15</f>
        <v>3.65</v>
      </c>
      <c r="W88">
        <f>TBL_TEV[[#This Row],[Etica Rendita Bilanciata]]</f>
        <v>1.639837</v>
      </c>
      <c r="X88">
        <f>TBL_TEV[[#This Row],[Etica Obbligazionario Breve Termine]]</f>
        <v>0.185414</v>
      </c>
      <c r="Y88">
        <f>TBL_TEV[[#This Row],[Etica Obbligazionario Misto]]</f>
        <v>1.082641</v>
      </c>
      <c r="Z88">
        <f>TBL_TEV[[#This Row],[Etica Bilanciato]]</f>
        <v>1.8736679999999999</v>
      </c>
      <c r="AA88">
        <f>TBL_TEV[[#This Row],[Etica Azionario]]</f>
        <v>2.5534150000000002</v>
      </c>
      <c r="AB88">
        <f>TBL_TEV[[#This Row],[Etica Transizione Climatica]]</f>
        <v>1.920498</v>
      </c>
      <c r="AC88">
        <f>TBL_TEV[[#This Row],[Etica Obiettivo Sociale]]</f>
        <v>6.789010513571859</v>
      </c>
      <c r="AD88">
        <f>TBL_TEV[[#This Row],[Etica Conservative Allocation]]</f>
        <v>0.63958400000000004</v>
      </c>
      <c r="AE88">
        <f>TBL_TEV[[#This Row],[Etica Dynamic Allocation]]</f>
        <v>2.4030830000000001</v>
      </c>
      <c r="AF88">
        <f>TBL_TEV[[#This Row],[Etica Global Equity]]</f>
        <v>3.4417520000000001</v>
      </c>
      <c r="AL88">
        <f ca="1"/>
        <v>1.642377</v>
      </c>
      <c r="AM88">
        <f ca="1"/>
        <v>0.185414</v>
      </c>
      <c r="AN88">
        <f ca="1"/>
        <v>1.0869279999999999</v>
      </c>
      <c r="AO88">
        <f ca="1"/>
        <v>1.867953</v>
      </c>
      <c r="AP88">
        <f ca="1"/>
        <v>2.540556</v>
      </c>
      <c r="AQ88">
        <f ca="1"/>
        <v>1.923197</v>
      </c>
      <c r="AR88">
        <f ca="1"/>
        <v>6.7991451935230955</v>
      </c>
      <c r="AS88">
        <f ca="1"/>
        <v>0.64053599999999999</v>
      </c>
      <c r="AT88">
        <f ca="1"/>
        <v>2.4159410000000001</v>
      </c>
      <c r="AU88">
        <f ca="1"/>
        <v>3.4649290000000001</v>
      </c>
    </row>
    <row r="89" spans="1:47">
      <c r="A89" s="43">
        <f>TBL_TEV[[#This Row],[Data2]]</f>
        <v>45415</v>
      </c>
      <c r="B89" cm="1">
        <f t="array" ref="B89">_xlfn.XLOOKUP(_xlfn.ANCHORARRAY(A89), TBL_Limiti_CDA[Data], TBL_Limiti_CDA[Etica Rendita Bilanciata], , -1)</f>
        <v>1.75</v>
      </c>
      <c r="C89" cm="1">
        <f t="array" ref="C89">_xlfn.XLOOKUP(_xlfn.ANCHORARRAY(A89), TBL_Limiti_CDA[Data], TBL_Limiti_CDA[Etica Obbligazionario Breve Termine], , -1)</f>
        <v>0.5</v>
      </c>
      <c r="D89" cm="1">
        <f t="array" ref="D89">_xlfn.XLOOKUP(_xlfn.ANCHORARRAY(A89), TBL_Limiti_CDA[Data], TBL_Limiti_CDA[Etica Obbligazionario Misto], , -1)</f>
        <v>1.5</v>
      </c>
      <c r="E89" cm="1">
        <f t="array" ref="E89">_xlfn.XLOOKUP(_xlfn.ANCHORARRAY(A89), TBL_Limiti_CDA[Data], TBL_Limiti_CDA[Etica Bilanciato], , -1)</f>
        <v>3</v>
      </c>
      <c r="F89" cm="1">
        <f t="array" ref="F89">_xlfn.XLOOKUP(_xlfn.ANCHORARRAY(A89), TBL_Limiti_CDA[Data], TBL_Limiti_CDA[Etica Azionario], , -1)</f>
        <v>3.5</v>
      </c>
      <c r="G89" cm="1">
        <f t="array" ref="G89">_xlfn.XLOOKUP(_xlfn.ANCHORARRAY(A89), TBL_Limiti_CDA[Data], TBL_Limiti_CDA[Etica Transizione Climatica], , -1)</f>
        <v>2.75</v>
      </c>
      <c r="H89" cm="1">
        <f t="array" ref="H89">_xlfn.XLOOKUP(_xlfn.ANCHORARRAY(A89), TBL_Limiti_CDA[Data], TBL_Limiti_CDA[Etica Obiettivo Sociale], , -1)</f>
        <v>7.49</v>
      </c>
      <c r="I89" cm="1">
        <f t="array" ref="I89">_xlfn.XLOOKUP(_xlfn.ANCHORARRAY(A89), TBL_Limiti_CDA[Data], TBL_Limiti_CDA[Etica Conservative Allocation], , -1)</f>
        <v>1.5</v>
      </c>
      <c r="J89" cm="1">
        <f t="array" ref="J89">_xlfn.XLOOKUP(_xlfn.ANCHORARRAY(A89), TBL_Limiti_CDA[Data], TBL_Limiti_CDA[Etica Dynamic Allocation], , -1)</f>
        <v>3</v>
      </c>
      <c r="K89" cm="1">
        <f t="array" ref="K89">_xlfn.XLOOKUP(_xlfn.ANCHORARRAY(A89), TBL_Limiti_CDA[Data], TBL_Limiti_CDA[Etica Global Equity], , -1)</f>
        <v>3.5</v>
      </c>
      <c r="L89" cm="1">
        <f t="array" ref="L89">_xlfn.ANCHORARRAY(B89)+0.15</f>
        <v>1.9</v>
      </c>
      <c r="M89" cm="1">
        <f t="array" ref="M89">_xlfn.ANCHORARRAY(C89)+0.1</f>
        <v>0.6</v>
      </c>
      <c r="N89" cm="1">
        <f t="array" ref="N89">_xlfn.ANCHORARRAY(D89)+0.15</f>
        <v>1.65</v>
      </c>
      <c r="O89" cm="1">
        <f t="array" ref="O89">_xlfn.ANCHORARRAY(E89)+0.15</f>
        <v>3.15</v>
      </c>
      <c r="P89" cm="1">
        <f t="array" ref="P89">_xlfn.ANCHORARRAY(F89)+0.15</f>
        <v>3.65</v>
      </c>
      <c r="Q89" cm="1">
        <f t="array" ref="Q89">_xlfn.ANCHORARRAY(G89)+0.15</f>
        <v>2.9</v>
      </c>
      <c r="R89" cm="1">
        <f t="array" ref="R89">_xlfn.ANCHORARRAY(H89)</f>
        <v>7.49</v>
      </c>
      <c r="S89" cm="1">
        <f t="array" ref="S89">_xlfn.ANCHORARRAY(R89)+0.15</f>
        <v>7.6400000000000006</v>
      </c>
      <c r="T89" cm="1">
        <f t="array" ref="T89">_xlfn.ANCHORARRAY(I89)+0.15</f>
        <v>1.65</v>
      </c>
      <c r="U89" cm="1">
        <f t="array" ref="U89">_xlfn.ANCHORARRAY(J89)+0.15</f>
        <v>3.15</v>
      </c>
      <c r="V89" cm="1">
        <f t="array" ref="V89">_xlfn.ANCHORARRAY(K89)+0.15</f>
        <v>3.65</v>
      </c>
      <c r="W89">
        <f>TBL_TEV[[#This Row],[Etica Rendita Bilanciata]]</f>
        <v>1.642377</v>
      </c>
      <c r="X89">
        <f>TBL_TEV[[#This Row],[Etica Obbligazionario Breve Termine]]</f>
        <v>0.185414</v>
      </c>
      <c r="Y89">
        <f>TBL_TEV[[#This Row],[Etica Obbligazionario Misto]]</f>
        <v>1.0869279999999999</v>
      </c>
      <c r="Z89">
        <f>TBL_TEV[[#This Row],[Etica Bilanciato]]</f>
        <v>1.867953</v>
      </c>
      <c r="AA89">
        <f>TBL_TEV[[#This Row],[Etica Azionario]]</f>
        <v>2.540556</v>
      </c>
      <c r="AB89">
        <f>TBL_TEV[[#This Row],[Etica Transizione Climatica]]</f>
        <v>1.923197</v>
      </c>
      <c r="AC89">
        <f>TBL_TEV[[#This Row],[Etica Obiettivo Sociale]]</f>
        <v>6.7991451935230955</v>
      </c>
      <c r="AD89">
        <f>TBL_TEV[[#This Row],[Etica Conservative Allocation]]</f>
        <v>0.64053599999999999</v>
      </c>
      <c r="AE89">
        <f>TBL_TEV[[#This Row],[Etica Dynamic Allocation]]</f>
        <v>2.4159410000000001</v>
      </c>
      <c r="AF89">
        <f>TBL_TEV[[#This Row],[Etica Global Equity]]</f>
        <v>3.4649290000000001</v>
      </c>
      <c r="AL89">
        <f ca="1"/>
        <v>1.638725</v>
      </c>
      <c r="AM89">
        <f ca="1"/>
        <v>0.18493799999999999</v>
      </c>
      <c r="AN89">
        <f ca="1"/>
        <v>1.080578</v>
      </c>
      <c r="AO89">
        <f ca="1"/>
        <v>1.873351</v>
      </c>
      <c r="AP89">
        <f ca="1"/>
        <v>2.5638920000000001</v>
      </c>
      <c r="AQ89">
        <f ca="1"/>
        <v>1.953676</v>
      </c>
      <c r="AR89">
        <f ca="1"/>
        <v>6.7927504221745112</v>
      </c>
      <c r="AS89">
        <f ca="1"/>
        <v>0.63497999999999999</v>
      </c>
      <c r="AT89">
        <f ca="1"/>
        <v>2.3791120000000001</v>
      </c>
      <c r="AU89">
        <f ca="1"/>
        <v>3.4363549999999998</v>
      </c>
    </row>
    <row r="90" spans="1:47">
      <c r="A90" s="43">
        <f>TBL_TEV[[#This Row],[Data2]]</f>
        <v>45418</v>
      </c>
      <c r="B90" cm="1">
        <f t="array" ref="B90">_xlfn.XLOOKUP(_xlfn.ANCHORARRAY(A90), TBL_Limiti_CDA[Data], TBL_Limiti_CDA[Etica Rendita Bilanciata], , -1)</f>
        <v>1.75</v>
      </c>
      <c r="C90" cm="1">
        <f t="array" ref="C90">_xlfn.XLOOKUP(_xlfn.ANCHORARRAY(A90), TBL_Limiti_CDA[Data], TBL_Limiti_CDA[Etica Obbligazionario Breve Termine], , -1)</f>
        <v>0.5</v>
      </c>
      <c r="D90" cm="1">
        <f t="array" ref="D90">_xlfn.XLOOKUP(_xlfn.ANCHORARRAY(A90), TBL_Limiti_CDA[Data], TBL_Limiti_CDA[Etica Obbligazionario Misto], , -1)</f>
        <v>1.5</v>
      </c>
      <c r="E90" cm="1">
        <f t="array" ref="E90">_xlfn.XLOOKUP(_xlfn.ANCHORARRAY(A90), TBL_Limiti_CDA[Data], TBL_Limiti_CDA[Etica Bilanciato], , -1)</f>
        <v>3</v>
      </c>
      <c r="F90" cm="1">
        <f t="array" ref="F90">_xlfn.XLOOKUP(_xlfn.ANCHORARRAY(A90), TBL_Limiti_CDA[Data], TBL_Limiti_CDA[Etica Azionario], , -1)</f>
        <v>3.5</v>
      </c>
      <c r="G90" cm="1">
        <f t="array" ref="G90">_xlfn.XLOOKUP(_xlfn.ANCHORARRAY(A90), TBL_Limiti_CDA[Data], TBL_Limiti_CDA[Etica Transizione Climatica], , -1)</f>
        <v>2.75</v>
      </c>
      <c r="H90" cm="1">
        <f t="array" ref="H90">_xlfn.XLOOKUP(_xlfn.ANCHORARRAY(A90), TBL_Limiti_CDA[Data], TBL_Limiti_CDA[Etica Obiettivo Sociale], , -1)</f>
        <v>7.49</v>
      </c>
      <c r="I90" cm="1">
        <f t="array" ref="I90">_xlfn.XLOOKUP(_xlfn.ANCHORARRAY(A90), TBL_Limiti_CDA[Data], TBL_Limiti_CDA[Etica Conservative Allocation], , -1)</f>
        <v>1.5</v>
      </c>
      <c r="J90" cm="1">
        <f t="array" ref="J90">_xlfn.XLOOKUP(_xlfn.ANCHORARRAY(A90), TBL_Limiti_CDA[Data], TBL_Limiti_CDA[Etica Dynamic Allocation], , -1)</f>
        <v>3</v>
      </c>
      <c r="K90" cm="1">
        <f t="array" ref="K90">_xlfn.XLOOKUP(_xlfn.ANCHORARRAY(A90), TBL_Limiti_CDA[Data], TBL_Limiti_CDA[Etica Global Equity], , -1)</f>
        <v>3.5</v>
      </c>
      <c r="L90" cm="1">
        <f t="array" ref="L90">_xlfn.ANCHORARRAY(B90)+0.15</f>
        <v>1.9</v>
      </c>
      <c r="M90" cm="1">
        <f t="array" ref="M90">_xlfn.ANCHORARRAY(C90)+0.1</f>
        <v>0.6</v>
      </c>
      <c r="N90" cm="1">
        <f t="array" ref="N90">_xlfn.ANCHORARRAY(D90)+0.15</f>
        <v>1.65</v>
      </c>
      <c r="O90" cm="1">
        <f t="array" ref="O90">_xlfn.ANCHORARRAY(E90)+0.15</f>
        <v>3.15</v>
      </c>
      <c r="P90" cm="1">
        <f t="array" ref="P90">_xlfn.ANCHORARRAY(F90)+0.15</f>
        <v>3.65</v>
      </c>
      <c r="Q90" cm="1">
        <f t="array" ref="Q90">_xlfn.ANCHORARRAY(G90)+0.15</f>
        <v>2.9</v>
      </c>
      <c r="R90" cm="1">
        <f t="array" ref="R90">_xlfn.ANCHORARRAY(H90)</f>
        <v>7.49</v>
      </c>
      <c r="S90" cm="1">
        <f t="array" ref="S90">_xlfn.ANCHORARRAY(R90)+0.15</f>
        <v>7.6400000000000006</v>
      </c>
      <c r="T90" cm="1">
        <f t="array" ref="T90">_xlfn.ANCHORARRAY(I90)+0.15</f>
        <v>1.65</v>
      </c>
      <c r="U90" cm="1">
        <f t="array" ref="U90">_xlfn.ANCHORARRAY(J90)+0.15</f>
        <v>3.15</v>
      </c>
      <c r="V90" cm="1">
        <f t="array" ref="V90">_xlfn.ANCHORARRAY(K90)+0.15</f>
        <v>3.65</v>
      </c>
      <c r="W90">
        <f>TBL_TEV[[#This Row],[Etica Rendita Bilanciata]]</f>
        <v>1.638725</v>
      </c>
      <c r="X90">
        <f>TBL_TEV[[#This Row],[Etica Obbligazionario Breve Termine]]</f>
        <v>0.18493799999999999</v>
      </c>
      <c r="Y90">
        <f>TBL_TEV[[#This Row],[Etica Obbligazionario Misto]]</f>
        <v>1.080578</v>
      </c>
      <c r="Z90">
        <f>TBL_TEV[[#This Row],[Etica Bilanciato]]</f>
        <v>1.873351</v>
      </c>
      <c r="AA90">
        <f>TBL_TEV[[#This Row],[Etica Azionario]]</f>
        <v>2.5638920000000001</v>
      </c>
      <c r="AB90">
        <f>TBL_TEV[[#This Row],[Etica Transizione Climatica]]</f>
        <v>1.953676</v>
      </c>
      <c r="AC90">
        <f>TBL_TEV[[#This Row],[Etica Obiettivo Sociale]]</f>
        <v>6.7927504221745112</v>
      </c>
      <c r="AD90">
        <f>TBL_TEV[[#This Row],[Etica Conservative Allocation]]</f>
        <v>0.63497999999999999</v>
      </c>
      <c r="AE90">
        <f>TBL_TEV[[#This Row],[Etica Dynamic Allocation]]</f>
        <v>2.3791120000000001</v>
      </c>
      <c r="AF90">
        <f>TBL_TEV[[#This Row],[Etica Global Equity]]</f>
        <v>3.4363549999999998</v>
      </c>
      <c r="AL90">
        <f ca="1"/>
        <v>1.6463449999999999</v>
      </c>
      <c r="AM90">
        <f ca="1"/>
        <v>0.184779</v>
      </c>
      <c r="AN90">
        <f ca="1"/>
        <v>1.086293</v>
      </c>
      <c r="AO90">
        <f ca="1"/>
        <v>1.879065</v>
      </c>
      <c r="AP90">
        <f ca="1"/>
        <v>2.5672250000000001</v>
      </c>
      <c r="AQ90">
        <f ca="1"/>
        <v>1.9960610000000001</v>
      </c>
      <c r="AR90">
        <f ca="1"/>
        <v>6.7413748115375469</v>
      </c>
      <c r="AS90">
        <f ca="1"/>
        <v>0.629583</v>
      </c>
      <c r="AT90">
        <f ca="1"/>
        <v>2.3638729999999999</v>
      </c>
      <c r="AU90">
        <f ca="1"/>
        <v>3.4090509999999998</v>
      </c>
    </row>
    <row r="91" spans="1:47">
      <c r="A91" s="43">
        <f>TBL_TEV[[#This Row],[Data2]]</f>
        <v>45419</v>
      </c>
      <c r="B91" cm="1">
        <f t="array" ref="B91">_xlfn.XLOOKUP(_xlfn.ANCHORARRAY(A91), TBL_Limiti_CDA[Data], TBL_Limiti_CDA[Etica Rendita Bilanciata], , -1)</f>
        <v>1.75</v>
      </c>
      <c r="C91" cm="1">
        <f t="array" ref="C91">_xlfn.XLOOKUP(_xlfn.ANCHORARRAY(A91), TBL_Limiti_CDA[Data], TBL_Limiti_CDA[Etica Obbligazionario Breve Termine], , -1)</f>
        <v>0.5</v>
      </c>
      <c r="D91" cm="1">
        <f t="array" ref="D91">_xlfn.XLOOKUP(_xlfn.ANCHORARRAY(A91), TBL_Limiti_CDA[Data], TBL_Limiti_CDA[Etica Obbligazionario Misto], , -1)</f>
        <v>1.5</v>
      </c>
      <c r="E91" cm="1">
        <f t="array" ref="E91">_xlfn.XLOOKUP(_xlfn.ANCHORARRAY(A91), TBL_Limiti_CDA[Data], TBL_Limiti_CDA[Etica Bilanciato], , -1)</f>
        <v>3</v>
      </c>
      <c r="F91" cm="1">
        <f t="array" ref="F91">_xlfn.XLOOKUP(_xlfn.ANCHORARRAY(A91), TBL_Limiti_CDA[Data], TBL_Limiti_CDA[Etica Azionario], , -1)</f>
        <v>3.5</v>
      </c>
      <c r="G91" cm="1">
        <f t="array" ref="G91">_xlfn.XLOOKUP(_xlfn.ANCHORARRAY(A91), TBL_Limiti_CDA[Data], TBL_Limiti_CDA[Etica Transizione Climatica], , -1)</f>
        <v>2.75</v>
      </c>
      <c r="H91" cm="1">
        <f t="array" ref="H91">_xlfn.XLOOKUP(_xlfn.ANCHORARRAY(A91), TBL_Limiti_CDA[Data], TBL_Limiti_CDA[Etica Obiettivo Sociale], , -1)</f>
        <v>7.49</v>
      </c>
      <c r="I91" cm="1">
        <f t="array" ref="I91">_xlfn.XLOOKUP(_xlfn.ANCHORARRAY(A91), TBL_Limiti_CDA[Data], TBL_Limiti_CDA[Etica Conservative Allocation], , -1)</f>
        <v>1.5</v>
      </c>
      <c r="J91" cm="1">
        <f t="array" ref="J91">_xlfn.XLOOKUP(_xlfn.ANCHORARRAY(A91), TBL_Limiti_CDA[Data], TBL_Limiti_CDA[Etica Dynamic Allocation], , -1)</f>
        <v>3</v>
      </c>
      <c r="K91" cm="1">
        <f t="array" ref="K91">_xlfn.XLOOKUP(_xlfn.ANCHORARRAY(A91), TBL_Limiti_CDA[Data], TBL_Limiti_CDA[Etica Global Equity], , -1)</f>
        <v>3.5</v>
      </c>
      <c r="L91" cm="1">
        <f t="array" ref="L91">_xlfn.ANCHORARRAY(B91)+0.15</f>
        <v>1.9</v>
      </c>
      <c r="M91" cm="1">
        <f t="array" ref="M91">_xlfn.ANCHORARRAY(C91)+0.1</f>
        <v>0.6</v>
      </c>
      <c r="N91" cm="1">
        <f t="array" ref="N91">_xlfn.ANCHORARRAY(D91)+0.15</f>
        <v>1.65</v>
      </c>
      <c r="O91" cm="1">
        <f t="array" ref="O91">_xlfn.ANCHORARRAY(E91)+0.15</f>
        <v>3.15</v>
      </c>
      <c r="P91" cm="1">
        <f t="array" ref="P91">_xlfn.ANCHORARRAY(F91)+0.15</f>
        <v>3.65</v>
      </c>
      <c r="Q91" cm="1">
        <f t="array" ref="Q91">_xlfn.ANCHORARRAY(G91)+0.15</f>
        <v>2.9</v>
      </c>
      <c r="R91" cm="1">
        <f t="array" ref="R91">_xlfn.ANCHORARRAY(H91)</f>
        <v>7.49</v>
      </c>
      <c r="S91" cm="1">
        <f t="array" ref="S91">_xlfn.ANCHORARRAY(R91)+0.15</f>
        <v>7.6400000000000006</v>
      </c>
      <c r="T91" cm="1">
        <f t="array" ref="T91">_xlfn.ANCHORARRAY(I91)+0.15</f>
        <v>1.65</v>
      </c>
      <c r="U91" cm="1">
        <f t="array" ref="U91">_xlfn.ANCHORARRAY(J91)+0.15</f>
        <v>3.15</v>
      </c>
      <c r="V91" cm="1">
        <f t="array" ref="V91">_xlfn.ANCHORARRAY(K91)+0.15</f>
        <v>3.65</v>
      </c>
      <c r="W91">
        <f>TBL_TEV[[#This Row],[Etica Rendita Bilanciata]]</f>
        <v>1.6463449999999999</v>
      </c>
      <c r="X91">
        <f>TBL_TEV[[#This Row],[Etica Obbligazionario Breve Termine]]</f>
        <v>0.184779</v>
      </c>
      <c r="Y91">
        <f>TBL_TEV[[#This Row],[Etica Obbligazionario Misto]]</f>
        <v>1.086293</v>
      </c>
      <c r="Z91">
        <f>TBL_TEV[[#This Row],[Etica Bilanciato]]</f>
        <v>1.879065</v>
      </c>
      <c r="AA91">
        <f>TBL_TEV[[#This Row],[Etica Azionario]]</f>
        <v>2.5672250000000001</v>
      </c>
      <c r="AB91">
        <f>TBL_TEV[[#This Row],[Etica Transizione Climatica]]</f>
        <v>1.9960610000000001</v>
      </c>
      <c r="AC91">
        <f>TBL_TEV[[#This Row],[Etica Obiettivo Sociale]]</f>
        <v>6.7413748115375469</v>
      </c>
      <c r="AD91">
        <f>TBL_TEV[[#This Row],[Etica Conservative Allocation]]</f>
        <v>0.629583</v>
      </c>
      <c r="AE91">
        <f>TBL_TEV[[#This Row],[Etica Dynamic Allocation]]</f>
        <v>2.3638729999999999</v>
      </c>
      <c r="AF91">
        <f>TBL_TEV[[#This Row],[Etica Global Equity]]</f>
        <v>3.4090509999999998</v>
      </c>
      <c r="AL91">
        <f ca="1"/>
        <v>1.6374550000000001</v>
      </c>
      <c r="AM91">
        <f ca="1"/>
        <v>0.18382699999999999</v>
      </c>
      <c r="AN91">
        <f ca="1"/>
        <v>1.0789899999999999</v>
      </c>
      <c r="AO91">
        <f ca="1"/>
        <v>1.866366</v>
      </c>
      <c r="AP91">
        <f ca="1"/>
        <v>2.550557</v>
      </c>
      <c r="AQ91">
        <f ca="1"/>
        <v>1.979392</v>
      </c>
      <c r="AR91">
        <f ca="1"/>
        <v>6.7206145529572776</v>
      </c>
      <c r="AS91">
        <f ca="1"/>
        <v>0.62767799999999996</v>
      </c>
      <c r="AT91">
        <f ca="1"/>
        <v>2.3519670000000001</v>
      </c>
      <c r="AU91">
        <f ca="1"/>
        <v>3.3903189999999999</v>
      </c>
    </row>
    <row r="92" spans="1:47">
      <c r="A92" s="43">
        <f>TBL_TEV[[#This Row],[Data2]]</f>
        <v>45420</v>
      </c>
      <c r="B92" cm="1">
        <f t="array" ref="B92">_xlfn.XLOOKUP(_xlfn.ANCHORARRAY(A92), TBL_Limiti_CDA[Data], TBL_Limiti_CDA[Etica Rendita Bilanciata], , -1)</f>
        <v>1.75</v>
      </c>
      <c r="C92" cm="1">
        <f t="array" ref="C92">_xlfn.XLOOKUP(_xlfn.ANCHORARRAY(A92), TBL_Limiti_CDA[Data], TBL_Limiti_CDA[Etica Obbligazionario Breve Termine], , -1)</f>
        <v>0.5</v>
      </c>
      <c r="D92" cm="1">
        <f t="array" ref="D92">_xlfn.XLOOKUP(_xlfn.ANCHORARRAY(A92), TBL_Limiti_CDA[Data], TBL_Limiti_CDA[Etica Obbligazionario Misto], , -1)</f>
        <v>1.5</v>
      </c>
      <c r="E92" cm="1">
        <f t="array" ref="E92">_xlfn.XLOOKUP(_xlfn.ANCHORARRAY(A92), TBL_Limiti_CDA[Data], TBL_Limiti_CDA[Etica Bilanciato], , -1)</f>
        <v>3</v>
      </c>
      <c r="F92" cm="1">
        <f t="array" ref="F92">_xlfn.XLOOKUP(_xlfn.ANCHORARRAY(A92), TBL_Limiti_CDA[Data], TBL_Limiti_CDA[Etica Azionario], , -1)</f>
        <v>3.5</v>
      </c>
      <c r="G92" cm="1">
        <f t="array" ref="G92">_xlfn.XLOOKUP(_xlfn.ANCHORARRAY(A92), TBL_Limiti_CDA[Data], TBL_Limiti_CDA[Etica Transizione Climatica], , -1)</f>
        <v>2.75</v>
      </c>
      <c r="H92" cm="1">
        <f t="array" ref="H92">_xlfn.XLOOKUP(_xlfn.ANCHORARRAY(A92), TBL_Limiti_CDA[Data], TBL_Limiti_CDA[Etica Obiettivo Sociale], , -1)</f>
        <v>7.49</v>
      </c>
      <c r="I92" cm="1">
        <f t="array" ref="I92">_xlfn.XLOOKUP(_xlfn.ANCHORARRAY(A92), TBL_Limiti_CDA[Data], TBL_Limiti_CDA[Etica Conservative Allocation], , -1)</f>
        <v>1.5</v>
      </c>
      <c r="J92" cm="1">
        <f t="array" ref="J92">_xlfn.XLOOKUP(_xlfn.ANCHORARRAY(A92), TBL_Limiti_CDA[Data], TBL_Limiti_CDA[Etica Dynamic Allocation], , -1)</f>
        <v>3</v>
      </c>
      <c r="K92" cm="1">
        <f t="array" ref="K92">_xlfn.XLOOKUP(_xlfn.ANCHORARRAY(A92), TBL_Limiti_CDA[Data], TBL_Limiti_CDA[Etica Global Equity], , -1)</f>
        <v>3.5</v>
      </c>
      <c r="L92" cm="1">
        <f t="array" ref="L92">_xlfn.ANCHORARRAY(B92)+0.15</f>
        <v>1.9</v>
      </c>
      <c r="M92" cm="1">
        <f t="array" ref="M92">_xlfn.ANCHORARRAY(C92)+0.1</f>
        <v>0.6</v>
      </c>
      <c r="N92" cm="1">
        <f t="array" ref="N92">_xlfn.ANCHORARRAY(D92)+0.15</f>
        <v>1.65</v>
      </c>
      <c r="O92" cm="1">
        <f t="array" ref="O92">_xlfn.ANCHORARRAY(E92)+0.15</f>
        <v>3.15</v>
      </c>
      <c r="P92" cm="1">
        <f t="array" ref="P92">_xlfn.ANCHORARRAY(F92)+0.15</f>
        <v>3.65</v>
      </c>
      <c r="Q92" cm="1">
        <f t="array" ref="Q92">_xlfn.ANCHORARRAY(G92)+0.15</f>
        <v>2.9</v>
      </c>
      <c r="R92" cm="1">
        <f t="array" ref="R92">_xlfn.ANCHORARRAY(H92)</f>
        <v>7.49</v>
      </c>
      <c r="S92" cm="1">
        <f t="array" ref="S92">_xlfn.ANCHORARRAY(R92)+0.15</f>
        <v>7.6400000000000006</v>
      </c>
      <c r="T92" cm="1">
        <f t="array" ref="T92">_xlfn.ANCHORARRAY(I92)+0.15</f>
        <v>1.65</v>
      </c>
      <c r="U92" cm="1">
        <f t="array" ref="U92">_xlfn.ANCHORARRAY(J92)+0.15</f>
        <v>3.15</v>
      </c>
      <c r="V92" cm="1">
        <f t="array" ref="V92">_xlfn.ANCHORARRAY(K92)+0.15</f>
        <v>3.65</v>
      </c>
      <c r="W92">
        <f>TBL_TEV[[#This Row],[Etica Rendita Bilanciata]]</f>
        <v>1.6374550000000001</v>
      </c>
      <c r="X92">
        <f>TBL_TEV[[#This Row],[Etica Obbligazionario Breve Termine]]</f>
        <v>0.18382699999999999</v>
      </c>
      <c r="Y92">
        <f>TBL_TEV[[#This Row],[Etica Obbligazionario Misto]]</f>
        <v>1.0789899999999999</v>
      </c>
      <c r="Z92">
        <f>TBL_TEV[[#This Row],[Etica Bilanciato]]</f>
        <v>1.866366</v>
      </c>
      <c r="AA92">
        <f>TBL_TEV[[#This Row],[Etica Azionario]]</f>
        <v>2.550557</v>
      </c>
      <c r="AB92">
        <f>TBL_TEV[[#This Row],[Etica Transizione Climatica]]</f>
        <v>1.979392</v>
      </c>
      <c r="AC92">
        <f>TBL_TEV[[#This Row],[Etica Obiettivo Sociale]]</f>
        <v>6.7206145529572776</v>
      </c>
      <c r="AD92">
        <f>TBL_TEV[[#This Row],[Etica Conservative Allocation]]</f>
        <v>0.62767799999999996</v>
      </c>
      <c r="AE92">
        <f>TBL_TEV[[#This Row],[Etica Dynamic Allocation]]</f>
        <v>2.3519670000000001</v>
      </c>
      <c r="AF92">
        <f>TBL_TEV[[#This Row],[Etica Global Equity]]</f>
        <v>3.3903189999999999</v>
      </c>
      <c r="AL92">
        <f ca="1"/>
        <v>1.6314230000000001</v>
      </c>
      <c r="AM92">
        <f ca="1"/>
        <v>0.17985799999999999</v>
      </c>
      <c r="AN92">
        <f ca="1"/>
        <v>1.071688</v>
      </c>
      <c r="AO92">
        <f ca="1"/>
        <v>1.8677950000000001</v>
      </c>
      <c r="AP92">
        <f ca="1"/>
        <v>2.5556369999999999</v>
      </c>
      <c r="AQ92">
        <f ca="1"/>
        <v>1.9616130000000001</v>
      </c>
      <c r="AR92">
        <f ca="1"/>
        <v>6.6933994685476268</v>
      </c>
      <c r="AS92">
        <f ca="1"/>
        <v>0.61656599999999995</v>
      </c>
      <c r="AT92">
        <f ca="1"/>
        <v>2.3081529999999999</v>
      </c>
      <c r="AU92">
        <f ca="1"/>
        <v>3.3341229999999999</v>
      </c>
    </row>
    <row r="93" spans="1:47">
      <c r="A93" s="43">
        <f>TBL_TEV[[#This Row],[Data2]]</f>
        <v>45421</v>
      </c>
      <c r="B93" cm="1">
        <f t="array" ref="B93">_xlfn.XLOOKUP(_xlfn.ANCHORARRAY(A93), TBL_Limiti_CDA[Data], TBL_Limiti_CDA[Etica Rendita Bilanciata], , -1)</f>
        <v>1.75</v>
      </c>
      <c r="C93" cm="1">
        <f t="array" ref="C93">_xlfn.XLOOKUP(_xlfn.ANCHORARRAY(A93), TBL_Limiti_CDA[Data], TBL_Limiti_CDA[Etica Obbligazionario Breve Termine], , -1)</f>
        <v>0.5</v>
      </c>
      <c r="D93" cm="1">
        <f t="array" ref="D93">_xlfn.XLOOKUP(_xlfn.ANCHORARRAY(A93), TBL_Limiti_CDA[Data], TBL_Limiti_CDA[Etica Obbligazionario Misto], , -1)</f>
        <v>1.5</v>
      </c>
      <c r="E93" cm="1">
        <f t="array" ref="E93">_xlfn.XLOOKUP(_xlfn.ANCHORARRAY(A93), TBL_Limiti_CDA[Data], TBL_Limiti_CDA[Etica Bilanciato], , -1)</f>
        <v>3</v>
      </c>
      <c r="F93" cm="1">
        <f t="array" ref="F93">_xlfn.XLOOKUP(_xlfn.ANCHORARRAY(A93), TBL_Limiti_CDA[Data], TBL_Limiti_CDA[Etica Azionario], , -1)</f>
        <v>3.5</v>
      </c>
      <c r="G93" cm="1">
        <f t="array" ref="G93">_xlfn.XLOOKUP(_xlfn.ANCHORARRAY(A93), TBL_Limiti_CDA[Data], TBL_Limiti_CDA[Etica Transizione Climatica], , -1)</f>
        <v>2.75</v>
      </c>
      <c r="H93" cm="1">
        <f t="array" ref="H93">_xlfn.XLOOKUP(_xlfn.ANCHORARRAY(A93), TBL_Limiti_CDA[Data], TBL_Limiti_CDA[Etica Obiettivo Sociale], , -1)</f>
        <v>7.49</v>
      </c>
      <c r="I93" cm="1">
        <f t="array" ref="I93">_xlfn.XLOOKUP(_xlfn.ANCHORARRAY(A93), TBL_Limiti_CDA[Data], TBL_Limiti_CDA[Etica Conservative Allocation], , -1)</f>
        <v>1.5</v>
      </c>
      <c r="J93" cm="1">
        <f t="array" ref="J93">_xlfn.XLOOKUP(_xlfn.ANCHORARRAY(A93), TBL_Limiti_CDA[Data], TBL_Limiti_CDA[Etica Dynamic Allocation], , -1)</f>
        <v>3</v>
      </c>
      <c r="K93" cm="1">
        <f t="array" ref="K93">_xlfn.XLOOKUP(_xlfn.ANCHORARRAY(A93), TBL_Limiti_CDA[Data], TBL_Limiti_CDA[Etica Global Equity], , -1)</f>
        <v>3.5</v>
      </c>
      <c r="L93" cm="1">
        <f t="array" ref="L93">_xlfn.ANCHORARRAY(B93)+0.15</f>
        <v>1.9</v>
      </c>
      <c r="M93" cm="1">
        <f t="array" ref="M93">_xlfn.ANCHORARRAY(C93)+0.1</f>
        <v>0.6</v>
      </c>
      <c r="N93" cm="1">
        <f t="array" ref="N93">_xlfn.ANCHORARRAY(D93)+0.15</f>
        <v>1.65</v>
      </c>
      <c r="O93" cm="1">
        <f t="array" ref="O93">_xlfn.ANCHORARRAY(E93)+0.15</f>
        <v>3.15</v>
      </c>
      <c r="P93" cm="1">
        <f t="array" ref="P93">_xlfn.ANCHORARRAY(F93)+0.15</f>
        <v>3.65</v>
      </c>
      <c r="Q93" cm="1">
        <f t="array" ref="Q93">_xlfn.ANCHORARRAY(G93)+0.15</f>
        <v>2.9</v>
      </c>
      <c r="R93" cm="1">
        <f t="array" ref="R93">_xlfn.ANCHORARRAY(H93)</f>
        <v>7.49</v>
      </c>
      <c r="S93" cm="1">
        <f t="array" ref="S93">_xlfn.ANCHORARRAY(R93)+0.15</f>
        <v>7.6400000000000006</v>
      </c>
      <c r="T93" cm="1">
        <f t="array" ref="T93">_xlfn.ANCHORARRAY(I93)+0.15</f>
        <v>1.65</v>
      </c>
      <c r="U93" cm="1">
        <f t="array" ref="U93">_xlfn.ANCHORARRAY(J93)+0.15</f>
        <v>3.15</v>
      </c>
      <c r="V93" cm="1">
        <f t="array" ref="V93">_xlfn.ANCHORARRAY(K93)+0.15</f>
        <v>3.65</v>
      </c>
      <c r="W93">
        <f>TBL_TEV[[#This Row],[Etica Rendita Bilanciata]]</f>
        <v>1.6314230000000001</v>
      </c>
      <c r="X93">
        <f>TBL_TEV[[#This Row],[Etica Obbligazionario Breve Termine]]</f>
        <v>0.17985799999999999</v>
      </c>
      <c r="Y93">
        <f>TBL_TEV[[#This Row],[Etica Obbligazionario Misto]]</f>
        <v>1.071688</v>
      </c>
      <c r="Z93">
        <f>TBL_TEV[[#This Row],[Etica Bilanciato]]</f>
        <v>1.8677950000000001</v>
      </c>
      <c r="AA93">
        <f>TBL_TEV[[#This Row],[Etica Azionario]]</f>
        <v>2.5556369999999999</v>
      </c>
      <c r="AB93">
        <f>TBL_TEV[[#This Row],[Etica Transizione Climatica]]</f>
        <v>1.9616130000000001</v>
      </c>
      <c r="AC93">
        <f>TBL_TEV[[#This Row],[Etica Obiettivo Sociale]]</f>
        <v>6.6933994685476268</v>
      </c>
      <c r="AD93">
        <f>TBL_TEV[[#This Row],[Etica Conservative Allocation]]</f>
        <v>0.61656599999999995</v>
      </c>
      <c r="AE93">
        <f>TBL_TEV[[#This Row],[Etica Dynamic Allocation]]</f>
        <v>2.3081529999999999</v>
      </c>
      <c r="AF93">
        <f>TBL_TEV[[#This Row],[Etica Global Equity]]</f>
        <v>3.3341229999999999</v>
      </c>
      <c r="AL93">
        <f ca="1"/>
        <v>1.6290420000000001</v>
      </c>
      <c r="AM93">
        <f ca="1"/>
        <v>0.18049299999999999</v>
      </c>
      <c r="AN93">
        <f ca="1"/>
        <v>1.067561</v>
      </c>
      <c r="AO93">
        <f ca="1"/>
        <v>1.870652</v>
      </c>
      <c r="AP93">
        <f ca="1"/>
        <v>2.5667490000000002</v>
      </c>
      <c r="AQ93">
        <f ca="1"/>
        <v>1.954628</v>
      </c>
      <c r="AR93">
        <f ca="1"/>
        <v>6.6841557123740722</v>
      </c>
      <c r="AS93">
        <f ca="1"/>
        <v>0.61513700000000004</v>
      </c>
      <c r="AT93">
        <f ca="1"/>
        <v>2.2997399999999999</v>
      </c>
      <c r="AU93">
        <f ca="1"/>
        <v>3.3261859999999999</v>
      </c>
    </row>
    <row r="94" spans="1:47">
      <c r="A94" s="43">
        <f>TBL_TEV[[#This Row],[Data2]]</f>
        <v>45422</v>
      </c>
      <c r="B94" cm="1">
        <f t="array" ref="B94">_xlfn.XLOOKUP(_xlfn.ANCHORARRAY(A94), TBL_Limiti_CDA[Data], TBL_Limiti_CDA[Etica Rendita Bilanciata], , -1)</f>
        <v>1.75</v>
      </c>
      <c r="C94" cm="1">
        <f t="array" ref="C94">_xlfn.XLOOKUP(_xlfn.ANCHORARRAY(A94), TBL_Limiti_CDA[Data], TBL_Limiti_CDA[Etica Obbligazionario Breve Termine], , -1)</f>
        <v>0.5</v>
      </c>
      <c r="D94" cm="1">
        <f t="array" ref="D94">_xlfn.XLOOKUP(_xlfn.ANCHORARRAY(A94), TBL_Limiti_CDA[Data], TBL_Limiti_CDA[Etica Obbligazionario Misto], , -1)</f>
        <v>1.5</v>
      </c>
      <c r="E94" cm="1">
        <f t="array" ref="E94">_xlfn.XLOOKUP(_xlfn.ANCHORARRAY(A94), TBL_Limiti_CDA[Data], TBL_Limiti_CDA[Etica Bilanciato], , -1)</f>
        <v>3</v>
      </c>
      <c r="F94" cm="1">
        <f t="array" ref="F94">_xlfn.XLOOKUP(_xlfn.ANCHORARRAY(A94), TBL_Limiti_CDA[Data], TBL_Limiti_CDA[Etica Azionario], , -1)</f>
        <v>3.5</v>
      </c>
      <c r="G94" cm="1">
        <f t="array" ref="G94">_xlfn.XLOOKUP(_xlfn.ANCHORARRAY(A94), TBL_Limiti_CDA[Data], TBL_Limiti_CDA[Etica Transizione Climatica], , -1)</f>
        <v>2.75</v>
      </c>
      <c r="H94" cm="1">
        <f t="array" ref="H94">_xlfn.XLOOKUP(_xlfn.ANCHORARRAY(A94), TBL_Limiti_CDA[Data], TBL_Limiti_CDA[Etica Obiettivo Sociale], , -1)</f>
        <v>7.49</v>
      </c>
      <c r="I94" cm="1">
        <f t="array" ref="I94">_xlfn.XLOOKUP(_xlfn.ANCHORARRAY(A94), TBL_Limiti_CDA[Data], TBL_Limiti_CDA[Etica Conservative Allocation], , -1)</f>
        <v>1.5</v>
      </c>
      <c r="J94" cm="1">
        <f t="array" ref="J94">_xlfn.XLOOKUP(_xlfn.ANCHORARRAY(A94), TBL_Limiti_CDA[Data], TBL_Limiti_CDA[Etica Dynamic Allocation], , -1)</f>
        <v>3</v>
      </c>
      <c r="K94" cm="1">
        <f t="array" ref="K94">_xlfn.XLOOKUP(_xlfn.ANCHORARRAY(A94), TBL_Limiti_CDA[Data], TBL_Limiti_CDA[Etica Global Equity], , -1)</f>
        <v>3.5</v>
      </c>
      <c r="L94" cm="1">
        <f t="array" ref="L94">_xlfn.ANCHORARRAY(B94)+0.15</f>
        <v>1.9</v>
      </c>
      <c r="M94" cm="1">
        <f t="array" ref="M94">_xlfn.ANCHORARRAY(C94)+0.1</f>
        <v>0.6</v>
      </c>
      <c r="N94" cm="1">
        <f t="array" ref="N94">_xlfn.ANCHORARRAY(D94)+0.15</f>
        <v>1.65</v>
      </c>
      <c r="O94" cm="1">
        <f t="array" ref="O94">_xlfn.ANCHORARRAY(E94)+0.15</f>
        <v>3.15</v>
      </c>
      <c r="P94" cm="1">
        <f t="array" ref="P94">_xlfn.ANCHORARRAY(F94)+0.15</f>
        <v>3.65</v>
      </c>
      <c r="Q94" cm="1">
        <f t="array" ref="Q94">_xlfn.ANCHORARRAY(G94)+0.15</f>
        <v>2.9</v>
      </c>
      <c r="R94" cm="1">
        <f t="array" ref="R94">_xlfn.ANCHORARRAY(H94)</f>
        <v>7.49</v>
      </c>
      <c r="S94" cm="1">
        <f t="array" ref="S94">_xlfn.ANCHORARRAY(R94)+0.15</f>
        <v>7.6400000000000006</v>
      </c>
      <c r="T94" cm="1">
        <f t="array" ref="T94">_xlfn.ANCHORARRAY(I94)+0.15</f>
        <v>1.65</v>
      </c>
      <c r="U94" cm="1">
        <f t="array" ref="U94">_xlfn.ANCHORARRAY(J94)+0.15</f>
        <v>3.15</v>
      </c>
      <c r="V94" cm="1">
        <f t="array" ref="V94">_xlfn.ANCHORARRAY(K94)+0.15</f>
        <v>3.65</v>
      </c>
      <c r="W94">
        <f>TBL_TEV[[#This Row],[Etica Rendita Bilanciata]]</f>
        <v>1.6290420000000001</v>
      </c>
      <c r="X94">
        <f>TBL_TEV[[#This Row],[Etica Obbligazionario Breve Termine]]</f>
        <v>0.18049299999999999</v>
      </c>
      <c r="Y94">
        <f>TBL_TEV[[#This Row],[Etica Obbligazionario Misto]]</f>
        <v>1.067561</v>
      </c>
      <c r="Z94">
        <f>TBL_TEV[[#This Row],[Etica Bilanciato]]</f>
        <v>1.870652</v>
      </c>
      <c r="AA94">
        <f>TBL_TEV[[#This Row],[Etica Azionario]]</f>
        <v>2.5667490000000002</v>
      </c>
      <c r="AB94">
        <f>TBL_TEV[[#This Row],[Etica Transizione Climatica]]</f>
        <v>1.954628</v>
      </c>
      <c r="AC94">
        <f>TBL_TEV[[#This Row],[Etica Obiettivo Sociale]]</f>
        <v>6.6841557123740722</v>
      </c>
      <c r="AD94">
        <f>TBL_TEV[[#This Row],[Etica Conservative Allocation]]</f>
        <v>0.61513700000000004</v>
      </c>
      <c r="AE94">
        <f>TBL_TEV[[#This Row],[Etica Dynamic Allocation]]</f>
        <v>2.2997399999999999</v>
      </c>
      <c r="AF94">
        <f>TBL_TEV[[#This Row],[Etica Global Equity]]</f>
        <v>3.3261859999999999</v>
      </c>
      <c r="AL94">
        <f ca="1"/>
        <v>1.613167</v>
      </c>
      <c r="AM94">
        <f ca="1"/>
        <v>0.18001700000000001</v>
      </c>
      <c r="AN94">
        <f ca="1"/>
        <v>1.0610520000000001</v>
      </c>
      <c r="AO94">
        <f ca="1"/>
        <v>1.8535079999999999</v>
      </c>
      <c r="AP94">
        <f ca="1"/>
        <v>2.5530970000000002</v>
      </c>
      <c r="AQ94">
        <f ca="1"/>
        <v>1.9438329999999999</v>
      </c>
      <c r="AR94">
        <f ca="1"/>
        <v>6.6170543466691782</v>
      </c>
      <c r="AS94">
        <f ca="1"/>
        <v>0.60926400000000003</v>
      </c>
      <c r="AT94">
        <f ca="1"/>
        <v>2.2778330000000002</v>
      </c>
      <c r="AU94">
        <f ca="1"/>
        <v>3.295865</v>
      </c>
    </row>
    <row r="95" spans="1:47">
      <c r="A95" s="43">
        <f>TBL_TEV[[#This Row],[Data2]]</f>
        <v>45425</v>
      </c>
      <c r="B95" cm="1">
        <f t="array" ref="B95">_xlfn.XLOOKUP(_xlfn.ANCHORARRAY(A95), TBL_Limiti_CDA[Data], TBL_Limiti_CDA[Etica Rendita Bilanciata], , -1)</f>
        <v>1.75</v>
      </c>
      <c r="C95" cm="1">
        <f t="array" ref="C95">_xlfn.XLOOKUP(_xlfn.ANCHORARRAY(A95), TBL_Limiti_CDA[Data], TBL_Limiti_CDA[Etica Obbligazionario Breve Termine], , -1)</f>
        <v>0.5</v>
      </c>
      <c r="D95" cm="1">
        <f t="array" ref="D95">_xlfn.XLOOKUP(_xlfn.ANCHORARRAY(A95), TBL_Limiti_CDA[Data], TBL_Limiti_CDA[Etica Obbligazionario Misto], , -1)</f>
        <v>1.5</v>
      </c>
      <c r="E95" cm="1">
        <f t="array" ref="E95">_xlfn.XLOOKUP(_xlfn.ANCHORARRAY(A95), TBL_Limiti_CDA[Data], TBL_Limiti_CDA[Etica Bilanciato], , -1)</f>
        <v>3</v>
      </c>
      <c r="F95" cm="1">
        <f t="array" ref="F95">_xlfn.XLOOKUP(_xlfn.ANCHORARRAY(A95), TBL_Limiti_CDA[Data], TBL_Limiti_CDA[Etica Azionario], , -1)</f>
        <v>3.5</v>
      </c>
      <c r="G95" cm="1">
        <f t="array" ref="G95">_xlfn.XLOOKUP(_xlfn.ANCHORARRAY(A95), TBL_Limiti_CDA[Data], TBL_Limiti_CDA[Etica Transizione Climatica], , -1)</f>
        <v>2.75</v>
      </c>
      <c r="H95" cm="1">
        <f t="array" ref="H95">_xlfn.XLOOKUP(_xlfn.ANCHORARRAY(A95), TBL_Limiti_CDA[Data], TBL_Limiti_CDA[Etica Obiettivo Sociale], , -1)</f>
        <v>7.49</v>
      </c>
      <c r="I95" cm="1">
        <f t="array" ref="I95">_xlfn.XLOOKUP(_xlfn.ANCHORARRAY(A95), TBL_Limiti_CDA[Data], TBL_Limiti_CDA[Etica Conservative Allocation], , -1)</f>
        <v>1.5</v>
      </c>
      <c r="J95" cm="1">
        <f t="array" ref="J95">_xlfn.XLOOKUP(_xlfn.ANCHORARRAY(A95), TBL_Limiti_CDA[Data], TBL_Limiti_CDA[Etica Dynamic Allocation], , -1)</f>
        <v>3</v>
      </c>
      <c r="K95" cm="1">
        <f t="array" ref="K95">_xlfn.XLOOKUP(_xlfn.ANCHORARRAY(A95), TBL_Limiti_CDA[Data], TBL_Limiti_CDA[Etica Global Equity], , -1)</f>
        <v>3.5</v>
      </c>
      <c r="L95" cm="1">
        <f t="array" ref="L95">_xlfn.ANCHORARRAY(B95)+0.15</f>
        <v>1.9</v>
      </c>
      <c r="M95" cm="1">
        <f t="array" ref="M95">_xlfn.ANCHORARRAY(C95)+0.1</f>
        <v>0.6</v>
      </c>
      <c r="N95" cm="1">
        <f t="array" ref="N95">_xlfn.ANCHORARRAY(D95)+0.15</f>
        <v>1.65</v>
      </c>
      <c r="O95" cm="1">
        <f t="array" ref="O95">_xlfn.ANCHORARRAY(E95)+0.15</f>
        <v>3.15</v>
      </c>
      <c r="P95" cm="1">
        <f t="array" ref="P95">_xlfn.ANCHORARRAY(F95)+0.15</f>
        <v>3.65</v>
      </c>
      <c r="Q95" cm="1">
        <f t="array" ref="Q95">_xlfn.ANCHORARRAY(G95)+0.15</f>
        <v>2.9</v>
      </c>
      <c r="R95" cm="1">
        <f t="array" ref="R95">_xlfn.ANCHORARRAY(H95)</f>
        <v>7.49</v>
      </c>
      <c r="S95" cm="1">
        <f t="array" ref="S95">_xlfn.ANCHORARRAY(R95)+0.15</f>
        <v>7.6400000000000006</v>
      </c>
      <c r="T95" cm="1">
        <f t="array" ref="T95">_xlfn.ANCHORARRAY(I95)+0.15</f>
        <v>1.65</v>
      </c>
      <c r="U95" cm="1">
        <f t="array" ref="U95">_xlfn.ANCHORARRAY(J95)+0.15</f>
        <v>3.15</v>
      </c>
      <c r="V95" cm="1">
        <f t="array" ref="V95">_xlfn.ANCHORARRAY(K95)+0.15</f>
        <v>3.65</v>
      </c>
      <c r="W95">
        <f>TBL_TEV[[#This Row],[Etica Rendita Bilanciata]]</f>
        <v>1.613167</v>
      </c>
      <c r="X95">
        <f>TBL_TEV[[#This Row],[Etica Obbligazionario Breve Termine]]</f>
        <v>0.18001700000000001</v>
      </c>
      <c r="Y95">
        <f>TBL_TEV[[#This Row],[Etica Obbligazionario Misto]]</f>
        <v>1.0610520000000001</v>
      </c>
      <c r="Z95">
        <f>TBL_TEV[[#This Row],[Etica Bilanciato]]</f>
        <v>1.8535079999999999</v>
      </c>
      <c r="AA95">
        <f>TBL_TEV[[#This Row],[Etica Azionario]]</f>
        <v>2.5530970000000002</v>
      </c>
      <c r="AB95">
        <f>TBL_TEV[[#This Row],[Etica Transizione Climatica]]</f>
        <v>1.9438329999999999</v>
      </c>
      <c r="AC95">
        <f>TBL_TEV[[#This Row],[Etica Obiettivo Sociale]]</f>
        <v>6.6170543466691782</v>
      </c>
      <c r="AD95">
        <f>TBL_TEV[[#This Row],[Etica Conservative Allocation]]</f>
        <v>0.60926400000000003</v>
      </c>
      <c r="AE95">
        <f>TBL_TEV[[#This Row],[Etica Dynamic Allocation]]</f>
        <v>2.2778330000000002</v>
      </c>
      <c r="AF95">
        <f>TBL_TEV[[#This Row],[Etica Global Equity]]</f>
        <v>3.295865</v>
      </c>
      <c r="AL95">
        <f ca="1"/>
        <v>1.773183</v>
      </c>
      <c r="AM95">
        <f ca="1"/>
        <v>0.17874699999999999</v>
      </c>
      <c r="AN95">
        <f ca="1"/>
        <v>1.3201240000000001</v>
      </c>
      <c r="AO95">
        <f ca="1"/>
        <v>1.8592219999999999</v>
      </c>
      <c r="AP95">
        <f ca="1"/>
        <v>2.5753210000000002</v>
      </c>
      <c r="AQ95">
        <f ca="1"/>
        <v>1.976059</v>
      </c>
      <c r="AR95">
        <f ca="1"/>
        <v>6.9717836309546053</v>
      </c>
      <c r="AS95">
        <f ca="1"/>
        <v>0.61958199999999997</v>
      </c>
      <c r="AT95">
        <f ca="1"/>
        <v>2.3013270000000001</v>
      </c>
      <c r="AU95">
        <f ca="1"/>
        <v>3.3357100000000002</v>
      </c>
    </row>
    <row r="96" spans="1:47">
      <c r="A96" s="43">
        <f>TBL_TEV[[#This Row],[Data2]]</f>
        <v>45426</v>
      </c>
      <c r="B96" cm="1">
        <f t="array" ref="B96">_xlfn.XLOOKUP(_xlfn.ANCHORARRAY(A96), TBL_Limiti_CDA[Data], TBL_Limiti_CDA[Etica Rendita Bilanciata], , -1)</f>
        <v>1.75</v>
      </c>
      <c r="C96" cm="1">
        <f t="array" ref="C96">_xlfn.XLOOKUP(_xlfn.ANCHORARRAY(A96), TBL_Limiti_CDA[Data], TBL_Limiti_CDA[Etica Obbligazionario Breve Termine], , -1)</f>
        <v>0.5</v>
      </c>
      <c r="D96" cm="1">
        <f t="array" ref="D96">_xlfn.XLOOKUP(_xlfn.ANCHORARRAY(A96), TBL_Limiti_CDA[Data], TBL_Limiti_CDA[Etica Obbligazionario Misto], , -1)</f>
        <v>1.5</v>
      </c>
      <c r="E96" cm="1">
        <f t="array" ref="E96">_xlfn.XLOOKUP(_xlfn.ANCHORARRAY(A96), TBL_Limiti_CDA[Data], TBL_Limiti_CDA[Etica Bilanciato], , -1)</f>
        <v>3</v>
      </c>
      <c r="F96" cm="1">
        <f t="array" ref="F96">_xlfn.XLOOKUP(_xlfn.ANCHORARRAY(A96), TBL_Limiti_CDA[Data], TBL_Limiti_CDA[Etica Azionario], , -1)</f>
        <v>3.5</v>
      </c>
      <c r="G96" cm="1">
        <f t="array" ref="G96">_xlfn.XLOOKUP(_xlfn.ANCHORARRAY(A96), TBL_Limiti_CDA[Data], TBL_Limiti_CDA[Etica Transizione Climatica], , -1)</f>
        <v>2.75</v>
      </c>
      <c r="H96" cm="1">
        <f t="array" ref="H96">_xlfn.XLOOKUP(_xlfn.ANCHORARRAY(A96), TBL_Limiti_CDA[Data], TBL_Limiti_CDA[Etica Obiettivo Sociale], , -1)</f>
        <v>7.49</v>
      </c>
      <c r="I96" cm="1">
        <f t="array" ref="I96">_xlfn.XLOOKUP(_xlfn.ANCHORARRAY(A96), TBL_Limiti_CDA[Data], TBL_Limiti_CDA[Etica Conservative Allocation], , -1)</f>
        <v>1.5</v>
      </c>
      <c r="J96" cm="1">
        <f t="array" ref="J96">_xlfn.XLOOKUP(_xlfn.ANCHORARRAY(A96), TBL_Limiti_CDA[Data], TBL_Limiti_CDA[Etica Dynamic Allocation], , -1)</f>
        <v>3</v>
      </c>
      <c r="K96" cm="1">
        <f t="array" ref="K96">_xlfn.XLOOKUP(_xlfn.ANCHORARRAY(A96), TBL_Limiti_CDA[Data], TBL_Limiti_CDA[Etica Global Equity], , -1)</f>
        <v>3.5</v>
      </c>
      <c r="L96" cm="1">
        <f t="array" ref="L96">_xlfn.ANCHORARRAY(B96)+0.15</f>
        <v>1.9</v>
      </c>
      <c r="M96" cm="1">
        <f t="array" ref="M96">_xlfn.ANCHORARRAY(C96)+0.1</f>
        <v>0.6</v>
      </c>
      <c r="N96" cm="1">
        <f t="array" ref="N96">_xlfn.ANCHORARRAY(D96)+0.15</f>
        <v>1.65</v>
      </c>
      <c r="O96" cm="1">
        <f t="array" ref="O96">_xlfn.ANCHORARRAY(E96)+0.15</f>
        <v>3.15</v>
      </c>
      <c r="P96" cm="1">
        <f t="array" ref="P96">_xlfn.ANCHORARRAY(F96)+0.15</f>
        <v>3.65</v>
      </c>
      <c r="Q96" cm="1">
        <f t="array" ref="Q96">_xlfn.ANCHORARRAY(G96)+0.15</f>
        <v>2.9</v>
      </c>
      <c r="R96" cm="1">
        <f t="array" ref="R96">_xlfn.ANCHORARRAY(H96)</f>
        <v>7.49</v>
      </c>
      <c r="S96" cm="1">
        <f t="array" ref="S96">_xlfn.ANCHORARRAY(R96)+0.15</f>
        <v>7.6400000000000006</v>
      </c>
      <c r="T96" cm="1">
        <f t="array" ref="T96">_xlfn.ANCHORARRAY(I96)+0.15</f>
        <v>1.65</v>
      </c>
      <c r="U96" cm="1">
        <f t="array" ref="U96">_xlfn.ANCHORARRAY(J96)+0.15</f>
        <v>3.15</v>
      </c>
      <c r="V96" cm="1">
        <f t="array" ref="V96">_xlfn.ANCHORARRAY(K96)+0.15</f>
        <v>3.65</v>
      </c>
      <c r="W96">
        <f>TBL_TEV[[#This Row],[Etica Rendita Bilanciata]]</f>
        <v>1.773183</v>
      </c>
      <c r="X96">
        <f>TBL_TEV[[#This Row],[Etica Obbligazionario Breve Termine]]</f>
        <v>0.17874699999999999</v>
      </c>
      <c r="Y96">
        <f>TBL_TEV[[#This Row],[Etica Obbligazionario Misto]]</f>
        <v>1.3201240000000001</v>
      </c>
      <c r="Z96">
        <f>TBL_TEV[[#This Row],[Etica Bilanciato]]</f>
        <v>1.8592219999999999</v>
      </c>
      <c r="AA96">
        <f>TBL_TEV[[#This Row],[Etica Azionario]]</f>
        <v>2.5753210000000002</v>
      </c>
      <c r="AB96">
        <f>TBL_TEV[[#This Row],[Etica Transizione Climatica]]</f>
        <v>1.976059</v>
      </c>
      <c r="AC96">
        <f>TBL_TEV[[#This Row],[Etica Obiettivo Sociale]]</f>
        <v>6.9717836309546053</v>
      </c>
      <c r="AD96">
        <f>TBL_TEV[[#This Row],[Etica Conservative Allocation]]</f>
        <v>0.61958199999999997</v>
      </c>
      <c r="AE96">
        <f>TBL_TEV[[#This Row],[Etica Dynamic Allocation]]</f>
        <v>2.3013270000000001</v>
      </c>
      <c r="AF96">
        <f>TBL_TEV[[#This Row],[Etica Global Equity]]</f>
        <v>3.3357100000000002</v>
      </c>
      <c r="AL96">
        <f ca="1"/>
        <v>1.8073129999999999</v>
      </c>
      <c r="AM96">
        <f ca="1"/>
        <v>0.18176300000000001</v>
      </c>
      <c r="AN96">
        <f ca="1"/>
        <v>1.3586990000000001</v>
      </c>
      <c r="AO96">
        <f ca="1"/>
        <v>1.8522380000000001</v>
      </c>
      <c r="AP96">
        <f ca="1"/>
        <v>2.5519859999999999</v>
      </c>
      <c r="AQ96">
        <f ca="1"/>
        <v>1.9927269999999999</v>
      </c>
      <c r="AR96">
        <f ca="1"/>
        <v>6.9696174238611501</v>
      </c>
      <c r="AS96">
        <f ca="1"/>
        <v>0.62624899999999994</v>
      </c>
      <c r="AT96">
        <f ca="1"/>
        <v>2.284977</v>
      </c>
      <c r="AU96">
        <f ca="1"/>
        <v>3.3168199999999999</v>
      </c>
    </row>
    <row r="97" spans="1:47">
      <c r="A97" s="43">
        <f>TBL_TEV[[#This Row],[Data2]]</f>
        <v>45427</v>
      </c>
      <c r="B97" cm="1">
        <f t="array" ref="B97">_xlfn.XLOOKUP(_xlfn.ANCHORARRAY(A97), TBL_Limiti_CDA[Data], TBL_Limiti_CDA[Etica Rendita Bilanciata], , -1)</f>
        <v>1.75</v>
      </c>
      <c r="C97" cm="1">
        <f t="array" ref="C97">_xlfn.XLOOKUP(_xlfn.ANCHORARRAY(A97), TBL_Limiti_CDA[Data], TBL_Limiti_CDA[Etica Obbligazionario Breve Termine], , -1)</f>
        <v>0.5</v>
      </c>
      <c r="D97" cm="1">
        <f t="array" ref="D97">_xlfn.XLOOKUP(_xlfn.ANCHORARRAY(A97), TBL_Limiti_CDA[Data], TBL_Limiti_CDA[Etica Obbligazionario Misto], , -1)</f>
        <v>1.5</v>
      </c>
      <c r="E97" cm="1">
        <f t="array" ref="E97">_xlfn.XLOOKUP(_xlfn.ANCHORARRAY(A97), TBL_Limiti_CDA[Data], TBL_Limiti_CDA[Etica Bilanciato], , -1)</f>
        <v>3</v>
      </c>
      <c r="F97" cm="1">
        <f t="array" ref="F97">_xlfn.XLOOKUP(_xlfn.ANCHORARRAY(A97), TBL_Limiti_CDA[Data], TBL_Limiti_CDA[Etica Azionario], , -1)</f>
        <v>3.5</v>
      </c>
      <c r="G97" cm="1">
        <f t="array" ref="G97">_xlfn.XLOOKUP(_xlfn.ANCHORARRAY(A97), TBL_Limiti_CDA[Data], TBL_Limiti_CDA[Etica Transizione Climatica], , -1)</f>
        <v>2.75</v>
      </c>
      <c r="H97" cm="1">
        <f t="array" ref="H97">_xlfn.XLOOKUP(_xlfn.ANCHORARRAY(A97), TBL_Limiti_CDA[Data], TBL_Limiti_CDA[Etica Obiettivo Sociale], , -1)</f>
        <v>7.49</v>
      </c>
      <c r="I97" cm="1">
        <f t="array" ref="I97">_xlfn.XLOOKUP(_xlfn.ANCHORARRAY(A97), TBL_Limiti_CDA[Data], TBL_Limiti_CDA[Etica Conservative Allocation], , -1)</f>
        <v>1.5</v>
      </c>
      <c r="J97" cm="1">
        <f t="array" ref="J97">_xlfn.XLOOKUP(_xlfn.ANCHORARRAY(A97), TBL_Limiti_CDA[Data], TBL_Limiti_CDA[Etica Dynamic Allocation], , -1)</f>
        <v>3</v>
      </c>
      <c r="K97" cm="1">
        <f t="array" ref="K97">_xlfn.XLOOKUP(_xlfn.ANCHORARRAY(A97), TBL_Limiti_CDA[Data], TBL_Limiti_CDA[Etica Global Equity], , -1)</f>
        <v>3.5</v>
      </c>
      <c r="L97" cm="1">
        <f t="array" ref="L97">_xlfn.ANCHORARRAY(B97)+0.15</f>
        <v>1.9</v>
      </c>
      <c r="M97" cm="1">
        <f t="array" ref="M97">_xlfn.ANCHORARRAY(C97)+0.1</f>
        <v>0.6</v>
      </c>
      <c r="N97" cm="1">
        <f t="array" ref="N97">_xlfn.ANCHORARRAY(D97)+0.15</f>
        <v>1.65</v>
      </c>
      <c r="O97" cm="1">
        <f t="array" ref="O97">_xlfn.ANCHORARRAY(E97)+0.15</f>
        <v>3.15</v>
      </c>
      <c r="P97" cm="1">
        <f t="array" ref="P97">_xlfn.ANCHORARRAY(F97)+0.15</f>
        <v>3.65</v>
      </c>
      <c r="Q97" cm="1">
        <f t="array" ref="Q97">_xlfn.ANCHORARRAY(G97)+0.15</f>
        <v>2.9</v>
      </c>
      <c r="R97" cm="1">
        <f t="array" ref="R97">_xlfn.ANCHORARRAY(H97)</f>
        <v>7.49</v>
      </c>
      <c r="S97" cm="1">
        <f t="array" ref="S97">_xlfn.ANCHORARRAY(R97)+0.15</f>
        <v>7.6400000000000006</v>
      </c>
      <c r="T97" cm="1">
        <f t="array" ref="T97">_xlfn.ANCHORARRAY(I97)+0.15</f>
        <v>1.65</v>
      </c>
      <c r="U97" cm="1">
        <f t="array" ref="U97">_xlfn.ANCHORARRAY(J97)+0.15</f>
        <v>3.15</v>
      </c>
      <c r="V97" cm="1">
        <f t="array" ref="V97">_xlfn.ANCHORARRAY(K97)+0.15</f>
        <v>3.65</v>
      </c>
      <c r="W97">
        <f>TBL_TEV[[#This Row],[Etica Rendita Bilanciata]]</f>
        <v>1.8073129999999999</v>
      </c>
      <c r="X97">
        <f>TBL_TEV[[#This Row],[Etica Obbligazionario Breve Termine]]</f>
        <v>0.18176300000000001</v>
      </c>
      <c r="Y97">
        <f>TBL_TEV[[#This Row],[Etica Obbligazionario Misto]]</f>
        <v>1.3586990000000001</v>
      </c>
      <c r="Z97">
        <f>TBL_TEV[[#This Row],[Etica Bilanciato]]</f>
        <v>1.8522380000000001</v>
      </c>
      <c r="AA97">
        <f>TBL_TEV[[#This Row],[Etica Azionario]]</f>
        <v>2.5519859999999999</v>
      </c>
      <c r="AB97">
        <f>TBL_TEV[[#This Row],[Etica Transizione Climatica]]</f>
        <v>1.9927269999999999</v>
      </c>
      <c r="AC97">
        <f>TBL_TEV[[#This Row],[Etica Obiettivo Sociale]]</f>
        <v>6.9696174238611501</v>
      </c>
      <c r="AD97">
        <f>TBL_TEV[[#This Row],[Etica Conservative Allocation]]</f>
        <v>0.62624899999999994</v>
      </c>
      <c r="AE97">
        <f>TBL_TEV[[#This Row],[Etica Dynamic Allocation]]</f>
        <v>2.284977</v>
      </c>
      <c r="AF97">
        <f>TBL_TEV[[#This Row],[Etica Global Equity]]</f>
        <v>3.3168199999999999</v>
      </c>
      <c r="AL97">
        <f ca="1"/>
        <v>1.793026</v>
      </c>
      <c r="AM97">
        <f ca="1"/>
        <v>0.18112800000000001</v>
      </c>
      <c r="AN97">
        <f ca="1"/>
        <v>1.3474280000000001</v>
      </c>
      <c r="AO97">
        <f ca="1"/>
        <v>1.833188</v>
      </c>
      <c r="AP97">
        <f ca="1"/>
        <v>2.5288089999999999</v>
      </c>
      <c r="AQ97">
        <f ca="1"/>
        <v>1.967487</v>
      </c>
      <c r="AR97">
        <f ca="1"/>
        <v>6.9509555246564414</v>
      </c>
      <c r="AS97">
        <f ca="1"/>
        <v>0.62656699999999999</v>
      </c>
      <c r="AT97">
        <f ca="1"/>
        <v>2.2978350000000001</v>
      </c>
      <c r="AU97">
        <f ca="1"/>
        <v>3.3266619999999998</v>
      </c>
    </row>
    <row r="98" spans="1:47">
      <c r="A98" s="43">
        <f>TBL_TEV[[#This Row],[Data2]]</f>
        <v>45428</v>
      </c>
      <c r="B98" cm="1">
        <f t="array" ref="B98">_xlfn.XLOOKUP(_xlfn.ANCHORARRAY(A98), TBL_Limiti_CDA[Data], TBL_Limiti_CDA[Etica Rendita Bilanciata], , -1)</f>
        <v>1.75</v>
      </c>
      <c r="C98" cm="1">
        <f t="array" ref="C98">_xlfn.XLOOKUP(_xlfn.ANCHORARRAY(A98), TBL_Limiti_CDA[Data], TBL_Limiti_CDA[Etica Obbligazionario Breve Termine], , -1)</f>
        <v>0.5</v>
      </c>
      <c r="D98" cm="1">
        <f t="array" ref="D98">_xlfn.XLOOKUP(_xlfn.ANCHORARRAY(A98), TBL_Limiti_CDA[Data], TBL_Limiti_CDA[Etica Obbligazionario Misto], , -1)</f>
        <v>1.5</v>
      </c>
      <c r="E98" cm="1">
        <f t="array" ref="E98">_xlfn.XLOOKUP(_xlfn.ANCHORARRAY(A98), TBL_Limiti_CDA[Data], TBL_Limiti_CDA[Etica Bilanciato], , -1)</f>
        <v>3</v>
      </c>
      <c r="F98" cm="1">
        <f t="array" ref="F98">_xlfn.XLOOKUP(_xlfn.ANCHORARRAY(A98), TBL_Limiti_CDA[Data], TBL_Limiti_CDA[Etica Azionario], , -1)</f>
        <v>3.5</v>
      </c>
      <c r="G98" cm="1">
        <f t="array" ref="G98">_xlfn.XLOOKUP(_xlfn.ANCHORARRAY(A98), TBL_Limiti_CDA[Data], TBL_Limiti_CDA[Etica Transizione Climatica], , -1)</f>
        <v>2.75</v>
      </c>
      <c r="H98" cm="1">
        <f t="array" ref="H98">_xlfn.XLOOKUP(_xlfn.ANCHORARRAY(A98), TBL_Limiti_CDA[Data], TBL_Limiti_CDA[Etica Obiettivo Sociale], , -1)</f>
        <v>7.49</v>
      </c>
      <c r="I98" cm="1">
        <f t="array" ref="I98">_xlfn.XLOOKUP(_xlfn.ANCHORARRAY(A98), TBL_Limiti_CDA[Data], TBL_Limiti_CDA[Etica Conservative Allocation], , -1)</f>
        <v>1.5</v>
      </c>
      <c r="J98" cm="1">
        <f t="array" ref="J98">_xlfn.XLOOKUP(_xlfn.ANCHORARRAY(A98), TBL_Limiti_CDA[Data], TBL_Limiti_CDA[Etica Dynamic Allocation], , -1)</f>
        <v>3</v>
      </c>
      <c r="K98" cm="1">
        <f t="array" ref="K98">_xlfn.XLOOKUP(_xlfn.ANCHORARRAY(A98), TBL_Limiti_CDA[Data], TBL_Limiti_CDA[Etica Global Equity], , -1)</f>
        <v>3.5</v>
      </c>
      <c r="L98" cm="1">
        <f t="array" ref="L98">_xlfn.ANCHORARRAY(B98)+0.15</f>
        <v>1.9</v>
      </c>
      <c r="M98" cm="1">
        <f t="array" ref="M98">_xlfn.ANCHORARRAY(C98)+0.1</f>
        <v>0.6</v>
      </c>
      <c r="N98" cm="1">
        <f t="array" ref="N98">_xlfn.ANCHORARRAY(D98)+0.15</f>
        <v>1.65</v>
      </c>
      <c r="O98" cm="1">
        <f t="array" ref="O98">_xlfn.ANCHORARRAY(E98)+0.15</f>
        <v>3.15</v>
      </c>
      <c r="P98" cm="1">
        <f t="array" ref="P98">_xlfn.ANCHORARRAY(F98)+0.15</f>
        <v>3.65</v>
      </c>
      <c r="Q98" cm="1">
        <f t="array" ref="Q98">_xlfn.ANCHORARRAY(G98)+0.15</f>
        <v>2.9</v>
      </c>
      <c r="R98" cm="1">
        <f t="array" ref="R98">_xlfn.ANCHORARRAY(H98)</f>
        <v>7.49</v>
      </c>
      <c r="S98" cm="1">
        <f t="array" ref="S98">_xlfn.ANCHORARRAY(R98)+0.15</f>
        <v>7.6400000000000006</v>
      </c>
      <c r="T98" cm="1">
        <f t="array" ref="T98">_xlfn.ANCHORARRAY(I98)+0.15</f>
        <v>1.65</v>
      </c>
      <c r="U98" cm="1">
        <f t="array" ref="U98">_xlfn.ANCHORARRAY(J98)+0.15</f>
        <v>3.15</v>
      </c>
      <c r="V98" cm="1">
        <f t="array" ref="V98">_xlfn.ANCHORARRAY(K98)+0.15</f>
        <v>3.65</v>
      </c>
      <c r="W98">
        <f>TBL_TEV[[#This Row],[Etica Rendita Bilanciata]]</f>
        <v>1.793026</v>
      </c>
      <c r="X98">
        <f>TBL_TEV[[#This Row],[Etica Obbligazionario Breve Termine]]</f>
        <v>0.18112800000000001</v>
      </c>
      <c r="Y98">
        <f>TBL_TEV[[#This Row],[Etica Obbligazionario Misto]]</f>
        <v>1.3474280000000001</v>
      </c>
      <c r="Z98">
        <f>TBL_TEV[[#This Row],[Etica Bilanciato]]</f>
        <v>1.833188</v>
      </c>
      <c r="AA98">
        <f>TBL_TEV[[#This Row],[Etica Azionario]]</f>
        <v>2.5288089999999999</v>
      </c>
      <c r="AB98">
        <f>TBL_TEV[[#This Row],[Etica Transizione Climatica]]</f>
        <v>1.967487</v>
      </c>
      <c r="AC98">
        <f>TBL_TEV[[#This Row],[Etica Obiettivo Sociale]]</f>
        <v>6.9509555246564414</v>
      </c>
      <c r="AD98">
        <f>TBL_TEV[[#This Row],[Etica Conservative Allocation]]</f>
        <v>0.62656699999999999</v>
      </c>
      <c r="AE98">
        <f>TBL_TEV[[#This Row],[Etica Dynamic Allocation]]</f>
        <v>2.2978350000000001</v>
      </c>
      <c r="AF98">
        <f>TBL_TEV[[#This Row],[Etica Global Equity]]</f>
        <v>3.3266619999999998</v>
      </c>
      <c r="AL98">
        <f ca="1"/>
        <v>1.8019149999999999</v>
      </c>
      <c r="AM98">
        <f ca="1"/>
        <v>0.18033399999999999</v>
      </c>
      <c r="AN98">
        <f ca="1"/>
        <v>1.3453649999999999</v>
      </c>
      <c r="AO98">
        <f ca="1"/>
        <v>1.8419190000000001</v>
      </c>
      <c r="AP98">
        <f ca="1"/>
        <v>2.5399210000000001</v>
      </c>
      <c r="AQ98">
        <f ca="1"/>
        <v>1.9335150000000001</v>
      </c>
      <c r="AR98">
        <f ca="1"/>
        <v>6.881881554401307</v>
      </c>
      <c r="AS98">
        <f ca="1"/>
        <v>0.624027</v>
      </c>
      <c r="AT98">
        <f ca="1"/>
        <v>2.2827540000000002</v>
      </c>
      <c r="AU98">
        <f ca="1"/>
        <v>3.314438</v>
      </c>
    </row>
    <row r="99" spans="1:47">
      <c r="A99" s="43">
        <f>TBL_TEV[[#This Row],[Data2]]</f>
        <v>45429</v>
      </c>
      <c r="B99" cm="1">
        <f t="array" ref="B99">_xlfn.XLOOKUP(_xlfn.ANCHORARRAY(A99), TBL_Limiti_CDA[Data], TBL_Limiti_CDA[Etica Rendita Bilanciata], , -1)</f>
        <v>1.75</v>
      </c>
      <c r="C99" cm="1">
        <f t="array" ref="C99">_xlfn.XLOOKUP(_xlfn.ANCHORARRAY(A99), TBL_Limiti_CDA[Data], TBL_Limiti_CDA[Etica Obbligazionario Breve Termine], , -1)</f>
        <v>0.5</v>
      </c>
      <c r="D99" cm="1">
        <f t="array" ref="D99">_xlfn.XLOOKUP(_xlfn.ANCHORARRAY(A99), TBL_Limiti_CDA[Data], TBL_Limiti_CDA[Etica Obbligazionario Misto], , -1)</f>
        <v>1.5</v>
      </c>
      <c r="E99" cm="1">
        <f t="array" ref="E99">_xlfn.XLOOKUP(_xlfn.ANCHORARRAY(A99), TBL_Limiti_CDA[Data], TBL_Limiti_CDA[Etica Bilanciato], , -1)</f>
        <v>3</v>
      </c>
      <c r="F99" cm="1">
        <f t="array" ref="F99">_xlfn.XLOOKUP(_xlfn.ANCHORARRAY(A99), TBL_Limiti_CDA[Data], TBL_Limiti_CDA[Etica Azionario], , -1)</f>
        <v>3.5</v>
      </c>
      <c r="G99" cm="1">
        <f t="array" ref="G99">_xlfn.XLOOKUP(_xlfn.ANCHORARRAY(A99), TBL_Limiti_CDA[Data], TBL_Limiti_CDA[Etica Transizione Climatica], , -1)</f>
        <v>2.75</v>
      </c>
      <c r="H99" cm="1">
        <f t="array" ref="H99">_xlfn.XLOOKUP(_xlfn.ANCHORARRAY(A99), TBL_Limiti_CDA[Data], TBL_Limiti_CDA[Etica Obiettivo Sociale], , -1)</f>
        <v>7.49</v>
      </c>
      <c r="I99" cm="1">
        <f t="array" ref="I99">_xlfn.XLOOKUP(_xlfn.ANCHORARRAY(A99), TBL_Limiti_CDA[Data], TBL_Limiti_CDA[Etica Conservative Allocation], , -1)</f>
        <v>1.5</v>
      </c>
      <c r="J99" cm="1">
        <f t="array" ref="J99">_xlfn.XLOOKUP(_xlfn.ANCHORARRAY(A99), TBL_Limiti_CDA[Data], TBL_Limiti_CDA[Etica Dynamic Allocation], , -1)</f>
        <v>3</v>
      </c>
      <c r="K99" cm="1">
        <f t="array" ref="K99">_xlfn.XLOOKUP(_xlfn.ANCHORARRAY(A99), TBL_Limiti_CDA[Data], TBL_Limiti_CDA[Etica Global Equity], , -1)</f>
        <v>3.5</v>
      </c>
      <c r="L99" cm="1">
        <f t="array" ref="L99">_xlfn.ANCHORARRAY(B99)+0.15</f>
        <v>1.9</v>
      </c>
      <c r="M99" cm="1">
        <f t="array" ref="M99">_xlfn.ANCHORARRAY(C99)+0.1</f>
        <v>0.6</v>
      </c>
      <c r="N99" cm="1">
        <f t="array" ref="N99">_xlfn.ANCHORARRAY(D99)+0.15</f>
        <v>1.65</v>
      </c>
      <c r="O99" cm="1">
        <f t="array" ref="O99">_xlfn.ANCHORARRAY(E99)+0.15</f>
        <v>3.15</v>
      </c>
      <c r="P99" cm="1">
        <f t="array" ref="P99">_xlfn.ANCHORARRAY(F99)+0.15</f>
        <v>3.65</v>
      </c>
      <c r="Q99" cm="1">
        <f t="array" ref="Q99">_xlfn.ANCHORARRAY(G99)+0.15</f>
        <v>2.9</v>
      </c>
      <c r="R99" cm="1">
        <f t="array" ref="R99">_xlfn.ANCHORARRAY(H99)</f>
        <v>7.49</v>
      </c>
      <c r="S99" cm="1">
        <f t="array" ref="S99">_xlfn.ANCHORARRAY(R99)+0.15</f>
        <v>7.6400000000000006</v>
      </c>
      <c r="T99" cm="1">
        <f t="array" ref="T99">_xlfn.ANCHORARRAY(I99)+0.15</f>
        <v>1.65</v>
      </c>
      <c r="U99" cm="1">
        <f t="array" ref="U99">_xlfn.ANCHORARRAY(J99)+0.15</f>
        <v>3.15</v>
      </c>
      <c r="V99" cm="1">
        <f t="array" ref="V99">_xlfn.ANCHORARRAY(K99)+0.15</f>
        <v>3.65</v>
      </c>
      <c r="W99">
        <f>TBL_TEV[[#This Row],[Etica Rendita Bilanciata]]</f>
        <v>1.8019149999999999</v>
      </c>
      <c r="X99">
        <f>TBL_TEV[[#This Row],[Etica Obbligazionario Breve Termine]]</f>
        <v>0.18033399999999999</v>
      </c>
      <c r="Y99">
        <f>TBL_TEV[[#This Row],[Etica Obbligazionario Misto]]</f>
        <v>1.3453649999999999</v>
      </c>
      <c r="Z99">
        <f>TBL_TEV[[#This Row],[Etica Bilanciato]]</f>
        <v>1.8419190000000001</v>
      </c>
      <c r="AA99">
        <f>TBL_TEV[[#This Row],[Etica Azionario]]</f>
        <v>2.5399210000000001</v>
      </c>
      <c r="AB99">
        <f>TBL_TEV[[#This Row],[Etica Transizione Climatica]]</f>
        <v>1.9335150000000001</v>
      </c>
      <c r="AC99">
        <f>TBL_TEV[[#This Row],[Etica Obiettivo Sociale]]</f>
        <v>6.881881554401307</v>
      </c>
      <c r="AD99">
        <f>TBL_TEV[[#This Row],[Etica Conservative Allocation]]</f>
        <v>0.624027</v>
      </c>
      <c r="AE99">
        <f>TBL_TEV[[#This Row],[Etica Dynamic Allocation]]</f>
        <v>2.2827540000000002</v>
      </c>
      <c r="AF99">
        <f>TBL_TEV[[#This Row],[Etica Global Equity]]</f>
        <v>3.314438</v>
      </c>
      <c r="AL99">
        <f ca="1"/>
        <v>1.7962009999999999</v>
      </c>
      <c r="AM99">
        <f ca="1"/>
        <v>0.17954100000000001</v>
      </c>
      <c r="AN99">
        <f ca="1"/>
        <v>1.343777</v>
      </c>
      <c r="AO99">
        <f ca="1"/>
        <v>1.8393790000000001</v>
      </c>
      <c r="AP99">
        <f ca="1"/>
        <v>2.5396040000000002</v>
      </c>
      <c r="AQ99">
        <f ca="1"/>
        <v>1.939865</v>
      </c>
      <c r="AR99">
        <f ca="1"/>
        <v>6.8565969963888467</v>
      </c>
      <c r="AS99">
        <f ca="1"/>
        <v>0.63307500000000005</v>
      </c>
      <c r="AT99">
        <f ca="1"/>
        <v>2.3373629999999999</v>
      </c>
      <c r="AU99">
        <f ca="1"/>
        <v>3.3546010000000002</v>
      </c>
    </row>
    <row r="100" spans="1:47">
      <c r="A100" s="43">
        <f>TBL_TEV[[#This Row],[Data2]]</f>
        <v>45432</v>
      </c>
      <c r="B100" cm="1">
        <f t="array" ref="B100">_xlfn.XLOOKUP(_xlfn.ANCHORARRAY(A100), TBL_Limiti_CDA[Data], TBL_Limiti_CDA[Etica Rendita Bilanciata], , -1)</f>
        <v>1.75</v>
      </c>
      <c r="C100" cm="1">
        <f t="array" ref="C100">_xlfn.XLOOKUP(_xlfn.ANCHORARRAY(A100), TBL_Limiti_CDA[Data], TBL_Limiti_CDA[Etica Obbligazionario Breve Termine], , -1)</f>
        <v>0.5</v>
      </c>
      <c r="D100" cm="1">
        <f t="array" ref="D100">_xlfn.XLOOKUP(_xlfn.ANCHORARRAY(A100), TBL_Limiti_CDA[Data], TBL_Limiti_CDA[Etica Obbligazionario Misto], , -1)</f>
        <v>1.5</v>
      </c>
      <c r="E100" cm="1">
        <f t="array" ref="E100">_xlfn.XLOOKUP(_xlfn.ANCHORARRAY(A100), TBL_Limiti_CDA[Data], TBL_Limiti_CDA[Etica Bilanciato], , -1)</f>
        <v>3</v>
      </c>
      <c r="F100" cm="1">
        <f t="array" ref="F100">_xlfn.XLOOKUP(_xlfn.ANCHORARRAY(A100), TBL_Limiti_CDA[Data], TBL_Limiti_CDA[Etica Azionario], , -1)</f>
        <v>3.5</v>
      </c>
      <c r="G100" cm="1">
        <f t="array" ref="G100">_xlfn.XLOOKUP(_xlfn.ANCHORARRAY(A100), TBL_Limiti_CDA[Data], TBL_Limiti_CDA[Etica Transizione Climatica], , -1)</f>
        <v>2.75</v>
      </c>
      <c r="H100" cm="1">
        <f t="array" ref="H100">_xlfn.XLOOKUP(_xlfn.ANCHORARRAY(A100), TBL_Limiti_CDA[Data], TBL_Limiti_CDA[Etica Obiettivo Sociale], , -1)</f>
        <v>7.49</v>
      </c>
      <c r="I100" cm="1">
        <f t="array" ref="I100">_xlfn.XLOOKUP(_xlfn.ANCHORARRAY(A100), TBL_Limiti_CDA[Data], TBL_Limiti_CDA[Etica Conservative Allocation], , -1)</f>
        <v>1.5</v>
      </c>
      <c r="J100" cm="1">
        <f t="array" ref="J100">_xlfn.XLOOKUP(_xlfn.ANCHORARRAY(A100), TBL_Limiti_CDA[Data], TBL_Limiti_CDA[Etica Dynamic Allocation], , -1)</f>
        <v>3</v>
      </c>
      <c r="K100" cm="1">
        <f t="array" ref="K100">_xlfn.XLOOKUP(_xlfn.ANCHORARRAY(A100), TBL_Limiti_CDA[Data], TBL_Limiti_CDA[Etica Global Equity], , -1)</f>
        <v>3.5</v>
      </c>
      <c r="L100" cm="1">
        <f t="array" ref="L100">_xlfn.ANCHORARRAY(B100)+0.15</f>
        <v>1.9</v>
      </c>
      <c r="M100" cm="1">
        <f t="array" ref="M100">_xlfn.ANCHORARRAY(C100)+0.1</f>
        <v>0.6</v>
      </c>
      <c r="N100" cm="1">
        <f t="array" ref="N100">_xlfn.ANCHORARRAY(D100)+0.15</f>
        <v>1.65</v>
      </c>
      <c r="O100" cm="1">
        <f t="array" ref="O100">_xlfn.ANCHORARRAY(E100)+0.15</f>
        <v>3.15</v>
      </c>
      <c r="P100" cm="1">
        <f t="array" ref="P100">_xlfn.ANCHORARRAY(F100)+0.15</f>
        <v>3.65</v>
      </c>
      <c r="Q100" cm="1">
        <f t="array" ref="Q100">_xlfn.ANCHORARRAY(G100)+0.15</f>
        <v>2.9</v>
      </c>
      <c r="R100" cm="1">
        <f t="array" ref="R100">_xlfn.ANCHORARRAY(H100)</f>
        <v>7.49</v>
      </c>
      <c r="S100" cm="1">
        <f t="array" ref="S100">_xlfn.ANCHORARRAY(R100)+0.15</f>
        <v>7.6400000000000006</v>
      </c>
      <c r="T100" cm="1">
        <f t="array" ref="T100">_xlfn.ANCHORARRAY(I100)+0.15</f>
        <v>1.65</v>
      </c>
      <c r="U100" cm="1">
        <f t="array" ref="U100">_xlfn.ANCHORARRAY(J100)+0.15</f>
        <v>3.15</v>
      </c>
      <c r="V100" cm="1">
        <f t="array" ref="V100">_xlfn.ANCHORARRAY(K100)+0.15</f>
        <v>3.65</v>
      </c>
      <c r="W100">
        <f>TBL_TEV[[#This Row],[Etica Rendita Bilanciata]]</f>
        <v>1.7962009999999999</v>
      </c>
      <c r="X100">
        <f>TBL_TEV[[#This Row],[Etica Obbligazionario Breve Termine]]</f>
        <v>0.17954100000000001</v>
      </c>
      <c r="Y100">
        <f>TBL_TEV[[#This Row],[Etica Obbligazionario Misto]]</f>
        <v>1.343777</v>
      </c>
      <c r="Z100">
        <f>TBL_TEV[[#This Row],[Etica Bilanciato]]</f>
        <v>1.8393790000000001</v>
      </c>
      <c r="AA100">
        <f>TBL_TEV[[#This Row],[Etica Azionario]]</f>
        <v>2.5396040000000002</v>
      </c>
      <c r="AB100">
        <f>TBL_TEV[[#This Row],[Etica Transizione Climatica]]</f>
        <v>1.939865</v>
      </c>
      <c r="AC100">
        <f>TBL_TEV[[#This Row],[Etica Obiettivo Sociale]]</f>
        <v>6.8565969963888467</v>
      </c>
      <c r="AD100">
        <f>TBL_TEV[[#This Row],[Etica Conservative Allocation]]</f>
        <v>0.63307500000000005</v>
      </c>
      <c r="AE100">
        <f>TBL_TEV[[#This Row],[Etica Dynamic Allocation]]</f>
        <v>2.3373629999999999</v>
      </c>
      <c r="AF100">
        <f>TBL_TEV[[#This Row],[Etica Global Equity]]</f>
        <v>3.3546010000000002</v>
      </c>
      <c r="AL100">
        <f ca="1"/>
        <v>1.8001689999999999</v>
      </c>
      <c r="AM100">
        <f ca="1"/>
        <v>0.179064</v>
      </c>
      <c r="AN100">
        <f ca="1"/>
        <v>1.3444119999999999</v>
      </c>
      <c r="AO100">
        <f ca="1"/>
        <v>1.859064</v>
      </c>
      <c r="AP100">
        <f ca="1"/>
        <v>2.5761150000000002</v>
      </c>
      <c r="AQ100">
        <f ca="1"/>
        <v>1.953676</v>
      </c>
      <c r="AR100">
        <f ca="1"/>
        <v>6.8328660036803184</v>
      </c>
      <c r="AS100">
        <f ca="1"/>
        <v>0.62736099999999995</v>
      </c>
      <c r="AT100">
        <f ca="1"/>
        <v>2.3289490000000002</v>
      </c>
      <c r="AU100">
        <f ca="1"/>
        <v>3.355553</v>
      </c>
    </row>
    <row r="101" spans="1:47">
      <c r="A101" s="43">
        <f>TBL_TEV[[#This Row],[Data2]]</f>
        <v>45433</v>
      </c>
      <c r="B101" cm="1">
        <f t="array" ref="B101">_xlfn.XLOOKUP(_xlfn.ANCHORARRAY(A101), TBL_Limiti_CDA[Data], TBL_Limiti_CDA[Etica Rendita Bilanciata], , -1)</f>
        <v>1.75</v>
      </c>
      <c r="C101" cm="1">
        <f t="array" ref="C101">_xlfn.XLOOKUP(_xlfn.ANCHORARRAY(A101), TBL_Limiti_CDA[Data], TBL_Limiti_CDA[Etica Obbligazionario Breve Termine], , -1)</f>
        <v>0.5</v>
      </c>
      <c r="D101" cm="1">
        <f t="array" ref="D101">_xlfn.XLOOKUP(_xlfn.ANCHORARRAY(A101), TBL_Limiti_CDA[Data], TBL_Limiti_CDA[Etica Obbligazionario Misto], , -1)</f>
        <v>1.5</v>
      </c>
      <c r="E101" cm="1">
        <f t="array" ref="E101">_xlfn.XLOOKUP(_xlfn.ANCHORARRAY(A101), TBL_Limiti_CDA[Data], TBL_Limiti_CDA[Etica Bilanciato], , -1)</f>
        <v>3</v>
      </c>
      <c r="F101" cm="1">
        <f t="array" ref="F101">_xlfn.XLOOKUP(_xlfn.ANCHORARRAY(A101), TBL_Limiti_CDA[Data], TBL_Limiti_CDA[Etica Azionario], , -1)</f>
        <v>3.5</v>
      </c>
      <c r="G101" cm="1">
        <f t="array" ref="G101">_xlfn.XLOOKUP(_xlfn.ANCHORARRAY(A101), TBL_Limiti_CDA[Data], TBL_Limiti_CDA[Etica Transizione Climatica], , -1)</f>
        <v>2.75</v>
      </c>
      <c r="H101" cm="1">
        <f t="array" ref="H101">_xlfn.XLOOKUP(_xlfn.ANCHORARRAY(A101), TBL_Limiti_CDA[Data], TBL_Limiti_CDA[Etica Obiettivo Sociale], , -1)</f>
        <v>7.49</v>
      </c>
      <c r="I101" cm="1">
        <f t="array" ref="I101">_xlfn.XLOOKUP(_xlfn.ANCHORARRAY(A101), TBL_Limiti_CDA[Data], TBL_Limiti_CDA[Etica Conservative Allocation], , -1)</f>
        <v>1.5</v>
      </c>
      <c r="J101" cm="1">
        <f t="array" ref="J101">_xlfn.XLOOKUP(_xlfn.ANCHORARRAY(A101), TBL_Limiti_CDA[Data], TBL_Limiti_CDA[Etica Dynamic Allocation], , -1)</f>
        <v>3</v>
      </c>
      <c r="K101" cm="1">
        <f t="array" ref="K101">_xlfn.XLOOKUP(_xlfn.ANCHORARRAY(A101), TBL_Limiti_CDA[Data], TBL_Limiti_CDA[Etica Global Equity], , -1)</f>
        <v>3.5</v>
      </c>
      <c r="L101" cm="1">
        <f t="array" ref="L101">_xlfn.ANCHORARRAY(B101)+0.15</f>
        <v>1.9</v>
      </c>
      <c r="M101" cm="1">
        <f t="array" ref="M101">_xlfn.ANCHORARRAY(C101)+0.1</f>
        <v>0.6</v>
      </c>
      <c r="N101" cm="1">
        <f t="array" ref="N101">_xlfn.ANCHORARRAY(D101)+0.15</f>
        <v>1.65</v>
      </c>
      <c r="O101" cm="1">
        <f t="array" ref="O101">_xlfn.ANCHORARRAY(E101)+0.15</f>
        <v>3.15</v>
      </c>
      <c r="P101" cm="1">
        <f t="array" ref="P101">_xlfn.ANCHORARRAY(F101)+0.15</f>
        <v>3.65</v>
      </c>
      <c r="Q101" cm="1">
        <f t="array" ref="Q101">_xlfn.ANCHORARRAY(G101)+0.15</f>
        <v>2.9</v>
      </c>
      <c r="R101" cm="1">
        <f t="array" ref="R101">_xlfn.ANCHORARRAY(H101)</f>
        <v>7.49</v>
      </c>
      <c r="S101" cm="1">
        <f t="array" ref="S101">_xlfn.ANCHORARRAY(R101)+0.15</f>
        <v>7.6400000000000006</v>
      </c>
      <c r="T101" cm="1">
        <f t="array" ref="T101">_xlfn.ANCHORARRAY(I101)+0.15</f>
        <v>1.65</v>
      </c>
      <c r="U101" cm="1">
        <f t="array" ref="U101">_xlfn.ANCHORARRAY(J101)+0.15</f>
        <v>3.15</v>
      </c>
      <c r="V101" cm="1">
        <f t="array" ref="V101">_xlfn.ANCHORARRAY(K101)+0.15</f>
        <v>3.65</v>
      </c>
      <c r="W101">
        <f>TBL_TEV[[#This Row],[Etica Rendita Bilanciata]]</f>
        <v>1.8001689999999999</v>
      </c>
      <c r="X101">
        <f>TBL_TEV[[#This Row],[Etica Obbligazionario Breve Termine]]</f>
        <v>0.179064</v>
      </c>
      <c r="Y101">
        <f>TBL_TEV[[#This Row],[Etica Obbligazionario Misto]]</f>
        <v>1.3444119999999999</v>
      </c>
      <c r="Z101">
        <f>TBL_TEV[[#This Row],[Etica Bilanciato]]</f>
        <v>1.859064</v>
      </c>
      <c r="AA101">
        <f>TBL_TEV[[#This Row],[Etica Azionario]]</f>
        <v>2.5761150000000002</v>
      </c>
      <c r="AB101">
        <f>TBL_TEV[[#This Row],[Etica Transizione Climatica]]</f>
        <v>1.953676</v>
      </c>
      <c r="AC101">
        <f>TBL_TEV[[#This Row],[Etica Obiettivo Sociale]]</f>
        <v>6.8328660036803184</v>
      </c>
      <c r="AD101">
        <f>TBL_TEV[[#This Row],[Etica Conservative Allocation]]</f>
        <v>0.62736099999999995</v>
      </c>
      <c r="AE101">
        <f>TBL_TEV[[#This Row],[Etica Dynamic Allocation]]</f>
        <v>2.3289490000000002</v>
      </c>
      <c r="AF101">
        <f>TBL_TEV[[#This Row],[Etica Global Equity]]</f>
        <v>3.355553</v>
      </c>
      <c r="AL101">
        <f ca="1"/>
        <v>1.804297</v>
      </c>
      <c r="AM101">
        <f ca="1"/>
        <v>0.17779400000000001</v>
      </c>
      <c r="AN101">
        <f ca="1"/>
        <v>1.3417129999999999</v>
      </c>
      <c r="AO101">
        <f ca="1"/>
        <v>1.885257</v>
      </c>
      <c r="AP101">
        <f ca="1"/>
        <v>2.6154839999999999</v>
      </c>
      <c r="AQ101">
        <f ca="1"/>
        <v>1.9859009999999999</v>
      </c>
      <c r="AR101">
        <f ca="1"/>
        <v>6.7764080264352318</v>
      </c>
      <c r="AS101">
        <f ca="1"/>
        <v>0.62609099999999995</v>
      </c>
      <c r="AT101">
        <f ca="1"/>
        <v>2.3289490000000002</v>
      </c>
      <c r="AU101">
        <f ca="1"/>
        <v>3.3412660000000001</v>
      </c>
    </row>
    <row r="102" spans="1:47">
      <c r="A102" s="43">
        <f>TBL_TEV[[#This Row],[Data2]]</f>
        <v>45434</v>
      </c>
      <c r="B102" cm="1">
        <f t="array" ref="B102">_xlfn.XLOOKUP(_xlfn.ANCHORARRAY(A102), TBL_Limiti_CDA[Data], TBL_Limiti_CDA[Etica Rendita Bilanciata], , -1)</f>
        <v>2.5</v>
      </c>
      <c r="C102" cm="1">
        <f t="array" ref="C102">_xlfn.XLOOKUP(_xlfn.ANCHORARRAY(A102), TBL_Limiti_CDA[Data], TBL_Limiti_CDA[Etica Obbligazionario Breve Termine], , -1)</f>
        <v>0.5</v>
      </c>
      <c r="D102" cm="1">
        <f t="array" ref="D102">_xlfn.XLOOKUP(_xlfn.ANCHORARRAY(A102), TBL_Limiti_CDA[Data], TBL_Limiti_CDA[Etica Obbligazionario Misto], , -1)</f>
        <v>1.5</v>
      </c>
      <c r="E102" cm="1">
        <f t="array" ref="E102">_xlfn.XLOOKUP(_xlfn.ANCHORARRAY(A102), TBL_Limiti_CDA[Data], TBL_Limiti_CDA[Etica Bilanciato], , -1)</f>
        <v>3</v>
      </c>
      <c r="F102" cm="1">
        <f t="array" ref="F102">_xlfn.XLOOKUP(_xlfn.ANCHORARRAY(A102), TBL_Limiti_CDA[Data], TBL_Limiti_CDA[Etica Azionario], , -1)</f>
        <v>3.5</v>
      </c>
      <c r="G102" cm="1">
        <f t="array" ref="G102">_xlfn.XLOOKUP(_xlfn.ANCHORARRAY(A102), TBL_Limiti_CDA[Data], TBL_Limiti_CDA[Etica Transizione Climatica], , -1)</f>
        <v>2.75</v>
      </c>
      <c r="H102" cm="1">
        <f t="array" ref="H102">_xlfn.XLOOKUP(_xlfn.ANCHORARRAY(A102), TBL_Limiti_CDA[Data], TBL_Limiti_CDA[Etica Obiettivo Sociale], , -1)</f>
        <v>7.49</v>
      </c>
      <c r="I102" cm="1">
        <f t="array" ref="I102">_xlfn.XLOOKUP(_xlfn.ANCHORARRAY(A102), TBL_Limiti_CDA[Data], TBL_Limiti_CDA[Etica Conservative Allocation], , -1)</f>
        <v>1.5</v>
      </c>
      <c r="J102" cm="1">
        <f t="array" ref="J102">_xlfn.XLOOKUP(_xlfn.ANCHORARRAY(A102), TBL_Limiti_CDA[Data], TBL_Limiti_CDA[Etica Dynamic Allocation], , -1)</f>
        <v>3</v>
      </c>
      <c r="K102" cm="1">
        <f t="array" ref="K102">_xlfn.XLOOKUP(_xlfn.ANCHORARRAY(A102), TBL_Limiti_CDA[Data], TBL_Limiti_CDA[Etica Global Equity], , -1)</f>
        <v>3.5</v>
      </c>
      <c r="L102" cm="1">
        <f t="array" ref="L102">_xlfn.ANCHORARRAY(B102)+0.15</f>
        <v>2.65</v>
      </c>
      <c r="M102" cm="1">
        <f t="array" ref="M102">_xlfn.ANCHORARRAY(C102)+0.1</f>
        <v>0.6</v>
      </c>
      <c r="N102" cm="1">
        <f t="array" ref="N102">_xlfn.ANCHORARRAY(D102)+0.15</f>
        <v>1.65</v>
      </c>
      <c r="O102" cm="1">
        <f t="array" ref="O102">_xlfn.ANCHORARRAY(E102)+0.15</f>
        <v>3.15</v>
      </c>
      <c r="P102" cm="1">
        <f t="array" ref="P102">_xlfn.ANCHORARRAY(F102)+0.15</f>
        <v>3.65</v>
      </c>
      <c r="Q102" cm="1">
        <f t="array" ref="Q102">_xlfn.ANCHORARRAY(G102)+0.15</f>
        <v>2.9</v>
      </c>
      <c r="R102" cm="1">
        <f t="array" ref="R102">_xlfn.ANCHORARRAY(H102)</f>
        <v>7.49</v>
      </c>
      <c r="S102" cm="1">
        <f t="array" ref="S102">_xlfn.ANCHORARRAY(R102)+0.15</f>
        <v>7.6400000000000006</v>
      </c>
      <c r="T102" cm="1">
        <f t="array" ref="T102">_xlfn.ANCHORARRAY(I102)+0.15</f>
        <v>1.65</v>
      </c>
      <c r="U102" cm="1">
        <f t="array" ref="U102">_xlfn.ANCHORARRAY(J102)+0.15</f>
        <v>3.15</v>
      </c>
      <c r="V102" cm="1">
        <f t="array" ref="V102">_xlfn.ANCHORARRAY(K102)+0.15</f>
        <v>3.65</v>
      </c>
      <c r="W102">
        <f>TBL_TEV[[#This Row],[Etica Rendita Bilanciata]]</f>
        <v>1.804297</v>
      </c>
      <c r="X102">
        <f>TBL_TEV[[#This Row],[Etica Obbligazionario Breve Termine]]</f>
        <v>0.17779400000000001</v>
      </c>
      <c r="Y102">
        <f>TBL_TEV[[#This Row],[Etica Obbligazionario Misto]]</f>
        <v>1.3417129999999999</v>
      </c>
      <c r="Z102">
        <f>TBL_TEV[[#This Row],[Etica Bilanciato]]</f>
        <v>1.885257</v>
      </c>
      <c r="AA102">
        <f>TBL_TEV[[#This Row],[Etica Azionario]]</f>
        <v>2.6154839999999999</v>
      </c>
      <c r="AB102">
        <f>TBL_TEV[[#This Row],[Etica Transizione Climatica]]</f>
        <v>1.9859009999999999</v>
      </c>
      <c r="AC102">
        <f>TBL_TEV[[#This Row],[Etica Obiettivo Sociale]]</f>
        <v>6.7764080264352318</v>
      </c>
      <c r="AD102">
        <f>TBL_TEV[[#This Row],[Etica Conservative Allocation]]</f>
        <v>0.62609099999999995</v>
      </c>
      <c r="AE102">
        <f>TBL_TEV[[#This Row],[Etica Dynamic Allocation]]</f>
        <v>2.3289490000000002</v>
      </c>
      <c r="AF102">
        <f>TBL_TEV[[#This Row],[Etica Global Equity]]</f>
        <v>3.3412660000000001</v>
      </c>
      <c r="AL102">
        <f ca="1"/>
        <v>1.8173140000000001</v>
      </c>
      <c r="AM102">
        <f ca="1"/>
        <v>0.17763599999999999</v>
      </c>
      <c r="AN102">
        <f ca="1"/>
        <v>1.3380620000000001</v>
      </c>
      <c r="AO102">
        <f ca="1"/>
        <v>1.9225620000000001</v>
      </c>
      <c r="AP102">
        <f ca="1"/>
        <v>2.6896179999999998</v>
      </c>
      <c r="AQ102">
        <f ca="1"/>
        <v>2.1033719999999998</v>
      </c>
      <c r="AR102">
        <f ca="1"/>
        <v>6.7515791998211192</v>
      </c>
      <c r="AS102">
        <f ca="1"/>
        <v>0.62783699999999998</v>
      </c>
      <c r="AT102">
        <f ca="1"/>
        <v>2.316249</v>
      </c>
      <c r="AU102">
        <f ca="1"/>
        <v>3.3322180000000001</v>
      </c>
    </row>
    <row r="103" spans="1:47">
      <c r="A103" s="43">
        <f>TBL_TEV[[#This Row],[Data2]]</f>
        <v>45435</v>
      </c>
      <c r="B103" cm="1">
        <f t="array" ref="B103">_xlfn.XLOOKUP(_xlfn.ANCHORARRAY(A103), TBL_Limiti_CDA[Data], TBL_Limiti_CDA[Etica Rendita Bilanciata], , -1)</f>
        <v>2.5</v>
      </c>
      <c r="C103" cm="1">
        <f t="array" ref="C103">_xlfn.XLOOKUP(_xlfn.ANCHORARRAY(A103), TBL_Limiti_CDA[Data], TBL_Limiti_CDA[Etica Obbligazionario Breve Termine], , -1)</f>
        <v>0.5</v>
      </c>
      <c r="D103" cm="1">
        <f t="array" ref="D103">_xlfn.XLOOKUP(_xlfn.ANCHORARRAY(A103), TBL_Limiti_CDA[Data], TBL_Limiti_CDA[Etica Obbligazionario Misto], , -1)</f>
        <v>1.5</v>
      </c>
      <c r="E103" cm="1">
        <f t="array" ref="E103">_xlfn.XLOOKUP(_xlfn.ANCHORARRAY(A103), TBL_Limiti_CDA[Data], TBL_Limiti_CDA[Etica Bilanciato], , -1)</f>
        <v>3</v>
      </c>
      <c r="F103" cm="1">
        <f t="array" ref="F103">_xlfn.XLOOKUP(_xlfn.ANCHORARRAY(A103), TBL_Limiti_CDA[Data], TBL_Limiti_CDA[Etica Azionario], , -1)</f>
        <v>3.5</v>
      </c>
      <c r="G103" cm="1">
        <f t="array" ref="G103">_xlfn.XLOOKUP(_xlfn.ANCHORARRAY(A103), TBL_Limiti_CDA[Data], TBL_Limiti_CDA[Etica Transizione Climatica], , -1)</f>
        <v>2.75</v>
      </c>
      <c r="H103" cm="1">
        <f t="array" ref="H103">_xlfn.XLOOKUP(_xlfn.ANCHORARRAY(A103), TBL_Limiti_CDA[Data], TBL_Limiti_CDA[Etica Obiettivo Sociale], , -1)</f>
        <v>7.49</v>
      </c>
      <c r="I103" cm="1">
        <f t="array" ref="I103">_xlfn.XLOOKUP(_xlfn.ANCHORARRAY(A103), TBL_Limiti_CDA[Data], TBL_Limiti_CDA[Etica Conservative Allocation], , -1)</f>
        <v>1.5</v>
      </c>
      <c r="J103" cm="1">
        <f t="array" ref="J103">_xlfn.XLOOKUP(_xlfn.ANCHORARRAY(A103), TBL_Limiti_CDA[Data], TBL_Limiti_CDA[Etica Dynamic Allocation], , -1)</f>
        <v>3</v>
      </c>
      <c r="K103" cm="1">
        <f t="array" ref="K103">_xlfn.XLOOKUP(_xlfn.ANCHORARRAY(A103), TBL_Limiti_CDA[Data], TBL_Limiti_CDA[Etica Global Equity], , -1)</f>
        <v>3.5</v>
      </c>
      <c r="L103" cm="1">
        <f t="array" ref="L103">_xlfn.ANCHORARRAY(B103)+0.15</f>
        <v>2.65</v>
      </c>
      <c r="M103" cm="1">
        <f t="array" ref="M103">_xlfn.ANCHORARRAY(C103)+0.1</f>
        <v>0.6</v>
      </c>
      <c r="N103" cm="1">
        <f t="array" ref="N103">_xlfn.ANCHORARRAY(D103)+0.15</f>
        <v>1.65</v>
      </c>
      <c r="O103" cm="1">
        <f t="array" ref="O103">_xlfn.ANCHORARRAY(E103)+0.15</f>
        <v>3.15</v>
      </c>
      <c r="P103" cm="1">
        <f t="array" ref="P103">_xlfn.ANCHORARRAY(F103)+0.15</f>
        <v>3.65</v>
      </c>
      <c r="Q103" cm="1">
        <f t="array" ref="Q103">_xlfn.ANCHORARRAY(G103)+0.15</f>
        <v>2.9</v>
      </c>
      <c r="R103" cm="1">
        <f t="array" ref="R103">_xlfn.ANCHORARRAY(H103)</f>
        <v>7.49</v>
      </c>
      <c r="S103" cm="1">
        <f t="array" ref="S103">_xlfn.ANCHORARRAY(R103)+0.15</f>
        <v>7.6400000000000006</v>
      </c>
      <c r="T103" cm="1">
        <f t="array" ref="T103">_xlfn.ANCHORARRAY(I103)+0.15</f>
        <v>1.65</v>
      </c>
      <c r="U103" cm="1">
        <f t="array" ref="U103">_xlfn.ANCHORARRAY(J103)+0.15</f>
        <v>3.15</v>
      </c>
      <c r="V103" cm="1">
        <f t="array" ref="V103">_xlfn.ANCHORARRAY(K103)+0.15</f>
        <v>3.65</v>
      </c>
      <c r="W103">
        <f>TBL_TEV[[#This Row],[Etica Rendita Bilanciata]]</f>
        <v>1.8173140000000001</v>
      </c>
      <c r="X103">
        <f>TBL_TEV[[#This Row],[Etica Obbligazionario Breve Termine]]</f>
        <v>0.17763599999999999</v>
      </c>
      <c r="Y103">
        <f>TBL_TEV[[#This Row],[Etica Obbligazionario Misto]]</f>
        <v>1.3380620000000001</v>
      </c>
      <c r="Z103">
        <f>TBL_TEV[[#This Row],[Etica Bilanciato]]</f>
        <v>1.9225620000000001</v>
      </c>
      <c r="AA103">
        <f>TBL_TEV[[#This Row],[Etica Azionario]]</f>
        <v>2.6896179999999998</v>
      </c>
      <c r="AB103">
        <f>TBL_TEV[[#This Row],[Etica Transizione Climatica]]</f>
        <v>2.1033719999999998</v>
      </c>
      <c r="AC103">
        <f>TBL_TEV[[#This Row],[Etica Obiettivo Sociale]]</f>
        <v>6.7515791998211192</v>
      </c>
      <c r="AD103">
        <f>TBL_TEV[[#This Row],[Etica Conservative Allocation]]</f>
        <v>0.62783699999999998</v>
      </c>
      <c r="AE103">
        <f>TBL_TEV[[#This Row],[Etica Dynamic Allocation]]</f>
        <v>2.316249</v>
      </c>
      <c r="AF103">
        <f>TBL_TEV[[#This Row],[Etica Global Equity]]</f>
        <v>3.3322180000000001</v>
      </c>
      <c r="AL103">
        <f ca="1"/>
        <v>1.824298</v>
      </c>
      <c r="AM103">
        <f ca="1"/>
        <v>0.25081700000000001</v>
      </c>
      <c r="AN103">
        <f ca="1"/>
        <v>1.3336170000000001</v>
      </c>
      <c r="AO103">
        <f ca="1"/>
        <v>1.9566920000000001</v>
      </c>
      <c r="AP103">
        <f ca="1"/>
        <v>2.761371</v>
      </c>
      <c r="AQ103">
        <f ca="1"/>
        <v>2.1525829999999999</v>
      </c>
      <c r="AR103">
        <f ca="1"/>
        <v>6.8506282300092725</v>
      </c>
      <c r="AS103">
        <f ca="1"/>
        <v>0.61926499999999995</v>
      </c>
      <c r="AT103">
        <f ca="1"/>
        <v>2.266721</v>
      </c>
      <c r="AU103">
        <f ca="1"/>
        <v>3.2834829999999999</v>
      </c>
    </row>
    <row r="104" spans="1:47">
      <c r="A104" s="43">
        <f>TBL_TEV[[#This Row],[Data2]]</f>
        <v>45436</v>
      </c>
      <c r="B104" cm="1">
        <f t="array" ref="B104">_xlfn.XLOOKUP(_xlfn.ANCHORARRAY(A104), TBL_Limiti_CDA[Data], TBL_Limiti_CDA[Etica Rendita Bilanciata], , -1)</f>
        <v>2.5</v>
      </c>
      <c r="C104" cm="1">
        <f t="array" ref="C104">_xlfn.XLOOKUP(_xlfn.ANCHORARRAY(A104), TBL_Limiti_CDA[Data], TBL_Limiti_CDA[Etica Obbligazionario Breve Termine], , -1)</f>
        <v>0.5</v>
      </c>
      <c r="D104" cm="1">
        <f t="array" ref="D104">_xlfn.XLOOKUP(_xlfn.ANCHORARRAY(A104), TBL_Limiti_CDA[Data], TBL_Limiti_CDA[Etica Obbligazionario Misto], , -1)</f>
        <v>1.5</v>
      </c>
      <c r="E104" cm="1">
        <f t="array" ref="E104">_xlfn.XLOOKUP(_xlfn.ANCHORARRAY(A104), TBL_Limiti_CDA[Data], TBL_Limiti_CDA[Etica Bilanciato], , -1)</f>
        <v>3</v>
      </c>
      <c r="F104" cm="1">
        <f t="array" ref="F104">_xlfn.XLOOKUP(_xlfn.ANCHORARRAY(A104), TBL_Limiti_CDA[Data], TBL_Limiti_CDA[Etica Azionario], , -1)</f>
        <v>3.5</v>
      </c>
      <c r="G104" cm="1">
        <f t="array" ref="G104">_xlfn.XLOOKUP(_xlfn.ANCHORARRAY(A104), TBL_Limiti_CDA[Data], TBL_Limiti_CDA[Etica Transizione Climatica], , -1)</f>
        <v>2.75</v>
      </c>
      <c r="H104" cm="1">
        <f t="array" ref="H104">_xlfn.XLOOKUP(_xlfn.ANCHORARRAY(A104), TBL_Limiti_CDA[Data], TBL_Limiti_CDA[Etica Obiettivo Sociale], , -1)</f>
        <v>7.49</v>
      </c>
      <c r="I104" cm="1">
        <f t="array" ref="I104">_xlfn.XLOOKUP(_xlfn.ANCHORARRAY(A104), TBL_Limiti_CDA[Data], TBL_Limiti_CDA[Etica Conservative Allocation], , -1)</f>
        <v>1.5</v>
      </c>
      <c r="J104" cm="1">
        <f t="array" ref="J104">_xlfn.XLOOKUP(_xlfn.ANCHORARRAY(A104), TBL_Limiti_CDA[Data], TBL_Limiti_CDA[Etica Dynamic Allocation], , -1)</f>
        <v>3</v>
      </c>
      <c r="K104" cm="1">
        <f t="array" ref="K104">_xlfn.XLOOKUP(_xlfn.ANCHORARRAY(A104), TBL_Limiti_CDA[Data], TBL_Limiti_CDA[Etica Global Equity], , -1)</f>
        <v>3.5</v>
      </c>
      <c r="L104" cm="1">
        <f t="array" ref="L104">_xlfn.ANCHORARRAY(B104)+0.15</f>
        <v>2.65</v>
      </c>
      <c r="M104" cm="1">
        <f t="array" ref="M104">_xlfn.ANCHORARRAY(C104)+0.1</f>
        <v>0.6</v>
      </c>
      <c r="N104" cm="1">
        <f t="array" ref="N104">_xlfn.ANCHORARRAY(D104)+0.15</f>
        <v>1.65</v>
      </c>
      <c r="O104" cm="1">
        <f t="array" ref="O104">_xlfn.ANCHORARRAY(E104)+0.15</f>
        <v>3.15</v>
      </c>
      <c r="P104" cm="1">
        <f t="array" ref="P104">_xlfn.ANCHORARRAY(F104)+0.15</f>
        <v>3.65</v>
      </c>
      <c r="Q104" cm="1">
        <f t="array" ref="Q104">_xlfn.ANCHORARRAY(G104)+0.15</f>
        <v>2.9</v>
      </c>
      <c r="R104" cm="1">
        <f t="array" ref="R104">_xlfn.ANCHORARRAY(H104)</f>
        <v>7.49</v>
      </c>
      <c r="S104" cm="1">
        <f t="array" ref="S104">_xlfn.ANCHORARRAY(R104)+0.15</f>
        <v>7.6400000000000006</v>
      </c>
      <c r="T104" cm="1">
        <f t="array" ref="T104">_xlfn.ANCHORARRAY(I104)+0.15</f>
        <v>1.65</v>
      </c>
      <c r="U104" cm="1">
        <f t="array" ref="U104">_xlfn.ANCHORARRAY(J104)+0.15</f>
        <v>3.15</v>
      </c>
      <c r="V104" cm="1">
        <f t="array" ref="V104">_xlfn.ANCHORARRAY(K104)+0.15</f>
        <v>3.65</v>
      </c>
      <c r="W104">
        <f>TBL_TEV[[#This Row],[Etica Rendita Bilanciata]]</f>
        <v>1.824298</v>
      </c>
      <c r="X104">
        <f>TBL_TEV[[#This Row],[Etica Obbligazionario Breve Termine]]</f>
        <v>0.25081700000000001</v>
      </c>
      <c r="Y104">
        <f>TBL_TEV[[#This Row],[Etica Obbligazionario Misto]]</f>
        <v>1.3336170000000001</v>
      </c>
      <c r="Z104">
        <f>TBL_TEV[[#This Row],[Etica Bilanciato]]</f>
        <v>1.9566920000000001</v>
      </c>
      <c r="AA104">
        <f>TBL_TEV[[#This Row],[Etica Azionario]]</f>
        <v>2.761371</v>
      </c>
      <c r="AB104">
        <f>TBL_TEV[[#This Row],[Etica Transizione Climatica]]</f>
        <v>2.1525829999999999</v>
      </c>
      <c r="AC104">
        <f>TBL_TEV[[#This Row],[Etica Obiettivo Sociale]]</f>
        <v>6.8506282300092725</v>
      </c>
      <c r="AD104">
        <f>TBL_TEV[[#This Row],[Etica Conservative Allocation]]</f>
        <v>0.61926499999999995</v>
      </c>
      <c r="AE104">
        <f>TBL_TEV[[#This Row],[Etica Dynamic Allocation]]</f>
        <v>2.266721</v>
      </c>
      <c r="AF104">
        <f>TBL_TEV[[#This Row],[Etica Global Equity]]</f>
        <v>3.2834829999999999</v>
      </c>
      <c r="AL104">
        <f ca="1"/>
        <v>1.8238220000000001</v>
      </c>
      <c r="AM104">
        <f ca="1"/>
        <v>0.27748600000000001</v>
      </c>
      <c r="AN104">
        <f ca="1"/>
        <v>1.335364</v>
      </c>
      <c r="AO104">
        <f ca="1"/>
        <v>1.9516119999999999</v>
      </c>
      <c r="AP104">
        <f ca="1"/>
        <v>2.7535919999999998</v>
      </c>
      <c r="AQ104">
        <f ca="1"/>
        <v>2.142582</v>
      </c>
      <c r="AR104">
        <f ca="1"/>
        <v>6.8193312983266816</v>
      </c>
      <c r="AS104">
        <f ca="1"/>
        <v>0.62021700000000002</v>
      </c>
      <c r="AT104">
        <f ca="1"/>
        <v>2.2979940000000001</v>
      </c>
      <c r="AU104">
        <f ca="1"/>
        <v>3.2993579999999998</v>
      </c>
    </row>
    <row r="105" spans="1:47">
      <c r="A105" s="43">
        <f>TBL_TEV[[#This Row],[Data2]]</f>
        <v>45439</v>
      </c>
      <c r="B105" cm="1">
        <f t="array" ref="B105">_xlfn.XLOOKUP(_xlfn.ANCHORARRAY(A105), TBL_Limiti_CDA[Data], TBL_Limiti_CDA[Etica Rendita Bilanciata], , -1)</f>
        <v>2.5</v>
      </c>
      <c r="C105" cm="1">
        <f t="array" ref="C105">_xlfn.XLOOKUP(_xlfn.ANCHORARRAY(A105), TBL_Limiti_CDA[Data], TBL_Limiti_CDA[Etica Obbligazionario Breve Termine], , -1)</f>
        <v>0.5</v>
      </c>
      <c r="D105" cm="1">
        <f t="array" ref="D105">_xlfn.XLOOKUP(_xlfn.ANCHORARRAY(A105), TBL_Limiti_CDA[Data], TBL_Limiti_CDA[Etica Obbligazionario Misto], , -1)</f>
        <v>1.5</v>
      </c>
      <c r="E105" cm="1">
        <f t="array" ref="E105">_xlfn.XLOOKUP(_xlfn.ANCHORARRAY(A105), TBL_Limiti_CDA[Data], TBL_Limiti_CDA[Etica Bilanciato], , -1)</f>
        <v>3</v>
      </c>
      <c r="F105" cm="1">
        <f t="array" ref="F105">_xlfn.XLOOKUP(_xlfn.ANCHORARRAY(A105), TBL_Limiti_CDA[Data], TBL_Limiti_CDA[Etica Azionario], , -1)</f>
        <v>3.5</v>
      </c>
      <c r="G105" cm="1">
        <f t="array" ref="G105">_xlfn.XLOOKUP(_xlfn.ANCHORARRAY(A105), TBL_Limiti_CDA[Data], TBL_Limiti_CDA[Etica Transizione Climatica], , -1)</f>
        <v>2.75</v>
      </c>
      <c r="H105" cm="1">
        <f t="array" ref="H105">_xlfn.XLOOKUP(_xlfn.ANCHORARRAY(A105), TBL_Limiti_CDA[Data], TBL_Limiti_CDA[Etica Obiettivo Sociale], , -1)</f>
        <v>7.49</v>
      </c>
      <c r="I105" cm="1">
        <f t="array" ref="I105">_xlfn.XLOOKUP(_xlfn.ANCHORARRAY(A105), TBL_Limiti_CDA[Data], TBL_Limiti_CDA[Etica Conservative Allocation], , -1)</f>
        <v>1.5</v>
      </c>
      <c r="J105" cm="1">
        <f t="array" ref="J105">_xlfn.XLOOKUP(_xlfn.ANCHORARRAY(A105), TBL_Limiti_CDA[Data], TBL_Limiti_CDA[Etica Dynamic Allocation], , -1)</f>
        <v>3</v>
      </c>
      <c r="K105" cm="1">
        <f t="array" ref="K105">_xlfn.XLOOKUP(_xlfn.ANCHORARRAY(A105), TBL_Limiti_CDA[Data], TBL_Limiti_CDA[Etica Global Equity], , -1)</f>
        <v>3.5</v>
      </c>
      <c r="L105" cm="1">
        <f t="array" ref="L105">_xlfn.ANCHORARRAY(B105)+0.15</f>
        <v>2.65</v>
      </c>
      <c r="M105" cm="1">
        <f t="array" ref="M105">_xlfn.ANCHORARRAY(C105)+0.1</f>
        <v>0.6</v>
      </c>
      <c r="N105" cm="1">
        <f t="array" ref="N105">_xlfn.ANCHORARRAY(D105)+0.15</f>
        <v>1.65</v>
      </c>
      <c r="O105" cm="1">
        <f t="array" ref="O105">_xlfn.ANCHORARRAY(E105)+0.15</f>
        <v>3.15</v>
      </c>
      <c r="P105" cm="1">
        <f t="array" ref="P105">_xlfn.ANCHORARRAY(F105)+0.15</f>
        <v>3.65</v>
      </c>
      <c r="Q105" cm="1">
        <f t="array" ref="Q105">_xlfn.ANCHORARRAY(G105)+0.15</f>
        <v>2.9</v>
      </c>
      <c r="R105" cm="1">
        <f t="array" ref="R105">_xlfn.ANCHORARRAY(H105)</f>
        <v>7.49</v>
      </c>
      <c r="S105" cm="1">
        <f t="array" ref="S105">_xlfn.ANCHORARRAY(R105)+0.15</f>
        <v>7.6400000000000006</v>
      </c>
      <c r="T105" cm="1">
        <f t="array" ref="T105">_xlfn.ANCHORARRAY(I105)+0.15</f>
        <v>1.65</v>
      </c>
      <c r="U105" cm="1">
        <f t="array" ref="U105">_xlfn.ANCHORARRAY(J105)+0.15</f>
        <v>3.15</v>
      </c>
      <c r="V105" cm="1">
        <f t="array" ref="V105">_xlfn.ANCHORARRAY(K105)+0.15</f>
        <v>3.65</v>
      </c>
      <c r="W105">
        <f>TBL_TEV[[#This Row],[Etica Rendita Bilanciata]]</f>
        <v>1.8238220000000001</v>
      </c>
      <c r="X105">
        <f>TBL_TEV[[#This Row],[Etica Obbligazionario Breve Termine]]</f>
        <v>0.27748600000000001</v>
      </c>
      <c r="Y105">
        <f>TBL_TEV[[#This Row],[Etica Obbligazionario Misto]]</f>
        <v>1.335364</v>
      </c>
      <c r="Z105">
        <f>TBL_TEV[[#This Row],[Etica Bilanciato]]</f>
        <v>1.9516119999999999</v>
      </c>
      <c r="AA105">
        <f>TBL_TEV[[#This Row],[Etica Azionario]]</f>
        <v>2.7535919999999998</v>
      </c>
      <c r="AB105">
        <f>TBL_TEV[[#This Row],[Etica Transizione Climatica]]</f>
        <v>2.142582</v>
      </c>
      <c r="AC105">
        <f>TBL_TEV[[#This Row],[Etica Obiettivo Sociale]]</f>
        <v>6.8193312983266816</v>
      </c>
      <c r="AD105">
        <f>TBL_TEV[[#This Row],[Etica Conservative Allocation]]</f>
        <v>0.62021700000000002</v>
      </c>
      <c r="AE105">
        <f>TBL_TEV[[#This Row],[Etica Dynamic Allocation]]</f>
        <v>2.2979940000000001</v>
      </c>
      <c r="AF105">
        <f>TBL_TEV[[#This Row],[Etica Global Equity]]</f>
        <v>3.2993579999999998</v>
      </c>
      <c r="AL105">
        <f ca="1"/>
        <v>1.824775</v>
      </c>
      <c r="AM105">
        <f ca="1"/>
        <v>0.27700999999999998</v>
      </c>
      <c r="AN105">
        <f ca="1"/>
        <v>1.3255209999999999</v>
      </c>
      <c r="AO105">
        <f ca="1"/>
        <v>1.9695499999999999</v>
      </c>
      <c r="AP105">
        <f ca="1"/>
        <v>2.78931</v>
      </c>
      <c r="AQ105">
        <f ca="1"/>
        <v>2.207033</v>
      </c>
      <c r="AR105">
        <f ca="1"/>
        <v>6.7077902403307981</v>
      </c>
      <c r="AS105">
        <f ca="1"/>
        <v>0.61593100000000001</v>
      </c>
      <c r="AT105">
        <f ca="1"/>
        <v>2.2810079999999999</v>
      </c>
      <c r="AU105">
        <f ca="1"/>
        <v>3.2901509999999998</v>
      </c>
    </row>
    <row r="106" spans="1:47">
      <c r="A106" s="43">
        <f>TBL_TEV[[#This Row],[Data2]]</f>
        <v>45440</v>
      </c>
      <c r="B106" cm="1">
        <f t="array" ref="B106">_xlfn.XLOOKUP(_xlfn.ANCHORARRAY(A106), TBL_Limiti_CDA[Data], TBL_Limiti_CDA[Etica Rendita Bilanciata], , -1)</f>
        <v>2.5</v>
      </c>
      <c r="C106" cm="1">
        <f t="array" ref="C106">_xlfn.XLOOKUP(_xlfn.ANCHORARRAY(A106), TBL_Limiti_CDA[Data], TBL_Limiti_CDA[Etica Obbligazionario Breve Termine], , -1)</f>
        <v>0.5</v>
      </c>
      <c r="D106" cm="1">
        <f t="array" ref="D106">_xlfn.XLOOKUP(_xlfn.ANCHORARRAY(A106), TBL_Limiti_CDA[Data], TBL_Limiti_CDA[Etica Obbligazionario Misto], , -1)</f>
        <v>1.5</v>
      </c>
      <c r="E106" cm="1">
        <f t="array" ref="E106">_xlfn.XLOOKUP(_xlfn.ANCHORARRAY(A106), TBL_Limiti_CDA[Data], TBL_Limiti_CDA[Etica Bilanciato], , -1)</f>
        <v>3</v>
      </c>
      <c r="F106" cm="1">
        <f t="array" ref="F106">_xlfn.XLOOKUP(_xlfn.ANCHORARRAY(A106), TBL_Limiti_CDA[Data], TBL_Limiti_CDA[Etica Azionario], , -1)</f>
        <v>3.5</v>
      </c>
      <c r="G106" cm="1">
        <f t="array" ref="G106">_xlfn.XLOOKUP(_xlfn.ANCHORARRAY(A106), TBL_Limiti_CDA[Data], TBL_Limiti_CDA[Etica Transizione Climatica], , -1)</f>
        <v>2.75</v>
      </c>
      <c r="H106" cm="1">
        <f t="array" ref="H106">_xlfn.XLOOKUP(_xlfn.ANCHORARRAY(A106), TBL_Limiti_CDA[Data], TBL_Limiti_CDA[Etica Obiettivo Sociale], , -1)</f>
        <v>7.49</v>
      </c>
      <c r="I106" cm="1">
        <f t="array" ref="I106">_xlfn.XLOOKUP(_xlfn.ANCHORARRAY(A106), TBL_Limiti_CDA[Data], TBL_Limiti_CDA[Etica Conservative Allocation], , -1)</f>
        <v>1.5</v>
      </c>
      <c r="J106" cm="1">
        <f t="array" ref="J106">_xlfn.XLOOKUP(_xlfn.ANCHORARRAY(A106), TBL_Limiti_CDA[Data], TBL_Limiti_CDA[Etica Dynamic Allocation], , -1)</f>
        <v>3</v>
      </c>
      <c r="K106" cm="1">
        <f t="array" ref="K106">_xlfn.XLOOKUP(_xlfn.ANCHORARRAY(A106), TBL_Limiti_CDA[Data], TBL_Limiti_CDA[Etica Global Equity], , -1)</f>
        <v>3.5</v>
      </c>
      <c r="L106" cm="1">
        <f t="array" ref="L106">_xlfn.ANCHORARRAY(B106)+0.15</f>
        <v>2.65</v>
      </c>
      <c r="M106" cm="1">
        <f t="array" ref="M106">_xlfn.ANCHORARRAY(C106)+0.1</f>
        <v>0.6</v>
      </c>
      <c r="N106" cm="1">
        <f t="array" ref="N106">_xlfn.ANCHORARRAY(D106)+0.15</f>
        <v>1.65</v>
      </c>
      <c r="O106" cm="1">
        <f t="array" ref="O106">_xlfn.ANCHORARRAY(E106)+0.15</f>
        <v>3.15</v>
      </c>
      <c r="P106" cm="1">
        <f t="array" ref="P106">_xlfn.ANCHORARRAY(F106)+0.15</f>
        <v>3.65</v>
      </c>
      <c r="Q106" cm="1">
        <f t="array" ref="Q106">_xlfn.ANCHORARRAY(G106)+0.15</f>
        <v>2.9</v>
      </c>
      <c r="R106" cm="1">
        <f t="array" ref="R106">_xlfn.ANCHORARRAY(H106)</f>
        <v>7.49</v>
      </c>
      <c r="S106" cm="1">
        <f t="array" ref="S106">_xlfn.ANCHORARRAY(R106)+0.15</f>
        <v>7.6400000000000006</v>
      </c>
      <c r="T106" cm="1">
        <f t="array" ref="T106">_xlfn.ANCHORARRAY(I106)+0.15</f>
        <v>1.65</v>
      </c>
      <c r="U106" cm="1">
        <f t="array" ref="U106">_xlfn.ANCHORARRAY(J106)+0.15</f>
        <v>3.15</v>
      </c>
      <c r="V106" cm="1">
        <f t="array" ref="V106">_xlfn.ANCHORARRAY(K106)+0.15</f>
        <v>3.65</v>
      </c>
      <c r="W106">
        <f>TBL_TEV[[#This Row],[Etica Rendita Bilanciata]]</f>
        <v>1.824775</v>
      </c>
      <c r="X106">
        <f>TBL_TEV[[#This Row],[Etica Obbligazionario Breve Termine]]</f>
        <v>0.27700999999999998</v>
      </c>
      <c r="Y106">
        <f>TBL_TEV[[#This Row],[Etica Obbligazionario Misto]]</f>
        <v>1.3255209999999999</v>
      </c>
      <c r="Z106">
        <f>TBL_TEV[[#This Row],[Etica Bilanciato]]</f>
        <v>1.9695499999999999</v>
      </c>
      <c r="AA106">
        <f>TBL_TEV[[#This Row],[Etica Azionario]]</f>
        <v>2.78931</v>
      </c>
      <c r="AB106">
        <f>TBL_TEV[[#This Row],[Etica Transizione Climatica]]</f>
        <v>2.207033</v>
      </c>
      <c r="AC106">
        <f>TBL_TEV[[#This Row],[Etica Obiettivo Sociale]]</f>
        <v>6.7077902403307981</v>
      </c>
      <c r="AD106">
        <f>TBL_TEV[[#This Row],[Etica Conservative Allocation]]</f>
        <v>0.61593100000000001</v>
      </c>
      <c r="AE106">
        <f>TBL_TEV[[#This Row],[Etica Dynamic Allocation]]</f>
        <v>2.2810079999999999</v>
      </c>
      <c r="AF106">
        <f>TBL_TEV[[#This Row],[Etica Global Equity]]</f>
        <v>3.2901509999999998</v>
      </c>
      <c r="AL106">
        <f ca="1"/>
        <v>1.8257270000000001</v>
      </c>
      <c r="AM106">
        <f ca="1"/>
        <v>0.27542299999999997</v>
      </c>
      <c r="AN106">
        <f ca="1"/>
        <v>1.3237749999999999</v>
      </c>
      <c r="AO106">
        <f ca="1"/>
        <v>1.9658990000000001</v>
      </c>
      <c r="AP106">
        <f ca="1"/>
        <v>2.778991</v>
      </c>
      <c r="AQ106">
        <f ca="1"/>
        <v>2.221479</v>
      </c>
      <c r="AR106">
        <f ca="1"/>
        <v>6.7527393878549518</v>
      </c>
      <c r="AS106">
        <f ca="1"/>
        <v>0.61164499999999999</v>
      </c>
      <c r="AT106">
        <f ca="1"/>
        <v>2.2640220000000002</v>
      </c>
      <c r="AU106">
        <f ca="1"/>
        <v>3.2809439999999999</v>
      </c>
    </row>
    <row r="107" spans="1:47">
      <c r="A107" s="43">
        <f>TBL_TEV[[#This Row],[Data2]]</f>
        <v>45441</v>
      </c>
      <c r="B107" cm="1">
        <f t="array" ref="B107">_xlfn.XLOOKUP(_xlfn.ANCHORARRAY(A107), TBL_Limiti_CDA[Data], TBL_Limiti_CDA[Etica Rendita Bilanciata], , -1)</f>
        <v>2.5</v>
      </c>
      <c r="C107" cm="1">
        <f t="array" ref="C107">_xlfn.XLOOKUP(_xlfn.ANCHORARRAY(A107), TBL_Limiti_CDA[Data], TBL_Limiti_CDA[Etica Obbligazionario Breve Termine], , -1)</f>
        <v>0.5</v>
      </c>
      <c r="D107" cm="1">
        <f t="array" ref="D107">_xlfn.XLOOKUP(_xlfn.ANCHORARRAY(A107), TBL_Limiti_CDA[Data], TBL_Limiti_CDA[Etica Obbligazionario Misto], , -1)</f>
        <v>1.5</v>
      </c>
      <c r="E107" cm="1">
        <f t="array" ref="E107">_xlfn.XLOOKUP(_xlfn.ANCHORARRAY(A107), TBL_Limiti_CDA[Data], TBL_Limiti_CDA[Etica Bilanciato], , -1)</f>
        <v>3</v>
      </c>
      <c r="F107" cm="1">
        <f t="array" ref="F107">_xlfn.XLOOKUP(_xlfn.ANCHORARRAY(A107), TBL_Limiti_CDA[Data], TBL_Limiti_CDA[Etica Azionario], , -1)</f>
        <v>3.5</v>
      </c>
      <c r="G107" cm="1">
        <f t="array" ref="G107">_xlfn.XLOOKUP(_xlfn.ANCHORARRAY(A107), TBL_Limiti_CDA[Data], TBL_Limiti_CDA[Etica Transizione Climatica], , -1)</f>
        <v>2.75</v>
      </c>
      <c r="H107" cm="1">
        <f t="array" ref="H107">_xlfn.XLOOKUP(_xlfn.ANCHORARRAY(A107), TBL_Limiti_CDA[Data], TBL_Limiti_CDA[Etica Obiettivo Sociale], , -1)</f>
        <v>7.49</v>
      </c>
      <c r="I107" cm="1">
        <f t="array" ref="I107">_xlfn.XLOOKUP(_xlfn.ANCHORARRAY(A107), TBL_Limiti_CDA[Data], TBL_Limiti_CDA[Etica Conservative Allocation], , -1)</f>
        <v>1.5</v>
      </c>
      <c r="J107" cm="1">
        <f t="array" ref="J107">_xlfn.XLOOKUP(_xlfn.ANCHORARRAY(A107), TBL_Limiti_CDA[Data], TBL_Limiti_CDA[Etica Dynamic Allocation], , -1)</f>
        <v>3</v>
      </c>
      <c r="K107" cm="1">
        <f t="array" ref="K107">_xlfn.XLOOKUP(_xlfn.ANCHORARRAY(A107), TBL_Limiti_CDA[Data], TBL_Limiti_CDA[Etica Global Equity], , -1)</f>
        <v>3.5</v>
      </c>
      <c r="L107" cm="1">
        <f t="array" ref="L107">_xlfn.ANCHORARRAY(B107)+0.15</f>
        <v>2.65</v>
      </c>
      <c r="M107" cm="1">
        <f t="array" ref="M107">_xlfn.ANCHORARRAY(C107)+0.1</f>
        <v>0.6</v>
      </c>
      <c r="N107" cm="1">
        <f t="array" ref="N107">_xlfn.ANCHORARRAY(D107)+0.15</f>
        <v>1.65</v>
      </c>
      <c r="O107" cm="1">
        <f t="array" ref="O107">_xlfn.ANCHORARRAY(E107)+0.15</f>
        <v>3.15</v>
      </c>
      <c r="P107" cm="1">
        <f t="array" ref="P107">_xlfn.ANCHORARRAY(F107)+0.15</f>
        <v>3.65</v>
      </c>
      <c r="Q107" cm="1">
        <f t="array" ref="Q107">_xlfn.ANCHORARRAY(G107)+0.15</f>
        <v>2.9</v>
      </c>
      <c r="R107" cm="1">
        <f t="array" ref="R107">_xlfn.ANCHORARRAY(H107)</f>
        <v>7.49</v>
      </c>
      <c r="S107" cm="1">
        <f t="array" ref="S107">_xlfn.ANCHORARRAY(R107)+0.15</f>
        <v>7.6400000000000006</v>
      </c>
      <c r="T107" cm="1">
        <f t="array" ref="T107">_xlfn.ANCHORARRAY(I107)+0.15</f>
        <v>1.65</v>
      </c>
      <c r="U107" cm="1">
        <f t="array" ref="U107">_xlfn.ANCHORARRAY(J107)+0.15</f>
        <v>3.15</v>
      </c>
      <c r="V107" cm="1">
        <f t="array" ref="V107">_xlfn.ANCHORARRAY(K107)+0.15</f>
        <v>3.65</v>
      </c>
      <c r="W107">
        <f>TBL_TEV[[#This Row],[Etica Rendita Bilanciata]]</f>
        <v>1.8257270000000001</v>
      </c>
      <c r="X107">
        <f>TBL_TEV[[#This Row],[Etica Obbligazionario Breve Termine]]</f>
        <v>0.27542299999999997</v>
      </c>
      <c r="Y107">
        <f>TBL_TEV[[#This Row],[Etica Obbligazionario Misto]]</f>
        <v>1.3237749999999999</v>
      </c>
      <c r="Z107">
        <f>TBL_TEV[[#This Row],[Etica Bilanciato]]</f>
        <v>1.9658990000000001</v>
      </c>
      <c r="AA107">
        <f>TBL_TEV[[#This Row],[Etica Azionario]]</f>
        <v>2.778991</v>
      </c>
      <c r="AB107">
        <f>TBL_TEV[[#This Row],[Etica Transizione Climatica]]</f>
        <v>2.221479</v>
      </c>
      <c r="AC107">
        <f>TBL_TEV[[#This Row],[Etica Obiettivo Sociale]]</f>
        <v>6.7527393878549518</v>
      </c>
      <c r="AD107">
        <f>TBL_TEV[[#This Row],[Etica Conservative Allocation]]</f>
        <v>0.61164499999999999</v>
      </c>
      <c r="AE107">
        <f>TBL_TEV[[#This Row],[Etica Dynamic Allocation]]</f>
        <v>2.2640220000000002</v>
      </c>
      <c r="AF107">
        <f>TBL_TEV[[#This Row],[Etica Global Equity]]</f>
        <v>3.2809439999999999</v>
      </c>
      <c r="AL107">
        <f ca="1"/>
        <v>1.820171</v>
      </c>
      <c r="AM107">
        <f ca="1"/>
        <v>0.273835</v>
      </c>
      <c r="AN107">
        <f ca="1"/>
        <v>1.3271090000000001</v>
      </c>
      <c r="AO107">
        <f ca="1"/>
        <v>1.945262</v>
      </c>
      <c r="AP107">
        <f ca="1"/>
        <v>2.7505760000000001</v>
      </c>
      <c r="AQ107">
        <f ca="1"/>
        <v>2.1875070000000001</v>
      </c>
      <c r="AR107">
        <f ca="1"/>
        <v>6.7373004919101787</v>
      </c>
      <c r="AS107">
        <f ca="1"/>
        <v>0.60735899999999998</v>
      </c>
      <c r="AT107">
        <f ca="1"/>
        <v>2.247036</v>
      </c>
      <c r="AU107">
        <f ca="1"/>
        <v>3.2717369999999999</v>
      </c>
    </row>
    <row r="108" spans="1:47">
      <c r="A108" s="43">
        <f>TBL_TEV[[#This Row],[Data2]]</f>
        <v>45442</v>
      </c>
      <c r="B108" cm="1">
        <f t="array" ref="B108">_xlfn.XLOOKUP(_xlfn.ANCHORARRAY(A108), TBL_Limiti_CDA[Data], TBL_Limiti_CDA[Etica Rendita Bilanciata], , -1)</f>
        <v>2.5</v>
      </c>
      <c r="C108" cm="1">
        <f t="array" ref="C108">_xlfn.XLOOKUP(_xlfn.ANCHORARRAY(A108), TBL_Limiti_CDA[Data], TBL_Limiti_CDA[Etica Obbligazionario Breve Termine], , -1)</f>
        <v>0.5</v>
      </c>
      <c r="D108" cm="1">
        <f t="array" ref="D108">_xlfn.XLOOKUP(_xlfn.ANCHORARRAY(A108), TBL_Limiti_CDA[Data], TBL_Limiti_CDA[Etica Obbligazionario Misto], , -1)</f>
        <v>1.5</v>
      </c>
      <c r="E108" cm="1">
        <f t="array" ref="E108">_xlfn.XLOOKUP(_xlfn.ANCHORARRAY(A108), TBL_Limiti_CDA[Data], TBL_Limiti_CDA[Etica Bilanciato], , -1)</f>
        <v>3</v>
      </c>
      <c r="F108" cm="1">
        <f t="array" ref="F108">_xlfn.XLOOKUP(_xlfn.ANCHORARRAY(A108), TBL_Limiti_CDA[Data], TBL_Limiti_CDA[Etica Azionario], , -1)</f>
        <v>3.5</v>
      </c>
      <c r="G108" cm="1">
        <f t="array" ref="G108">_xlfn.XLOOKUP(_xlfn.ANCHORARRAY(A108), TBL_Limiti_CDA[Data], TBL_Limiti_CDA[Etica Transizione Climatica], , -1)</f>
        <v>2.75</v>
      </c>
      <c r="H108" cm="1">
        <f t="array" ref="H108">_xlfn.XLOOKUP(_xlfn.ANCHORARRAY(A108), TBL_Limiti_CDA[Data], TBL_Limiti_CDA[Etica Obiettivo Sociale], , -1)</f>
        <v>7.49</v>
      </c>
      <c r="I108" cm="1">
        <f t="array" ref="I108">_xlfn.XLOOKUP(_xlfn.ANCHORARRAY(A108), TBL_Limiti_CDA[Data], TBL_Limiti_CDA[Etica Conservative Allocation], , -1)</f>
        <v>1.5</v>
      </c>
      <c r="J108" cm="1">
        <f t="array" ref="J108">_xlfn.XLOOKUP(_xlfn.ANCHORARRAY(A108), TBL_Limiti_CDA[Data], TBL_Limiti_CDA[Etica Dynamic Allocation], , -1)</f>
        <v>3</v>
      </c>
      <c r="K108" cm="1">
        <f t="array" ref="K108">_xlfn.XLOOKUP(_xlfn.ANCHORARRAY(A108), TBL_Limiti_CDA[Data], TBL_Limiti_CDA[Etica Global Equity], , -1)</f>
        <v>3.5</v>
      </c>
      <c r="L108" cm="1">
        <f t="array" ref="L108">_xlfn.ANCHORARRAY(B108)+0.15</f>
        <v>2.65</v>
      </c>
      <c r="M108" cm="1">
        <f t="array" ref="M108">_xlfn.ANCHORARRAY(C108)+0.1</f>
        <v>0.6</v>
      </c>
      <c r="N108" cm="1">
        <f t="array" ref="N108">_xlfn.ANCHORARRAY(D108)+0.15</f>
        <v>1.65</v>
      </c>
      <c r="O108" cm="1">
        <f t="array" ref="O108">_xlfn.ANCHORARRAY(E108)+0.15</f>
        <v>3.15</v>
      </c>
      <c r="P108" cm="1">
        <f t="array" ref="P108">_xlfn.ANCHORARRAY(F108)+0.15</f>
        <v>3.65</v>
      </c>
      <c r="Q108" cm="1">
        <f t="array" ref="Q108">_xlfn.ANCHORARRAY(G108)+0.15</f>
        <v>2.9</v>
      </c>
      <c r="R108" cm="1">
        <f t="array" ref="R108">_xlfn.ANCHORARRAY(H108)</f>
        <v>7.49</v>
      </c>
      <c r="S108" cm="1">
        <f t="array" ref="S108">_xlfn.ANCHORARRAY(R108)+0.15</f>
        <v>7.6400000000000006</v>
      </c>
      <c r="T108" cm="1">
        <f t="array" ref="T108">_xlfn.ANCHORARRAY(I108)+0.15</f>
        <v>1.65</v>
      </c>
      <c r="U108" cm="1">
        <f t="array" ref="U108">_xlfn.ANCHORARRAY(J108)+0.15</f>
        <v>3.15</v>
      </c>
      <c r="V108" cm="1">
        <f t="array" ref="V108">_xlfn.ANCHORARRAY(K108)+0.15</f>
        <v>3.65</v>
      </c>
      <c r="W108">
        <f>TBL_TEV[[#This Row],[Etica Rendita Bilanciata]]</f>
        <v>1.820171</v>
      </c>
      <c r="X108">
        <f>TBL_TEV[[#This Row],[Etica Obbligazionario Breve Termine]]</f>
        <v>0.273835</v>
      </c>
      <c r="Y108">
        <f>TBL_TEV[[#This Row],[Etica Obbligazionario Misto]]</f>
        <v>1.3271090000000001</v>
      </c>
      <c r="Z108">
        <f>TBL_TEV[[#This Row],[Etica Bilanciato]]</f>
        <v>1.945262</v>
      </c>
      <c r="AA108">
        <f>TBL_TEV[[#This Row],[Etica Azionario]]</f>
        <v>2.7505760000000001</v>
      </c>
      <c r="AB108">
        <f>TBL_TEV[[#This Row],[Etica Transizione Climatica]]</f>
        <v>2.1875070000000001</v>
      </c>
      <c r="AC108">
        <f>TBL_TEV[[#This Row],[Etica Obiettivo Sociale]]</f>
        <v>6.7373004919101787</v>
      </c>
      <c r="AD108">
        <f>TBL_TEV[[#This Row],[Etica Conservative Allocation]]</f>
        <v>0.60735899999999998</v>
      </c>
      <c r="AE108">
        <f>TBL_TEV[[#This Row],[Etica Dynamic Allocation]]</f>
        <v>2.247036</v>
      </c>
      <c r="AF108">
        <f>TBL_TEV[[#This Row],[Etica Global Equity]]</f>
        <v>3.2717369999999999</v>
      </c>
      <c r="AL108">
        <f ca="1"/>
        <v>1.7915970000000001</v>
      </c>
      <c r="AM108">
        <f ca="1"/>
        <v>0.32320500000000002</v>
      </c>
      <c r="AN108">
        <f ca="1"/>
        <v>1.284089</v>
      </c>
      <c r="AO108">
        <f ca="1"/>
        <v>1.9516119999999999</v>
      </c>
      <c r="AP108">
        <f ca="1"/>
        <v>2.733908</v>
      </c>
      <c r="AQ108">
        <f ca="1"/>
        <v>2.1597270000000002</v>
      </c>
      <c r="AR108">
        <f ca="1"/>
        <v>6.702355283125125</v>
      </c>
      <c r="AS108">
        <f ca="1"/>
        <v>0.60307299999999997</v>
      </c>
      <c r="AT108">
        <f ca="1"/>
        <v>2.2300499999999999</v>
      </c>
      <c r="AU108">
        <f ca="1"/>
        <v>3.2625299999999999</v>
      </c>
    </row>
    <row r="109" spans="1:47">
      <c r="A109" s="43">
        <f>TBL_TEV[[#This Row],[Data2]]</f>
        <v>45443</v>
      </c>
      <c r="B109" cm="1">
        <f t="array" ref="B109">_xlfn.XLOOKUP(_xlfn.ANCHORARRAY(A109), TBL_Limiti_CDA[Data], TBL_Limiti_CDA[Etica Rendita Bilanciata], , -1)</f>
        <v>2.5</v>
      </c>
      <c r="C109" cm="1">
        <f t="array" ref="C109">_xlfn.XLOOKUP(_xlfn.ANCHORARRAY(A109), TBL_Limiti_CDA[Data], TBL_Limiti_CDA[Etica Obbligazionario Breve Termine], , -1)</f>
        <v>0.5</v>
      </c>
      <c r="D109" cm="1">
        <f t="array" ref="D109">_xlfn.XLOOKUP(_xlfn.ANCHORARRAY(A109), TBL_Limiti_CDA[Data], TBL_Limiti_CDA[Etica Obbligazionario Misto], , -1)</f>
        <v>1.5</v>
      </c>
      <c r="E109" cm="1">
        <f t="array" ref="E109">_xlfn.XLOOKUP(_xlfn.ANCHORARRAY(A109), TBL_Limiti_CDA[Data], TBL_Limiti_CDA[Etica Bilanciato], , -1)</f>
        <v>3</v>
      </c>
      <c r="F109" cm="1">
        <f t="array" ref="F109">_xlfn.XLOOKUP(_xlfn.ANCHORARRAY(A109), TBL_Limiti_CDA[Data], TBL_Limiti_CDA[Etica Azionario], , -1)</f>
        <v>3.5</v>
      </c>
      <c r="G109" cm="1">
        <f t="array" ref="G109">_xlfn.XLOOKUP(_xlfn.ANCHORARRAY(A109), TBL_Limiti_CDA[Data], TBL_Limiti_CDA[Etica Transizione Climatica], , -1)</f>
        <v>2.75</v>
      </c>
      <c r="H109" cm="1">
        <f t="array" ref="H109">_xlfn.XLOOKUP(_xlfn.ANCHORARRAY(A109), TBL_Limiti_CDA[Data], TBL_Limiti_CDA[Etica Obiettivo Sociale], , -1)</f>
        <v>7.49</v>
      </c>
      <c r="I109" cm="1">
        <f t="array" ref="I109">_xlfn.XLOOKUP(_xlfn.ANCHORARRAY(A109), TBL_Limiti_CDA[Data], TBL_Limiti_CDA[Etica Conservative Allocation], , -1)</f>
        <v>1.5</v>
      </c>
      <c r="J109" cm="1">
        <f t="array" ref="J109">_xlfn.XLOOKUP(_xlfn.ANCHORARRAY(A109), TBL_Limiti_CDA[Data], TBL_Limiti_CDA[Etica Dynamic Allocation], , -1)</f>
        <v>3</v>
      </c>
      <c r="K109" cm="1">
        <f t="array" ref="K109">_xlfn.XLOOKUP(_xlfn.ANCHORARRAY(A109), TBL_Limiti_CDA[Data], TBL_Limiti_CDA[Etica Global Equity], , -1)</f>
        <v>3.5</v>
      </c>
      <c r="L109" cm="1">
        <f t="array" ref="L109">_xlfn.ANCHORARRAY(B109)+0.15</f>
        <v>2.65</v>
      </c>
      <c r="M109" cm="1">
        <f t="array" ref="M109">_xlfn.ANCHORARRAY(C109)+0.1</f>
        <v>0.6</v>
      </c>
      <c r="N109" cm="1">
        <f t="array" ref="N109">_xlfn.ANCHORARRAY(D109)+0.15</f>
        <v>1.65</v>
      </c>
      <c r="O109" cm="1">
        <f t="array" ref="O109">_xlfn.ANCHORARRAY(E109)+0.15</f>
        <v>3.15</v>
      </c>
      <c r="P109" cm="1">
        <f t="array" ref="P109">_xlfn.ANCHORARRAY(F109)+0.15</f>
        <v>3.65</v>
      </c>
      <c r="Q109" cm="1">
        <f t="array" ref="Q109">_xlfn.ANCHORARRAY(G109)+0.15</f>
        <v>2.9</v>
      </c>
      <c r="R109" cm="1">
        <f t="array" ref="R109">_xlfn.ANCHORARRAY(H109)</f>
        <v>7.49</v>
      </c>
      <c r="S109" cm="1">
        <f t="array" ref="S109">_xlfn.ANCHORARRAY(R109)+0.15</f>
        <v>7.6400000000000006</v>
      </c>
      <c r="T109" cm="1">
        <f t="array" ref="T109">_xlfn.ANCHORARRAY(I109)+0.15</f>
        <v>1.65</v>
      </c>
      <c r="U109" cm="1">
        <f t="array" ref="U109">_xlfn.ANCHORARRAY(J109)+0.15</f>
        <v>3.15</v>
      </c>
      <c r="V109" cm="1">
        <f t="array" ref="V109">_xlfn.ANCHORARRAY(K109)+0.15</f>
        <v>3.65</v>
      </c>
      <c r="W109">
        <f>TBL_TEV[[#This Row],[Etica Rendita Bilanciata]]</f>
        <v>1.7915970000000001</v>
      </c>
      <c r="X109">
        <f>TBL_TEV[[#This Row],[Etica Obbligazionario Breve Termine]]</f>
        <v>0.32320500000000002</v>
      </c>
      <c r="Y109">
        <f>TBL_TEV[[#This Row],[Etica Obbligazionario Misto]]</f>
        <v>1.284089</v>
      </c>
      <c r="Z109">
        <f>TBL_TEV[[#This Row],[Etica Bilanciato]]</f>
        <v>1.9516119999999999</v>
      </c>
      <c r="AA109">
        <f>TBL_TEV[[#This Row],[Etica Azionario]]</f>
        <v>2.733908</v>
      </c>
      <c r="AB109">
        <f>TBL_TEV[[#This Row],[Etica Transizione Climatica]]</f>
        <v>2.1597270000000002</v>
      </c>
      <c r="AC109">
        <f>TBL_TEV[[#This Row],[Etica Obiettivo Sociale]]</f>
        <v>6.702355283125125</v>
      </c>
      <c r="AD109">
        <f>TBL_TEV[[#This Row],[Etica Conservative Allocation]]</f>
        <v>0.60307299999999997</v>
      </c>
      <c r="AE109">
        <f>TBL_TEV[[#This Row],[Etica Dynamic Allocation]]</f>
        <v>2.2300499999999999</v>
      </c>
      <c r="AF109">
        <f>TBL_TEV[[#This Row],[Etica Global Equity]]</f>
        <v>3.2625299999999999</v>
      </c>
      <c r="AL109">
        <f ca="1"/>
        <v>1.829696</v>
      </c>
      <c r="AM109">
        <f ca="1"/>
        <v>0.32828499999999999</v>
      </c>
      <c r="AN109">
        <f ca="1"/>
        <v>1.297582</v>
      </c>
      <c r="AO109">
        <f ca="1"/>
        <v>2.0255869999999998</v>
      </c>
      <c r="AP109">
        <f ca="1"/>
        <v>2.8505850000000001</v>
      </c>
      <c r="AQ109">
        <f ca="1"/>
        <v>2.1927460000000001</v>
      </c>
      <c r="AR109">
        <f ca="1"/>
        <v>6.7132743148718665</v>
      </c>
      <c r="AS109">
        <f ca="1"/>
        <v>0.59878699999999996</v>
      </c>
      <c r="AT109">
        <f ca="1"/>
        <v>2.2130640000000001</v>
      </c>
      <c r="AU109">
        <f ca="1"/>
        <v>3.253323</v>
      </c>
    </row>
    <row r="110" spans="1:47">
      <c r="A110" s="43">
        <f>TBL_TEV[[#This Row],[Data2]]</f>
        <v>45446</v>
      </c>
      <c r="B110" cm="1">
        <f t="array" ref="B110">_xlfn.XLOOKUP(_xlfn.ANCHORARRAY(A110), TBL_Limiti_CDA[Data], TBL_Limiti_CDA[Etica Rendita Bilanciata], , -1)</f>
        <v>2.5</v>
      </c>
      <c r="C110" cm="1">
        <f t="array" ref="C110">_xlfn.XLOOKUP(_xlfn.ANCHORARRAY(A110), TBL_Limiti_CDA[Data], TBL_Limiti_CDA[Etica Obbligazionario Breve Termine], , -1)</f>
        <v>0.5</v>
      </c>
      <c r="D110" cm="1">
        <f t="array" ref="D110">_xlfn.XLOOKUP(_xlfn.ANCHORARRAY(A110), TBL_Limiti_CDA[Data], TBL_Limiti_CDA[Etica Obbligazionario Misto], , -1)</f>
        <v>1.5</v>
      </c>
      <c r="E110" cm="1">
        <f t="array" ref="E110">_xlfn.XLOOKUP(_xlfn.ANCHORARRAY(A110), TBL_Limiti_CDA[Data], TBL_Limiti_CDA[Etica Bilanciato], , -1)</f>
        <v>3</v>
      </c>
      <c r="F110" cm="1">
        <f t="array" ref="F110">_xlfn.XLOOKUP(_xlfn.ANCHORARRAY(A110), TBL_Limiti_CDA[Data], TBL_Limiti_CDA[Etica Azionario], , -1)</f>
        <v>3.5</v>
      </c>
      <c r="G110" cm="1">
        <f t="array" ref="G110">_xlfn.XLOOKUP(_xlfn.ANCHORARRAY(A110), TBL_Limiti_CDA[Data], TBL_Limiti_CDA[Etica Transizione Climatica], , -1)</f>
        <v>2.75</v>
      </c>
      <c r="H110" cm="1">
        <f t="array" ref="H110">_xlfn.XLOOKUP(_xlfn.ANCHORARRAY(A110), TBL_Limiti_CDA[Data], TBL_Limiti_CDA[Etica Obiettivo Sociale], , -1)</f>
        <v>7.49</v>
      </c>
      <c r="I110" cm="1">
        <f t="array" ref="I110">_xlfn.XLOOKUP(_xlfn.ANCHORARRAY(A110), TBL_Limiti_CDA[Data], TBL_Limiti_CDA[Etica Conservative Allocation], , -1)</f>
        <v>1.5</v>
      </c>
      <c r="J110" cm="1">
        <f t="array" ref="J110">_xlfn.XLOOKUP(_xlfn.ANCHORARRAY(A110), TBL_Limiti_CDA[Data], TBL_Limiti_CDA[Etica Dynamic Allocation], , -1)</f>
        <v>3</v>
      </c>
      <c r="K110" cm="1">
        <f t="array" ref="K110">_xlfn.XLOOKUP(_xlfn.ANCHORARRAY(A110), TBL_Limiti_CDA[Data], TBL_Limiti_CDA[Etica Global Equity], , -1)</f>
        <v>3.5</v>
      </c>
      <c r="L110" cm="1">
        <f t="array" ref="L110">_xlfn.ANCHORARRAY(B110)+0.15</f>
        <v>2.65</v>
      </c>
      <c r="M110" cm="1">
        <f t="array" ref="M110">_xlfn.ANCHORARRAY(C110)+0.1</f>
        <v>0.6</v>
      </c>
      <c r="N110" cm="1">
        <f t="array" ref="N110">_xlfn.ANCHORARRAY(D110)+0.15</f>
        <v>1.65</v>
      </c>
      <c r="O110" cm="1">
        <f t="array" ref="O110">_xlfn.ANCHORARRAY(E110)+0.15</f>
        <v>3.15</v>
      </c>
      <c r="P110" cm="1">
        <f t="array" ref="P110">_xlfn.ANCHORARRAY(F110)+0.15</f>
        <v>3.65</v>
      </c>
      <c r="Q110" cm="1">
        <f t="array" ref="Q110">_xlfn.ANCHORARRAY(G110)+0.15</f>
        <v>2.9</v>
      </c>
      <c r="R110" cm="1">
        <f t="array" ref="R110">_xlfn.ANCHORARRAY(H110)</f>
        <v>7.49</v>
      </c>
      <c r="S110" cm="1">
        <f t="array" ref="S110">_xlfn.ANCHORARRAY(R110)+0.15</f>
        <v>7.6400000000000006</v>
      </c>
      <c r="T110" cm="1">
        <f t="array" ref="T110">_xlfn.ANCHORARRAY(I110)+0.15</f>
        <v>1.65</v>
      </c>
      <c r="U110" cm="1">
        <f t="array" ref="U110">_xlfn.ANCHORARRAY(J110)+0.15</f>
        <v>3.15</v>
      </c>
      <c r="V110" cm="1">
        <f t="array" ref="V110">_xlfn.ANCHORARRAY(K110)+0.15</f>
        <v>3.65</v>
      </c>
      <c r="W110">
        <f>TBL_TEV[[#This Row],[Etica Rendita Bilanciata]]</f>
        <v>1.829696</v>
      </c>
      <c r="X110">
        <f>TBL_TEV[[#This Row],[Etica Obbligazionario Breve Termine]]</f>
        <v>0.32828499999999999</v>
      </c>
      <c r="Y110">
        <f>TBL_TEV[[#This Row],[Etica Obbligazionario Misto]]</f>
        <v>1.297582</v>
      </c>
      <c r="Z110">
        <f>TBL_TEV[[#This Row],[Etica Bilanciato]]</f>
        <v>2.0255869999999998</v>
      </c>
      <c r="AA110">
        <f>TBL_TEV[[#This Row],[Etica Azionario]]</f>
        <v>2.8505850000000001</v>
      </c>
      <c r="AB110">
        <f>TBL_TEV[[#This Row],[Etica Transizione Climatica]]</f>
        <v>2.1927460000000001</v>
      </c>
      <c r="AC110">
        <f>TBL_TEV[[#This Row],[Etica Obiettivo Sociale]]</f>
        <v>6.7132743148718665</v>
      </c>
      <c r="AD110">
        <f>TBL_TEV[[#This Row],[Etica Conservative Allocation]]</f>
        <v>0.59878699999999996</v>
      </c>
      <c r="AE110">
        <f>TBL_TEV[[#This Row],[Etica Dynamic Allocation]]</f>
        <v>2.2130640000000001</v>
      </c>
      <c r="AF110">
        <f>TBL_TEV[[#This Row],[Etica Global Equity]]</f>
        <v>3.253323</v>
      </c>
      <c r="AL110">
        <f ca="1"/>
        <v>1.8208059999999999</v>
      </c>
      <c r="AM110">
        <f ca="1"/>
        <v>0.32669700000000002</v>
      </c>
      <c r="AN110">
        <f ca="1"/>
        <v>1.28901</v>
      </c>
      <c r="AO110">
        <f ca="1"/>
        <v>2.0319370000000001</v>
      </c>
      <c r="AP110">
        <f ca="1"/>
        <v>2.8836040000000001</v>
      </c>
      <c r="AQ110">
        <f ca="1"/>
        <v>2.207668</v>
      </c>
      <c r="AR110">
        <f ca="1"/>
        <v>6.791708940572696</v>
      </c>
      <c r="AS110">
        <f ca="1"/>
        <v>0.59450099999999995</v>
      </c>
      <c r="AT110">
        <f ca="1"/>
        <v>2.196078</v>
      </c>
      <c r="AU110">
        <f ca="1"/>
        <v>3.244116</v>
      </c>
    </row>
    <row r="111" spans="1:47">
      <c r="A111" s="43">
        <f>TBL_TEV[[#This Row],[Data2]]</f>
        <v>45447</v>
      </c>
      <c r="B111" cm="1">
        <f t="array" ref="B111">_xlfn.XLOOKUP(_xlfn.ANCHORARRAY(A111), TBL_Limiti_CDA[Data], TBL_Limiti_CDA[Etica Rendita Bilanciata], , -1)</f>
        <v>2.5</v>
      </c>
      <c r="C111" cm="1">
        <f t="array" ref="C111">_xlfn.XLOOKUP(_xlfn.ANCHORARRAY(A111), TBL_Limiti_CDA[Data], TBL_Limiti_CDA[Etica Obbligazionario Breve Termine], , -1)</f>
        <v>0.5</v>
      </c>
      <c r="D111" cm="1">
        <f t="array" ref="D111">_xlfn.XLOOKUP(_xlfn.ANCHORARRAY(A111), TBL_Limiti_CDA[Data], TBL_Limiti_CDA[Etica Obbligazionario Misto], , -1)</f>
        <v>1.5</v>
      </c>
      <c r="E111" cm="1">
        <f t="array" ref="E111">_xlfn.XLOOKUP(_xlfn.ANCHORARRAY(A111), TBL_Limiti_CDA[Data], TBL_Limiti_CDA[Etica Bilanciato], , -1)</f>
        <v>3</v>
      </c>
      <c r="F111" cm="1">
        <f t="array" ref="F111">_xlfn.XLOOKUP(_xlfn.ANCHORARRAY(A111), TBL_Limiti_CDA[Data], TBL_Limiti_CDA[Etica Azionario], , -1)</f>
        <v>3.5</v>
      </c>
      <c r="G111" cm="1">
        <f t="array" ref="G111">_xlfn.XLOOKUP(_xlfn.ANCHORARRAY(A111), TBL_Limiti_CDA[Data], TBL_Limiti_CDA[Etica Transizione Climatica], , -1)</f>
        <v>2.75</v>
      </c>
      <c r="H111" cm="1">
        <f t="array" ref="H111">_xlfn.XLOOKUP(_xlfn.ANCHORARRAY(A111), TBL_Limiti_CDA[Data], TBL_Limiti_CDA[Etica Obiettivo Sociale], , -1)</f>
        <v>7.49</v>
      </c>
      <c r="I111" cm="1">
        <f t="array" ref="I111">_xlfn.XLOOKUP(_xlfn.ANCHORARRAY(A111), TBL_Limiti_CDA[Data], TBL_Limiti_CDA[Etica Conservative Allocation], , -1)</f>
        <v>1.5</v>
      </c>
      <c r="J111" cm="1">
        <f t="array" ref="J111">_xlfn.XLOOKUP(_xlfn.ANCHORARRAY(A111), TBL_Limiti_CDA[Data], TBL_Limiti_CDA[Etica Dynamic Allocation], , -1)</f>
        <v>3</v>
      </c>
      <c r="K111" cm="1">
        <f t="array" ref="K111">_xlfn.XLOOKUP(_xlfn.ANCHORARRAY(A111), TBL_Limiti_CDA[Data], TBL_Limiti_CDA[Etica Global Equity], , -1)</f>
        <v>3.5</v>
      </c>
      <c r="L111" cm="1">
        <f t="array" ref="L111">_xlfn.ANCHORARRAY(B111)+0.15</f>
        <v>2.65</v>
      </c>
      <c r="M111" cm="1">
        <f t="array" ref="M111">_xlfn.ANCHORARRAY(C111)+0.1</f>
        <v>0.6</v>
      </c>
      <c r="N111" cm="1">
        <f t="array" ref="N111">_xlfn.ANCHORARRAY(D111)+0.15</f>
        <v>1.65</v>
      </c>
      <c r="O111" cm="1">
        <f t="array" ref="O111">_xlfn.ANCHORARRAY(E111)+0.15</f>
        <v>3.15</v>
      </c>
      <c r="P111" cm="1">
        <f t="array" ref="P111">_xlfn.ANCHORARRAY(F111)+0.15</f>
        <v>3.65</v>
      </c>
      <c r="Q111" cm="1">
        <f t="array" ref="Q111">_xlfn.ANCHORARRAY(G111)+0.15</f>
        <v>2.9</v>
      </c>
      <c r="R111" cm="1">
        <f t="array" ref="R111">_xlfn.ANCHORARRAY(H111)</f>
        <v>7.49</v>
      </c>
      <c r="S111" cm="1">
        <f t="array" ref="S111">_xlfn.ANCHORARRAY(R111)+0.15</f>
        <v>7.6400000000000006</v>
      </c>
      <c r="T111" cm="1">
        <f t="array" ref="T111">_xlfn.ANCHORARRAY(I111)+0.15</f>
        <v>1.65</v>
      </c>
      <c r="U111" cm="1">
        <f t="array" ref="U111">_xlfn.ANCHORARRAY(J111)+0.15</f>
        <v>3.15</v>
      </c>
      <c r="V111" cm="1">
        <f t="array" ref="V111">_xlfn.ANCHORARRAY(K111)+0.15</f>
        <v>3.65</v>
      </c>
      <c r="W111">
        <f>TBL_TEV[[#This Row],[Etica Rendita Bilanciata]]</f>
        <v>1.8208059999999999</v>
      </c>
      <c r="X111">
        <f>TBL_TEV[[#This Row],[Etica Obbligazionario Breve Termine]]</f>
        <v>0.32669700000000002</v>
      </c>
      <c r="Y111">
        <f>TBL_TEV[[#This Row],[Etica Obbligazionario Misto]]</f>
        <v>1.28901</v>
      </c>
      <c r="Z111">
        <f>TBL_TEV[[#This Row],[Etica Bilanciato]]</f>
        <v>2.0319370000000001</v>
      </c>
      <c r="AA111">
        <f>TBL_TEV[[#This Row],[Etica Azionario]]</f>
        <v>2.8836040000000001</v>
      </c>
      <c r="AB111">
        <f>TBL_TEV[[#This Row],[Etica Transizione Climatica]]</f>
        <v>2.207668</v>
      </c>
      <c r="AC111">
        <f>TBL_TEV[[#This Row],[Etica Obiettivo Sociale]]</f>
        <v>6.791708940572696</v>
      </c>
      <c r="AD111">
        <f>TBL_TEV[[#This Row],[Etica Conservative Allocation]]</f>
        <v>0.59450099999999995</v>
      </c>
      <c r="AE111">
        <f>TBL_TEV[[#This Row],[Etica Dynamic Allocation]]</f>
        <v>2.196078</v>
      </c>
      <c r="AF111">
        <f>TBL_TEV[[#This Row],[Etica Global Equity]]</f>
        <v>3.244116</v>
      </c>
      <c r="AL111">
        <f ca="1"/>
        <v>1.835728</v>
      </c>
      <c r="AM111">
        <f ca="1"/>
        <v>0.32384000000000002</v>
      </c>
      <c r="AN111">
        <f ca="1"/>
        <v>1.2945660000000001</v>
      </c>
      <c r="AO111">
        <f ca="1"/>
        <v>2.046859</v>
      </c>
      <c r="AP111">
        <f ca="1"/>
        <v>2.8966210000000001</v>
      </c>
      <c r="AQ111">
        <f ca="1"/>
        <v>2.2211609999999999</v>
      </c>
      <c r="AR111">
        <f ca="1"/>
        <v>6.7977750976317237</v>
      </c>
      <c r="AS111">
        <f ca="1"/>
        <v>0.59021500000000005</v>
      </c>
      <c r="AT111">
        <f ca="1"/>
        <v>2.1790919999999998</v>
      </c>
      <c r="AU111">
        <f ca="1"/>
        <v>3.234909</v>
      </c>
    </row>
    <row r="112" spans="1:47">
      <c r="A112" s="43">
        <f>TBL_TEV[[#This Row],[Data2]]</f>
        <v>45448</v>
      </c>
      <c r="B112" cm="1">
        <f t="array" ref="B112">_xlfn.XLOOKUP(_xlfn.ANCHORARRAY(A112), TBL_Limiti_CDA[Data], TBL_Limiti_CDA[Etica Rendita Bilanciata], , -1)</f>
        <v>2.5</v>
      </c>
      <c r="C112" cm="1">
        <f t="array" ref="C112">_xlfn.XLOOKUP(_xlfn.ANCHORARRAY(A112), TBL_Limiti_CDA[Data], TBL_Limiti_CDA[Etica Obbligazionario Breve Termine], , -1)</f>
        <v>0.5</v>
      </c>
      <c r="D112" cm="1">
        <f t="array" ref="D112">_xlfn.XLOOKUP(_xlfn.ANCHORARRAY(A112), TBL_Limiti_CDA[Data], TBL_Limiti_CDA[Etica Obbligazionario Misto], , -1)</f>
        <v>1.5</v>
      </c>
      <c r="E112" cm="1">
        <f t="array" ref="E112">_xlfn.XLOOKUP(_xlfn.ANCHORARRAY(A112), TBL_Limiti_CDA[Data], TBL_Limiti_CDA[Etica Bilanciato], , -1)</f>
        <v>3</v>
      </c>
      <c r="F112" cm="1">
        <f t="array" ref="F112">_xlfn.XLOOKUP(_xlfn.ANCHORARRAY(A112), TBL_Limiti_CDA[Data], TBL_Limiti_CDA[Etica Azionario], , -1)</f>
        <v>3.5</v>
      </c>
      <c r="G112" cm="1">
        <f t="array" ref="G112">_xlfn.XLOOKUP(_xlfn.ANCHORARRAY(A112), TBL_Limiti_CDA[Data], TBL_Limiti_CDA[Etica Transizione Climatica], , -1)</f>
        <v>2.75</v>
      </c>
      <c r="H112" cm="1">
        <f t="array" ref="H112">_xlfn.XLOOKUP(_xlfn.ANCHORARRAY(A112), TBL_Limiti_CDA[Data], TBL_Limiti_CDA[Etica Obiettivo Sociale], , -1)</f>
        <v>7.49</v>
      </c>
      <c r="I112" cm="1">
        <f t="array" ref="I112">_xlfn.XLOOKUP(_xlfn.ANCHORARRAY(A112), TBL_Limiti_CDA[Data], TBL_Limiti_CDA[Etica Conservative Allocation], , -1)</f>
        <v>1.5</v>
      </c>
      <c r="J112" cm="1">
        <f t="array" ref="J112">_xlfn.XLOOKUP(_xlfn.ANCHORARRAY(A112), TBL_Limiti_CDA[Data], TBL_Limiti_CDA[Etica Dynamic Allocation], , -1)</f>
        <v>3</v>
      </c>
      <c r="K112" cm="1">
        <f t="array" ref="K112">_xlfn.XLOOKUP(_xlfn.ANCHORARRAY(A112), TBL_Limiti_CDA[Data], TBL_Limiti_CDA[Etica Global Equity], , -1)</f>
        <v>3.5</v>
      </c>
      <c r="L112" cm="1">
        <f t="array" ref="L112">_xlfn.ANCHORARRAY(B112)+0.15</f>
        <v>2.65</v>
      </c>
      <c r="M112" cm="1">
        <f t="array" ref="M112">_xlfn.ANCHORARRAY(C112)+0.1</f>
        <v>0.6</v>
      </c>
      <c r="N112" cm="1">
        <f t="array" ref="N112">_xlfn.ANCHORARRAY(D112)+0.15</f>
        <v>1.65</v>
      </c>
      <c r="O112" cm="1">
        <f t="array" ref="O112">_xlfn.ANCHORARRAY(E112)+0.15</f>
        <v>3.15</v>
      </c>
      <c r="P112" cm="1">
        <f t="array" ref="P112">_xlfn.ANCHORARRAY(F112)+0.15</f>
        <v>3.65</v>
      </c>
      <c r="Q112" cm="1">
        <f t="array" ref="Q112">_xlfn.ANCHORARRAY(G112)+0.15</f>
        <v>2.9</v>
      </c>
      <c r="R112" cm="1">
        <f t="array" ref="R112">_xlfn.ANCHORARRAY(H112)</f>
        <v>7.49</v>
      </c>
      <c r="S112" cm="1">
        <f t="array" ref="S112">_xlfn.ANCHORARRAY(R112)+0.15</f>
        <v>7.6400000000000006</v>
      </c>
      <c r="T112" cm="1">
        <f t="array" ref="T112">_xlfn.ANCHORARRAY(I112)+0.15</f>
        <v>1.65</v>
      </c>
      <c r="U112" cm="1">
        <f t="array" ref="U112">_xlfn.ANCHORARRAY(J112)+0.15</f>
        <v>3.15</v>
      </c>
      <c r="V112" cm="1">
        <f t="array" ref="V112">_xlfn.ANCHORARRAY(K112)+0.15</f>
        <v>3.65</v>
      </c>
      <c r="W112">
        <f>TBL_TEV[[#This Row],[Etica Rendita Bilanciata]]</f>
        <v>1.835728</v>
      </c>
      <c r="X112">
        <f>TBL_TEV[[#This Row],[Etica Obbligazionario Breve Termine]]</f>
        <v>0.32384000000000002</v>
      </c>
      <c r="Y112">
        <f>TBL_TEV[[#This Row],[Etica Obbligazionario Misto]]</f>
        <v>1.2945660000000001</v>
      </c>
      <c r="Z112">
        <f>TBL_TEV[[#This Row],[Etica Bilanciato]]</f>
        <v>2.046859</v>
      </c>
      <c r="AA112">
        <f>TBL_TEV[[#This Row],[Etica Azionario]]</f>
        <v>2.8966210000000001</v>
      </c>
      <c r="AB112">
        <f>TBL_TEV[[#This Row],[Etica Transizione Climatica]]</f>
        <v>2.2211609999999999</v>
      </c>
      <c r="AC112">
        <f>TBL_TEV[[#This Row],[Etica Obiettivo Sociale]]</f>
        <v>6.7977750976317237</v>
      </c>
      <c r="AD112">
        <f>TBL_TEV[[#This Row],[Etica Conservative Allocation]]</f>
        <v>0.59021500000000005</v>
      </c>
      <c r="AE112">
        <f>TBL_TEV[[#This Row],[Etica Dynamic Allocation]]</f>
        <v>2.1790919999999998</v>
      </c>
      <c r="AF112">
        <f>TBL_TEV[[#This Row],[Etica Global Equity]]</f>
        <v>3.234909</v>
      </c>
      <c r="AL112">
        <f ca="1"/>
        <v>1.822076</v>
      </c>
      <c r="AM112">
        <f ca="1"/>
        <v>0.32114100000000001</v>
      </c>
      <c r="AN112">
        <f ca="1"/>
        <v>1.291391</v>
      </c>
      <c r="AO112">
        <f ca="1"/>
        <v>2.0244759999999999</v>
      </c>
      <c r="AP112">
        <f ca="1"/>
        <v>2.862015</v>
      </c>
      <c r="AQ112">
        <f ca="1"/>
        <v>2.1956030000000002</v>
      </c>
      <c r="AR112">
        <f ca="1"/>
        <v>6.74095538236402</v>
      </c>
      <c r="AS112">
        <f ca="1"/>
        <v>0.58592900000000003</v>
      </c>
      <c r="AT112">
        <f ca="1"/>
        <v>2.1621060000000001</v>
      </c>
      <c r="AU112">
        <f ca="1"/>
        <v>3.2257020000000001</v>
      </c>
    </row>
    <row r="113" spans="1:47">
      <c r="A113" s="43">
        <f>TBL_TEV[[#This Row],[Data2]]</f>
        <v>45449</v>
      </c>
      <c r="B113" cm="1">
        <f t="array" ref="B113">_xlfn.XLOOKUP(_xlfn.ANCHORARRAY(A113), TBL_Limiti_CDA[Data], TBL_Limiti_CDA[Etica Rendita Bilanciata], , -1)</f>
        <v>2.5</v>
      </c>
      <c r="C113" cm="1">
        <f t="array" ref="C113">_xlfn.XLOOKUP(_xlfn.ANCHORARRAY(A113), TBL_Limiti_CDA[Data], TBL_Limiti_CDA[Etica Obbligazionario Breve Termine], , -1)</f>
        <v>0.5</v>
      </c>
      <c r="D113" cm="1">
        <f t="array" ref="D113">_xlfn.XLOOKUP(_xlfn.ANCHORARRAY(A113), TBL_Limiti_CDA[Data], TBL_Limiti_CDA[Etica Obbligazionario Misto], , -1)</f>
        <v>1.5</v>
      </c>
      <c r="E113" cm="1">
        <f t="array" ref="E113">_xlfn.XLOOKUP(_xlfn.ANCHORARRAY(A113), TBL_Limiti_CDA[Data], TBL_Limiti_CDA[Etica Bilanciato], , -1)</f>
        <v>3</v>
      </c>
      <c r="F113" cm="1">
        <f t="array" ref="F113">_xlfn.XLOOKUP(_xlfn.ANCHORARRAY(A113), TBL_Limiti_CDA[Data], TBL_Limiti_CDA[Etica Azionario], , -1)</f>
        <v>3.5</v>
      </c>
      <c r="G113" cm="1">
        <f t="array" ref="G113">_xlfn.XLOOKUP(_xlfn.ANCHORARRAY(A113), TBL_Limiti_CDA[Data], TBL_Limiti_CDA[Etica Transizione Climatica], , -1)</f>
        <v>2.75</v>
      </c>
      <c r="H113" cm="1">
        <f t="array" ref="H113">_xlfn.XLOOKUP(_xlfn.ANCHORARRAY(A113), TBL_Limiti_CDA[Data], TBL_Limiti_CDA[Etica Obiettivo Sociale], , -1)</f>
        <v>7.49</v>
      </c>
      <c r="I113" cm="1">
        <f t="array" ref="I113">_xlfn.XLOOKUP(_xlfn.ANCHORARRAY(A113), TBL_Limiti_CDA[Data], TBL_Limiti_CDA[Etica Conservative Allocation], , -1)</f>
        <v>1.5</v>
      </c>
      <c r="J113" cm="1">
        <f t="array" ref="J113">_xlfn.XLOOKUP(_xlfn.ANCHORARRAY(A113), TBL_Limiti_CDA[Data], TBL_Limiti_CDA[Etica Dynamic Allocation], , -1)</f>
        <v>3</v>
      </c>
      <c r="K113" cm="1">
        <f t="array" ref="K113">_xlfn.XLOOKUP(_xlfn.ANCHORARRAY(A113), TBL_Limiti_CDA[Data], TBL_Limiti_CDA[Etica Global Equity], , -1)</f>
        <v>3.5</v>
      </c>
      <c r="L113" cm="1">
        <f t="array" ref="L113">_xlfn.ANCHORARRAY(B113)+0.15</f>
        <v>2.65</v>
      </c>
      <c r="M113" cm="1">
        <f t="array" ref="M113">_xlfn.ANCHORARRAY(C113)+0.1</f>
        <v>0.6</v>
      </c>
      <c r="N113" cm="1">
        <f t="array" ref="N113">_xlfn.ANCHORARRAY(D113)+0.15</f>
        <v>1.65</v>
      </c>
      <c r="O113" cm="1">
        <f t="array" ref="O113">_xlfn.ANCHORARRAY(E113)+0.15</f>
        <v>3.15</v>
      </c>
      <c r="P113" cm="1">
        <f t="array" ref="P113">_xlfn.ANCHORARRAY(F113)+0.15</f>
        <v>3.65</v>
      </c>
      <c r="Q113" cm="1">
        <f t="array" ref="Q113">_xlfn.ANCHORARRAY(G113)+0.15</f>
        <v>2.9</v>
      </c>
      <c r="R113" cm="1">
        <f t="array" ref="R113">_xlfn.ANCHORARRAY(H113)</f>
        <v>7.49</v>
      </c>
      <c r="S113" cm="1">
        <f t="array" ref="S113">_xlfn.ANCHORARRAY(R113)+0.15</f>
        <v>7.6400000000000006</v>
      </c>
      <c r="T113" cm="1">
        <f t="array" ref="T113">_xlfn.ANCHORARRAY(I113)+0.15</f>
        <v>1.65</v>
      </c>
      <c r="U113" cm="1">
        <f t="array" ref="U113">_xlfn.ANCHORARRAY(J113)+0.15</f>
        <v>3.15</v>
      </c>
      <c r="V113" cm="1">
        <f t="array" ref="V113">_xlfn.ANCHORARRAY(K113)+0.15</f>
        <v>3.65</v>
      </c>
      <c r="W113">
        <f>TBL_TEV[[#This Row],[Etica Rendita Bilanciata]]</f>
        <v>1.822076</v>
      </c>
      <c r="X113">
        <f>TBL_TEV[[#This Row],[Etica Obbligazionario Breve Termine]]</f>
        <v>0.32114100000000001</v>
      </c>
      <c r="Y113">
        <f>TBL_TEV[[#This Row],[Etica Obbligazionario Misto]]</f>
        <v>1.291391</v>
      </c>
      <c r="Z113">
        <f>TBL_TEV[[#This Row],[Etica Bilanciato]]</f>
        <v>2.0244759999999999</v>
      </c>
      <c r="AA113">
        <f>TBL_TEV[[#This Row],[Etica Azionario]]</f>
        <v>2.862015</v>
      </c>
      <c r="AB113">
        <f>TBL_TEV[[#This Row],[Etica Transizione Climatica]]</f>
        <v>2.1956030000000002</v>
      </c>
      <c r="AC113">
        <f>TBL_TEV[[#This Row],[Etica Obiettivo Sociale]]</f>
        <v>6.74095538236402</v>
      </c>
      <c r="AD113">
        <f>TBL_TEV[[#This Row],[Etica Conservative Allocation]]</f>
        <v>0.58592900000000003</v>
      </c>
      <c r="AE113">
        <f>TBL_TEV[[#This Row],[Etica Dynamic Allocation]]</f>
        <v>2.1621060000000001</v>
      </c>
      <c r="AF113">
        <f>TBL_TEV[[#This Row],[Etica Global Equity]]</f>
        <v>3.2257020000000001</v>
      </c>
      <c r="AL113">
        <f ca="1"/>
        <v>1.8033440000000001</v>
      </c>
      <c r="AM113">
        <f ca="1"/>
        <v>0.32034800000000002</v>
      </c>
      <c r="AN113">
        <f ca="1"/>
        <v>1.284089</v>
      </c>
      <c r="AO113">
        <f ca="1"/>
        <v>1.9916160000000001</v>
      </c>
      <c r="AP113">
        <f ca="1"/>
        <v>2.815979</v>
      </c>
      <c r="AQ113">
        <f ca="1"/>
        <v>2.1748080000000001</v>
      </c>
      <c r="AR113">
        <f ca="1"/>
        <v>6.7028998750579927</v>
      </c>
      <c r="AS113">
        <f ca="1"/>
        <v>0.58164300000000002</v>
      </c>
      <c r="AT113">
        <f ca="1"/>
        <v>2.1451199999999999</v>
      </c>
      <c r="AU113">
        <f ca="1"/>
        <v>3.2164950000000001</v>
      </c>
    </row>
    <row r="114" spans="1:47">
      <c r="A114" s="43">
        <f>TBL_TEV[[#This Row],[Data2]]</f>
        <v>45450</v>
      </c>
      <c r="B114" cm="1">
        <f t="array" ref="B114">_xlfn.XLOOKUP(_xlfn.ANCHORARRAY(A114), TBL_Limiti_CDA[Data], TBL_Limiti_CDA[Etica Rendita Bilanciata], , -1)</f>
        <v>2.5</v>
      </c>
      <c r="C114" cm="1">
        <f t="array" ref="C114">_xlfn.XLOOKUP(_xlfn.ANCHORARRAY(A114), TBL_Limiti_CDA[Data], TBL_Limiti_CDA[Etica Obbligazionario Breve Termine], , -1)</f>
        <v>0.5</v>
      </c>
      <c r="D114" cm="1">
        <f t="array" ref="D114">_xlfn.XLOOKUP(_xlfn.ANCHORARRAY(A114), TBL_Limiti_CDA[Data], TBL_Limiti_CDA[Etica Obbligazionario Misto], , -1)</f>
        <v>1.5</v>
      </c>
      <c r="E114" cm="1">
        <f t="array" ref="E114">_xlfn.XLOOKUP(_xlfn.ANCHORARRAY(A114), TBL_Limiti_CDA[Data], TBL_Limiti_CDA[Etica Bilanciato], , -1)</f>
        <v>3</v>
      </c>
      <c r="F114" cm="1">
        <f t="array" ref="F114">_xlfn.XLOOKUP(_xlfn.ANCHORARRAY(A114), TBL_Limiti_CDA[Data], TBL_Limiti_CDA[Etica Azionario], , -1)</f>
        <v>3.5</v>
      </c>
      <c r="G114" cm="1">
        <f t="array" ref="G114">_xlfn.XLOOKUP(_xlfn.ANCHORARRAY(A114), TBL_Limiti_CDA[Data], TBL_Limiti_CDA[Etica Transizione Climatica], , -1)</f>
        <v>2.75</v>
      </c>
      <c r="H114" cm="1">
        <f t="array" ref="H114">_xlfn.XLOOKUP(_xlfn.ANCHORARRAY(A114), TBL_Limiti_CDA[Data], TBL_Limiti_CDA[Etica Obiettivo Sociale], , -1)</f>
        <v>7.49</v>
      </c>
      <c r="I114" cm="1">
        <f t="array" ref="I114">_xlfn.XLOOKUP(_xlfn.ANCHORARRAY(A114), TBL_Limiti_CDA[Data], TBL_Limiti_CDA[Etica Conservative Allocation], , -1)</f>
        <v>1.5</v>
      </c>
      <c r="J114" cm="1">
        <f t="array" ref="J114">_xlfn.XLOOKUP(_xlfn.ANCHORARRAY(A114), TBL_Limiti_CDA[Data], TBL_Limiti_CDA[Etica Dynamic Allocation], , -1)</f>
        <v>3</v>
      </c>
      <c r="K114" cm="1">
        <f t="array" ref="K114">_xlfn.XLOOKUP(_xlfn.ANCHORARRAY(A114), TBL_Limiti_CDA[Data], TBL_Limiti_CDA[Etica Global Equity], , -1)</f>
        <v>3.5</v>
      </c>
      <c r="L114" cm="1">
        <f t="array" ref="L114">_xlfn.ANCHORARRAY(B114)+0.15</f>
        <v>2.65</v>
      </c>
      <c r="M114" cm="1">
        <f t="array" ref="M114">_xlfn.ANCHORARRAY(C114)+0.1</f>
        <v>0.6</v>
      </c>
      <c r="N114" cm="1">
        <f t="array" ref="N114">_xlfn.ANCHORARRAY(D114)+0.15</f>
        <v>1.65</v>
      </c>
      <c r="O114" cm="1">
        <f t="array" ref="O114">_xlfn.ANCHORARRAY(E114)+0.15</f>
        <v>3.15</v>
      </c>
      <c r="P114" cm="1">
        <f t="array" ref="P114">_xlfn.ANCHORARRAY(F114)+0.15</f>
        <v>3.65</v>
      </c>
      <c r="Q114" cm="1">
        <f t="array" ref="Q114">_xlfn.ANCHORARRAY(G114)+0.15</f>
        <v>2.9</v>
      </c>
      <c r="R114" cm="1">
        <f t="array" ref="R114">_xlfn.ANCHORARRAY(H114)</f>
        <v>7.49</v>
      </c>
      <c r="S114" cm="1">
        <f t="array" ref="S114">_xlfn.ANCHORARRAY(R114)+0.15</f>
        <v>7.6400000000000006</v>
      </c>
      <c r="T114" cm="1">
        <f t="array" ref="T114">_xlfn.ANCHORARRAY(I114)+0.15</f>
        <v>1.65</v>
      </c>
      <c r="U114" cm="1">
        <f t="array" ref="U114">_xlfn.ANCHORARRAY(J114)+0.15</f>
        <v>3.15</v>
      </c>
      <c r="V114" cm="1">
        <f t="array" ref="V114">_xlfn.ANCHORARRAY(K114)+0.15</f>
        <v>3.65</v>
      </c>
      <c r="W114">
        <f>TBL_TEV[[#This Row],[Etica Rendita Bilanciata]]</f>
        <v>1.8033440000000001</v>
      </c>
      <c r="X114">
        <f>TBL_TEV[[#This Row],[Etica Obbligazionario Breve Termine]]</f>
        <v>0.32034800000000002</v>
      </c>
      <c r="Y114">
        <f>TBL_TEV[[#This Row],[Etica Obbligazionario Misto]]</f>
        <v>1.284089</v>
      </c>
      <c r="Z114">
        <f>TBL_TEV[[#This Row],[Etica Bilanciato]]</f>
        <v>1.9916160000000001</v>
      </c>
      <c r="AA114">
        <f>TBL_TEV[[#This Row],[Etica Azionario]]</f>
        <v>2.815979</v>
      </c>
      <c r="AB114">
        <f>TBL_TEV[[#This Row],[Etica Transizione Climatica]]</f>
        <v>2.1748080000000001</v>
      </c>
      <c r="AC114">
        <f>TBL_TEV[[#This Row],[Etica Obiettivo Sociale]]</f>
        <v>6.7028998750579927</v>
      </c>
      <c r="AD114">
        <f>TBL_TEV[[#This Row],[Etica Conservative Allocation]]</f>
        <v>0.58164300000000002</v>
      </c>
      <c r="AE114">
        <f>TBL_TEV[[#This Row],[Etica Dynamic Allocation]]</f>
        <v>2.1451199999999999</v>
      </c>
      <c r="AF114">
        <f>TBL_TEV[[#This Row],[Etica Global Equity]]</f>
        <v>3.2164950000000001</v>
      </c>
      <c r="AL114">
        <f ca="1"/>
        <v>1.7915970000000001</v>
      </c>
      <c r="AM114">
        <f ca="1"/>
        <v>0.31717299999999998</v>
      </c>
      <c r="AN114">
        <f ca="1"/>
        <v>1.2844059999999999</v>
      </c>
      <c r="AO114">
        <f ca="1"/>
        <v>1.9860599999999999</v>
      </c>
      <c r="AP114">
        <f ca="1"/>
        <v>2.797882</v>
      </c>
      <c r="AQ114">
        <f ca="1"/>
        <v>2.184809</v>
      </c>
      <c r="AR114">
        <f ca="1"/>
        <v>6.6680630863130421</v>
      </c>
      <c r="AS114">
        <f ca="1"/>
        <v>0.57735700000000001</v>
      </c>
      <c r="AT114">
        <f ca="1"/>
        <v>2.1281340000000002</v>
      </c>
      <c r="AU114">
        <f ca="1"/>
        <v>3.2072880000000001</v>
      </c>
    </row>
    <row r="115" spans="1:47">
      <c r="A115" s="43">
        <f>TBL_TEV[[#This Row],[Data2]]</f>
        <v>45453</v>
      </c>
      <c r="B115" cm="1">
        <f t="array" ref="B115">_xlfn.XLOOKUP(_xlfn.ANCHORARRAY(A115), TBL_Limiti_CDA[Data], TBL_Limiti_CDA[Etica Rendita Bilanciata], , -1)</f>
        <v>2.5</v>
      </c>
      <c r="C115" cm="1">
        <f t="array" ref="C115">_xlfn.XLOOKUP(_xlfn.ANCHORARRAY(A115), TBL_Limiti_CDA[Data], TBL_Limiti_CDA[Etica Obbligazionario Breve Termine], , -1)</f>
        <v>0.5</v>
      </c>
      <c r="D115" cm="1">
        <f t="array" ref="D115">_xlfn.XLOOKUP(_xlfn.ANCHORARRAY(A115), TBL_Limiti_CDA[Data], TBL_Limiti_CDA[Etica Obbligazionario Misto], , -1)</f>
        <v>1.5</v>
      </c>
      <c r="E115" cm="1">
        <f t="array" ref="E115">_xlfn.XLOOKUP(_xlfn.ANCHORARRAY(A115), TBL_Limiti_CDA[Data], TBL_Limiti_CDA[Etica Bilanciato], , -1)</f>
        <v>3</v>
      </c>
      <c r="F115" cm="1">
        <f t="array" ref="F115">_xlfn.XLOOKUP(_xlfn.ANCHORARRAY(A115), TBL_Limiti_CDA[Data], TBL_Limiti_CDA[Etica Azionario], , -1)</f>
        <v>3.5</v>
      </c>
      <c r="G115" cm="1">
        <f t="array" ref="G115">_xlfn.XLOOKUP(_xlfn.ANCHORARRAY(A115), TBL_Limiti_CDA[Data], TBL_Limiti_CDA[Etica Transizione Climatica], , -1)</f>
        <v>2.75</v>
      </c>
      <c r="H115" cm="1">
        <f t="array" ref="H115">_xlfn.XLOOKUP(_xlfn.ANCHORARRAY(A115), TBL_Limiti_CDA[Data], TBL_Limiti_CDA[Etica Obiettivo Sociale], , -1)</f>
        <v>7.49</v>
      </c>
      <c r="I115" cm="1">
        <f t="array" ref="I115">_xlfn.XLOOKUP(_xlfn.ANCHORARRAY(A115), TBL_Limiti_CDA[Data], TBL_Limiti_CDA[Etica Conservative Allocation], , -1)</f>
        <v>1.5</v>
      </c>
      <c r="J115" cm="1">
        <f t="array" ref="J115">_xlfn.XLOOKUP(_xlfn.ANCHORARRAY(A115), TBL_Limiti_CDA[Data], TBL_Limiti_CDA[Etica Dynamic Allocation], , -1)</f>
        <v>3</v>
      </c>
      <c r="K115" cm="1">
        <f t="array" ref="K115">_xlfn.XLOOKUP(_xlfn.ANCHORARRAY(A115), TBL_Limiti_CDA[Data], TBL_Limiti_CDA[Etica Global Equity], , -1)</f>
        <v>3.5</v>
      </c>
      <c r="L115" cm="1">
        <f t="array" ref="L115">_xlfn.ANCHORARRAY(B115)+0.15</f>
        <v>2.65</v>
      </c>
      <c r="M115" cm="1">
        <f t="array" ref="M115">_xlfn.ANCHORARRAY(C115)+0.1</f>
        <v>0.6</v>
      </c>
      <c r="N115" cm="1">
        <f t="array" ref="N115">_xlfn.ANCHORARRAY(D115)+0.15</f>
        <v>1.65</v>
      </c>
      <c r="O115" cm="1">
        <f t="array" ref="O115">_xlfn.ANCHORARRAY(E115)+0.15</f>
        <v>3.15</v>
      </c>
      <c r="P115" cm="1">
        <f t="array" ref="P115">_xlfn.ANCHORARRAY(F115)+0.15</f>
        <v>3.65</v>
      </c>
      <c r="Q115" cm="1">
        <f t="array" ref="Q115">_xlfn.ANCHORARRAY(G115)+0.15</f>
        <v>2.9</v>
      </c>
      <c r="R115" cm="1">
        <f t="array" ref="R115">_xlfn.ANCHORARRAY(H115)</f>
        <v>7.49</v>
      </c>
      <c r="S115" cm="1">
        <f t="array" ref="S115">_xlfn.ANCHORARRAY(R115)+0.15</f>
        <v>7.6400000000000006</v>
      </c>
      <c r="T115" cm="1">
        <f t="array" ref="T115">_xlfn.ANCHORARRAY(I115)+0.15</f>
        <v>1.65</v>
      </c>
      <c r="U115" cm="1">
        <f t="array" ref="U115">_xlfn.ANCHORARRAY(J115)+0.15</f>
        <v>3.15</v>
      </c>
      <c r="V115" cm="1">
        <f t="array" ref="V115">_xlfn.ANCHORARRAY(K115)+0.15</f>
        <v>3.65</v>
      </c>
      <c r="W115">
        <f>TBL_TEV[[#This Row],[Etica Rendita Bilanciata]]</f>
        <v>1.7915970000000001</v>
      </c>
      <c r="X115">
        <f>TBL_TEV[[#This Row],[Etica Obbligazionario Breve Termine]]</f>
        <v>0.31717299999999998</v>
      </c>
      <c r="Y115">
        <f>TBL_TEV[[#This Row],[Etica Obbligazionario Misto]]</f>
        <v>1.2844059999999999</v>
      </c>
      <c r="Z115">
        <f>TBL_TEV[[#This Row],[Etica Bilanciato]]</f>
        <v>1.9860599999999999</v>
      </c>
      <c r="AA115">
        <f>TBL_TEV[[#This Row],[Etica Azionario]]</f>
        <v>2.797882</v>
      </c>
      <c r="AB115">
        <f>TBL_TEV[[#This Row],[Etica Transizione Climatica]]</f>
        <v>2.184809</v>
      </c>
      <c r="AC115">
        <f>TBL_TEV[[#This Row],[Etica Obiettivo Sociale]]</f>
        <v>6.6680630863130421</v>
      </c>
      <c r="AD115">
        <f>TBL_TEV[[#This Row],[Etica Conservative Allocation]]</f>
        <v>0.57735700000000001</v>
      </c>
      <c r="AE115">
        <f>TBL_TEV[[#This Row],[Etica Dynamic Allocation]]</f>
        <v>2.1281340000000002</v>
      </c>
      <c r="AF115">
        <f>TBL_TEV[[#This Row],[Etica Global Equity]]</f>
        <v>3.2072880000000001</v>
      </c>
      <c r="AL115">
        <f ca="1"/>
        <v>1.802392</v>
      </c>
      <c r="AM115">
        <f ca="1"/>
        <v>0.28034399999999998</v>
      </c>
      <c r="AN115">
        <f ca="1"/>
        <v>1.2850410000000001</v>
      </c>
      <c r="AO115">
        <f ca="1"/>
        <v>2.0244759999999999</v>
      </c>
      <c r="AP115">
        <f ca="1"/>
        <v>2.871381</v>
      </c>
      <c r="AQ115">
        <f ca="1"/>
        <v>2.184015</v>
      </c>
      <c r="AR115">
        <f ca="1"/>
        <v>6.6487866603743475</v>
      </c>
      <c r="AS115">
        <f ca="1"/>
        <v>0.573071</v>
      </c>
      <c r="AT115">
        <f ca="1"/>
        <v>2.111148</v>
      </c>
      <c r="AU115">
        <f ca="1"/>
        <v>3.1980810000000002</v>
      </c>
    </row>
    <row r="116" spans="1:47">
      <c r="A116" s="43">
        <f>TBL_TEV[[#This Row],[Data2]]</f>
        <v>45454</v>
      </c>
      <c r="B116" cm="1">
        <f t="array" ref="B116">_xlfn.XLOOKUP(_xlfn.ANCHORARRAY(A116), TBL_Limiti_CDA[Data], TBL_Limiti_CDA[Etica Rendita Bilanciata], , -1)</f>
        <v>2.5</v>
      </c>
      <c r="C116" cm="1">
        <f t="array" ref="C116">_xlfn.XLOOKUP(_xlfn.ANCHORARRAY(A116), TBL_Limiti_CDA[Data], TBL_Limiti_CDA[Etica Obbligazionario Breve Termine], , -1)</f>
        <v>0.5</v>
      </c>
      <c r="D116" cm="1">
        <f t="array" ref="D116">_xlfn.XLOOKUP(_xlfn.ANCHORARRAY(A116), TBL_Limiti_CDA[Data], TBL_Limiti_CDA[Etica Obbligazionario Misto], , -1)</f>
        <v>1.5</v>
      </c>
      <c r="E116" cm="1">
        <f t="array" ref="E116">_xlfn.XLOOKUP(_xlfn.ANCHORARRAY(A116), TBL_Limiti_CDA[Data], TBL_Limiti_CDA[Etica Bilanciato], , -1)</f>
        <v>3</v>
      </c>
      <c r="F116" cm="1">
        <f t="array" ref="F116">_xlfn.XLOOKUP(_xlfn.ANCHORARRAY(A116), TBL_Limiti_CDA[Data], TBL_Limiti_CDA[Etica Azionario], , -1)</f>
        <v>3.5</v>
      </c>
      <c r="G116" cm="1">
        <f t="array" ref="G116">_xlfn.XLOOKUP(_xlfn.ANCHORARRAY(A116), TBL_Limiti_CDA[Data], TBL_Limiti_CDA[Etica Transizione Climatica], , -1)</f>
        <v>2.75</v>
      </c>
      <c r="H116" cm="1">
        <f t="array" ref="H116">_xlfn.XLOOKUP(_xlfn.ANCHORARRAY(A116), TBL_Limiti_CDA[Data], TBL_Limiti_CDA[Etica Obiettivo Sociale], , -1)</f>
        <v>7.49</v>
      </c>
      <c r="I116" cm="1">
        <f t="array" ref="I116">_xlfn.XLOOKUP(_xlfn.ANCHORARRAY(A116), TBL_Limiti_CDA[Data], TBL_Limiti_CDA[Etica Conservative Allocation], , -1)</f>
        <v>1.5</v>
      </c>
      <c r="J116" cm="1">
        <f t="array" ref="J116">_xlfn.XLOOKUP(_xlfn.ANCHORARRAY(A116), TBL_Limiti_CDA[Data], TBL_Limiti_CDA[Etica Dynamic Allocation], , -1)</f>
        <v>3</v>
      </c>
      <c r="K116" cm="1">
        <f t="array" ref="K116">_xlfn.XLOOKUP(_xlfn.ANCHORARRAY(A116), TBL_Limiti_CDA[Data], TBL_Limiti_CDA[Etica Global Equity], , -1)</f>
        <v>3.5</v>
      </c>
      <c r="L116" cm="1">
        <f t="array" ref="L116">_xlfn.ANCHORARRAY(B116)+0.15</f>
        <v>2.65</v>
      </c>
      <c r="M116" cm="1">
        <f t="array" ref="M116">_xlfn.ANCHORARRAY(C116)+0.1</f>
        <v>0.6</v>
      </c>
      <c r="N116" cm="1">
        <f t="array" ref="N116">_xlfn.ANCHORARRAY(D116)+0.15</f>
        <v>1.65</v>
      </c>
      <c r="O116" cm="1">
        <f t="array" ref="O116">_xlfn.ANCHORARRAY(E116)+0.15</f>
        <v>3.15</v>
      </c>
      <c r="P116" cm="1">
        <f t="array" ref="P116">_xlfn.ANCHORARRAY(F116)+0.15</f>
        <v>3.65</v>
      </c>
      <c r="Q116" cm="1">
        <f t="array" ref="Q116">_xlfn.ANCHORARRAY(G116)+0.15</f>
        <v>2.9</v>
      </c>
      <c r="R116" cm="1">
        <f t="array" ref="R116">_xlfn.ANCHORARRAY(H116)</f>
        <v>7.49</v>
      </c>
      <c r="S116" cm="1">
        <f t="array" ref="S116">_xlfn.ANCHORARRAY(R116)+0.15</f>
        <v>7.6400000000000006</v>
      </c>
      <c r="T116" cm="1">
        <f t="array" ref="T116">_xlfn.ANCHORARRAY(I116)+0.15</f>
        <v>1.65</v>
      </c>
      <c r="U116" cm="1">
        <f t="array" ref="U116">_xlfn.ANCHORARRAY(J116)+0.15</f>
        <v>3.15</v>
      </c>
      <c r="V116" cm="1">
        <f t="array" ref="V116">_xlfn.ANCHORARRAY(K116)+0.15</f>
        <v>3.65</v>
      </c>
      <c r="W116">
        <f>TBL_TEV[[#This Row],[Etica Rendita Bilanciata]]</f>
        <v>1.802392</v>
      </c>
      <c r="X116">
        <f>TBL_TEV[[#This Row],[Etica Obbligazionario Breve Termine]]</f>
        <v>0.28034399999999998</v>
      </c>
      <c r="Y116">
        <f>TBL_TEV[[#This Row],[Etica Obbligazionario Misto]]</f>
        <v>1.2850410000000001</v>
      </c>
      <c r="Z116">
        <f>TBL_TEV[[#This Row],[Etica Bilanciato]]</f>
        <v>2.0244759999999999</v>
      </c>
      <c r="AA116">
        <f>TBL_TEV[[#This Row],[Etica Azionario]]</f>
        <v>2.871381</v>
      </c>
      <c r="AB116">
        <f>TBL_TEV[[#This Row],[Etica Transizione Climatica]]</f>
        <v>2.184015</v>
      </c>
      <c r="AC116">
        <f>TBL_TEV[[#This Row],[Etica Obiettivo Sociale]]</f>
        <v>6.6487866603743475</v>
      </c>
      <c r="AD116">
        <f>TBL_TEV[[#This Row],[Etica Conservative Allocation]]</f>
        <v>0.573071</v>
      </c>
      <c r="AE116">
        <f>TBL_TEV[[#This Row],[Etica Dynamic Allocation]]</f>
        <v>2.111148</v>
      </c>
      <c r="AF116">
        <f>TBL_TEV[[#This Row],[Etica Global Equity]]</f>
        <v>3.1980810000000002</v>
      </c>
      <c r="AL116">
        <f ca="1"/>
        <v>1.8420780000000001</v>
      </c>
      <c r="AM116">
        <f ca="1"/>
        <v>0.27812100000000001</v>
      </c>
      <c r="AN116">
        <f ca="1"/>
        <v>1.313933</v>
      </c>
      <c r="AO116">
        <f ca="1"/>
        <v>2.0551140000000001</v>
      </c>
      <c r="AP116">
        <f ca="1"/>
        <v>2.911543</v>
      </c>
      <c r="AQ116">
        <f ca="1"/>
        <v>2.1892529999999999</v>
      </c>
      <c r="AR116">
        <f ca="1"/>
        <v>6.6114794987547842</v>
      </c>
      <c r="AS116">
        <f ca="1"/>
        <v>0.56878499999999999</v>
      </c>
      <c r="AT116">
        <f ca="1"/>
        <v>2.0941619999999999</v>
      </c>
      <c r="AU116">
        <f ca="1"/>
        <v>3.1888740000000002</v>
      </c>
    </row>
    <row r="117" spans="1:47">
      <c r="A117" s="43">
        <f>TBL_TEV[[#This Row],[Data2]]</f>
        <v>45455</v>
      </c>
      <c r="B117" cm="1">
        <f t="array" ref="B117">_xlfn.XLOOKUP(_xlfn.ANCHORARRAY(A117), TBL_Limiti_CDA[Data], TBL_Limiti_CDA[Etica Rendita Bilanciata], , -1)</f>
        <v>2.5</v>
      </c>
      <c r="C117" cm="1">
        <f t="array" ref="C117">_xlfn.XLOOKUP(_xlfn.ANCHORARRAY(A117), TBL_Limiti_CDA[Data], TBL_Limiti_CDA[Etica Obbligazionario Breve Termine], , -1)</f>
        <v>0.5</v>
      </c>
      <c r="D117" cm="1">
        <f t="array" ref="D117">_xlfn.XLOOKUP(_xlfn.ANCHORARRAY(A117), TBL_Limiti_CDA[Data], TBL_Limiti_CDA[Etica Obbligazionario Misto], , -1)</f>
        <v>1.5</v>
      </c>
      <c r="E117" cm="1">
        <f t="array" ref="E117">_xlfn.XLOOKUP(_xlfn.ANCHORARRAY(A117), TBL_Limiti_CDA[Data], TBL_Limiti_CDA[Etica Bilanciato], , -1)</f>
        <v>3</v>
      </c>
      <c r="F117" cm="1">
        <f t="array" ref="F117">_xlfn.XLOOKUP(_xlfn.ANCHORARRAY(A117), TBL_Limiti_CDA[Data], TBL_Limiti_CDA[Etica Azionario], , -1)</f>
        <v>3.5</v>
      </c>
      <c r="G117" cm="1">
        <f t="array" ref="G117">_xlfn.XLOOKUP(_xlfn.ANCHORARRAY(A117), TBL_Limiti_CDA[Data], TBL_Limiti_CDA[Etica Transizione Climatica], , -1)</f>
        <v>2.75</v>
      </c>
      <c r="H117" cm="1">
        <f t="array" ref="H117">_xlfn.XLOOKUP(_xlfn.ANCHORARRAY(A117), TBL_Limiti_CDA[Data], TBL_Limiti_CDA[Etica Obiettivo Sociale], , -1)</f>
        <v>7.49</v>
      </c>
      <c r="I117" cm="1">
        <f t="array" ref="I117">_xlfn.XLOOKUP(_xlfn.ANCHORARRAY(A117), TBL_Limiti_CDA[Data], TBL_Limiti_CDA[Etica Conservative Allocation], , -1)</f>
        <v>1.5</v>
      </c>
      <c r="J117" cm="1">
        <f t="array" ref="J117">_xlfn.XLOOKUP(_xlfn.ANCHORARRAY(A117), TBL_Limiti_CDA[Data], TBL_Limiti_CDA[Etica Dynamic Allocation], , -1)</f>
        <v>3</v>
      </c>
      <c r="K117" cm="1">
        <f t="array" ref="K117">_xlfn.XLOOKUP(_xlfn.ANCHORARRAY(A117), TBL_Limiti_CDA[Data], TBL_Limiti_CDA[Etica Global Equity], , -1)</f>
        <v>3.5</v>
      </c>
      <c r="L117" cm="1">
        <f t="array" ref="L117">_xlfn.ANCHORARRAY(B117)+0.15</f>
        <v>2.65</v>
      </c>
      <c r="M117" cm="1">
        <f t="array" ref="M117">_xlfn.ANCHORARRAY(C117)+0.1</f>
        <v>0.6</v>
      </c>
      <c r="N117" cm="1">
        <f t="array" ref="N117">_xlfn.ANCHORARRAY(D117)+0.15</f>
        <v>1.65</v>
      </c>
      <c r="O117" cm="1">
        <f t="array" ref="O117">_xlfn.ANCHORARRAY(E117)+0.15</f>
        <v>3.15</v>
      </c>
      <c r="P117" cm="1">
        <f t="array" ref="P117">_xlfn.ANCHORARRAY(F117)+0.15</f>
        <v>3.65</v>
      </c>
      <c r="Q117" cm="1">
        <f t="array" ref="Q117">_xlfn.ANCHORARRAY(G117)+0.15</f>
        <v>2.9</v>
      </c>
      <c r="R117" cm="1">
        <f t="array" ref="R117">_xlfn.ANCHORARRAY(H117)</f>
        <v>7.49</v>
      </c>
      <c r="S117" cm="1">
        <f t="array" ref="S117">_xlfn.ANCHORARRAY(R117)+0.15</f>
        <v>7.6400000000000006</v>
      </c>
      <c r="T117" cm="1">
        <f t="array" ref="T117">_xlfn.ANCHORARRAY(I117)+0.15</f>
        <v>1.65</v>
      </c>
      <c r="U117" cm="1">
        <f t="array" ref="U117">_xlfn.ANCHORARRAY(J117)+0.15</f>
        <v>3.15</v>
      </c>
      <c r="V117" cm="1">
        <f t="array" ref="V117">_xlfn.ANCHORARRAY(K117)+0.15</f>
        <v>3.65</v>
      </c>
      <c r="W117">
        <f>TBL_TEV[[#This Row],[Etica Rendita Bilanciata]]</f>
        <v>1.8420780000000001</v>
      </c>
      <c r="X117">
        <f>TBL_TEV[[#This Row],[Etica Obbligazionario Breve Termine]]</f>
        <v>0.27812100000000001</v>
      </c>
      <c r="Y117">
        <f>TBL_TEV[[#This Row],[Etica Obbligazionario Misto]]</f>
        <v>1.313933</v>
      </c>
      <c r="Z117">
        <f>TBL_TEV[[#This Row],[Etica Bilanciato]]</f>
        <v>2.0551140000000001</v>
      </c>
      <c r="AA117">
        <f>TBL_TEV[[#This Row],[Etica Azionario]]</f>
        <v>2.911543</v>
      </c>
      <c r="AB117">
        <f>TBL_TEV[[#This Row],[Etica Transizione Climatica]]</f>
        <v>2.1892529999999999</v>
      </c>
      <c r="AC117">
        <f>TBL_TEV[[#This Row],[Etica Obiettivo Sociale]]</f>
        <v>6.6114794987547842</v>
      </c>
      <c r="AD117">
        <f>TBL_TEV[[#This Row],[Etica Conservative Allocation]]</f>
        <v>0.56878499999999999</v>
      </c>
      <c r="AE117">
        <f>TBL_TEV[[#This Row],[Etica Dynamic Allocation]]</f>
        <v>2.0941619999999999</v>
      </c>
      <c r="AF117">
        <f>TBL_TEV[[#This Row],[Etica Global Equity]]</f>
        <v>3.1888740000000002</v>
      </c>
      <c r="AL117">
        <f ca="1"/>
        <v>1.840967</v>
      </c>
      <c r="AM117">
        <f ca="1"/>
        <v>0.28034399999999998</v>
      </c>
      <c r="AN117">
        <f ca="1"/>
        <v>1.31552</v>
      </c>
      <c r="AO117">
        <f ca="1"/>
        <v>2.0527329999999999</v>
      </c>
      <c r="AP117">
        <f ca="1"/>
        <v>2.9110670000000001</v>
      </c>
      <c r="AQ117">
        <f ca="1"/>
        <v>2.2270349999999999</v>
      </c>
      <c r="AR117">
        <f ca="1"/>
        <v>6.6057856713707706</v>
      </c>
      <c r="AS117">
        <f ca="1"/>
        <v>0.56449899999999997</v>
      </c>
      <c r="AT117">
        <f ca="1"/>
        <v>2.0771760000000001</v>
      </c>
      <c r="AU117">
        <f ca="1"/>
        <v>3.1796669999999998</v>
      </c>
    </row>
    <row r="118" spans="1:47">
      <c r="A118" s="43">
        <f>TBL_TEV[[#This Row],[Data2]]</f>
        <v>45456</v>
      </c>
      <c r="B118" cm="1">
        <f t="array" ref="B118">_xlfn.XLOOKUP(_xlfn.ANCHORARRAY(A118), TBL_Limiti_CDA[Data], TBL_Limiti_CDA[Etica Rendita Bilanciata], , -1)</f>
        <v>2.5</v>
      </c>
      <c r="C118" cm="1">
        <f t="array" ref="C118">_xlfn.XLOOKUP(_xlfn.ANCHORARRAY(A118), TBL_Limiti_CDA[Data], TBL_Limiti_CDA[Etica Obbligazionario Breve Termine], , -1)</f>
        <v>0.5</v>
      </c>
      <c r="D118" cm="1">
        <f t="array" ref="D118">_xlfn.XLOOKUP(_xlfn.ANCHORARRAY(A118), TBL_Limiti_CDA[Data], TBL_Limiti_CDA[Etica Obbligazionario Misto], , -1)</f>
        <v>1.5</v>
      </c>
      <c r="E118" cm="1">
        <f t="array" ref="E118">_xlfn.XLOOKUP(_xlfn.ANCHORARRAY(A118), TBL_Limiti_CDA[Data], TBL_Limiti_CDA[Etica Bilanciato], , -1)</f>
        <v>3</v>
      </c>
      <c r="F118" cm="1">
        <f t="array" ref="F118">_xlfn.XLOOKUP(_xlfn.ANCHORARRAY(A118), TBL_Limiti_CDA[Data], TBL_Limiti_CDA[Etica Azionario], , -1)</f>
        <v>3.5</v>
      </c>
      <c r="G118" cm="1">
        <f t="array" ref="G118">_xlfn.XLOOKUP(_xlfn.ANCHORARRAY(A118), TBL_Limiti_CDA[Data], TBL_Limiti_CDA[Etica Transizione Climatica], , -1)</f>
        <v>2.75</v>
      </c>
      <c r="H118" cm="1">
        <f t="array" ref="H118">_xlfn.XLOOKUP(_xlfn.ANCHORARRAY(A118), TBL_Limiti_CDA[Data], TBL_Limiti_CDA[Etica Obiettivo Sociale], , -1)</f>
        <v>7.49</v>
      </c>
      <c r="I118" cm="1">
        <f t="array" ref="I118">_xlfn.XLOOKUP(_xlfn.ANCHORARRAY(A118), TBL_Limiti_CDA[Data], TBL_Limiti_CDA[Etica Conservative Allocation], , -1)</f>
        <v>1.5</v>
      </c>
      <c r="J118" cm="1">
        <f t="array" ref="J118">_xlfn.XLOOKUP(_xlfn.ANCHORARRAY(A118), TBL_Limiti_CDA[Data], TBL_Limiti_CDA[Etica Dynamic Allocation], , -1)</f>
        <v>3</v>
      </c>
      <c r="K118" cm="1">
        <f t="array" ref="K118">_xlfn.XLOOKUP(_xlfn.ANCHORARRAY(A118), TBL_Limiti_CDA[Data], TBL_Limiti_CDA[Etica Global Equity], , -1)</f>
        <v>3.5</v>
      </c>
      <c r="L118" cm="1">
        <f t="array" ref="L118">_xlfn.ANCHORARRAY(B118)+0.15</f>
        <v>2.65</v>
      </c>
      <c r="M118" cm="1">
        <f t="array" ref="M118">_xlfn.ANCHORARRAY(C118)+0.1</f>
        <v>0.6</v>
      </c>
      <c r="N118" cm="1">
        <f t="array" ref="N118">_xlfn.ANCHORARRAY(D118)+0.15</f>
        <v>1.65</v>
      </c>
      <c r="O118" cm="1">
        <f t="array" ref="O118">_xlfn.ANCHORARRAY(E118)+0.15</f>
        <v>3.15</v>
      </c>
      <c r="P118" cm="1">
        <f t="array" ref="P118">_xlfn.ANCHORARRAY(F118)+0.15</f>
        <v>3.65</v>
      </c>
      <c r="Q118" cm="1">
        <f t="array" ref="Q118">_xlfn.ANCHORARRAY(G118)+0.15</f>
        <v>2.9</v>
      </c>
      <c r="R118" cm="1">
        <f t="array" ref="R118">_xlfn.ANCHORARRAY(H118)</f>
        <v>7.49</v>
      </c>
      <c r="S118" cm="1">
        <f t="array" ref="S118">_xlfn.ANCHORARRAY(R118)+0.15</f>
        <v>7.6400000000000006</v>
      </c>
      <c r="T118" cm="1">
        <f t="array" ref="T118">_xlfn.ANCHORARRAY(I118)+0.15</f>
        <v>1.65</v>
      </c>
      <c r="U118" cm="1">
        <f t="array" ref="U118">_xlfn.ANCHORARRAY(J118)+0.15</f>
        <v>3.15</v>
      </c>
      <c r="V118" cm="1">
        <f t="array" ref="V118">_xlfn.ANCHORARRAY(K118)+0.15</f>
        <v>3.65</v>
      </c>
      <c r="W118">
        <f>TBL_TEV[[#This Row],[Etica Rendita Bilanciata]]</f>
        <v>1.840967</v>
      </c>
      <c r="X118">
        <f>TBL_TEV[[#This Row],[Etica Obbligazionario Breve Termine]]</f>
        <v>0.28034399999999998</v>
      </c>
      <c r="Y118">
        <f>TBL_TEV[[#This Row],[Etica Obbligazionario Misto]]</f>
        <v>1.31552</v>
      </c>
      <c r="Z118">
        <f>TBL_TEV[[#This Row],[Etica Bilanciato]]</f>
        <v>2.0527329999999999</v>
      </c>
      <c r="AA118">
        <f>TBL_TEV[[#This Row],[Etica Azionario]]</f>
        <v>2.9110670000000001</v>
      </c>
      <c r="AB118">
        <f>TBL_TEV[[#This Row],[Etica Transizione Climatica]]</f>
        <v>2.2270349999999999</v>
      </c>
      <c r="AC118">
        <f>TBL_TEV[[#This Row],[Etica Obiettivo Sociale]]</f>
        <v>6.6057856713707706</v>
      </c>
      <c r="AD118">
        <f>TBL_TEV[[#This Row],[Etica Conservative Allocation]]</f>
        <v>0.56449899999999997</v>
      </c>
      <c r="AE118">
        <f>TBL_TEV[[#This Row],[Etica Dynamic Allocation]]</f>
        <v>2.0771760000000001</v>
      </c>
      <c r="AF118">
        <f>TBL_TEV[[#This Row],[Etica Global Equity]]</f>
        <v>3.1796669999999998</v>
      </c>
      <c r="AL118">
        <f ca="1"/>
        <v>1.822711</v>
      </c>
      <c r="AM118">
        <f ca="1"/>
        <v>0.28510600000000003</v>
      </c>
      <c r="AN118">
        <f ca="1"/>
        <v>1.30552</v>
      </c>
      <c r="AO118">
        <f ca="1"/>
        <v>2.0106649999999999</v>
      </c>
      <c r="AP118">
        <f ca="1"/>
        <v>2.9363079999999999</v>
      </c>
      <c r="AQ118">
        <f ca="1"/>
        <v>2.2608470000000001</v>
      </c>
      <c r="AR118">
        <f ca="1"/>
        <v>6.4272456464875605</v>
      </c>
      <c r="AS118">
        <f ca="1"/>
        <v>0.56021299999999996</v>
      </c>
      <c r="AT118">
        <f ca="1"/>
        <v>2.06019</v>
      </c>
      <c r="AU118">
        <f ca="1"/>
        <v>3.1704599999999998</v>
      </c>
    </row>
    <row r="119" spans="1:47">
      <c r="A119" s="43">
        <f>TBL_TEV[[#This Row],[Data2]]</f>
        <v>45457</v>
      </c>
      <c r="B119" cm="1">
        <f t="array" ref="B119">_xlfn.XLOOKUP(_xlfn.ANCHORARRAY(A119), TBL_Limiti_CDA[Data], TBL_Limiti_CDA[Etica Rendita Bilanciata], , -1)</f>
        <v>2.5</v>
      </c>
      <c r="C119" cm="1">
        <f t="array" ref="C119">_xlfn.XLOOKUP(_xlfn.ANCHORARRAY(A119), TBL_Limiti_CDA[Data], TBL_Limiti_CDA[Etica Obbligazionario Breve Termine], , -1)</f>
        <v>0.5</v>
      </c>
      <c r="D119" cm="1">
        <f t="array" ref="D119">_xlfn.XLOOKUP(_xlfn.ANCHORARRAY(A119), TBL_Limiti_CDA[Data], TBL_Limiti_CDA[Etica Obbligazionario Misto], , -1)</f>
        <v>1.5</v>
      </c>
      <c r="E119" cm="1">
        <f t="array" ref="E119">_xlfn.XLOOKUP(_xlfn.ANCHORARRAY(A119), TBL_Limiti_CDA[Data], TBL_Limiti_CDA[Etica Bilanciato], , -1)</f>
        <v>3</v>
      </c>
      <c r="F119" cm="1">
        <f t="array" ref="F119">_xlfn.XLOOKUP(_xlfn.ANCHORARRAY(A119), TBL_Limiti_CDA[Data], TBL_Limiti_CDA[Etica Azionario], , -1)</f>
        <v>3.5</v>
      </c>
      <c r="G119" cm="1">
        <f t="array" ref="G119">_xlfn.XLOOKUP(_xlfn.ANCHORARRAY(A119), TBL_Limiti_CDA[Data], TBL_Limiti_CDA[Etica Transizione Climatica], , -1)</f>
        <v>2.75</v>
      </c>
      <c r="H119" cm="1">
        <f t="array" ref="H119">_xlfn.XLOOKUP(_xlfn.ANCHORARRAY(A119), TBL_Limiti_CDA[Data], TBL_Limiti_CDA[Etica Obiettivo Sociale], , -1)</f>
        <v>7.49</v>
      </c>
      <c r="I119" cm="1">
        <f t="array" ref="I119">_xlfn.XLOOKUP(_xlfn.ANCHORARRAY(A119), TBL_Limiti_CDA[Data], TBL_Limiti_CDA[Etica Conservative Allocation], , -1)</f>
        <v>1.5</v>
      </c>
      <c r="J119" cm="1">
        <f t="array" ref="J119">_xlfn.XLOOKUP(_xlfn.ANCHORARRAY(A119), TBL_Limiti_CDA[Data], TBL_Limiti_CDA[Etica Dynamic Allocation], , -1)</f>
        <v>3</v>
      </c>
      <c r="K119" cm="1">
        <f t="array" ref="K119">_xlfn.XLOOKUP(_xlfn.ANCHORARRAY(A119), TBL_Limiti_CDA[Data], TBL_Limiti_CDA[Etica Global Equity], , -1)</f>
        <v>3.5</v>
      </c>
      <c r="L119" cm="1">
        <f t="array" ref="L119">_xlfn.ANCHORARRAY(B119)+0.15</f>
        <v>2.65</v>
      </c>
      <c r="M119" cm="1">
        <f t="array" ref="M119">_xlfn.ANCHORARRAY(C119)+0.1</f>
        <v>0.6</v>
      </c>
      <c r="N119" cm="1">
        <f t="array" ref="N119">_xlfn.ANCHORARRAY(D119)+0.15</f>
        <v>1.65</v>
      </c>
      <c r="O119" cm="1">
        <f t="array" ref="O119">_xlfn.ANCHORARRAY(E119)+0.15</f>
        <v>3.15</v>
      </c>
      <c r="P119" cm="1">
        <f t="array" ref="P119">_xlfn.ANCHORARRAY(F119)+0.15</f>
        <v>3.65</v>
      </c>
      <c r="Q119" cm="1">
        <f t="array" ref="Q119">_xlfn.ANCHORARRAY(G119)+0.15</f>
        <v>2.9</v>
      </c>
      <c r="R119" cm="1">
        <f t="array" ref="R119">_xlfn.ANCHORARRAY(H119)</f>
        <v>7.49</v>
      </c>
      <c r="S119" cm="1">
        <f t="array" ref="S119">_xlfn.ANCHORARRAY(R119)+0.15</f>
        <v>7.6400000000000006</v>
      </c>
      <c r="T119" cm="1">
        <f t="array" ref="T119">_xlfn.ANCHORARRAY(I119)+0.15</f>
        <v>1.65</v>
      </c>
      <c r="U119" cm="1">
        <f t="array" ref="U119">_xlfn.ANCHORARRAY(J119)+0.15</f>
        <v>3.15</v>
      </c>
      <c r="V119" cm="1">
        <f t="array" ref="V119">_xlfn.ANCHORARRAY(K119)+0.15</f>
        <v>3.65</v>
      </c>
      <c r="W119">
        <f>TBL_TEV[[#This Row],[Etica Rendita Bilanciata]]</f>
        <v>1.822711</v>
      </c>
      <c r="X119">
        <f>TBL_TEV[[#This Row],[Etica Obbligazionario Breve Termine]]</f>
        <v>0.28510600000000003</v>
      </c>
      <c r="Y119">
        <f>TBL_TEV[[#This Row],[Etica Obbligazionario Misto]]</f>
        <v>1.30552</v>
      </c>
      <c r="Z119">
        <f>TBL_TEV[[#This Row],[Etica Bilanciato]]</f>
        <v>2.0106649999999999</v>
      </c>
      <c r="AA119">
        <f>TBL_TEV[[#This Row],[Etica Azionario]]</f>
        <v>2.9363079999999999</v>
      </c>
      <c r="AB119">
        <f>TBL_TEV[[#This Row],[Etica Transizione Climatica]]</f>
        <v>2.2608470000000001</v>
      </c>
      <c r="AC119">
        <f>TBL_TEV[[#This Row],[Etica Obiettivo Sociale]]</f>
        <v>6.4272456464875605</v>
      </c>
      <c r="AD119">
        <f>TBL_TEV[[#This Row],[Etica Conservative Allocation]]</f>
        <v>0.56021299999999996</v>
      </c>
      <c r="AE119">
        <f>TBL_TEV[[#This Row],[Etica Dynamic Allocation]]</f>
        <v>2.06019</v>
      </c>
      <c r="AF119">
        <f>TBL_TEV[[#This Row],[Etica Global Equity]]</f>
        <v>3.1704599999999998</v>
      </c>
      <c r="AL119">
        <f ca="1"/>
        <v>1.8206469999999999</v>
      </c>
      <c r="AM119">
        <f ca="1"/>
        <v>0.28304200000000002</v>
      </c>
      <c r="AN119">
        <f ca="1"/>
        <v>1.480615</v>
      </c>
      <c r="AO119">
        <f ca="1"/>
        <v>2.0074900000000002</v>
      </c>
      <c r="AP119">
        <f ca="1"/>
        <v>2.9088449999999999</v>
      </c>
      <c r="AQ119">
        <f ca="1"/>
        <v>2.2492589999999999</v>
      </c>
      <c r="AR119">
        <f ca="1"/>
        <v>6.4098919533445953</v>
      </c>
      <c r="AS119">
        <f ca="1"/>
        <v>0.55592699999999995</v>
      </c>
      <c r="AT119">
        <f ca="1"/>
        <v>2.0432039999999998</v>
      </c>
      <c r="AU119">
        <f ca="1"/>
        <v>3.1612529999999999</v>
      </c>
    </row>
    <row r="120" spans="1:47">
      <c r="A120" s="43">
        <f>TBL_TEV[[#This Row],[Data2]]</f>
        <v>45460</v>
      </c>
      <c r="B120" cm="1">
        <f t="array" ref="B120">_xlfn.XLOOKUP(_xlfn.ANCHORARRAY(A120), TBL_Limiti_CDA[Data], TBL_Limiti_CDA[Etica Rendita Bilanciata], , -1)</f>
        <v>2.5</v>
      </c>
      <c r="C120" cm="1">
        <f t="array" ref="C120">_xlfn.XLOOKUP(_xlfn.ANCHORARRAY(A120), TBL_Limiti_CDA[Data], TBL_Limiti_CDA[Etica Obbligazionario Breve Termine], , -1)</f>
        <v>0.5</v>
      </c>
      <c r="D120" cm="1">
        <f t="array" ref="D120">_xlfn.XLOOKUP(_xlfn.ANCHORARRAY(A120), TBL_Limiti_CDA[Data], TBL_Limiti_CDA[Etica Obbligazionario Misto], , -1)</f>
        <v>1.5</v>
      </c>
      <c r="E120" cm="1">
        <f t="array" ref="E120">_xlfn.XLOOKUP(_xlfn.ANCHORARRAY(A120), TBL_Limiti_CDA[Data], TBL_Limiti_CDA[Etica Bilanciato], , -1)</f>
        <v>3</v>
      </c>
      <c r="F120" cm="1">
        <f t="array" ref="F120">_xlfn.XLOOKUP(_xlfn.ANCHORARRAY(A120), TBL_Limiti_CDA[Data], TBL_Limiti_CDA[Etica Azionario], , -1)</f>
        <v>3.5</v>
      </c>
      <c r="G120" cm="1">
        <f t="array" ref="G120">_xlfn.XLOOKUP(_xlfn.ANCHORARRAY(A120), TBL_Limiti_CDA[Data], TBL_Limiti_CDA[Etica Transizione Climatica], , -1)</f>
        <v>2.75</v>
      </c>
      <c r="H120" cm="1">
        <f t="array" ref="H120">_xlfn.XLOOKUP(_xlfn.ANCHORARRAY(A120), TBL_Limiti_CDA[Data], TBL_Limiti_CDA[Etica Obiettivo Sociale], , -1)</f>
        <v>7.49</v>
      </c>
      <c r="I120" cm="1">
        <f t="array" ref="I120">_xlfn.XLOOKUP(_xlfn.ANCHORARRAY(A120), TBL_Limiti_CDA[Data], TBL_Limiti_CDA[Etica Conservative Allocation], , -1)</f>
        <v>1.5</v>
      </c>
      <c r="J120" cm="1">
        <f t="array" ref="J120">_xlfn.XLOOKUP(_xlfn.ANCHORARRAY(A120), TBL_Limiti_CDA[Data], TBL_Limiti_CDA[Etica Dynamic Allocation], , -1)</f>
        <v>3</v>
      </c>
      <c r="K120" cm="1">
        <f t="array" ref="K120">_xlfn.XLOOKUP(_xlfn.ANCHORARRAY(A120), TBL_Limiti_CDA[Data], TBL_Limiti_CDA[Etica Global Equity], , -1)</f>
        <v>3.5</v>
      </c>
      <c r="L120" cm="1">
        <f t="array" ref="L120">_xlfn.ANCHORARRAY(B120)+0.15</f>
        <v>2.65</v>
      </c>
      <c r="M120" cm="1">
        <f t="array" ref="M120">_xlfn.ANCHORARRAY(C120)+0.1</f>
        <v>0.6</v>
      </c>
      <c r="N120" cm="1">
        <f t="array" ref="N120">_xlfn.ANCHORARRAY(D120)+0.15</f>
        <v>1.65</v>
      </c>
      <c r="O120" cm="1">
        <f t="array" ref="O120">_xlfn.ANCHORARRAY(E120)+0.15</f>
        <v>3.15</v>
      </c>
      <c r="P120" cm="1">
        <f t="array" ref="P120">_xlfn.ANCHORARRAY(F120)+0.15</f>
        <v>3.65</v>
      </c>
      <c r="Q120" cm="1">
        <f t="array" ref="Q120">_xlfn.ANCHORARRAY(G120)+0.15</f>
        <v>2.9</v>
      </c>
      <c r="R120" cm="1">
        <f t="array" ref="R120">_xlfn.ANCHORARRAY(H120)</f>
        <v>7.49</v>
      </c>
      <c r="S120" cm="1">
        <f t="array" ref="S120">_xlfn.ANCHORARRAY(R120)+0.15</f>
        <v>7.6400000000000006</v>
      </c>
      <c r="T120" cm="1">
        <f t="array" ref="T120">_xlfn.ANCHORARRAY(I120)+0.15</f>
        <v>1.65</v>
      </c>
      <c r="U120" cm="1">
        <f t="array" ref="U120">_xlfn.ANCHORARRAY(J120)+0.15</f>
        <v>3.15</v>
      </c>
      <c r="V120" cm="1">
        <f t="array" ref="V120">_xlfn.ANCHORARRAY(K120)+0.15</f>
        <v>3.65</v>
      </c>
      <c r="W120">
        <f>TBL_TEV[[#This Row],[Etica Rendita Bilanciata]]</f>
        <v>1.8206469999999999</v>
      </c>
      <c r="X120">
        <f>TBL_TEV[[#This Row],[Etica Obbligazionario Breve Termine]]</f>
        <v>0.28304200000000002</v>
      </c>
      <c r="Y120">
        <f>TBL_TEV[[#This Row],[Etica Obbligazionario Misto]]</f>
        <v>1.480615</v>
      </c>
      <c r="Z120">
        <f>TBL_TEV[[#This Row],[Etica Bilanciato]]</f>
        <v>2.0074900000000002</v>
      </c>
      <c r="AA120">
        <f>TBL_TEV[[#This Row],[Etica Azionario]]</f>
        <v>2.9088449999999999</v>
      </c>
      <c r="AB120">
        <f>TBL_TEV[[#This Row],[Etica Transizione Climatica]]</f>
        <v>2.2492589999999999</v>
      </c>
      <c r="AC120">
        <f>TBL_TEV[[#This Row],[Etica Obiettivo Sociale]]</f>
        <v>6.4098919533445953</v>
      </c>
      <c r="AD120">
        <f>TBL_TEV[[#This Row],[Etica Conservative Allocation]]</f>
        <v>0.55592699999999995</v>
      </c>
      <c r="AE120">
        <f>TBL_TEV[[#This Row],[Etica Dynamic Allocation]]</f>
        <v>2.0432039999999998</v>
      </c>
      <c r="AF120">
        <f>TBL_TEV[[#This Row],[Etica Global Equity]]</f>
        <v>3.1612529999999999</v>
      </c>
      <c r="AL120">
        <f ca="1"/>
        <v>2.0717819999999998</v>
      </c>
      <c r="AM120">
        <f ca="1"/>
        <v>0.28145500000000001</v>
      </c>
      <c r="AN120">
        <f ca="1"/>
        <v>1.3982270000000001</v>
      </c>
      <c r="AO120">
        <f ca="1"/>
        <v>2.0532089999999998</v>
      </c>
      <c r="AP120">
        <f ca="1"/>
        <v>2.9515470000000001</v>
      </c>
      <c r="AQ120">
        <f ca="1"/>
        <v>2.265927</v>
      </c>
      <c r="AR120">
        <f ca="1"/>
        <v>6.4313746969077208</v>
      </c>
      <c r="AS120">
        <f ca="1"/>
        <v>0.55164100000000005</v>
      </c>
      <c r="AT120">
        <f ca="1"/>
        <v>2.0262180000000001</v>
      </c>
      <c r="AU120">
        <f ca="1"/>
        <v>3.1520459999999999</v>
      </c>
    </row>
    <row r="121" spans="1:47">
      <c r="A121" s="43">
        <f>TBL_TEV[[#This Row],[Data2]]</f>
        <v>45461</v>
      </c>
      <c r="B121" cm="1">
        <f t="array" ref="B121">_xlfn.XLOOKUP(_xlfn.ANCHORARRAY(A121), TBL_Limiti_CDA[Data], TBL_Limiti_CDA[Etica Rendita Bilanciata], , -1)</f>
        <v>2.5</v>
      </c>
      <c r="C121" cm="1">
        <f t="array" ref="C121">_xlfn.XLOOKUP(_xlfn.ANCHORARRAY(A121), TBL_Limiti_CDA[Data], TBL_Limiti_CDA[Etica Obbligazionario Breve Termine], , -1)</f>
        <v>0.5</v>
      </c>
      <c r="D121" cm="1">
        <f t="array" ref="D121">_xlfn.XLOOKUP(_xlfn.ANCHORARRAY(A121), TBL_Limiti_CDA[Data], TBL_Limiti_CDA[Etica Obbligazionario Misto], , -1)</f>
        <v>1.5</v>
      </c>
      <c r="E121" cm="1">
        <f t="array" ref="E121">_xlfn.XLOOKUP(_xlfn.ANCHORARRAY(A121), TBL_Limiti_CDA[Data], TBL_Limiti_CDA[Etica Bilanciato], , -1)</f>
        <v>3</v>
      </c>
      <c r="F121" cm="1">
        <f t="array" ref="F121">_xlfn.XLOOKUP(_xlfn.ANCHORARRAY(A121), TBL_Limiti_CDA[Data], TBL_Limiti_CDA[Etica Azionario], , -1)</f>
        <v>3.5</v>
      </c>
      <c r="G121" cm="1">
        <f t="array" ref="G121">_xlfn.XLOOKUP(_xlfn.ANCHORARRAY(A121), TBL_Limiti_CDA[Data], TBL_Limiti_CDA[Etica Transizione Climatica], , -1)</f>
        <v>2.75</v>
      </c>
      <c r="H121" cm="1">
        <f t="array" ref="H121">_xlfn.XLOOKUP(_xlfn.ANCHORARRAY(A121), TBL_Limiti_CDA[Data], TBL_Limiti_CDA[Etica Obiettivo Sociale], , -1)</f>
        <v>7.49</v>
      </c>
      <c r="I121" cm="1">
        <f t="array" ref="I121">_xlfn.XLOOKUP(_xlfn.ANCHORARRAY(A121), TBL_Limiti_CDA[Data], TBL_Limiti_CDA[Etica Conservative Allocation], , -1)</f>
        <v>1.5</v>
      </c>
      <c r="J121" cm="1">
        <f t="array" ref="J121">_xlfn.XLOOKUP(_xlfn.ANCHORARRAY(A121), TBL_Limiti_CDA[Data], TBL_Limiti_CDA[Etica Dynamic Allocation], , -1)</f>
        <v>3</v>
      </c>
      <c r="K121" cm="1">
        <f t="array" ref="K121">_xlfn.XLOOKUP(_xlfn.ANCHORARRAY(A121), TBL_Limiti_CDA[Data], TBL_Limiti_CDA[Etica Global Equity], , -1)</f>
        <v>3.5</v>
      </c>
      <c r="L121" cm="1">
        <f t="array" ref="L121">_xlfn.ANCHORARRAY(B121)+0.15</f>
        <v>2.65</v>
      </c>
      <c r="M121" cm="1">
        <f t="array" ref="M121">_xlfn.ANCHORARRAY(C121)+0.1</f>
        <v>0.6</v>
      </c>
      <c r="N121" cm="1">
        <f t="array" ref="N121">_xlfn.ANCHORARRAY(D121)+0.15</f>
        <v>1.65</v>
      </c>
      <c r="O121" cm="1">
        <f t="array" ref="O121">_xlfn.ANCHORARRAY(E121)+0.15</f>
        <v>3.15</v>
      </c>
      <c r="P121" cm="1">
        <f t="array" ref="P121">_xlfn.ANCHORARRAY(F121)+0.15</f>
        <v>3.65</v>
      </c>
      <c r="Q121" cm="1">
        <f t="array" ref="Q121">_xlfn.ANCHORARRAY(G121)+0.15</f>
        <v>2.9</v>
      </c>
      <c r="R121" cm="1">
        <f t="array" ref="R121">_xlfn.ANCHORARRAY(H121)</f>
        <v>7.49</v>
      </c>
      <c r="S121" cm="1">
        <f t="array" ref="S121">_xlfn.ANCHORARRAY(R121)+0.15</f>
        <v>7.6400000000000006</v>
      </c>
      <c r="T121" cm="1">
        <f t="array" ref="T121">_xlfn.ANCHORARRAY(I121)+0.15</f>
        <v>1.65</v>
      </c>
      <c r="U121" cm="1">
        <f t="array" ref="U121">_xlfn.ANCHORARRAY(J121)+0.15</f>
        <v>3.15</v>
      </c>
      <c r="V121" cm="1">
        <f t="array" ref="V121">_xlfn.ANCHORARRAY(K121)+0.15</f>
        <v>3.65</v>
      </c>
      <c r="W121">
        <f>TBL_TEV[[#This Row],[Etica Rendita Bilanciata]]</f>
        <v>2.0717819999999998</v>
      </c>
      <c r="X121">
        <f>TBL_TEV[[#This Row],[Etica Obbligazionario Breve Termine]]</f>
        <v>0.28145500000000001</v>
      </c>
      <c r="Y121">
        <f>TBL_TEV[[#This Row],[Etica Obbligazionario Misto]]</f>
        <v>1.3982270000000001</v>
      </c>
      <c r="Z121">
        <f>TBL_TEV[[#This Row],[Etica Bilanciato]]</f>
        <v>2.0532089999999998</v>
      </c>
      <c r="AA121">
        <f>TBL_TEV[[#This Row],[Etica Azionario]]</f>
        <v>2.9515470000000001</v>
      </c>
      <c r="AB121">
        <f>TBL_TEV[[#This Row],[Etica Transizione Climatica]]</f>
        <v>2.265927</v>
      </c>
      <c r="AC121">
        <f>TBL_TEV[[#This Row],[Etica Obiettivo Sociale]]</f>
        <v>6.4313746969077208</v>
      </c>
      <c r="AD121">
        <f>TBL_TEV[[#This Row],[Etica Conservative Allocation]]</f>
        <v>0.55164100000000005</v>
      </c>
      <c r="AE121">
        <f>TBL_TEV[[#This Row],[Etica Dynamic Allocation]]</f>
        <v>2.0262180000000001</v>
      </c>
      <c r="AF121">
        <f>TBL_TEV[[#This Row],[Etica Global Equity]]</f>
        <v>3.1520459999999999</v>
      </c>
      <c r="AL121">
        <f ca="1"/>
        <v>2.0676549999999998</v>
      </c>
      <c r="AM121">
        <f ca="1"/>
        <v>0.27970899999999999</v>
      </c>
      <c r="AN121">
        <f ca="1"/>
        <v>1.4552160000000001</v>
      </c>
      <c r="AO121">
        <f ca="1"/>
        <v>2.1352799999999998</v>
      </c>
      <c r="AP121">
        <f ca="1"/>
        <v>2.9505949999999999</v>
      </c>
      <c r="AQ121">
        <f ca="1"/>
        <v>2.3299020000000001</v>
      </c>
      <c r="AR121">
        <f ca="1"/>
        <v>6.4402573239018279</v>
      </c>
      <c r="AS121">
        <f ca="1"/>
        <v>0.54735500000000004</v>
      </c>
      <c r="AT121">
        <f ca="1"/>
        <v>2.0092319999999999</v>
      </c>
      <c r="AU121">
        <f ca="1"/>
        <v>3.1428389999999999</v>
      </c>
    </row>
    <row r="122" spans="1:47">
      <c r="A122" s="43">
        <f>TBL_TEV[[#This Row],[Data2]]</f>
        <v>45462</v>
      </c>
      <c r="B122" cm="1">
        <f t="array" ref="B122">_xlfn.XLOOKUP(_xlfn.ANCHORARRAY(A122), TBL_Limiti_CDA[Data], TBL_Limiti_CDA[Etica Rendita Bilanciata], , -1)</f>
        <v>2.5</v>
      </c>
      <c r="C122" cm="1">
        <f t="array" ref="C122">_xlfn.XLOOKUP(_xlfn.ANCHORARRAY(A122), TBL_Limiti_CDA[Data], TBL_Limiti_CDA[Etica Obbligazionario Breve Termine], , -1)</f>
        <v>0.5</v>
      </c>
      <c r="D122" cm="1">
        <f t="array" ref="D122">_xlfn.XLOOKUP(_xlfn.ANCHORARRAY(A122), TBL_Limiti_CDA[Data], TBL_Limiti_CDA[Etica Obbligazionario Misto], , -1)</f>
        <v>1.5</v>
      </c>
      <c r="E122" cm="1">
        <f t="array" ref="E122">_xlfn.XLOOKUP(_xlfn.ANCHORARRAY(A122), TBL_Limiti_CDA[Data], TBL_Limiti_CDA[Etica Bilanciato], , -1)</f>
        <v>3</v>
      </c>
      <c r="F122" cm="1">
        <f t="array" ref="F122">_xlfn.XLOOKUP(_xlfn.ANCHORARRAY(A122), TBL_Limiti_CDA[Data], TBL_Limiti_CDA[Etica Azionario], , -1)</f>
        <v>3.5</v>
      </c>
      <c r="G122" cm="1">
        <f t="array" ref="G122">_xlfn.XLOOKUP(_xlfn.ANCHORARRAY(A122), TBL_Limiti_CDA[Data], TBL_Limiti_CDA[Etica Transizione Climatica], , -1)</f>
        <v>2.75</v>
      </c>
      <c r="H122" cm="1">
        <f t="array" ref="H122">_xlfn.XLOOKUP(_xlfn.ANCHORARRAY(A122), TBL_Limiti_CDA[Data], TBL_Limiti_CDA[Etica Obiettivo Sociale], , -1)</f>
        <v>7.49</v>
      </c>
      <c r="I122" cm="1">
        <f t="array" ref="I122">_xlfn.XLOOKUP(_xlfn.ANCHORARRAY(A122), TBL_Limiti_CDA[Data], TBL_Limiti_CDA[Etica Conservative Allocation], , -1)</f>
        <v>1.5</v>
      </c>
      <c r="J122" cm="1">
        <f t="array" ref="J122">_xlfn.XLOOKUP(_xlfn.ANCHORARRAY(A122), TBL_Limiti_CDA[Data], TBL_Limiti_CDA[Etica Dynamic Allocation], , -1)</f>
        <v>3</v>
      </c>
      <c r="K122" cm="1">
        <f t="array" ref="K122">_xlfn.XLOOKUP(_xlfn.ANCHORARRAY(A122), TBL_Limiti_CDA[Data], TBL_Limiti_CDA[Etica Global Equity], , -1)</f>
        <v>3.5</v>
      </c>
      <c r="L122" cm="1">
        <f t="array" ref="L122">_xlfn.ANCHORARRAY(B122)+0.15</f>
        <v>2.65</v>
      </c>
      <c r="M122" cm="1">
        <f t="array" ref="M122">_xlfn.ANCHORARRAY(C122)+0.1</f>
        <v>0.6</v>
      </c>
      <c r="N122" cm="1">
        <f t="array" ref="N122">_xlfn.ANCHORARRAY(D122)+0.15</f>
        <v>1.65</v>
      </c>
      <c r="O122" cm="1">
        <f t="array" ref="O122">_xlfn.ANCHORARRAY(E122)+0.15</f>
        <v>3.15</v>
      </c>
      <c r="P122" cm="1">
        <f t="array" ref="P122">_xlfn.ANCHORARRAY(F122)+0.15</f>
        <v>3.65</v>
      </c>
      <c r="Q122" cm="1">
        <f t="array" ref="Q122">_xlfn.ANCHORARRAY(G122)+0.15</f>
        <v>2.9</v>
      </c>
      <c r="R122" cm="1">
        <f t="array" ref="R122">_xlfn.ANCHORARRAY(H122)</f>
        <v>7.49</v>
      </c>
      <c r="S122" cm="1">
        <f t="array" ref="S122">_xlfn.ANCHORARRAY(R122)+0.15</f>
        <v>7.6400000000000006</v>
      </c>
      <c r="T122" cm="1">
        <f t="array" ref="T122">_xlfn.ANCHORARRAY(I122)+0.15</f>
        <v>1.65</v>
      </c>
      <c r="U122" cm="1">
        <f t="array" ref="U122">_xlfn.ANCHORARRAY(J122)+0.15</f>
        <v>3.15</v>
      </c>
      <c r="V122" cm="1">
        <f t="array" ref="V122">_xlfn.ANCHORARRAY(K122)+0.15</f>
        <v>3.65</v>
      </c>
      <c r="W122">
        <f>TBL_TEV[[#This Row],[Etica Rendita Bilanciata]]</f>
        <v>2.0676549999999998</v>
      </c>
      <c r="X122">
        <f>TBL_TEV[[#This Row],[Etica Obbligazionario Breve Termine]]</f>
        <v>0.27970899999999999</v>
      </c>
      <c r="Y122">
        <f>TBL_TEV[[#This Row],[Etica Obbligazionario Misto]]</f>
        <v>1.4552160000000001</v>
      </c>
      <c r="Z122">
        <f>TBL_TEV[[#This Row],[Etica Bilanciato]]</f>
        <v>2.1352799999999998</v>
      </c>
      <c r="AA122">
        <f>TBL_TEV[[#This Row],[Etica Azionario]]</f>
        <v>2.9505949999999999</v>
      </c>
      <c r="AB122">
        <f>TBL_TEV[[#This Row],[Etica Transizione Climatica]]</f>
        <v>2.3299020000000001</v>
      </c>
      <c r="AC122">
        <f>TBL_TEV[[#This Row],[Etica Obiettivo Sociale]]</f>
        <v>6.4402573239018279</v>
      </c>
      <c r="AD122">
        <f>TBL_TEV[[#This Row],[Etica Conservative Allocation]]</f>
        <v>0.54735500000000004</v>
      </c>
      <c r="AE122">
        <f>TBL_TEV[[#This Row],[Etica Dynamic Allocation]]</f>
        <v>2.0092319999999999</v>
      </c>
      <c r="AF122">
        <f>TBL_TEV[[#This Row],[Etica Global Equity]]</f>
        <v>3.1428389999999999</v>
      </c>
      <c r="AL122">
        <f ca="1"/>
        <v>2.0459070000000001</v>
      </c>
      <c r="AM122">
        <f ca="1"/>
        <v>0.27732800000000002</v>
      </c>
      <c r="AN122">
        <f ca="1"/>
        <v>1.4456910000000001</v>
      </c>
      <c r="AO122">
        <f ca="1"/>
        <v>2.1100400000000001</v>
      </c>
      <c r="AP122">
        <f ca="1"/>
        <v>2.885351</v>
      </c>
      <c r="AQ122">
        <f ca="1"/>
        <v>2.307518</v>
      </c>
      <c r="AR122">
        <f ca="1"/>
        <v>6.3739567704682472</v>
      </c>
      <c r="AS122">
        <f ca="1"/>
        <v>0.54306900000000002</v>
      </c>
      <c r="AT122">
        <f ca="1"/>
        <v>1.992246</v>
      </c>
      <c r="AU122">
        <f ca="1"/>
        <v>3.133632</v>
      </c>
    </row>
    <row r="123" spans="1:47">
      <c r="A123" s="43">
        <f>TBL_TEV[[#This Row],[Data2]]</f>
        <v>45463</v>
      </c>
      <c r="B123" cm="1">
        <f t="array" ref="B123">_xlfn.XLOOKUP(_xlfn.ANCHORARRAY(A123), TBL_Limiti_CDA[Data], TBL_Limiti_CDA[Etica Rendita Bilanciata], , -1)</f>
        <v>2.5</v>
      </c>
      <c r="C123" cm="1">
        <f t="array" ref="C123">_xlfn.XLOOKUP(_xlfn.ANCHORARRAY(A123), TBL_Limiti_CDA[Data], TBL_Limiti_CDA[Etica Obbligazionario Breve Termine], , -1)</f>
        <v>0.5</v>
      </c>
      <c r="D123" cm="1">
        <f t="array" ref="D123">_xlfn.XLOOKUP(_xlfn.ANCHORARRAY(A123), TBL_Limiti_CDA[Data], TBL_Limiti_CDA[Etica Obbligazionario Misto], , -1)</f>
        <v>1.5</v>
      </c>
      <c r="E123" cm="1">
        <f t="array" ref="E123">_xlfn.XLOOKUP(_xlfn.ANCHORARRAY(A123), TBL_Limiti_CDA[Data], TBL_Limiti_CDA[Etica Bilanciato], , -1)</f>
        <v>3</v>
      </c>
      <c r="F123" cm="1">
        <f t="array" ref="F123">_xlfn.XLOOKUP(_xlfn.ANCHORARRAY(A123), TBL_Limiti_CDA[Data], TBL_Limiti_CDA[Etica Azionario], , -1)</f>
        <v>3.5</v>
      </c>
      <c r="G123" cm="1">
        <f t="array" ref="G123">_xlfn.XLOOKUP(_xlfn.ANCHORARRAY(A123), TBL_Limiti_CDA[Data], TBL_Limiti_CDA[Etica Transizione Climatica], , -1)</f>
        <v>2.75</v>
      </c>
      <c r="H123" cm="1">
        <f t="array" ref="H123">_xlfn.XLOOKUP(_xlfn.ANCHORARRAY(A123), TBL_Limiti_CDA[Data], TBL_Limiti_CDA[Etica Obiettivo Sociale], , -1)</f>
        <v>7.49</v>
      </c>
      <c r="I123" cm="1">
        <f t="array" ref="I123">_xlfn.XLOOKUP(_xlfn.ANCHORARRAY(A123), TBL_Limiti_CDA[Data], TBL_Limiti_CDA[Etica Conservative Allocation], , -1)</f>
        <v>1.5</v>
      </c>
      <c r="J123" cm="1">
        <f t="array" ref="J123">_xlfn.XLOOKUP(_xlfn.ANCHORARRAY(A123), TBL_Limiti_CDA[Data], TBL_Limiti_CDA[Etica Dynamic Allocation], , -1)</f>
        <v>3</v>
      </c>
      <c r="K123" cm="1">
        <f t="array" ref="K123">_xlfn.XLOOKUP(_xlfn.ANCHORARRAY(A123), TBL_Limiti_CDA[Data], TBL_Limiti_CDA[Etica Global Equity], , -1)</f>
        <v>3.5</v>
      </c>
      <c r="L123" cm="1">
        <f t="array" ref="L123">_xlfn.ANCHORARRAY(B123)+0.15</f>
        <v>2.65</v>
      </c>
      <c r="M123" cm="1">
        <f t="array" ref="M123">_xlfn.ANCHORARRAY(C123)+0.1</f>
        <v>0.6</v>
      </c>
      <c r="N123" cm="1">
        <f t="array" ref="N123">_xlfn.ANCHORARRAY(D123)+0.15</f>
        <v>1.65</v>
      </c>
      <c r="O123" cm="1">
        <f t="array" ref="O123">_xlfn.ANCHORARRAY(E123)+0.15</f>
        <v>3.15</v>
      </c>
      <c r="P123" cm="1">
        <f t="array" ref="P123">_xlfn.ANCHORARRAY(F123)+0.15</f>
        <v>3.65</v>
      </c>
      <c r="Q123" cm="1">
        <f t="array" ref="Q123">_xlfn.ANCHORARRAY(G123)+0.15</f>
        <v>2.9</v>
      </c>
      <c r="R123" cm="1">
        <f t="array" ref="R123">_xlfn.ANCHORARRAY(H123)</f>
        <v>7.49</v>
      </c>
      <c r="S123" cm="1">
        <f t="array" ref="S123">_xlfn.ANCHORARRAY(R123)+0.15</f>
        <v>7.6400000000000006</v>
      </c>
      <c r="T123" cm="1">
        <f t="array" ref="T123">_xlfn.ANCHORARRAY(I123)+0.15</f>
        <v>1.65</v>
      </c>
      <c r="U123" cm="1">
        <f t="array" ref="U123">_xlfn.ANCHORARRAY(J123)+0.15</f>
        <v>3.15</v>
      </c>
      <c r="V123" cm="1">
        <f t="array" ref="V123">_xlfn.ANCHORARRAY(K123)+0.15</f>
        <v>3.65</v>
      </c>
      <c r="W123">
        <f>TBL_TEV[[#This Row],[Etica Rendita Bilanciata]]</f>
        <v>2.0459070000000001</v>
      </c>
      <c r="X123">
        <f>TBL_TEV[[#This Row],[Etica Obbligazionario Breve Termine]]</f>
        <v>0.27732800000000002</v>
      </c>
      <c r="Y123">
        <f>TBL_TEV[[#This Row],[Etica Obbligazionario Misto]]</f>
        <v>1.4456910000000001</v>
      </c>
      <c r="Z123">
        <f>TBL_TEV[[#This Row],[Etica Bilanciato]]</f>
        <v>2.1100400000000001</v>
      </c>
      <c r="AA123">
        <f>TBL_TEV[[#This Row],[Etica Azionario]]</f>
        <v>2.885351</v>
      </c>
      <c r="AB123">
        <f>TBL_TEV[[#This Row],[Etica Transizione Climatica]]</f>
        <v>2.307518</v>
      </c>
      <c r="AC123">
        <f>TBL_TEV[[#This Row],[Etica Obiettivo Sociale]]</f>
        <v>6.3739567704682472</v>
      </c>
      <c r="AD123">
        <f>TBL_TEV[[#This Row],[Etica Conservative Allocation]]</f>
        <v>0.54306900000000002</v>
      </c>
      <c r="AE123">
        <f>TBL_TEV[[#This Row],[Etica Dynamic Allocation]]</f>
        <v>1.992246</v>
      </c>
      <c r="AF123">
        <f>TBL_TEV[[#This Row],[Etica Global Equity]]</f>
        <v>3.133632</v>
      </c>
      <c r="AL123">
        <f ca="1"/>
        <v>2.0300319999999998</v>
      </c>
      <c r="AM123">
        <f ca="1"/>
        <v>0.27589900000000001</v>
      </c>
      <c r="AN123">
        <f ca="1"/>
        <v>1.437119</v>
      </c>
      <c r="AO123">
        <f ca="1"/>
        <v>2.0952760000000001</v>
      </c>
      <c r="AP123">
        <f ca="1"/>
        <v>2.8658250000000001</v>
      </c>
      <c r="AQ123">
        <f ca="1"/>
        <v>2.2967240000000002</v>
      </c>
      <c r="AR123">
        <f ca="1"/>
        <v>6.3167578737966732</v>
      </c>
      <c r="AS123">
        <f ca="1"/>
        <v>0.53878300000000001</v>
      </c>
      <c r="AT123">
        <f ca="1"/>
        <v>1.97526</v>
      </c>
      <c r="AU123">
        <f ca="1"/>
        <v>3.124425</v>
      </c>
    </row>
    <row r="124" spans="1:47">
      <c r="A124" s="43">
        <f>TBL_TEV[[#This Row],[Data2]]</f>
        <v>45464</v>
      </c>
      <c r="B124" cm="1">
        <f t="array" ref="B124">_xlfn.XLOOKUP(_xlfn.ANCHORARRAY(A124), TBL_Limiti_CDA[Data], TBL_Limiti_CDA[Etica Rendita Bilanciata], , -1)</f>
        <v>2.5</v>
      </c>
      <c r="C124" cm="1">
        <f t="array" ref="C124">_xlfn.XLOOKUP(_xlfn.ANCHORARRAY(A124), TBL_Limiti_CDA[Data], TBL_Limiti_CDA[Etica Obbligazionario Breve Termine], , -1)</f>
        <v>0.5</v>
      </c>
      <c r="D124" cm="1">
        <f t="array" ref="D124">_xlfn.XLOOKUP(_xlfn.ANCHORARRAY(A124), TBL_Limiti_CDA[Data], TBL_Limiti_CDA[Etica Obbligazionario Misto], , -1)</f>
        <v>1.5</v>
      </c>
      <c r="E124" cm="1">
        <f t="array" ref="E124">_xlfn.XLOOKUP(_xlfn.ANCHORARRAY(A124), TBL_Limiti_CDA[Data], TBL_Limiti_CDA[Etica Bilanciato], , -1)</f>
        <v>3</v>
      </c>
      <c r="F124" cm="1">
        <f t="array" ref="F124">_xlfn.XLOOKUP(_xlfn.ANCHORARRAY(A124), TBL_Limiti_CDA[Data], TBL_Limiti_CDA[Etica Azionario], , -1)</f>
        <v>3.5</v>
      </c>
      <c r="G124" cm="1">
        <f t="array" ref="G124">_xlfn.XLOOKUP(_xlfn.ANCHORARRAY(A124), TBL_Limiti_CDA[Data], TBL_Limiti_CDA[Etica Transizione Climatica], , -1)</f>
        <v>2.75</v>
      </c>
      <c r="H124" cm="1">
        <f t="array" ref="H124">_xlfn.XLOOKUP(_xlfn.ANCHORARRAY(A124), TBL_Limiti_CDA[Data], TBL_Limiti_CDA[Etica Obiettivo Sociale], , -1)</f>
        <v>7.49</v>
      </c>
      <c r="I124" cm="1">
        <f t="array" ref="I124">_xlfn.XLOOKUP(_xlfn.ANCHORARRAY(A124), TBL_Limiti_CDA[Data], TBL_Limiti_CDA[Etica Conservative Allocation], , -1)</f>
        <v>1.5</v>
      </c>
      <c r="J124" cm="1">
        <f t="array" ref="J124">_xlfn.XLOOKUP(_xlfn.ANCHORARRAY(A124), TBL_Limiti_CDA[Data], TBL_Limiti_CDA[Etica Dynamic Allocation], , -1)</f>
        <v>3</v>
      </c>
      <c r="K124" cm="1">
        <f t="array" ref="K124">_xlfn.XLOOKUP(_xlfn.ANCHORARRAY(A124), TBL_Limiti_CDA[Data], TBL_Limiti_CDA[Etica Global Equity], , -1)</f>
        <v>3.5</v>
      </c>
      <c r="L124" cm="1">
        <f t="array" ref="L124">_xlfn.ANCHORARRAY(B124)+0.15</f>
        <v>2.65</v>
      </c>
      <c r="M124" cm="1">
        <f t="array" ref="M124">_xlfn.ANCHORARRAY(C124)+0.1</f>
        <v>0.6</v>
      </c>
      <c r="N124" cm="1">
        <f t="array" ref="N124">_xlfn.ANCHORARRAY(D124)+0.15</f>
        <v>1.65</v>
      </c>
      <c r="O124" cm="1">
        <f t="array" ref="O124">_xlfn.ANCHORARRAY(E124)+0.15</f>
        <v>3.15</v>
      </c>
      <c r="P124" cm="1">
        <f t="array" ref="P124">_xlfn.ANCHORARRAY(F124)+0.15</f>
        <v>3.65</v>
      </c>
      <c r="Q124" cm="1">
        <f t="array" ref="Q124">_xlfn.ANCHORARRAY(G124)+0.15</f>
        <v>2.9</v>
      </c>
      <c r="R124" cm="1">
        <f t="array" ref="R124">_xlfn.ANCHORARRAY(H124)</f>
        <v>7.49</v>
      </c>
      <c r="S124" cm="1">
        <f t="array" ref="S124">_xlfn.ANCHORARRAY(R124)+0.15</f>
        <v>7.6400000000000006</v>
      </c>
      <c r="T124" cm="1">
        <f t="array" ref="T124">_xlfn.ANCHORARRAY(I124)+0.15</f>
        <v>1.65</v>
      </c>
      <c r="U124" cm="1">
        <f t="array" ref="U124">_xlfn.ANCHORARRAY(J124)+0.15</f>
        <v>3.15</v>
      </c>
      <c r="V124" cm="1">
        <f t="array" ref="V124">_xlfn.ANCHORARRAY(K124)+0.15</f>
        <v>3.65</v>
      </c>
      <c r="W124">
        <f>TBL_TEV[[#This Row],[Etica Rendita Bilanciata]]</f>
        <v>2.0300319999999998</v>
      </c>
      <c r="X124">
        <f>TBL_TEV[[#This Row],[Etica Obbligazionario Breve Termine]]</f>
        <v>0.27589900000000001</v>
      </c>
      <c r="Y124">
        <f>TBL_TEV[[#This Row],[Etica Obbligazionario Misto]]</f>
        <v>1.437119</v>
      </c>
      <c r="Z124">
        <f>TBL_TEV[[#This Row],[Etica Bilanciato]]</f>
        <v>2.0952760000000001</v>
      </c>
      <c r="AA124">
        <f>TBL_TEV[[#This Row],[Etica Azionario]]</f>
        <v>2.8658250000000001</v>
      </c>
      <c r="AB124">
        <f>TBL_TEV[[#This Row],[Etica Transizione Climatica]]</f>
        <v>2.2967240000000002</v>
      </c>
      <c r="AC124">
        <f>TBL_TEV[[#This Row],[Etica Obiettivo Sociale]]</f>
        <v>6.3167578737966732</v>
      </c>
      <c r="AD124">
        <f>TBL_TEV[[#This Row],[Etica Conservative Allocation]]</f>
        <v>0.53878300000000001</v>
      </c>
      <c r="AE124">
        <f>TBL_TEV[[#This Row],[Etica Dynamic Allocation]]</f>
        <v>1.97526</v>
      </c>
      <c r="AF124">
        <f>TBL_TEV[[#This Row],[Etica Global Equity]]</f>
        <v>3.124425</v>
      </c>
      <c r="AL124">
        <f ca="1"/>
        <v>2.0030450000000002</v>
      </c>
      <c r="AM124">
        <f ca="1"/>
        <v>0.273835</v>
      </c>
      <c r="AN124">
        <f ca="1"/>
        <v>1.434579</v>
      </c>
      <c r="AO124">
        <f ca="1"/>
        <v>2.1117859999999999</v>
      </c>
      <c r="AP124">
        <f ca="1"/>
        <v>2.9063050000000001</v>
      </c>
      <c r="AQ124">
        <f ca="1"/>
        <v>2.238464</v>
      </c>
      <c r="AR124">
        <f ca="1"/>
        <v>6.2509061722066077</v>
      </c>
      <c r="AS124">
        <f ca="1"/>
        <v>0.534497</v>
      </c>
      <c r="AT124">
        <f ca="1"/>
        <v>1.9582740000000001</v>
      </c>
      <c r="AU124">
        <f ca="1"/>
        <v>3.115218</v>
      </c>
    </row>
    <row r="125" spans="1:47">
      <c r="A125" s="43">
        <f>TBL_TEV[[#This Row],[Data2]]</f>
        <v>45467</v>
      </c>
      <c r="B125" cm="1">
        <f t="array" ref="B125">_xlfn.XLOOKUP(_xlfn.ANCHORARRAY(A125), TBL_Limiti_CDA[Data], TBL_Limiti_CDA[Etica Rendita Bilanciata], , -1)</f>
        <v>2.5</v>
      </c>
      <c r="C125" cm="1">
        <f t="array" ref="C125">_xlfn.XLOOKUP(_xlfn.ANCHORARRAY(A125), TBL_Limiti_CDA[Data], TBL_Limiti_CDA[Etica Obbligazionario Breve Termine], , -1)</f>
        <v>0.5</v>
      </c>
      <c r="D125" cm="1">
        <f t="array" ref="D125">_xlfn.XLOOKUP(_xlfn.ANCHORARRAY(A125), TBL_Limiti_CDA[Data], TBL_Limiti_CDA[Etica Obbligazionario Misto], , -1)</f>
        <v>1.5</v>
      </c>
      <c r="E125" cm="1">
        <f t="array" ref="E125">_xlfn.XLOOKUP(_xlfn.ANCHORARRAY(A125), TBL_Limiti_CDA[Data], TBL_Limiti_CDA[Etica Bilanciato], , -1)</f>
        <v>3</v>
      </c>
      <c r="F125" cm="1">
        <f t="array" ref="F125">_xlfn.XLOOKUP(_xlfn.ANCHORARRAY(A125), TBL_Limiti_CDA[Data], TBL_Limiti_CDA[Etica Azionario], , -1)</f>
        <v>3.5</v>
      </c>
      <c r="G125" cm="1">
        <f t="array" ref="G125">_xlfn.XLOOKUP(_xlfn.ANCHORARRAY(A125), TBL_Limiti_CDA[Data], TBL_Limiti_CDA[Etica Transizione Climatica], , -1)</f>
        <v>2.75</v>
      </c>
      <c r="H125" cm="1">
        <f t="array" ref="H125">_xlfn.XLOOKUP(_xlfn.ANCHORARRAY(A125), TBL_Limiti_CDA[Data], TBL_Limiti_CDA[Etica Obiettivo Sociale], , -1)</f>
        <v>7.49</v>
      </c>
      <c r="I125" cm="1">
        <f t="array" ref="I125">_xlfn.XLOOKUP(_xlfn.ANCHORARRAY(A125), TBL_Limiti_CDA[Data], TBL_Limiti_CDA[Etica Conservative Allocation], , -1)</f>
        <v>1.5</v>
      </c>
      <c r="J125" cm="1">
        <f t="array" ref="J125">_xlfn.XLOOKUP(_xlfn.ANCHORARRAY(A125), TBL_Limiti_CDA[Data], TBL_Limiti_CDA[Etica Dynamic Allocation], , -1)</f>
        <v>3</v>
      </c>
      <c r="K125" cm="1">
        <f t="array" ref="K125">_xlfn.XLOOKUP(_xlfn.ANCHORARRAY(A125), TBL_Limiti_CDA[Data], TBL_Limiti_CDA[Etica Global Equity], , -1)</f>
        <v>3.5</v>
      </c>
      <c r="L125" cm="1">
        <f t="array" ref="L125">_xlfn.ANCHORARRAY(B125)+0.15</f>
        <v>2.65</v>
      </c>
      <c r="M125" cm="1">
        <f t="array" ref="M125">_xlfn.ANCHORARRAY(C125)+0.1</f>
        <v>0.6</v>
      </c>
      <c r="N125" cm="1">
        <f t="array" ref="N125">_xlfn.ANCHORARRAY(D125)+0.15</f>
        <v>1.65</v>
      </c>
      <c r="O125" cm="1">
        <f t="array" ref="O125">_xlfn.ANCHORARRAY(E125)+0.15</f>
        <v>3.15</v>
      </c>
      <c r="P125" cm="1">
        <f t="array" ref="P125">_xlfn.ANCHORARRAY(F125)+0.15</f>
        <v>3.65</v>
      </c>
      <c r="Q125" cm="1">
        <f t="array" ref="Q125">_xlfn.ANCHORARRAY(G125)+0.15</f>
        <v>2.9</v>
      </c>
      <c r="R125" cm="1">
        <f t="array" ref="R125">_xlfn.ANCHORARRAY(H125)</f>
        <v>7.49</v>
      </c>
      <c r="S125" cm="1">
        <f t="array" ref="S125">_xlfn.ANCHORARRAY(R125)+0.15</f>
        <v>7.6400000000000006</v>
      </c>
      <c r="T125" cm="1">
        <f t="array" ref="T125">_xlfn.ANCHORARRAY(I125)+0.15</f>
        <v>1.65</v>
      </c>
      <c r="U125" cm="1">
        <f t="array" ref="U125">_xlfn.ANCHORARRAY(J125)+0.15</f>
        <v>3.15</v>
      </c>
      <c r="V125" cm="1">
        <f t="array" ref="V125">_xlfn.ANCHORARRAY(K125)+0.15</f>
        <v>3.65</v>
      </c>
      <c r="W125">
        <f>TBL_TEV[[#This Row],[Etica Rendita Bilanciata]]</f>
        <v>2.0030450000000002</v>
      </c>
      <c r="X125">
        <f>TBL_TEV[[#This Row],[Etica Obbligazionario Breve Termine]]</f>
        <v>0.273835</v>
      </c>
      <c r="Y125">
        <f>TBL_TEV[[#This Row],[Etica Obbligazionario Misto]]</f>
        <v>1.434579</v>
      </c>
      <c r="Z125">
        <f>TBL_TEV[[#This Row],[Etica Bilanciato]]</f>
        <v>2.1117859999999999</v>
      </c>
      <c r="AA125">
        <f>TBL_TEV[[#This Row],[Etica Azionario]]</f>
        <v>2.9063050000000001</v>
      </c>
      <c r="AB125">
        <f>TBL_TEV[[#This Row],[Etica Transizione Climatica]]</f>
        <v>2.238464</v>
      </c>
      <c r="AC125">
        <f>TBL_TEV[[#This Row],[Etica Obiettivo Sociale]]</f>
        <v>6.2509061722066077</v>
      </c>
      <c r="AD125">
        <f>TBL_TEV[[#This Row],[Etica Conservative Allocation]]</f>
        <v>0.534497</v>
      </c>
      <c r="AE125">
        <f>TBL_TEV[[#This Row],[Etica Dynamic Allocation]]</f>
        <v>1.9582740000000001</v>
      </c>
      <c r="AF125">
        <f>TBL_TEV[[#This Row],[Etica Global Equity]]</f>
        <v>3.115218</v>
      </c>
      <c r="AL125">
        <f ca="1"/>
        <v>1.827315</v>
      </c>
      <c r="AM125">
        <f ca="1"/>
        <v>0.27240700000000001</v>
      </c>
      <c r="AN125">
        <f ca="1"/>
        <v>1.413942</v>
      </c>
      <c r="AO125">
        <f ca="1"/>
        <v>2.1260729999999999</v>
      </c>
      <c r="AP125">
        <f ca="1"/>
        <v>2.9334500000000001</v>
      </c>
      <c r="AQ125">
        <f ca="1"/>
        <v>2.36673</v>
      </c>
      <c r="AR125">
        <f ca="1"/>
        <v>6.2442968235562146</v>
      </c>
      <c r="AS125">
        <f ca="1"/>
        <v>0.53021099999999999</v>
      </c>
      <c r="AT125">
        <f ca="1"/>
        <v>1.9412879999999999</v>
      </c>
      <c r="AU125">
        <f ca="1"/>
        <v>3.1060110000000001</v>
      </c>
    </row>
    <row r="126" spans="1:47">
      <c r="A126" s="43">
        <f>TBL_TEV[[#This Row],[Data2]]</f>
        <v>45468</v>
      </c>
      <c r="B126" cm="1">
        <f t="array" ref="B126">_xlfn.XLOOKUP(_xlfn.ANCHORARRAY(A126), TBL_Limiti_CDA[Data], TBL_Limiti_CDA[Etica Rendita Bilanciata], , -1)</f>
        <v>2.5</v>
      </c>
      <c r="C126" cm="1">
        <f t="array" ref="C126">_xlfn.XLOOKUP(_xlfn.ANCHORARRAY(A126), TBL_Limiti_CDA[Data], TBL_Limiti_CDA[Etica Obbligazionario Breve Termine], , -1)</f>
        <v>0.5</v>
      </c>
      <c r="D126" cm="1">
        <f t="array" ref="D126">_xlfn.XLOOKUP(_xlfn.ANCHORARRAY(A126), TBL_Limiti_CDA[Data], TBL_Limiti_CDA[Etica Obbligazionario Misto], , -1)</f>
        <v>1.5</v>
      </c>
      <c r="E126" cm="1">
        <f t="array" ref="E126">_xlfn.XLOOKUP(_xlfn.ANCHORARRAY(A126), TBL_Limiti_CDA[Data], TBL_Limiti_CDA[Etica Bilanciato], , -1)</f>
        <v>3</v>
      </c>
      <c r="F126" cm="1">
        <f t="array" ref="F126">_xlfn.XLOOKUP(_xlfn.ANCHORARRAY(A126), TBL_Limiti_CDA[Data], TBL_Limiti_CDA[Etica Azionario], , -1)</f>
        <v>3.5</v>
      </c>
      <c r="G126" cm="1">
        <f t="array" ref="G126">_xlfn.XLOOKUP(_xlfn.ANCHORARRAY(A126), TBL_Limiti_CDA[Data], TBL_Limiti_CDA[Etica Transizione Climatica], , -1)</f>
        <v>2.75</v>
      </c>
      <c r="H126" cm="1">
        <f t="array" ref="H126">_xlfn.XLOOKUP(_xlfn.ANCHORARRAY(A126), TBL_Limiti_CDA[Data], TBL_Limiti_CDA[Etica Obiettivo Sociale], , -1)</f>
        <v>7.49</v>
      </c>
      <c r="I126" cm="1">
        <f t="array" ref="I126">_xlfn.XLOOKUP(_xlfn.ANCHORARRAY(A126), TBL_Limiti_CDA[Data], TBL_Limiti_CDA[Etica Conservative Allocation], , -1)</f>
        <v>1.5</v>
      </c>
      <c r="J126" cm="1">
        <f t="array" ref="J126">_xlfn.XLOOKUP(_xlfn.ANCHORARRAY(A126), TBL_Limiti_CDA[Data], TBL_Limiti_CDA[Etica Dynamic Allocation], , -1)</f>
        <v>3</v>
      </c>
      <c r="K126" cm="1">
        <f t="array" ref="K126">_xlfn.XLOOKUP(_xlfn.ANCHORARRAY(A126), TBL_Limiti_CDA[Data], TBL_Limiti_CDA[Etica Global Equity], , -1)</f>
        <v>3.5</v>
      </c>
      <c r="L126" cm="1">
        <f t="array" ref="L126">_xlfn.ANCHORARRAY(B126)+0.15</f>
        <v>2.65</v>
      </c>
      <c r="M126" cm="1">
        <f t="array" ref="M126">_xlfn.ANCHORARRAY(C126)+0.1</f>
        <v>0.6</v>
      </c>
      <c r="N126" cm="1">
        <f t="array" ref="N126">_xlfn.ANCHORARRAY(D126)+0.15</f>
        <v>1.65</v>
      </c>
      <c r="O126" cm="1">
        <f t="array" ref="O126">_xlfn.ANCHORARRAY(E126)+0.15</f>
        <v>3.15</v>
      </c>
      <c r="P126" cm="1">
        <f t="array" ref="P126">_xlfn.ANCHORARRAY(F126)+0.15</f>
        <v>3.65</v>
      </c>
      <c r="Q126" cm="1">
        <f t="array" ref="Q126">_xlfn.ANCHORARRAY(G126)+0.15</f>
        <v>2.9</v>
      </c>
      <c r="R126" cm="1">
        <f t="array" ref="R126">_xlfn.ANCHORARRAY(H126)</f>
        <v>7.49</v>
      </c>
      <c r="S126" cm="1">
        <f t="array" ref="S126">_xlfn.ANCHORARRAY(R126)+0.15</f>
        <v>7.6400000000000006</v>
      </c>
      <c r="T126" cm="1">
        <f t="array" ref="T126">_xlfn.ANCHORARRAY(I126)+0.15</f>
        <v>1.65</v>
      </c>
      <c r="U126" cm="1">
        <f t="array" ref="U126">_xlfn.ANCHORARRAY(J126)+0.15</f>
        <v>3.15</v>
      </c>
      <c r="V126" cm="1">
        <f t="array" ref="V126">_xlfn.ANCHORARRAY(K126)+0.15</f>
        <v>3.65</v>
      </c>
      <c r="W126">
        <f>TBL_TEV[[#This Row],[Etica Rendita Bilanciata]]</f>
        <v>1.827315</v>
      </c>
      <c r="X126">
        <f>TBL_TEV[[#This Row],[Etica Obbligazionario Breve Termine]]</f>
        <v>0.27240700000000001</v>
      </c>
      <c r="Y126">
        <f>TBL_TEV[[#This Row],[Etica Obbligazionario Misto]]</f>
        <v>1.413942</v>
      </c>
      <c r="Z126">
        <f>TBL_TEV[[#This Row],[Etica Bilanciato]]</f>
        <v>2.1260729999999999</v>
      </c>
      <c r="AA126">
        <f>TBL_TEV[[#This Row],[Etica Azionario]]</f>
        <v>2.9334500000000001</v>
      </c>
      <c r="AB126">
        <f>TBL_TEV[[#This Row],[Etica Transizione Climatica]]</f>
        <v>2.36673</v>
      </c>
      <c r="AC126">
        <f>TBL_TEV[[#This Row],[Etica Obiettivo Sociale]]</f>
        <v>6.2442968235562146</v>
      </c>
      <c r="AD126">
        <f>TBL_TEV[[#This Row],[Etica Conservative Allocation]]</f>
        <v>0.53021099999999999</v>
      </c>
      <c r="AE126">
        <f>TBL_TEV[[#This Row],[Etica Dynamic Allocation]]</f>
        <v>1.9412879999999999</v>
      </c>
      <c r="AF126">
        <f>TBL_TEV[[#This Row],[Etica Global Equity]]</f>
        <v>3.1060110000000001</v>
      </c>
      <c r="AL126">
        <f ca="1"/>
        <v>1.8190599999999999</v>
      </c>
      <c r="AM126">
        <f ca="1"/>
        <v>0.27081899999999998</v>
      </c>
      <c r="AN126">
        <f ca="1"/>
        <v>1.4179109999999999</v>
      </c>
      <c r="AO126">
        <f ca="1"/>
        <v>2.1413120000000001</v>
      </c>
      <c r="AP126">
        <f ca="1"/>
        <v>2.9548809999999999</v>
      </c>
      <c r="AQ126">
        <f ca="1"/>
        <v>2.3375210000000002</v>
      </c>
      <c r="AR126">
        <f ca="1"/>
        <v>6.199367075968417</v>
      </c>
      <c r="AS126">
        <f ca="1"/>
        <v>0.52592499999999998</v>
      </c>
      <c r="AT126">
        <f ca="1"/>
        <v>1.924302</v>
      </c>
      <c r="AU126">
        <f ca="1"/>
        <v>3.0968040000000001</v>
      </c>
    </row>
    <row r="127" spans="1:47">
      <c r="A127" s="43">
        <f>TBL_TEV[[#This Row],[Data2]]</f>
        <v>45469</v>
      </c>
      <c r="B127" cm="1">
        <f t="array" ref="B127">_xlfn.XLOOKUP(_xlfn.ANCHORARRAY(A127), TBL_Limiti_CDA[Data], TBL_Limiti_CDA[Etica Rendita Bilanciata], , -1)</f>
        <v>2.5</v>
      </c>
      <c r="C127" cm="1">
        <f t="array" ref="C127">_xlfn.XLOOKUP(_xlfn.ANCHORARRAY(A127), TBL_Limiti_CDA[Data], TBL_Limiti_CDA[Etica Obbligazionario Breve Termine], , -1)</f>
        <v>0.5</v>
      </c>
      <c r="D127" cm="1">
        <f t="array" ref="D127">_xlfn.XLOOKUP(_xlfn.ANCHORARRAY(A127), TBL_Limiti_CDA[Data], TBL_Limiti_CDA[Etica Obbligazionario Misto], , -1)</f>
        <v>1.5</v>
      </c>
      <c r="E127" cm="1">
        <f t="array" ref="E127">_xlfn.XLOOKUP(_xlfn.ANCHORARRAY(A127), TBL_Limiti_CDA[Data], TBL_Limiti_CDA[Etica Bilanciato], , -1)</f>
        <v>3</v>
      </c>
      <c r="F127" cm="1">
        <f t="array" ref="F127">_xlfn.XLOOKUP(_xlfn.ANCHORARRAY(A127), TBL_Limiti_CDA[Data], TBL_Limiti_CDA[Etica Azionario], , -1)</f>
        <v>3.5</v>
      </c>
      <c r="G127" cm="1">
        <f t="array" ref="G127">_xlfn.XLOOKUP(_xlfn.ANCHORARRAY(A127), TBL_Limiti_CDA[Data], TBL_Limiti_CDA[Etica Transizione Climatica], , -1)</f>
        <v>2.75</v>
      </c>
      <c r="H127" cm="1">
        <f t="array" ref="H127">_xlfn.XLOOKUP(_xlfn.ANCHORARRAY(A127), TBL_Limiti_CDA[Data], TBL_Limiti_CDA[Etica Obiettivo Sociale], , -1)</f>
        <v>7.49</v>
      </c>
      <c r="I127" cm="1">
        <f t="array" ref="I127">_xlfn.XLOOKUP(_xlfn.ANCHORARRAY(A127), TBL_Limiti_CDA[Data], TBL_Limiti_CDA[Etica Conservative Allocation], , -1)</f>
        <v>1.5</v>
      </c>
      <c r="J127" cm="1">
        <f t="array" ref="J127">_xlfn.XLOOKUP(_xlfn.ANCHORARRAY(A127), TBL_Limiti_CDA[Data], TBL_Limiti_CDA[Etica Dynamic Allocation], , -1)</f>
        <v>3</v>
      </c>
      <c r="K127" cm="1">
        <f t="array" ref="K127">_xlfn.XLOOKUP(_xlfn.ANCHORARRAY(A127), TBL_Limiti_CDA[Data], TBL_Limiti_CDA[Etica Global Equity], , -1)</f>
        <v>3.5</v>
      </c>
      <c r="L127" cm="1">
        <f t="array" ref="L127">_xlfn.ANCHORARRAY(B127)+0.15</f>
        <v>2.65</v>
      </c>
      <c r="M127" cm="1">
        <f t="array" ref="M127">_xlfn.ANCHORARRAY(C127)+0.1</f>
        <v>0.6</v>
      </c>
      <c r="N127" cm="1">
        <f t="array" ref="N127">_xlfn.ANCHORARRAY(D127)+0.15</f>
        <v>1.65</v>
      </c>
      <c r="O127" cm="1">
        <f t="array" ref="O127">_xlfn.ANCHORARRAY(E127)+0.15</f>
        <v>3.15</v>
      </c>
      <c r="P127" cm="1">
        <f t="array" ref="P127">_xlfn.ANCHORARRAY(F127)+0.15</f>
        <v>3.65</v>
      </c>
      <c r="Q127" cm="1">
        <f t="array" ref="Q127">_xlfn.ANCHORARRAY(G127)+0.15</f>
        <v>2.9</v>
      </c>
      <c r="R127" cm="1">
        <f t="array" ref="R127">_xlfn.ANCHORARRAY(H127)</f>
        <v>7.49</v>
      </c>
      <c r="S127" cm="1">
        <f t="array" ref="S127">_xlfn.ANCHORARRAY(R127)+0.15</f>
        <v>7.6400000000000006</v>
      </c>
      <c r="T127" cm="1">
        <f t="array" ref="T127">_xlfn.ANCHORARRAY(I127)+0.15</f>
        <v>1.65</v>
      </c>
      <c r="U127" cm="1">
        <f t="array" ref="U127">_xlfn.ANCHORARRAY(J127)+0.15</f>
        <v>3.15</v>
      </c>
      <c r="V127" cm="1">
        <f t="array" ref="V127">_xlfn.ANCHORARRAY(K127)+0.15</f>
        <v>3.65</v>
      </c>
      <c r="W127">
        <f>TBL_TEV[[#This Row],[Etica Rendita Bilanciata]]</f>
        <v>1.8190599999999999</v>
      </c>
      <c r="X127">
        <f>TBL_TEV[[#This Row],[Etica Obbligazionario Breve Termine]]</f>
        <v>0.27081899999999998</v>
      </c>
      <c r="Y127">
        <f>TBL_TEV[[#This Row],[Etica Obbligazionario Misto]]</f>
        <v>1.4179109999999999</v>
      </c>
      <c r="Z127">
        <f>TBL_TEV[[#This Row],[Etica Bilanciato]]</f>
        <v>2.1413120000000001</v>
      </c>
      <c r="AA127">
        <f>TBL_TEV[[#This Row],[Etica Azionario]]</f>
        <v>2.9548809999999999</v>
      </c>
      <c r="AB127">
        <f>TBL_TEV[[#This Row],[Etica Transizione Climatica]]</f>
        <v>2.3375210000000002</v>
      </c>
      <c r="AC127">
        <f>TBL_TEV[[#This Row],[Etica Obiettivo Sociale]]</f>
        <v>6.199367075968417</v>
      </c>
      <c r="AD127">
        <f>TBL_TEV[[#This Row],[Etica Conservative Allocation]]</f>
        <v>0.52592499999999998</v>
      </c>
      <c r="AE127">
        <f>TBL_TEV[[#This Row],[Etica Dynamic Allocation]]</f>
        <v>1.924302</v>
      </c>
      <c r="AF127">
        <f>TBL_TEV[[#This Row],[Etica Global Equity]]</f>
        <v>3.0968040000000001</v>
      </c>
      <c r="AL127">
        <f ca="1"/>
        <v>1.8250919999999999</v>
      </c>
      <c r="AM127">
        <f ca="1"/>
        <v>0.26986700000000002</v>
      </c>
      <c r="AN127">
        <f ca="1"/>
        <v>1.399497</v>
      </c>
      <c r="AO127">
        <f ca="1"/>
        <v>2.176078</v>
      </c>
      <c r="AP127">
        <f ca="1"/>
        <v>3.0096479999999999</v>
      </c>
      <c r="AQ127">
        <f ca="1"/>
        <v>2.2864049999999998</v>
      </c>
      <c r="AR127">
        <f ca="1"/>
        <v>6.1203094970191136</v>
      </c>
      <c r="AS127">
        <f ca="1"/>
        <v>0.52163899999999996</v>
      </c>
      <c r="AT127">
        <f ca="1"/>
        <v>1.907316</v>
      </c>
      <c r="AU127">
        <f ca="1"/>
        <v>3.0875970000000001</v>
      </c>
    </row>
    <row r="128" spans="1:47">
      <c r="A128" s="43">
        <f>TBL_TEV[[#This Row],[Data2]]</f>
        <v>45470</v>
      </c>
      <c r="B128" cm="1">
        <f t="array" ref="B128">_xlfn.XLOOKUP(_xlfn.ANCHORARRAY(A128), TBL_Limiti_CDA[Data], TBL_Limiti_CDA[Etica Rendita Bilanciata], , -1)</f>
        <v>2.5</v>
      </c>
      <c r="C128" cm="1">
        <f t="array" ref="C128">_xlfn.XLOOKUP(_xlfn.ANCHORARRAY(A128), TBL_Limiti_CDA[Data], TBL_Limiti_CDA[Etica Obbligazionario Breve Termine], , -1)</f>
        <v>0.5</v>
      </c>
      <c r="D128" cm="1">
        <f t="array" ref="D128">_xlfn.XLOOKUP(_xlfn.ANCHORARRAY(A128), TBL_Limiti_CDA[Data], TBL_Limiti_CDA[Etica Obbligazionario Misto], , -1)</f>
        <v>1.5</v>
      </c>
      <c r="E128" cm="1">
        <f t="array" ref="E128">_xlfn.XLOOKUP(_xlfn.ANCHORARRAY(A128), TBL_Limiti_CDA[Data], TBL_Limiti_CDA[Etica Bilanciato], , -1)</f>
        <v>3</v>
      </c>
      <c r="F128" cm="1">
        <f t="array" ref="F128">_xlfn.XLOOKUP(_xlfn.ANCHORARRAY(A128), TBL_Limiti_CDA[Data], TBL_Limiti_CDA[Etica Azionario], , -1)</f>
        <v>3.5</v>
      </c>
      <c r="G128" cm="1">
        <f t="array" ref="G128">_xlfn.XLOOKUP(_xlfn.ANCHORARRAY(A128), TBL_Limiti_CDA[Data], TBL_Limiti_CDA[Etica Transizione Climatica], , -1)</f>
        <v>2.75</v>
      </c>
      <c r="H128" cm="1">
        <f t="array" ref="H128">_xlfn.XLOOKUP(_xlfn.ANCHORARRAY(A128), TBL_Limiti_CDA[Data], TBL_Limiti_CDA[Etica Obiettivo Sociale], , -1)</f>
        <v>7.49</v>
      </c>
      <c r="I128" cm="1">
        <f t="array" ref="I128">_xlfn.XLOOKUP(_xlfn.ANCHORARRAY(A128), TBL_Limiti_CDA[Data], TBL_Limiti_CDA[Etica Conservative Allocation], , -1)</f>
        <v>1.5</v>
      </c>
      <c r="J128" cm="1">
        <f t="array" ref="J128">_xlfn.XLOOKUP(_xlfn.ANCHORARRAY(A128), TBL_Limiti_CDA[Data], TBL_Limiti_CDA[Etica Dynamic Allocation], , -1)</f>
        <v>3</v>
      </c>
      <c r="K128" cm="1">
        <f t="array" ref="K128">_xlfn.XLOOKUP(_xlfn.ANCHORARRAY(A128), TBL_Limiti_CDA[Data], TBL_Limiti_CDA[Etica Global Equity], , -1)</f>
        <v>3.5</v>
      </c>
      <c r="L128" cm="1">
        <f t="array" ref="L128">_xlfn.ANCHORARRAY(B128)+0.15</f>
        <v>2.65</v>
      </c>
      <c r="M128" cm="1">
        <f t="array" ref="M128">_xlfn.ANCHORARRAY(C128)+0.1</f>
        <v>0.6</v>
      </c>
      <c r="N128" cm="1">
        <f t="array" ref="N128">_xlfn.ANCHORARRAY(D128)+0.15</f>
        <v>1.65</v>
      </c>
      <c r="O128" cm="1">
        <f t="array" ref="O128">_xlfn.ANCHORARRAY(E128)+0.15</f>
        <v>3.15</v>
      </c>
      <c r="P128" cm="1">
        <f t="array" ref="P128">_xlfn.ANCHORARRAY(F128)+0.15</f>
        <v>3.65</v>
      </c>
      <c r="Q128" cm="1">
        <f t="array" ref="Q128">_xlfn.ANCHORARRAY(G128)+0.15</f>
        <v>2.9</v>
      </c>
      <c r="R128" cm="1">
        <f t="array" ref="R128">_xlfn.ANCHORARRAY(H128)</f>
        <v>7.49</v>
      </c>
      <c r="S128" cm="1">
        <f t="array" ref="S128">_xlfn.ANCHORARRAY(R128)+0.15</f>
        <v>7.6400000000000006</v>
      </c>
      <c r="T128" cm="1">
        <f t="array" ref="T128">_xlfn.ANCHORARRAY(I128)+0.15</f>
        <v>1.65</v>
      </c>
      <c r="U128" cm="1">
        <f t="array" ref="U128">_xlfn.ANCHORARRAY(J128)+0.15</f>
        <v>3.15</v>
      </c>
      <c r="V128" cm="1">
        <f t="array" ref="V128">_xlfn.ANCHORARRAY(K128)+0.15</f>
        <v>3.65</v>
      </c>
      <c r="W128">
        <f>TBL_TEV[[#This Row],[Etica Rendita Bilanciata]]</f>
        <v>1.8250919999999999</v>
      </c>
      <c r="X128">
        <f>TBL_TEV[[#This Row],[Etica Obbligazionario Breve Termine]]</f>
        <v>0.26986700000000002</v>
      </c>
      <c r="Y128">
        <f>TBL_TEV[[#This Row],[Etica Obbligazionario Misto]]</f>
        <v>1.399497</v>
      </c>
      <c r="Z128">
        <f>TBL_TEV[[#This Row],[Etica Bilanciato]]</f>
        <v>2.176078</v>
      </c>
      <c r="AA128">
        <f>TBL_TEV[[#This Row],[Etica Azionario]]</f>
        <v>3.0096479999999999</v>
      </c>
      <c r="AB128">
        <f>TBL_TEV[[#This Row],[Etica Transizione Climatica]]</f>
        <v>2.2864049999999998</v>
      </c>
      <c r="AC128">
        <f>TBL_TEV[[#This Row],[Etica Obiettivo Sociale]]</f>
        <v>6.1203094970191136</v>
      </c>
      <c r="AD128">
        <f>TBL_TEV[[#This Row],[Etica Conservative Allocation]]</f>
        <v>0.52163899999999996</v>
      </c>
      <c r="AE128">
        <f>TBL_TEV[[#This Row],[Etica Dynamic Allocation]]</f>
        <v>1.907316</v>
      </c>
      <c r="AF128">
        <f>TBL_TEV[[#This Row],[Etica Global Equity]]</f>
        <v>3.0875970000000001</v>
      </c>
      <c r="AL128">
        <f ca="1"/>
        <v>1.8019149999999999</v>
      </c>
      <c r="AM128">
        <f ca="1"/>
        <v>0.289551</v>
      </c>
      <c r="AN128">
        <f ca="1"/>
        <v>1.3494919999999999</v>
      </c>
      <c r="AO128">
        <f ca="1"/>
        <v>2.160679</v>
      </c>
      <c r="AP128">
        <f ca="1"/>
        <v>2.99552</v>
      </c>
      <c r="AQ128">
        <f ca="1"/>
        <v>2.2605300000000002</v>
      </c>
      <c r="AR128">
        <f ca="1"/>
        <v>6.115514926467772</v>
      </c>
      <c r="AS128">
        <f ca="1"/>
        <v>0.51735299999999995</v>
      </c>
      <c r="AT128">
        <f ca="1"/>
        <v>1.8903300000000001</v>
      </c>
      <c r="AU128">
        <f ca="1"/>
        <v>3.0783900000000002</v>
      </c>
    </row>
    <row r="129" spans="1:47">
      <c r="A129" s="43">
        <f>TBL_TEV[[#This Row],[Data2]]</f>
        <v>45471</v>
      </c>
      <c r="B129" cm="1">
        <f t="array" ref="B129">_xlfn.XLOOKUP(_xlfn.ANCHORARRAY(A129), TBL_Limiti_CDA[Data], TBL_Limiti_CDA[Etica Rendita Bilanciata], , -1)</f>
        <v>2.5</v>
      </c>
      <c r="C129" cm="1">
        <f t="array" ref="C129">_xlfn.XLOOKUP(_xlfn.ANCHORARRAY(A129), TBL_Limiti_CDA[Data], TBL_Limiti_CDA[Etica Obbligazionario Breve Termine], , -1)</f>
        <v>0.5</v>
      </c>
      <c r="D129" cm="1">
        <f t="array" ref="D129">_xlfn.XLOOKUP(_xlfn.ANCHORARRAY(A129), TBL_Limiti_CDA[Data], TBL_Limiti_CDA[Etica Obbligazionario Misto], , -1)</f>
        <v>1.5</v>
      </c>
      <c r="E129" cm="1">
        <f t="array" ref="E129">_xlfn.XLOOKUP(_xlfn.ANCHORARRAY(A129), TBL_Limiti_CDA[Data], TBL_Limiti_CDA[Etica Bilanciato], , -1)</f>
        <v>3</v>
      </c>
      <c r="F129" cm="1">
        <f t="array" ref="F129">_xlfn.XLOOKUP(_xlfn.ANCHORARRAY(A129), TBL_Limiti_CDA[Data], TBL_Limiti_CDA[Etica Azionario], , -1)</f>
        <v>3.5</v>
      </c>
      <c r="G129" cm="1">
        <f t="array" ref="G129">_xlfn.XLOOKUP(_xlfn.ANCHORARRAY(A129), TBL_Limiti_CDA[Data], TBL_Limiti_CDA[Etica Transizione Climatica], , -1)</f>
        <v>2.75</v>
      </c>
      <c r="H129" cm="1">
        <f t="array" ref="H129">_xlfn.XLOOKUP(_xlfn.ANCHORARRAY(A129), TBL_Limiti_CDA[Data], TBL_Limiti_CDA[Etica Obiettivo Sociale], , -1)</f>
        <v>7.49</v>
      </c>
      <c r="I129" cm="1">
        <f t="array" ref="I129">_xlfn.XLOOKUP(_xlfn.ANCHORARRAY(A129), TBL_Limiti_CDA[Data], TBL_Limiti_CDA[Etica Conservative Allocation], , -1)</f>
        <v>1.5</v>
      </c>
      <c r="J129" cm="1">
        <f t="array" ref="J129">_xlfn.XLOOKUP(_xlfn.ANCHORARRAY(A129), TBL_Limiti_CDA[Data], TBL_Limiti_CDA[Etica Dynamic Allocation], , -1)</f>
        <v>3</v>
      </c>
      <c r="K129" cm="1">
        <f t="array" ref="K129">_xlfn.XLOOKUP(_xlfn.ANCHORARRAY(A129), TBL_Limiti_CDA[Data], TBL_Limiti_CDA[Etica Global Equity], , -1)</f>
        <v>3.5</v>
      </c>
      <c r="L129" cm="1">
        <f t="array" ref="L129">_xlfn.ANCHORARRAY(B129)+0.15</f>
        <v>2.65</v>
      </c>
      <c r="M129" cm="1">
        <f t="array" ref="M129">_xlfn.ANCHORARRAY(C129)+0.1</f>
        <v>0.6</v>
      </c>
      <c r="N129" cm="1">
        <f t="array" ref="N129">_xlfn.ANCHORARRAY(D129)+0.15</f>
        <v>1.65</v>
      </c>
      <c r="O129" cm="1">
        <f t="array" ref="O129">_xlfn.ANCHORARRAY(E129)+0.15</f>
        <v>3.15</v>
      </c>
      <c r="P129" cm="1">
        <f t="array" ref="P129">_xlfn.ANCHORARRAY(F129)+0.15</f>
        <v>3.65</v>
      </c>
      <c r="Q129" cm="1">
        <f t="array" ref="Q129">_xlfn.ANCHORARRAY(G129)+0.15</f>
        <v>2.9</v>
      </c>
      <c r="R129" cm="1">
        <f t="array" ref="R129">_xlfn.ANCHORARRAY(H129)</f>
        <v>7.49</v>
      </c>
      <c r="S129" cm="1">
        <f t="array" ref="S129">_xlfn.ANCHORARRAY(R129)+0.15</f>
        <v>7.6400000000000006</v>
      </c>
      <c r="T129" cm="1">
        <f t="array" ref="T129">_xlfn.ANCHORARRAY(I129)+0.15</f>
        <v>1.65</v>
      </c>
      <c r="U129" cm="1">
        <f t="array" ref="U129">_xlfn.ANCHORARRAY(J129)+0.15</f>
        <v>3.15</v>
      </c>
      <c r="V129" cm="1">
        <f t="array" ref="V129">_xlfn.ANCHORARRAY(K129)+0.15</f>
        <v>3.65</v>
      </c>
      <c r="W129">
        <f>TBL_TEV[[#This Row],[Etica Rendita Bilanciata]]</f>
        <v>1.8019149999999999</v>
      </c>
      <c r="X129">
        <f>TBL_TEV[[#This Row],[Etica Obbligazionario Breve Termine]]</f>
        <v>0.289551</v>
      </c>
      <c r="Y129">
        <f>TBL_TEV[[#This Row],[Etica Obbligazionario Misto]]</f>
        <v>1.3494919999999999</v>
      </c>
      <c r="Z129">
        <f>TBL_TEV[[#This Row],[Etica Bilanciato]]</f>
        <v>2.160679</v>
      </c>
      <c r="AA129">
        <f>TBL_TEV[[#This Row],[Etica Azionario]]</f>
        <v>2.99552</v>
      </c>
      <c r="AB129">
        <f>TBL_TEV[[#This Row],[Etica Transizione Climatica]]</f>
        <v>2.2605300000000002</v>
      </c>
      <c r="AC129">
        <f>TBL_TEV[[#This Row],[Etica Obiettivo Sociale]]</f>
        <v>6.115514926467772</v>
      </c>
      <c r="AD129">
        <f>TBL_TEV[[#This Row],[Etica Conservative Allocation]]</f>
        <v>0.51735299999999995</v>
      </c>
      <c r="AE129">
        <f>TBL_TEV[[#This Row],[Etica Dynamic Allocation]]</f>
        <v>1.8903300000000001</v>
      </c>
      <c r="AF129">
        <f>TBL_TEV[[#This Row],[Etica Global Equity]]</f>
        <v>3.0783900000000002</v>
      </c>
      <c r="AL129">
        <f ca="1"/>
        <v>1.824775</v>
      </c>
      <c r="AM129">
        <f ca="1"/>
        <v>0.29510700000000001</v>
      </c>
      <c r="AN129">
        <f ca="1"/>
        <v>1.345682</v>
      </c>
      <c r="AO129">
        <f ca="1"/>
        <v>2.2065570000000001</v>
      </c>
      <c r="AP129">
        <f ca="1"/>
        <v>3.0572710000000001</v>
      </c>
      <c r="AQ129">
        <f ca="1"/>
        <v>2.3243450000000001</v>
      </c>
      <c r="AR129">
        <f ca="1"/>
        <v>6.0651288531730421</v>
      </c>
      <c r="AS129">
        <f ca="1"/>
        <v>0.51306700000000005</v>
      </c>
      <c r="AT129">
        <f ca="1"/>
        <v>1.8733439999999999</v>
      </c>
      <c r="AU129">
        <f ca="1"/>
        <v>3.0691830000000002</v>
      </c>
    </row>
    <row r="130" spans="1:47">
      <c r="A130" s="43">
        <f>TBL_TEV[[#This Row],[Data2]]</f>
        <v>45474</v>
      </c>
      <c r="B130" cm="1">
        <f t="array" ref="B130">_xlfn.XLOOKUP(_xlfn.ANCHORARRAY(A130), TBL_Limiti_CDA[Data], TBL_Limiti_CDA[Etica Rendita Bilanciata], , -1)</f>
        <v>2.5</v>
      </c>
      <c r="C130" cm="1">
        <f t="array" ref="C130">_xlfn.XLOOKUP(_xlfn.ANCHORARRAY(A130), TBL_Limiti_CDA[Data], TBL_Limiti_CDA[Etica Obbligazionario Breve Termine], , -1)</f>
        <v>0.5</v>
      </c>
      <c r="D130" cm="1">
        <f t="array" ref="D130">_xlfn.XLOOKUP(_xlfn.ANCHORARRAY(A130), TBL_Limiti_CDA[Data], TBL_Limiti_CDA[Etica Obbligazionario Misto], , -1)</f>
        <v>1.5</v>
      </c>
      <c r="E130" cm="1">
        <f t="array" ref="E130">_xlfn.XLOOKUP(_xlfn.ANCHORARRAY(A130), TBL_Limiti_CDA[Data], TBL_Limiti_CDA[Etica Bilanciato], , -1)</f>
        <v>3</v>
      </c>
      <c r="F130" cm="1">
        <f t="array" ref="F130">_xlfn.XLOOKUP(_xlfn.ANCHORARRAY(A130), TBL_Limiti_CDA[Data], TBL_Limiti_CDA[Etica Azionario], , -1)</f>
        <v>3.5</v>
      </c>
      <c r="G130" cm="1">
        <f t="array" ref="G130">_xlfn.XLOOKUP(_xlfn.ANCHORARRAY(A130), TBL_Limiti_CDA[Data], TBL_Limiti_CDA[Etica Transizione Climatica], , -1)</f>
        <v>2.75</v>
      </c>
      <c r="H130" cm="1">
        <f t="array" ref="H130">_xlfn.XLOOKUP(_xlfn.ANCHORARRAY(A130), TBL_Limiti_CDA[Data], TBL_Limiti_CDA[Etica Obiettivo Sociale], , -1)</f>
        <v>7.49</v>
      </c>
      <c r="I130" cm="1">
        <f t="array" ref="I130">_xlfn.XLOOKUP(_xlfn.ANCHORARRAY(A130), TBL_Limiti_CDA[Data], TBL_Limiti_CDA[Etica Conservative Allocation], , -1)</f>
        <v>1.5</v>
      </c>
      <c r="J130" cm="1">
        <f t="array" ref="J130">_xlfn.XLOOKUP(_xlfn.ANCHORARRAY(A130), TBL_Limiti_CDA[Data], TBL_Limiti_CDA[Etica Dynamic Allocation], , -1)</f>
        <v>3</v>
      </c>
      <c r="K130" cm="1">
        <f t="array" ref="K130">_xlfn.XLOOKUP(_xlfn.ANCHORARRAY(A130), TBL_Limiti_CDA[Data], TBL_Limiti_CDA[Etica Global Equity], , -1)</f>
        <v>3.5</v>
      </c>
      <c r="L130" cm="1">
        <f t="array" ref="L130">_xlfn.ANCHORARRAY(B130)+0.15</f>
        <v>2.65</v>
      </c>
      <c r="M130" cm="1">
        <f t="array" ref="M130">_xlfn.ANCHORARRAY(C130)+0.1</f>
        <v>0.6</v>
      </c>
      <c r="N130" cm="1">
        <f t="array" ref="N130">_xlfn.ANCHORARRAY(D130)+0.15</f>
        <v>1.65</v>
      </c>
      <c r="O130" cm="1">
        <f t="array" ref="O130">_xlfn.ANCHORARRAY(E130)+0.15</f>
        <v>3.15</v>
      </c>
      <c r="P130" cm="1">
        <f t="array" ref="P130">_xlfn.ANCHORARRAY(F130)+0.15</f>
        <v>3.65</v>
      </c>
      <c r="Q130" cm="1">
        <f t="array" ref="Q130">_xlfn.ANCHORARRAY(G130)+0.15</f>
        <v>2.9</v>
      </c>
      <c r="R130" cm="1">
        <f t="array" ref="R130">_xlfn.ANCHORARRAY(H130)</f>
        <v>7.49</v>
      </c>
      <c r="S130" cm="1">
        <f t="array" ref="S130">_xlfn.ANCHORARRAY(R130)+0.15</f>
        <v>7.6400000000000006</v>
      </c>
      <c r="T130" cm="1">
        <f t="array" ref="T130">_xlfn.ANCHORARRAY(I130)+0.15</f>
        <v>1.65</v>
      </c>
      <c r="U130" cm="1">
        <f t="array" ref="U130">_xlfn.ANCHORARRAY(J130)+0.15</f>
        <v>3.15</v>
      </c>
      <c r="V130" cm="1">
        <f t="array" ref="V130">_xlfn.ANCHORARRAY(K130)+0.15</f>
        <v>3.65</v>
      </c>
      <c r="W130">
        <f>TBL_TEV[[#This Row],[Etica Rendita Bilanciata]]</f>
        <v>1.824775</v>
      </c>
      <c r="X130">
        <f>TBL_TEV[[#This Row],[Etica Obbligazionario Breve Termine]]</f>
        <v>0.29510700000000001</v>
      </c>
      <c r="Y130">
        <f>TBL_TEV[[#This Row],[Etica Obbligazionario Misto]]</f>
        <v>1.345682</v>
      </c>
      <c r="Z130">
        <f>TBL_TEV[[#This Row],[Etica Bilanciato]]</f>
        <v>2.2065570000000001</v>
      </c>
      <c r="AA130">
        <f>TBL_TEV[[#This Row],[Etica Azionario]]</f>
        <v>3.0572710000000001</v>
      </c>
      <c r="AB130">
        <f>TBL_TEV[[#This Row],[Etica Transizione Climatica]]</f>
        <v>2.3243450000000001</v>
      </c>
      <c r="AC130">
        <f>TBL_TEV[[#This Row],[Etica Obiettivo Sociale]]</f>
        <v>6.0651288531730421</v>
      </c>
      <c r="AD130">
        <f>TBL_TEV[[#This Row],[Etica Conservative Allocation]]</f>
        <v>0.51306700000000005</v>
      </c>
      <c r="AE130">
        <f>TBL_TEV[[#This Row],[Etica Dynamic Allocation]]</f>
        <v>1.8733439999999999</v>
      </c>
      <c r="AF130">
        <f>TBL_TEV[[#This Row],[Etica Global Equity]]</f>
        <v>3.0691830000000002</v>
      </c>
      <c r="AL130">
        <f ca="1"/>
        <v>1.8282670000000001</v>
      </c>
      <c r="AM130">
        <f ca="1"/>
        <v>0.29320200000000002</v>
      </c>
      <c r="AN130">
        <f ca="1"/>
        <v>1.348063</v>
      </c>
      <c r="AO130">
        <f ca="1"/>
        <v>2.2178270000000002</v>
      </c>
      <c r="AP130">
        <f ca="1"/>
        <v>3.072352</v>
      </c>
      <c r="AQ130">
        <f ca="1"/>
        <v>2.30355</v>
      </c>
      <c r="AR130">
        <f ca="1"/>
        <v>6.052151531876639</v>
      </c>
      <c r="AS130">
        <f ca="1"/>
        <v>0.50878100000000004</v>
      </c>
      <c r="AT130">
        <f ca="1"/>
        <v>1.856358</v>
      </c>
      <c r="AU130">
        <f ca="1"/>
        <v>3.0599759999999998</v>
      </c>
    </row>
    <row r="131" spans="1:47">
      <c r="A131" s="43">
        <f>TBL_TEV[[#This Row],[Data2]]</f>
        <v>45475</v>
      </c>
      <c r="B131" cm="1">
        <f t="array" ref="B131">_xlfn.XLOOKUP(_xlfn.ANCHORARRAY(A131), TBL_Limiti_CDA[Data], TBL_Limiti_CDA[Etica Rendita Bilanciata], , -1)</f>
        <v>2.5</v>
      </c>
      <c r="C131" cm="1">
        <f t="array" ref="C131">_xlfn.XLOOKUP(_xlfn.ANCHORARRAY(A131), TBL_Limiti_CDA[Data], TBL_Limiti_CDA[Etica Obbligazionario Breve Termine], , -1)</f>
        <v>0.5</v>
      </c>
      <c r="D131" cm="1">
        <f t="array" ref="D131">_xlfn.XLOOKUP(_xlfn.ANCHORARRAY(A131), TBL_Limiti_CDA[Data], TBL_Limiti_CDA[Etica Obbligazionario Misto], , -1)</f>
        <v>1.5</v>
      </c>
      <c r="E131" cm="1">
        <f t="array" ref="E131">_xlfn.XLOOKUP(_xlfn.ANCHORARRAY(A131), TBL_Limiti_CDA[Data], TBL_Limiti_CDA[Etica Bilanciato], , -1)</f>
        <v>3</v>
      </c>
      <c r="F131" cm="1">
        <f t="array" ref="F131">_xlfn.XLOOKUP(_xlfn.ANCHORARRAY(A131), TBL_Limiti_CDA[Data], TBL_Limiti_CDA[Etica Azionario], , -1)</f>
        <v>3.5</v>
      </c>
      <c r="G131" cm="1">
        <f t="array" ref="G131">_xlfn.XLOOKUP(_xlfn.ANCHORARRAY(A131), TBL_Limiti_CDA[Data], TBL_Limiti_CDA[Etica Transizione Climatica], , -1)</f>
        <v>2.75</v>
      </c>
      <c r="H131" cm="1">
        <f t="array" ref="H131">_xlfn.XLOOKUP(_xlfn.ANCHORARRAY(A131), TBL_Limiti_CDA[Data], TBL_Limiti_CDA[Etica Obiettivo Sociale], , -1)</f>
        <v>7.49</v>
      </c>
      <c r="I131" cm="1">
        <f t="array" ref="I131">_xlfn.XLOOKUP(_xlfn.ANCHORARRAY(A131), TBL_Limiti_CDA[Data], TBL_Limiti_CDA[Etica Conservative Allocation], , -1)</f>
        <v>1.5</v>
      </c>
      <c r="J131" cm="1">
        <f t="array" ref="J131">_xlfn.XLOOKUP(_xlfn.ANCHORARRAY(A131), TBL_Limiti_CDA[Data], TBL_Limiti_CDA[Etica Dynamic Allocation], , -1)</f>
        <v>3</v>
      </c>
      <c r="K131" cm="1">
        <f t="array" ref="K131">_xlfn.XLOOKUP(_xlfn.ANCHORARRAY(A131), TBL_Limiti_CDA[Data], TBL_Limiti_CDA[Etica Global Equity], , -1)</f>
        <v>3.5</v>
      </c>
      <c r="L131" cm="1">
        <f t="array" ref="L131">_xlfn.ANCHORARRAY(B131)+0.15</f>
        <v>2.65</v>
      </c>
      <c r="M131" cm="1">
        <f t="array" ref="M131">_xlfn.ANCHORARRAY(C131)+0.1</f>
        <v>0.6</v>
      </c>
      <c r="N131" cm="1">
        <f t="array" ref="N131">_xlfn.ANCHORARRAY(D131)+0.15</f>
        <v>1.65</v>
      </c>
      <c r="O131" cm="1">
        <f t="array" ref="O131">_xlfn.ANCHORARRAY(E131)+0.15</f>
        <v>3.15</v>
      </c>
      <c r="P131" cm="1">
        <f t="array" ref="P131">_xlfn.ANCHORARRAY(F131)+0.15</f>
        <v>3.65</v>
      </c>
      <c r="Q131" cm="1">
        <f t="array" ref="Q131">_xlfn.ANCHORARRAY(G131)+0.15</f>
        <v>2.9</v>
      </c>
      <c r="R131" cm="1">
        <f t="array" ref="R131">_xlfn.ANCHORARRAY(H131)</f>
        <v>7.49</v>
      </c>
      <c r="S131" cm="1">
        <f t="array" ref="S131">_xlfn.ANCHORARRAY(R131)+0.15</f>
        <v>7.6400000000000006</v>
      </c>
      <c r="T131" cm="1">
        <f t="array" ref="T131">_xlfn.ANCHORARRAY(I131)+0.15</f>
        <v>1.65</v>
      </c>
      <c r="U131" cm="1">
        <f t="array" ref="U131">_xlfn.ANCHORARRAY(J131)+0.15</f>
        <v>3.15</v>
      </c>
      <c r="V131" cm="1">
        <f t="array" ref="V131">_xlfn.ANCHORARRAY(K131)+0.15</f>
        <v>3.65</v>
      </c>
      <c r="W131">
        <f>TBL_TEV[[#This Row],[Etica Rendita Bilanciata]]</f>
        <v>1.8282670000000001</v>
      </c>
      <c r="X131">
        <f>TBL_TEV[[#This Row],[Etica Obbligazionario Breve Termine]]</f>
        <v>0.29320200000000002</v>
      </c>
      <c r="Y131">
        <f>TBL_TEV[[#This Row],[Etica Obbligazionario Misto]]</f>
        <v>1.348063</v>
      </c>
      <c r="Z131">
        <f>TBL_TEV[[#This Row],[Etica Bilanciato]]</f>
        <v>2.2178270000000002</v>
      </c>
      <c r="AA131">
        <f>TBL_TEV[[#This Row],[Etica Azionario]]</f>
        <v>3.072352</v>
      </c>
      <c r="AB131">
        <f>TBL_TEV[[#This Row],[Etica Transizione Climatica]]</f>
        <v>2.30355</v>
      </c>
      <c r="AC131">
        <f>TBL_TEV[[#This Row],[Etica Obiettivo Sociale]]</f>
        <v>6.052151531876639</v>
      </c>
      <c r="AD131">
        <f>TBL_TEV[[#This Row],[Etica Conservative Allocation]]</f>
        <v>0.50878100000000004</v>
      </c>
      <c r="AE131">
        <f>TBL_TEV[[#This Row],[Etica Dynamic Allocation]]</f>
        <v>1.856358</v>
      </c>
      <c r="AF131">
        <f>TBL_TEV[[#This Row],[Etica Global Equity]]</f>
        <v>3.0599759999999998</v>
      </c>
      <c r="AL131">
        <f ca="1"/>
        <v>1.818584</v>
      </c>
      <c r="AM131">
        <f ca="1"/>
        <v>0.29161500000000001</v>
      </c>
      <c r="AN131">
        <f ca="1"/>
        <v>1.3310770000000001</v>
      </c>
      <c r="AO131">
        <f ca="1"/>
        <v>2.2311619999999999</v>
      </c>
      <c r="AP131">
        <f ca="1"/>
        <v>3.0794959999999998</v>
      </c>
      <c r="AQ131">
        <f ca="1"/>
        <v>2.3325999999999998</v>
      </c>
      <c r="AR131">
        <f ca="1"/>
        <v>6.0246174557906489</v>
      </c>
      <c r="AS131">
        <f ca="1"/>
        <v>0.50449500000000003</v>
      </c>
      <c r="AT131">
        <f ca="1"/>
        <v>1.839372</v>
      </c>
      <c r="AU131">
        <f ca="1"/>
        <v>3.0507689999999998</v>
      </c>
    </row>
    <row r="132" spans="1:47">
      <c r="A132" s="43">
        <f>TBL_TEV[[#This Row],[Data2]]</f>
        <v>45476</v>
      </c>
      <c r="B132" cm="1">
        <f t="array" ref="B132">_xlfn.XLOOKUP(_xlfn.ANCHORARRAY(A132), TBL_Limiti_CDA[Data], TBL_Limiti_CDA[Etica Rendita Bilanciata], , -1)</f>
        <v>2.5</v>
      </c>
      <c r="C132" cm="1">
        <f t="array" ref="C132">_xlfn.XLOOKUP(_xlfn.ANCHORARRAY(A132), TBL_Limiti_CDA[Data], TBL_Limiti_CDA[Etica Obbligazionario Breve Termine], , -1)</f>
        <v>0.5</v>
      </c>
      <c r="D132" cm="1">
        <f t="array" ref="D132">_xlfn.XLOOKUP(_xlfn.ANCHORARRAY(A132), TBL_Limiti_CDA[Data], TBL_Limiti_CDA[Etica Obbligazionario Misto], , -1)</f>
        <v>1.5</v>
      </c>
      <c r="E132" cm="1">
        <f t="array" ref="E132">_xlfn.XLOOKUP(_xlfn.ANCHORARRAY(A132), TBL_Limiti_CDA[Data], TBL_Limiti_CDA[Etica Bilanciato], , -1)</f>
        <v>3</v>
      </c>
      <c r="F132" cm="1">
        <f t="array" ref="F132">_xlfn.XLOOKUP(_xlfn.ANCHORARRAY(A132), TBL_Limiti_CDA[Data], TBL_Limiti_CDA[Etica Azionario], , -1)</f>
        <v>3.5</v>
      </c>
      <c r="G132" cm="1">
        <f t="array" ref="G132">_xlfn.XLOOKUP(_xlfn.ANCHORARRAY(A132), TBL_Limiti_CDA[Data], TBL_Limiti_CDA[Etica Transizione Climatica], , -1)</f>
        <v>2.75</v>
      </c>
      <c r="H132" cm="1">
        <f t="array" ref="H132">_xlfn.XLOOKUP(_xlfn.ANCHORARRAY(A132), TBL_Limiti_CDA[Data], TBL_Limiti_CDA[Etica Obiettivo Sociale], , -1)</f>
        <v>7.49</v>
      </c>
      <c r="I132" cm="1">
        <f t="array" ref="I132">_xlfn.XLOOKUP(_xlfn.ANCHORARRAY(A132), TBL_Limiti_CDA[Data], TBL_Limiti_CDA[Etica Conservative Allocation], , -1)</f>
        <v>1.5</v>
      </c>
      <c r="J132" cm="1">
        <f t="array" ref="J132">_xlfn.XLOOKUP(_xlfn.ANCHORARRAY(A132), TBL_Limiti_CDA[Data], TBL_Limiti_CDA[Etica Dynamic Allocation], , -1)</f>
        <v>3</v>
      </c>
      <c r="K132" cm="1">
        <f t="array" ref="K132">_xlfn.XLOOKUP(_xlfn.ANCHORARRAY(A132), TBL_Limiti_CDA[Data], TBL_Limiti_CDA[Etica Global Equity], , -1)</f>
        <v>3.5</v>
      </c>
      <c r="L132" cm="1">
        <f t="array" ref="L132">_xlfn.ANCHORARRAY(B132)+0.15</f>
        <v>2.65</v>
      </c>
      <c r="M132" cm="1">
        <f t="array" ref="M132">_xlfn.ANCHORARRAY(C132)+0.1</f>
        <v>0.6</v>
      </c>
      <c r="N132" cm="1">
        <f t="array" ref="N132">_xlfn.ANCHORARRAY(D132)+0.15</f>
        <v>1.65</v>
      </c>
      <c r="O132" cm="1">
        <f t="array" ref="O132">_xlfn.ANCHORARRAY(E132)+0.15</f>
        <v>3.15</v>
      </c>
      <c r="P132" cm="1">
        <f t="array" ref="P132">_xlfn.ANCHORARRAY(F132)+0.15</f>
        <v>3.65</v>
      </c>
      <c r="Q132" cm="1">
        <f t="array" ref="Q132">_xlfn.ANCHORARRAY(G132)+0.15</f>
        <v>2.9</v>
      </c>
      <c r="R132" cm="1">
        <f t="array" ref="R132">_xlfn.ANCHORARRAY(H132)</f>
        <v>7.49</v>
      </c>
      <c r="S132" cm="1">
        <f t="array" ref="S132">_xlfn.ANCHORARRAY(R132)+0.15</f>
        <v>7.6400000000000006</v>
      </c>
      <c r="T132" cm="1">
        <f t="array" ref="T132">_xlfn.ANCHORARRAY(I132)+0.15</f>
        <v>1.65</v>
      </c>
      <c r="U132" cm="1">
        <f t="array" ref="U132">_xlfn.ANCHORARRAY(J132)+0.15</f>
        <v>3.15</v>
      </c>
      <c r="V132" cm="1">
        <f t="array" ref="V132">_xlfn.ANCHORARRAY(K132)+0.15</f>
        <v>3.65</v>
      </c>
      <c r="W132">
        <f>TBL_TEV[[#This Row],[Etica Rendita Bilanciata]]</f>
        <v>1.818584</v>
      </c>
      <c r="X132">
        <f>TBL_TEV[[#This Row],[Etica Obbligazionario Breve Termine]]</f>
        <v>0.29161500000000001</v>
      </c>
      <c r="Y132">
        <f>TBL_TEV[[#This Row],[Etica Obbligazionario Misto]]</f>
        <v>1.3310770000000001</v>
      </c>
      <c r="Z132">
        <f>TBL_TEV[[#This Row],[Etica Bilanciato]]</f>
        <v>2.2311619999999999</v>
      </c>
      <c r="AA132">
        <f>TBL_TEV[[#This Row],[Etica Azionario]]</f>
        <v>3.0794959999999998</v>
      </c>
      <c r="AB132">
        <f>TBL_TEV[[#This Row],[Etica Transizione Climatica]]</f>
        <v>2.3325999999999998</v>
      </c>
      <c r="AC132">
        <f>TBL_TEV[[#This Row],[Etica Obiettivo Sociale]]</f>
        <v>6.0246174557906489</v>
      </c>
      <c r="AD132">
        <f>TBL_TEV[[#This Row],[Etica Conservative Allocation]]</f>
        <v>0.50449500000000003</v>
      </c>
      <c r="AE132">
        <f>TBL_TEV[[#This Row],[Etica Dynamic Allocation]]</f>
        <v>1.839372</v>
      </c>
      <c r="AF132">
        <f>TBL_TEV[[#This Row],[Etica Global Equity]]</f>
        <v>3.0507689999999998</v>
      </c>
      <c r="AL132">
        <f ca="1"/>
        <v>1.8096939999999999</v>
      </c>
      <c r="AM132">
        <f ca="1"/>
        <v>0.29002699999999998</v>
      </c>
      <c r="AN132">
        <f ca="1"/>
        <v>1.323299</v>
      </c>
      <c r="AO132">
        <f ca="1"/>
        <v>2.2222719999999998</v>
      </c>
      <c r="AP132">
        <f ca="1"/>
        <v>3.0655260000000002</v>
      </c>
      <c r="AQ132">
        <f ca="1"/>
        <v>2.3195830000000002</v>
      </c>
      <c r="AR132">
        <f ca="1"/>
        <v>6.0140154344872476</v>
      </c>
      <c r="AS132">
        <f ca="1"/>
        <v>0.50020900000000001</v>
      </c>
      <c r="AT132">
        <f ca="1"/>
        <v>1.8223859999999901</v>
      </c>
      <c r="AU132">
        <f ca="1"/>
        <v>3.0415619999999999</v>
      </c>
    </row>
    <row r="133" spans="1:47">
      <c r="A133" s="43">
        <f>TBL_TEV[[#This Row],[Data2]]</f>
        <v>45477</v>
      </c>
      <c r="B133" cm="1">
        <f t="array" ref="B133">_xlfn.XLOOKUP(_xlfn.ANCHORARRAY(A133), TBL_Limiti_CDA[Data], TBL_Limiti_CDA[Etica Rendita Bilanciata], , -1)</f>
        <v>2.5</v>
      </c>
      <c r="C133" cm="1">
        <f t="array" ref="C133">_xlfn.XLOOKUP(_xlfn.ANCHORARRAY(A133), TBL_Limiti_CDA[Data], TBL_Limiti_CDA[Etica Obbligazionario Breve Termine], , -1)</f>
        <v>0.5</v>
      </c>
      <c r="D133" cm="1">
        <f t="array" ref="D133">_xlfn.XLOOKUP(_xlfn.ANCHORARRAY(A133), TBL_Limiti_CDA[Data], TBL_Limiti_CDA[Etica Obbligazionario Misto], , -1)</f>
        <v>1.5</v>
      </c>
      <c r="E133" cm="1">
        <f t="array" ref="E133">_xlfn.XLOOKUP(_xlfn.ANCHORARRAY(A133), TBL_Limiti_CDA[Data], TBL_Limiti_CDA[Etica Bilanciato], , -1)</f>
        <v>3</v>
      </c>
      <c r="F133" cm="1">
        <f t="array" ref="F133">_xlfn.XLOOKUP(_xlfn.ANCHORARRAY(A133), TBL_Limiti_CDA[Data], TBL_Limiti_CDA[Etica Azionario], , -1)</f>
        <v>3.5</v>
      </c>
      <c r="G133" cm="1">
        <f t="array" ref="G133">_xlfn.XLOOKUP(_xlfn.ANCHORARRAY(A133), TBL_Limiti_CDA[Data], TBL_Limiti_CDA[Etica Transizione Climatica], , -1)</f>
        <v>2.75</v>
      </c>
      <c r="H133" cm="1">
        <f t="array" ref="H133">_xlfn.XLOOKUP(_xlfn.ANCHORARRAY(A133), TBL_Limiti_CDA[Data], TBL_Limiti_CDA[Etica Obiettivo Sociale], , -1)</f>
        <v>7.49</v>
      </c>
      <c r="I133" cm="1">
        <f t="array" ref="I133">_xlfn.XLOOKUP(_xlfn.ANCHORARRAY(A133), TBL_Limiti_CDA[Data], TBL_Limiti_CDA[Etica Conservative Allocation], , -1)</f>
        <v>1.5</v>
      </c>
      <c r="J133" cm="1">
        <f t="array" ref="J133">_xlfn.XLOOKUP(_xlfn.ANCHORARRAY(A133), TBL_Limiti_CDA[Data], TBL_Limiti_CDA[Etica Dynamic Allocation], , -1)</f>
        <v>3</v>
      </c>
      <c r="K133" cm="1">
        <f t="array" ref="K133">_xlfn.XLOOKUP(_xlfn.ANCHORARRAY(A133), TBL_Limiti_CDA[Data], TBL_Limiti_CDA[Etica Global Equity], , -1)</f>
        <v>3.5</v>
      </c>
      <c r="L133" cm="1">
        <f t="array" ref="L133">_xlfn.ANCHORARRAY(B133)+0.15</f>
        <v>2.65</v>
      </c>
      <c r="M133" cm="1">
        <f t="array" ref="M133">_xlfn.ANCHORARRAY(C133)+0.1</f>
        <v>0.6</v>
      </c>
      <c r="N133" cm="1">
        <f t="array" ref="N133">_xlfn.ANCHORARRAY(D133)+0.15</f>
        <v>1.65</v>
      </c>
      <c r="O133" cm="1">
        <f t="array" ref="O133">_xlfn.ANCHORARRAY(E133)+0.15</f>
        <v>3.15</v>
      </c>
      <c r="P133" cm="1">
        <f t="array" ref="P133">_xlfn.ANCHORARRAY(F133)+0.15</f>
        <v>3.65</v>
      </c>
      <c r="Q133" cm="1">
        <f t="array" ref="Q133">_xlfn.ANCHORARRAY(G133)+0.15</f>
        <v>2.9</v>
      </c>
      <c r="R133" cm="1">
        <f t="array" ref="R133">_xlfn.ANCHORARRAY(H133)</f>
        <v>7.49</v>
      </c>
      <c r="S133" cm="1">
        <f t="array" ref="S133">_xlfn.ANCHORARRAY(R133)+0.15</f>
        <v>7.6400000000000006</v>
      </c>
      <c r="T133" cm="1">
        <f t="array" ref="T133">_xlfn.ANCHORARRAY(I133)+0.15</f>
        <v>1.65</v>
      </c>
      <c r="U133" cm="1">
        <f t="array" ref="U133">_xlfn.ANCHORARRAY(J133)+0.15</f>
        <v>3.15</v>
      </c>
      <c r="V133" cm="1">
        <f t="array" ref="V133">_xlfn.ANCHORARRAY(K133)+0.15</f>
        <v>3.65</v>
      </c>
      <c r="W133">
        <f>TBL_TEV[[#This Row],[Etica Rendita Bilanciata]]</f>
        <v>1.8096939999999999</v>
      </c>
      <c r="X133">
        <f>TBL_TEV[[#This Row],[Etica Obbligazionario Breve Termine]]</f>
        <v>0.29002699999999998</v>
      </c>
      <c r="Y133">
        <f>TBL_TEV[[#This Row],[Etica Obbligazionario Misto]]</f>
        <v>1.323299</v>
      </c>
      <c r="Z133">
        <f>TBL_TEV[[#This Row],[Etica Bilanciato]]</f>
        <v>2.2222719999999998</v>
      </c>
      <c r="AA133">
        <f>TBL_TEV[[#This Row],[Etica Azionario]]</f>
        <v>3.0655260000000002</v>
      </c>
      <c r="AB133">
        <f>TBL_TEV[[#This Row],[Etica Transizione Climatica]]</f>
        <v>2.3195830000000002</v>
      </c>
      <c r="AC133">
        <f>TBL_TEV[[#This Row],[Etica Obiettivo Sociale]]</f>
        <v>6.0140154344872476</v>
      </c>
      <c r="AD133">
        <f>TBL_TEV[[#This Row],[Etica Conservative Allocation]]</f>
        <v>0.50020900000000001</v>
      </c>
      <c r="AE133">
        <f>TBL_TEV[[#This Row],[Etica Dynamic Allocation]]</f>
        <v>1.8223859999999901</v>
      </c>
      <c r="AF133">
        <f>TBL_TEV[[#This Row],[Etica Global Equity]]</f>
        <v>3.0415619999999999</v>
      </c>
      <c r="AL133">
        <f ca="1"/>
        <v>1.777469</v>
      </c>
      <c r="AM133">
        <f ca="1"/>
        <v>0.28907500000000003</v>
      </c>
      <c r="AN133">
        <f ca="1"/>
        <v>1.288375</v>
      </c>
      <c r="AO133">
        <f ca="1"/>
        <v>2.2075089999999999</v>
      </c>
      <c r="AP133">
        <f ca="1"/>
        <v>3.0428259999999998</v>
      </c>
      <c r="AQ133">
        <f ca="1"/>
        <v>2.3057720000000002</v>
      </c>
      <c r="AR133">
        <f ca="1"/>
        <v>5.9801700398220747</v>
      </c>
      <c r="AS133">
        <f ca="1"/>
        <v>0.495923</v>
      </c>
      <c r="AT133">
        <f ca="1"/>
        <v>1.8053999999999999</v>
      </c>
      <c r="AU133">
        <f ca="1"/>
        <v>3.0323549999999999</v>
      </c>
    </row>
    <row r="134" spans="1:47">
      <c r="A134" s="43">
        <f>TBL_TEV[[#This Row],[Data2]]</f>
        <v>45478</v>
      </c>
      <c r="B134" cm="1">
        <f t="array" ref="B134">_xlfn.XLOOKUP(_xlfn.ANCHORARRAY(A134), TBL_Limiti_CDA[Data], TBL_Limiti_CDA[Etica Rendita Bilanciata], , -1)</f>
        <v>2.5</v>
      </c>
      <c r="C134" cm="1">
        <f t="array" ref="C134">_xlfn.XLOOKUP(_xlfn.ANCHORARRAY(A134), TBL_Limiti_CDA[Data], TBL_Limiti_CDA[Etica Obbligazionario Breve Termine], , -1)</f>
        <v>0.5</v>
      </c>
      <c r="D134" cm="1">
        <f t="array" ref="D134">_xlfn.XLOOKUP(_xlfn.ANCHORARRAY(A134), TBL_Limiti_CDA[Data], TBL_Limiti_CDA[Etica Obbligazionario Misto], , -1)</f>
        <v>1.5</v>
      </c>
      <c r="E134" cm="1">
        <f t="array" ref="E134">_xlfn.XLOOKUP(_xlfn.ANCHORARRAY(A134), TBL_Limiti_CDA[Data], TBL_Limiti_CDA[Etica Bilanciato], , -1)</f>
        <v>3</v>
      </c>
      <c r="F134" cm="1">
        <f t="array" ref="F134">_xlfn.XLOOKUP(_xlfn.ANCHORARRAY(A134), TBL_Limiti_CDA[Data], TBL_Limiti_CDA[Etica Azionario], , -1)</f>
        <v>3.5</v>
      </c>
      <c r="G134" cm="1">
        <f t="array" ref="G134">_xlfn.XLOOKUP(_xlfn.ANCHORARRAY(A134), TBL_Limiti_CDA[Data], TBL_Limiti_CDA[Etica Transizione Climatica], , -1)</f>
        <v>2.75</v>
      </c>
      <c r="H134" cm="1">
        <f t="array" ref="H134">_xlfn.XLOOKUP(_xlfn.ANCHORARRAY(A134), TBL_Limiti_CDA[Data], TBL_Limiti_CDA[Etica Obiettivo Sociale], , -1)</f>
        <v>7.49</v>
      </c>
      <c r="I134" cm="1">
        <f t="array" ref="I134">_xlfn.XLOOKUP(_xlfn.ANCHORARRAY(A134), TBL_Limiti_CDA[Data], TBL_Limiti_CDA[Etica Conservative Allocation], , -1)</f>
        <v>1.5</v>
      </c>
      <c r="J134" cm="1">
        <f t="array" ref="J134">_xlfn.XLOOKUP(_xlfn.ANCHORARRAY(A134), TBL_Limiti_CDA[Data], TBL_Limiti_CDA[Etica Dynamic Allocation], , -1)</f>
        <v>3</v>
      </c>
      <c r="K134" cm="1">
        <f t="array" ref="K134">_xlfn.XLOOKUP(_xlfn.ANCHORARRAY(A134), TBL_Limiti_CDA[Data], TBL_Limiti_CDA[Etica Global Equity], , -1)</f>
        <v>3.5</v>
      </c>
      <c r="L134" cm="1">
        <f t="array" ref="L134">_xlfn.ANCHORARRAY(B134)+0.15</f>
        <v>2.65</v>
      </c>
      <c r="M134" cm="1">
        <f t="array" ref="M134">_xlfn.ANCHORARRAY(C134)+0.1</f>
        <v>0.6</v>
      </c>
      <c r="N134" cm="1">
        <f t="array" ref="N134">_xlfn.ANCHORARRAY(D134)+0.15</f>
        <v>1.65</v>
      </c>
      <c r="O134" cm="1">
        <f t="array" ref="O134">_xlfn.ANCHORARRAY(E134)+0.15</f>
        <v>3.15</v>
      </c>
      <c r="P134" cm="1">
        <f t="array" ref="P134">_xlfn.ANCHORARRAY(F134)+0.15</f>
        <v>3.65</v>
      </c>
      <c r="Q134" cm="1">
        <f t="array" ref="Q134">_xlfn.ANCHORARRAY(G134)+0.15</f>
        <v>2.9</v>
      </c>
      <c r="R134" cm="1">
        <f t="array" ref="R134">_xlfn.ANCHORARRAY(H134)</f>
        <v>7.49</v>
      </c>
      <c r="S134" cm="1">
        <f t="array" ref="S134">_xlfn.ANCHORARRAY(R134)+0.15</f>
        <v>7.6400000000000006</v>
      </c>
      <c r="T134" cm="1">
        <f t="array" ref="T134">_xlfn.ANCHORARRAY(I134)+0.15</f>
        <v>1.65</v>
      </c>
      <c r="U134" cm="1">
        <f t="array" ref="U134">_xlfn.ANCHORARRAY(J134)+0.15</f>
        <v>3.15</v>
      </c>
      <c r="V134" cm="1">
        <f t="array" ref="V134">_xlfn.ANCHORARRAY(K134)+0.15</f>
        <v>3.65</v>
      </c>
      <c r="W134">
        <f>TBL_TEV[[#This Row],[Etica Rendita Bilanciata]]</f>
        <v>1.777469</v>
      </c>
      <c r="X134">
        <f>TBL_TEV[[#This Row],[Etica Obbligazionario Breve Termine]]</f>
        <v>0.28907500000000003</v>
      </c>
      <c r="Y134">
        <f>TBL_TEV[[#This Row],[Etica Obbligazionario Misto]]</f>
        <v>1.288375</v>
      </c>
      <c r="Z134">
        <f>TBL_TEV[[#This Row],[Etica Bilanciato]]</f>
        <v>2.2075089999999999</v>
      </c>
      <c r="AA134">
        <f>TBL_TEV[[#This Row],[Etica Azionario]]</f>
        <v>3.0428259999999998</v>
      </c>
      <c r="AB134">
        <f>TBL_TEV[[#This Row],[Etica Transizione Climatica]]</f>
        <v>2.3057720000000002</v>
      </c>
      <c r="AC134">
        <f>TBL_TEV[[#This Row],[Etica Obiettivo Sociale]]</f>
        <v>5.9801700398220747</v>
      </c>
      <c r="AD134">
        <f>TBL_TEV[[#This Row],[Etica Conservative Allocation]]</f>
        <v>0.495923</v>
      </c>
      <c r="AE134">
        <f>TBL_TEV[[#This Row],[Etica Dynamic Allocation]]</f>
        <v>1.8053999999999999</v>
      </c>
      <c r="AF134">
        <f>TBL_TEV[[#This Row],[Etica Global Equity]]</f>
        <v>3.0323549999999999</v>
      </c>
      <c r="AL134">
        <f ca="1"/>
        <v>1.785088</v>
      </c>
      <c r="AM134">
        <f ca="1"/>
        <v>0.28605900000000001</v>
      </c>
      <c r="AN134">
        <f ca="1"/>
        <v>1.296154</v>
      </c>
      <c r="AO134">
        <f ca="1"/>
        <v>2.2092550000000002</v>
      </c>
      <c r="AP134">
        <f ca="1"/>
        <v>3.0433020000000002</v>
      </c>
      <c r="AQ134">
        <f ca="1"/>
        <v>2.3159320000000001</v>
      </c>
      <c r="AR134">
        <f ca="1"/>
        <v>5.957366756222271</v>
      </c>
      <c r="AS134">
        <f ca="1"/>
        <v>0.49163699999999999</v>
      </c>
      <c r="AT134">
        <f ca="1"/>
        <v>1.7884139999999999</v>
      </c>
      <c r="AU134">
        <f ca="1"/>
        <v>3.0231479999999999</v>
      </c>
    </row>
    <row r="135" spans="1:47">
      <c r="A135" s="43">
        <f>TBL_TEV[[#This Row],[Data2]]</f>
        <v>45481</v>
      </c>
      <c r="B135" cm="1">
        <f t="array" ref="B135">_xlfn.XLOOKUP(_xlfn.ANCHORARRAY(A135), TBL_Limiti_CDA[Data], TBL_Limiti_CDA[Etica Rendita Bilanciata], , -1)</f>
        <v>2.5</v>
      </c>
      <c r="C135" cm="1">
        <f t="array" ref="C135">_xlfn.XLOOKUP(_xlfn.ANCHORARRAY(A135), TBL_Limiti_CDA[Data], TBL_Limiti_CDA[Etica Obbligazionario Breve Termine], , -1)</f>
        <v>0.5</v>
      </c>
      <c r="D135" cm="1">
        <f t="array" ref="D135">_xlfn.XLOOKUP(_xlfn.ANCHORARRAY(A135), TBL_Limiti_CDA[Data], TBL_Limiti_CDA[Etica Obbligazionario Misto], , -1)</f>
        <v>1.5</v>
      </c>
      <c r="E135" cm="1">
        <f t="array" ref="E135">_xlfn.XLOOKUP(_xlfn.ANCHORARRAY(A135), TBL_Limiti_CDA[Data], TBL_Limiti_CDA[Etica Bilanciato], , -1)</f>
        <v>3</v>
      </c>
      <c r="F135" cm="1">
        <f t="array" ref="F135">_xlfn.XLOOKUP(_xlfn.ANCHORARRAY(A135), TBL_Limiti_CDA[Data], TBL_Limiti_CDA[Etica Azionario], , -1)</f>
        <v>3.5</v>
      </c>
      <c r="G135" cm="1">
        <f t="array" ref="G135">_xlfn.XLOOKUP(_xlfn.ANCHORARRAY(A135), TBL_Limiti_CDA[Data], TBL_Limiti_CDA[Etica Transizione Climatica], , -1)</f>
        <v>2.75</v>
      </c>
      <c r="H135" cm="1">
        <f t="array" ref="H135">_xlfn.XLOOKUP(_xlfn.ANCHORARRAY(A135), TBL_Limiti_CDA[Data], TBL_Limiti_CDA[Etica Obiettivo Sociale], , -1)</f>
        <v>7.49</v>
      </c>
      <c r="I135" cm="1">
        <f t="array" ref="I135">_xlfn.XLOOKUP(_xlfn.ANCHORARRAY(A135), TBL_Limiti_CDA[Data], TBL_Limiti_CDA[Etica Conservative Allocation], , -1)</f>
        <v>1.5</v>
      </c>
      <c r="J135" cm="1">
        <f t="array" ref="J135">_xlfn.XLOOKUP(_xlfn.ANCHORARRAY(A135), TBL_Limiti_CDA[Data], TBL_Limiti_CDA[Etica Dynamic Allocation], , -1)</f>
        <v>3</v>
      </c>
      <c r="K135" cm="1">
        <f t="array" ref="K135">_xlfn.XLOOKUP(_xlfn.ANCHORARRAY(A135), TBL_Limiti_CDA[Data], TBL_Limiti_CDA[Etica Global Equity], , -1)</f>
        <v>3.5</v>
      </c>
      <c r="L135" cm="1">
        <f t="array" ref="L135">_xlfn.ANCHORARRAY(B135)+0.15</f>
        <v>2.65</v>
      </c>
      <c r="M135" cm="1">
        <f t="array" ref="M135">_xlfn.ANCHORARRAY(C135)+0.1</f>
        <v>0.6</v>
      </c>
      <c r="N135" cm="1">
        <f t="array" ref="N135">_xlfn.ANCHORARRAY(D135)+0.15</f>
        <v>1.65</v>
      </c>
      <c r="O135" cm="1">
        <f t="array" ref="O135">_xlfn.ANCHORARRAY(E135)+0.15</f>
        <v>3.15</v>
      </c>
      <c r="P135" cm="1">
        <f t="array" ref="P135">_xlfn.ANCHORARRAY(F135)+0.15</f>
        <v>3.65</v>
      </c>
      <c r="Q135" cm="1">
        <f t="array" ref="Q135">_xlfn.ANCHORARRAY(G135)+0.15</f>
        <v>2.9</v>
      </c>
      <c r="R135" cm="1">
        <f t="array" ref="R135">_xlfn.ANCHORARRAY(H135)</f>
        <v>7.49</v>
      </c>
      <c r="S135" cm="1">
        <f t="array" ref="S135">_xlfn.ANCHORARRAY(R135)+0.15</f>
        <v>7.6400000000000006</v>
      </c>
      <c r="T135" cm="1">
        <f t="array" ref="T135">_xlfn.ANCHORARRAY(I135)+0.15</f>
        <v>1.65</v>
      </c>
      <c r="U135" cm="1">
        <f t="array" ref="U135">_xlfn.ANCHORARRAY(J135)+0.15</f>
        <v>3.15</v>
      </c>
      <c r="V135" cm="1">
        <f t="array" ref="V135">_xlfn.ANCHORARRAY(K135)+0.15</f>
        <v>3.65</v>
      </c>
      <c r="W135">
        <f>TBL_TEV[[#This Row],[Etica Rendita Bilanciata]]</f>
        <v>1.785088</v>
      </c>
      <c r="X135">
        <f>TBL_TEV[[#This Row],[Etica Obbligazionario Breve Termine]]</f>
        <v>0.28605900000000001</v>
      </c>
      <c r="Y135">
        <f>TBL_TEV[[#This Row],[Etica Obbligazionario Misto]]</f>
        <v>1.296154</v>
      </c>
      <c r="Z135">
        <f>TBL_TEV[[#This Row],[Etica Bilanciato]]</f>
        <v>2.2092550000000002</v>
      </c>
      <c r="AA135">
        <f>TBL_TEV[[#This Row],[Etica Azionario]]</f>
        <v>3.0433020000000002</v>
      </c>
      <c r="AB135">
        <f>TBL_TEV[[#This Row],[Etica Transizione Climatica]]</f>
        <v>2.3159320000000001</v>
      </c>
      <c r="AC135">
        <f>TBL_TEV[[#This Row],[Etica Obiettivo Sociale]]</f>
        <v>5.957366756222271</v>
      </c>
      <c r="AD135">
        <f>TBL_TEV[[#This Row],[Etica Conservative Allocation]]</f>
        <v>0.49163699999999999</v>
      </c>
      <c r="AE135">
        <f>TBL_TEV[[#This Row],[Etica Dynamic Allocation]]</f>
        <v>1.7884139999999999</v>
      </c>
      <c r="AF135">
        <f>TBL_TEV[[#This Row],[Etica Global Equity]]</f>
        <v>3.0231479999999999</v>
      </c>
      <c r="AL135">
        <f ca="1"/>
        <v>1.7822309999999999</v>
      </c>
      <c r="AM135">
        <f ca="1"/>
        <v>0.28462999999999999</v>
      </c>
      <c r="AN135">
        <f ca="1"/>
        <v>1.2920259999999999</v>
      </c>
      <c r="AO135">
        <f ca="1"/>
        <v>2.2051280000000002</v>
      </c>
      <c r="AP135">
        <f ca="1"/>
        <v>3.040286</v>
      </c>
      <c r="AQ135">
        <f ca="1"/>
        <v>2.3537129999999999</v>
      </c>
      <c r="AR135">
        <f ca="1"/>
        <v>5.931608354379172</v>
      </c>
      <c r="AS135">
        <f ca="1"/>
        <v>0.48735099999999998</v>
      </c>
      <c r="AT135">
        <f ca="1"/>
        <v>1.771428</v>
      </c>
      <c r="AU135">
        <f ca="1"/>
        <v>3.013941</v>
      </c>
    </row>
    <row r="136" spans="1:47">
      <c r="A136" s="43">
        <f>TBL_TEV[[#This Row],[Data2]]</f>
        <v>45482</v>
      </c>
      <c r="B136" cm="1">
        <f t="array" ref="B136">_xlfn.XLOOKUP(_xlfn.ANCHORARRAY(A136), TBL_Limiti_CDA[Data], TBL_Limiti_CDA[Etica Rendita Bilanciata], , -1)</f>
        <v>2.5</v>
      </c>
      <c r="C136" cm="1">
        <f t="array" ref="C136">_xlfn.XLOOKUP(_xlfn.ANCHORARRAY(A136), TBL_Limiti_CDA[Data], TBL_Limiti_CDA[Etica Obbligazionario Breve Termine], , -1)</f>
        <v>0.5</v>
      </c>
      <c r="D136" cm="1">
        <f t="array" ref="D136">_xlfn.XLOOKUP(_xlfn.ANCHORARRAY(A136), TBL_Limiti_CDA[Data], TBL_Limiti_CDA[Etica Obbligazionario Misto], , -1)</f>
        <v>1.5</v>
      </c>
      <c r="E136" cm="1">
        <f t="array" ref="E136">_xlfn.XLOOKUP(_xlfn.ANCHORARRAY(A136), TBL_Limiti_CDA[Data], TBL_Limiti_CDA[Etica Bilanciato], , -1)</f>
        <v>3</v>
      </c>
      <c r="F136" cm="1">
        <f t="array" ref="F136">_xlfn.XLOOKUP(_xlfn.ANCHORARRAY(A136), TBL_Limiti_CDA[Data], TBL_Limiti_CDA[Etica Azionario], , -1)</f>
        <v>3.5</v>
      </c>
      <c r="G136" cm="1">
        <f t="array" ref="G136">_xlfn.XLOOKUP(_xlfn.ANCHORARRAY(A136), TBL_Limiti_CDA[Data], TBL_Limiti_CDA[Etica Transizione Climatica], , -1)</f>
        <v>2.75</v>
      </c>
      <c r="H136" cm="1">
        <f t="array" ref="H136">_xlfn.XLOOKUP(_xlfn.ANCHORARRAY(A136), TBL_Limiti_CDA[Data], TBL_Limiti_CDA[Etica Obiettivo Sociale], , -1)</f>
        <v>7.49</v>
      </c>
      <c r="I136" cm="1">
        <f t="array" ref="I136">_xlfn.XLOOKUP(_xlfn.ANCHORARRAY(A136), TBL_Limiti_CDA[Data], TBL_Limiti_CDA[Etica Conservative Allocation], , -1)</f>
        <v>1.5</v>
      </c>
      <c r="J136" cm="1">
        <f t="array" ref="J136">_xlfn.XLOOKUP(_xlfn.ANCHORARRAY(A136), TBL_Limiti_CDA[Data], TBL_Limiti_CDA[Etica Dynamic Allocation], , -1)</f>
        <v>3</v>
      </c>
      <c r="K136" cm="1">
        <f t="array" ref="K136">_xlfn.XLOOKUP(_xlfn.ANCHORARRAY(A136), TBL_Limiti_CDA[Data], TBL_Limiti_CDA[Etica Global Equity], , -1)</f>
        <v>3.5</v>
      </c>
      <c r="L136" cm="1">
        <f t="array" ref="L136">_xlfn.ANCHORARRAY(B136)+0.15</f>
        <v>2.65</v>
      </c>
      <c r="M136" cm="1">
        <f t="array" ref="M136">_xlfn.ANCHORARRAY(C136)+0.1</f>
        <v>0.6</v>
      </c>
      <c r="N136" cm="1">
        <f t="array" ref="N136">_xlfn.ANCHORARRAY(D136)+0.15</f>
        <v>1.65</v>
      </c>
      <c r="O136" cm="1">
        <f t="array" ref="O136">_xlfn.ANCHORARRAY(E136)+0.15</f>
        <v>3.15</v>
      </c>
      <c r="P136" cm="1">
        <f t="array" ref="P136">_xlfn.ANCHORARRAY(F136)+0.15</f>
        <v>3.65</v>
      </c>
      <c r="Q136" cm="1">
        <f t="array" ref="Q136">_xlfn.ANCHORARRAY(G136)+0.15</f>
        <v>2.9</v>
      </c>
      <c r="R136" cm="1">
        <f t="array" ref="R136">_xlfn.ANCHORARRAY(H136)</f>
        <v>7.49</v>
      </c>
      <c r="S136" cm="1">
        <f t="array" ref="S136">_xlfn.ANCHORARRAY(R136)+0.15</f>
        <v>7.6400000000000006</v>
      </c>
      <c r="T136" cm="1">
        <f t="array" ref="T136">_xlfn.ANCHORARRAY(I136)+0.15</f>
        <v>1.65</v>
      </c>
      <c r="U136" cm="1">
        <f t="array" ref="U136">_xlfn.ANCHORARRAY(J136)+0.15</f>
        <v>3.15</v>
      </c>
      <c r="V136" cm="1">
        <f t="array" ref="V136">_xlfn.ANCHORARRAY(K136)+0.15</f>
        <v>3.65</v>
      </c>
      <c r="W136">
        <f>TBL_TEV[[#This Row],[Etica Rendita Bilanciata]]</f>
        <v>1.7822309999999999</v>
      </c>
      <c r="X136">
        <f>TBL_TEV[[#This Row],[Etica Obbligazionario Breve Termine]]</f>
        <v>0.28462999999999999</v>
      </c>
      <c r="Y136">
        <f>TBL_TEV[[#This Row],[Etica Obbligazionario Misto]]</f>
        <v>1.2920259999999999</v>
      </c>
      <c r="Z136">
        <f>TBL_TEV[[#This Row],[Etica Bilanciato]]</f>
        <v>2.2051280000000002</v>
      </c>
      <c r="AA136">
        <f>TBL_TEV[[#This Row],[Etica Azionario]]</f>
        <v>3.040286</v>
      </c>
      <c r="AB136">
        <f>TBL_TEV[[#This Row],[Etica Transizione Climatica]]</f>
        <v>2.3537129999999999</v>
      </c>
      <c r="AC136">
        <f>TBL_TEV[[#This Row],[Etica Obiettivo Sociale]]</f>
        <v>5.931608354379172</v>
      </c>
      <c r="AD136">
        <f>TBL_TEV[[#This Row],[Etica Conservative Allocation]]</f>
        <v>0.48735099999999998</v>
      </c>
      <c r="AE136">
        <f>TBL_TEV[[#This Row],[Etica Dynamic Allocation]]</f>
        <v>1.771428</v>
      </c>
      <c r="AF136">
        <f>TBL_TEV[[#This Row],[Etica Global Equity]]</f>
        <v>3.013941</v>
      </c>
      <c r="AL136">
        <f ca="1"/>
        <v>1.774929</v>
      </c>
      <c r="AM136">
        <f ca="1"/>
        <v>0.28240700000000002</v>
      </c>
      <c r="AN136">
        <f ca="1"/>
        <v>1.2994870000000001</v>
      </c>
      <c r="AO136">
        <f ca="1"/>
        <v>2.1808399999999999</v>
      </c>
      <c r="AP136">
        <f ca="1"/>
        <v>3.0012340000000002</v>
      </c>
      <c r="AQ136">
        <f ca="1"/>
        <v>2.361809</v>
      </c>
      <c r="AR136">
        <f ca="1"/>
        <v>7.6069913169426151</v>
      </c>
      <c r="AS136">
        <f ca="1"/>
        <v>0.48306500000000002</v>
      </c>
      <c r="AT136">
        <f ca="1"/>
        <v>1.7544420000000001</v>
      </c>
      <c r="AU136">
        <f ca="1"/>
        <v>3.004734</v>
      </c>
    </row>
    <row r="137" spans="1:47">
      <c r="A137" s="43">
        <f>TBL_TEV[[#This Row],[Data2]]</f>
        <v>45483</v>
      </c>
      <c r="B137" cm="1">
        <f t="array" ref="B137">_xlfn.XLOOKUP(_xlfn.ANCHORARRAY(A137), TBL_Limiti_CDA[Data], TBL_Limiti_CDA[Etica Rendita Bilanciata], , -1)</f>
        <v>2.5</v>
      </c>
      <c r="C137" cm="1">
        <f t="array" ref="C137">_xlfn.XLOOKUP(_xlfn.ANCHORARRAY(A137), TBL_Limiti_CDA[Data], TBL_Limiti_CDA[Etica Obbligazionario Breve Termine], , -1)</f>
        <v>0.5</v>
      </c>
      <c r="D137" cm="1">
        <f t="array" ref="D137">_xlfn.XLOOKUP(_xlfn.ANCHORARRAY(A137), TBL_Limiti_CDA[Data], TBL_Limiti_CDA[Etica Obbligazionario Misto], , -1)</f>
        <v>1.5</v>
      </c>
      <c r="E137" cm="1">
        <f t="array" ref="E137">_xlfn.XLOOKUP(_xlfn.ANCHORARRAY(A137), TBL_Limiti_CDA[Data], TBL_Limiti_CDA[Etica Bilanciato], , -1)</f>
        <v>3</v>
      </c>
      <c r="F137" cm="1">
        <f t="array" ref="F137">_xlfn.XLOOKUP(_xlfn.ANCHORARRAY(A137), TBL_Limiti_CDA[Data], TBL_Limiti_CDA[Etica Azionario], , -1)</f>
        <v>3.5</v>
      </c>
      <c r="G137" cm="1">
        <f t="array" ref="G137">_xlfn.XLOOKUP(_xlfn.ANCHORARRAY(A137), TBL_Limiti_CDA[Data], TBL_Limiti_CDA[Etica Transizione Climatica], , -1)</f>
        <v>2.75</v>
      </c>
      <c r="H137" cm="1">
        <f t="array" ref="H137">_xlfn.XLOOKUP(_xlfn.ANCHORARRAY(A137), TBL_Limiti_CDA[Data], TBL_Limiti_CDA[Etica Obiettivo Sociale], , -1)</f>
        <v>7.49</v>
      </c>
      <c r="I137" cm="1">
        <f t="array" ref="I137">_xlfn.XLOOKUP(_xlfn.ANCHORARRAY(A137), TBL_Limiti_CDA[Data], TBL_Limiti_CDA[Etica Conservative Allocation], , -1)</f>
        <v>1.5</v>
      </c>
      <c r="J137" cm="1">
        <f t="array" ref="J137">_xlfn.XLOOKUP(_xlfn.ANCHORARRAY(A137), TBL_Limiti_CDA[Data], TBL_Limiti_CDA[Etica Dynamic Allocation], , -1)</f>
        <v>3</v>
      </c>
      <c r="K137" cm="1">
        <f t="array" ref="K137">_xlfn.XLOOKUP(_xlfn.ANCHORARRAY(A137), TBL_Limiti_CDA[Data], TBL_Limiti_CDA[Etica Global Equity], , -1)</f>
        <v>3.5</v>
      </c>
      <c r="L137" cm="1">
        <f t="array" ref="L137">_xlfn.ANCHORARRAY(B137)+0.15</f>
        <v>2.65</v>
      </c>
      <c r="M137" cm="1">
        <f t="array" ref="M137">_xlfn.ANCHORARRAY(C137)+0.1</f>
        <v>0.6</v>
      </c>
      <c r="N137" cm="1">
        <f t="array" ref="N137">_xlfn.ANCHORARRAY(D137)+0.15</f>
        <v>1.65</v>
      </c>
      <c r="O137" cm="1">
        <f t="array" ref="O137">_xlfn.ANCHORARRAY(E137)+0.15</f>
        <v>3.15</v>
      </c>
      <c r="P137" cm="1">
        <f t="array" ref="P137">_xlfn.ANCHORARRAY(F137)+0.15</f>
        <v>3.65</v>
      </c>
      <c r="Q137" cm="1">
        <f t="array" ref="Q137">_xlfn.ANCHORARRAY(G137)+0.15</f>
        <v>2.9</v>
      </c>
      <c r="R137" cm="1">
        <f t="array" ref="R137">_xlfn.ANCHORARRAY(H137)</f>
        <v>7.49</v>
      </c>
      <c r="S137" cm="1">
        <f t="array" ref="S137">_xlfn.ANCHORARRAY(R137)+0.15</f>
        <v>7.6400000000000006</v>
      </c>
      <c r="T137" cm="1">
        <f t="array" ref="T137">_xlfn.ANCHORARRAY(I137)+0.15</f>
        <v>1.65</v>
      </c>
      <c r="U137" cm="1">
        <f t="array" ref="U137">_xlfn.ANCHORARRAY(J137)+0.15</f>
        <v>3.15</v>
      </c>
      <c r="V137" cm="1">
        <f t="array" ref="V137">_xlfn.ANCHORARRAY(K137)+0.15</f>
        <v>3.65</v>
      </c>
      <c r="W137">
        <f>TBL_TEV[[#This Row],[Etica Rendita Bilanciata]]</f>
        <v>1.774929</v>
      </c>
      <c r="X137">
        <f>TBL_TEV[[#This Row],[Etica Obbligazionario Breve Termine]]</f>
        <v>0.28240700000000002</v>
      </c>
      <c r="Y137">
        <f>TBL_TEV[[#This Row],[Etica Obbligazionario Misto]]</f>
        <v>1.2994870000000001</v>
      </c>
      <c r="Z137">
        <f>TBL_TEV[[#This Row],[Etica Bilanciato]]</f>
        <v>2.1808399999999999</v>
      </c>
      <c r="AA137">
        <f>TBL_TEV[[#This Row],[Etica Azionario]]</f>
        <v>3.0012340000000002</v>
      </c>
      <c r="AB137">
        <f>TBL_TEV[[#This Row],[Etica Transizione Climatica]]</f>
        <v>2.361809</v>
      </c>
      <c r="AC137">
        <f>TBL_TEV[[#This Row],[Etica Obiettivo Sociale]]</f>
        <v>7.6069913169426151</v>
      </c>
      <c r="AD137">
        <f>TBL_TEV[[#This Row],[Etica Conservative Allocation]]</f>
        <v>0.48306500000000002</v>
      </c>
      <c r="AE137">
        <f>TBL_TEV[[#This Row],[Etica Dynamic Allocation]]</f>
        <v>1.7544420000000001</v>
      </c>
      <c r="AF137">
        <f>TBL_TEV[[#This Row],[Etica Global Equity]]</f>
        <v>3.004734</v>
      </c>
      <c r="AL137">
        <f ca="1"/>
        <v>1.7668330000000001</v>
      </c>
      <c r="AM137">
        <f ca="1"/>
        <v>0.28574100000000002</v>
      </c>
      <c r="AN137">
        <f ca="1"/>
        <v>1.290915</v>
      </c>
      <c r="AO137">
        <f ca="1"/>
        <v>2.1433759999999999</v>
      </c>
      <c r="AP137">
        <f ca="1"/>
        <v>3.0005989999999998</v>
      </c>
      <c r="AQ137">
        <f ca="1"/>
        <v>2.5076960000000001</v>
      </c>
      <c r="AR137">
        <f ca="1"/>
        <v>7.6257425458183015</v>
      </c>
      <c r="AS137">
        <f ca="1"/>
        <v>0.47877900000000001</v>
      </c>
      <c r="AT137">
        <f ca="1"/>
        <v>1.7374559999999899</v>
      </c>
      <c r="AU137">
        <f ca="1"/>
        <v>2.9955270000000001</v>
      </c>
    </row>
    <row r="138" spans="1:47">
      <c r="A138" s="43">
        <f>TBL_TEV[[#This Row],[Data2]]</f>
        <v>45484</v>
      </c>
      <c r="B138" cm="1">
        <f t="array" ref="B138">_xlfn.XLOOKUP(_xlfn.ANCHORARRAY(A138), TBL_Limiti_CDA[Data], TBL_Limiti_CDA[Etica Rendita Bilanciata], , -1)</f>
        <v>2.5</v>
      </c>
      <c r="C138" cm="1">
        <f t="array" ref="C138">_xlfn.XLOOKUP(_xlfn.ANCHORARRAY(A138), TBL_Limiti_CDA[Data], TBL_Limiti_CDA[Etica Obbligazionario Breve Termine], , -1)</f>
        <v>0.5</v>
      </c>
      <c r="D138" cm="1">
        <f t="array" ref="D138">_xlfn.XLOOKUP(_xlfn.ANCHORARRAY(A138), TBL_Limiti_CDA[Data], TBL_Limiti_CDA[Etica Obbligazionario Misto], , -1)</f>
        <v>1.5</v>
      </c>
      <c r="E138" cm="1">
        <f t="array" ref="E138">_xlfn.XLOOKUP(_xlfn.ANCHORARRAY(A138), TBL_Limiti_CDA[Data], TBL_Limiti_CDA[Etica Bilanciato], , -1)</f>
        <v>3</v>
      </c>
      <c r="F138" cm="1">
        <f t="array" ref="F138">_xlfn.XLOOKUP(_xlfn.ANCHORARRAY(A138), TBL_Limiti_CDA[Data], TBL_Limiti_CDA[Etica Azionario], , -1)</f>
        <v>3.5</v>
      </c>
      <c r="G138" cm="1">
        <f t="array" ref="G138">_xlfn.XLOOKUP(_xlfn.ANCHORARRAY(A138), TBL_Limiti_CDA[Data], TBL_Limiti_CDA[Etica Transizione Climatica], , -1)</f>
        <v>2.75</v>
      </c>
      <c r="H138" cm="1">
        <f t="array" ref="H138">_xlfn.XLOOKUP(_xlfn.ANCHORARRAY(A138), TBL_Limiti_CDA[Data], TBL_Limiti_CDA[Etica Obiettivo Sociale], , -1)</f>
        <v>7.49</v>
      </c>
      <c r="I138" cm="1">
        <f t="array" ref="I138">_xlfn.XLOOKUP(_xlfn.ANCHORARRAY(A138), TBL_Limiti_CDA[Data], TBL_Limiti_CDA[Etica Conservative Allocation], , -1)</f>
        <v>1.5</v>
      </c>
      <c r="J138" cm="1">
        <f t="array" ref="J138">_xlfn.XLOOKUP(_xlfn.ANCHORARRAY(A138), TBL_Limiti_CDA[Data], TBL_Limiti_CDA[Etica Dynamic Allocation], , -1)</f>
        <v>3</v>
      </c>
      <c r="K138" cm="1">
        <f t="array" ref="K138">_xlfn.XLOOKUP(_xlfn.ANCHORARRAY(A138), TBL_Limiti_CDA[Data], TBL_Limiti_CDA[Etica Global Equity], , -1)</f>
        <v>3.5</v>
      </c>
      <c r="L138" cm="1">
        <f t="array" ref="L138">_xlfn.ANCHORARRAY(B138)+0.15</f>
        <v>2.65</v>
      </c>
      <c r="M138" cm="1">
        <f t="array" ref="M138">_xlfn.ANCHORARRAY(C138)+0.1</f>
        <v>0.6</v>
      </c>
      <c r="N138" cm="1">
        <f t="array" ref="N138">_xlfn.ANCHORARRAY(D138)+0.15</f>
        <v>1.65</v>
      </c>
      <c r="O138" cm="1">
        <f t="array" ref="O138">_xlfn.ANCHORARRAY(E138)+0.15</f>
        <v>3.15</v>
      </c>
      <c r="P138" cm="1">
        <f t="array" ref="P138">_xlfn.ANCHORARRAY(F138)+0.15</f>
        <v>3.65</v>
      </c>
      <c r="Q138" cm="1">
        <f t="array" ref="Q138">_xlfn.ANCHORARRAY(G138)+0.15</f>
        <v>2.9</v>
      </c>
      <c r="R138" cm="1">
        <f t="array" ref="R138">_xlfn.ANCHORARRAY(H138)</f>
        <v>7.49</v>
      </c>
      <c r="S138" cm="1">
        <f t="array" ref="S138">_xlfn.ANCHORARRAY(R138)+0.15</f>
        <v>7.6400000000000006</v>
      </c>
      <c r="T138" cm="1">
        <f t="array" ref="T138">_xlfn.ANCHORARRAY(I138)+0.15</f>
        <v>1.65</v>
      </c>
      <c r="U138" cm="1">
        <f t="array" ref="U138">_xlfn.ANCHORARRAY(J138)+0.15</f>
        <v>3.15</v>
      </c>
      <c r="V138" cm="1">
        <f t="array" ref="V138">_xlfn.ANCHORARRAY(K138)+0.15</f>
        <v>3.65</v>
      </c>
      <c r="W138">
        <f>TBL_TEV[[#This Row],[Etica Rendita Bilanciata]]</f>
        <v>1.7668330000000001</v>
      </c>
      <c r="X138">
        <f>TBL_TEV[[#This Row],[Etica Obbligazionario Breve Termine]]</f>
        <v>0.28574100000000002</v>
      </c>
      <c r="Y138">
        <f>TBL_TEV[[#This Row],[Etica Obbligazionario Misto]]</f>
        <v>1.290915</v>
      </c>
      <c r="Z138">
        <f>TBL_TEV[[#This Row],[Etica Bilanciato]]</f>
        <v>2.1433759999999999</v>
      </c>
      <c r="AA138">
        <f>TBL_TEV[[#This Row],[Etica Azionario]]</f>
        <v>3.0005989999999998</v>
      </c>
      <c r="AB138">
        <f>TBL_TEV[[#This Row],[Etica Transizione Climatica]]</f>
        <v>2.5076960000000001</v>
      </c>
      <c r="AC138">
        <f>TBL_TEV[[#This Row],[Etica Obiettivo Sociale]]</f>
        <v>7.6257425458183015</v>
      </c>
      <c r="AD138">
        <f>TBL_TEV[[#This Row],[Etica Conservative Allocation]]</f>
        <v>0.47877900000000001</v>
      </c>
      <c r="AE138">
        <f>TBL_TEV[[#This Row],[Etica Dynamic Allocation]]</f>
        <v>1.7374559999999899</v>
      </c>
      <c r="AF138">
        <f>TBL_TEV[[#This Row],[Etica Global Equity]]</f>
        <v>2.9955270000000001</v>
      </c>
      <c r="AL138">
        <f ca="1"/>
        <v>1.7709600000000001</v>
      </c>
      <c r="AM138">
        <f ca="1"/>
        <v>0.28383599999999998</v>
      </c>
      <c r="AN138">
        <f ca="1"/>
        <v>1.2886930000000001</v>
      </c>
      <c r="AO138">
        <f ca="1"/>
        <v>2.1527419999999999</v>
      </c>
      <c r="AP138">
        <f ca="1"/>
        <v>3.0132989999999999</v>
      </c>
      <c r="AQ138">
        <f ca="1"/>
        <v>2.5175380000000001</v>
      </c>
      <c r="AR138">
        <f ca="1"/>
        <v>7.960712243344747</v>
      </c>
      <c r="AS138">
        <f ca="1"/>
        <v>0.474493</v>
      </c>
      <c r="AT138">
        <f ca="1"/>
        <v>1.72046999999999</v>
      </c>
      <c r="AU138">
        <f ca="1"/>
        <v>2.9863200000000001</v>
      </c>
    </row>
    <row r="139" spans="1:47">
      <c r="A139" s="43">
        <f>TBL_TEV[[#This Row],[Data2]]</f>
        <v>45485</v>
      </c>
      <c r="B139" cm="1">
        <f t="array" ref="B139">_xlfn.XLOOKUP(_xlfn.ANCHORARRAY(A139), TBL_Limiti_CDA[Data], TBL_Limiti_CDA[Etica Rendita Bilanciata], , -1)</f>
        <v>2.5</v>
      </c>
      <c r="C139" cm="1">
        <f t="array" ref="C139">_xlfn.XLOOKUP(_xlfn.ANCHORARRAY(A139), TBL_Limiti_CDA[Data], TBL_Limiti_CDA[Etica Obbligazionario Breve Termine], , -1)</f>
        <v>0.5</v>
      </c>
      <c r="D139" cm="1">
        <f t="array" ref="D139">_xlfn.XLOOKUP(_xlfn.ANCHORARRAY(A139), TBL_Limiti_CDA[Data], TBL_Limiti_CDA[Etica Obbligazionario Misto], , -1)</f>
        <v>1.5</v>
      </c>
      <c r="E139" cm="1">
        <f t="array" ref="E139">_xlfn.XLOOKUP(_xlfn.ANCHORARRAY(A139), TBL_Limiti_CDA[Data], TBL_Limiti_CDA[Etica Bilanciato], , -1)</f>
        <v>3</v>
      </c>
      <c r="F139" cm="1">
        <f t="array" ref="F139">_xlfn.XLOOKUP(_xlfn.ANCHORARRAY(A139), TBL_Limiti_CDA[Data], TBL_Limiti_CDA[Etica Azionario], , -1)</f>
        <v>3.5</v>
      </c>
      <c r="G139" cm="1">
        <f t="array" ref="G139">_xlfn.XLOOKUP(_xlfn.ANCHORARRAY(A139), TBL_Limiti_CDA[Data], TBL_Limiti_CDA[Etica Transizione Climatica], , -1)</f>
        <v>2.75</v>
      </c>
      <c r="H139" cm="1">
        <f t="array" ref="H139">_xlfn.XLOOKUP(_xlfn.ANCHORARRAY(A139), TBL_Limiti_CDA[Data], TBL_Limiti_CDA[Etica Obiettivo Sociale], , -1)</f>
        <v>7.49</v>
      </c>
      <c r="I139" cm="1">
        <f t="array" ref="I139">_xlfn.XLOOKUP(_xlfn.ANCHORARRAY(A139), TBL_Limiti_CDA[Data], TBL_Limiti_CDA[Etica Conservative Allocation], , -1)</f>
        <v>1.5</v>
      </c>
      <c r="J139" cm="1">
        <f t="array" ref="J139">_xlfn.XLOOKUP(_xlfn.ANCHORARRAY(A139), TBL_Limiti_CDA[Data], TBL_Limiti_CDA[Etica Dynamic Allocation], , -1)</f>
        <v>3</v>
      </c>
      <c r="K139" cm="1">
        <f t="array" ref="K139">_xlfn.XLOOKUP(_xlfn.ANCHORARRAY(A139), TBL_Limiti_CDA[Data], TBL_Limiti_CDA[Etica Global Equity], , -1)</f>
        <v>3.5</v>
      </c>
      <c r="L139" cm="1">
        <f t="array" ref="L139">_xlfn.ANCHORARRAY(B139)+0.15</f>
        <v>2.65</v>
      </c>
      <c r="M139" cm="1">
        <f t="array" ref="M139">_xlfn.ANCHORARRAY(C139)+0.1</f>
        <v>0.6</v>
      </c>
      <c r="N139" cm="1">
        <f t="array" ref="N139">_xlfn.ANCHORARRAY(D139)+0.15</f>
        <v>1.65</v>
      </c>
      <c r="O139" cm="1">
        <f t="array" ref="O139">_xlfn.ANCHORARRAY(E139)+0.15</f>
        <v>3.15</v>
      </c>
      <c r="P139" cm="1">
        <f t="array" ref="P139">_xlfn.ANCHORARRAY(F139)+0.15</f>
        <v>3.65</v>
      </c>
      <c r="Q139" cm="1">
        <f t="array" ref="Q139">_xlfn.ANCHORARRAY(G139)+0.15</f>
        <v>2.9</v>
      </c>
      <c r="R139" cm="1">
        <f t="array" ref="R139">_xlfn.ANCHORARRAY(H139)</f>
        <v>7.49</v>
      </c>
      <c r="S139" cm="1">
        <f t="array" ref="S139">_xlfn.ANCHORARRAY(R139)+0.15</f>
        <v>7.6400000000000006</v>
      </c>
      <c r="T139" cm="1">
        <f t="array" ref="T139">_xlfn.ANCHORARRAY(I139)+0.15</f>
        <v>1.65</v>
      </c>
      <c r="U139" cm="1">
        <f t="array" ref="U139">_xlfn.ANCHORARRAY(J139)+0.15</f>
        <v>3.15</v>
      </c>
      <c r="V139" cm="1">
        <f t="array" ref="V139">_xlfn.ANCHORARRAY(K139)+0.15</f>
        <v>3.65</v>
      </c>
      <c r="W139">
        <f>TBL_TEV[[#This Row],[Etica Rendita Bilanciata]]</f>
        <v>1.7709600000000001</v>
      </c>
      <c r="X139">
        <f>TBL_TEV[[#This Row],[Etica Obbligazionario Breve Termine]]</f>
        <v>0.28383599999999998</v>
      </c>
      <c r="Y139">
        <f>TBL_TEV[[#This Row],[Etica Obbligazionario Misto]]</f>
        <v>1.2886930000000001</v>
      </c>
      <c r="Z139">
        <f>TBL_TEV[[#This Row],[Etica Bilanciato]]</f>
        <v>2.1527419999999999</v>
      </c>
      <c r="AA139">
        <f>TBL_TEV[[#This Row],[Etica Azionario]]</f>
        <v>3.0132989999999999</v>
      </c>
      <c r="AB139">
        <f>TBL_TEV[[#This Row],[Etica Transizione Climatica]]</f>
        <v>2.5175380000000001</v>
      </c>
      <c r="AC139">
        <f>TBL_TEV[[#This Row],[Etica Obiettivo Sociale]]</f>
        <v>7.960712243344747</v>
      </c>
      <c r="AD139">
        <f>TBL_TEV[[#This Row],[Etica Conservative Allocation]]</f>
        <v>0.474493</v>
      </c>
      <c r="AE139">
        <f>TBL_TEV[[#This Row],[Etica Dynamic Allocation]]</f>
        <v>1.72046999999999</v>
      </c>
      <c r="AF139">
        <f>TBL_TEV[[#This Row],[Etica Global Equity]]</f>
        <v>2.9863200000000001</v>
      </c>
      <c r="AL139">
        <f ca="1"/>
        <v>1.7711190000000001</v>
      </c>
      <c r="AM139">
        <f ca="1"/>
        <v>0.281773</v>
      </c>
      <c r="AN139">
        <f ca="1"/>
        <v>1.29155</v>
      </c>
      <c r="AO139">
        <f ca="1"/>
        <v>2.1541709999999998</v>
      </c>
      <c r="AP139">
        <f ca="1"/>
        <v>3.0226649999999999</v>
      </c>
      <c r="AQ139">
        <f ca="1"/>
        <v>2.5110299999999999</v>
      </c>
      <c r="AR139">
        <f ca="1"/>
        <v>7.7452638800970606</v>
      </c>
      <c r="AS139">
        <f ca="1"/>
        <v>0.47020699999999999</v>
      </c>
      <c r="AT139">
        <f ca="1"/>
        <v>1.70348399999999</v>
      </c>
      <c r="AU139">
        <f ca="1"/>
        <v>2.9771130000000001</v>
      </c>
    </row>
    <row r="140" spans="1:47">
      <c r="A140" s="43">
        <f>TBL_TEV[[#This Row],[Data2]]</f>
        <v>45488</v>
      </c>
      <c r="B140" cm="1">
        <f t="array" ref="B140">_xlfn.XLOOKUP(_xlfn.ANCHORARRAY(A140), TBL_Limiti_CDA[Data], TBL_Limiti_CDA[Etica Rendita Bilanciata], , -1)</f>
        <v>2.5</v>
      </c>
      <c r="C140" cm="1">
        <f t="array" ref="C140">_xlfn.XLOOKUP(_xlfn.ANCHORARRAY(A140), TBL_Limiti_CDA[Data], TBL_Limiti_CDA[Etica Obbligazionario Breve Termine], , -1)</f>
        <v>0.5</v>
      </c>
      <c r="D140" cm="1">
        <f t="array" ref="D140">_xlfn.XLOOKUP(_xlfn.ANCHORARRAY(A140), TBL_Limiti_CDA[Data], TBL_Limiti_CDA[Etica Obbligazionario Misto], , -1)</f>
        <v>1.5</v>
      </c>
      <c r="E140" cm="1">
        <f t="array" ref="E140">_xlfn.XLOOKUP(_xlfn.ANCHORARRAY(A140), TBL_Limiti_CDA[Data], TBL_Limiti_CDA[Etica Bilanciato], , -1)</f>
        <v>3</v>
      </c>
      <c r="F140" cm="1">
        <f t="array" ref="F140">_xlfn.XLOOKUP(_xlfn.ANCHORARRAY(A140), TBL_Limiti_CDA[Data], TBL_Limiti_CDA[Etica Azionario], , -1)</f>
        <v>3.5</v>
      </c>
      <c r="G140" cm="1">
        <f t="array" ref="G140">_xlfn.XLOOKUP(_xlfn.ANCHORARRAY(A140), TBL_Limiti_CDA[Data], TBL_Limiti_CDA[Etica Transizione Climatica], , -1)</f>
        <v>2.75</v>
      </c>
      <c r="H140" cm="1">
        <f t="array" ref="H140">_xlfn.XLOOKUP(_xlfn.ANCHORARRAY(A140), TBL_Limiti_CDA[Data], TBL_Limiti_CDA[Etica Obiettivo Sociale], , -1)</f>
        <v>7.49</v>
      </c>
      <c r="I140" cm="1">
        <f t="array" ref="I140">_xlfn.XLOOKUP(_xlfn.ANCHORARRAY(A140), TBL_Limiti_CDA[Data], TBL_Limiti_CDA[Etica Conservative Allocation], , -1)</f>
        <v>1.5</v>
      </c>
      <c r="J140" cm="1">
        <f t="array" ref="J140">_xlfn.XLOOKUP(_xlfn.ANCHORARRAY(A140), TBL_Limiti_CDA[Data], TBL_Limiti_CDA[Etica Dynamic Allocation], , -1)</f>
        <v>3</v>
      </c>
      <c r="K140" cm="1">
        <f t="array" ref="K140">_xlfn.XLOOKUP(_xlfn.ANCHORARRAY(A140), TBL_Limiti_CDA[Data], TBL_Limiti_CDA[Etica Global Equity], , -1)</f>
        <v>3.5</v>
      </c>
      <c r="L140" cm="1">
        <f t="array" ref="L140">_xlfn.ANCHORARRAY(B140)+0.15</f>
        <v>2.65</v>
      </c>
      <c r="M140" cm="1">
        <f t="array" ref="M140">_xlfn.ANCHORARRAY(C140)+0.1</f>
        <v>0.6</v>
      </c>
      <c r="N140" cm="1">
        <f t="array" ref="N140">_xlfn.ANCHORARRAY(D140)+0.15</f>
        <v>1.65</v>
      </c>
      <c r="O140" cm="1">
        <f t="array" ref="O140">_xlfn.ANCHORARRAY(E140)+0.15</f>
        <v>3.15</v>
      </c>
      <c r="P140" cm="1">
        <f t="array" ref="P140">_xlfn.ANCHORARRAY(F140)+0.15</f>
        <v>3.65</v>
      </c>
      <c r="Q140" cm="1">
        <f t="array" ref="Q140">_xlfn.ANCHORARRAY(G140)+0.15</f>
        <v>2.9</v>
      </c>
      <c r="R140" cm="1">
        <f t="array" ref="R140">_xlfn.ANCHORARRAY(H140)</f>
        <v>7.49</v>
      </c>
      <c r="S140" cm="1">
        <f t="array" ref="S140">_xlfn.ANCHORARRAY(R140)+0.15</f>
        <v>7.6400000000000006</v>
      </c>
      <c r="T140" cm="1">
        <f t="array" ref="T140">_xlfn.ANCHORARRAY(I140)+0.15</f>
        <v>1.65</v>
      </c>
      <c r="U140" cm="1">
        <f t="array" ref="U140">_xlfn.ANCHORARRAY(J140)+0.15</f>
        <v>3.15</v>
      </c>
      <c r="V140" cm="1">
        <f t="array" ref="V140">_xlfn.ANCHORARRAY(K140)+0.15</f>
        <v>3.65</v>
      </c>
      <c r="W140">
        <f>TBL_TEV[[#This Row],[Etica Rendita Bilanciata]]</f>
        <v>1.7711190000000001</v>
      </c>
      <c r="X140">
        <f>TBL_TEV[[#This Row],[Etica Obbligazionario Breve Termine]]</f>
        <v>0.281773</v>
      </c>
      <c r="Y140">
        <f>TBL_TEV[[#This Row],[Etica Obbligazionario Misto]]</f>
        <v>1.29155</v>
      </c>
      <c r="Z140">
        <f>TBL_TEV[[#This Row],[Etica Bilanciato]]</f>
        <v>2.1541709999999998</v>
      </c>
      <c r="AA140">
        <f>TBL_TEV[[#This Row],[Etica Azionario]]</f>
        <v>3.0226649999999999</v>
      </c>
      <c r="AB140">
        <f>TBL_TEV[[#This Row],[Etica Transizione Climatica]]</f>
        <v>2.5110299999999999</v>
      </c>
      <c r="AC140">
        <f>TBL_TEV[[#This Row],[Etica Obiettivo Sociale]]</f>
        <v>7.7452638800970606</v>
      </c>
      <c r="AD140">
        <f>TBL_TEV[[#This Row],[Etica Conservative Allocation]]</f>
        <v>0.47020699999999999</v>
      </c>
      <c r="AE140">
        <f>TBL_TEV[[#This Row],[Etica Dynamic Allocation]]</f>
        <v>1.70348399999999</v>
      </c>
      <c r="AF140">
        <f>TBL_TEV[[#This Row],[Etica Global Equity]]</f>
        <v>2.9771130000000001</v>
      </c>
      <c r="AL140">
        <f ca="1"/>
        <v>1.5812600000000001</v>
      </c>
      <c r="AM140">
        <f ca="1"/>
        <v>0.28097899999999998</v>
      </c>
      <c r="AN140">
        <f ca="1"/>
        <v>0.97787000000000002</v>
      </c>
      <c r="AO140">
        <f ca="1"/>
        <v>2.1171829999999998</v>
      </c>
      <c r="AP140">
        <f ca="1"/>
        <v>2.9885350000000002</v>
      </c>
      <c r="AQ140">
        <f ca="1"/>
        <v>2.504839</v>
      </c>
      <c r="AR140">
        <f ca="1"/>
        <v>7.8047770055385444</v>
      </c>
      <c r="AS140">
        <f ca="1"/>
        <v>0.46592099999999997</v>
      </c>
      <c r="AT140">
        <f ca="1"/>
        <v>1.6864979999999901</v>
      </c>
      <c r="AU140">
        <f ca="1"/>
        <v>2.9679060000000002</v>
      </c>
    </row>
    <row r="141" spans="1:47">
      <c r="A141" s="43">
        <f>TBL_TEV[[#This Row],[Data2]]</f>
        <v>45489</v>
      </c>
      <c r="B141" cm="1">
        <f t="array" ref="B141">_xlfn.XLOOKUP(_xlfn.ANCHORARRAY(A141), TBL_Limiti_CDA[Data], TBL_Limiti_CDA[Etica Rendita Bilanciata], , -1)</f>
        <v>2.5</v>
      </c>
      <c r="C141" cm="1">
        <f t="array" ref="C141">_xlfn.XLOOKUP(_xlfn.ANCHORARRAY(A141), TBL_Limiti_CDA[Data], TBL_Limiti_CDA[Etica Obbligazionario Breve Termine], , -1)</f>
        <v>0.5</v>
      </c>
      <c r="D141" cm="1">
        <f t="array" ref="D141">_xlfn.XLOOKUP(_xlfn.ANCHORARRAY(A141), TBL_Limiti_CDA[Data], TBL_Limiti_CDA[Etica Obbligazionario Misto], , -1)</f>
        <v>1.5</v>
      </c>
      <c r="E141" cm="1">
        <f t="array" ref="E141">_xlfn.XLOOKUP(_xlfn.ANCHORARRAY(A141), TBL_Limiti_CDA[Data], TBL_Limiti_CDA[Etica Bilanciato], , -1)</f>
        <v>3</v>
      </c>
      <c r="F141" cm="1">
        <f t="array" ref="F141">_xlfn.XLOOKUP(_xlfn.ANCHORARRAY(A141), TBL_Limiti_CDA[Data], TBL_Limiti_CDA[Etica Azionario], , -1)</f>
        <v>3.5</v>
      </c>
      <c r="G141" cm="1">
        <f t="array" ref="G141">_xlfn.XLOOKUP(_xlfn.ANCHORARRAY(A141), TBL_Limiti_CDA[Data], TBL_Limiti_CDA[Etica Transizione Climatica], , -1)</f>
        <v>2.75</v>
      </c>
      <c r="H141" cm="1">
        <f t="array" ref="H141">_xlfn.XLOOKUP(_xlfn.ANCHORARRAY(A141), TBL_Limiti_CDA[Data], TBL_Limiti_CDA[Etica Obiettivo Sociale], , -1)</f>
        <v>7.49</v>
      </c>
      <c r="I141" cm="1">
        <f t="array" ref="I141">_xlfn.XLOOKUP(_xlfn.ANCHORARRAY(A141), TBL_Limiti_CDA[Data], TBL_Limiti_CDA[Etica Conservative Allocation], , -1)</f>
        <v>1.5</v>
      </c>
      <c r="J141" cm="1">
        <f t="array" ref="J141">_xlfn.XLOOKUP(_xlfn.ANCHORARRAY(A141), TBL_Limiti_CDA[Data], TBL_Limiti_CDA[Etica Dynamic Allocation], , -1)</f>
        <v>3</v>
      </c>
      <c r="K141" cm="1">
        <f t="array" ref="K141">_xlfn.XLOOKUP(_xlfn.ANCHORARRAY(A141), TBL_Limiti_CDA[Data], TBL_Limiti_CDA[Etica Global Equity], , -1)</f>
        <v>3.5</v>
      </c>
      <c r="L141" cm="1">
        <f t="array" ref="L141">_xlfn.ANCHORARRAY(B141)+0.15</f>
        <v>2.65</v>
      </c>
      <c r="M141" cm="1">
        <f t="array" ref="M141">_xlfn.ANCHORARRAY(C141)+0.1</f>
        <v>0.6</v>
      </c>
      <c r="N141" cm="1">
        <f t="array" ref="N141">_xlfn.ANCHORARRAY(D141)+0.15</f>
        <v>1.65</v>
      </c>
      <c r="O141" cm="1">
        <f t="array" ref="O141">_xlfn.ANCHORARRAY(E141)+0.15</f>
        <v>3.15</v>
      </c>
      <c r="P141" cm="1">
        <f t="array" ref="P141">_xlfn.ANCHORARRAY(F141)+0.15</f>
        <v>3.65</v>
      </c>
      <c r="Q141" cm="1">
        <f t="array" ref="Q141">_xlfn.ANCHORARRAY(G141)+0.15</f>
        <v>2.9</v>
      </c>
      <c r="R141" cm="1">
        <f t="array" ref="R141">_xlfn.ANCHORARRAY(H141)</f>
        <v>7.49</v>
      </c>
      <c r="S141" cm="1">
        <f t="array" ref="S141">_xlfn.ANCHORARRAY(R141)+0.15</f>
        <v>7.6400000000000006</v>
      </c>
      <c r="T141" cm="1">
        <f t="array" ref="T141">_xlfn.ANCHORARRAY(I141)+0.15</f>
        <v>1.65</v>
      </c>
      <c r="U141" cm="1">
        <f t="array" ref="U141">_xlfn.ANCHORARRAY(J141)+0.15</f>
        <v>3.15</v>
      </c>
      <c r="V141" cm="1">
        <f t="array" ref="V141">_xlfn.ANCHORARRAY(K141)+0.15</f>
        <v>3.65</v>
      </c>
      <c r="W141">
        <f>TBL_TEV[[#This Row],[Etica Rendita Bilanciata]]</f>
        <v>1.5812600000000001</v>
      </c>
      <c r="X141">
        <f>TBL_TEV[[#This Row],[Etica Obbligazionario Breve Termine]]</f>
        <v>0.28097899999999998</v>
      </c>
      <c r="Y141">
        <f>TBL_TEV[[#This Row],[Etica Obbligazionario Misto]]</f>
        <v>0.97787000000000002</v>
      </c>
      <c r="Z141">
        <f>TBL_TEV[[#This Row],[Etica Bilanciato]]</f>
        <v>2.1171829999999998</v>
      </c>
      <c r="AA141">
        <f>TBL_TEV[[#This Row],[Etica Azionario]]</f>
        <v>2.9885350000000002</v>
      </c>
      <c r="AB141">
        <f>TBL_TEV[[#This Row],[Etica Transizione Climatica]]</f>
        <v>2.504839</v>
      </c>
      <c r="AC141">
        <f>TBL_TEV[[#This Row],[Etica Obiettivo Sociale]]</f>
        <v>7.8047770055385444</v>
      </c>
      <c r="AD141">
        <f>TBL_TEV[[#This Row],[Etica Conservative Allocation]]</f>
        <v>0.46592099999999997</v>
      </c>
      <c r="AE141">
        <f>TBL_TEV[[#This Row],[Etica Dynamic Allocation]]</f>
        <v>1.6864979999999901</v>
      </c>
      <c r="AF141">
        <f>TBL_TEV[[#This Row],[Etica Global Equity]]</f>
        <v>2.9679060000000002</v>
      </c>
      <c r="AL141">
        <f ca="1"/>
        <v>1.5274449999999999</v>
      </c>
      <c r="AM141">
        <f ca="1"/>
        <v>0.28066099999999999</v>
      </c>
      <c r="AN141">
        <f ca="1"/>
        <v>0.93389699999999998</v>
      </c>
      <c r="AO141">
        <f ca="1"/>
        <v>2.1046420000000001</v>
      </c>
      <c r="AP141">
        <f ca="1"/>
        <v>2.962342</v>
      </c>
      <c r="AQ141">
        <f ca="1"/>
        <v>2.5435720000000002</v>
      </c>
      <c r="AR141">
        <f ca="1"/>
        <v>7.9002189572416102</v>
      </c>
      <c r="AS141">
        <f ca="1"/>
        <v>0.46163500000000002</v>
      </c>
      <c r="AT141">
        <f ca="1"/>
        <v>1.6695119999999899</v>
      </c>
      <c r="AU141">
        <f ca="1"/>
        <v>2.9586990000000002</v>
      </c>
    </row>
    <row r="142" spans="1:47">
      <c r="A142" s="43">
        <f>TBL_TEV[[#This Row],[Data2]]</f>
        <v>45490</v>
      </c>
      <c r="B142" cm="1">
        <f t="array" ref="B142">_xlfn.XLOOKUP(_xlfn.ANCHORARRAY(A142), TBL_Limiti_CDA[Data], TBL_Limiti_CDA[Etica Rendita Bilanciata], , -1)</f>
        <v>2.5</v>
      </c>
      <c r="C142" cm="1">
        <f t="array" ref="C142">_xlfn.XLOOKUP(_xlfn.ANCHORARRAY(A142), TBL_Limiti_CDA[Data], TBL_Limiti_CDA[Etica Obbligazionario Breve Termine], , -1)</f>
        <v>0.5</v>
      </c>
      <c r="D142" cm="1">
        <f t="array" ref="D142">_xlfn.XLOOKUP(_xlfn.ANCHORARRAY(A142), TBL_Limiti_CDA[Data], TBL_Limiti_CDA[Etica Obbligazionario Misto], , -1)</f>
        <v>1.5</v>
      </c>
      <c r="E142" cm="1">
        <f t="array" ref="E142">_xlfn.XLOOKUP(_xlfn.ANCHORARRAY(A142), TBL_Limiti_CDA[Data], TBL_Limiti_CDA[Etica Bilanciato], , -1)</f>
        <v>3</v>
      </c>
      <c r="F142" cm="1">
        <f t="array" ref="F142">_xlfn.XLOOKUP(_xlfn.ANCHORARRAY(A142), TBL_Limiti_CDA[Data], TBL_Limiti_CDA[Etica Azionario], , -1)</f>
        <v>3.5</v>
      </c>
      <c r="G142" cm="1">
        <f t="array" ref="G142">_xlfn.XLOOKUP(_xlfn.ANCHORARRAY(A142), TBL_Limiti_CDA[Data], TBL_Limiti_CDA[Etica Transizione Climatica], , -1)</f>
        <v>2.75</v>
      </c>
      <c r="H142" cm="1">
        <f t="array" ref="H142">_xlfn.XLOOKUP(_xlfn.ANCHORARRAY(A142), TBL_Limiti_CDA[Data], TBL_Limiti_CDA[Etica Obiettivo Sociale], , -1)</f>
        <v>7.49</v>
      </c>
      <c r="I142" cm="1">
        <f t="array" ref="I142">_xlfn.XLOOKUP(_xlfn.ANCHORARRAY(A142), TBL_Limiti_CDA[Data], TBL_Limiti_CDA[Etica Conservative Allocation], , -1)</f>
        <v>1.5</v>
      </c>
      <c r="J142" cm="1">
        <f t="array" ref="J142">_xlfn.XLOOKUP(_xlfn.ANCHORARRAY(A142), TBL_Limiti_CDA[Data], TBL_Limiti_CDA[Etica Dynamic Allocation], , -1)</f>
        <v>3</v>
      </c>
      <c r="K142" cm="1">
        <f t="array" ref="K142">_xlfn.XLOOKUP(_xlfn.ANCHORARRAY(A142), TBL_Limiti_CDA[Data], TBL_Limiti_CDA[Etica Global Equity], , -1)</f>
        <v>3.5</v>
      </c>
      <c r="L142" cm="1">
        <f t="array" ref="L142">_xlfn.ANCHORARRAY(B142)+0.15</f>
        <v>2.65</v>
      </c>
      <c r="M142" cm="1">
        <f t="array" ref="M142">_xlfn.ANCHORARRAY(C142)+0.1</f>
        <v>0.6</v>
      </c>
      <c r="N142" cm="1">
        <f t="array" ref="N142">_xlfn.ANCHORARRAY(D142)+0.15</f>
        <v>1.65</v>
      </c>
      <c r="O142" cm="1">
        <f t="array" ref="O142">_xlfn.ANCHORARRAY(E142)+0.15</f>
        <v>3.15</v>
      </c>
      <c r="P142" cm="1">
        <f t="array" ref="P142">_xlfn.ANCHORARRAY(F142)+0.15</f>
        <v>3.65</v>
      </c>
      <c r="Q142" cm="1">
        <f t="array" ref="Q142">_xlfn.ANCHORARRAY(G142)+0.15</f>
        <v>2.9</v>
      </c>
      <c r="R142" cm="1">
        <f t="array" ref="R142">_xlfn.ANCHORARRAY(H142)</f>
        <v>7.49</v>
      </c>
      <c r="S142" cm="1">
        <f t="array" ref="S142">_xlfn.ANCHORARRAY(R142)+0.15</f>
        <v>7.6400000000000006</v>
      </c>
      <c r="T142" cm="1">
        <f t="array" ref="T142">_xlfn.ANCHORARRAY(I142)+0.15</f>
        <v>1.65</v>
      </c>
      <c r="U142" cm="1">
        <f t="array" ref="U142">_xlfn.ANCHORARRAY(J142)+0.15</f>
        <v>3.15</v>
      </c>
      <c r="V142" cm="1">
        <f t="array" ref="V142">_xlfn.ANCHORARRAY(K142)+0.15</f>
        <v>3.65</v>
      </c>
      <c r="W142">
        <f>TBL_TEV[[#This Row],[Etica Rendita Bilanciata]]</f>
        <v>1.5274449999999999</v>
      </c>
      <c r="X142">
        <f>TBL_TEV[[#This Row],[Etica Obbligazionario Breve Termine]]</f>
        <v>0.28066099999999999</v>
      </c>
      <c r="Y142">
        <f>TBL_TEV[[#This Row],[Etica Obbligazionario Misto]]</f>
        <v>0.93389699999999998</v>
      </c>
      <c r="Z142">
        <f>TBL_TEV[[#This Row],[Etica Bilanciato]]</f>
        <v>2.1046420000000001</v>
      </c>
      <c r="AA142">
        <f>TBL_TEV[[#This Row],[Etica Azionario]]</f>
        <v>2.962342</v>
      </c>
      <c r="AB142">
        <f>TBL_TEV[[#This Row],[Etica Transizione Climatica]]</f>
        <v>2.5435720000000002</v>
      </c>
      <c r="AC142">
        <f>TBL_TEV[[#This Row],[Etica Obiettivo Sociale]]</f>
        <v>7.9002189572416102</v>
      </c>
      <c r="AD142">
        <f>TBL_TEV[[#This Row],[Etica Conservative Allocation]]</f>
        <v>0.46163500000000002</v>
      </c>
      <c r="AE142">
        <f>TBL_TEV[[#This Row],[Etica Dynamic Allocation]]</f>
        <v>1.6695119999999899</v>
      </c>
      <c r="AF142">
        <f>TBL_TEV[[#This Row],[Etica Global Equity]]</f>
        <v>2.9586990000000002</v>
      </c>
      <c r="AL142">
        <f ca="1"/>
        <v>1.4914099999999999</v>
      </c>
      <c r="AM142">
        <f ca="1"/>
        <v>0.278756</v>
      </c>
      <c r="AN142">
        <f ca="1"/>
        <v>0.86087499999999995</v>
      </c>
      <c r="AO142">
        <f ca="1"/>
        <v>2.1054360000000001</v>
      </c>
      <c r="AP142">
        <f ca="1"/>
        <v>2.9678979999999999</v>
      </c>
      <c r="AQ142">
        <f ca="1"/>
        <v>2.5634160000000001</v>
      </c>
      <c r="AR142">
        <f ca="1"/>
        <v>7.9011486152981432</v>
      </c>
      <c r="AS142">
        <f ca="1"/>
        <v>0.45734900000000001</v>
      </c>
      <c r="AT142">
        <f ca="1"/>
        <v>1.6525259999999899</v>
      </c>
      <c r="AU142">
        <f ca="1"/>
        <v>2.9494919999999998</v>
      </c>
    </row>
    <row r="143" spans="1:47">
      <c r="A143" s="43">
        <f>TBL_TEV[[#This Row],[Data2]]</f>
        <v>45491</v>
      </c>
      <c r="B143" cm="1">
        <f t="array" ref="B143">_xlfn.XLOOKUP(_xlfn.ANCHORARRAY(A143), TBL_Limiti_CDA[Data], TBL_Limiti_CDA[Etica Rendita Bilanciata], , -1)</f>
        <v>2.5</v>
      </c>
      <c r="C143" cm="1">
        <f t="array" ref="C143">_xlfn.XLOOKUP(_xlfn.ANCHORARRAY(A143), TBL_Limiti_CDA[Data], TBL_Limiti_CDA[Etica Obbligazionario Breve Termine], , -1)</f>
        <v>0.5</v>
      </c>
      <c r="D143" cm="1">
        <f t="array" ref="D143">_xlfn.XLOOKUP(_xlfn.ANCHORARRAY(A143), TBL_Limiti_CDA[Data], TBL_Limiti_CDA[Etica Obbligazionario Misto], , -1)</f>
        <v>1.5</v>
      </c>
      <c r="E143" cm="1">
        <f t="array" ref="E143">_xlfn.XLOOKUP(_xlfn.ANCHORARRAY(A143), TBL_Limiti_CDA[Data], TBL_Limiti_CDA[Etica Bilanciato], , -1)</f>
        <v>3</v>
      </c>
      <c r="F143" cm="1">
        <f t="array" ref="F143">_xlfn.XLOOKUP(_xlfn.ANCHORARRAY(A143), TBL_Limiti_CDA[Data], TBL_Limiti_CDA[Etica Azionario], , -1)</f>
        <v>3.5</v>
      </c>
      <c r="G143" cm="1">
        <f t="array" ref="G143">_xlfn.XLOOKUP(_xlfn.ANCHORARRAY(A143), TBL_Limiti_CDA[Data], TBL_Limiti_CDA[Etica Transizione Climatica], , -1)</f>
        <v>2.75</v>
      </c>
      <c r="H143" cm="1">
        <f t="array" ref="H143">_xlfn.XLOOKUP(_xlfn.ANCHORARRAY(A143), TBL_Limiti_CDA[Data], TBL_Limiti_CDA[Etica Obiettivo Sociale], , -1)</f>
        <v>7.49</v>
      </c>
      <c r="I143" cm="1">
        <f t="array" ref="I143">_xlfn.XLOOKUP(_xlfn.ANCHORARRAY(A143), TBL_Limiti_CDA[Data], TBL_Limiti_CDA[Etica Conservative Allocation], , -1)</f>
        <v>1.5</v>
      </c>
      <c r="J143" cm="1">
        <f t="array" ref="J143">_xlfn.XLOOKUP(_xlfn.ANCHORARRAY(A143), TBL_Limiti_CDA[Data], TBL_Limiti_CDA[Etica Dynamic Allocation], , -1)</f>
        <v>3</v>
      </c>
      <c r="K143" cm="1">
        <f t="array" ref="K143">_xlfn.XLOOKUP(_xlfn.ANCHORARRAY(A143), TBL_Limiti_CDA[Data], TBL_Limiti_CDA[Etica Global Equity], , -1)</f>
        <v>3.5</v>
      </c>
      <c r="L143" cm="1">
        <f t="array" ref="L143">_xlfn.ANCHORARRAY(B143)+0.15</f>
        <v>2.65</v>
      </c>
      <c r="M143" cm="1">
        <f t="array" ref="M143">_xlfn.ANCHORARRAY(C143)+0.1</f>
        <v>0.6</v>
      </c>
      <c r="N143" cm="1">
        <f t="array" ref="N143">_xlfn.ANCHORARRAY(D143)+0.15</f>
        <v>1.65</v>
      </c>
      <c r="O143" cm="1">
        <f t="array" ref="O143">_xlfn.ANCHORARRAY(E143)+0.15</f>
        <v>3.15</v>
      </c>
      <c r="P143" cm="1">
        <f t="array" ref="P143">_xlfn.ANCHORARRAY(F143)+0.15</f>
        <v>3.65</v>
      </c>
      <c r="Q143" cm="1">
        <f t="array" ref="Q143">_xlfn.ANCHORARRAY(G143)+0.15</f>
        <v>2.9</v>
      </c>
      <c r="R143" cm="1">
        <f t="array" ref="R143">_xlfn.ANCHORARRAY(H143)</f>
        <v>7.49</v>
      </c>
      <c r="S143" cm="1">
        <f t="array" ref="S143">_xlfn.ANCHORARRAY(R143)+0.15</f>
        <v>7.6400000000000006</v>
      </c>
      <c r="T143" cm="1">
        <f t="array" ref="T143">_xlfn.ANCHORARRAY(I143)+0.15</f>
        <v>1.65</v>
      </c>
      <c r="U143" cm="1">
        <f t="array" ref="U143">_xlfn.ANCHORARRAY(J143)+0.15</f>
        <v>3.15</v>
      </c>
      <c r="V143" cm="1">
        <f t="array" ref="V143">_xlfn.ANCHORARRAY(K143)+0.15</f>
        <v>3.65</v>
      </c>
      <c r="W143">
        <f>TBL_TEV[[#This Row],[Etica Rendita Bilanciata]]</f>
        <v>1.4914099999999999</v>
      </c>
      <c r="X143">
        <f>TBL_TEV[[#This Row],[Etica Obbligazionario Breve Termine]]</f>
        <v>0.278756</v>
      </c>
      <c r="Y143">
        <f>TBL_TEV[[#This Row],[Etica Obbligazionario Misto]]</f>
        <v>0.86087499999999995</v>
      </c>
      <c r="Z143">
        <f>TBL_TEV[[#This Row],[Etica Bilanciato]]</f>
        <v>2.1054360000000001</v>
      </c>
      <c r="AA143">
        <f>TBL_TEV[[#This Row],[Etica Azionario]]</f>
        <v>2.9678979999999999</v>
      </c>
      <c r="AB143">
        <f>TBL_TEV[[#This Row],[Etica Transizione Climatica]]</f>
        <v>2.5634160000000001</v>
      </c>
      <c r="AC143">
        <f>TBL_TEV[[#This Row],[Etica Obiettivo Sociale]]</f>
        <v>7.9011486152981432</v>
      </c>
      <c r="AD143">
        <f>TBL_TEV[[#This Row],[Etica Conservative Allocation]]</f>
        <v>0.45734900000000001</v>
      </c>
      <c r="AE143">
        <f>TBL_TEV[[#This Row],[Etica Dynamic Allocation]]</f>
        <v>1.6525259999999899</v>
      </c>
      <c r="AF143">
        <f>TBL_TEV[[#This Row],[Etica Global Equity]]</f>
        <v>2.9494919999999998</v>
      </c>
      <c r="AL143">
        <f ca="1"/>
        <v>1.5233179999999999</v>
      </c>
      <c r="AM143">
        <f ca="1"/>
        <v>0.28526499999999999</v>
      </c>
      <c r="AN143">
        <f ca="1"/>
        <v>0.89230600000000004</v>
      </c>
      <c r="AO143">
        <f ca="1"/>
        <v>2.1275019999999998</v>
      </c>
      <c r="AP143">
        <f ca="1"/>
        <v>2.981868</v>
      </c>
      <c r="AQ143">
        <f ca="1"/>
        <v>2.5437310000000002</v>
      </c>
      <c r="AR143">
        <f ca="1"/>
        <v>7.8455948988846282</v>
      </c>
      <c r="AS143">
        <f ca="1"/>
        <v>0.45306299999999999</v>
      </c>
      <c r="AT143">
        <f ca="1"/>
        <v>1.63553999999999</v>
      </c>
      <c r="AU143">
        <f ca="1"/>
        <v>2.9402849999999998</v>
      </c>
    </row>
    <row r="144" spans="1:47">
      <c r="A144" s="43">
        <f>TBL_TEV[[#This Row],[Data2]]</f>
        <v>45492</v>
      </c>
      <c r="B144" cm="1">
        <f t="array" ref="B144">_xlfn.XLOOKUP(_xlfn.ANCHORARRAY(A144), TBL_Limiti_CDA[Data], TBL_Limiti_CDA[Etica Rendita Bilanciata], , -1)</f>
        <v>2.5</v>
      </c>
      <c r="C144" cm="1">
        <f t="array" ref="C144">_xlfn.XLOOKUP(_xlfn.ANCHORARRAY(A144), TBL_Limiti_CDA[Data], TBL_Limiti_CDA[Etica Obbligazionario Breve Termine], , -1)</f>
        <v>0.5</v>
      </c>
      <c r="D144" cm="1">
        <f t="array" ref="D144">_xlfn.XLOOKUP(_xlfn.ANCHORARRAY(A144), TBL_Limiti_CDA[Data], TBL_Limiti_CDA[Etica Obbligazionario Misto], , -1)</f>
        <v>1.5</v>
      </c>
      <c r="E144" cm="1">
        <f t="array" ref="E144">_xlfn.XLOOKUP(_xlfn.ANCHORARRAY(A144), TBL_Limiti_CDA[Data], TBL_Limiti_CDA[Etica Bilanciato], , -1)</f>
        <v>3</v>
      </c>
      <c r="F144" cm="1">
        <f t="array" ref="F144">_xlfn.XLOOKUP(_xlfn.ANCHORARRAY(A144), TBL_Limiti_CDA[Data], TBL_Limiti_CDA[Etica Azionario], , -1)</f>
        <v>3.5</v>
      </c>
      <c r="G144" cm="1">
        <f t="array" ref="G144">_xlfn.XLOOKUP(_xlfn.ANCHORARRAY(A144), TBL_Limiti_CDA[Data], TBL_Limiti_CDA[Etica Transizione Climatica], , -1)</f>
        <v>2.75</v>
      </c>
      <c r="H144" cm="1">
        <f t="array" ref="H144">_xlfn.XLOOKUP(_xlfn.ANCHORARRAY(A144), TBL_Limiti_CDA[Data], TBL_Limiti_CDA[Etica Obiettivo Sociale], , -1)</f>
        <v>7.49</v>
      </c>
      <c r="I144" cm="1">
        <f t="array" ref="I144">_xlfn.XLOOKUP(_xlfn.ANCHORARRAY(A144), TBL_Limiti_CDA[Data], TBL_Limiti_CDA[Etica Conservative Allocation], , -1)</f>
        <v>1.5</v>
      </c>
      <c r="J144" cm="1">
        <f t="array" ref="J144">_xlfn.XLOOKUP(_xlfn.ANCHORARRAY(A144), TBL_Limiti_CDA[Data], TBL_Limiti_CDA[Etica Dynamic Allocation], , -1)</f>
        <v>3</v>
      </c>
      <c r="K144" cm="1">
        <f t="array" ref="K144">_xlfn.XLOOKUP(_xlfn.ANCHORARRAY(A144), TBL_Limiti_CDA[Data], TBL_Limiti_CDA[Etica Global Equity], , -1)</f>
        <v>3.5</v>
      </c>
      <c r="L144" cm="1">
        <f t="array" ref="L144">_xlfn.ANCHORARRAY(B144)+0.15</f>
        <v>2.65</v>
      </c>
      <c r="M144" cm="1">
        <f t="array" ref="M144">_xlfn.ANCHORARRAY(C144)+0.1</f>
        <v>0.6</v>
      </c>
      <c r="N144" cm="1">
        <f t="array" ref="N144">_xlfn.ANCHORARRAY(D144)+0.15</f>
        <v>1.65</v>
      </c>
      <c r="O144" cm="1">
        <f t="array" ref="O144">_xlfn.ANCHORARRAY(E144)+0.15</f>
        <v>3.15</v>
      </c>
      <c r="P144" cm="1">
        <f t="array" ref="P144">_xlfn.ANCHORARRAY(F144)+0.15</f>
        <v>3.65</v>
      </c>
      <c r="Q144" cm="1">
        <f t="array" ref="Q144">_xlfn.ANCHORARRAY(G144)+0.15</f>
        <v>2.9</v>
      </c>
      <c r="R144" cm="1">
        <f t="array" ref="R144">_xlfn.ANCHORARRAY(H144)</f>
        <v>7.49</v>
      </c>
      <c r="S144" cm="1">
        <f t="array" ref="S144">_xlfn.ANCHORARRAY(R144)+0.15</f>
        <v>7.6400000000000006</v>
      </c>
      <c r="T144" cm="1">
        <f t="array" ref="T144">_xlfn.ANCHORARRAY(I144)+0.15</f>
        <v>1.65</v>
      </c>
      <c r="U144" cm="1">
        <f t="array" ref="U144">_xlfn.ANCHORARRAY(J144)+0.15</f>
        <v>3.15</v>
      </c>
      <c r="V144" cm="1">
        <f t="array" ref="V144">_xlfn.ANCHORARRAY(K144)+0.15</f>
        <v>3.65</v>
      </c>
      <c r="W144">
        <f>TBL_TEV[[#This Row],[Etica Rendita Bilanciata]]</f>
        <v>1.5233179999999999</v>
      </c>
      <c r="X144">
        <f>TBL_TEV[[#This Row],[Etica Obbligazionario Breve Termine]]</f>
        <v>0.28526499999999999</v>
      </c>
      <c r="Y144">
        <f>TBL_TEV[[#This Row],[Etica Obbligazionario Misto]]</f>
        <v>0.89230600000000004</v>
      </c>
      <c r="Z144">
        <f>TBL_TEV[[#This Row],[Etica Bilanciato]]</f>
        <v>2.1275019999999998</v>
      </c>
      <c r="AA144">
        <f>TBL_TEV[[#This Row],[Etica Azionario]]</f>
        <v>2.981868</v>
      </c>
      <c r="AB144">
        <f>TBL_TEV[[#This Row],[Etica Transizione Climatica]]</f>
        <v>2.5437310000000002</v>
      </c>
      <c r="AC144">
        <f>TBL_TEV[[#This Row],[Etica Obiettivo Sociale]]</f>
        <v>7.8455948988846282</v>
      </c>
      <c r="AD144">
        <f>TBL_TEV[[#This Row],[Etica Conservative Allocation]]</f>
        <v>0.45306299999999999</v>
      </c>
      <c r="AE144">
        <f>TBL_TEV[[#This Row],[Etica Dynamic Allocation]]</f>
        <v>1.63553999999999</v>
      </c>
      <c r="AF144">
        <f>TBL_TEV[[#This Row],[Etica Global Equity]]</f>
        <v>2.9402849999999998</v>
      </c>
      <c r="AL144">
        <f ca="1"/>
        <v>1.53443</v>
      </c>
      <c r="AM144">
        <f ca="1"/>
        <v>0.28383599999999998</v>
      </c>
      <c r="AN144">
        <f ca="1"/>
        <v>0.88849599999999995</v>
      </c>
      <c r="AO144">
        <f ca="1"/>
        <v>2.1395659999999999</v>
      </c>
      <c r="AP144">
        <f ca="1"/>
        <v>3.0045679999999999</v>
      </c>
      <c r="AQ144">
        <f ca="1"/>
        <v>2.5621459999999998</v>
      </c>
      <c r="AR144">
        <f ca="1"/>
        <v>7.9272340695504981</v>
      </c>
      <c r="AS144">
        <f ca="1"/>
        <v>0.44877699999999998</v>
      </c>
      <c r="AT144">
        <f ca="1"/>
        <v>1.6185539999999901</v>
      </c>
      <c r="AU144">
        <f ca="1"/>
        <v>2.9310779999999999</v>
      </c>
    </row>
    <row r="145" spans="1:47">
      <c r="A145" s="43">
        <f>TBL_TEV[[#This Row],[Data2]]</f>
        <v>45495</v>
      </c>
      <c r="B145" cm="1">
        <f t="array" ref="B145">_xlfn.XLOOKUP(_xlfn.ANCHORARRAY(A145), TBL_Limiti_CDA[Data], TBL_Limiti_CDA[Etica Rendita Bilanciata], , -1)</f>
        <v>2.5</v>
      </c>
      <c r="C145" cm="1">
        <f t="array" ref="C145">_xlfn.XLOOKUP(_xlfn.ANCHORARRAY(A145), TBL_Limiti_CDA[Data], TBL_Limiti_CDA[Etica Obbligazionario Breve Termine], , -1)</f>
        <v>0.5</v>
      </c>
      <c r="D145" cm="1">
        <f t="array" ref="D145">_xlfn.XLOOKUP(_xlfn.ANCHORARRAY(A145), TBL_Limiti_CDA[Data], TBL_Limiti_CDA[Etica Obbligazionario Misto], , -1)</f>
        <v>1.5</v>
      </c>
      <c r="E145" cm="1">
        <f t="array" ref="E145">_xlfn.XLOOKUP(_xlfn.ANCHORARRAY(A145), TBL_Limiti_CDA[Data], TBL_Limiti_CDA[Etica Bilanciato], , -1)</f>
        <v>3</v>
      </c>
      <c r="F145" cm="1">
        <f t="array" ref="F145">_xlfn.XLOOKUP(_xlfn.ANCHORARRAY(A145), TBL_Limiti_CDA[Data], TBL_Limiti_CDA[Etica Azionario], , -1)</f>
        <v>3.5</v>
      </c>
      <c r="G145" cm="1">
        <f t="array" ref="G145">_xlfn.XLOOKUP(_xlfn.ANCHORARRAY(A145), TBL_Limiti_CDA[Data], TBL_Limiti_CDA[Etica Transizione Climatica], , -1)</f>
        <v>2.75</v>
      </c>
      <c r="H145" cm="1">
        <f t="array" ref="H145">_xlfn.XLOOKUP(_xlfn.ANCHORARRAY(A145), TBL_Limiti_CDA[Data], TBL_Limiti_CDA[Etica Obiettivo Sociale], , -1)</f>
        <v>7.49</v>
      </c>
      <c r="I145" cm="1">
        <f t="array" ref="I145">_xlfn.XLOOKUP(_xlfn.ANCHORARRAY(A145), TBL_Limiti_CDA[Data], TBL_Limiti_CDA[Etica Conservative Allocation], , -1)</f>
        <v>1.5</v>
      </c>
      <c r="J145" cm="1">
        <f t="array" ref="J145">_xlfn.XLOOKUP(_xlfn.ANCHORARRAY(A145), TBL_Limiti_CDA[Data], TBL_Limiti_CDA[Etica Dynamic Allocation], , -1)</f>
        <v>3</v>
      </c>
      <c r="K145" cm="1">
        <f t="array" ref="K145">_xlfn.XLOOKUP(_xlfn.ANCHORARRAY(A145), TBL_Limiti_CDA[Data], TBL_Limiti_CDA[Etica Global Equity], , -1)</f>
        <v>3.5</v>
      </c>
      <c r="L145" cm="1">
        <f t="array" ref="L145">_xlfn.ANCHORARRAY(B145)+0.15</f>
        <v>2.65</v>
      </c>
      <c r="M145" cm="1">
        <f t="array" ref="M145">_xlfn.ANCHORARRAY(C145)+0.1</f>
        <v>0.6</v>
      </c>
      <c r="N145" cm="1">
        <f t="array" ref="N145">_xlfn.ANCHORARRAY(D145)+0.15</f>
        <v>1.65</v>
      </c>
      <c r="O145" cm="1">
        <f t="array" ref="O145">_xlfn.ANCHORARRAY(E145)+0.15</f>
        <v>3.15</v>
      </c>
      <c r="P145" cm="1">
        <f t="array" ref="P145">_xlfn.ANCHORARRAY(F145)+0.15</f>
        <v>3.65</v>
      </c>
      <c r="Q145" cm="1">
        <f t="array" ref="Q145">_xlfn.ANCHORARRAY(G145)+0.15</f>
        <v>2.9</v>
      </c>
      <c r="R145" cm="1">
        <f t="array" ref="R145">_xlfn.ANCHORARRAY(H145)</f>
        <v>7.49</v>
      </c>
      <c r="S145" cm="1">
        <f t="array" ref="S145">_xlfn.ANCHORARRAY(R145)+0.15</f>
        <v>7.6400000000000006</v>
      </c>
      <c r="T145" cm="1">
        <f t="array" ref="T145">_xlfn.ANCHORARRAY(I145)+0.15</f>
        <v>1.65</v>
      </c>
      <c r="U145" cm="1">
        <f t="array" ref="U145">_xlfn.ANCHORARRAY(J145)+0.15</f>
        <v>3.15</v>
      </c>
      <c r="V145" cm="1">
        <f t="array" ref="V145">_xlfn.ANCHORARRAY(K145)+0.15</f>
        <v>3.65</v>
      </c>
      <c r="W145">
        <f>TBL_TEV[[#This Row],[Etica Rendita Bilanciata]]</f>
        <v>1.53443</v>
      </c>
      <c r="X145">
        <f>TBL_TEV[[#This Row],[Etica Obbligazionario Breve Termine]]</f>
        <v>0.28383599999999998</v>
      </c>
      <c r="Y145">
        <f>TBL_TEV[[#This Row],[Etica Obbligazionario Misto]]</f>
        <v>0.88849599999999995</v>
      </c>
      <c r="Z145">
        <f>TBL_TEV[[#This Row],[Etica Bilanciato]]</f>
        <v>2.1395659999999999</v>
      </c>
      <c r="AA145">
        <f>TBL_TEV[[#This Row],[Etica Azionario]]</f>
        <v>3.0045679999999999</v>
      </c>
      <c r="AB145">
        <f>TBL_TEV[[#This Row],[Etica Transizione Climatica]]</f>
        <v>2.5621459999999998</v>
      </c>
      <c r="AC145">
        <f>TBL_TEV[[#This Row],[Etica Obiettivo Sociale]]</f>
        <v>7.9272340695504981</v>
      </c>
      <c r="AD145">
        <f>TBL_TEV[[#This Row],[Etica Conservative Allocation]]</f>
        <v>0.44877699999999998</v>
      </c>
      <c r="AE145">
        <f>TBL_TEV[[#This Row],[Etica Dynamic Allocation]]</f>
        <v>1.6185539999999901</v>
      </c>
      <c r="AF145">
        <f>TBL_TEV[[#This Row],[Etica Global Equity]]</f>
        <v>2.9310779999999999</v>
      </c>
      <c r="AL145">
        <f ca="1"/>
        <v>1.543002</v>
      </c>
      <c r="AM145">
        <f ca="1"/>
        <v>0.283995</v>
      </c>
      <c r="AN145">
        <f ca="1"/>
        <v>0.89452900000000002</v>
      </c>
      <c r="AO145">
        <f ca="1"/>
        <v>2.1643300000000001</v>
      </c>
      <c r="AP145">
        <f ca="1"/>
        <v>3.045207</v>
      </c>
      <c r="AQ145">
        <f ca="1"/>
        <v>2.5640510000000001</v>
      </c>
      <c r="AR145">
        <f ca="1"/>
        <v>7.9129805876108055</v>
      </c>
      <c r="AS145">
        <f ca="1"/>
        <v>0.44449100000000002</v>
      </c>
      <c r="AT145">
        <f ca="1"/>
        <v>1.6015679999999901</v>
      </c>
      <c r="AU145">
        <f ca="1"/>
        <v>2.9218709999999999</v>
      </c>
    </row>
    <row r="146" spans="1:47">
      <c r="A146" s="43">
        <f>TBL_TEV[[#This Row],[Data2]]</f>
        <v>45496</v>
      </c>
      <c r="B146" cm="1">
        <f t="array" ref="B146">_xlfn.XLOOKUP(_xlfn.ANCHORARRAY(A146), TBL_Limiti_CDA[Data], TBL_Limiti_CDA[Etica Rendita Bilanciata], , -1)</f>
        <v>2.5</v>
      </c>
      <c r="C146" cm="1">
        <f t="array" ref="C146">_xlfn.XLOOKUP(_xlfn.ANCHORARRAY(A146), TBL_Limiti_CDA[Data], TBL_Limiti_CDA[Etica Obbligazionario Breve Termine], , -1)</f>
        <v>0.5</v>
      </c>
      <c r="D146" cm="1">
        <f t="array" ref="D146">_xlfn.XLOOKUP(_xlfn.ANCHORARRAY(A146), TBL_Limiti_CDA[Data], TBL_Limiti_CDA[Etica Obbligazionario Misto], , -1)</f>
        <v>1.5</v>
      </c>
      <c r="E146" cm="1">
        <f t="array" ref="E146">_xlfn.XLOOKUP(_xlfn.ANCHORARRAY(A146), TBL_Limiti_CDA[Data], TBL_Limiti_CDA[Etica Bilanciato], , -1)</f>
        <v>3</v>
      </c>
      <c r="F146" cm="1">
        <f t="array" ref="F146">_xlfn.XLOOKUP(_xlfn.ANCHORARRAY(A146), TBL_Limiti_CDA[Data], TBL_Limiti_CDA[Etica Azionario], , -1)</f>
        <v>3.5</v>
      </c>
      <c r="G146" cm="1">
        <f t="array" ref="G146">_xlfn.XLOOKUP(_xlfn.ANCHORARRAY(A146), TBL_Limiti_CDA[Data], TBL_Limiti_CDA[Etica Transizione Climatica], , -1)</f>
        <v>2.75</v>
      </c>
      <c r="H146" cm="1">
        <f t="array" ref="H146">_xlfn.XLOOKUP(_xlfn.ANCHORARRAY(A146), TBL_Limiti_CDA[Data], TBL_Limiti_CDA[Etica Obiettivo Sociale], , -1)</f>
        <v>7.49</v>
      </c>
      <c r="I146" cm="1">
        <f t="array" ref="I146">_xlfn.XLOOKUP(_xlfn.ANCHORARRAY(A146), TBL_Limiti_CDA[Data], TBL_Limiti_CDA[Etica Conservative Allocation], , -1)</f>
        <v>1.5</v>
      </c>
      <c r="J146" cm="1">
        <f t="array" ref="J146">_xlfn.XLOOKUP(_xlfn.ANCHORARRAY(A146), TBL_Limiti_CDA[Data], TBL_Limiti_CDA[Etica Dynamic Allocation], , -1)</f>
        <v>3</v>
      </c>
      <c r="K146" cm="1">
        <f t="array" ref="K146">_xlfn.XLOOKUP(_xlfn.ANCHORARRAY(A146), TBL_Limiti_CDA[Data], TBL_Limiti_CDA[Etica Global Equity], , -1)</f>
        <v>3.5</v>
      </c>
      <c r="L146" cm="1">
        <f t="array" ref="L146">_xlfn.ANCHORARRAY(B146)+0.15</f>
        <v>2.65</v>
      </c>
      <c r="M146" cm="1">
        <f t="array" ref="M146">_xlfn.ANCHORARRAY(C146)+0.1</f>
        <v>0.6</v>
      </c>
      <c r="N146" cm="1">
        <f t="array" ref="N146">_xlfn.ANCHORARRAY(D146)+0.15</f>
        <v>1.65</v>
      </c>
      <c r="O146" cm="1">
        <f t="array" ref="O146">_xlfn.ANCHORARRAY(E146)+0.15</f>
        <v>3.15</v>
      </c>
      <c r="P146" cm="1">
        <f t="array" ref="P146">_xlfn.ANCHORARRAY(F146)+0.15</f>
        <v>3.65</v>
      </c>
      <c r="Q146" cm="1">
        <f t="array" ref="Q146">_xlfn.ANCHORARRAY(G146)+0.15</f>
        <v>2.9</v>
      </c>
      <c r="R146" cm="1">
        <f t="array" ref="R146">_xlfn.ANCHORARRAY(H146)</f>
        <v>7.49</v>
      </c>
      <c r="S146" cm="1">
        <f t="array" ref="S146">_xlfn.ANCHORARRAY(R146)+0.15</f>
        <v>7.6400000000000006</v>
      </c>
      <c r="T146" cm="1">
        <f t="array" ref="T146">_xlfn.ANCHORARRAY(I146)+0.15</f>
        <v>1.65</v>
      </c>
      <c r="U146" cm="1">
        <f t="array" ref="U146">_xlfn.ANCHORARRAY(J146)+0.15</f>
        <v>3.15</v>
      </c>
      <c r="V146" cm="1">
        <f t="array" ref="V146">_xlfn.ANCHORARRAY(K146)+0.15</f>
        <v>3.65</v>
      </c>
      <c r="W146">
        <f>TBL_TEV[[#This Row],[Etica Rendita Bilanciata]]</f>
        <v>1.543002</v>
      </c>
      <c r="X146">
        <f>TBL_TEV[[#This Row],[Etica Obbligazionario Breve Termine]]</f>
        <v>0.283995</v>
      </c>
      <c r="Y146">
        <f>TBL_TEV[[#This Row],[Etica Obbligazionario Misto]]</f>
        <v>0.89452900000000002</v>
      </c>
      <c r="Z146">
        <f>TBL_TEV[[#This Row],[Etica Bilanciato]]</f>
        <v>2.1643300000000001</v>
      </c>
      <c r="AA146">
        <f>TBL_TEV[[#This Row],[Etica Azionario]]</f>
        <v>3.045207</v>
      </c>
      <c r="AB146">
        <f>TBL_TEV[[#This Row],[Etica Transizione Climatica]]</f>
        <v>2.5640510000000001</v>
      </c>
      <c r="AC146">
        <f>TBL_TEV[[#This Row],[Etica Obiettivo Sociale]]</f>
        <v>7.9129805876108055</v>
      </c>
      <c r="AD146">
        <f>TBL_TEV[[#This Row],[Etica Conservative Allocation]]</f>
        <v>0.44449100000000002</v>
      </c>
      <c r="AE146">
        <f>TBL_TEV[[#This Row],[Etica Dynamic Allocation]]</f>
        <v>1.6015679999999901</v>
      </c>
      <c r="AF146">
        <f>TBL_TEV[[#This Row],[Etica Global Equity]]</f>
        <v>2.9218709999999999</v>
      </c>
      <c r="AL146">
        <f ca="1"/>
        <v>1.513952</v>
      </c>
      <c r="AM146">
        <f ca="1"/>
        <v>0.28462999999999999</v>
      </c>
      <c r="AN146">
        <f ca="1"/>
        <v>0.88516300000000003</v>
      </c>
      <c r="AO146">
        <f ca="1"/>
        <v>2.1276600000000001</v>
      </c>
      <c r="AP146">
        <f ca="1"/>
        <v>2.9934560000000001</v>
      </c>
      <c r="AQ146">
        <f ca="1"/>
        <v>2.545477</v>
      </c>
      <c r="AR146">
        <f ca="1"/>
        <v>7.7693925528861989</v>
      </c>
      <c r="AS146">
        <f ca="1"/>
        <v>0.44020499999999901</v>
      </c>
      <c r="AT146">
        <f ca="1"/>
        <v>1.5845819999999899</v>
      </c>
      <c r="AU146">
        <f ca="1"/>
        <v>2.9126639999999999</v>
      </c>
    </row>
    <row r="147" spans="1:47">
      <c r="A147" s="43">
        <f>TBL_TEV[[#This Row],[Data2]]</f>
        <v>45497</v>
      </c>
      <c r="B147" cm="1">
        <f t="array" ref="B147">_xlfn.XLOOKUP(_xlfn.ANCHORARRAY(A147), TBL_Limiti_CDA[Data], TBL_Limiti_CDA[Etica Rendita Bilanciata], , -1)</f>
        <v>2.5</v>
      </c>
      <c r="C147" cm="1">
        <f t="array" ref="C147">_xlfn.XLOOKUP(_xlfn.ANCHORARRAY(A147), TBL_Limiti_CDA[Data], TBL_Limiti_CDA[Etica Obbligazionario Breve Termine], , -1)</f>
        <v>0.5</v>
      </c>
      <c r="D147" cm="1">
        <f t="array" ref="D147">_xlfn.XLOOKUP(_xlfn.ANCHORARRAY(A147), TBL_Limiti_CDA[Data], TBL_Limiti_CDA[Etica Obbligazionario Misto], , -1)</f>
        <v>1.5</v>
      </c>
      <c r="E147" cm="1">
        <f t="array" ref="E147">_xlfn.XLOOKUP(_xlfn.ANCHORARRAY(A147), TBL_Limiti_CDA[Data], TBL_Limiti_CDA[Etica Bilanciato], , -1)</f>
        <v>3</v>
      </c>
      <c r="F147" cm="1">
        <f t="array" ref="F147">_xlfn.XLOOKUP(_xlfn.ANCHORARRAY(A147), TBL_Limiti_CDA[Data], TBL_Limiti_CDA[Etica Azionario], , -1)</f>
        <v>3.5</v>
      </c>
      <c r="G147" cm="1">
        <f t="array" ref="G147">_xlfn.XLOOKUP(_xlfn.ANCHORARRAY(A147), TBL_Limiti_CDA[Data], TBL_Limiti_CDA[Etica Transizione Climatica], , -1)</f>
        <v>2.75</v>
      </c>
      <c r="H147" cm="1">
        <f t="array" ref="H147">_xlfn.XLOOKUP(_xlfn.ANCHORARRAY(A147), TBL_Limiti_CDA[Data], TBL_Limiti_CDA[Etica Obiettivo Sociale], , -1)</f>
        <v>7.49</v>
      </c>
      <c r="I147" cm="1">
        <f t="array" ref="I147">_xlfn.XLOOKUP(_xlfn.ANCHORARRAY(A147), TBL_Limiti_CDA[Data], TBL_Limiti_CDA[Etica Conservative Allocation], , -1)</f>
        <v>1.5</v>
      </c>
      <c r="J147" cm="1">
        <f t="array" ref="J147">_xlfn.XLOOKUP(_xlfn.ANCHORARRAY(A147), TBL_Limiti_CDA[Data], TBL_Limiti_CDA[Etica Dynamic Allocation], , -1)</f>
        <v>3</v>
      </c>
      <c r="K147" cm="1">
        <f t="array" ref="K147">_xlfn.XLOOKUP(_xlfn.ANCHORARRAY(A147), TBL_Limiti_CDA[Data], TBL_Limiti_CDA[Etica Global Equity], , -1)</f>
        <v>3.5</v>
      </c>
      <c r="L147" cm="1">
        <f t="array" ref="L147">_xlfn.ANCHORARRAY(B147)+0.15</f>
        <v>2.65</v>
      </c>
      <c r="M147" cm="1">
        <f t="array" ref="M147">_xlfn.ANCHORARRAY(C147)+0.1</f>
        <v>0.6</v>
      </c>
      <c r="N147" cm="1">
        <f t="array" ref="N147">_xlfn.ANCHORARRAY(D147)+0.15</f>
        <v>1.65</v>
      </c>
      <c r="O147" cm="1">
        <f t="array" ref="O147">_xlfn.ANCHORARRAY(E147)+0.15</f>
        <v>3.15</v>
      </c>
      <c r="P147" cm="1">
        <f t="array" ref="P147">_xlfn.ANCHORARRAY(F147)+0.15</f>
        <v>3.65</v>
      </c>
      <c r="Q147" cm="1">
        <f t="array" ref="Q147">_xlfn.ANCHORARRAY(G147)+0.15</f>
        <v>2.9</v>
      </c>
      <c r="R147" cm="1">
        <f t="array" ref="R147">_xlfn.ANCHORARRAY(H147)</f>
        <v>7.49</v>
      </c>
      <c r="S147" cm="1">
        <f t="array" ref="S147">_xlfn.ANCHORARRAY(R147)+0.15</f>
        <v>7.6400000000000006</v>
      </c>
      <c r="T147" cm="1">
        <f t="array" ref="T147">_xlfn.ANCHORARRAY(I147)+0.15</f>
        <v>1.65</v>
      </c>
      <c r="U147" cm="1">
        <f t="array" ref="U147">_xlfn.ANCHORARRAY(J147)+0.15</f>
        <v>3.15</v>
      </c>
      <c r="V147" cm="1">
        <f t="array" ref="V147">_xlfn.ANCHORARRAY(K147)+0.15</f>
        <v>3.65</v>
      </c>
      <c r="W147">
        <f>TBL_TEV[[#This Row],[Etica Rendita Bilanciata]]</f>
        <v>1.513952</v>
      </c>
      <c r="X147">
        <f>TBL_TEV[[#This Row],[Etica Obbligazionario Breve Termine]]</f>
        <v>0.28462999999999999</v>
      </c>
      <c r="Y147">
        <f>TBL_TEV[[#This Row],[Etica Obbligazionario Misto]]</f>
        <v>0.88516300000000003</v>
      </c>
      <c r="Z147">
        <f>TBL_TEV[[#This Row],[Etica Bilanciato]]</f>
        <v>2.1276600000000001</v>
      </c>
      <c r="AA147">
        <f>TBL_TEV[[#This Row],[Etica Azionario]]</f>
        <v>2.9934560000000001</v>
      </c>
      <c r="AB147">
        <f>TBL_TEV[[#This Row],[Etica Transizione Climatica]]</f>
        <v>2.545477</v>
      </c>
      <c r="AC147">
        <f>TBL_TEV[[#This Row],[Etica Obiettivo Sociale]]</f>
        <v>7.7693925528861989</v>
      </c>
      <c r="AD147">
        <f>TBL_TEV[[#This Row],[Etica Conservative Allocation]]</f>
        <v>0.44020499999999901</v>
      </c>
      <c r="AE147">
        <f>TBL_TEV[[#This Row],[Etica Dynamic Allocation]]</f>
        <v>1.5845819999999899</v>
      </c>
      <c r="AF147">
        <f>TBL_TEV[[#This Row],[Etica Global Equity]]</f>
        <v>2.9126639999999999</v>
      </c>
      <c r="AL147">
        <f ca="1"/>
        <v>1.5290330000000001</v>
      </c>
      <c r="AM147">
        <f ca="1"/>
        <v>0.285582</v>
      </c>
      <c r="AN147">
        <f ca="1"/>
        <v>0.92246799999999995</v>
      </c>
      <c r="AO147">
        <f ca="1"/>
        <v>2.0976569999999999</v>
      </c>
      <c r="AP147">
        <f ca="1"/>
        <v>2.9510710000000002</v>
      </c>
      <c r="AQ147">
        <f ca="1"/>
        <v>2.522459</v>
      </c>
      <c r="AR147">
        <f ca="1"/>
        <v>7.6338603323537493</v>
      </c>
      <c r="AS147">
        <f ca="1"/>
        <v>0.435918999999999</v>
      </c>
      <c r="AT147">
        <f ca="1"/>
        <v>1.56759599999999</v>
      </c>
      <c r="AU147">
        <f ca="1"/>
        <v>2.903457</v>
      </c>
    </row>
    <row r="148" spans="1:47">
      <c r="A148" s="43">
        <f>TBL_TEV[[#This Row],[Data2]]</f>
        <v>45498</v>
      </c>
      <c r="B148" cm="1">
        <f t="array" ref="B148">_xlfn.XLOOKUP(_xlfn.ANCHORARRAY(A148), TBL_Limiti_CDA[Data], TBL_Limiti_CDA[Etica Rendita Bilanciata], , -1)</f>
        <v>2.5</v>
      </c>
      <c r="C148" cm="1">
        <f t="array" ref="C148">_xlfn.XLOOKUP(_xlfn.ANCHORARRAY(A148), TBL_Limiti_CDA[Data], TBL_Limiti_CDA[Etica Obbligazionario Breve Termine], , -1)</f>
        <v>0.5</v>
      </c>
      <c r="D148" cm="1">
        <f t="array" ref="D148">_xlfn.XLOOKUP(_xlfn.ANCHORARRAY(A148), TBL_Limiti_CDA[Data], TBL_Limiti_CDA[Etica Obbligazionario Misto], , -1)</f>
        <v>1.5</v>
      </c>
      <c r="E148" cm="1">
        <f t="array" ref="E148">_xlfn.XLOOKUP(_xlfn.ANCHORARRAY(A148), TBL_Limiti_CDA[Data], TBL_Limiti_CDA[Etica Bilanciato], , -1)</f>
        <v>3</v>
      </c>
      <c r="F148" cm="1">
        <f t="array" ref="F148">_xlfn.XLOOKUP(_xlfn.ANCHORARRAY(A148), TBL_Limiti_CDA[Data], TBL_Limiti_CDA[Etica Azionario], , -1)</f>
        <v>3.5</v>
      </c>
      <c r="G148" cm="1">
        <f t="array" ref="G148">_xlfn.XLOOKUP(_xlfn.ANCHORARRAY(A148), TBL_Limiti_CDA[Data], TBL_Limiti_CDA[Etica Transizione Climatica], , -1)</f>
        <v>2.75</v>
      </c>
      <c r="H148" cm="1">
        <f t="array" ref="H148">_xlfn.XLOOKUP(_xlfn.ANCHORARRAY(A148), TBL_Limiti_CDA[Data], TBL_Limiti_CDA[Etica Obiettivo Sociale], , -1)</f>
        <v>7.49</v>
      </c>
      <c r="I148" cm="1">
        <f t="array" ref="I148">_xlfn.XLOOKUP(_xlfn.ANCHORARRAY(A148), TBL_Limiti_CDA[Data], TBL_Limiti_CDA[Etica Conservative Allocation], , -1)</f>
        <v>1.5</v>
      </c>
      <c r="J148" cm="1">
        <f t="array" ref="J148">_xlfn.XLOOKUP(_xlfn.ANCHORARRAY(A148), TBL_Limiti_CDA[Data], TBL_Limiti_CDA[Etica Dynamic Allocation], , -1)</f>
        <v>3</v>
      </c>
      <c r="K148" cm="1">
        <f t="array" ref="K148">_xlfn.XLOOKUP(_xlfn.ANCHORARRAY(A148), TBL_Limiti_CDA[Data], TBL_Limiti_CDA[Etica Global Equity], , -1)</f>
        <v>3.5</v>
      </c>
      <c r="L148" cm="1">
        <f t="array" ref="L148">_xlfn.ANCHORARRAY(B148)+0.15</f>
        <v>2.65</v>
      </c>
      <c r="M148" cm="1">
        <f t="array" ref="M148">_xlfn.ANCHORARRAY(C148)+0.1</f>
        <v>0.6</v>
      </c>
      <c r="N148" cm="1">
        <f t="array" ref="N148">_xlfn.ANCHORARRAY(D148)+0.15</f>
        <v>1.65</v>
      </c>
      <c r="O148" cm="1">
        <f t="array" ref="O148">_xlfn.ANCHORARRAY(E148)+0.15</f>
        <v>3.15</v>
      </c>
      <c r="P148" cm="1">
        <f t="array" ref="P148">_xlfn.ANCHORARRAY(F148)+0.15</f>
        <v>3.65</v>
      </c>
      <c r="Q148" cm="1">
        <f t="array" ref="Q148">_xlfn.ANCHORARRAY(G148)+0.15</f>
        <v>2.9</v>
      </c>
      <c r="R148" cm="1">
        <f t="array" ref="R148">_xlfn.ANCHORARRAY(H148)</f>
        <v>7.49</v>
      </c>
      <c r="S148" cm="1">
        <f t="array" ref="S148">_xlfn.ANCHORARRAY(R148)+0.15</f>
        <v>7.6400000000000006</v>
      </c>
      <c r="T148" cm="1">
        <f t="array" ref="T148">_xlfn.ANCHORARRAY(I148)+0.15</f>
        <v>1.65</v>
      </c>
      <c r="U148" cm="1">
        <f t="array" ref="U148">_xlfn.ANCHORARRAY(J148)+0.15</f>
        <v>3.15</v>
      </c>
      <c r="V148" cm="1">
        <f t="array" ref="V148">_xlfn.ANCHORARRAY(K148)+0.15</f>
        <v>3.65</v>
      </c>
      <c r="W148">
        <f>TBL_TEV[[#This Row],[Etica Rendita Bilanciata]]</f>
        <v>1.5290330000000001</v>
      </c>
      <c r="X148">
        <f>TBL_TEV[[#This Row],[Etica Obbligazionario Breve Termine]]</f>
        <v>0.285582</v>
      </c>
      <c r="Y148">
        <f>TBL_TEV[[#This Row],[Etica Obbligazionario Misto]]</f>
        <v>0.92246799999999995</v>
      </c>
      <c r="Z148">
        <f>TBL_TEV[[#This Row],[Etica Bilanciato]]</f>
        <v>2.0976569999999999</v>
      </c>
      <c r="AA148">
        <f>TBL_TEV[[#This Row],[Etica Azionario]]</f>
        <v>2.9510710000000002</v>
      </c>
      <c r="AB148">
        <f>TBL_TEV[[#This Row],[Etica Transizione Climatica]]</f>
        <v>2.522459</v>
      </c>
      <c r="AC148">
        <f>TBL_TEV[[#This Row],[Etica Obiettivo Sociale]]</f>
        <v>7.6338603323537493</v>
      </c>
      <c r="AD148">
        <f>TBL_TEV[[#This Row],[Etica Conservative Allocation]]</f>
        <v>0.435918999999999</v>
      </c>
      <c r="AE148">
        <f>TBL_TEV[[#This Row],[Etica Dynamic Allocation]]</f>
        <v>1.56759599999999</v>
      </c>
      <c r="AF148">
        <f>TBL_TEV[[#This Row],[Etica Global Equity]]</f>
        <v>2.903457</v>
      </c>
      <c r="AL148">
        <f ca="1"/>
        <v>1.5229999999999999</v>
      </c>
      <c r="AM148">
        <f ca="1"/>
        <v>0.28320099999999998</v>
      </c>
      <c r="AN148">
        <f ca="1"/>
        <v>0.91961000000000004</v>
      </c>
      <c r="AO148">
        <f ca="1"/>
        <v>2.0832120000000001</v>
      </c>
      <c r="AP148">
        <f ca="1"/>
        <v>2.9282119999999998</v>
      </c>
      <c r="AQ148">
        <f ca="1"/>
        <v>2.5030920000000001</v>
      </c>
      <c r="AR148">
        <f ca="1"/>
        <v>7.7120369341446429</v>
      </c>
      <c r="AS148">
        <f ca="1"/>
        <v>0.43163299999999899</v>
      </c>
      <c r="AT148">
        <f ca="1"/>
        <v>1.5506099999999901</v>
      </c>
      <c r="AU148">
        <f ca="1"/>
        <v>2.89425</v>
      </c>
    </row>
    <row r="149" spans="1:47">
      <c r="A149" s="43">
        <f>TBL_TEV[[#This Row],[Data2]]</f>
        <v>45499</v>
      </c>
      <c r="B149" cm="1">
        <f t="array" ref="B149">_xlfn.XLOOKUP(_xlfn.ANCHORARRAY(A149), TBL_Limiti_CDA[Data], TBL_Limiti_CDA[Etica Rendita Bilanciata], , -1)</f>
        <v>2.5</v>
      </c>
      <c r="C149" cm="1">
        <f t="array" ref="C149">_xlfn.XLOOKUP(_xlfn.ANCHORARRAY(A149), TBL_Limiti_CDA[Data], TBL_Limiti_CDA[Etica Obbligazionario Breve Termine], , -1)</f>
        <v>0.5</v>
      </c>
      <c r="D149" cm="1">
        <f t="array" ref="D149">_xlfn.XLOOKUP(_xlfn.ANCHORARRAY(A149), TBL_Limiti_CDA[Data], TBL_Limiti_CDA[Etica Obbligazionario Misto], , -1)</f>
        <v>1.5</v>
      </c>
      <c r="E149" cm="1">
        <f t="array" ref="E149">_xlfn.XLOOKUP(_xlfn.ANCHORARRAY(A149), TBL_Limiti_CDA[Data], TBL_Limiti_CDA[Etica Bilanciato], , -1)</f>
        <v>3</v>
      </c>
      <c r="F149" cm="1">
        <f t="array" ref="F149">_xlfn.XLOOKUP(_xlfn.ANCHORARRAY(A149), TBL_Limiti_CDA[Data], TBL_Limiti_CDA[Etica Azionario], , -1)</f>
        <v>3.5</v>
      </c>
      <c r="G149" cm="1">
        <f t="array" ref="G149">_xlfn.XLOOKUP(_xlfn.ANCHORARRAY(A149), TBL_Limiti_CDA[Data], TBL_Limiti_CDA[Etica Transizione Climatica], , -1)</f>
        <v>2.75</v>
      </c>
      <c r="H149" cm="1">
        <f t="array" ref="H149">_xlfn.XLOOKUP(_xlfn.ANCHORARRAY(A149), TBL_Limiti_CDA[Data], TBL_Limiti_CDA[Etica Obiettivo Sociale], , -1)</f>
        <v>7.49</v>
      </c>
      <c r="I149" cm="1">
        <f t="array" ref="I149">_xlfn.XLOOKUP(_xlfn.ANCHORARRAY(A149), TBL_Limiti_CDA[Data], TBL_Limiti_CDA[Etica Conservative Allocation], , -1)</f>
        <v>1.5</v>
      </c>
      <c r="J149" cm="1">
        <f t="array" ref="J149">_xlfn.XLOOKUP(_xlfn.ANCHORARRAY(A149), TBL_Limiti_CDA[Data], TBL_Limiti_CDA[Etica Dynamic Allocation], , -1)</f>
        <v>3</v>
      </c>
      <c r="K149" cm="1">
        <f t="array" ref="K149">_xlfn.XLOOKUP(_xlfn.ANCHORARRAY(A149), TBL_Limiti_CDA[Data], TBL_Limiti_CDA[Etica Global Equity], , -1)</f>
        <v>3.5</v>
      </c>
      <c r="L149" cm="1">
        <f t="array" ref="L149">_xlfn.ANCHORARRAY(B149)+0.15</f>
        <v>2.65</v>
      </c>
      <c r="M149" cm="1">
        <f t="array" ref="M149">_xlfn.ANCHORARRAY(C149)+0.1</f>
        <v>0.6</v>
      </c>
      <c r="N149" cm="1">
        <f t="array" ref="N149">_xlfn.ANCHORARRAY(D149)+0.15</f>
        <v>1.65</v>
      </c>
      <c r="O149" cm="1">
        <f t="array" ref="O149">_xlfn.ANCHORARRAY(E149)+0.15</f>
        <v>3.15</v>
      </c>
      <c r="P149" cm="1">
        <f t="array" ref="P149">_xlfn.ANCHORARRAY(F149)+0.15</f>
        <v>3.65</v>
      </c>
      <c r="Q149" cm="1">
        <f t="array" ref="Q149">_xlfn.ANCHORARRAY(G149)+0.15</f>
        <v>2.9</v>
      </c>
      <c r="R149" cm="1">
        <f t="array" ref="R149">_xlfn.ANCHORARRAY(H149)</f>
        <v>7.49</v>
      </c>
      <c r="S149" cm="1">
        <f t="array" ref="S149">_xlfn.ANCHORARRAY(R149)+0.15</f>
        <v>7.6400000000000006</v>
      </c>
      <c r="T149" cm="1">
        <f t="array" ref="T149">_xlfn.ANCHORARRAY(I149)+0.15</f>
        <v>1.65</v>
      </c>
      <c r="U149" cm="1">
        <f t="array" ref="U149">_xlfn.ANCHORARRAY(J149)+0.15</f>
        <v>3.15</v>
      </c>
      <c r="V149" cm="1">
        <f t="array" ref="V149">_xlfn.ANCHORARRAY(K149)+0.15</f>
        <v>3.65</v>
      </c>
      <c r="W149">
        <f>TBL_TEV[[#This Row],[Etica Rendita Bilanciata]]</f>
        <v>1.5229999999999999</v>
      </c>
      <c r="X149">
        <f>TBL_TEV[[#This Row],[Etica Obbligazionario Breve Termine]]</f>
        <v>0.28320099999999998</v>
      </c>
      <c r="Y149">
        <f>TBL_TEV[[#This Row],[Etica Obbligazionario Misto]]</f>
        <v>0.91961000000000004</v>
      </c>
      <c r="Z149">
        <f>TBL_TEV[[#This Row],[Etica Bilanciato]]</f>
        <v>2.0832120000000001</v>
      </c>
      <c r="AA149">
        <f>TBL_TEV[[#This Row],[Etica Azionario]]</f>
        <v>2.9282119999999998</v>
      </c>
      <c r="AB149">
        <f>TBL_TEV[[#This Row],[Etica Transizione Climatica]]</f>
        <v>2.5030920000000001</v>
      </c>
      <c r="AC149">
        <f>TBL_TEV[[#This Row],[Etica Obiettivo Sociale]]</f>
        <v>7.7120369341446429</v>
      </c>
      <c r="AD149">
        <f>TBL_TEV[[#This Row],[Etica Conservative Allocation]]</f>
        <v>0.43163299999999899</v>
      </c>
      <c r="AE149">
        <f>TBL_TEV[[#This Row],[Etica Dynamic Allocation]]</f>
        <v>1.5506099999999901</v>
      </c>
      <c r="AF149">
        <f>TBL_TEV[[#This Row],[Etica Global Equity]]</f>
        <v>2.89425</v>
      </c>
      <c r="AL149">
        <f ca="1"/>
        <v>1.462995</v>
      </c>
      <c r="AM149">
        <f ca="1"/>
        <v>0.27955000000000002</v>
      </c>
      <c r="AN149">
        <f ca="1"/>
        <v>0.79785300000000003</v>
      </c>
      <c r="AO149">
        <f ca="1"/>
        <v>2.0909900000000001</v>
      </c>
      <c r="AP149">
        <f ca="1"/>
        <v>2.9402759999999999</v>
      </c>
      <c r="AQ149">
        <f ca="1"/>
        <v>2.5123000000000002</v>
      </c>
      <c r="AR149">
        <f ca="1"/>
        <v>7.6652846386393447</v>
      </c>
      <c r="AS149">
        <f ca="1"/>
        <v>0.42734699999999898</v>
      </c>
      <c r="AT149">
        <f ca="1"/>
        <v>1.5336239999999901</v>
      </c>
      <c r="AU149">
        <f ca="1"/>
        <v>2.885043</v>
      </c>
    </row>
    <row r="150" spans="1:47">
      <c r="A150" s="43">
        <f>TBL_TEV[[#This Row],[Data2]]</f>
        <v>45502</v>
      </c>
      <c r="B150" cm="1">
        <f t="array" ref="B150">_xlfn.XLOOKUP(_xlfn.ANCHORARRAY(A150), TBL_Limiti_CDA[Data], TBL_Limiti_CDA[Etica Rendita Bilanciata], , -1)</f>
        <v>2.5</v>
      </c>
      <c r="C150" cm="1">
        <f t="array" ref="C150">_xlfn.XLOOKUP(_xlfn.ANCHORARRAY(A150), TBL_Limiti_CDA[Data], TBL_Limiti_CDA[Etica Obbligazionario Breve Termine], , -1)</f>
        <v>0.5</v>
      </c>
      <c r="D150" cm="1">
        <f t="array" ref="D150">_xlfn.XLOOKUP(_xlfn.ANCHORARRAY(A150), TBL_Limiti_CDA[Data], TBL_Limiti_CDA[Etica Obbligazionario Misto], , -1)</f>
        <v>1.5</v>
      </c>
      <c r="E150" cm="1">
        <f t="array" ref="E150">_xlfn.XLOOKUP(_xlfn.ANCHORARRAY(A150), TBL_Limiti_CDA[Data], TBL_Limiti_CDA[Etica Bilanciato], , -1)</f>
        <v>3</v>
      </c>
      <c r="F150" cm="1">
        <f t="array" ref="F150">_xlfn.XLOOKUP(_xlfn.ANCHORARRAY(A150), TBL_Limiti_CDA[Data], TBL_Limiti_CDA[Etica Azionario], , -1)</f>
        <v>3.5</v>
      </c>
      <c r="G150" cm="1">
        <f t="array" ref="G150">_xlfn.XLOOKUP(_xlfn.ANCHORARRAY(A150), TBL_Limiti_CDA[Data], TBL_Limiti_CDA[Etica Transizione Climatica], , -1)</f>
        <v>2.75</v>
      </c>
      <c r="H150" cm="1">
        <f t="array" ref="H150">_xlfn.XLOOKUP(_xlfn.ANCHORARRAY(A150), TBL_Limiti_CDA[Data], TBL_Limiti_CDA[Etica Obiettivo Sociale], , -1)</f>
        <v>7.49</v>
      </c>
      <c r="I150" cm="1">
        <f t="array" ref="I150">_xlfn.XLOOKUP(_xlfn.ANCHORARRAY(A150), TBL_Limiti_CDA[Data], TBL_Limiti_CDA[Etica Conservative Allocation], , -1)</f>
        <v>1.5</v>
      </c>
      <c r="J150" cm="1">
        <f t="array" ref="J150">_xlfn.XLOOKUP(_xlfn.ANCHORARRAY(A150), TBL_Limiti_CDA[Data], TBL_Limiti_CDA[Etica Dynamic Allocation], , -1)</f>
        <v>3</v>
      </c>
      <c r="K150" cm="1">
        <f t="array" ref="K150">_xlfn.XLOOKUP(_xlfn.ANCHORARRAY(A150), TBL_Limiti_CDA[Data], TBL_Limiti_CDA[Etica Global Equity], , -1)</f>
        <v>3.5</v>
      </c>
      <c r="L150" cm="1">
        <f t="array" ref="L150">_xlfn.ANCHORARRAY(B150)+0.15</f>
        <v>2.65</v>
      </c>
      <c r="M150" cm="1">
        <f t="array" ref="M150">_xlfn.ANCHORARRAY(C150)+0.1</f>
        <v>0.6</v>
      </c>
      <c r="N150" cm="1">
        <f t="array" ref="N150">_xlfn.ANCHORARRAY(D150)+0.15</f>
        <v>1.65</v>
      </c>
      <c r="O150" cm="1">
        <f t="array" ref="O150">_xlfn.ANCHORARRAY(E150)+0.15</f>
        <v>3.15</v>
      </c>
      <c r="P150" cm="1">
        <f t="array" ref="P150">_xlfn.ANCHORARRAY(F150)+0.15</f>
        <v>3.65</v>
      </c>
      <c r="Q150" cm="1">
        <f t="array" ref="Q150">_xlfn.ANCHORARRAY(G150)+0.15</f>
        <v>2.9</v>
      </c>
      <c r="R150" cm="1">
        <f t="array" ref="R150">_xlfn.ANCHORARRAY(H150)</f>
        <v>7.49</v>
      </c>
      <c r="S150" cm="1">
        <f t="array" ref="S150">_xlfn.ANCHORARRAY(R150)+0.15</f>
        <v>7.6400000000000006</v>
      </c>
      <c r="T150" cm="1">
        <f t="array" ref="T150">_xlfn.ANCHORARRAY(I150)+0.15</f>
        <v>1.65</v>
      </c>
      <c r="U150" cm="1">
        <f t="array" ref="U150">_xlfn.ANCHORARRAY(J150)+0.15</f>
        <v>3.15</v>
      </c>
      <c r="V150" cm="1">
        <f t="array" ref="V150">_xlfn.ANCHORARRAY(K150)+0.15</f>
        <v>3.65</v>
      </c>
      <c r="W150">
        <f>TBL_TEV[[#This Row],[Etica Rendita Bilanciata]]</f>
        <v>1.462995</v>
      </c>
      <c r="X150">
        <f>TBL_TEV[[#This Row],[Etica Obbligazionario Breve Termine]]</f>
        <v>0.27955000000000002</v>
      </c>
      <c r="Y150">
        <f>TBL_TEV[[#This Row],[Etica Obbligazionario Misto]]</f>
        <v>0.79785300000000003</v>
      </c>
      <c r="Z150">
        <f>TBL_TEV[[#This Row],[Etica Bilanciato]]</f>
        <v>2.0909900000000001</v>
      </c>
      <c r="AA150">
        <f>TBL_TEV[[#This Row],[Etica Azionario]]</f>
        <v>2.9402759999999999</v>
      </c>
      <c r="AB150">
        <f>TBL_TEV[[#This Row],[Etica Transizione Climatica]]</f>
        <v>2.5123000000000002</v>
      </c>
      <c r="AC150">
        <f>TBL_TEV[[#This Row],[Etica Obiettivo Sociale]]</f>
        <v>7.6652846386393447</v>
      </c>
      <c r="AD150">
        <f>TBL_TEV[[#This Row],[Etica Conservative Allocation]]</f>
        <v>0.42734699999999898</v>
      </c>
      <c r="AE150">
        <f>TBL_TEV[[#This Row],[Etica Dynamic Allocation]]</f>
        <v>1.5336239999999901</v>
      </c>
      <c r="AF150">
        <f>TBL_TEV[[#This Row],[Etica Global Equity]]</f>
        <v>2.885043</v>
      </c>
      <c r="AL150">
        <f ca="1"/>
        <v>1.467916</v>
      </c>
      <c r="AM150">
        <f ca="1"/>
        <v>0.27955000000000002</v>
      </c>
      <c r="AN150">
        <f ca="1"/>
        <v>0.79086800000000002</v>
      </c>
      <c r="AO150">
        <f ca="1"/>
        <v>2.1243270000000001</v>
      </c>
      <c r="AP150">
        <f ca="1"/>
        <v>3.0058379999999998</v>
      </c>
      <c r="AQ150">
        <f ca="1"/>
        <v>2.435308</v>
      </c>
      <c r="AR150">
        <f ca="1"/>
        <v>7.6912823241105759</v>
      </c>
      <c r="AS150">
        <f ca="1"/>
        <v>0.42306099999999902</v>
      </c>
      <c r="AT150">
        <f ca="1"/>
        <v>1.5166379999999899</v>
      </c>
      <c r="AU150">
        <f ca="1"/>
        <v>2.8758360000000001</v>
      </c>
    </row>
    <row r="151" spans="1:47">
      <c r="A151" s="43">
        <f>TBL_TEV[[#This Row],[Data2]]</f>
        <v>45503</v>
      </c>
      <c r="B151" cm="1">
        <f t="array" ref="B151">_xlfn.XLOOKUP(_xlfn.ANCHORARRAY(A151), TBL_Limiti_CDA[Data], TBL_Limiti_CDA[Etica Rendita Bilanciata], , -1)</f>
        <v>2.5</v>
      </c>
      <c r="C151" cm="1">
        <f t="array" ref="C151">_xlfn.XLOOKUP(_xlfn.ANCHORARRAY(A151), TBL_Limiti_CDA[Data], TBL_Limiti_CDA[Etica Obbligazionario Breve Termine], , -1)</f>
        <v>0.5</v>
      </c>
      <c r="D151" cm="1">
        <f t="array" ref="D151">_xlfn.XLOOKUP(_xlfn.ANCHORARRAY(A151), TBL_Limiti_CDA[Data], TBL_Limiti_CDA[Etica Obbligazionario Misto], , -1)</f>
        <v>1.5</v>
      </c>
      <c r="E151" cm="1">
        <f t="array" ref="E151">_xlfn.XLOOKUP(_xlfn.ANCHORARRAY(A151), TBL_Limiti_CDA[Data], TBL_Limiti_CDA[Etica Bilanciato], , -1)</f>
        <v>3</v>
      </c>
      <c r="F151" cm="1">
        <f t="array" ref="F151">_xlfn.XLOOKUP(_xlfn.ANCHORARRAY(A151), TBL_Limiti_CDA[Data], TBL_Limiti_CDA[Etica Azionario], , -1)</f>
        <v>3.5</v>
      </c>
      <c r="G151" cm="1">
        <f t="array" ref="G151">_xlfn.XLOOKUP(_xlfn.ANCHORARRAY(A151), TBL_Limiti_CDA[Data], TBL_Limiti_CDA[Etica Transizione Climatica], , -1)</f>
        <v>2.75</v>
      </c>
      <c r="H151" cm="1">
        <f t="array" ref="H151">_xlfn.XLOOKUP(_xlfn.ANCHORARRAY(A151), TBL_Limiti_CDA[Data], TBL_Limiti_CDA[Etica Obiettivo Sociale], , -1)</f>
        <v>7.49</v>
      </c>
      <c r="I151" cm="1">
        <f t="array" ref="I151">_xlfn.XLOOKUP(_xlfn.ANCHORARRAY(A151), TBL_Limiti_CDA[Data], TBL_Limiti_CDA[Etica Conservative Allocation], , -1)</f>
        <v>1.5</v>
      </c>
      <c r="J151" cm="1">
        <f t="array" ref="J151">_xlfn.XLOOKUP(_xlfn.ANCHORARRAY(A151), TBL_Limiti_CDA[Data], TBL_Limiti_CDA[Etica Dynamic Allocation], , -1)</f>
        <v>3</v>
      </c>
      <c r="K151" cm="1">
        <f t="array" ref="K151">_xlfn.XLOOKUP(_xlfn.ANCHORARRAY(A151), TBL_Limiti_CDA[Data], TBL_Limiti_CDA[Etica Global Equity], , -1)</f>
        <v>3.5</v>
      </c>
      <c r="L151" cm="1">
        <f t="array" ref="L151">_xlfn.ANCHORARRAY(B151)+0.15</f>
        <v>2.65</v>
      </c>
      <c r="M151" cm="1">
        <f t="array" ref="M151">_xlfn.ANCHORARRAY(C151)+0.1</f>
        <v>0.6</v>
      </c>
      <c r="N151" cm="1">
        <f t="array" ref="N151">_xlfn.ANCHORARRAY(D151)+0.15</f>
        <v>1.65</v>
      </c>
      <c r="O151" cm="1">
        <f t="array" ref="O151">_xlfn.ANCHORARRAY(E151)+0.15</f>
        <v>3.15</v>
      </c>
      <c r="P151" cm="1">
        <f t="array" ref="P151">_xlfn.ANCHORARRAY(F151)+0.15</f>
        <v>3.65</v>
      </c>
      <c r="Q151" cm="1">
        <f t="array" ref="Q151">_xlfn.ANCHORARRAY(G151)+0.15</f>
        <v>2.9</v>
      </c>
      <c r="R151" cm="1">
        <f t="array" ref="R151">_xlfn.ANCHORARRAY(H151)</f>
        <v>7.49</v>
      </c>
      <c r="S151" cm="1">
        <f t="array" ref="S151">_xlfn.ANCHORARRAY(R151)+0.15</f>
        <v>7.6400000000000006</v>
      </c>
      <c r="T151" cm="1">
        <f t="array" ref="T151">_xlfn.ANCHORARRAY(I151)+0.15</f>
        <v>1.65</v>
      </c>
      <c r="U151" cm="1">
        <f t="array" ref="U151">_xlfn.ANCHORARRAY(J151)+0.15</f>
        <v>3.15</v>
      </c>
      <c r="V151" cm="1">
        <f t="array" ref="V151">_xlfn.ANCHORARRAY(K151)+0.15</f>
        <v>3.65</v>
      </c>
      <c r="W151">
        <f>TBL_TEV[[#This Row],[Etica Rendita Bilanciata]]</f>
        <v>1.467916</v>
      </c>
      <c r="X151">
        <f>TBL_TEV[[#This Row],[Etica Obbligazionario Breve Termine]]</f>
        <v>0.27955000000000002</v>
      </c>
      <c r="Y151">
        <f>TBL_TEV[[#This Row],[Etica Obbligazionario Misto]]</f>
        <v>0.79086800000000002</v>
      </c>
      <c r="Z151">
        <f>TBL_TEV[[#This Row],[Etica Bilanciato]]</f>
        <v>2.1243270000000001</v>
      </c>
      <c r="AA151">
        <f>TBL_TEV[[#This Row],[Etica Azionario]]</f>
        <v>3.0058379999999998</v>
      </c>
      <c r="AB151">
        <f>TBL_TEV[[#This Row],[Etica Transizione Climatica]]</f>
        <v>2.435308</v>
      </c>
      <c r="AC151">
        <f>TBL_TEV[[#This Row],[Etica Obiettivo Sociale]]</f>
        <v>7.6912823241105759</v>
      </c>
      <c r="AD151">
        <f>TBL_TEV[[#This Row],[Etica Conservative Allocation]]</f>
        <v>0.42306099999999902</v>
      </c>
      <c r="AE151">
        <f>TBL_TEV[[#This Row],[Etica Dynamic Allocation]]</f>
        <v>1.5166379999999899</v>
      </c>
      <c r="AF151">
        <f>TBL_TEV[[#This Row],[Etica Global Equity]]</f>
        <v>2.8758360000000001</v>
      </c>
      <c r="AL151">
        <f ca="1"/>
        <v>1.5852280000000001</v>
      </c>
      <c r="AM151">
        <f ca="1"/>
        <v>0.33368199999999998</v>
      </c>
      <c r="AN151">
        <f ca="1"/>
        <v>0.78896299999999997</v>
      </c>
      <c r="AO151">
        <f ca="1"/>
        <v>2.2335430000000001</v>
      </c>
      <c r="AP151">
        <f ca="1"/>
        <v>3.2063329999999999</v>
      </c>
      <c r="AQ151">
        <f ca="1"/>
        <v>2.5019809999999998</v>
      </c>
      <c r="AR151">
        <f ca="1"/>
        <v>7.5548637393167031</v>
      </c>
      <c r="AS151">
        <f ca="1"/>
        <v>0.41877499999999901</v>
      </c>
      <c r="AT151">
        <f ca="1"/>
        <v>1.49965199999999</v>
      </c>
      <c r="AU151">
        <f ca="1"/>
        <v>2.8666290000000001</v>
      </c>
    </row>
    <row r="152" spans="1:47">
      <c r="A152" s="43">
        <f>TBL_TEV[[#This Row],[Data2]]</f>
        <v>45504</v>
      </c>
      <c r="B152" cm="1">
        <f t="array" ref="B152">_xlfn.XLOOKUP(_xlfn.ANCHORARRAY(A152), TBL_Limiti_CDA[Data], TBL_Limiti_CDA[Etica Rendita Bilanciata], , -1)</f>
        <v>2.5</v>
      </c>
      <c r="C152" cm="1">
        <f t="array" ref="C152">_xlfn.XLOOKUP(_xlfn.ANCHORARRAY(A152), TBL_Limiti_CDA[Data], TBL_Limiti_CDA[Etica Obbligazionario Breve Termine], , -1)</f>
        <v>0.5</v>
      </c>
      <c r="D152" cm="1">
        <f t="array" ref="D152">_xlfn.XLOOKUP(_xlfn.ANCHORARRAY(A152), TBL_Limiti_CDA[Data], TBL_Limiti_CDA[Etica Obbligazionario Misto], , -1)</f>
        <v>1.5</v>
      </c>
      <c r="E152" cm="1">
        <f t="array" ref="E152">_xlfn.XLOOKUP(_xlfn.ANCHORARRAY(A152), TBL_Limiti_CDA[Data], TBL_Limiti_CDA[Etica Bilanciato], , -1)</f>
        <v>3</v>
      </c>
      <c r="F152" cm="1">
        <f t="array" ref="F152">_xlfn.XLOOKUP(_xlfn.ANCHORARRAY(A152), TBL_Limiti_CDA[Data], TBL_Limiti_CDA[Etica Azionario], , -1)</f>
        <v>3.5</v>
      </c>
      <c r="G152" cm="1">
        <f t="array" ref="G152">_xlfn.XLOOKUP(_xlfn.ANCHORARRAY(A152), TBL_Limiti_CDA[Data], TBL_Limiti_CDA[Etica Transizione Climatica], , -1)</f>
        <v>2.75</v>
      </c>
      <c r="H152" cm="1">
        <f t="array" ref="H152">_xlfn.XLOOKUP(_xlfn.ANCHORARRAY(A152), TBL_Limiti_CDA[Data], TBL_Limiti_CDA[Etica Obiettivo Sociale], , -1)</f>
        <v>7.49</v>
      </c>
      <c r="I152" cm="1">
        <f t="array" ref="I152">_xlfn.XLOOKUP(_xlfn.ANCHORARRAY(A152), TBL_Limiti_CDA[Data], TBL_Limiti_CDA[Etica Conservative Allocation], , -1)</f>
        <v>1.5</v>
      </c>
      <c r="J152" cm="1">
        <f t="array" ref="J152">_xlfn.XLOOKUP(_xlfn.ANCHORARRAY(A152), TBL_Limiti_CDA[Data], TBL_Limiti_CDA[Etica Dynamic Allocation], , -1)</f>
        <v>3</v>
      </c>
      <c r="K152" cm="1">
        <f t="array" ref="K152">_xlfn.XLOOKUP(_xlfn.ANCHORARRAY(A152), TBL_Limiti_CDA[Data], TBL_Limiti_CDA[Etica Global Equity], , -1)</f>
        <v>3.5</v>
      </c>
      <c r="L152" cm="1">
        <f t="array" ref="L152">_xlfn.ANCHORARRAY(B152)+0.15</f>
        <v>2.65</v>
      </c>
      <c r="M152" cm="1">
        <f t="array" ref="M152">_xlfn.ANCHORARRAY(C152)+0.1</f>
        <v>0.6</v>
      </c>
      <c r="N152" cm="1">
        <f t="array" ref="N152">_xlfn.ANCHORARRAY(D152)+0.15</f>
        <v>1.65</v>
      </c>
      <c r="O152" cm="1">
        <f t="array" ref="O152">_xlfn.ANCHORARRAY(E152)+0.15</f>
        <v>3.15</v>
      </c>
      <c r="P152" cm="1">
        <f t="array" ref="P152">_xlfn.ANCHORARRAY(F152)+0.15</f>
        <v>3.65</v>
      </c>
      <c r="Q152" cm="1">
        <f t="array" ref="Q152">_xlfn.ANCHORARRAY(G152)+0.15</f>
        <v>2.9</v>
      </c>
      <c r="R152" cm="1">
        <f t="array" ref="R152">_xlfn.ANCHORARRAY(H152)</f>
        <v>7.49</v>
      </c>
      <c r="S152" cm="1">
        <f t="array" ref="S152">_xlfn.ANCHORARRAY(R152)+0.15</f>
        <v>7.6400000000000006</v>
      </c>
      <c r="T152" cm="1">
        <f t="array" ref="T152">_xlfn.ANCHORARRAY(I152)+0.15</f>
        <v>1.65</v>
      </c>
      <c r="U152" cm="1">
        <f t="array" ref="U152">_xlfn.ANCHORARRAY(J152)+0.15</f>
        <v>3.15</v>
      </c>
      <c r="V152" cm="1">
        <f t="array" ref="V152">_xlfn.ANCHORARRAY(K152)+0.15</f>
        <v>3.65</v>
      </c>
      <c r="W152">
        <f>TBL_TEV[[#This Row],[Etica Rendita Bilanciata]]</f>
        <v>1.5852280000000001</v>
      </c>
      <c r="X152">
        <f>TBL_TEV[[#This Row],[Etica Obbligazionario Breve Termine]]</f>
        <v>0.33368199999999998</v>
      </c>
      <c r="Y152">
        <f>TBL_TEV[[#This Row],[Etica Obbligazionario Misto]]</f>
        <v>0.78896299999999997</v>
      </c>
      <c r="Z152">
        <f>TBL_TEV[[#This Row],[Etica Bilanciato]]</f>
        <v>2.2335430000000001</v>
      </c>
      <c r="AA152">
        <f>TBL_TEV[[#This Row],[Etica Azionario]]</f>
        <v>3.2063329999999999</v>
      </c>
      <c r="AB152">
        <f>TBL_TEV[[#This Row],[Etica Transizione Climatica]]</f>
        <v>2.5019809999999998</v>
      </c>
      <c r="AC152">
        <f>TBL_TEV[[#This Row],[Etica Obiettivo Sociale]]</f>
        <v>7.5548637393167031</v>
      </c>
      <c r="AD152">
        <f>TBL_TEV[[#This Row],[Etica Conservative Allocation]]</f>
        <v>0.41877499999999901</v>
      </c>
      <c r="AE152">
        <f>TBL_TEV[[#This Row],[Etica Dynamic Allocation]]</f>
        <v>1.49965199999999</v>
      </c>
      <c r="AF152">
        <f>TBL_TEV[[#This Row],[Etica Global Equity]]</f>
        <v>2.8666290000000001</v>
      </c>
      <c r="AL152">
        <f ca="1"/>
        <v>1.497601</v>
      </c>
      <c r="AM152">
        <f ca="1"/>
        <v>0.33400000000000002</v>
      </c>
      <c r="AN152">
        <f ca="1"/>
        <v>0.68085799999999996</v>
      </c>
      <c r="AO152">
        <f ca="1"/>
        <v>2.1852849999999999</v>
      </c>
      <c r="AP152">
        <f ca="1"/>
        <v>3.1564869999999998</v>
      </c>
      <c r="AQ152">
        <f ca="1"/>
        <v>2.4945200000000001</v>
      </c>
      <c r="AR152">
        <f ca="1"/>
        <v>7.5573549246942049</v>
      </c>
      <c r="AS152">
        <f ca="1"/>
        <v>0.414488999999999</v>
      </c>
      <c r="AT152">
        <f ca="1"/>
        <v>1.48266599999999</v>
      </c>
      <c r="AU152">
        <f ca="1"/>
        <v>2.8574220000000001</v>
      </c>
    </row>
    <row r="153" spans="1:47">
      <c r="A153" s="43">
        <f>TBL_TEV[[#This Row],[Data2]]</f>
        <v>45505</v>
      </c>
      <c r="B153" cm="1">
        <f t="array" ref="B153">_xlfn.XLOOKUP(_xlfn.ANCHORARRAY(A153), TBL_Limiti_CDA[Data], TBL_Limiti_CDA[Etica Rendita Bilanciata], , -1)</f>
        <v>2.5</v>
      </c>
      <c r="C153" cm="1">
        <f t="array" ref="C153">_xlfn.XLOOKUP(_xlfn.ANCHORARRAY(A153), TBL_Limiti_CDA[Data], TBL_Limiti_CDA[Etica Obbligazionario Breve Termine], , -1)</f>
        <v>0.5</v>
      </c>
      <c r="D153" cm="1">
        <f t="array" ref="D153">_xlfn.XLOOKUP(_xlfn.ANCHORARRAY(A153), TBL_Limiti_CDA[Data], TBL_Limiti_CDA[Etica Obbligazionario Misto], , -1)</f>
        <v>1.5</v>
      </c>
      <c r="E153" cm="1">
        <f t="array" ref="E153">_xlfn.XLOOKUP(_xlfn.ANCHORARRAY(A153), TBL_Limiti_CDA[Data], TBL_Limiti_CDA[Etica Bilanciato], , -1)</f>
        <v>3</v>
      </c>
      <c r="F153" cm="1">
        <f t="array" ref="F153">_xlfn.XLOOKUP(_xlfn.ANCHORARRAY(A153), TBL_Limiti_CDA[Data], TBL_Limiti_CDA[Etica Azionario], , -1)</f>
        <v>3.5</v>
      </c>
      <c r="G153" cm="1">
        <f t="array" ref="G153">_xlfn.XLOOKUP(_xlfn.ANCHORARRAY(A153), TBL_Limiti_CDA[Data], TBL_Limiti_CDA[Etica Transizione Climatica], , -1)</f>
        <v>2.75</v>
      </c>
      <c r="H153" cm="1">
        <f t="array" ref="H153">_xlfn.XLOOKUP(_xlfn.ANCHORARRAY(A153), TBL_Limiti_CDA[Data], TBL_Limiti_CDA[Etica Obiettivo Sociale], , -1)</f>
        <v>7.49</v>
      </c>
      <c r="I153" cm="1">
        <f t="array" ref="I153">_xlfn.XLOOKUP(_xlfn.ANCHORARRAY(A153), TBL_Limiti_CDA[Data], TBL_Limiti_CDA[Etica Conservative Allocation], , -1)</f>
        <v>1.5</v>
      </c>
      <c r="J153" cm="1">
        <f t="array" ref="J153">_xlfn.XLOOKUP(_xlfn.ANCHORARRAY(A153), TBL_Limiti_CDA[Data], TBL_Limiti_CDA[Etica Dynamic Allocation], , -1)</f>
        <v>3</v>
      </c>
      <c r="K153" cm="1">
        <f t="array" ref="K153">_xlfn.XLOOKUP(_xlfn.ANCHORARRAY(A153), TBL_Limiti_CDA[Data], TBL_Limiti_CDA[Etica Global Equity], , -1)</f>
        <v>3.5</v>
      </c>
      <c r="L153" cm="1">
        <f t="array" ref="L153">_xlfn.ANCHORARRAY(B153)+0.15</f>
        <v>2.65</v>
      </c>
      <c r="M153" cm="1">
        <f t="array" ref="M153">_xlfn.ANCHORARRAY(C153)+0.1</f>
        <v>0.6</v>
      </c>
      <c r="N153" cm="1">
        <f t="array" ref="N153">_xlfn.ANCHORARRAY(D153)+0.15</f>
        <v>1.65</v>
      </c>
      <c r="O153" cm="1">
        <f t="array" ref="O153">_xlfn.ANCHORARRAY(E153)+0.15</f>
        <v>3.15</v>
      </c>
      <c r="P153" cm="1">
        <f t="array" ref="P153">_xlfn.ANCHORARRAY(F153)+0.15</f>
        <v>3.65</v>
      </c>
      <c r="Q153" cm="1">
        <f t="array" ref="Q153">_xlfn.ANCHORARRAY(G153)+0.15</f>
        <v>2.9</v>
      </c>
      <c r="R153" cm="1">
        <f t="array" ref="R153">_xlfn.ANCHORARRAY(H153)</f>
        <v>7.49</v>
      </c>
      <c r="S153" cm="1">
        <f t="array" ref="S153">_xlfn.ANCHORARRAY(R153)+0.15</f>
        <v>7.6400000000000006</v>
      </c>
      <c r="T153" cm="1">
        <f t="array" ref="T153">_xlfn.ANCHORARRAY(I153)+0.15</f>
        <v>1.65</v>
      </c>
      <c r="U153" cm="1">
        <f t="array" ref="U153">_xlfn.ANCHORARRAY(J153)+0.15</f>
        <v>3.15</v>
      </c>
      <c r="V153" cm="1">
        <f t="array" ref="V153">_xlfn.ANCHORARRAY(K153)+0.15</f>
        <v>3.65</v>
      </c>
      <c r="W153">
        <f>TBL_TEV[[#This Row],[Etica Rendita Bilanciata]]</f>
        <v>1.497601</v>
      </c>
      <c r="X153">
        <f>TBL_TEV[[#This Row],[Etica Obbligazionario Breve Termine]]</f>
        <v>0.33400000000000002</v>
      </c>
      <c r="Y153">
        <f>TBL_TEV[[#This Row],[Etica Obbligazionario Misto]]</f>
        <v>0.68085799999999996</v>
      </c>
      <c r="Z153">
        <f>TBL_TEV[[#This Row],[Etica Bilanciato]]</f>
        <v>2.1852849999999999</v>
      </c>
      <c r="AA153">
        <f>TBL_TEV[[#This Row],[Etica Azionario]]</f>
        <v>3.1564869999999998</v>
      </c>
      <c r="AB153">
        <f>TBL_TEV[[#This Row],[Etica Transizione Climatica]]</f>
        <v>2.4945200000000001</v>
      </c>
      <c r="AC153">
        <f>TBL_TEV[[#This Row],[Etica Obiettivo Sociale]]</f>
        <v>7.5573549246942049</v>
      </c>
      <c r="AD153">
        <f>TBL_TEV[[#This Row],[Etica Conservative Allocation]]</f>
        <v>0.414488999999999</v>
      </c>
      <c r="AE153">
        <f>TBL_TEV[[#This Row],[Etica Dynamic Allocation]]</f>
        <v>1.48266599999999</v>
      </c>
      <c r="AF153">
        <f>TBL_TEV[[#This Row],[Etica Global Equity]]</f>
        <v>2.8574220000000001</v>
      </c>
      <c r="AL153">
        <f ca="1"/>
        <v>1.466963</v>
      </c>
      <c r="AM153">
        <f ca="1"/>
        <v>0.34606399999999998</v>
      </c>
      <c r="AN153">
        <f ca="1"/>
        <v>0.67974599999999996</v>
      </c>
      <c r="AO153">
        <f ca="1"/>
        <v>2.1498849999999998</v>
      </c>
      <c r="AP153">
        <f ca="1"/>
        <v>3.1123560000000001</v>
      </c>
      <c r="AQ153">
        <f ca="1"/>
        <v>2.4870589999999999</v>
      </c>
      <c r="AR153">
        <f ca="1"/>
        <v>7.5672671981121598</v>
      </c>
      <c r="AS153">
        <f ca="1"/>
        <v>0.41020299999999899</v>
      </c>
      <c r="AT153">
        <f ca="1"/>
        <v>1.4656799999999901</v>
      </c>
      <c r="AU153">
        <f ca="1"/>
        <v>2.8482150000000002</v>
      </c>
    </row>
    <row r="154" spans="1:47">
      <c r="A154" s="43">
        <f>TBL_TEV[[#This Row],[Data2]]</f>
        <v>45506</v>
      </c>
      <c r="B154" cm="1">
        <f t="array" ref="B154">_xlfn.XLOOKUP(_xlfn.ANCHORARRAY(A154), TBL_Limiti_CDA[Data], TBL_Limiti_CDA[Etica Rendita Bilanciata], , -1)</f>
        <v>2.5</v>
      </c>
      <c r="C154" cm="1">
        <f t="array" ref="C154">_xlfn.XLOOKUP(_xlfn.ANCHORARRAY(A154), TBL_Limiti_CDA[Data], TBL_Limiti_CDA[Etica Obbligazionario Breve Termine], , -1)</f>
        <v>0.5</v>
      </c>
      <c r="D154" cm="1">
        <f t="array" ref="D154">_xlfn.XLOOKUP(_xlfn.ANCHORARRAY(A154), TBL_Limiti_CDA[Data], TBL_Limiti_CDA[Etica Obbligazionario Misto], , -1)</f>
        <v>1.5</v>
      </c>
      <c r="E154" cm="1">
        <f t="array" ref="E154">_xlfn.XLOOKUP(_xlfn.ANCHORARRAY(A154), TBL_Limiti_CDA[Data], TBL_Limiti_CDA[Etica Bilanciato], , -1)</f>
        <v>3</v>
      </c>
      <c r="F154" cm="1">
        <f t="array" ref="F154">_xlfn.XLOOKUP(_xlfn.ANCHORARRAY(A154), TBL_Limiti_CDA[Data], TBL_Limiti_CDA[Etica Azionario], , -1)</f>
        <v>3.5</v>
      </c>
      <c r="G154" cm="1">
        <f t="array" ref="G154">_xlfn.XLOOKUP(_xlfn.ANCHORARRAY(A154), TBL_Limiti_CDA[Data], TBL_Limiti_CDA[Etica Transizione Climatica], , -1)</f>
        <v>2.75</v>
      </c>
      <c r="H154" cm="1">
        <f t="array" ref="H154">_xlfn.XLOOKUP(_xlfn.ANCHORARRAY(A154), TBL_Limiti_CDA[Data], TBL_Limiti_CDA[Etica Obiettivo Sociale], , -1)</f>
        <v>7.49</v>
      </c>
      <c r="I154" cm="1">
        <f t="array" ref="I154">_xlfn.XLOOKUP(_xlfn.ANCHORARRAY(A154), TBL_Limiti_CDA[Data], TBL_Limiti_CDA[Etica Conservative Allocation], , -1)</f>
        <v>1.5</v>
      </c>
      <c r="J154" cm="1">
        <f t="array" ref="J154">_xlfn.XLOOKUP(_xlfn.ANCHORARRAY(A154), TBL_Limiti_CDA[Data], TBL_Limiti_CDA[Etica Dynamic Allocation], , -1)</f>
        <v>3</v>
      </c>
      <c r="K154" cm="1">
        <f t="array" ref="K154">_xlfn.XLOOKUP(_xlfn.ANCHORARRAY(A154), TBL_Limiti_CDA[Data], TBL_Limiti_CDA[Etica Global Equity], , -1)</f>
        <v>3.5</v>
      </c>
      <c r="L154" cm="1">
        <f t="array" ref="L154">_xlfn.ANCHORARRAY(B154)+0.15</f>
        <v>2.65</v>
      </c>
      <c r="M154" cm="1">
        <f t="array" ref="M154">_xlfn.ANCHORARRAY(C154)+0.1</f>
        <v>0.6</v>
      </c>
      <c r="N154" cm="1">
        <f t="array" ref="N154">_xlfn.ANCHORARRAY(D154)+0.15</f>
        <v>1.65</v>
      </c>
      <c r="O154" cm="1">
        <f t="array" ref="O154">_xlfn.ANCHORARRAY(E154)+0.15</f>
        <v>3.15</v>
      </c>
      <c r="P154" cm="1">
        <f t="array" ref="P154">_xlfn.ANCHORARRAY(F154)+0.15</f>
        <v>3.65</v>
      </c>
      <c r="Q154" cm="1">
        <f t="array" ref="Q154">_xlfn.ANCHORARRAY(G154)+0.15</f>
        <v>2.9</v>
      </c>
      <c r="R154" cm="1">
        <f t="array" ref="R154">_xlfn.ANCHORARRAY(H154)</f>
        <v>7.49</v>
      </c>
      <c r="S154" cm="1">
        <f t="array" ref="S154">_xlfn.ANCHORARRAY(R154)+0.15</f>
        <v>7.6400000000000006</v>
      </c>
      <c r="T154" cm="1">
        <f t="array" ref="T154">_xlfn.ANCHORARRAY(I154)+0.15</f>
        <v>1.65</v>
      </c>
      <c r="U154" cm="1">
        <f t="array" ref="U154">_xlfn.ANCHORARRAY(J154)+0.15</f>
        <v>3.15</v>
      </c>
      <c r="V154" cm="1">
        <f t="array" ref="V154">_xlfn.ANCHORARRAY(K154)+0.15</f>
        <v>3.65</v>
      </c>
      <c r="W154">
        <f>TBL_TEV[[#This Row],[Etica Rendita Bilanciata]]</f>
        <v>1.466963</v>
      </c>
      <c r="X154">
        <f>TBL_TEV[[#This Row],[Etica Obbligazionario Breve Termine]]</f>
        <v>0.34606399999999998</v>
      </c>
      <c r="Y154">
        <f>TBL_TEV[[#This Row],[Etica Obbligazionario Misto]]</f>
        <v>0.67974599999999996</v>
      </c>
      <c r="Z154">
        <f>TBL_TEV[[#This Row],[Etica Bilanciato]]</f>
        <v>2.1498849999999998</v>
      </c>
      <c r="AA154">
        <f>TBL_TEV[[#This Row],[Etica Azionario]]</f>
        <v>3.1123560000000001</v>
      </c>
      <c r="AB154">
        <f>TBL_TEV[[#This Row],[Etica Transizione Climatica]]</f>
        <v>2.4870589999999999</v>
      </c>
      <c r="AC154">
        <f>TBL_TEV[[#This Row],[Etica Obiettivo Sociale]]</f>
        <v>7.5672671981121598</v>
      </c>
      <c r="AD154">
        <f>TBL_TEV[[#This Row],[Etica Conservative Allocation]]</f>
        <v>0.41020299999999899</v>
      </c>
      <c r="AE154">
        <f>TBL_TEV[[#This Row],[Etica Dynamic Allocation]]</f>
        <v>1.4656799999999901</v>
      </c>
      <c r="AF154">
        <f>TBL_TEV[[#This Row],[Etica Global Equity]]</f>
        <v>2.8482150000000002</v>
      </c>
      <c r="AL154">
        <f ca="1"/>
        <v>1.4366429999999999</v>
      </c>
      <c r="AM154">
        <f ca="1"/>
        <v>0.34908</v>
      </c>
      <c r="AN154">
        <f ca="1"/>
        <v>0.682921</v>
      </c>
      <c r="AO154">
        <f ca="1"/>
        <v>2.124962</v>
      </c>
      <c r="AP154">
        <f ca="1"/>
        <v>3.1039430000000001</v>
      </c>
      <c r="AQ154">
        <f ca="1"/>
        <v>2.4341970000000002</v>
      </c>
      <c r="AR154">
        <f ca="1"/>
        <v>7.7653740971011427</v>
      </c>
      <c r="AS154">
        <f ca="1"/>
        <v>0.40591699999999897</v>
      </c>
      <c r="AT154">
        <f ca="1"/>
        <v>1.4486939999999899</v>
      </c>
      <c r="AU154">
        <f ca="1"/>
        <v>2.8390080000000002</v>
      </c>
    </row>
    <row r="155" spans="1:47">
      <c r="A155" s="43">
        <f>TBL_TEV[[#This Row],[Data2]]</f>
        <v>45509</v>
      </c>
      <c r="B155" cm="1">
        <f t="array" ref="B155">_xlfn.XLOOKUP(_xlfn.ANCHORARRAY(A155), TBL_Limiti_CDA[Data], TBL_Limiti_CDA[Etica Rendita Bilanciata], , -1)</f>
        <v>2.5</v>
      </c>
      <c r="C155" cm="1">
        <f t="array" ref="C155">_xlfn.XLOOKUP(_xlfn.ANCHORARRAY(A155), TBL_Limiti_CDA[Data], TBL_Limiti_CDA[Etica Obbligazionario Breve Termine], , -1)</f>
        <v>0.5</v>
      </c>
      <c r="D155" cm="1">
        <f t="array" ref="D155">_xlfn.XLOOKUP(_xlfn.ANCHORARRAY(A155), TBL_Limiti_CDA[Data], TBL_Limiti_CDA[Etica Obbligazionario Misto], , -1)</f>
        <v>1.5</v>
      </c>
      <c r="E155" cm="1">
        <f t="array" ref="E155">_xlfn.XLOOKUP(_xlfn.ANCHORARRAY(A155), TBL_Limiti_CDA[Data], TBL_Limiti_CDA[Etica Bilanciato], , -1)</f>
        <v>3</v>
      </c>
      <c r="F155" cm="1">
        <f t="array" ref="F155">_xlfn.XLOOKUP(_xlfn.ANCHORARRAY(A155), TBL_Limiti_CDA[Data], TBL_Limiti_CDA[Etica Azionario], , -1)</f>
        <v>3.5</v>
      </c>
      <c r="G155" cm="1">
        <f t="array" ref="G155">_xlfn.XLOOKUP(_xlfn.ANCHORARRAY(A155), TBL_Limiti_CDA[Data], TBL_Limiti_CDA[Etica Transizione Climatica], , -1)</f>
        <v>2.75</v>
      </c>
      <c r="H155" cm="1">
        <f t="array" ref="H155">_xlfn.XLOOKUP(_xlfn.ANCHORARRAY(A155), TBL_Limiti_CDA[Data], TBL_Limiti_CDA[Etica Obiettivo Sociale], , -1)</f>
        <v>7.49</v>
      </c>
      <c r="I155" cm="1">
        <f t="array" ref="I155">_xlfn.XLOOKUP(_xlfn.ANCHORARRAY(A155), TBL_Limiti_CDA[Data], TBL_Limiti_CDA[Etica Conservative Allocation], , -1)</f>
        <v>1.5</v>
      </c>
      <c r="J155" cm="1">
        <f t="array" ref="J155">_xlfn.XLOOKUP(_xlfn.ANCHORARRAY(A155), TBL_Limiti_CDA[Data], TBL_Limiti_CDA[Etica Dynamic Allocation], , -1)</f>
        <v>3</v>
      </c>
      <c r="K155" cm="1">
        <f t="array" ref="K155">_xlfn.XLOOKUP(_xlfn.ANCHORARRAY(A155), TBL_Limiti_CDA[Data], TBL_Limiti_CDA[Etica Global Equity], , -1)</f>
        <v>3.5</v>
      </c>
      <c r="L155" cm="1">
        <f t="array" ref="L155">_xlfn.ANCHORARRAY(B155)+0.15</f>
        <v>2.65</v>
      </c>
      <c r="M155" cm="1">
        <f t="array" ref="M155">_xlfn.ANCHORARRAY(C155)+0.1</f>
        <v>0.6</v>
      </c>
      <c r="N155" cm="1">
        <f t="array" ref="N155">_xlfn.ANCHORARRAY(D155)+0.15</f>
        <v>1.65</v>
      </c>
      <c r="O155" cm="1">
        <f t="array" ref="O155">_xlfn.ANCHORARRAY(E155)+0.15</f>
        <v>3.15</v>
      </c>
      <c r="P155" cm="1">
        <f t="array" ref="P155">_xlfn.ANCHORARRAY(F155)+0.15</f>
        <v>3.65</v>
      </c>
      <c r="Q155" cm="1">
        <f t="array" ref="Q155">_xlfn.ANCHORARRAY(G155)+0.15</f>
        <v>2.9</v>
      </c>
      <c r="R155" cm="1">
        <f t="array" ref="R155">_xlfn.ANCHORARRAY(H155)</f>
        <v>7.49</v>
      </c>
      <c r="S155" cm="1">
        <f t="array" ref="S155">_xlfn.ANCHORARRAY(R155)+0.15</f>
        <v>7.6400000000000006</v>
      </c>
      <c r="T155" cm="1">
        <f t="array" ref="T155">_xlfn.ANCHORARRAY(I155)+0.15</f>
        <v>1.65</v>
      </c>
      <c r="U155" cm="1">
        <f t="array" ref="U155">_xlfn.ANCHORARRAY(J155)+0.15</f>
        <v>3.15</v>
      </c>
      <c r="V155" cm="1">
        <f t="array" ref="V155">_xlfn.ANCHORARRAY(K155)+0.15</f>
        <v>3.65</v>
      </c>
      <c r="W155">
        <f>TBL_TEV[[#This Row],[Etica Rendita Bilanciata]]</f>
        <v>1.4366429999999999</v>
      </c>
      <c r="X155">
        <f>TBL_TEV[[#This Row],[Etica Obbligazionario Breve Termine]]</f>
        <v>0.34908</v>
      </c>
      <c r="Y155">
        <f>TBL_TEV[[#This Row],[Etica Obbligazionario Misto]]</f>
        <v>0.682921</v>
      </c>
      <c r="Z155">
        <f>TBL_TEV[[#This Row],[Etica Bilanciato]]</f>
        <v>2.124962</v>
      </c>
      <c r="AA155">
        <f>TBL_TEV[[#This Row],[Etica Azionario]]</f>
        <v>3.1039430000000001</v>
      </c>
      <c r="AB155">
        <f>TBL_TEV[[#This Row],[Etica Transizione Climatica]]</f>
        <v>2.4341970000000002</v>
      </c>
      <c r="AC155">
        <f>TBL_TEV[[#This Row],[Etica Obiettivo Sociale]]</f>
        <v>7.7653740971011427</v>
      </c>
      <c r="AD155">
        <f>TBL_TEV[[#This Row],[Etica Conservative Allocation]]</f>
        <v>0.40591699999999897</v>
      </c>
      <c r="AE155">
        <f>TBL_TEV[[#This Row],[Etica Dynamic Allocation]]</f>
        <v>1.4486939999999899</v>
      </c>
      <c r="AF155">
        <f>TBL_TEV[[#This Row],[Etica Global Equity]]</f>
        <v>2.8390080000000002</v>
      </c>
      <c r="AL155">
        <f ca="1"/>
        <v>1.4777579999999999</v>
      </c>
      <c r="AM155">
        <f ca="1"/>
        <v>0.34765200000000002</v>
      </c>
      <c r="AN155">
        <f ca="1"/>
        <v>0.69816100000000003</v>
      </c>
      <c r="AO155">
        <f ca="1"/>
        <v>2.1811569999999998</v>
      </c>
      <c r="AP155">
        <f ca="1"/>
        <v>3.2015709999999999</v>
      </c>
      <c r="AQ155">
        <f ca="1"/>
        <v>2.4622950000000001</v>
      </c>
      <c r="AR155">
        <f ca="1"/>
        <v>8.053783222655392</v>
      </c>
      <c r="AS155">
        <f ca="1"/>
        <v>0.40163099999999902</v>
      </c>
      <c r="AT155">
        <f ca="1"/>
        <v>1.43170799999999</v>
      </c>
      <c r="AU155">
        <f ca="1"/>
        <v>2.8298009999999998</v>
      </c>
    </row>
    <row r="156" spans="1:47">
      <c r="A156" s="43">
        <f>TBL_TEV[[#This Row],[Data2]]</f>
        <v>45510</v>
      </c>
      <c r="B156" cm="1">
        <f t="array" ref="B156">_xlfn.XLOOKUP(_xlfn.ANCHORARRAY(A156), TBL_Limiti_CDA[Data], TBL_Limiti_CDA[Etica Rendita Bilanciata], , -1)</f>
        <v>2.5</v>
      </c>
      <c r="C156" cm="1">
        <f t="array" ref="C156">_xlfn.XLOOKUP(_xlfn.ANCHORARRAY(A156), TBL_Limiti_CDA[Data], TBL_Limiti_CDA[Etica Obbligazionario Breve Termine], , -1)</f>
        <v>0.5</v>
      </c>
      <c r="D156" cm="1">
        <f t="array" ref="D156">_xlfn.XLOOKUP(_xlfn.ANCHORARRAY(A156), TBL_Limiti_CDA[Data], TBL_Limiti_CDA[Etica Obbligazionario Misto], , -1)</f>
        <v>1.5</v>
      </c>
      <c r="E156" cm="1">
        <f t="array" ref="E156">_xlfn.XLOOKUP(_xlfn.ANCHORARRAY(A156), TBL_Limiti_CDA[Data], TBL_Limiti_CDA[Etica Bilanciato], , -1)</f>
        <v>3</v>
      </c>
      <c r="F156" cm="1">
        <f t="array" ref="F156">_xlfn.XLOOKUP(_xlfn.ANCHORARRAY(A156), TBL_Limiti_CDA[Data], TBL_Limiti_CDA[Etica Azionario], , -1)</f>
        <v>3.5</v>
      </c>
      <c r="G156" cm="1">
        <f t="array" ref="G156">_xlfn.XLOOKUP(_xlfn.ANCHORARRAY(A156), TBL_Limiti_CDA[Data], TBL_Limiti_CDA[Etica Transizione Climatica], , -1)</f>
        <v>2.75</v>
      </c>
      <c r="H156" cm="1">
        <f t="array" ref="H156">_xlfn.XLOOKUP(_xlfn.ANCHORARRAY(A156), TBL_Limiti_CDA[Data], TBL_Limiti_CDA[Etica Obiettivo Sociale], , -1)</f>
        <v>7.49</v>
      </c>
      <c r="I156" cm="1">
        <f t="array" ref="I156">_xlfn.XLOOKUP(_xlfn.ANCHORARRAY(A156), TBL_Limiti_CDA[Data], TBL_Limiti_CDA[Etica Conservative Allocation], , -1)</f>
        <v>1.5</v>
      </c>
      <c r="J156" cm="1">
        <f t="array" ref="J156">_xlfn.XLOOKUP(_xlfn.ANCHORARRAY(A156), TBL_Limiti_CDA[Data], TBL_Limiti_CDA[Etica Dynamic Allocation], , -1)</f>
        <v>3</v>
      </c>
      <c r="K156" cm="1">
        <f t="array" ref="K156">_xlfn.XLOOKUP(_xlfn.ANCHORARRAY(A156), TBL_Limiti_CDA[Data], TBL_Limiti_CDA[Etica Global Equity], , -1)</f>
        <v>3.5</v>
      </c>
      <c r="L156" cm="1">
        <f t="array" ref="L156">_xlfn.ANCHORARRAY(B156)+0.15</f>
        <v>2.65</v>
      </c>
      <c r="M156" cm="1">
        <f t="array" ref="M156">_xlfn.ANCHORARRAY(C156)+0.1</f>
        <v>0.6</v>
      </c>
      <c r="N156" cm="1">
        <f t="array" ref="N156">_xlfn.ANCHORARRAY(D156)+0.15</f>
        <v>1.65</v>
      </c>
      <c r="O156" cm="1">
        <f t="array" ref="O156">_xlfn.ANCHORARRAY(E156)+0.15</f>
        <v>3.15</v>
      </c>
      <c r="P156" cm="1">
        <f t="array" ref="P156">_xlfn.ANCHORARRAY(F156)+0.15</f>
        <v>3.65</v>
      </c>
      <c r="Q156" cm="1">
        <f t="array" ref="Q156">_xlfn.ANCHORARRAY(G156)+0.15</f>
        <v>2.9</v>
      </c>
      <c r="R156" cm="1">
        <f t="array" ref="R156">_xlfn.ANCHORARRAY(H156)</f>
        <v>7.49</v>
      </c>
      <c r="S156" cm="1">
        <f t="array" ref="S156">_xlfn.ANCHORARRAY(R156)+0.15</f>
        <v>7.6400000000000006</v>
      </c>
      <c r="T156" cm="1">
        <f t="array" ref="T156">_xlfn.ANCHORARRAY(I156)+0.15</f>
        <v>1.65</v>
      </c>
      <c r="U156" cm="1">
        <f t="array" ref="U156">_xlfn.ANCHORARRAY(J156)+0.15</f>
        <v>3.15</v>
      </c>
      <c r="V156" cm="1">
        <f t="array" ref="V156">_xlfn.ANCHORARRAY(K156)+0.15</f>
        <v>3.65</v>
      </c>
      <c r="W156">
        <f>TBL_TEV[[#This Row],[Etica Rendita Bilanciata]]</f>
        <v>1.4777579999999999</v>
      </c>
      <c r="X156">
        <f>TBL_TEV[[#This Row],[Etica Obbligazionario Breve Termine]]</f>
        <v>0.34765200000000002</v>
      </c>
      <c r="Y156">
        <f>TBL_TEV[[#This Row],[Etica Obbligazionario Misto]]</f>
        <v>0.69816100000000003</v>
      </c>
      <c r="Z156">
        <f>TBL_TEV[[#This Row],[Etica Bilanciato]]</f>
        <v>2.1811569999999998</v>
      </c>
      <c r="AA156">
        <f>TBL_TEV[[#This Row],[Etica Azionario]]</f>
        <v>3.2015709999999999</v>
      </c>
      <c r="AB156">
        <f>TBL_TEV[[#This Row],[Etica Transizione Climatica]]</f>
        <v>2.4622950000000001</v>
      </c>
      <c r="AC156">
        <f>TBL_TEV[[#This Row],[Etica Obiettivo Sociale]]</f>
        <v>8.053783222655392</v>
      </c>
      <c r="AD156">
        <f>TBL_TEV[[#This Row],[Etica Conservative Allocation]]</f>
        <v>0.40163099999999902</v>
      </c>
      <c r="AE156">
        <f>TBL_TEV[[#This Row],[Etica Dynamic Allocation]]</f>
        <v>1.43170799999999</v>
      </c>
      <c r="AF156">
        <f>TBL_TEV[[#This Row],[Etica Global Equity]]</f>
        <v>2.8298009999999998</v>
      </c>
      <c r="AL156">
        <f ca="1"/>
        <v>1.509666</v>
      </c>
      <c r="AM156">
        <f ca="1"/>
        <v>0.34860400000000002</v>
      </c>
      <c r="AN156">
        <f ca="1"/>
        <v>0.70832099999999998</v>
      </c>
      <c r="AO156">
        <f ca="1"/>
        <v>2.239258</v>
      </c>
      <c r="AP156">
        <f ca="1"/>
        <v>3.2704659999999999</v>
      </c>
      <c r="AQ156">
        <f ca="1"/>
        <v>2.4305460000000001</v>
      </c>
      <c r="AR156">
        <f ca="1"/>
        <v>7.9427921429789734</v>
      </c>
      <c r="AS156">
        <f ca="1"/>
        <v>0.397344999999999</v>
      </c>
      <c r="AT156">
        <f ca="1"/>
        <v>1.41472199999999</v>
      </c>
      <c r="AU156">
        <f ca="1"/>
        <v>2.8205939999999998</v>
      </c>
    </row>
    <row r="157" spans="1:47">
      <c r="A157" s="43">
        <f>TBL_TEV[[#This Row],[Data2]]</f>
        <v>45511</v>
      </c>
      <c r="B157" cm="1">
        <f t="array" ref="B157">_xlfn.XLOOKUP(_xlfn.ANCHORARRAY(A157), TBL_Limiti_CDA[Data], TBL_Limiti_CDA[Etica Rendita Bilanciata], , -1)</f>
        <v>2.5</v>
      </c>
      <c r="C157" cm="1">
        <f t="array" ref="C157">_xlfn.XLOOKUP(_xlfn.ANCHORARRAY(A157), TBL_Limiti_CDA[Data], TBL_Limiti_CDA[Etica Obbligazionario Breve Termine], , -1)</f>
        <v>0.5</v>
      </c>
      <c r="D157" cm="1">
        <f t="array" ref="D157">_xlfn.XLOOKUP(_xlfn.ANCHORARRAY(A157), TBL_Limiti_CDA[Data], TBL_Limiti_CDA[Etica Obbligazionario Misto], , -1)</f>
        <v>1.5</v>
      </c>
      <c r="E157" cm="1">
        <f t="array" ref="E157">_xlfn.XLOOKUP(_xlfn.ANCHORARRAY(A157), TBL_Limiti_CDA[Data], TBL_Limiti_CDA[Etica Bilanciato], , -1)</f>
        <v>3</v>
      </c>
      <c r="F157" cm="1">
        <f t="array" ref="F157">_xlfn.XLOOKUP(_xlfn.ANCHORARRAY(A157), TBL_Limiti_CDA[Data], TBL_Limiti_CDA[Etica Azionario], , -1)</f>
        <v>3.5</v>
      </c>
      <c r="G157" cm="1">
        <f t="array" ref="G157">_xlfn.XLOOKUP(_xlfn.ANCHORARRAY(A157), TBL_Limiti_CDA[Data], TBL_Limiti_CDA[Etica Transizione Climatica], , -1)</f>
        <v>2.75</v>
      </c>
      <c r="H157" cm="1">
        <f t="array" ref="H157">_xlfn.XLOOKUP(_xlfn.ANCHORARRAY(A157), TBL_Limiti_CDA[Data], TBL_Limiti_CDA[Etica Obiettivo Sociale], , -1)</f>
        <v>7.49</v>
      </c>
      <c r="I157" cm="1">
        <f t="array" ref="I157">_xlfn.XLOOKUP(_xlfn.ANCHORARRAY(A157), TBL_Limiti_CDA[Data], TBL_Limiti_CDA[Etica Conservative Allocation], , -1)</f>
        <v>1.5</v>
      </c>
      <c r="J157" cm="1">
        <f t="array" ref="J157">_xlfn.XLOOKUP(_xlfn.ANCHORARRAY(A157), TBL_Limiti_CDA[Data], TBL_Limiti_CDA[Etica Dynamic Allocation], , -1)</f>
        <v>3</v>
      </c>
      <c r="K157" cm="1">
        <f t="array" ref="K157">_xlfn.XLOOKUP(_xlfn.ANCHORARRAY(A157), TBL_Limiti_CDA[Data], TBL_Limiti_CDA[Etica Global Equity], , -1)</f>
        <v>3.5</v>
      </c>
      <c r="L157" cm="1">
        <f t="array" ref="L157">_xlfn.ANCHORARRAY(B157)+0.15</f>
        <v>2.65</v>
      </c>
      <c r="M157" cm="1">
        <f t="array" ref="M157">_xlfn.ANCHORARRAY(C157)+0.1</f>
        <v>0.6</v>
      </c>
      <c r="N157" cm="1">
        <f t="array" ref="N157">_xlfn.ANCHORARRAY(D157)+0.15</f>
        <v>1.65</v>
      </c>
      <c r="O157" cm="1">
        <f t="array" ref="O157">_xlfn.ANCHORARRAY(E157)+0.15</f>
        <v>3.15</v>
      </c>
      <c r="P157" cm="1">
        <f t="array" ref="P157">_xlfn.ANCHORARRAY(F157)+0.15</f>
        <v>3.65</v>
      </c>
      <c r="Q157" cm="1">
        <f t="array" ref="Q157">_xlfn.ANCHORARRAY(G157)+0.15</f>
        <v>2.9</v>
      </c>
      <c r="R157" cm="1">
        <f t="array" ref="R157">_xlfn.ANCHORARRAY(H157)</f>
        <v>7.49</v>
      </c>
      <c r="S157" cm="1">
        <f t="array" ref="S157">_xlfn.ANCHORARRAY(R157)+0.15</f>
        <v>7.6400000000000006</v>
      </c>
      <c r="T157" cm="1">
        <f t="array" ref="T157">_xlfn.ANCHORARRAY(I157)+0.15</f>
        <v>1.65</v>
      </c>
      <c r="U157" cm="1">
        <f t="array" ref="U157">_xlfn.ANCHORARRAY(J157)+0.15</f>
        <v>3.15</v>
      </c>
      <c r="V157" cm="1">
        <f t="array" ref="V157">_xlfn.ANCHORARRAY(K157)+0.15</f>
        <v>3.65</v>
      </c>
      <c r="W157">
        <f>TBL_TEV[[#This Row],[Etica Rendita Bilanciata]]</f>
        <v>1.509666</v>
      </c>
      <c r="X157">
        <f>TBL_TEV[[#This Row],[Etica Obbligazionario Breve Termine]]</f>
        <v>0.34860400000000002</v>
      </c>
      <c r="Y157">
        <f>TBL_TEV[[#This Row],[Etica Obbligazionario Misto]]</f>
        <v>0.70832099999999998</v>
      </c>
      <c r="Z157">
        <f>TBL_TEV[[#This Row],[Etica Bilanciato]]</f>
        <v>2.239258</v>
      </c>
      <c r="AA157">
        <f>TBL_TEV[[#This Row],[Etica Azionario]]</f>
        <v>3.2704659999999999</v>
      </c>
      <c r="AB157">
        <f>TBL_TEV[[#This Row],[Etica Transizione Climatica]]</f>
        <v>2.4305460000000001</v>
      </c>
      <c r="AC157">
        <f>TBL_TEV[[#This Row],[Etica Obiettivo Sociale]]</f>
        <v>7.9427921429789734</v>
      </c>
      <c r="AD157">
        <f>TBL_TEV[[#This Row],[Etica Conservative Allocation]]</f>
        <v>0.397344999999999</v>
      </c>
      <c r="AE157">
        <f>TBL_TEV[[#This Row],[Etica Dynamic Allocation]]</f>
        <v>1.41472199999999</v>
      </c>
      <c r="AF157">
        <f>TBL_TEV[[#This Row],[Etica Global Equity]]</f>
        <v>2.8205939999999998</v>
      </c>
      <c r="AL157">
        <f ca="1"/>
        <v>1.5222070000000001</v>
      </c>
      <c r="AM157">
        <f ca="1"/>
        <v>0.346858</v>
      </c>
      <c r="AN157">
        <f ca="1"/>
        <v>0.71070199999999994</v>
      </c>
      <c r="AO157">
        <f ca="1"/>
        <v>2.243862</v>
      </c>
      <c r="AP157">
        <f ca="1"/>
        <v>3.2669739999999998</v>
      </c>
      <c r="AQ157">
        <f ca="1"/>
        <v>2.482297</v>
      </c>
      <c r="AR157">
        <f ca="1"/>
        <v>8.2433568804668056</v>
      </c>
      <c r="AS157">
        <f ca="1"/>
        <v>0.39305899999999899</v>
      </c>
      <c r="AT157">
        <f ca="1"/>
        <v>1.3977359999999901</v>
      </c>
      <c r="AU157">
        <f ca="1"/>
        <v>2.8113869999999999</v>
      </c>
    </row>
    <row r="158" spans="1:47">
      <c r="A158" s="43">
        <f>TBL_TEV[[#This Row],[Data2]]</f>
        <v>45512</v>
      </c>
      <c r="B158" cm="1">
        <f t="array" ref="B158">_xlfn.XLOOKUP(_xlfn.ANCHORARRAY(A158), TBL_Limiti_CDA[Data], TBL_Limiti_CDA[Etica Rendita Bilanciata], , -1)</f>
        <v>2.5</v>
      </c>
      <c r="C158" cm="1">
        <f t="array" ref="C158">_xlfn.XLOOKUP(_xlfn.ANCHORARRAY(A158), TBL_Limiti_CDA[Data], TBL_Limiti_CDA[Etica Obbligazionario Breve Termine], , -1)</f>
        <v>0.5</v>
      </c>
      <c r="D158" cm="1">
        <f t="array" ref="D158">_xlfn.XLOOKUP(_xlfn.ANCHORARRAY(A158), TBL_Limiti_CDA[Data], TBL_Limiti_CDA[Etica Obbligazionario Misto], , -1)</f>
        <v>1.5</v>
      </c>
      <c r="E158" cm="1">
        <f t="array" ref="E158">_xlfn.XLOOKUP(_xlfn.ANCHORARRAY(A158), TBL_Limiti_CDA[Data], TBL_Limiti_CDA[Etica Bilanciato], , -1)</f>
        <v>3</v>
      </c>
      <c r="F158" cm="1">
        <f t="array" ref="F158">_xlfn.XLOOKUP(_xlfn.ANCHORARRAY(A158), TBL_Limiti_CDA[Data], TBL_Limiti_CDA[Etica Azionario], , -1)</f>
        <v>3.5</v>
      </c>
      <c r="G158" cm="1">
        <f t="array" ref="G158">_xlfn.XLOOKUP(_xlfn.ANCHORARRAY(A158), TBL_Limiti_CDA[Data], TBL_Limiti_CDA[Etica Transizione Climatica], , -1)</f>
        <v>2.75</v>
      </c>
      <c r="H158" cm="1">
        <f t="array" ref="H158">_xlfn.XLOOKUP(_xlfn.ANCHORARRAY(A158), TBL_Limiti_CDA[Data], TBL_Limiti_CDA[Etica Obiettivo Sociale], , -1)</f>
        <v>7.49</v>
      </c>
      <c r="I158" cm="1">
        <f t="array" ref="I158">_xlfn.XLOOKUP(_xlfn.ANCHORARRAY(A158), TBL_Limiti_CDA[Data], TBL_Limiti_CDA[Etica Conservative Allocation], , -1)</f>
        <v>1.5</v>
      </c>
      <c r="J158" cm="1">
        <f t="array" ref="J158">_xlfn.XLOOKUP(_xlfn.ANCHORARRAY(A158), TBL_Limiti_CDA[Data], TBL_Limiti_CDA[Etica Dynamic Allocation], , -1)</f>
        <v>3</v>
      </c>
      <c r="K158" cm="1">
        <f t="array" ref="K158">_xlfn.XLOOKUP(_xlfn.ANCHORARRAY(A158), TBL_Limiti_CDA[Data], TBL_Limiti_CDA[Etica Global Equity], , -1)</f>
        <v>3.5</v>
      </c>
      <c r="L158" cm="1">
        <f t="array" ref="L158">_xlfn.ANCHORARRAY(B158)+0.15</f>
        <v>2.65</v>
      </c>
      <c r="M158" cm="1">
        <f t="array" ref="M158">_xlfn.ANCHORARRAY(C158)+0.1</f>
        <v>0.6</v>
      </c>
      <c r="N158" cm="1">
        <f t="array" ref="N158">_xlfn.ANCHORARRAY(D158)+0.15</f>
        <v>1.65</v>
      </c>
      <c r="O158" cm="1">
        <f t="array" ref="O158">_xlfn.ANCHORARRAY(E158)+0.15</f>
        <v>3.15</v>
      </c>
      <c r="P158" cm="1">
        <f t="array" ref="P158">_xlfn.ANCHORARRAY(F158)+0.15</f>
        <v>3.65</v>
      </c>
      <c r="Q158" cm="1">
        <f t="array" ref="Q158">_xlfn.ANCHORARRAY(G158)+0.15</f>
        <v>2.9</v>
      </c>
      <c r="R158" cm="1">
        <f t="array" ref="R158">_xlfn.ANCHORARRAY(H158)</f>
        <v>7.49</v>
      </c>
      <c r="S158" cm="1">
        <f t="array" ref="S158">_xlfn.ANCHORARRAY(R158)+0.15</f>
        <v>7.6400000000000006</v>
      </c>
      <c r="T158" cm="1">
        <f t="array" ref="T158">_xlfn.ANCHORARRAY(I158)+0.15</f>
        <v>1.65</v>
      </c>
      <c r="U158" cm="1">
        <f t="array" ref="U158">_xlfn.ANCHORARRAY(J158)+0.15</f>
        <v>3.15</v>
      </c>
      <c r="V158" cm="1">
        <f t="array" ref="V158">_xlfn.ANCHORARRAY(K158)+0.15</f>
        <v>3.65</v>
      </c>
      <c r="W158">
        <f>TBL_TEV[[#This Row],[Etica Rendita Bilanciata]]</f>
        <v>1.5222070000000001</v>
      </c>
      <c r="X158">
        <f>TBL_TEV[[#This Row],[Etica Obbligazionario Breve Termine]]</f>
        <v>0.346858</v>
      </c>
      <c r="Y158">
        <f>TBL_TEV[[#This Row],[Etica Obbligazionario Misto]]</f>
        <v>0.71070199999999994</v>
      </c>
      <c r="Z158">
        <f>TBL_TEV[[#This Row],[Etica Bilanciato]]</f>
        <v>2.243862</v>
      </c>
      <c r="AA158">
        <f>TBL_TEV[[#This Row],[Etica Azionario]]</f>
        <v>3.2669739999999998</v>
      </c>
      <c r="AB158">
        <f>TBL_TEV[[#This Row],[Etica Transizione Climatica]]</f>
        <v>2.482297</v>
      </c>
      <c r="AC158">
        <f>TBL_TEV[[#This Row],[Etica Obiettivo Sociale]]</f>
        <v>8.2433568804668056</v>
      </c>
      <c r="AD158">
        <f>TBL_TEV[[#This Row],[Etica Conservative Allocation]]</f>
        <v>0.39305899999999899</v>
      </c>
      <c r="AE158">
        <f>TBL_TEV[[#This Row],[Etica Dynamic Allocation]]</f>
        <v>1.3977359999999901</v>
      </c>
      <c r="AF158">
        <f>TBL_TEV[[#This Row],[Etica Global Equity]]</f>
        <v>2.8113869999999999</v>
      </c>
      <c r="AL158">
        <f ca="1"/>
        <v>1.53189</v>
      </c>
      <c r="AM158">
        <f ca="1"/>
        <v>0.34511199999999997</v>
      </c>
      <c r="AN158">
        <f ca="1"/>
        <v>0.712924</v>
      </c>
      <c r="AO158">
        <f ca="1"/>
        <v>2.253228</v>
      </c>
      <c r="AP158">
        <f ca="1"/>
        <v>3.2899919999999998</v>
      </c>
      <c r="AQ158">
        <f ca="1"/>
        <v>2.468486</v>
      </c>
      <c r="AR158">
        <f ca="1"/>
        <v>8.1190776287659467</v>
      </c>
      <c r="AS158">
        <f ca="1"/>
        <v>0.38877299999999898</v>
      </c>
      <c r="AT158">
        <f ca="1"/>
        <v>1.3807499999999899</v>
      </c>
      <c r="AU158">
        <f ca="1"/>
        <v>2.8021799999999999</v>
      </c>
    </row>
    <row r="159" spans="1:47">
      <c r="A159" s="43">
        <f>TBL_TEV[[#This Row],[Data2]]</f>
        <v>45513</v>
      </c>
      <c r="B159" cm="1">
        <f t="array" ref="B159">_xlfn.XLOOKUP(_xlfn.ANCHORARRAY(A159), TBL_Limiti_CDA[Data], TBL_Limiti_CDA[Etica Rendita Bilanciata], , -1)</f>
        <v>2.5</v>
      </c>
      <c r="C159" cm="1">
        <f t="array" ref="C159">_xlfn.XLOOKUP(_xlfn.ANCHORARRAY(A159), TBL_Limiti_CDA[Data], TBL_Limiti_CDA[Etica Obbligazionario Breve Termine], , -1)</f>
        <v>0.5</v>
      </c>
      <c r="D159" cm="1">
        <f t="array" ref="D159">_xlfn.XLOOKUP(_xlfn.ANCHORARRAY(A159), TBL_Limiti_CDA[Data], TBL_Limiti_CDA[Etica Obbligazionario Misto], , -1)</f>
        <v>1.5</v>
      </c>
      <c r="E159" cm="1">
        <f t="array" ref="E159">_xlfn.XLOOKUP(_xlfn.ANCHORARRAY(A159), TBL_Limiti_CDA[Data], TBL_Limiti_CDA[Etica Bilanciato], , -1)</f>
        <v>3</v>
      </c>
      <c r="F159" cm="1">
        <f t="array" ref="F159">_xlfn.XLOOKUP(_xlfn.ANCHORARRAY(A159), TBL_Limiti_CDA[Data], TBL_Limiti_CDA[Etica Azionario], , -1)</f>
        <v>3.5</v>
      </c>
      <c r="G159" cm="1">
        <f t="array" ref="G159">_xlfn.XLOOKUP(_xlfn.ANCHORARRAY(A159), TBL_Limiti_CDA[Data], TBL_Limiti_CDA[Etica Transizione Climatica], , -1)</f>
        <v>2.75</v>
      </c>
      <c r="H159" cm="1">
        <f t="array" ref="H159">_xlfn.XLOOKUP(_xlfn.ANCHORARRAY(A159), TBL_Limiti_CDA[Data], TBL_Limiti_CDA[Etica Obiettivo Sociale], , -1)</f>
        <v>7.49</v>
      </c>
      <c r="I159" cm="1">
        <f t="array" ref="I159">_xlfn.XLOOKUP(_xlfn.ANCHORARRAY(A159), TBL_Limiti_CDA[Data], TBL_Limiti_CDA[Etica Conservative Allocation], , -1)</f>
        <v>1.5</v>
      </c>
      <c r="J159" cm="1">
        <f t="array" ref="J159">_xlfn.XLOOKUP(_xlfn.ANCHORARRAY(A159), TBL_Limiti_CDA[Data], TBL_Limiti_CDA[Etica Dynamic Allocation], , -1)</f>
        <v>3</v>
      </c>
      <c r="K159" cm="1">
        <f t="array" ref="K159">_xlfn.XLOOKUP(_xlfn.ANCHORARRAY(A159), TBL_Limiti_CDA[Data], TBL_Limiti_CDA[Etica Global Equity], , -1)</f>
        <v>3.5</v>
      </c>
      <c r="L159" cm="1">
        <f t="array" ref="L159">_xlfn.ANCHORARRAY(B159)+0.15</f>
        <v>2.65</v>
      </c>
      <c r="M159" cm="1">
        <f t="array" ref="M159">_xlfn.ANCHORARRAY(C159)+0.1</f>
        <v>0.6</v>
      </c>
      <c r="N159" cm="1">
        <f t="array" ref="N159">_xlfn.ANCHORARRAY(D159)+0.15</f>
        <v>1.65</v>
      </c>
      <c r="O159" cm="1">
        <f t="array" ref="O159">_xlfn.ANCHORARRAY(E159)+0.15</f>
        <v>3.15</v>
      </c>
      <c r="P159" cm="1">
        <f t="array" ref="P159">_xlfn.ANCHORARRAY(F159)+0.15</f>
        <v>3.65</v>
      </c>
      <c r="Q159" cm="1">
        <f t="array" ref="Q159">_xlfn.ANCHORARRAY(G159)+0.15</f>
        <v>2.9</v>
      </c>
      <c r="R159" cm="1">
        <f t="array" ref="R159">_xlfn.ANCHORARRAY(H159)</f>
        <v>7.49</v>
      </c>
      <c r="S159" cm="1">
        <f t="array" ref="S159">_xlfn.ANCHORARRAY(R159)+0.15</f>
        <v>7.6400000000000006</v>
      </c>
      <c r="T159" cm="1">
        <f t="array" ref="T159">_xlfn.ANCHORARRAY(I159)+0.15</f>
        <v>1.65</v>
      </c>
      <c r="U159" cm="1">
        <f t="array" ref="U159">_xlfn.ANCHORARRAY(J159)+0.15</f>
        <v>3.15</v>
      </c>
      <c r="V159" cm="1">
        <f t="array" ref="V159">_xlfn.ANCHORARRAY(K159)+0.15</f>
        <v>3.65</v>
      </c>
      <c r="W159">
        <f>TBL_TEV[[#This Row],[Etica Rendita Bilanciata]]</f>
        <v>1.53189</v>
      </c>
      <c r="X159">
        <f>TBL_TEV[[#This Row],[Etica Obbligazionario Breve Termine]]</f>
        <v>0.34511199999999997</v>
      </c>
      <c r="Y159">
        <f>TBL_TEV[[#This Row],[Etica Obbligazionario Misto]]</f>
        <v>0.712924</v>
      </c>
      <c r="Z159">
        <f>TBL_TEV[[#This Row],[Etica Bilanciato]]</f>
        <v>2.253228</v>
      </c>
      <c r="AA159">
        <f>TBL_TEV[[#This Row],[Etica Azionario]]</f>
        <v>3.2899919999999998</v>
      </c>
      <c r="AB159">
        <f>TBL_TEV[[#This Row],[Etica Transizione Climatica]]</f>
        <v>2.468486</v>
      </c>
      <c r="AC159">
        <f>TBL_TEV[[#This Row],[Etica Obiettivo Sociale]]</f>
        <v>8.1190776287659467</v>
      </c>
      <c r="AD159">
        <f>TBL_TEV[[#This Row],[Etica Conservative Allocation]]</f>
        <v>0.38877299999999898</v>
      </c>
      <c r="AE159">
        <f>TBL_TEV[[#This Row],[Etica Dynamic Allocation]]</f>
        <v>1.3807499999999899</v>
      </c>
      <c r="AF159">
        <f>TBL_TEV[[#This Row],[Etica Global Equity]]</f>
        <v>2.8021799999999999</v>
      </c>
      <c r="AL159">
        <f ca="1"/>
        <v>1.5382400000000001</v>
      </c>
      <c r="AM159">
        <f ca="1"/>
        <v>0.34114299999999997</v>
      </c>
      <c r="AN159">
        <f ca="1"/>
        <v>0.71578200000000003</v>
      </c>
      <c r="AO159">
        <f ca="1"/>
        <v>2.2587839999999999</v>
      </c>
      <c r="AP159">
        <f ca="1"/>
        <v>3.3076120000000002</v>
      </c>
      <c r="AQ159">
        <f ca="1"/>
        <v>2.5111880000000002</v>
      </c>
      <c r="AR159">
        <f ca="1"/>
        <v>8.0690069440459649</v>
      </c>
      <c r="AS159">
        <f ca="1"/>
        <v>0.38448699999999902</v>
      </c>
      <c r="AT159">
        <f ca="1"/>
        <v>1.36376399999999</v>
      </c>
      <c r="AU159">
        <f ca="1"/>
        <v>2.7929729999999999</v>
      </c>
    </row>
    <row r="160" spans="1:47">
      <c r="A160" s="43">
        <f>TBL_TEV[[#This Row],[Data2]]</f>
        <v>45516</v>
      </c>
      <c r="B160" cm="1">
        <f t="array" ref="B160">_xlfn.XLOOKUP(_xlfn.ANCHORARRAY(A160), TBL_Limiti_CDA[Data], TBL_Limiti_CDA[Etica Rendita Bilanciata], , -1)</f>
        <v>2.5</v>
      </c>
      <c r="C160" cm="1">
        <f t="array" ref="C160">_xlfn.XLOOKUP(_xlfn.ANCHORARRAY(A160), TBL_Limiti_CDA[Data], TBL_Limiti_CDA[Etica Obbligazionario Breve Termine], , -1)</f>
        <v>0.5</v>
      </c>
      <c r="D160" cm="1">
        <f t="array" ref="D160">_xlfn.XLOOKUP(_xlfn.ANCHORARRAY(A160), TBL_Limiti_CDA[Data], TBL_Limiti_CDA[Etica Obbligazionario Misto], , -1)</f>
        <v>1.5</v>
      </c>
      <c r="E160" cm="1">
        <f t="array" ref="E160">_xlfn.XLOOKUP(_xlfn.ANCHORARRAY(A160), TBL_Limiti_CDA[Data], TBL_Limiti_CDA[Etica Bilanciato], , -1)</f>
        <v>3</v>
      </c>
      <c r="F160" cm="1">
        <f t="array" ref="F160">_xlfn.XLOOKUP(_xlfn.ANCHORARRAY(A160), TBL_Limiti_CDA[Data], TBL_Limiti_CDA[Etica Azionario], , -1)</f>
        <v>3.5</v>
      </c>
      <c r="G160" cm="1">
        <f t="array" ref="G160">_xlfn.XLOOKUP(_xlfn.ANCHORARRAY(A160), TBL_Limiti_CDA[Data], TBL_Limiti_CDA[Etica Transizione Climatica], , -1)</f>
        <v>2.75</v>
      </c>
      <c r="H160" cm="1">
        <f t="array" ref="H160">_xlfn.XLOOKUP(_xlfn.ANCHORARRAY(A160), TBL_Limiti_CDA[Data], TBL_Limiti_CDA[Etica Obiettivo Sociale], , -1)</f>
        <v>7.49</v>
      </c>
      <c r="I160" cm="1">
        <f t="array" ref="I160">_xlfn.XLOOKUP(_xlfn.ANCHORARRAY(A160), TBL_Limiti_CDA[Data], TBL_Limiti_CDA[Etica Conservative Allocation], , -1)</f>
        <v>1.5</v>
      </c>
      <c r="J160" cm="1">
        <f t="array" ref="J160">_xlfn.XLOOKUP(_xlfn.ANCHORARRAY(A160), TBL_Limiti_CDA[Data], TBL_Limiti_CDA[Etica Dynamic Allocation], , -1)</f>
        <v>3</v>
      </c>
      <c r="K160" cm="1">
        <f t="array" ref="K160">_xlfn.XLOOKUP(_xlfn.ANCHORARRAY(A160), TBL_Limiti_CDA[Data], TBL_Limiti_CDA[Etica Global Equity], , -1)</f>
        <v>3.5</v>
      </c>
      <c r="L160" cm="1">
        <f t="array" ref="L160">_xlfn.ANCHORARRAY(B160)+0.15</f>
        <v>2.65</v>
      </c>
      <c r="M160" cm="1">
        <f t="array" ref="M160">_xlfn.ANCHORARRAY(C160)+0.1</f>
        <v>0.6</v>
      </c>
      <c r="N160" cm="1">
        <f t="array" ref="N160">_xlfn.ANCHORARRAY(D160)+0.15</f>
        <v>1.65</v>
      </c>
      <c r="O160" cm="1">
        <f t="array" ref="O160">_xlfn.ANCHORARRAY(E160)+0.15</f>
        <v>3.15</v>
      </c>
      <c r="P160" cm="1">
        <f t="array" ref="P160">_xlfn.ANCHORARRAY(F160)+0.15</f>
        <v>3.65</v>
      </c>
      <c r="Q160" cm="1">
        <f t="array" ref="Q160">_xlfn.ANCHORARRAY(G160)+0.15</f>
        <v>2.9</v>
      </c>
      <c r="R160" cm="1">
        <f t="array" ref="R160">_xlfn.ANCHORARRAY(H160)</f>
        <v>7.49</v>
      </c>
      <c r="S160" cm="1">
        <f t="array" ref="S160">_xlfn.ANCHORARRAY(R160)+0.15</f>
        <v>7.6400000000000006</v>
      </c>
      <c r="T160" cm="1">
        <f t="array" ref="T160">_xlfn.ANCHORARRAY(I160)+0.15</f>
        <v>1.65</v>
      </c>
      <c r="U160" cm="1">
        <f t="array" ref="U160">_xlfn.ANCHORARRAY(J160)+0.15</f>
        <v>3.15</v>
      </c>
      <c r="V160" cm="1">
        <f t="array" ref="V160">_xlfn.ANCHORARRAY(K160)+0.15</f>
        <v>3.65</v>
      </c>
      <c r="W160">
        <f>TBL_TEV[[#This Row],[Etica Rendita Bilanciata]]</f>
        <v>1.5382400000000001</v>
      </c>
      <c r="X160">
        <f>TBL_TEV[[#This Row],[Etica Obbligazionario Breve Termine]]</f>
        <v>0.34114299999999997</v>
      </c>
      <c r="Y160">
        <f>TBL_TEV[[#This Row],[Etica Obbligazionario Misto]]</f>
        <v>0.71578200000000003</v>
      </c>
      <c r="Z160">
        <f>TBL_TEV[[#This Row],[Etica Bilanciato]]</f>
        <v>2.2587839999999999</v>
      </c>
      <c r="AA160">
        <f>TBL_TEV[[#This Row],[Etica Azionario]]</f>
        <v>3.3076120000000002</v>
      </c>
      <c r="AB160">
        <f>TBL_TEV[[#This Row],[Etica Transizione Climatica]]</f>
        <v>2.5111880000000002</v>
      </c>
      <c r="AC160">
        <f>TBL_TEV[[#This Row],[Etica Obiettivo Sociale]]</f>
        <v>8.0690069440459649</v>
      </c>
      <c r="AD160">
        <f>TBL_TEV[[#This Row],[Etica Conservative Allocation]]</f>
        <v>0.38448699999999902</v>
      </c>
      <c r="AE160">
        <f>TBL_TEV[[#This Row],[Etica Dynamic Allocation]]</f>
        <v>1.36376399999999</v>
      </c>
      <c r="AF160">
        <f>TBL_TEV[[#This Row],[Etica Global Equity]]</f>
        <v>2.7929729999999999</v>
      </c>
      <c r="AL160">
        <f ca="1"/>
        <v>1.5760209999999999</v>
      </c>
      <c r="AM160">
        <f ca="1"/>
        <v>0.340667</v>
      </c>
      <c r="AN160">
        <f ca="1"/>
        <v>0.73197400000000001</v>
      </c>
      <c r="AO160">
        <f ca="1"/>
        <v>2.2952949999999999</v>
      </c>
      <c r="AP160">
        <f ca="1"/>
        <v>3.3596810000000001</v>
      </c>
      <c r="AQ160">
        <f ca="1"/>
        <v>2.5659550000000002</v>
      </c>
      <c r="AR160">
        <f ca="1"/>
        <v>8.3782527845144621</v>
      </c>
      <c r="AS160">
        <f ca="1"/>
        <v>0.38020099999999901</v>
      </c>
      <c r="AT160">
        <f ca="1"/>
        <v>1.34677799999999</v>
      </c>
      <c r="AU160">
        <f ca="1"/>
        <v>2.783766</v>
      </c>
    </row>
    <row r="161" spans="1:47">
      <c r="A161" s="43">
        <f>TBL_TEV[[#This Row],[Data2]]</f>
        <v>45517</v>
      </c>
      <c r="B161" cm="1">
        <f t="array" ref="B161">_xlfn.XLOOKUP(_xlfn.ANCHORARRAY(A161), TBL_Limiti_CDA[Data], TBL_Limiti_CDA[Etica Rendita Bilanciata], , -1)</f>
        <v>2.5</v>
      </c>
      <c r="C161" cm="1">
        <f t="array" ref="C161">_xlfn.XLOOKUP(_xlfn.ANCHORARRAY(A161), TBL_Limiti_CDA[Data], TBL_Limiti_CDA[Etica Obbligazionario Breve Termine], , -1)</f>
        <v>0.5</v>
      </c>
      <c r="D161" cm="1">
        <f t="array" ref="D161">_xlfn.XLOOKUP(_xlfn.ANCHORARRAY(A161), TBL_Limiti_CDA[Data], TBL_Limiti_CDA[Etica Obbligazionario Misto], , -1)</f>
        <v>1.5</v>
      </c>
      <c r="E161" cm="1">
        <f t="array" ref="E161">_xlfn.XLOOKUP(_xlfn.ANCHORARRAY(A161), TBL_Limiti_CDA[Data], TBL_Limiti_CDA[Etica Bilanciato], , -1)</f>
        <v>3</v>
      </c>
      <c r="F161" cm="1">
        <f t="array" ref="F161">_xlfn.XLOOKUP(_xlfn.ANCHORARRAY(A161), TBL_Limiti_CDA[Data], TBL_Limiti_CDA[Etica Azionario], , -1)</f>
        <v>3.5</v>
      </c>
      <c r="G161" cm="1">
        <f t="array" ref="G161">_xlfn.XLOOKUP(_xlfn.ANCHORARRAY(A161), TBL_Limiti_CDA[Data], TBL_Limiti_CDA[Etica Transizione Climatica], , -1)</f>
        <v>2.75</v>
      </c>
      <c r="H161" cm="1">
        <f t="array" ref="H161">_xlfn.XLOOKUP(_xlfn.ANCHORARRAY(A161), TBL_Limiti_CDA[Data], TBL_Limiti_CDA[Etica Obiettivo Sociale], , -1)</f>
        <v>7.49</v>
      </c>
      <c r="I161" cm="1">
        <f t="array" ref="I161">_xlfn.XLOOKUP(_xlfn.ANCHORARRAY(A161), TBL_Limiti_CDA[Data], TBL_Limiti_CDA[Etica Conservative Allocation], , -1)</f>
        <v>1.5</v>
      </c>
      <c r="J161" cm="1">
        <f t="array" ref="J161">_xlfn.XLOOKUP(_xlfn.ANCHORARRAY(A161), TBL_Limiti_CDA[Data], TBL_Limiti_CDA[Etica Dynamic Allocation], , -1)</f>
        <v>3</v>
      </c>
      <c r="K161" cm="1">
        <f t="array" ref="K161">_xlfn.XLOOKUP(_xlfn.ANCHORARRAY(A161), TBL_Limiti_CDA[Data], TBL_Limiti_CDA[Etica Global Equity], , -1)</f>
        <v>3.5</v>
      </c>
      <c r="L161" cm="1">
        <f t="array" ref="L161">_xlfn.ANCHORARRAY(B161)+0.15</f>
        <v>2.65</v>
      </c>
      <c r="M161" cm="1">
        <f t="array" ref="M161">_xlfn.ANCHORARRAY(C161)+0.1</f>
        <v>0.6</v>
      </c>
      <c r="N161" cm="1">
        <f t="array" ref="N161">_xlfn.ANCHORARRAY(D161)+0.15</f>
        <v>1.65</v>
      </c>
      <c r="O161" cm="1">
        <f t="array" ref="O161">_xlfn.ANCHORARRAY(E161)+0.15</f>
        <v>3.15</v>
      </c>
      <c r="P161" cm="1">
        <f t="array" ref="P161">_xlfn.ANCHORARRAY(F161)+0.15</f>
        <v>3.65</v>
      </c>
      <c r="Q161" cm="1">
        <f t="array" ref="Q161">_xlfn.ANCHORARRAY(G161)+0.15</f>
        <v>2.9</v>
      </c>
      <c r="R161" cm="1">
        <f t="array" ref="R161">_xlfn.ANCHORARRAY(H161)</f>
        <v>7.49</v>
      </c>
      <c r="S161" cm="1">
        <f t="array" ref="S161">_xlfn.ANCHORARRAY(R161)+0.15</f>
        <v>7.6400000000000006</v>
      </c>
      <c r="T161" cm="1">
        <f t="array" ref="T161">_xlfn.ANCHORARRAY(I161)+0.15</f>
        <v>1.65</v>
      </c>
      <c r="U161" cm="1">
        <f t="array" ref="U161">_xlfn.ANCHORARRAY(J161)+0.15</f>
        <v>3.15</v>
      </c>
      <c r="V161" cm="1">
        <f t="array" ref="V161">_xlfn.ANCHORARRAY(K161)+0.15</f>
        <v>3.65</v>
      </c>
      <c r="W161">
        <f>TBL_TEV[[#This Row],[Etica Rendita Bilanciata]]</f>
        <v>1.5760209999999999</v>
      </c>
      <c r="X161">
        <f>TBL_TEV[[#This Row],[Etica Obbligazionario Breve Termine]]</f>
        <v>0.340667</v>
      </c>
      <c r="Y161">
        <f>TBL_TEV[[#This Row],[Etica Obbligazionario Misto]]</f>
        <v>0.73197400000000001</v>
      </c>
      <c r="Z161">
        <f>TBL_TEV[[#This Row],[Etica Bilanciato]]</f>
        <v>2.2952949999999999</v>
      </c>
      <c r="AA161">
        <f>TBL_TEV[[#This Row],[Etica Azionario]]</f>
        <v>3.3596810000000001</v>
      </c>
      <c r="AB161">
        <f>TBL_TEV[[#This Row],[Etica Transizione Climatica]]</f>
        <v>2.5659550000000002</v>
      </c>
      <c r="AC161">
        <f>TBL_TEV[[#This Row],[Etica Obiettivo Sociale]]</f>
        <v>8.3782527845144621</v>
      </c>
      <c r="AD161">
        <f>TBL_TEV[[#This Row],[Etica Conservative Allocation]]</f>
        <v>0.38020099999999901</v>
      </c>
      <c r="AE161">
        <f>TBL_TEV[[#This Row],[Etica Dynamic Allocation]]</f>
        <v>1.34677799999999</v>
      </c>
      <c r="AF161">
        <f>TBL_TEV[[#This Row],[Etica Global Equity]]</f>
        <v>2.783766</v>
      </c>
      <c r="AL161">
        <f ca="1"/>
        <v>1.573005</v>
      </c>
      <c r="AM161">
        <f ca="1"/>
        <v>0.33828599999999998</v>
      </c>
      <c r="AN161">
        <f ca="1"/>
        <v>0.73197400000000001</v>
      </c>
      <c r="AO161">
        <f ca="1"/>
        <v>2.289898</v>
      </c>
      <c r="AP161">
        <f ca="1"/>
        <v>3.3503150000000002</v>
      </c>
      <c r="AQ161">
        <f ca="1"/>
        <v>2.5613519999999999</v>
      </c>
      <c r="AR161">
        <f ca="1"/>
        <v>8.3473488693364057</v>
      </c>
      <c r="AS161">
        <f ca="1"/>
        <v>0.375914999999999</v>
      </c>
      <c r="AT161">
        <f ca="1"/>
        <v>1.3297919999999901</v>
      </c>
      <c r="AU161">
        <f ca="1"/>
        <v>2.774559</v>
      </c>
    </row>
    <row r="162" spans="1:47">
      <c r="A162" s="43">
        <f>TBL_TEV[[#This Row],[Data2]]</f>
        <v>45518</v>
      </c>
      <c r="B162" cm="1">
        <f t="array" ref="B162">_xlfn.XLOOKUP(_xlfn.ANCHORARRAY(A162), TBL_Limiti_CDA[Data], TBL_Limiti_CDA[Etica Rendita Bilanciata], , -1)</f>
        <v>2.5</v>
      </c>
      <c r="C162" cm="1">
        <f t="array" ref="C162">_xlfn.XLOOKUP(_xlfn.ANCHORARRAY(A162), TBL_Limiti_CDA[Data], TBL_Limiti_CDA[Etica Obbligazionario Breve Termine], , -1)</f>
        <v>0.5</v>
      </c>
      <c r="D162" cm="1">
        <f t="array" ref="D162">_xlfn.XLOOKUP(_xlfn.ANCHORARRAY(A162), TBL_Limiti_CDA[Data], TBL_Limiti_CDA[Etica Obbligazionario Misto], , -1)</f>
        <v>1.5</v>
      </c>
      <c r="E162" cm="1">
        <f t="array" ref="E162">_xlfn.XLOOKUP(_xlfn.ANCHORARRAY(A162), TBL_Limiti_CDA[Data], TBL_Limiti_CDA[Etica Bilanciato], , -1)</f>
        <v>3</v>
      </c>
      <c r="F162" cm="1">
        <f t="array" ref="F162">_xlfn.XLOOKUP(_xlfn.ANCHORARRAY(A162), TBL_Limiti_CDA[Data], TBL_Limiti_CDA[Etica Azionario], , -1)</f>
        <v>3.5</v>
      </c>
      <c r="G162" cm="1">
        <f t="array" ref="G162">_xlfn.XLOOKUP(_xlfn.ANCHORARRAY(A162), TBL_Limiti_CDA[Data], TBL_Limiti_CDA[Etica Transizione Climatica], , -1)</f>
        <v>2.75</v>
      </c>
      <c r="H162" cm="1">
        <f t="array" ref="H162">_xlfn.XLOOKUP(_xlfn.ANCHORARRAY(A162), TBL_Limiti_CDA[Data], TBL_Limiti_CDA[Etica Obiettivo Sociale], , -1)</f>
        <v>7.49</v>
      </c>
      <c r="I162" cm="1">
        <f t="array" ref="I162">_xlfn.XLOOKUP(_xlfn.ANCHORARRAY(A162), TBL_Limiti_CDA[Data], TBL_Limiti_CDA[Etica Conservative Allocation], , -1)</f>
        <v>1.5</v>
      </c>
      <c r="J162" cm="1">
        <f t="array" ref="J162">_xlfn.XLOOKUP(_xlfn.ANCHORARRAY(A162), TBL_Limiti_CDA[Data], TBL_Limiti_CDA[Etica Dynamic Allocation], , -1)</f>
        <v>3</v>
      </c>
      <c r="K162" cm="1">
        <f t="array" ref="K162">_xlfn.XLOOKUP(_xlfn.ANCHORARRAY(A162), TBL_Limiti_CDA[Data], TBL_Limiti_CDA[Etica Global Equity], , -1)</f>
        <v>3.5</v>
      </c>
      <c r="L162" cm="1">
        <f t="array" ref="L162">_xlfn.ANCHORARRAY(B162)+0.15</f>
        <v>2.65</v>
      </c>
      <c r="M162" cm="1">
        <f t="array" ref="M162">_xlfn.ANCHORARRAY(C162)+0.1</f>
        <v>0.6</v>
      </c>
      <c r="N162" cm="1">
        <f t="array" ref="N162">_xlfn.ANCHORARRAY(D162)+0.15</f>
        <v>1.65</v>
      </c>
      <c r="O162" cm="1">
        <f t="array" ref="O162">_xlfn.ANCHORARRAY(E162)+0.15</f>
        <v>3.15</v>
      </c>
      <c r="P162" cm="1">
        <f t="array" ref="P162">_xlfn.ANCHORARRAY(F162)+0.15</f>
        <v>3.65</v>
      </c>
      <c r="Q162" cm="1">
        <f t="array" ref="Q162">_xlfn.ANCHORARRAY(G162)+0.15</f>
        <v>2.9</v>
      </c>
      <c r="R162" cm="1">
        <f t="array" ref="R162">_xlfn.ANCHORARRAY(H162)</f>
        <v>7.49</v>
      </c>
      <c r="S162" cm="1">
        <f t="array" ref="S162">_xlfn.ANCHORARRAY(R162)+0.15</f>
        <v>7.6400000000000006</v>
      </c>
      <c r="T162" cm="1">
        <f t="array" ref="T162">_xlfn.ANCHORARRAY(I162)+0.15</f>
        <v>1.65</v>
      </c>
      <c r="U162" cm="1">
        <f t="array" ref="U162">_xlfn.ANCHORARRAY(J162)+0.15</f>
        <v>3.15</v>
      </c>
      <c r="V162" cm="1">
        <f t="array" ref="V162">_xlfn.ANCHORARRAY(K162)+0.15</f>
        <v>3.65</v>
      </c>
      <c r="W162">
        <f>TBL_TEV[[#This Row],[Etica Rendita Bilanciata]]</f>
        <v>1.573005</v>
      </c>
      <c r="X162">
        <f>TBL_TEV[[#This Row],[Etica Obbligazionario Breve Termine]]</f>
        <v>0.33828599999999998</v>
      </c>
      <c r="Y162">
        <f>TBL_TEV[[#This Row],[Etica Obbligazionario Misto]]</f>
        <v>0.73197400000000001</v>
      </c>
      <c r="Z162">
        <f>TBL_TEV[[#This Row],[Etica Bilanciato]]</f>
        <v>2.289898</v>
      </c>
      <c r="AA162">
        <f>TBL_TEV[[#This Row],[Etica Azionario]]</f>
        <v>3.3503150000000002</v>
      </c>
      <c r="AB162">
        <f>TBL_TEV[[#This Row],[Etica Transizione Climatica]]</f>
        <v>2.5613519999999999</v>
      </c>
      <c r="AC162">
        <f>TBL_TEV[[#This Row],[Etica Obiettivo Sociale]]</f>
        <v>8.3473488693364057</v>
      </c>
      <c r="AD162">
        <f>TBL_TEV[[#This Row],[Etica Conservative Allocation]]</f>
        <v>0.375914999999999</v>
      </c>
      <c r="AE162">
        <f>TBL_TEV[[#This Row],[Etica Dynamic Allocation]]</f>
        <v>1.3297919999999901</v>
      </c>
      <c r="AF162">
        <f>TBL_TEV[[#This Row],[Etica Global Equity]]</f>
        <v>2.774559</v>
      </c>
      <c r="AL162">
        <f ca="1"/>
        <v>1.586657</v>
      </c>
      <c r="AM162">
        <f ca="1"/>
        <v>0.342254</v>
      </c>
      <c r="AN162">
        <f ca="1"/>
        <v>0.73229100000000003</v>
      </c>
      <c r="AO162">
        <f ca="1"/>
        <v>2.2959299999999998</v>
      </c>
      <c r="AP162">
        <f ca="1"/>
        <v>3.3434889999999999</v>
      </c>
      <c r="AQ162">
        <f ca="1"/>
        <v>2.5792899999999999</v>
      </c>
      <c r="AR162">
        <f ca="1"/>
        <v>8.3473488693364057</v>
      </c>
      <c r="AS162">
        <f ca="1"/>
        <v>0.37162899999999899</v>
      </c>
      <c r="AT162">
        <f ca="1"/>
        <v>1.3128059999999899</v>
      </c>
      <c r="AU162">
        <f ca="1"/>
        <v>2.765352</v>
      </c>
    </row>
    <row r="163" spans="1:47">
      <c r="A163" s="43">
        <f>TBL_TEV[[#This Row],[Data2]]</f>
        <v>45519</v>
      </c>
      <c r="B163" cm="1">
        <f t="array" ref="B163">_xlfn.XLOOKUP(_xlfn.ANCHORARRAY(A163), TBL_Limiti_CDA[Data], TBL_Limiti_CDA[Etica Rendita Bilanciata], , -1)</f>
        <v>2.5</v>
      </c>
      <c r="C163" cm="1">
        <f t="array" ref="C163">_xlfn.XLOOKUP(_xlfn.ANCHORARRAY(A163), TBL_Limiti_CDA[Data], TBL_Limiti_CDA[Etica Obbligazionario Breve Termine], , -1)</f>
        <v>0.5</v>
      </c>
      <c r="D163" cm="1">
        <f t="array" ref="D163">_xlfn.XLOOKUP(_xlfn.ANCHORARRAY(A163), TBL_Limiti_CDA[Data], TBL_Limiti_CDA[Etica Obbligazionario Misto], , -1)</f>
        <v>1.5</v>
      </c>
      <c r="E163" cm="1">
        <f t="array" ref="E163">_xlfn.XLOOKUP(_xlfn.ANCHORARRAY(A163), TBL_Limiti_CDA[Data], TBL_Limiti_CDA[Etica Bilanciato], , -1)</f>
        <v>3</v>
      </c>
      <c r="F163" cm="1">
        <f t="array" ref="F163">_xlfn.XLOOKUP(_xlfn.ANCHORARRAY(A163), TBL_Limiti_CDA[Data], TBL_Limiti_CDA[Etica Azionario], , -1)</f>
        <v>3.5</v>
      </c>
      <c r="G163" cm="1">
        <f t="array" ref="G163">_xlfn.XLOOKUP(_xlfn.ANCHORARRAY(A163), TBL_Limiti_CDA[Data], TBL_Limiti_CDA[Etica Transizione Climatica], , -1)</f>
        <v>2.75</v>
      </c>
      <c r="H163" cm="1">
        <f t="array" ref="H163">_xlfn.XLOOKUP(_xlfn.ANCHORARRAY(A163), TBL_Limiti_CDA[Data], TBL_Limiti_CDA[Etica Obiettivo Sociale], , -1)</f>
        <v>7.49</v>
      </c>
      <c r="I163" cm="1">
        <f t="array" ref="I163">_xlfn.XLOOKUP(_xlfn.ANCHORARRAY(A163), TBL_Limiti_CDA[Data], TBL_Limiti_CDA[Etica Conservative Allocation], , -1)</f>
        <v>1.5</v>
      </c>
      <c r="J163" cm="1">
        <f t="array" ref="J163">_xlfn.XLOOKUP(_xlfn.ANCHORARRAY(A163), TBL_Limiti_CDA[Data], TBL_Limiti_CDA[Etica Dynamic Allocation], , -1)</f>
        <v>3</v>
      </c>
      <c r="K163" cm="1">
        <f t="array" ref="K163">_xlfn.XLOOKUP(_xlfn.ANCHORARRAY(A163), TBL_Limiti_CDA[Data], TBL_Limiti_CDA[Etica Global Equity], , -1)</f>
        <v>3.5</v>
      </c>
      <c r="L163" cm="1">
        <f t="array" ref="L163">_xlfn.ANCHORARRAY(B163)+0.15</f>
        <v>2.65</v>
      </c>
      <c r="M163" cm="1">
        <f t="array" ref="M163">_xlfn.ANCHORARRAY(C163)+0.1</f>
        <v>0.6</v>
      </c>
      <c r="N163" cm="1">
        <f t="array" ref="N163">_xlfn.ANCHORARRAY(D163)+0.15</f>
        <v>1.65</v>
      </c>
      <c r="O163" cm="1">
        <f t="array" ref="O163">_xlfn.ANCHORARRAY(E163)+0.15</f>
        <v>3.15</v>
      </c>
      <c r="P163" cm="1">
        <f t="array" ref="P163">_xlfn.ANCHORARRAY(F163)+0.15</f>
        <v>3.65</v>
      </c>
      <c r="Q163" cm="1">
        <f t="array" ref="Q163">_xlfn.ANCHORARRAY(G163)+0.15</f>
        <v>2.9</v>
      </c>
      <c r="R163" cm="1">
        <f t="array" ref="R163">_xlfn.ANCHORARRAY(H163)</f>
        <v>7.49</v>
      </c>
      <c r="S163" cm="1">
        <f t="array" ref="S163">_xlfn.ANCHORARRAY(R163)+0.15</f>
        <v>7.6400000000000006</v>
      </c>
      <c r="T163" cm="1">
        <f t="array" ref="T163">_xlfn.ANCHORARRAY(I163)+0.15</f>
        <v>1.65</v>
      </c>
      <c r="U163" cm="1">
        <f t="array" ref="U163">_xlfn.ANCHORARRAY(J163)+0.15</f>
        <v>3.15</v>
      </c>
      <c r="V163" cm="1">
        <f t="array" ref="V163">_xlfn.ANCHORARRAY(K163)+0.15</f>
        <v>3.65</v>
      </c>
      <c r="W163">
        <f>TBL_TEV[[#This Row],[Etica Rendita Bilanciata]]</f>
        <v>1.586657</v>
      </c>
      <c r="X163">
        <f>TBL_TEV[[#This Row],[Etica Obbligazionario Breve Termine]]</f>
        <v>0.342254</v>
      </c>
      <c r="Y163">
        <f>TBL_TEV[[#This Row],[Etica Obbligazionario Misto]]</f>
        <v>0.73229100000000003</v>
      </c>
      <c r="Z163">
        <f>TBL_TEV[[#This Row],[Etica Bilanciato]]</f>
        <v>2.2959299999999998</v>
      </c>
      <c r="AA163">
        <f>TBL_TEV[[#This Row],[Etica Azionario]]</f>
        <v>3.3434889999999999</v>
      </c>
      <c r="AB163">
        <f>TBL_TEV[[#This Row],[Etica Transizione Climatica]]</f>
        <v>2.5792899999999999</v>
      </c>
      <c r="AC163">
        <f>TBL_TEV[[#This Row],[Etica Obiettivo Sociale]]</f>
        <v>8.3473488693364057</v>
      </c>
      <c r="AD163">
        <f>TBL_TEV[[#This Row],[Etica Conservative Allocation]]</f>
        <v>0.37162899999999899</v>
      </c>
      <c r="AE163">
        <f>TBL_TEV[[#This Row],[Etica Dynamic Allocation]]</f>
        <v>1.3128059999999899</v>
      </c>
      <c r="AF163">
        <f>TBL_TEV[[#This Row],[Etica Global Equity]]</f>
        <v>2.765352</v>
      </c>
      <c r="AL163">
        <f ca="1"/>
        <v>1.6018969999999999</v>
      </c>
      <c r="AM163">
        <f ca="1"/>
        <v>0.33987299999999998</v>
      </c>
      <c r="AN163">
        <f ca="1"/>
        <v>0.73435499999999998</v>
      </c>
      <c r="AO163">
        <f ca="1"/>
        <v>2.3140269999999998</v>
      </c>
      <c r="AP163">
        <f ca="1"/>
        <v>3.3661889999999999</v>
      </c>
      <c r="AQ163">
        <f ca="1"/>
        <v>2.5764330000000002</v>
      </c>
      <c r="AR163">
        <f ca="1"/>
        <v>8.428614653581203</v>
      </c>
      <c r="AS163">
        <f ca="1"/>
        <v>0.36734299999999898</v>
      </c>
      <c r="AT163">
        <f ca="1"/>
        <v>1.29581999999999</v>
      </c>
      <c r="AU163">
        <f ca="1"/>
        <v>2.7561450000000001</v>
      </c>
    </row>
    <row r="164" spans="1:47">
      <c r="A164" s="43">
        <f>TBL_TEV[[#This Row],[Data2]]</f>
        <v>45520</v>
      </c>
      <c r="B164" cm="1">
        <f t="array" ref="B164">_xlfn.XLOOKUP(_xlfn.ANCHORARRAY(A164), TBL_Limiti_CDA[Data], TBL_Limiti_CDA[Etica Rendita Bilanciata], , -1)</f>
        <v>2.5</v>
      </c>
      <c r="C164" cm="1">
        <f t="array" ref="C164">_xlfn.XLOOKUP(_xlfn.ANCHORARRAY(A164), TBL_Limiti_CDA[Data], TBL_Limiti_CDA[Etica Obbligazionario Breve Termine], , -1)</f>
        <v>0.5</v>
      </c>
      <c r="D164" cm="1">
        <f t="array" ref="D164">_xlfn.XLOOKUP(_xlfn.ANCHORARRAY(A164), TBL_Limiti_CDA[Data], TBL_Limiti_CDA[Etica Obbligazionario Misto], , -1)</f>
        <v>1.5</v>
      </c>
      <c r="E164" cm="1">
        <f t="array" ref="E164">_xlfn.XLOOKUP(_xlfn.ANCHORARRAY(A164), TBL_Limiti_CDA[Data], TBL_Limiti_CDA[Etica Bilanciato], , -1)</f>
        <v>3</v>
      </c>
      <c r="F164" cm="1">
        <f t="array" ref="F164">_xlfn.XLOOKUP(_xlfn.ANCHORARRAY(A164), TBL_Limiti_CDA[Data], TBL_Limiti_CDA[Etica Azionario], , -1)</f>
        <v>3.5</v>
      </c>
      <c r="G164" cm="1">
        <f t="array" ref="G164">_xlfn.XLOOKUP(_xlfn.ANCHORARRAY(A164), TBL_Limiti_CDA[Data], TBL_Limiti_CDA[Etica Transizione Climatica], , -1)</f>
        <v>2.75</v>
      </c>
      <c r="H164" cm="1">
        <f t="array" ref="H164">_xlfn.XLOOKUP(_xlfn.ANCHORARRAY(A164), TBL_Limiti_CDA[Data], TBL_Limiti_CDA[Etica Obiettivo Sociale], , -1)</f>
        <v>7.49</v>
      </c>
      <c r="I164" cm="1">
        <f t="array" ref="I164">_xlfn.XLOOKUP(_xlfn.ANCHORARRAY(A164), TBL_Limiti_CDA[Data], TBL_Limiti_CDA[Etica Conservative Allocation], , -1)</f>
        <v>1.5</v>
      </c>
      <c r="J164" cm="1">
        <f t="array" ref="J164">_xlfn.XLOOKUP(_xlfn.ANCHORARRAY(A164), TBL_Limiti_CDA[Data], TBL_Limiti_CDA[Etica Dynamic Allocation], , -1)</f>
        <v>3</v>
      </c>
      <c r="K164" cm="1">
        <f t="array" ref="K164">_xlfn.XLOOKUP(_xlfn.ANCHORARRAY(A164), TBL_Limiti_CDA[Data], TBL_Limiti_CDA[Etica Global Equity], , -1)</f>
        <v>3.5</v>
      </c>
      <c r="L164" cm="1">
        <f t="array" ref="L164">_xlfn.ANCHORARRAY(B164)+0.15</f>
        <v>2.65</v>
      </c>
      <c r="M164" cm="1">
        <f t="array" ref="M164">_xlfn.ANCHORARRAY(C164)+0.1</f>
        <v>0.6</v>
      </c>
      <c r="N164" cm="1">
        <f t="array" ref="N164">_xlfn.ANCHORARRAY(D164)+0.15</f>
        <v>1.65</v>
      </c>
      <c r="O164" cm="1">
        <f t="array" ref="O164">_xlfn.ANCHORARRAY(E164)+0.15</f>
        <v>3.15</v>
      </c>
      <c r="P164" cm="1">
        <f t="array" ref="P164">_xlfn.ANCHORARRAY(F164)+0.15</f>
        <v>3.65</v>
      </c>
      <c r="Q164" cm="1">
        <f t="array" ref="Q164">_xlfn.ANCHORARRAY(G164)+0.15</f>
        <v>2.9</v>
      </c>
      <c r="R164" cm="1">
        <f t="array" ref="R164">_xlfn.ANCHORARRAY(H164)</f>
        <v>7.49</v>
      </c>
      <c r="S164" cm="1">
        <f t="array" ref="S164">_xlfn.ANCHORARRAY(R164)+0.15</f>
        <v>7.6400000000000006</v>
      </c>
      <c r="T164" cm="1">
        <f t="array" ref="T164">_xlfn.ANCHORARRAY(I164)+0.15</f>
        <v>1.65</v>
      </c>
      <c r="U164" cm="1">
        <f t="array" ref="U164">_xlfn.ANCHORARRAY(J164)+0.15</f>
        <v>3.15</v>
      </c>
      <c r="V164" cm="1">
        <f t="array" ref="V164">_xlfn.ANCHORARRAY(K164)+0.15</f>
        <v>3.65</v>
      </c>
      <c r="W164">
        <f>TBL_TEV[[#This Row],[Etica Rendita Bilanciata]]</f>
        <v>1.6018969999999999</v>
      </c>
      <c r="X164">
        <f>TBL_TEV[[#This Row],[Etica Obbligazionario Breve Termine]]</f>
        <v>0.33987299999999998</v>
      </c>
      <c r="Y164">
        <f>TBL_TEV[[#This Row],[Etica Obbligazionario Misto]]</f>
        <v>0.73435499999999998</v>
      </c>
      <c r="Z164">
        <f>TBL_TEV[[#This Row],[Etica Bilanciato]]</f>
        <v>2.3140269999999998</v>
      </c>
      <c r="AA164">
        <f>TBL_TEV[[#This Row],[Etica Azionario]]</f>
        <v>3.3661889999999999</v>
      </c>
      <c r="AB164">
        <f>TBL_TEV[[#This Row],[Etica Transizione Climatica]]</f>
        <v>2.5764330000000002</v>
      </c>
      <c r="AC164">
        <f>TBL_TEV[[#This Row],[Etica Obiettivo Sociale]]</f>
        <v>8.428614653581203</v>
      </c>
      <c r="AD164">
        <f>TBL_TEV[[#This Row],[Etica Conservative Allocation]]</f>
        <v>0.36734299999999898</v>
      </c>
      <c r="AE164">
        <f>TBL_TEV[[#This Row],[Etica Dynamic Allocation]]</f>
        <v>1.29581999999999</v>
      </c>
      <c r="AF164">
        <f>TBL_TEV[[#This Row],[Etica Global Equity]]</f>
        <v>2.7561450000000001</v>
      </c>
      <c r="AL164">
        <f ca="1"/>
        <v>1.6042780000000001</v>
      </c>
      <c r="AM164">
        <f ca="1"/>
        <v>0.33638099999999999</v>
      </c>
      <c r="AN164">
        <f ca="1"/>
        <v>0.73530700000000004</v>
      </c>
      <c r="AO164">
        <f ca="1"/>
        <v>2.3060900000000002</v>
      </c>
      <c r="AP164">
        <f ca="1"/>
        <v>3.3534899999999999</v>
      </c>
      <c r="AQ164">
        <f ca="1"/>
        <v>2.5937359999999998</v>
      </c>
      <c r="AR164">
        <f ca="1"/>
        <v>8.4402237980497006</v>
      </c>
      <c r="AS164">
        <f ca="1"/>
        <v>0.36305699999999902</v>
      </c>
      <c r="AT164">
        <f ca="1"/>
        <v>1.27883399999999</v>
      </c>
      <c r="AU164">
        <f ca="1"/>
        <v>2.7469380000000001</v>
      </c>
    </row>
    <row r="165" spans="1:47">
      <c r="A165" s="43">
        <f>TBL_TEV[[#This Row],[Data2]]</f>
        <v>45523</v>
      </c>
      <c r="B165" cm="1">
        <f t="array" ref="B165">_xlfn.XLOOKUP(_xlfn.ANCHORARRAY(A165), TBL_Limiti_CDA[Data], TBL_Limiti_CDA[Etica Rendita Bilanciata], , -1)</f>
        <v>2.5</v>
      </c>
      <c r="C165" cm="1">
        <f t="array" ref="C165">_xlfn.XLOOKUP(_xlfn.ANCHORARRAY(A165), TBL_Limiti_CDA[Data], TBL_Limiti_CDA[Etica Obbligazionario Breve Termine], , -1)</f>
        <v>0.5</v>
      </c>
      <c r="D165" cm="1">
        <f t="array" ref="D165">_xlfn.XLOOKUP(_xlfn.ANCHORARRAY(A165), TBL_Limiti_CDA[Data], TBL_Limiti_CDA[Etica Obbligazionario Misto], , -1)</f>
        <v>1.5</v>
      </c>
      <c r="E165" cm="1">
        <f t="array" ref="E165">_xlfn.XLOOKUP(_xlfn.ANCHORARRAY(A165), TBL_Limiti_CDA[Data], TBL_Limiti_CDA[Etica Bilanciato], , -1)</f>
        <v>3</v>
      </c>
      <c r="F165" cm="1">
        <f t="array" ref="F165">_xlfn.XLOOKUP(_xlfn.ANCHORARRAY(A165), TBL_Limiti_CDA[Data], TBL_Limiti_CDA[Etica Azionario], , -1)</f>
        <v>3.5</v>
      </c>
      <c r="G165" cm="1">
        <f t="array" ref="G165">_xlfn.XLOOKUP(_xlfn.ANCHORARRAY(A165), TBL_Limiti_CDA[Data], TBL_Limiti_CDA[Etica Transizione Climatica], , -1)</f>
        <v>2.75</v>
      </c>
      <c r="H165" cm="1">
        <f t="array" ref="H165">_xlfn.XLOOKUP(_xlfn.ANCHORARRAY(A165), TBL_Limiti_CDA[Data], TBL_Limiti_CDA[Etica Obiettivo Sociale], , -1)</f>
        <v>7.49</v>
      </c>
      <c r="I165" cm="1">
        <f t="array" ref="I165">_xlfn.XLOOKUP(_xlfn.ANCHORARRAY(A165), TBL_Limiti_CDA[Data], TBL_Limiti_CDA[Etica Conservative Allocation], , -1)</f>
        <v>1.5</v>
      </c>
      <c r="J165" cm="1">
        <f t="array" ref="J165">_xlfn.XLOOKUP(_xlfn.ANCHORARRAY(A165), TBL_Limiti_CDA[Data], TBL_Limiti_CDA[Etica Dynamic Allocation], , -1)</f>
        <v>3</v>
      </c>
      <c r="K165" cm="1">
        <f t="array" ref="K165">_xlfn.XLOOKUP(_xlfn.ANCHORARRAY(A165), TBL_Limiti_CDA[Data], TBL_Limiti_CDA[Etica Global Equity], , -1)</f>
        <v>3.5</v>
      </c>
      <c r="L165" cm="1">
        <f t="array" ref="L165">_xlfn.ANCHORARRAY(B165)+0.15</f>
        <v>2.65</v>
      </c>
      <c r="M165" cm="1">
        <f t="array" ref="M165">_xlfn.ANCHORARRAY(C165)+0.1</f>
        <v>0.6</v>
      </c>
      <c r="N165" cm="1">
        <f t="array" ref="N165">_xlfn.ANCHORARRAY(D165)+0.15</f>
        <v>1.65</v>
      </c>
      <c r="O165" cm="1">
        <f t="array" ref="O165">_xlfn.ANCHORARRAY(E165)+0.15</f>
        <v>3.15</v>
      </c>
      <c r="P165" cm="1">
        <f t="array" ref="P165">_xlfn.ANCHORARRAY(F165)+0.15</f>
        <v>3.65</v>
      </c>
      <c r="Q165" cm="1">
        <f t="array" ref="Q165">_xlfn.ANCHORARRAY(G165)+0.15</f>
        <v>2.9</v>
      </c>
      <c r="R165" cm="1">
        <f t="array" ref="R165">_xlfn.ANCHORARRAY(H165)</f>
        <v>7.49</v>
      </c>
      <c r="S165" cm="1">
        <f t="array" ref="S165">_xlfn.ANCHORARRAY(R165)+0.15</f>
        <v>7.6400000000000006</v>
      </c>
      <c r="T165" cm="1">
        <f t="array" ref="T165">_xlfn.ANCHORARRAY(I165)+0.15</f>
        <v>1.65</v>
      </c>
      <c r="U165" cm="1">
        <f t="array" ref="U165">_xlfn.ANCHORARRAY(J165)+0.15</f>
        <v>3.15</v>
      </c>
      <c r="V165" cm="1">
        <f t="array" ref="V165">_xlfn.ANCHORARRAY(K165)+0.15</f>
        <v>3.65</v>
      </c>
      <c r="W165">
        <f>TBL_TEV[[#This Row],[Etica Rendita Bilanciata]]</f>
        <v>1.6042780000000001</v>
      </c>
      <c r="X165">
        <f>TBL_TEV[[#This Row],[Etica Obbligazionario Breve Termine]]</f>
        <v>0.33638099999999999</v>
      </c>
      <c r="Y165">
        <f>TBL_TEV[[#This Row],[Etica Obbligazionario Misto]]</f>
        <v>0.73530700000000004</v>
      </c>
      <c r="Z165">
        <f>TBL_TEV[[#This Row],[Etica Bilanciato]]</f>
        <v>2.3060900000000002</v>
      </c>
      <c r="AA165">
        <f>TBL_TEV[[#This Row],[Etica Azionario]]</f>
        <v>3.3534899999999999</v>
      </c>
      <c r="AB165">
        <f>TBL_TEV[[#This Row],[Etica Transizione Climatica]]</f>
        <v>2.5937359999999998</v>
      </c>
      <c r="AC165">
        <f>TBL_TEV[[#This Row],[Etica Obiettivo Sociale]]</f>
        <v>8.4402237980497006</v>
      </c>
      <c r="AD165">
        <f>TBL_TEV[[#This Row],[Etica Conservative Allocation]]</f>
        <v>0.36305699999999902</v>
      </c>
      <c r="AE165">
        <f>TBL_TEV[[#This Row],[Etica Dynamic Allocation]]</f>
        <v>1.27883399999999</v>
      </c>
      <c r="AF165">
        <f>TBL_TEV[[#This Row],[Etica Global Equity]]</f>
        <v>2.7469380000000001</v>
      </c>
      <c r="AL165">
        <f ca="1"/>
        <v>1.5818950000000001</v>
      </c>
      <c r="AM165">
        <f ca="1"/>
        <v>0.33511099999999999</v>
      </c>
      <c r="AN165">
        <f ca="1"/>
        <v>0.73086200000000001</v>
      </c>
      <c r="AO165">
        <f ca="1"/>
        <v>2.274499</v>
      </c>
      <c r="AP165">
        <f ca="1"/>
        <v>3.2730060000000001</v>
      </c>
      <c r="AQ165">
        <f ca="1"/>
        <v>2.6083400000000001</v>
      </c>
      <c r="AR165">
        <f ca="1"/>
        <v>8.4355138205479161</v>
      </c>
      <c r="AS165">
        <f ca="1"/>
        <v>0.35877099999999901</v>
      </c>
      <c r="AT165">
        <f ca="1"/>
        <v>1.2618479999999901</v>
      </c>
      <c r="AU165">
        <f ca="1"/>
        <v>2.7377310000000001</v>
      </c>
    </row>
    <row r="166" spans="1:47">
      <c r="A166" s="43">
        <f>TBL_TEV[[#This Row],[Data2]]</f>
        <v>45524</v>
      </c>
      <c r="B166" cm="1">
        <f t="array" ref="B166">_xlfn.XLOOKUP(_xlfn.ANCHORARRAY(A166), TBL_Limiti_CDA[Data], TBL_Limiti_CDA[Etica Rendita Bilanciata], , -1)</f>
        <v>2.5</v>
      </c>
      <c r="C166" cm="1">
        <f t="array" ref="C166">_xlfn.XLOOKUP(_xlfn.ANCHORARRAY(A166), TBL_Limiti_CDA[Data], TBL_Limiti_CDA[Etica Obbligazionario Breve Termine], , -1)</f>
        <v>0.5</v>
      </c>
      <c r="D166" cm="1">
        <f t="array" ref="D166">_xlfn.XLOOKUP(_xlfn.ANCHORARRAY(A166), TBL_Limiti_CDA[Data], TBL_Limiti_CDA[Etica Obbligazionario Misto], , -1)</f>
        <v>1.5</v>
      </c>
      <c r="E166" cm="1">
        <f t="array" ref="E166">_xlfn.XLOOKUP(_xlfn.ANCHORARRAY(A166), TBL_Limiti_CDA[Data], TBL_Limiti_CDA[Etica Bilanciato], , -1)</f>
        <v>3</v>
      </c>
      <c r="F166" cm="1">
        <f t="array" ref="F166">_xlfn.XLOOKUP(_xlfn.ANCHORARRAY(A166), TBL_Limiti_CDA[Data], TBL_Limiti_CDA[Etica Azionario], , -1)</f>
        <v>3.5</v>
      </c>
      <c r="G166" cm="1">
        <f t="array" ref="G166">_xlfn.XLOOKUP(_xlfn.ANCHORARRAY(A166), TBL_Limiti_CDA[Data], TBL_Limiti_CDA[Etica Transizione Climatica], , -1)</f>
        <v>2.75</v>
      </c>
      <c r="H166" cm="1">
        <f t="array" ref="H166">_xlfn.XLOOKUP(_xlfn.ANCHORARRAY(A166), TBL_Limiti_CDA[Data], TBL_Limiti_CDA[Etica Obiettivo Sociale], , -1)</f>
        <v>7.49</v>
      </c>
      <c r="I166" cm="1">
        <f t="array" ref="I166">_xlfn.XLOOKUP(_xlfn.ANCHORARRAY(A166), TBL_Limiti_CDA[Data], TBL_Limiti_CDA[Etica Conservative Allocation], , -1)</f>
        <v>1.5</v>
      </c>
      <c r="J166" cm="1">
        <f t="array" ref="J166">_xlfn.XLOOKUP(_xlfn.ANCHORARRAY(A166), TBL_Limiti_CDA[Data], TBL_Limiti_CDA[Etica Dynamic Allocation], , -1)</f>
        <v>3</v>
      </c>
      <c r="K166" cm="1">
        <f t="array" ref="K166">_xlfn.XLOOKUP(_xlfn.ANCHORARRAY(A166), TBL_Limiti_CDA[Data], TBL_Limiti_CDA[Etica Global Equity], , -1)</f>
        <v>3.5</v>
      </c>
      <c r="L166" cm="1">
        <f t="array" ref="L166">_xlfn.ANCHORARRAY(B166)+0.15</f>
        <v>2.65</v>
      </c>
      <c r="M166" cm="1">
        <f t="array" ref="M166">_xlfn.ANCHORARRAY(C166)+0.1</f>
        <v>0.6</v>
      </c>
      <c r="N166" cm="1">
        <f t="array" ref="N166">_xlfn.ANCHORARRAY(D166)+0.15</f>
        <v>1.65</v>
      </c>
      <c r="O166" cm="1">
        <f t="array" ref="O166">_xlfn.ANCHORARRAY(E166)+0.15</f>
        <v>3.15</v>
      </c>
      <c r="P166" cm="1">
        <f t="array" ref="P166">_xlfn.ANCHORARRAY(F166)+0.15</f>
        <v>3.65</v>
      </c>
      <c r="Q166" cm="1">
        <f t="array" ref="Q166">_xlfn.ANCHORARRAY(G166)+0.15</f>
        <v>2.9</v>
      </c>
      <c r="R166" cm="1">
        <f t="array" ref="R166">_xlfn.ANCHORARRAY(H166)</f>
        <v>7.49</v>
      </c>
      <c r="S166" cm="1">
        <f t="array" ref="S166">_xlfn.ANCHORARRAY(R166)+0.15</f>
        <v>7.6400000000000006</v>
      </c>
      <c r="T166" cm="1">
        <f t="array" ref="T166">_xlfn.ANCHORARRAY(I166)+0.15</f>
        <v>1.65</v>
      </c>
      <c r="U166" cm="1">
        <f t="array" ref="U166">_xlfn.ANCHORARRAY(J166)+0.15</f>
        <v>3.15</v>
      </c>
      <c r="V166" cm="1">
        <f t="array" ref="V166">_xlfn.ANCHORARRAY(K166)+0.15</f>
        <v>3.65</v>
      </c>
      <c r="W166">
        <f>TBL_TEV[[#This Row],[Etica Rendita Bilanciata]]</f>
        <v>1.5818950000000001</v>
      </c>
      <c r="X166">
        <f>TBL_TEV[[#This Row],[Etica Obbligazionario Breve Termine]]</f>
        <v>0.33511099999999999</v>
      </c>
      <c r="Y166">
        <f>TBL_TEV[[#This Row],[Etica Obbligazionario Misto]]</f>
        <v>0.73086200000000001</v>
      </c>
      <c r="Z166">
        <f>TBL_TEV[[#This Row],[Etica Bilanciato]]</f>
        <v>2.274499</v>
      </c>
      <c r="AA166">
        <f>TBL_TEV[[#This Row],[Etica Azionario]]</f>
        <v>3.2730060000000001</v>
      </c>
      <c r="AB166">
        <f>TBL_TEV[[#This Row],[Etica Transizione Climatica]]</f>
        <v>2.6083400000000001</v>
      </c>
      <c r="AC166">
        <f>TBL_TEV[[#This Row],[Etica Obiettivo Sociale]]</f>
        <v>8.4355138205479161</v>
      </c>
      <c r="AD166">
        <f>TBL_TEV[[#This Row],[Etica Conservative Allocation]]</f>
        <v>0.35877099999999901</v>
      </c>
      <c r="AE166">
        <f>TBL_TEV[[#This Row],[Etica Dynamic Allocation]]</f>
        <v>1.2618479999999901</v>
      </c>
      <c r="AF166">
        <f>TBL_TEV[[#This Row],[Etica Global Equity]]</f>
        <v>2.7377310000000001</v>
      </c>
      <c r="AL166">
        <f ca="1"/>
        <v>1.578244</v>
      </c>
      <c r="AM166">
        <f ca="1"/>
        <v>0.33273000000000003</v>
      </c>
      <c r="AN166">
        <f ca="1"/>
        <v>0.73260899999999995</v>
      </c>
      <c r="AO166">
        <f ca="1"/>
        <v>2.262276</v>
      </c>
      <c r="AP166">
        <f ca="1"/>
        <v>3.2509399999999999</v>
      </c>
      <c r="AQ166">
        <f ca="1"/>
        <v>2.601197</v>
      </c>
      <c r="AR166">
        <f ca="1"/>
        <v>8.3349283088163464</v>
      </c>
      <c r="AS166">
        <f ca="1"/>
        <v>0.354484999999999</v>
      </c>
      <c r="AT166">
        <f ca="1"/>
        <v>1.2448619999999899</v>
      </c>
      <c r="AU166">
        <f ca="1"/>
        <v>2.7285240000000002</v>
      </c>
    </row>
    <row r="167" spans="1:47">
      <c r="A167" s="43">
        <f>TBL_TEV[[#This Row],[Data2]]</f>
        <v>45525</v>
      </c>
      <c r="B167" cm="1">
        <f t="array" ref="B167">_xlfn.XLOOKUP(_xlfn.ANCHORARRAY(A167), TBL_Limiti_CDA[Data], TBL_Limiti_CDA[Etica Rendita Bilanciata], , -1)</f>
        <v>2.5</v>
      </c>
      <c r="C167" cm="1">
        <f t="array" ref="C167">_xlfn.XLOOKUP(_xlfn.ANCHORARRAY(A167), TBL_Limiti_CDA[Data], TBL_Limiti_CDA[Etica Obbligazionario Breve Termine], , -1)</f>
        <v>0.5</v>
      </c>
      <c r="D167" cm="1">
        <f t="array" ref="D167">_xlfn.XLOOKUP(_xlfn.ANCHORARRAY(A167), TBL_Limiti_CDA[Data], TBL_Limiti_CDA[Etica Obbligazionario Misto], , -1)</f>
        <v>1.5</v>
      </c>
      <c r="E167" cm="1">
        <f t="array" ref="E167">_xlfn.XLOOKUP(_xlfn.ANCHORARRAY(A167), TBL_Limiti_CDA[Data], TBL_Limiti_CDA[Etica Bilanciato], , -1)</f>
        <v>3</v>
      </c>
      <c r="F167" cm="1">
        <f t="array" ref="F167">_xlfn.XLOOKUP(_xlfn.ANCHORARRAY(A167), TBL_Limiti_CDA[Data], TBL_Limiti_CDA[Etica Azionario], , -1)</f>
        <v>3.5</v>
      </c>
      <c r="G167" cm="1">
        <f t="array" ref="G167">_xlfn.XLOOKUP(_xlfn.ANCHORARRAY(A167), TBL_Limiti_CDA[Data], TBL_Limiti_CDA[Etica Transizione Climatica], , -1)</f>
        <v>2.75</v>
      </c>
      <c r="H167" cm="1">
        <f t="array" ref="H167">_xlfn.XLOOKUP(_xlfn.ANCHORARRAY(A167), TBL_Limiti_CDA[Data], TBL_Limiti_CDA[Etica Obiettivo Sociale], , -1)</f>
        <v>7.49</v>
      </c>
      <c r="I167" cm="1">
        <f t="array" ref="I167">_xlfn.XLOOKUP(_xlfn.ANCHORARRAY(A167), TBL_Limiti_CDA[Data], TBL_Limiti_CDA[Etica Conservative Allocation], , -1)</f>
        <v>1.5</v>
      </c>
      <c r="J167" cm="1">
        <f t="array" ref="J167">_xlfn.XLOOKUP(_xlfn.ANCHORARRAY(A167), TBL_Limiti_CDA[Data], TBL_Limiti_CDA[Etica Dynamic Allocation], , -1)</f>
        <v>3</v>
      </c>
      <c r="K167" cm="1">
        <f t="array" ref="K167">_xlfn.XLOOKUP(_xlfn.ANCHORARRAY(A167), TBL_Limiti_CDA[Data], TBL_Limiti_CDA[Etica Global Equity], , -1)</f>
        <v>3.5</v>
      </c>
      <c r="L167" cm="1">
        <f t="array" ref="L167">_xlfn.ANCHORARRAY(B167)+0.15</f>
        <v>2.65</v>
      </c>
      <c r="M167" cm="1">
        <f t="array" ref="M167">_xlfn.ANCHORARRAY(C167)+0.1</f>
        <v>0.6</v>
      </c>
      <c r="N167" cm="1">
        <f t="array" ref="N167">_xlfn.ANCHORARRAY(D167)+0.15</f>
        <v>1.65</v>
      </c>
      <c r="O167" cm="1">
        <f t="array" ref="O167">_xlfn.ANCHORARRAY(E167)+0.15</f>
        <v>3.15</v>
      </c>
      <c r="P167" cm="1">
        <f t="array" ref="P167">_xlfn.ANCHORARRAY(F167)+0.15</f>
        <v>3.65</v>
      </c>
      <c r="Q167" cm="1">
        <f t="array" ref="Q167">_xlfn.ANCHORARRAY(G167)+0.15</f>
        <v>2.9</v>
      </c>
      <c r="R167" cm="1">
        <f t="array" ref="R167">_xlfn.ANCHORARRAY(H167)</f>
        <v>7.49</v>
      </c>
      <c r="S167" cm="1">
        <f t="array" ref="S167">_xlfn.ANCHORARRAY(R167)+0.15</f>
        <v>7.6400000000000006</v>
      </c>
      <c r="T167" cm="1">
        <f t="array" ref="T167">_xlfn.ANCHORARRAY(I167)+0.15</f>
        <v>1.65</v>
      </c>
      <c r="U167" cm="1">
        <f t="array" ref="U167">_xlfn.ANCHORARRAY(J167)+0.15</f>
        <v>3.15</v>
      </c>
      <c r="V167" cm="1">
        <f t="array" ref="V167">_xlfn.ANCHORARRAY(K167)+0.15</f>
        <v>3.65</v>
      </c>
      <c r="W167">
        <f>TBL_TEV[[#This Row],[Etica Rendita Bilanciata]]</f>
        <v>1.578244</v>
      </c>
      <c r="X167">
        <f>TBL_TEV[[#This Row],[Etica Obbligazionario Breve Termine]]</f>
        <v>0.33273000000000003</v>
      </c>
      <c r="Y167">
        <f>TBL_TEV[[#This Row],[Etica Obbligazionario Misto]]</f>
        <v>0.73260899999999995</v>
      </c>
      <c r="Z167">
        <f>TBL_TEV[[#This Row],[Etica Bilanciato]]</f>
        <v>2.262276</v>
      </c>
      <c r="AA167">
        <f>TBL_TEV[[#This Row],[Etica Azionario]]</f>
        <v>3.2509399999999999</v>
      </c>
      <c r="AB167">
        <f>TBL_TEV[[#This Row],[Etica Transizione Climatica]]</f>
        <v>2.601197</v>
      </c>
      <c r="AC167">
        <f>TBL_TEV[[#This Row],[Etica Obiettivo Sociale]]</f>
        <v>8.3349283088163464</v>
      </c>
      <c r="AD167">
        <f>TBL_TEV[[#This Row],[Etica Conservative Allocation]]</f>
        <v>0.354484999999999</v>
      </c>
      <c r="AE167">
        <f>TBL_TEV[[#This Row],[Etica Dynamic Allocation]]</f>
        <v>1.2448619999999899</v>
      </c>
      <c r="AF167">
        <f>TBL_TEV[[#This Row],[Etica Global Equity]]</f>
        <v>2.7285240000000002</v>
      </c>
      <c r="AL167">
        <f ca="1"/>
        <v>1.5558609999999999</v>
      </c>
      <c r="AM167">
        <f ca="1"/>
        <v>0.33145999999999998</v>
      </c>
      <c r="AN167">
        <f ca="1"/>
        <v>0.72324299999999997</v>
      </c>
      <c r="AO167">
        <f ca="1"/>
        <v>2.2379880000000001</v>
      </c>
      <c r="AP167">
        <f ca="1"/>
        <v>3.219033</v>
      </c>
      <c r="AQ167">
        <f ca="1"/>
        <v>2.5648439999999999</v>
      </c>
      <c r="AR167">
        <f ca="1"/>
        <v>8.2028768821223697</v>
      </c>
      <c r="AS167">
        <f ca="1"/>
        <v>0.35019899999999898</v>
      </c>
      <c r="AT167">
        <f ca="1"/>
        <v>1.22787599999999</v>
      </c>
      <c r="AU167">
        <f ca="1"/>
        <v>2.7193170000000002</v>
      </c>
    </row>
    <row r="168" spans="1:47">
      <c r="A168" s="43">
        <f>TBL_TEV[[#This Row],[Data2]]</f>
        <v>45526</v>
      </c>
      <c r="B168" cm="1">
        <f t="array" ref="B168">_xlfn.XLOOKUP(_xlfn.ANCHORARRAY(A168), TBL_Limiti_CDA[Data], TBL_Limiti_CDA[Etica Rendita Bilanciata], , -1)</f>
        <v>2.5</v>
      </c>
      <c r="C168" cm="1">
        <f t="array" ref="C168">_xlfn.XLOOKUP(_xlfn.ANCHORARRAY(A168), TBL_Limiti_CDA[Data], TBL_Limiti_CDA[Etica Obbligazionario Breve Termine], , -1)</f>
        <v>0.5</v>
      </c>
      <c r="D168" cm="1">
        <f t="array" ref="D168">_xlfn.XLOOKUP(_xlfn.ANCHORARRAY(A168), TBL_Limiti_CDA[Data], TBL_Limiti_CDA[Etica Obbligazionario Misto], , -1)</f>
        <v>1.5</v>
      </c>
      <c r="E168" cm="1">
        <f t="array" ref="E168">_xlfn.XLOOKUP(_xlfn.ANCHORARRAY(A168), TBL_Limiti_CDA[Data], TBL_Limiti_CDA[Etica Bilanciato], , -1)</f>
        <v>3</v>
      </c>
      <c r="F168" cm="1">
        <f t="array" ref="F168">_xlfn.XLOOKUP(_xlfn.ANCHORARRAY(A168), TBL_Limiti_CDA[Data], TBL_Limiti_CDA[Etica Azionario], , -1)</f>
        <v>3.5</v>
      </c>
      <c r="G168" cm="1">
        <f t="array" ref="G168">_xlfn.XLOOKUP(_xlfn.ANCHORARRAY(A168), TBL_Limiti_CDA[Data], TBL_Limiti_CDA[Etica Transizione Climatica], , -1)</f>
        <v>2.75</v>
      </c>
      <c r="H168" cm="1">
        <f t="array" ref="H168">_xlfn.XLOOKUP(_xlfn.ANCHORARRAY(A168), TBL_Limiti_CDA[Data], TBL_Limiti_CDA[Etica Obiettivo Sociale], , -1)</f>
        <v>7.49</v>
      </c>
      <c r="I168" cm="1">
        <f t="array" ref="I168">_xlfn.XLOOKUP(_xlfn.ANCHORARRAY(A168), TBL_Limiti_CDA[Data], TBL_Limiti_CDA[Etica Conservative Allocation], , -1)</f>
        <v>1.5</v>
      </c>
      <c r="J168" cm="1">
        <f t="array" ref="J168">_xlfn.XLOOKUP(_xlfn.ANCHORARRAY(A168), TBL_Limiti_CDA[Data], TBL_Limiti_CDA[Etica Dynamic Allocation], , -1)</f>
        <v>3</v>
      </c>
      <c r="K168" cm="1">
        <f t="array" ref="K168">_xlfn.XLOOKUP(_xlfn.ANCHORARRAY(A168), TBL_Limiti_CDA[Data], TBL_Limiti_CDA[Etica Global Equity], , -1)</f>
        <v>3.5</v>
      </c>
      <c r="L168" cm="1">
        <f t="array" ref="L168">_xlfn.ANCHORARRAY(B168)+0.15</f>
        <v>2.65</v>
      </c>
      <c r="M168" cm="1">
        <f t="array" ref="M168">_xlfn.ANCHORARRAY(C168)+0.1</f>
        <v>0.6</v>
      </c>
      <c r="N168" cm="1">
        <f t="array" ref="N168">_xlfn.ANCHORARRAY(D168)+0.15</f>
        <v>1.65</v>
      </c>
      <c r="O168" cm="1">
        <f t="array" ref="O168">_xlfn.ANCHORARRAY(E168)+0.15</f>
        <v>3.15</v>
      </c>
      <c r="P168" cm="1">
        <f t="array" ref="P168">_xlfn.ANCHORARRAY(F168)+0.15</f>
        <v>3.65</v>
      </c>
      <c r="Q168" cm="1">
        <f t="array" ref="Q168">_xlfn.ANCHORARRAY(G168)+0.15</f>
        <v>2.9</v>
      </c>
      <c r="R168" cm="1">
        <f t="array" ref="R168">_xlfn.ANCHORARRAY(H168)</f>
        <v>7.49</v>
      </c>
      <c r="S168" cm="1">
        <f t="array" ref="S168">_xlfn.ANCHORARRAY(R168)+0.15</f>
        <v>7.6400000000000006</v>
      </c>
      <c r="T168" cm="1">
        <f t="array" ref="T168">_xlfn.ANCHORARRAY(I168)+0.15</f>
        <v>1.65</v>
      </c>
      <c r="U168" cm="1">
        <f t="array" ref="U168">_xlfn.ANCHORARRAY(J168)+0.15</f>
        <v>3.15</v>
      </c>
      <c r="V168" cm="1">
        <f t="array" ref="V168">_xlfn.ANCHORARRAY(K168)+0.15</f>
        <v>3.65</v>
      </c>
      <c r="W168">
        <f>TBL_TEV[[#This Row],[Etica Rendita Bilanciata]]</f>
        <v>1.5558609999999999</v>
      </c>
      <c r="X168">
        <f>TBL_TEV[[#This Row],[Etica Obbligazionario Breve Termine]]</f>
        <v>0.33145999999999998</v>
      </c>
      <c r="Y168">
        <f>TBL_TEV[[#This Row],[Etica Obbligazionario Misto]]</f>
        <v>0.72324299999999997</v>
      </c>
      <c r="Z168">
        <f>TBL_TEV[[#This Row],[Etica Bilanciato]]</f>
        <v>2.2379880000000001</v>
      </c>
      <c r="AA168">
        <f>TBL_TEV[[#This Row],[Etica Azionario]]</f>
        <v>3.219033</v>
      </c>
      <c r="AB168">
        <f>TBL_TEV[[#This Row],[Etica Transizione Climatica]]</f>
        <v>2.5648439999999999</v>
      </c>
      <c r="AC168">
        <f>TBL_TEV[[#This Row],[Etica Obiettivo Sociale]]</f>
        <v>8.2028768821223697</v>
      </c>
      <c r="AD168">
        <f>TBL_TEV[[#This Row],[Etica Conservative Allocation]]</f>
        <v>0.35019899999999898</v>
      </c>
      <c r="AE168">
        <f>TBL_TEV[[#This Row],[Etica Dynamic Allocation]]</f>
        <v>1.22787599999999</v>
      </c>
      <c r="AF168">
        <f>TBL_TEV[[#This Row],[Etica Global Equity]]</f>
        <v>2.7193170000000002</v>
      </c>
      <c r="AL168">
        <f ca="1"/>
        <v>1.5698300000000001</v>
      </c>
      <c r="AM168">
        <f ca="1"/>
        <v>0.329237</v>
      </c>
      <c r="AN168">
        <f ca="1"/>
        <v>0.72975100000000004</v>
      </c>
      <c r="AO168">
        <f ca="1"/>
        <v>2.2497349999999998</v>
      </c>
      <c r="AP168">
        <f ca="1"/>
        <v>3.2318910000000001</v>
      </c>
      <c r="AQ168">
        <f ca="1"/>
        <v>2.5870690000000001</v>
      </c>
      <c r="AR168">
        <f ca="1"/>
        <v>8.2126407098167906</v>
      </c>
      <c r="AS168">
        <f ca="1"/>
        <v>0.34591299999999903</v>
      </c>
      <c r="AT168">
        <f ca="1"/>
        <v>1.21088999999999</v>
      </c>
      <c r="AU168">
        <f ca="1"/>
        <v>2.7101099999999998</v>
      </c>
    </row>
    <row r="169" spans="1:47">
      <c r="A169" s="43">
        <f>TBL_TEV[[#This Row],[Data2]]</f>
        <v>45527</v>
      </c>
      <c r="B169" cm="1">
        <f t="array" ref="B169">_xlfn.XLOOKUP(_xlfn.ANCHORARRAY(A169), TBL_Limiti_CDA[Data], TBL_Limiti_CDA[Etica Rendita Bilanciata], , -1)</f>
        <v>2.5</v>
      </c>
      <c r="C169" cm="1">
        <f t="array" ref="C169">_xlfn.XLOOKUP(_xlfn.ANCHORARRAY(A169), TBL_Limiti_CDA[Data], TBL_Limiti_CDA[Etica Obbligazionario Breve Termine], , -1)</f>
        <v>0.5</v>
      </c>
      <c r="D169" cm="1">
        <f t="array" ref="D169">_xlfn.XLOOKUP(_xlfn.ANCHORARRAY(A169), TBL_Limiti_CDA[Data], TBL_Limiti_CDA[Etica Obbligazionario Misto], , -1)</f>
        <v>1.5</v>
      </c>
      <c r="E169" cm="1">
        <f t="array" ref="E169">_xlfn.XLOOKUP(_xlfn.ANCHORARRAY(A169), TBL_Limiti_CDA[Data], TBL_Limiti_CDA[Etica Bilanciato], , -1)</f>
        <v>3</v>
      </c>
      <c r="F169" cm="1">
        <f t="array" ref="F169">_xlfn.XLOOKUP(_xlfn.ANCHORARRAY(A169), TBL_Limiti_CDA[Data], TBL_Limiti_CDA[Etica Azionario], , -1)</f>
        <v>3.5</v>
      </c>
      <c r="G169" cm="1">
        <f t="array" ref="G169">_xlfn.XLOOKUP(_xlfn.ANCHORARRAY(A169), TBL_Limiti_CDA[Data], TBL_Limiti_CDA[Etica Transizione Climatica], , -1)</f>
        <v>2.75</v>
      </c>
      <c r="H169" cm="1">
        <f t="array" ref="H169">_xlfn.XLOOKUP(_xlfn.ANCHORARRAY(A169), TBL_Limiti_CDA[Data], TBL_Limiti_CDA[Etica Obiettivo Sociale], , -1)</f>
        <v>7.49</v>
      </c>
      <c r="I169" cm="1">
        <f t="array" ref="I169">_xlfn.XLOOKUP(_xlfn.ANCHORARRAY(A169), TBL_Limiti_CDA[Data], TBL_Limiti_CDA[Etica Conservative Allocation], , -1)</f>
        <v>1.5</v>
      </c>
      <c r="J169" cm="1">
        <f t="array" ref="J169">_xlfn.XLOOKUP(_xlfn.ANCHORARRAY(A169), TBL_Limiti_CDA[Data], TBL_Limiti_CDA[Etica Dynamic Allocation], , -1)</f>
        <v>3</v>
      </c>
      <c r="K169" cm="1">
        <f t="array" ref="K169">_xlfn.XLOOKUP(_xlfn.ANCHORARRAY(A169), TBL_Limiti_CDA[Data], TBL_Limiti_CDA[Etica Global Equity], , -1)</f>
        <v>3.5</v>
      </c>
      <c r="L169" cm="1">
        <f t="array" ref="L169">_xlfn.ANCHORARRAY(B169)+0.15</f>
        <v>2.65</v>
      </c>
      <c r="M169" cm="1">
        <f t="array" ref="M169">_xlfn.ANCHORARRAY(C169)+0.1</f>
        <v>0.6</v>
      </c>
      <c r="N169" cm="1">
        <f t="array" ref="N169">_xlfn.ANCHORARRAY(D169)+0.15</f>
        <v>1.65</v>
      </c>
      <c r="O169" cm="1">
        <f t="array" ref="O169">_xlfn.ANCHORARRAY(E169)+0.15</f>
        <v>3.15</v>
      </c>
      <c r="P169" cm="1">
        <f t="array" ref="P169">_xlfn.ANCHORARRAY(F169)+0.15</f>
        <v>3.65</v>
      </c>
      <c r="Q169" cm="1">
        <f t="array" ref="Q169">_xlfn.ANCHORARRAY(G169)+0.15</f>
        <v>2.9</v>
      </c>
      <c r="R169" cm="1">
        <f t="array" ref="R169">_xlfn.ANCHORARRAY(H169)</f>
        <v>7.49</v>
      </c>
      <c r="S169" cm="1">
        <f t="array" ref="S169">_xlfn.ANCHORARRAY(R169)+0.15</f>
        <v>7.6400000000000006</v>
      </c>
      <c r="T169" cm="1">
        <f t="array" ref="T169">_xlfn.ANCHORARRAY(I169)+0.15</f>
        <v>1.65</v>
      </c>
      <c r="U169" cm="1">
        <f t="array" ref="U169">_xlfn.ANCHORARRAY(J169)+0.15</f>
        <v>3.15</v>
      </c>
      <c r="V169" cm="1">
        <f t="array" ref="V169">_xlfn.ANCHORARRAY(K169)+0.15</f>
        <v>3.65</v>
      </c>
      <c r="W169">
        <f>TBL_TEV[[#This Row],[Etica Rendita Bilanciata]]</f>
        <v>1.5698300000000001</v>
      </c>
      <c r="X169">
        <f>TBL_TEV[[#This Row],[Etica Obbligazionario Breve Termine]]</f>
        <v>0.329237</v>
      </c>
      <c r="Y169">
        <f>TBL_TEV[[#This Row],[Etica Obbligazionario Misto]]</f>
        <v>0.72975100000000004</v>
      </c>
      <c r="Z169">
        <f>TBL_TEV[[#This Row],[Etica Bilanciato]]</f>
        <v>2.2497349999999998</v>
      </c>
      <c r="AA169">
        <f>TBL_TEV[[#This Row],[Etica Azionario]]</f>
        <v>3.2318910000000001</v>
      </c>
      <c r="AB169">
        <f>TBL_TEV[[#This Row],[Etica Transizione Climatica]]</f>
        <v>2.5870690000000001</v>
      </c>
      <c r="AC169">
        <f>TBL_TEV[[#This Row],[Etica Obiettivo Sociale]]</f>
        <v>8.2126407098167906</v>
      </c>
      <c r="AD169">
        <f>TBL_TEV[[#This Row],[Etica Conservative Allocation]]</f>
        <v>0.34591299999999903</v>
      </c>
      <c r="AE169">
        <f>TBL_TEV[[#This Row],[Etica Dynamic Allocation]]</f>
        <v>1.21088999999999</v>
      </c>
      <c r="AF169">
        <f>TBL_TEV[[#This Row],[Etica Global Equity]]</f>
        <v>2.7101099999999998</v>
      </c>
      <c r="AL169">
        <f ca="1"/>
        <v>1.554273</v>
      </c>
      <c r="AM169">
        <f ca="1"/>
        <v>0.32622099999999998</v>
      </c>
      <c r="AN169">
        <f ca="1"/>
        <v>0.72355999999999998</v>
      </c>
      <c r="AO169">
        <f ca="1"/>
        <v>2.234178</v>
      </c>
      <c r="AP169">
        <f ca="1"/>
        <v>3.2112539999999998</v>
      </c>
      <c r="AQ169">
        <f ca="1"/>
        <v>2.5615109999999999</v>
      </c>
      <c r="AR169">
        <f ca="1"/>
        <v>8.1239165341947146</v>
      </c>
      <c r="AS169">
        <f ca="1"/>
        <v>0.34162699999999901</v>
      </c>
      <c r="AT169">
        <f ca="1"/>
        <v>1.1939039999999901</v>
      </c>
      <c r="AU169">
        <f ca="1"/>
        <v>2.7009029999999998</v>
      </c>
    </row>
    <row r="170" spans="1:47">
      <c r="A170" s="43">
        <f>TBL_TEV[[#This Row],[Data2]]</f>
        <v>45530</v>
      </c>
      <c r="B170" cm="1">
        <f t="array" ref="B170">_xlfn.XLOOKUP(_xlfn.ANCHORARRAY(A170), TBL_Limiti_CDA[Data], TBL_Limiti_CDA[Etica Rendita Bilanciata], , -1)</f>
        <v>2.5</v>
      </c>
      <c r="C170" cm="1">
        <f t="array" ref="C170">_xlfn.XLOOKUP(_xlfn.ANCHORARRAY(A170), TBL_Limiti_CDA[Data], TBL_Limiti_CDA[Etica Obbligazionario Breve Termine], , -1)</f>
        <v>0.5</v>
      </c>
      <c r="D170" cm="1">
        <f t="array" ref="D170">_xlfn.XLOOKUP(_xlfn.ANCHORARRAY(A170), TBL_Limiti_CDA[Data], TBL_Limiti_CDA[Etica Obbligazionario Misto], , -1)</f>
        <v>1.5</v>
      </c>
      <c r="E170" cm="1">
        <f t="array" ref="E170">_xlfn.XLOOKUP(_xlfn.ANCHORARRAY(A170), TBL_Limiti_CDA[Data], TBL_Limiti_CDA[Etica Bilanciato], , -1)</f>
        <v>3</v>
      </c>
      <c r="F170" cm="1">
        <f t="array" ref="F170">_xlfn.XLOOKUP(_xlfn.ANCHORARRAY(A170), TBL_Limiti_CDA[Data], TBL_Limiti_CDA[Etica Azionario], , -1)</f>
        <v>3.5</v>
      </c>
      <c r="G170" cm="1">
        <f t="array" ref="G170">_xlfn.XLOOKUP(_xlfn.ANCHORARRAY(A170), TBL_Limiti_CDA[Data], TBL_Limiti_CDA[Etica Transizione Climatica], , -1)</f>
        <v>2.75</v>
      </c>
      <c r="H170" cm="1">
        <f t="array" ref="H170">_xlfn.XLOOKUP(_xlfn.ANCHORARRAY(A170), TBL_Limiti_CDA[Data], TBL_Limiti_CDA[Etica Obiettivo Sociale], , -1)</f>
        <v>7.49</v>
      </c>
      <c r="I170" cm="1">
        <f t="array" ref="I170">_xlfn.XLOOKUP(_xlfn.ANCHORARRAY(A170), TBL_Limiti_CDA[Data], TBL_Limiti_CDA[Etica Conservative Allocation], , -1)</f>
        <v>1.5</v>
      </c>
      <c r="J170" cm="1">
        <f t="array" ref="J170">_xlfn.XLOOKUP(_xlfn.ANCHORARRAY(A170), TBL_Limiti_CDA[Data], TBL_Limiti_CDA[Etica Dynamic Allocation], , -1)</f>
        <v>3</v>
      </c>
      <c r="K170" cm="1">
        <f t="array" ref="K170">_xlfn.XLOOKUP(_xlfn.ANCHORARRAY(A170), TBL_Limiti_CDA[Data], TBL_Limiti_CDA[Etica Global Equity], , -1)</f>
        <v>3.5</v>
      </c>
      <c r="L170" cm="1">
        <f t="array" ref="L170">_xlfn.ANCHORARRAY(B170)+0.15</f>
        <v>2.65</v>
      </c>
      <c r="M170" cm="1">
        <f t="array" ref="M170">_xlfn.ANCHORARRAY(C170)+0.1</f>
        <v>0.6</v>
      </c>
      <c r="N170" cm="1">
        <f t="array" ref="N170">_xlfn.ANCHORARRAY(D170)+0.15</f>
        <v>1.65</v>
      </c>
      <c r="O170" cm="1">
        <f t="array" ref="O170">_xlfn.ANCHORARRAY(E170)+0.15</f>
        <v>3.15</v>
      </c>
      <c r="P170" cm="1">
        <f t="array" ref="P170">_xlfn.ANCHORARRAY(F170)+0.15</f>
        <v>3.65</v>
      </c>
      <c r="Q170" cm="1">
        <f t="array" ref="Q170">_xlfn.ANCHORARRAY(G170)+0.15</f>
        <v>2.9</v>
      </c>
      <c r="R170" cm="1">
        <f t="array" ref="R170">_xlfn.ANCHORARRAY(H170)</f>
        <v>7.49</v>
      </c>
      <c r="S170" cm="1">
        <f t="array" ref="S170">_xlfn.ANCHORARRAY(R170)+0.15</f>
        <v>7.6400000000000006</v>
      </c>
      <c r="T170" cm="1">
        <f t="array" ref="T170">_xlfn.ANCHORARRAY(I170)+0.15</f>
        <v>1.65</v>
      </c>
      <c r="U170" cm="1">
        <f t="array" ref="U170">_xlfn.ANCHORARRAY(J170)+0.15</f>
        <v>3.15</v>
      </c>
      <c r="V170" cm="1">
        <f t="array" ref="V170">_xlfn.ANCHORARRAY(K170)+0.15</f>
        <v>3.65</v>
      </c>
      <c r="W170">
        <f>TBL_TEV[[#This Row],[Etica Rendita Bilanciata]]</f>
        <v>1.554273</v>
      </c>
      <c r="X170">
        <f>TBL_TEV[[#This Row],[Etica Obbligazionario Breve Termine]]</f>
        <v>0.32622099999999998</v>
      </c>
      <c r="Y170">
        <f>TBL_TEV[[#This Row],[Etica Obbligazionario Misto]]</f>
        <v>0.72355999999999998</v>
      </c>
      <c r="Z170">
        <f>TBL_TEV[[#This Row],[Etica Bilanciato]]</f>
        <v>2.234178</v>
      </c>
      <c r="AA170">
        <f>TBL_TEV[[#This Row],[Etica Azionario]]</f>
        <v>3.2112539999999998</v>
      </c>
      <c r="AB170">
        <f>TBL_TEV[[#This Row],[Etica Transizione Climatica]]</f>
        <v>2.5615109999999999</v>
      </c>
      <c r="AC170">
        <f>TBL_TEV[[#This Row],[Etica Obiettivo Sociale]]</f>
        <v>8.1239165341947146</v>
      </c>
      <c r="AD170">
        <f>TBL_TEV[[#This Row],[Etica Conservative Allocation]]</f>
        <v>0.34162699999999901</v>
      </c>
      <c r="AE170">
        <f>TBL_TEV[[#This Row],[Etica Dynamic Allocation]]</f>
        <v>1.1939039999999901</v>
      </c>
      <c r="AF170">
        <f>TBL_TEV[[#This Row],[Etica Global Equity]]</f>
        <v>2.7009029999999998</v>
      </c>
      <c r="AL170">
        <f ca="1"/>
        <v>1.5485580000000001</v>
      </c>
      <c r="AM170">
        <f ca="1"/>
        <v>0.32161800000000001</v>
      </c>
      <c r="AN170">
        <f ca="1"/>
        <v>0.72228999999999999</v>
      </c>
      <c r="AO170">
        <f ca="1"/>
        <v>2.2152880000000001</v>
      </c>
      <c r="AP170">
        <f ca="1"/>
        <v>3.173473</v>
      </c>
      <c r="AQ170">
        <f ca="1"/>
        <v>2.5626220000000002</v>
      </c>
      <c r="AR170">
        <f ca="1"/>
        <v>8.1381943213218371</v>
      </c>
      <c r="AS170">
        <f ca="1"/>
        <v>0.337340999999999</v>
      </c>
      <c r="AT170">
        <f ca="1"/>
        <v>1.1769179999999899</v>
      </c>
      <c r="AU170">
        <f ca="1"/>
        <v>2.6916959999999999</v>
      </c>
    </row>
    <row r="171" spans="1:47">
      <c r="A171" s="43">
        <f>TBL_TEV[[#This Row],[Data2]]</f>
        <v>45531</v>
      </c>
      <c r="B171" cm="1">
        <f t="array" ref="B171">_xlfn.XLOOKUP(_xlfn.ANCHORARRAY(A171), TBL_Limiti_CDA[Data], TBL_Limiti_CDA[Etica Rendita Bilanciata], , -1)</f>
        <v>2.5</v>
      </c>
      <c r="C171" cm="1">
        <f t="array" ref="C171">_xlfn.XLOOKUP(_xlfn.ANCHORARRAY(A171), TBL_Limiti_CDA[Data], TBL_Limiti_CDA[Etica Obbligazionario Breve Termine], , -1)</f>
        <v>0.5</v>
      </c>
      <c r="D171" cm="1">
        <f t="array" ref="D171">_xlfn.XLOOKUP(_xlfn.ANCHORARRAY(A171), TBL_Limiti_CDA[Data], TBL_Limiti_CDA[Etica Obbligazionario Misto], , -1)</f>
        <v>1.5</v>
      </c>
      <c r="E171" cm="1">
        <f t="array" ref="E171">_xlfn.XLOOKUP(_xlfn.ANCHORARRAY(A171), TBL_Limiti_CDA[Data], TBL_Limiti_CDA[Etica Bilanciato], , -1)</f>
        <v>3</v>
      </c>
      <c r="F171" cm="1">
        <f t="array" ref="F171">_xlfn.XLOOKUP(_xlfn.ANCHORARRAY(A171), TBL_Limiti_CDA[Data], TBL_Limiti_CDA[Etica Azionario], , -1)</f>
        <v>3.5</v>
      </c>
      <c r="G171" cm="1">
        <f t="array" ref="G171">_xlfn.XLOOKUP(_xlfn.ANCHORARRAY(A171), TBL_Limiti_CDA[Data], TBL_Limiti_CDA[Etica Transizione Climatica], , -1)</f>
        <v>2.75</v>
      </c>
      <c r="H171" cm="1">
        <f t="array" ref="H171">_xlfn.XLOOKUP(_xlfn.ANCHORARRAY(A171), TBL_Limiti_CDA[Data], TBL_Limiti_CDA[Etica Obiettivo Sociale], , -1)</f>
        <v>7.49</v>
      </c>
      <c r="I171" cm="1">
        <f t="array" ref="I171">_xlfn.XLOOKUP(_xlfn.ANCHORARRAY(A171), TBL_Limiti_CDA[Data], TBL_Limiti_CDA[Etica Conservative Allocation], , -1)</f>
        <v>1.5</v>
      </c>
      <c r="J171" cm="1">
        <f t="array" ref="J171">_xlfn.XLOOKUP(_xlfn.ANCHORARRAY(A171), TBL_Limiti_CDA[Data], TBL_Limiti_CDA[Etica Dynamic Allocation], , -1)</f>
        <v>3</v>
      </c>
      <c r="K171" cm="1">
        <f t="array" ref="K171">_xlfn.XLOOKUP(_xlfn.ANCHORARRAY(A171), TBL_Limiti_CDA[Data], TBL_Limiti_CDA[Etica Global Equity], , -1)</f>
        <v>3.5</v>
      </c>
      <c r="L171" cm="1">
        <f t="array" ref="L171">_xlfn.ANCHORARRAY(B171)+0.15</f>
        <v>2.65</v>
      </c>
      <c r="M171" cm="1">
        <f t="array" ref="M171">_xlfn.ANCHORARRAY(C171)+0.1</f>
        <v>0.6</v>
      </c>
      <c r="N171" cm="1">
        <f t="array" ref="N171">_xlfn.ANCHORARRAY(D171)+0.15</f>
        <v>1.65</v>
      </c>
      <c r="O171" cm="1">
        <f t="array" ref="O171">_xlfn.ANCHORARRAY(E171)+0.15</f>
        <v>3.15</v>
      </c>
      <c r="P171" cm="1">
        <f t="array" ref="P171">_xlfn.ANCHORARRAY(F171)+0.15</f>
        <v>3.65</v>
      </c>
      <c r="Q171" cm="1">
        <f t="array" ref="Q171">_xlfn.ANCHORARRAY(G171)+0.15</f>
        <v>2.9</v>
      </c>
      <c r="R171" cm="1">
        <f t="array" ref="R171">_xlfn.ANCHORARRAY(H171)</f>
        <v>7.49</v>
      </c>
      <c r="S171" cm="1">
        <f t="array" ref="S171">_xlfn.ANCHORARRAY(R171)+0.15</f>
        <v>7.6400000000000006</v>
      </c>
      <c r="T171" cm="1">
        <f t="array" ref="T171">_xlfn.ANCHORARRAY(I171)+0.15</f>
        <v>1.65</v>
      </c>
      <c r="U171" cm="1">
        <f t="array" ref="U171">_xlfn.ANCHORARRAY(J171)+0.15</f>
        <v>3.15</v>
      </c>
      <c r="V171" cm="1">
        <f t="array" ref="V171">_xlfn.ANCHORARRAY(K171)+0.15</f>
        <v>3.65</v>
      </c>
      <c r="W171">
        <f>TBL_TEV[[#This Row],[Etica Rendita Bilanciata]]</f>
        <v>1.5485580000000001</v>
      </c>
      <c r="X171">
        <f>TBL_TEV[[#This Row],[Etica Obbligazionario Breve Termine]]</f>
        <v>0.32161800000000001</v>
      </c>
      <c r="Y171">
        <f>TBL_TEV[[#This Row],[Etica Obbligazionario Misto]]</f>
        <v>0.72228999999999999</v>
      </c>
      <c r="Z171">
        <f>TBL_TEV[[#This Row],[Etica Bilanciato]]</f>
        <v>2.2152880000000001</v>
      </c>
      <c r="AA171">
        <f>TBL_TEV[[#This Row],[Etica Azionario]]</f>
        <v>3.173473</v>
      </c>
      <c r="AB171">
        <f>TBL_TEV[[#This Row],[Etica Transizione Climatica]]</f>
        <v>2.5626220000000002</v>
      </c>
      <c r="AC171">
        <f>TBL_TEV[[#This Row],[Etica Obiettivo Sociale]]</f>
        <v>8.1381943213218371</v>
      </c>
      <c r="AD171">
        <f>TBL_TEV[[#This Row],[Etica Conservative Allocation]]</f>
        <v>0.337340999999999</v>
      </c>
      <c r="AE171">
        <f>TBL_TEV[[#This Row],[Etica Dynamic Allocation]]</f>
        <v>1.1769179999999899</v>
      </c>
      <c r="AF171">
        <f>TBL_TEV[[#This Row],[Etica Global Equity]]</f>
        <v>2.6916959999999999</v>
      </c>
      <c r="AL171">
        <f ca="1"/>
        <v>1.533954</v>
      </c>
      <c r="AM171">
        <f ca="1"/>
        <v>0.31971300000000002</v>
      </c>
      <c r="AN171">
        <f ca="1"/>
        <v>0.71832099999999999</v>
      </c>
      <c r="AO171">
        <f ca="1"/>
        <v>2.1963970000000002</v>
      </c>
      <c r="AP171">
        <f ca="1"/>
        <v>3.1493440000000001</v>
      </c>
      <c r="AQ171">
        <f ca="1"/>
        <v>2.532778</v>
      </c>
      <c r="AR171">
        <f ca="1"/>
        <v>7.7874708578690157</v>
      </c>
      <c r="AS171">
        <f ca="1"/>
        <v>0.33305499999999899</v>
      </c>
      <c r="AT171">
        <f ca="1"/>
        <v>1.15993199999999</v>
      </c>
      <c r="AU171">
        <f ca="1"/>
        <v>2.6824889999999999</v>
      </c>
    </row>
    <row r="172" spans="1:47">
      <c r="A172" s="43">
        <f>TBL_TEV[[#This Row],[Data2]]</f>
        <v>45532</v>
      </c>
      <c r="B172" cm="1">
        <f t="array" ref="B172">_xlfn.XLOOKUP(_xlfn.ANCHORARRAY(A172), TBL_Limiti_CDA[Data], TBL_Limiti_CDA[Etica Rendita Bilanciata], , -1)</f>
        <v>2.5</v>
      </c>
      <c r="C172" cm="1">
        <f t="array" ref="C172">_xlfn.XLOOKUP(_xlfn.ANCHORARRAY(A172), TBL_Limiti_CDA[Data], TBL_Limiti_CDA[Etica Obbligazionario Breve Termine], , -1)</f>
        <v>0.5</v>
      </c>
      <c r="D172" cm="1">
        <f t="array" ref="D172">_xlfn.XLOOKUP(_xlfn.ANCHORARRAY(A172), TBL_Limiti_CDA[Data], TBL_Limiti_CDA[Etica Obbligazionario Misto], , -1)</f>
        <v>1.5</v>
      </c>
      <c r="E172" cm="1">
        <f t="array" ref="E172">_xlfn.XLOOKUP(_xlfn.ANCHORARRAY(A172), TBL_Limiti_CDA[Data], TBL_Limiti_CDA[Etica Bilanciato], , -1)</f>
        <v>3</v>
      </c>
      <c r="F172" cm="1">
        <f t="array" ref="F172">_xlfn.XLOOKUP(_xlfn.ANCHORARRAY(A172), TBL_Limiti_CDA[Data], TBL_Limiti_CDA[Etica Azionario], , -1)</f>
        <v>3.5</v>
      </c>
      <c r="G172" cm="1">
        <f t="array" ref="G172">_xlfn.XLOOKUP(_xlfn.ANCHORARRAY(A172), TBL_Limiti_CDA[Data], TBL_Limiti_CDA[Etica Transizione Climatica], , -1)</f>
        <v>2.75</v>
      </c>
      <c r="H172" cm="1">
        <f t="array" ref="H172">_xlfn.XLOOKUP(_xlfn.ANCHORARRAY(A172), TBL_Limiti_CDA[Data], TBL_Limiti_CDA[Etica Obiettivo Sociale], , -1)</f>
        <v>7.49</v>
      </c>
      <c r="I172" cm="1">
        <f t="array" ref="I172">_xlfn.XLOOKUP(_xlfn.ANCHORARRAY(A172), TBL_Limiti_CDA[Data], TBL_Limiti_CDA[Etica Conservative Allocation], , -1)</f>
        <v>1.5</v>
      </c>
      <c r="J172" cm="1">
        <f t="array" ref="J172">_xlfn.XLOOKUP(_xlfn.ANCHORARRAY(A172), TBL_Limiti_CDA[Data], TBL_Limiti_CDA[Etica Dynamic Allocation], , -1)</f>
        <v>3</v>
      </c>
      <c r="K172" cm="1">
        <f t="array" ref="K172">_xlfn.XLOOKUP(_xlfn.ANCHORARRAY(A172), TBL_Limiti_CDA[Data], TBL_Limiti_CDA[Etica Global Equity], , -1)</f>
        <v>3.5</v>
      </c>
      <c r="L172" cm="1">
        <f t="array" ref="L172">_xlfn.ANCHORARRAY(B172)+0.15</f>
        <v>2.65</v>
      </c>
      <c r="M172" cm="1">
        <f t="array" ref="M172">_xlfn.ANCHORARRAY(C172)+0.1</f>
        <v>0.6</v>
      </c>
      <c r="N172" cm="1">
        <f t="array" ref="N172">_xlfn.ANCHORARRAY(D172)+0.15</f>
        <v>1.65</v>
      </c>
      <c r="O172" cm="1">
        <f t="array" ref="O172">_xlfn.ANCHORARRAY(E172)+0.15</f>
        <v>3.15</v>
      </c>
      <c r="P172" cm="1">
        <f t="array" ref="P172">_xlfn.ANCHORARRAY(F172)+0.15</f>
        <v>3.65</v>
      </c>
      <c r="Q172" cm="1">
        <f t="array" ref="Q172">_xlfn.ANCHORARRAY(G172)+0.15</f>
        <v>2.9</v>
      </c>
      <c r="R172" cm="1">
        <f t="array" ref="R172">_xlfn.ANCHORARRAY(H172)</f>
        <v>7.49</v>
      </c>
      <c r="S172" cm="1">
        <f t="array" ref="S172">_xlfn.ANCHORARRAY(R172)+0.15</f>
        <v>7.6400000000000006</v>
      </c>
      <c r="T172" cm="1">
        <f t="array" ref="T172">_xlfn.ANCHORARRAY(I172)+0.15</f>
        <v>1.65</v>
      </c>
      <c r="U172" cm="1">
        <f t="array" ref="U172">_xlfn.ANCHORARRAY(J172)+0.15</f>
        <v>3.15</v>
      </c>
      <c r="V172" cm="1">
        <f t="array" ref="V172">_xlfn.ANCHORARRAY(K172)+0.15</f>
        <v>3.65</v>
      </c>
      <c r="W172">
        <f>TBL_TEV[[#This Row],[Etica Rendita Bilanciata]]</f>
        <v>1.533954</v>
      </c>
      <c r="X172">
        <f>TBL_TEV[[#This Row],[Etica Obbligazionario Breve Termine]]</f>
        <v>0.31971300000000002</v>
      </c>
      <c r="Y172">
        <f>TBL_TEV[[#This Row],[Etica Obbligazionario Misto]]</f>
        <v>0.71832099999999999</v>
      </c>
      <c r="Z172">
        <f>TBL_TEV[[#This Row],[Etica Bilanciato]]</f>
        <v>2.1963970000000002</v>
      </c>
      <c r="AA172">
        <f>TBL_TEV[[#This Row],[Etica Azionario]]</f>
        <v>3.1493440000000001</v>
      </c>
      <c r="AB172">
        <f>TBL_TEV[[#This Row],[Etica Transizione Climatica]]</f>
        <v>2.532778</v>
      </c>
      <c r="AC172">
        <f>TBL_TEV[[#This Row],[Etica Obiettivo Sociale]]</f>
        <v>7.7874708578690157</v>
      </c>
      <c r="AD172">
        <f>TBL_TEV[[#This Row],[Etica Conservative Allocation]]</f>
        <v>0.33305499999999899</v>
      </c>
      <c r="AE172">
        <f>TBL_TEV[[#This Row],[Etica Dynamic Allocation]]</f>
        <v>1.15993199999999</v>
      </c>
      <c r="AF172">
        <f>TBL_TEV[[#This Row],[Etica Global Equity]]</f>
        <v>2.6824889999999999</v>
      </c>
      <c r="AL172">
        <f ca="1"/>
        <v>1.518238</v>
      </c>
      <c r="AM172">
        <f ca="1"/>
        <v>0.31828400000000001</v>
      </c>
      <c r="AN172">
        <f ca="1"/>
        <v>0.71641699999999997</v>
      </c>
      <c r="AO172">
        <f ca="1"/>
        <v>2.1768709999999998</v>
      </c>
      <c r="AP172">
        <f ca="1"/>
        <v>3.1098159999999999</v>
      </c>
      <c r="AQ172">
        <f ca="1"/>
        <v>2.477217</v>
      </c>
      <c r="AR172">
        <f ca="1"/>
        <v>8.0872545533716451</v>
      </c>
      <c r="AS172">
        <f ca="1"/>
        <v>0.32876899999999898</v>
      </c>
      <c r="AT172">
        <f ca="1"/>
        <v>1.14294599999999</v>
      </c>
      <c r="AU172">
        <f ca="1"/>
        <v>2.6732819999999999</v>
      </c>
    </row>
    <row r="173" spans="1:47">
      <c r="A173" s="43">
        <f>TBL_TEV[[#This Row],[Data2]]</f>
        <v>45533</v>
      </c>
      <c r="B173" cm="1">
        <f t="array" ref="B173">_xlfn.XLOOKUP(_xlfn.ANCHORARRAY(A173), TBL_Limiti_CDA[Data], TBL_Limiti_CDA[Etica Rendita Bilanciata], , -1)</f>
        <v>2.5</v>
      </c>
      <c r="C173" cm="1">
        <f t="array" ref="C173">_xlfn.XLOOKUP(_xlfn.ANCHORARRAY(A173), TBL_Limiti_CDA[Data], TBL_Limiti_CDA[Etica Obbligazionario Breve Termine], , -1)</f>
        <v>0.5</v>
      </c>
      <c r="D173" cm="1">
        <f t="array" ref="D173">_xlfn.XLOOKUP(_xlfn.ANCHORARRAY(A173), TBL_Limiti_CDA[Data], TBL_Limiti_CDA[Etica Obbligazionario Misto], , -1)</f>
        <v>1.5</v>
      </c>
      <c r="E173" cm="1">
        <f t="array" ref="E173">_xlfn.XLOOKUP(_xlfn.ANCHORARRAY(A173), TBL_Limiti_CDA[Data], TBL_Limiti_CDA[Etica Bilanciato], , -1)</f>
        <v>3</v>
      </c>
      <c r="F173" cm="1">
        <f t="array" ref="F173">_xlfn.XLOOKUP(_xlfn.ANCHORARRAY(A173), TBL_Limiti_CDA[Data], TBL_Limiti_CDA[Etica Azionario], , -1)</f>
        <v>3.5</v>
      </c>
      <c r="G173" cm="1">
        <f t="array" ref="G173">_xlfn.XLOOKUP(_xlfn.ANCHORARRAY(A173), TBL_Limiti_CDA[Data], TBL_Limiti_CDA[Etica Transizione Climatica], , -1)</f>
        <v>2.75</v>
      </c>
      <c r="H173" cm="1">
        <f t="array" ref="H173">_xlfn.XLOOKUP(_xlfn.ANCHORARRAY(A173), TBL_Limiti_CDA[Data], TBL_Limiti_CDA[Etica Obiettivo Sociale], , -1)</f>
        <v>7.49</v>
      </c>
      <c r="I173" cm="1">
        <f t="array" ref="I173">_xlfn.XLOOKUP(_xlfn.ANCHORARRAY(A173), TBL_Limiti_CDA[Data], TBL_Limiti_CDA[Etica Conservative Allocation], , -1)</f>
        <v>1.5</v>
      </c>
      <c r="J173" cm="1">
        <f t="array" ref="J173">_xlfn.XLOOKUP(_xlfn.ANCHORARRAY(A173), TBL_Limiti_CDA[Data], TBL_Limiti_CDA[Etica Dynamic Allocation], , -1)</f>
        <v>3</v>
      </c>
      <c r="K173" cm="1">
        <f t="array" ref="K173">_xlfn.XLOOKUP(_xlfn.ANCHORARRAY(A173), TBL_Limiti_CDA[Data], TBL_Limiti_CDA[Etica Global Equity], , -1)</f>
        <v>3.5</v>
      </c>
      <c r="L173" cm="1">
        <f t="array" ref="L173">_xlfn.ANCHORARRAY(B173)+0.15</f>
        <v>2.65</v>
      </c>
      <c r="M173" cm="1">
        <f t="array" ref="M173">_xlfn.ANCHORARRAY(C173)+0.1</f>
        <v>0.6</v>
      </c>
      <c r="N173" cm="1">
        <f t="array" ref="N173">_xlfn.ANCHORARRAY(D173)+0.15</f>
        <v>1.65</v>
      </c>
      <c r="O173" cm="1">
        <f t="array" ref="O173">_xlfn.ANCHORARRAY(E173)+0.15</f>
        <v>3.15</v>
      </c>
      <c r="P173" cm="1">
        <f t="array" ref="P173">_xlfn.ANCHORARRAY(F173)+0.15</f>
        <v>3.65</v>
      </c>
      <c r="Q173" cm="1">
        <f t="array" ref="Q173">_xlfn.ANCHORARRAY(G173)+0.15</f>
        <v>2.9</v>
      </c>
      <c r="R173" cm="1">
        <f t="array" ref="R173">_xlfn.ANCHORARRAY(H173)</f>
        <v>7.49</v>
      </c>
      <c r="S173" cm="1">
        <f t="array" ref="S173">_xlfn.ANCHORARRAY(R173)+0.15</f>
        <v>7.6400000000000006</v>
      </c>
      <c r="T173" cm="1">
        <f t="array" ref="T173">_xlfn.ANCHORARRAY(I173)+0.15</f>
        <v>1.65</v>
      </c>
      <c r="U173" cm="1">
        <f t="array" ref="U173">_xlfn.ANCHORARRAY(J173)+0.15</f>
        <v>3.15</v>
      </c>
      <c r="V173" cm="1">
        <f t="array" ref="V173">_xlfn.ANCHORARRAY(K173)+0.15</f>
        <v>3.65</v>
      </c>
      <c r="W173">
        <f>TBL_TEV[[#This Row],[Etica Rendita Bilanciata]]</f>
        <v>1.518238</v>
      </c>
      <c r="X173">
        <f>TBL_TEV[[#This Row],[Etica Obbligazionario Breve Termine]]</f>
        <v>0.31828400000000001</v>
      </c>
      <c r="Y173">
        <f>TBL_TEV[[#This Row],[Etica Obbligazionario Misto]]</f>
        <v>0.71641699999999997</v>
      </c>
      <c r="Z173">
        <f>TBL_TEV[[#This Row],[Etica Bilanciato]]</f>
        <v>2.1768709999999998</v>
      </c>
      <c r="AA173">
        <f>TBL_TEV[[#This Row],[Etica Azionario]]</f>
        <v>3.1098159999999999</v>
      </c>
      <c r="AB173">
        <f>TBL_TEV[[#This Row],[Etica Transizione Climatica]]</f>
        <v>2.477217</v>
      </c>
      <c r="AC173">
        <f>TBL_TEV[[#This Row],[Etica Obiettivo Sociale]]</f>
        <v>8.0872545533716451</v>
      </c>
      <c r="AD173">
        <f>TBL_TEV[[#This Row],[Etica Conservative Allocation]]</f>
        <v>0.32876899999999898</v>
      </c>
      <c r="AE173">
        <f>TBL_TEV[[#This Row],[Etica Dynamic Allocation]]</f>
        <v>1.14294599999999</v>
      </c>
      <c r="AF173">
        <f>TBL_TEV[[#This Row],[Etica Global Equity]]</f>
        <v>2.6732819999999999</v>
      </c>
      <c r="AL173">
        <f ca="1"/>
        <v>1.509031</v>
      </c>
      <c r="AM173">
        <f ca="1"/>
        <v>0.36479600000000001</v>
      </c>
      <c r="AN173">
        <f ca="1"/>
        <v>0.68609600000000004</v>
      </c>
      <c r="AO173">
        <f ca="1"/>
        <v>2.165124</v>
      </c>
      <c r="AP173">
        <f ca="1"/>
        <v>3.0950530000000001</v>
      </c>
      <c r="AQ173">
        <f ca="1"/>
        <v>2.4662639999999998</v>
      </c>
      <c r="AR173">
        <f ca="1"/>
        <v>8.0511737429014563</v>
      </c>
      <c r="AS173">
        <f ca="1"/>
        <v>0.32448299999999902</v>
      </c>
      <c r="AT173">
        <f ca="1"/>
        <v>1.1259599999999901</v>
      </c>
      <c r="AU173">
        <f ca="1"/>
        <v>2.664075</v>
      </c>
    </row>
    <row r="174" spans="1:47">
      <c r="A174" s="43">
        <f>TBL_TEV[[#This Row],[Data2]]</f>
        <v>45534</v>
      </c>
      <c r="B174" cm="1">
        <f t="array" ref="B174">_xlfn.XLOOKUP(_xlfn.ANCHORARRAY(A174), TBL_Limiti_CDA[Data], TBL_Limiti_CDA[Etica Rendita Bilanciata], , -1)</f>
        <v>2.5</v>
      </c>
      <c r="C174" cm="1">
        <f t="array" ref="C174">_xlfn.XLOOKUP(_xlfn.ANCHORARRAY(A174), TBL_Limiti_CDA[Data], TBL_Limiti_CDA[Etica Obbligazionario Breve Termine], , -1)</f>
        <v>0.5</v>
      </c>
      <c r="D174" cm="1">
        <f t="array" ref="D174">_xlfn.XLOOKUP(_xlfn.ANCHORARRAY(A174), TBL_Limiti_CDA[Data], TBL_Limiti_CDA[Etica Obbligazionario Misto], , -1)</f>
        <v>1.5</v>
      </c>
      <c r="E174" cm="1">
        <f t="array" ref="E174">_xlfn.XLOOKUP(_xlfn.ANCHORARRAY(A174), TBL_Limiti_CDA[Data], TBL_Limiti_CDA[Etica Bilanciato], , -1)</f>
        <v>3</v>
      </c>
      <c r="F174" cm="1">
        <f t="array" ref="F174">_xlfn.XLOOKUP(_xlfn.ANCHORARRAY(A174), TBL_Limiti_CDA[Data], TBL_Limiti_CDA[Etica Azionario], , -1)</f>
        <v>3.5</v>
      </c>
      <c r="G174" cm="1">
        <f t="array" ref="G174">_xlfn.XLOOKUP(_xlfn.ANCHORARRAY(A174), TBL_Limiti_CDA[Data], TBL_Limiti_CDA[Etica Transizione Climatica], , -1)</f>
        <v>2.75</v>
      </c>
      <c r="H174" cm="1">
        <f t="array" ref="H174">_xlfn.XLOOKUP(_xlfn.ANCHORARRAY(A174), TBL_Limiti_CDA[Data], TBL_Limiti_CDA[Etica Obiettivo Sociale], , -1)</f>
        <v>7.49</v>
      </c>
      <c r="I174" cm="1">
        <f t="array" ref="I174">_xlfn.XLOOKUP(_xlfn.ANCHORARRAY(A174), TBL_Limiti_CDA[Data], TBL_Limiti_CDA[Etica Conservative Allocation], , -1)</f>
        <v>1.5</v>
      </c>
      <c r="J174" cm="1">
        <f t="array" ref="J174">_xlfn.XLOOKUP(_xlfn.ANCHORARRAY(A174), TBL_Limiti_CDA[Data], TBL_Limiti_CDA[Etica Dynamic Allocation], , -1)</f>
        <v>3</v>
      </c>
      <c r="K174" cm="1">
        <f t="array" ref="K174">_xlfn.XLOOKUP(_xlfn.ANCHORARRAY(A174), TBL_Limiti_CDA[Data], TBL_Limiti_CDA[Etica Global Equity], , -1)</f>
        <v>3.5</v>
      </c>
      <c r="L174" cm="1">
        <f t="array" ref="L174">_xlfn.ANCHORARRAY(B174)+0.15</f>
        <v>2.65</v>
      </c>
      <c r="M174" cm="1">
        <f t="array" ref="M174">_xlfn.ANCHORARRAY(C174)+0.1</f>
        <v>0.6</v>
      </c>
      <c r="N174" cm="1">
        <f t="array" ref="N174">_xlfn.ANCHORARRAY(D174)+0.15</f>
        <v>1.65</v>
      </c>
      <c r="O174" cm="1">
        <f t="array" ref="O174">_xlfn.ANCHORARRAY(E174)+0.15</f>
        <v>3.15</v>
      </c>
      <c r="P174" cm="1">
        <f t="array" ref="P174">_xlfn.ANCHORARRAY(F174)+0.15</f>
        <v>3.65</v>
      </c>
      <c r="Q174" cm="1">
        <f t="array" ref="Q174">_xlfn.ANCHORARRAY(G174)+0.15</f>
        <v>2.9</v>
      </c>
      <c r="R174" cm="1">
        <f t="array" ref="R174">_xlfn.ANCHORARRAY(H174)</f>
        <v>7.49</v>
      </c>
      <c r="S174" cm="1">
        <f t="array" ref="S174">_xlfn.ANCHORARRAY(R174)+0.15</f>
        <v>7.6400000000000006</v>
      </c>
      <c r="T174" cm="1">
        <f t="array" ref="T174">_xlfn.ANCHORARRAY(I174)+0.15</f>
        <v>1.65</v>
      </c>
      <c r="U174" cm="1">
        <f t="array" ref="U174">_xlfn.ANCHORARRAY(J174)+0.15</f>
        <v>3.15</v>
      </c>
      <c r="V174" cm="1">
        <f t="array" ref="V174">_xlfn.ANCHORARRAY(K174)+0.15</f>
        <v>3.65</v>
      </c>
      <c r="W174">
        <f>TBL_TEV[[#This Row],[Etica Rendita Bilanciata]]</f>
        <v>1.509031</v>
      </c>
      <c r="X174">
        <f>TBL_TEV[[#This Row],[Etica Obbligazionario Breve Termine]]</f>
        <v>0.36479600000000001</v>
      </c>
      <c r="Y174">
        <f>TBL_TEV[[#This Row],[Etica Obbligazionario Misto]]</f>
        <v>0.68609600000000004</v>
      </c>
      <c r="Z174">
        <f>TBL_TEV[[#This Row],[Etica Bilanciato]]</f>
        <v>2.165124</v>
      </c>
      <c r="AA174">
        <f>TBL_TEV[[#This Row],[Etica Azionario]]</f>
        <v>3.0950530000000001</v>
      </c>
      <c r="AB174">
        <f>TBL_TEV[[#This Row],[Etica Transizione Climatica]]</f>
        <v>2.4662639999999998</v>
      </c>
      <c r="AC174">
        <f>TBL_TEV[[#This Row],[Etica Obiettivo Sociale]]</f>
        <v>8.0511737429014563</v>
      </c>
      <c r="AD174">
        <f>TBL_TEV[[#This Row],[Etica Conservative Allocation]]</f>
        <v>0.32448299999999902</v>
      </c>
      <c r="AE174">
        <f>TBL_TEV[[#This Row],[Etica Dynamic Allocation]]</f>
        <v>1.1259599999999901</v>
      </c>
      <c r="AF174">
        <f>TBL_TEV[[#This Row],[Etica Global Equity]]</f>
        <v>2.664075</v>
      </c>
      <c r="AL174">
        <f ca="1"/>
        <v>1.5074430000000001</v>
      </c>
      <c r="AM174">
        <f ca="1"/>
        <v>0.366701</v>
      </c>
      <c r="AN174">
        <f ca="1"/>
        <v>0.68387399999999998</v>
      </c>
      <c r="AO174">
        <f ca="1"/>
        <v>2.1581389999999998</v>
      </c>
      <c r="AP174">
        <f ca="1"/>
        <v>3.0790199999999999</v>
      </c>
      <c r="AQ174">
        <f ca="1"/>
        <v>2.4586440000000001</v>
      </c>
      <c r="AR174">
        <f ca="1"/>
        <v>7.8824401661900172</v>
      </c>
      <c r="AS174">
        <f ca="1"/>
        <v>0.72244900000000001</v>
      </c>
      <c r="AT174">
        <f ca="1"/>
        <v>2.0825770000000001</v>
      </c>
      <c r="AU174">
        <f ca="1"/>
        <v>2.9572620000000001</v>
      </c>
    </row>
    <row r="175" spans="1:47">
      <c r="A175" s="43">
        <f>TBL_TEV[[#This Row],[Data2]]</f>
        <v>45537</v>
      </c>
      <c r="B175" cm="1">
        <f t="array" ref="B175">_xlfn.XLOOKUP(_xlfn.ANCHORARRAY(A175), TBL_Limiti_CDA[Data], TBL_Limiti_CDA[Etica Rendita Bilanciata], , -1)</f>
        <v>2.5</v>
      </c>
      <c r="C175" cm="1">
        <f t="array" ref="C175">_xlfn.XLOOKUP(_xlfn.ANCHORARRAY(A175), TBL_Limiti_CDA[Data], TBL_Limiti_CDA[Etica Obbligazionario Breve Termine], , -1)</f>
        <v>0.5</v>
      </c>
      <c r="D175" cm="1">
        <f t="array" ref="D175">_xlfn.XLOOKUP(_xlfn.ANCHORARRAY(A175), TBL_Limiti_CDA[Data], TBL_Limiti_CDA[Etica Obbligazionario Misto], , -1)</f>
        <v>1.5</v>
      </c>
      <c r="E175" cm="1">
        <f t="array" ref="E175">_xlfn.XLOOKUP(_xlfn.ANCHORARRAY(A175), TBL_Limiti_CDA[Data], TBL_Limiti_CDA[Etica Bilanciato], , -1)</f>
        <v>3</v>
      </c>
      <c r="F175" cm="1">
        <f t="array" ref="F175">_xlfn.XLOOKUP(_xlfn.ANCHORARRAY(A175), TBL_Limiti_CDA[Data], TBL_Limiti_CDA[Etica Azionario], , -1)</f>
        <v>3.5</v>
      </c>
      <c r="G175" cm="1">
        <f t="array" ref="G175">_xlfn.XLOOKUP(_xlfn.ANCHORARRAY(A175), TBL_Limiti_CDA[Data], TBL_Limiti_CDA[Etica Transizione Climatica], , -1)</f>
        <v>2.75</v>
      </c>
      <c r="H175" cm="1">
        <f t="array" ref="H175">_xlfn.XLOOKUP(_xlfn.ANCHORARRAY(A175), TBL_Limiti_CDA[Data], TBL_Limiti_CDA[Etica Obiettivo Sociale], , -1)</f>
        <v>7.49</v>
      </c>
      <c r="I175" cm="1">
        <f t="array" ref="I175">_xlfn.XLOOKUP(_xlfn.ANCHORARRAY(A175), TBL_Limiti_CDA[Data], TBL_Limiti_CDA[Etica Conservative Allocation], , -1)</f>
        <v>1.5</v>
      </c>
      <c r="J175" cm="1">
        <f t="array" ref="J175">_xlfn.XLOOKUP(_xlfn.ANCHORARRAY(A175), TBL_Limiti_CDA[Data], TBL_Limiti_CDA[Etica Dynamic Allocation], , -1)</f>
        <v>3</v>
      </c>
      <c r="K175" cm="1">
        <f t="array" ref="K175">_xlfn.XLOOKUP(_xlfn.ANCHORARRAY(A175), TBL_Limiti_CDA[Data], TBL_Limiti_CDA[Etica Global Equity], , -1)</f>
        <v>3.5</v>
      </c>
      <c r="L175" cm="1">
        <f t="array" ref="L175">_xlfn.ANCHORARRAY(B175)+0.15</f>
        <v>2.65</v>
      </c>
      <c r="M175" cm="1">
        <f t="array" ref="M175">_xlfn.ANCHORARRAY(C175)+0.1</f>
        <v>0.6</v>
      </c>
      <c r="N175" cm="1">
        <f t="array" ref="N175">_xlfn.ANCHORARRAY(D175)+0.15</f>
        <v>1.65</v>
      </c>
      <c r="O175" cm="1">
        <f t="array" ref="O175">_xlfn.ANCHORARRAY(E175)+0.15</f>
        <v>3.15</v>
      </c>
      <c r="P175" cm="1">
        <f t="array" ref="P175">_xlfn.ANCHORARRAY(F175)+0.15</f>
        <v>3.65</v>
      </c>
      <c r="Q175" cm="1">
        <f t="array" ref="Q175">_xlfn.ANCHORARRAY(G175)+0.15</f>
        <v>2.9</v>
      </c>
      <c r="R175" cm="1">
        <f t="array" ref="R175">_xlfn.ANCHORARRAY(H175)</f>
        <v>7.49</v>
      </c>
      <c r="S175" cm="1">
        <f t="array" ref="S175">_xlfn.ANCHORARRAY(R175)+0.15</f>
        <v>7.6400000000000006</v>
      </c>
      <c r="T175" cm="1">
        <f t="array" ref="T175">_xlfn.ANCHORARRAY(I175)+0.15</f>
        <v>1.65</v>
      </c>
      <c r="U175" cm="1">
        <f t="array" ref="U175">_xlfn.ANCHORARRAY(J175)+0.15</f>
        <v>3.15</v>
      </c>
      <c r="V175" cm="1">
        <f t="array" ref="V175">_xlfn.ANCHORARRAY(K175)+0.15</f>
        <v>3.65</v>
      </c>
      <c r="W175">
        <f>TBL_TEV[[#This Row],[Etica Rendita Bilanciata]]</f>
        <v>1.5074430000000001</v>
      </c>
      <c r="X175">
        <f>TBL_TEV[[#This Row],[Etica Obbligazionario Breve Termine]]</f>
        <v>0.366701</v>
      </c>
      <c r="Y175">
        <f>TBL_TEV[[#This Row],[Etica Obbligazionario Misto]]</f>
        <v>0.68387399999999998</v>
      </c>
      <c r="Z175">
        <f>TBL_TEV[[#This Row],[Etica Bilanciato]]</f>
        <v>2.1581389999999998</v>
      </c>
      <c r="AA175">
        <f>TBL_TEV[[#This Row],[Etica Azionario]]</f>
        <v>3.0790199999999999</v>
      </c>
      <c r="AB175">
        <f>TBL_TEV[[#This Row],[Etica Transizione Climatica]]</f>
        <v>2.4586440000000001</v>
      </c>
      <c r="AC175">
        <f>TBL_TEV[[#This Row],[Etica Obiettivo Sociale]]</f>
        <v>7.8824401661900172</v>
      </c>
      <c r="AD175">
        <f>TBL_TEV[[#This Row],[Etica Conservative Allocation]]</f>
        <v>0.72244900000000001</v>
      </c>
      <c r="AE175">
        <f>TBL_TEV[[#This Row],[Etica Dynamic Allocation]]</f>
        <v>2.0825770000000001</v>
      </c>
      <c r="AF175">
        <f>TBL_TEV[[#This Row],[Etica Global Equity]]</f>
        <v>2.9572620000000001</v>
      </c>
      <c r="AL175">
        <f ca="1"/>
        <v>1.4672810000000001</v>
      </c>
      <c r="AM175">
        <f ca="1"/>
        <v>0.36527199999999999</v>
      </c>
      <c r="AN175">
        <f ca="1"/>
        <v>0.67260299999999995</v>
      </c>
      <c r="AO175">
        <f ca="1"/>
        <v>2.1208339999999999</v>
      </c>
      <c r="AP175">
        <f ca="1"/>
        <v>3.0390160000000002</v>
      </c>
      <c r="AQ175">
        <f ca="1"/>
        <v>2.398479</v>
      </c>
      <c r="AR175">
        <f ca="1"/>
        <v>7.7238496566245347</v>
      </c>
      <c r="AS175">
        <f ca="1"/>
        <v>0.72244900000000001</v>
      </c>
      <c r="AT175">
        <f ca="1"/>
        <v>2.0825770000000001</v>
      </c>
      <c r="AU175">
        <f ca="1"/>
        <v>2.9572620000000001</v>
      </c>
    </row>
    <row r="176" spans="1:47">
      <c r="A176" s="43">
        <f>TBL_TEV[[#This Row],[Data2]]</f>
        <v>45538</v>
      </c>
      <c r="B176" cm="1">
        <f t="array" ref="B176">_xlfn.XLOOKUP(_xlfn.ANCHORARRAY(A176), TBL_Limiti_CDA[Data], TBL_Limiti_CDA[Etica Rendita Bilanciata], , -1)</f>
        <v>2.5</v>
      </c>
      <c r="C176" cm="1">
        <f t="array" ref="C176">_xlfn.XLOOKUP(_xlfn.ANCHORARRAY(A176), TBL_Limiti_CDA[Data], TBL_Limiti_CDA[Etica Obbligazionario Breve Termine], , -1)</f>
        <v>0.5</v>
      </c>
      <c r="D176" cm="1">
        <f t="array" ref="D176">_xlfn.XLOOKUP(_xlfn.ANCHORARRAY(A176), TBL_Limiti_CDA[Data], TBL_Limiti_CDA[Etica Obbligazionario Misto], , -1)</f>
        <v>1.5</v>
      </c>
      <c r="E176" cm="1">
        <f t="array" ref="E176">_xlfn.XLOOKUP(_xlfn.ANCHORARRAY(A176), TBL_Limiti_CDA[Data], TBL_Limiti_CDA[Etica Bilanciato], , -1)</f>
        <v>3</v>
      </c>
      <c r="F176" cm="1">
        <f t="array" ref="F176">_xlfn.XLOOKUP(_xlfn.ANCHORARRAY(A176), TBL_Limiti_CDA[Data], TBL_Limiti_CDA[Etica Azionario], , -1)</f>
        <v>3.5</v>
      </c>
      <c r="G176" cm="1">
        <f t="array" ref="G176">_xlfn.XLOOKUP(_xlfn.ANCHORARRAY(A176), TBL_Limiti_CDA[Data], TBL_Limiti_CDA[Etica Transizione Climatica], , -1)</f>
        <v>2.75</v>
      </c>
      <c r="H176" cm="1">
        <f t="array" ref="H176">_xlfn.XLOOKUP(_xlfn.ANCHORARRAY(A176), TBL_Limiti_CDA[Data], TBL_Limiti_CDA[Etica Obiettivo Sociale], , -1)</f>
        <v>7.49</v>
      </c>
      <c r="I176" cm="1">
        <f t="array" ref="I176">_xlfn.XLOOKUP(_xlfn.ANCHORARRAY(A176), TBL_Limiti_CDA[Data], TBL_Limiti_CDA[Etica Conservative Allocation], , -1)</f>
        <v>1.5</v>
      </c>
      <c r="J176" cm="1">
        <f t="array" ref="J176">_xlfn.XLOOKUP(_xlfn.ANCHORARRAY(A176), TBL_Limiti_CDA[Data], TBL_Limiti_CDA[Etica Dynamic Allocation], , -1)</f>
        <v>3</v>
      </c>
      <c r="K176" cm="1">
        <f t="array" ref="K176">_xlfn.XLOOKUP(_xlfn.ANCHORARRAY(A176), TBL_Limiti_CDA[Data], TBL_Limiti_CDA[Etica Global Equity], , -1)</f>
        <v>3.5</v>
      </c>
      <c r="L176" cm="1">
        <f t="array" ref="L176">_xlfn.ANCHORARRAY(B176)+0.15</f>
        <v>2.65</v>
      </c>
      <c r="M176" cm="1">
        <f t="array" ref="M176">_xlfn.ANCHORARRAY(C176)+0.1</f>
        <v>0.6</v>
      </c>
      <c r="N176" cm="1">
        <f t="array" ref="N176">_xlfn.ANCHORARRAY(D176)+0.15</f>
        <v>1.65</v>
      </c>
      <c r="O176" cm="1">
        <f t="array" ref="O176">_xlfn.ANCHORARRAY(E176)+0.15</f>
        <v>3.15</v>
      </c>
      <c r="P176" cm="1">
        <f t="array" ref="P176">_xlfn.ANCHORARRAY(F176)+0.15</f>
        <v>3.65</v>
      </c>
      <c r="Q176" cm="1">
        <f t="array" ref="Q176">_xlfn.ANCHORARRAY(G176)+0.15</f>
        <v>2.9</v>
      </c>
      <c r="R176" cm="1">
        <f t="array" ref="R176">_xlfn.ANCHORARRAY(H176)</f>
        <v>7.49</v>
      </c>
      <c r="S176" cm="1">
        <f t="array" ref="S176">_xlfn.ANCHORARRAY(R176)+0.15</f>
        <v>7.6400000000000006</v>
      </c>
      <c r="T176" cm="1">
        <f t="array" ref="T176">_xlfn.ANCHORARRAY(I176)+0.15</f>
        <v>1.65</v>
      </c>
      <c r="U176" cm="1">
        <f t="array" ref="U176">_xlfn.ANCHORARRAY(J176)+0.15</f>
        <v>3.15</v>
      </c>
      <c r="V176" cm="1">
        <f t="array" ref="V176">_xlfn.ANCHORARRAY(K176)+0.15</f>
        <v>3.65</v>
      </c>
      <c r="W176">
        <f>TBL_TEV[[#This Row],[Etica Rendita Bilanciata]]</f>
        <v>1.4672810000000001</v>
      </c>
      <c r="X176">
        <f>TBL_TEV[[#This Row],[Etica Obbligazionario Breve Termine]]</f>
        <v>0.36527199999999999</v>
      </c>
      <c r="Y176">
        <f>TBL_TEV[[#This Row],[Etica Obbligazionario Misto]]</f>
        <v>0.67260299999999995</v>
      </c>
      <c r="Z176">
        <f>TBL_TEV[[#This Row],[Etica Bilanciato]]</f>
        <v>2.1208339999999999</v>
      </c>
      <c r="AA176">
        <f>TBL_TEV[[#This Row],[Etica Azionario]]</f>
        <v>3.0390160000000002</v>
      </c>
      <c r="AB176">
        <f>TBL_TEV[[#This Row],[Etica Transizione Climatica]]</f>
        <v>2.398479</v>
      </c>
      <c r="AC176">
        <f>TBL_TEV[[#This Row],[Etica Obiettivo Sociale]]</f>
        <v>7.7238496566245347</v>
      </c>
      <c r="AD176">
        <f>TBL_TEV[[#This Row],[Etica Conservative Allocation]]</f>
        <v>0.72244900000000001</v>
      </c>
      <c r="AE176">
        <f>TBL_TEV[[#This Row],[Etica Dynamic Allocation]]</f>
        <v>2.0825770000000001</v>
      </c>
      <c r="AF176">
        <f>TBL_TEV[[#This Row],[Etica Global Equity]]</f>
        <v>2.9572620000000001</v>
      </c>
      <c r="AL176">
        <f ca="1"/>
        <v>1.450771</v>
      </c>
      <c r="AM176">
        <f ca="1"/>
        <v>0.36511399999999999</v>
      </c>
      <c r="AN176">
        <f ca="1"/>
        <v>0.64402899999999996</v>
      </c>
      <c r="AO176">
        <f ca="1"/>
        <v>2.1035309999999998</v>
      </c>
      <c r="AP176">
        <f ca="1"/>
        <v>3.0093299999999998</v>
      </c>
      <c r="AQ176">
        <f ca="1"/>
        <v>2.3435540000000001</v>
      </c>
      <c r="AR176">
        <f ca="1"/>
        <v>7.8403702341596615</v>
      </c>
      <c r="AS176">
        <f ca="1"/>
        <v>0.72244900000000001</v>
      </c>
      <c r="AT176">
        <f ca="1"/>
        <v>2.0825770000000001</v>
      </c>
      <c r="AU176">
        <f ca="1"/>
        <v>2.9572620000000001</v>
      </c>
    </row>
    <row r="177" spans="1:47">
      <c r="A177" s="43">
        <f>TBL_TEV[[#This Row],[Data2]]</f>
        <v>45539</v>
      </c>
      <c r="B177" cm="1">
        <f t="array" ref="B177">_xlfn.XLOOKUP(_xlfn.ANCHORARRAY(A177), TBL_Limiti_CDA[Data], TBL_Limiti_CDA[Etica Rendita Bilanciata], , -1)</f>
        <v>2.5</v>
      </c>
      <c r="C177" cm="1">
        <f t="array" ref="C177">_xlfn.XLOOKUP(_xlfn.ANCHORARRAY(A177), TBL_Limiti_CDA[Data], TBL_Limiti_CDA[Etica Obbligazionario Breve Termine], , -1)</f>
        <v>0.5</v>
      </c>
      <c r="D177" cm="1">
        <f t="array" ref="D177">_xlfn.XLOOKUP(_xlfn.ANCHORARRAY(A177), TBL_Limiti_CDA[Data], TBL_Limiti_CDA[Etica Obbligazionario Misto], , -1)</f>
        <v>1.5</v>
      </c>
      <c r="E177" cm="1">
        <f t="array" ref="E177">_xlfn.XLOOKUP(_xlfn.ANCHORARRAY(A177), TBL_Limiti_CDA[Data], TBL_Limiti_CDA[Etica Bilanciato], , -1)</f>
        <v>3</v>
      </c>
      <c r="F177" cm="1">
        <f t="array" ref="F177">_xlfn.XLOOKUP(_xlfn.ANCHORARRAY(A177), TBL_Limiti_CDA[Data], TBL_Limiti_CDA[Etica Azionario], , -1)</f>
        <v>3.5</v>
      </c>
      <c r="G177" cm="1">
        <f t="array" ref="G177">_xlfn.XLOOKUP(_xlfn.ANCHORARRAY(A177), TBL_Limiti_CDA[Data], TBL_Limiti_CDA[Etica Transizione Climatica], , -1)</f>
        <v>2.75</v>
      </c>
      <c r="H177" cm="1">
        <f t="array" ref="H177">_xlfn.XLOOKUP(_xlfn.ANCHORARRAY(A177), TBL_Limiti_CDA[Data], TBL_Limiti_CDA[Etica Obiettivo Sociale], , -1)</f>
        <v>9.99</v>
      </c>
      <c r="I177" cm="1">
        <f t="array" ref="I177">_xlfn.XLOOKUP(_xlfn.ANCHORARRAY(A177), TBL_Limiti_CDA[Data], TBL_Limiti_CDA[Etica Conservative Allocation], , -1)</f>
        <v>1.5</v>
      </c>
      <c r="J177" cm="1">
        <f t="array" ref="J177">_xlfn.XLOOKUP(_xlfn.ANCHORARRAY(A177), TBL_Limiti_CDA[Data], TBL_Limiti_CDA[Etica Dynamic Allocation], , -1)</f>
        <v>3</v>
      </c>
      <c r="K177" cm="1">
        <f t="array" ref="K177">_xlfn.XLOOKUP(_xlfn.ANCHORARRAY(A177), TBL_Limiti_CDA[Data], TBL_Limiti_CDA[Etica Global Equity], , -1)</f>
        <v>3.5</v>
      </c>
      <c r="L177" cm="1">
        <f t="array" ref="L177">_xlfn.ANCHORARRAY(B177)+0.15</f>
        <v>2.65</v>
      </c>
      <c r="M177" cm="1">
        <f t="array" ref="M177">_xlfn.ANCHORARRAY(C177)+0.1</f>
        <v>0.6</v>
      </c>
      <c r="N177" cm="1">
        <f t="array" ref="N177">_xlfn.ANCHORARRAY(D177)+0.15</f>
        <v>1.65</v>
      </c>
      <c r="O177" cm="1">
        <f t="array" ref="O177">_xlfn.ANCHORARRAY(E177)+0.15</f>
        <v>3.15</v>
      </c>
      <c r="P177" cm="1">
        <f t="array" ref="P177">_xlfn.ANCHORARRAY(F177)+0.15</f>
        <v>3.65</v>
      </c>
      <c r="Q177" cm="1">
        <f t="array" ref="Q177">_xlfn.ANCHORARRAY(G177)+0.15</f>
        <v>2.9</v>
      </c>
      <c r="R177" cm="1">
        <f t="array" ref="R177">_xlfn.ANCHORARRAY(H177)</f>
        <v>9.99</v>
      </c>
      <c r="S177" cm="1">
        <f t="array" ref="S177">_xlfn.ANCHORARRAY(R177)+0.15</f>
        <v>10.14</v>
      </c>
      <c r="T177" cm="1">
        <f t="array" ref="T177">_xlfn.ANCHORARRAY(I177)+0.15</f>
        <v>1.65</v>
      </c>
      <c r="U177" cm="1">
        <f t="array" ref="U177">_xlfn.ANCHORARRAY(J177)+0.15</f>
        <v>3.15</v>
      </c>
      <c r="V177" cm="1">
        <f t="array" ref="V177">_xlfn.ANCHORARRAY(K177)+0.15</f>
        <v>3.65</v>
      </c>
      <c r="W177">
        <f>TBL_TEV[[#This Row],[Etica Rendita Bilanciata]]</f>
        <v>1.450771</v>
      </c>
      <c r="X177">
        <f>TBL_TEV[[#This Row],[Etica Obbligazionario Breve Termine]]</f>
        <v>0.36511399999999999</v>
      </c>
      <c r="Y177">
        <f>TBL_TEV[[#This Row],[Etica Obbligazionario Misto]]</f>
        <v>0.64402899999999996</v>
      </c>
      <c r="Z177">
        <f>TBL_TEV[[#This Row],[Etica Bilanciato]]</f>
        <v>2.1035309999999998</v>
      </c>
      <c r="AA177">
        <f>TBL_TEV[[#This Row],[Etica Azionario]]</f>
        <v>3.0093299999999998</v>
      </c>
      <c r="AB177">
        <f>TBL_TEV[[#This Row],[Etica Transizione Climatica]]</f>
        <v>2.3435540000000001</v>
      </c>
      <c r="AC177">
        <f>TBL_TEV[[#This Row],[Etica Obiettivo Sociale]]</f>
        <v>7.8403702341596615</v>
      </c>
      <c r="AD177">
        <f>TBL_TEV[[#This Row],[Etica Conservative Allocation]]</f>
        <v>0.72244900000000001</v>
      </c>
      <c r="AE177">
        <f>TBL_TEV[[#This Row],[Etica Dynamic Allocation]]</f>
        <v>2.0825770000000001</v>
      </c>
      <c r="AF177">
        <f>TBL_TEV[[#This Row],[Etica Global Equity]]</f>
        <v>2.9572620000000001</v>
      </c>
      <c r="AL177">
        <f ca="1"/>
        <v>1.460137</v>
      </c>
      <c r="AM177">
        <f ca="1"/>
        <v>0.42908800000000002</v>
      </c>
      <c r="AN177">
        <f ca="1"/>
        <v>0.66974500000000003</v>
      </c>
      <c r="AO177">
        <f ca="1"/>
        <v>2.111151</v>
      </c>
      <c r="AP177">
        <f ca="1"/>
        <v>3.0142519999999999</v>
      </c>
      <c r="AQ177">
        <f ca="1"/>
        <v>2.3089469999999999</v>
      </c>
      <c r="AR177">
        <f ca="1"/>
        <v>7.875516067774603</v>
      </c>
      <c r="AS177">
        <f ca="1"/>
        <v>0.72244900000000001</v>
      </c>
      <c r="AT177">
        <f ca="1"/>
        <v>2.0825770000000001</v>
      </c>
      <c r="AU177">
        <f ca="1"/>
        <v>2.9572620000000001</v>
      </c>
    </row>
    <row r="178" spans="1:47">
      <c r="A178" s="43">
        <f>TBL_TEV[[#This Row],[Data2]]</f>
        <v>45540</v>
      </c>
      <c r="B178" cm="1">
        <f t="array" ref="B178">_xlfn.XLOOKUP(_xlfn.ANCHORARRAY(A178), TBL_Limiti_CDA[Data], TBL_Limiti_CDA[Etica Rendita Bilanciata], , -1)</f>
        <v>2.5</v>
      </c>
      <c r="C178" cm="1">
        <f t="array" ref="C178">_xlfn.XLOOKUP(_xlfn.ANCHORARRAY(A178), TBL_Limiti_CDA[Data], TBL_Limiti_CDA[Etica Obbligazionario Breve Termine], , -1)</f>
        <v>0.5</v>
      </c>
      <c r="D178" cm="1">
        <f t="array" ref="D178">_xlfn.XLOOKUP(_xlfn.ANCHORARRAY(A178), TBL_Limiti_CDA[Data], TBL_Limiti_CDA[Etica Obbligazionario Misto], , -1)</f>
        <v>1.5</v>
      </c>
      <c r="E178" cm="1">
        <f t="array" ref="E178">_xlfn.XLOOKUP(_xlfn.ANCHORARRAY(A178), TBL_Limiti_CDA[Data], TBL_Limiti_CDA[Etica Bilanciato], , -1)</f>
        <v>3</v>
      </c>
      <c r="F178" cm="1">
        <f t="array" ref="F178">_xlfn.XLOOKUP(_xlfn.ANCHORARRAY(A178), TBL_Limiti_CDA[Data], TBL_Limiti_CDA[Etica Azionario], , -1)</f>
        <v>3.5</v>
      </c>
      <c r="G178" cm="1">
        <f t="array" ref="G178">_xlfn.XLOOKUP(_xlfn.ANCHORARRAY(A178), TBL_Limiti_CDA[Data], TBL_Limiti_CDA[Etica Transizione Climatica], , -1)</f>
        <v>2.75</v>
      </c>
      <c r="H178" cm="1">
        <f t="array" ref="H178">_xlfn.XLOOKUP(_xlfn.ANCHORARRAY(A178), TBL_Limiti_CDA[Data], TBL_Limiti_CDA[Etica Obiettivo Sociale], , -1)</f>
        <v>9.99</v>
      </c>
      <c r="I178" cm="1">
        <f t="array" ref="I178">_xlfn.XLOOKUP(_xlfn.ANCHORARRAY(A178), TBL_Limiti_CDA[Data], TBL_Limiti_CDA[Etica Conservative Allocation], , -1)</f>
        <v>1.5</v>
      </c>
      <c r="J178" cm="1">
        <f t="array" ref="J178">_xlfn.XLOOKUP(_xlfn.ANCHORARRAY(A178), TBL_Limiti_CDA[Data], TBL_Limiti_CDA[Etica Dynamic Allocation], , -1)</f>
        <v>3</v>
      </c>
      <c r="K178" cm="1">
        <f t="array" ref="K178">_xlfn.XLOOKUP(_xlfn.ANCHORARRAY(A178), TBL_Limiti_CDA[Data], TBL_Limiti_CDA[Etica Global Equity], , -1)</f>
        <v>3.5</v>
      </c>
      <c r="L178" cm="1">
        <f t="array" ref="L178">_xlfn.ANCHORARRAY(B178)+0.15</f>
        <v>2.65</v>
      </c>
      <c r="M178" cm="1">
        <f t="array" ref="M178">_xlfn.ANCHORARRAY(C178)+0.1</f>
        <v>0.6</v>
      </c>
      <c r="N178" cm="1">
        <f t="array" ref="N178">_xlfn.ANCHORARRAY(D178)+0.15</f>
        <v>1.65</v>
      </c>
      <c r="O178" cm="1">
        <f t="array" ref="O178">_xlfn.ANCHORARRAY(E178)+0.15</f>
        <v>3.15</v>
      </c>
      <c r="P178" cm="1">
        <f t="array" ref="P178">_xlfn.ANCHORARRAY(F178)+0.15</f>
        <v>3.65</v>
      </c>
      <c r="Q178" cm="1">
        <f t="array" ref="Q178">_xlfn.ANCHORARRAY(G178)+0.15</f>
        <v>2.9</v>
      </c>
      <c r="R178" cm="1">
        <f t="array" ref="R178">_xlfn.ANCHORARRAY(H178)</f>
        <v>9.99</v>
      </c>
      <c r="S178" cm="1">
        <f t="array" ref="S178">_xlfn.ANCHORARRAY(R178)+0.15</f>
        <v>10.14</v>
      </c>
      <c r="T178" cm="1">
        <f t="array" ref="T178">_xlfn.ANCHORARRAY(I178)+0.15</f>
        <v>1.65</v>
      </c>
      <c r="U178" cm="1">
        <f t="array" ref="U178">_xlfn.ANCHORARRAY(J178)+0.15</f>
        <v>3.15</v>
      </c>
      <c r="V178" cm="1">
        <f t="array" ref="V178">_xlfn.ANCHORARRAY(K178)+0.15</f>
        <v>3.65</v>
      </c>
      <c r="W178">
        <f>TBL_TEV[[#This Row],[Etica Rendita Bilanciata]]</f>
        <v>1.460137</v>
      </c>
      <c r="X178">
        <f>TBL_TEV[[#This Row],[Etica Obbligazionario Breve Termine]]</f>
        <v>0.42908800000000002</v>
      </c>
      <c r="Y178">
        <f>TBL_TEV[[#This Row],[Etica Obbligazionario Misto]]</f>
        <v>0.66974500000000003</v>
      </c>
      <c r="Z178">
        <f>TBL_TEV[[#This Row],[Etica Bilanciato]]</f>
        <v>2.111151</v>
      </c>
      <c r="AA178">
        <f>TBL_TEV[[#This Row],[Etica Azionario]]</f>
        <v>3.0142519999999999</v>
      </c>
      <c r="AB178">
        <f>TBL_TEV[[#This Row],[Etica Transizione Climatica]]</f>
        <v>2.3089469999999999</v>
      </c>
      <c r="AC178">
        <f>TBL_TEV[[#This Row],[Etica Obiettivo Sociale]]</f>
        <v>7.875516067774603</v>
      </c>
      <c r="AD178">
        <f>TBL_TEV[[#This Row],[Etica Conservative Allocation]]</f>
        <v>0.72244900000000001</v>
      </c>
      <c r="AE178">
        <f>TBL_TEV[[#This Row],[Etica Dynamic Allocation]]</f>
        <v>2.0825770000000001</v>
      </c>
      <c r="AF178">
        <f>TBL_TEV[[#This Row],[Etica Global Equity]]</f>
        <v>2.9572620000000001</v>
      </c>
      <c r="AL178">
        <f ca="1"/>
        <v>1.473948</v>
      </c>
      <c r="AM178">
        <f ca="1"/>
        <v>0.430199</v>
      </c>
      <c r="AN178">
        <f ca="1"/>
        <v>0.67879400000000001</v>
      </c>
      <c r="AO178">
        <f ca="1"/>
        <v>2.1313110000000002</v>
      </c>
      <c r="AP178">
        <f ca="1"/>
        <v>3.0461589999999998</v>
      </c>
      <c r="AQ178">
        <f ca="1"/>
        <v>2.3273619999999999</v>
      </c>
      <c r="AR178">
        <f ca="1"/>
        <v>7.6493599219594826</v>
      </c>
      <c r="AS178">
        <f ca="1"/>
        <v>0.72244900000000001</v>
      </c>
      <c r="AT178">
        <f ca="1"/>
        <v>2.0825770000000001</v>
      </c>
      <c r="AU178">
        <f ca="1"/>
        <v>2.9572620000000001</v>
      </c>
    </row>
    <row r="179" spans="1:47">
      <c r="A179" s="43">
        <f>TBL_TEV[[#This Row],[Data2]]</f>
        <v>45541</v>
      </c>
      <c r="B179" cm="1">
        <f t="array" ref="B179">_xlfn.XLOOKUP(_xlfn.ANCHORARRAY(A179), TBL_Limiti_CDA[Data], TBL_Limiti_CDA[Etica Rendita Bilanciata], , -1)</f>
        <v>2.5</v>
      </c>
      <c r="C179" cm="1">
        <f t="array" ref="C179">_xlfn.XLOOKUP(_xlfn.ANCHORARRAY(A179), TBL_Limiti_CDA[Data], TBL_Limiti_CDA[Etica Obbligazionario Breve Termine], , -1)</f>
        <v>0.5</v>
      </c>
      <c r="D179" cm="1">
        <f t="array" ref="D179">_xlfn.XLOOKUP(_xlfn.ANCHORARRAY(A179), TBL_Limiti_CDA[Data], TBL_Limiti_CDA[Etica Obbligazionario Misto], , -1)</f>
        <v>1.5</v>
      </c>
      <c r="E179" cm="1">
        <f t="array" ref="E179">_xlfn.XLOOKUP(_xlfn.ANCHORARRAY(A179), TBL_Limiti_CDA[Data], TBL_Limiti_CDA[Etica Bilanciato], , -1)</f>
        <v>3</v>
      </c>
      <c r="F179" cm="1">
        <f t="array" ref="F179">_xlfn.XLOOKUP(_xlfn.ANCHORARRAY(A179), TBL_Limiti_CDA[Data], TBL_Limiti_CDA[Etica Azionario], , -1)</f>
        <v>3.5</v>
      </c>
      <c r="G179" cm="1">
        <f t="array" ref="G179">_xlfn.XLOOKUP(_xlfn.ANCHORARRAY(A179), TBL_Limiti_CDA[Data], TBL_Limiti_CDA[Etica Transizione Climatica], , -1)</f>
        <v>2.75</v>
      </c>
      <c r="H179" cm="1">
        <f t="array" ref="H179">_xlfn.XLOOKUP(_xlfn.ANCHORARRAY(A179), TBL_Limiti_CDA[Data], TBL_Limiti_CDA[Etica Obiettivo Sociale], , -1)</f>
        <v>9.99</v>
      </c>
      <c r="I179" cm="1">
        <f t="array" ref="I179">_xlfn.XLOOKUP(_xlfn.ANCHORARRAY(A179), TBL_Limiti_CDA[Data], TBL_Limiti_CDA[Etica Conservative Allocation], , -1)</f>
        <v>1.5</v>
      </c>
      <c r="J179" cm="1">
        <f t="array" ref="J179">_xlfn.XLOOKUP(_xlfn.ANCHORARRAY(A179), TBL_Limiti_CDA[Data], TBL_Limiti_CDA[Etica Dynamic Allocation], , -1)</f>
        <v>3</v>
      </c>
      <c r="K179" cm="1">
        <f t="array" ref="K179">_xlfn.XLOOKUP(_xlfn.ANCHORARRAY(A179), TBL_Limiti_CDA[Data], TBL_Limiti_CDA[Etica Global Equity], , -1)</f>
        <v>3.5</v>
      </c>
      <c r="L179" cm="1">
        <f t="array" ref="L179">_xlfn.ANCHORARRAY(B179)+0.15</f>
        <v>2.65</v>
      </c>
      <c r="M179" cm="1">
        <f t="array" ref="M179">_xlfn.ANCHORARRAY(C179)+0.1</f>
        <v>0.6</v>
      </c>
      <c r="N179" cm="1">
        <f t="array" ref="N179">_xlfn.ANCHORARRAY(D179)+0.15</f>
        <v>1.65</v>
      </c>
      <c r="O179" cm="1">
        <f t="array" ref="O179">_xlfn.ANCHORARRAY(E179)+0.15</f>
        <v>3.15</v>
      </c>
      <c r="P179" cm="1">
        <f t="array" ref="P179">_xlfn.ANCHORARRAY(F179)+0.15</f>
        <v>3.65</v>
      </c>
      <c r="Q179" cm="1">
        <f t="array" ref="Q179">_xlfn.ANCHORARRAY(G179)+0.15</f>
        <v>2.9</v>
      </c>
      <c r="R179" cm="1">
        <f t="array" ref="R179">_xlfn.ANCHORARRAY(H179)</f>
        <v>9.99</v>
      </c>
      <c r="S179" cm="1">
        <f t="array" ref="S179">_xlfn.ANCHORARRAY(R179)+0.15</f>
        <v>10.14</v>
      </c>
      <c r="T179" cm="1">
        <f t="array" ref="T179">_xlfn.ANCHORARRAY(I179)+0.15</f>
        <v>1.65</v>
      </c>
      <c r="U179" cm="1">
        <f t="array" ref="U179">_xlfn.ANCHORARRAY(J179)+0.15</f>
        <v>3.15</v>
      </c>
      <c r="V179" cm="1">
        <f t="array" ref="V179">_xlfn.ANCHORARRAY(K179)+0.15</f>
        <v>3.65</v>
      </c>
      <c r="W179">
        <f>TBL_TEV[[#This Row],[Etica Rendita Bilanciata]]</f>
        <v>1.473948</v>
      </c>
      <c r="X179">
        <f>TBL_TEV[[#This Row],[Etica Obbligazionario Breve Termine]]</f>
        <v>0.430199</v>
      </c>
      <c r="Y179">
        <f>TBL_TEV[[#This Row],[Etica Obbligazionario Misto]]</f>
        <v>0.67879400000000001</v>
      </c>
      <c r="Z179">
        <f>TBL_TEV[[#This Row],[Etica Bilanciato]]</f>
        <v>2.1313110000000002</v>
      </c>
      <c r="AA179">
        <f>TBL_TEV[[#This Row],[Etica Azionario]]</f>
        <v>3.0461589999999998</v>
      </c>
      <c r="AB179">
        <f>TBL_TEV[[#This Row],[Etica Transizione Climatica]]</f>
        <v>2.3273619999999999</v>
      </c>
      <c r="AC179">
        <f>TBL_TEV[[#This Row],[Etica Obiettivo Sociale]]</f>
        <v>7.6493599219594826</v>
      </c>
      <c r="AD179">
        <f>TBL_TEV[[#This Row],[Etica Conservative Allocation]]</f>
        <v>0.72244900000000001</v>
      </c>
      <c r="AE179">
        <f>TBL_TEV[[#This Row],[Etica Dynamic Allocation]]</f>
        <v>2.0825770000000001</v>
      </c>
      <c r="AF179">
        <f>TBL_TEV[[#This Row],[Etica Global Equity]]</f>
        <v>2.9572620000000001</v>
      </c>
      <c r="AL179">
        <f ca="1"/>
        <v>1.4799800000000001</v>
      </c>
      <c r="AM179">
        <f ca="1"/>
        <v>0.42543700000000001</v>
      </c>
      <c r="AN179">
        <f ca="1"/>
        <v>0.68212799999999996</v>
      </c>
      <c r="AO179">
        <f ca="1"/>
        <v>2.1316290000000002</v>
      </c>
      <c r="AP179">
        <f ca="1"/>
        <v>3.0434610000000002</v>
      </c>
      <c r="AQ179">
        <f ca="1"/>
        <v>2.3500619999999999</v>
      </c>
      <c r="AR179">
        <f ca="1"/>
        <v>7.5656010524404662</v>
      </c>
      <c r="AS179">
        <f ca="1"/>
        <v>0.72244900000000001</v>
      </c>
      <c r="AT179">
        <f ca="1"/>
        <v>2.0825770000000001</v>
      </c>
      <c r="AU179">
        <f ca="1"/>
        <v>2.9572620000000001</v>
      </c>
    </row>
    <row r="180" spans="1:47">
      <c r="A180" s="43">
        <f>TBL_TEV[[#This Row],[Data2]]</f>
        <v>45544</v>
      </c>
      <c r="B180" cm="1">
        <f t="array" ref="B180">_xlfn.XLOOKUP(_xlfn.ANCHORARRAY(A180), TBL_Limiti_CDA[Data], TBL_Limiti_CDA[Etica Rendita Bilanciata], , -1)</f>
        <v>2.5</v>
      </c>
      <c r="C180" cm="1">
        <f t="array" ref="C180">_xlfn.XLOOKUP(_xlfn.ANCHORARRAY(A180), TBL_Limiti_CDA[Data], TBL_Limiti_CDA[Etica Obbligazionario Breve Termine], , -1)</f>
        <v>0.5</v>
      </c>
      <c r="D180" cm="1">
        <f t="array" ref="D180">_xlfn.XLOOKUP(_xlfn.ANCHORARRAY(A180), TBL_Limiti_CDA[Data], TBL_Limiti_CDA[Etica Obbligazionario Misto], , -1)</f>
        <v>1.5</v>
      </c>
      <c r="E180" cm="1">
        <f t="array" ref="E180">_xlfn.XLOOKUP(_xlfn.ANCHORARRAY(A180), TBL_Limiti_CDA[Data], TBL_Limiti_CDA[Etica Bilanciato], , -1)</f>
        <v>3</v>
      </c>
      <c r="F180" cm="1">
        <f t="array" ref="F180">_xlfn.XLOOKUP(_xlfn.ANCHORARRAY(A180), TBL_Limiti_CDA[Data], TBL_Limiti_CDA[Etica Azionario], , -1)</f>
        <v>3.5</v>
      </c>
      <c r="G180" cm="1">
        <f t="array" ref="G180">_xlfn.XLOOKUP(_xlfn.ANCHORARRAY(A180), TBL_Limiti_CDA[Data], TBL_Limiti_CDA[Etica Transizione Climatica], , -1)</f>
        <v>2.75</v>
      </c>
      <c r="H180" cm="1">
        <f t="array" ref="H180">_xlfn.XLOOKUP(_xlfn.ANCHORARRAY(A180), TBL_Limiti_CDA[Data], TBL_Limiti_CDA[Etica Obiettivo Sociale], , -1)</f>
        <v>9.99</v>
      </c>
      <c r="I180" cm="1">
        <f t="array" ref="I180">_xlfn.XLOOKUP(_xlfn.ANCHORARRAY(A180), TBL_Limiti_CDA[Data], TBL_Limiti_CDA[Etica Conservative Allocation], , -1)</f>
        <v>1.5</v>
      </c>
      <c r="J180" cm="1">
        <f t="array" ref="J180">_xlfn.XLOOKUP(_xlfn.ANCHORARRAY(A180), TBL_Limiti_CDA[Data], TBL_Limiti_CDA[Etica Dynamic Allocation], , -1)</f>
        <v>3</v>
      </c>
      <c r="K180" cm="1">
        <f t="array" ref="K180">_xlfn.XLOOKUP(_xlfn.ANCHORARRAY(A180), TBL_Limiti_CDA[Data], TBL_Limiti_CDA[Etica Global Equity], , -1)</f>
        <v>3.5</v>
      </c>
      <c r="L180" cm="1">
        <f t="array" ref="L180">_xlfn.ANCHORARRAY(B180)+0.15</f>
        <v>2.65</v>
      </c>
      <c r="M180" cm="1">
        <f t="array" ref="M180">_xlfn.ANCHORARRAY(C180)+0.1</f>
        <v>0.6</v>
      </c>
      <c r="N180" cm="1">
        <f t="array" ref="N180">_xlfn.ANCHORARRAY(D180)+0.15</f>
        <v>1.65</v>
      </c>
      <c r="O180" cm="1">
        <f t="array" ref="O180">_xlfn.ANCHORARRAY(E180)+0.15</f>
        <v>3.15</v>
      </c>
      <c r="P180" cm="1">
        <f t="array" ref="P180">_xlfn.ANCHORARRAY(F180)+0.15</f>
        <v>3.65</v>
      </c>
      <c r="Q180" cm="1">
        <f t="array" ref="Q180">_xlfn.ANCHORARRAY(G180)+0.15</f>
        <v>2.9</v>
      </c>
      <c r="R180" cm="1">
        <f t="array" ref="R180">_xlfn.ANCHORARRAY(H180)</f>
        <v>9.99</v>
      </c>
      <c r="S180" cm="1">
        <f t="array" ref="S180">_xlfn.ANCHORARRAY(R180)+0.15</f>
        <v>10.14</v>
      </c>
      <c r="T180" cm="1">
        <f t="array" ref="T180">_xlfn.ANCHORARRAY(I180)+0.15</f>
        <v>1.65</v>
      </c>
      <c r="U180" cm="1">
        <f t="array" ref="U180">_xlfn.ANCHORARRAY(J180)+0.15</f>
        <v>3.15</v>
      </c>
      <c r="V180" cm="1">
        <f t="array" ref="V180">_xlfn.ANCHORARRAY(K180)+0.15</f>
        <v>3.65</v>
      </c>
      <c r="W180">
        <f>TBL_TEV[[#This Row],[Etica Rendita Bilanciata]]</f>
        <v>1.4799800000000001</v>
      </c>
      <c r="X180">
        <f>TBL_TEV[[#This Row],[Etica Obbligazionario Breve Termine]]</f>
        <v>0.42543700000000001</v>
      </c>
      <c r="Y180">
        <f>TBL_TEV[[#This Row],[Etica Obbligazionario Misto]]</f>
        <v>0.68212799999999996</v>
      </c>
      <c r="Z180">
        <f>TBL_TEV[[#This Row],[Etica Bilanciato]]</f>
        <v>2.1316290000000002</v>
      </c>
      <c r="AA180">
        <f>TBL_TEV[[#This Row],[Etica Azionario]]</f>
        <v>3.0434610000000002</v>
      </c>
      <c r="AB180">
        <f>TBL_TEV[[#This Row],[Etica Transizione Climatica]]</f>
        <v>2.3500619999999999</v>
      </c>
      <c r="AC180">
        <f>TBL_TEV[[#This Row],[Etica Obiettivo Sociale]]</f>
        <v>7.5656010524404662</v>
      </c>
      <c r="AD180">
        <f>TBL_TEV[[#This Row],[Etica Conservative Allocation]]</f>
        <v>0.72244900000000001</v>
      </c>
      <c r="AE180">
        <f>TBL_TEV[[#This Row],[Etica Dynamic Allocation]]</f>
        <v>2.0825770000000001</v>
      </c>
      <c r="AF180">
        <f>TBL_TEV[[#This Row],[Etica Global Equity]]</f>
        <v>2.9572620000000001</v>
      </c>
      <c r="AL180">
        <f ca="1"/>
        <v>1.4769639999999999</v>
      </c>
      <c r="AM180">
        <f ca="1"/>
        <v>0.42289700000000002</v>
      </c>
      <c r="AN180">
        <f ca="1"/>
        <v>0.68339799999999995</v>
      </c>
      <c r="AO180">
        <f ca="1"/>
        <v>2.1209929999999999</v>
      </c>
      <c r="AP180">
        <f ca="1"/>
        <v>3.0340950000000002</v>
      </c>
      <c r="AQ180">
        <f ca="1"/>
        <v>2.3687939999999998</v>
      </c>
      <c r="AR180">
        <f ca="1"/>
        <v>7.5606850319327989</v>
      </c>
      <c r="AS180">
        <f ca="1"/>
        <v>0.72244900000000001</v>
      </c>
      <c r="AT180">
        <f ca="1"/>
        <v>2.0825770000000001</v>
      </c>
      <c r="AU180">
        <f ca="1"/>
        <v>2.9572620000000001</v>
      </c>
    </row>
    <row r="181" spans="1:47">
      <c r="A181" s="43">
        <f>TBL_TEV[[#This Row],[Data2]]</f>
        <v>45545</v>
      </c>
      <c r="B181" cm="1">
        <f t="array" ref="B181">_xlfn.XLOOKUP(_xlfn.ANCHORARRAY(A181), TBL_Limiti_CDA[Data], TBL_Limiti_CDA[Etica Rendita Bilanciata], , -1)</f>
        <v>2.5</v>
      </c>
      <c r="C181" cm="1">
        <f t="array" ref="C181">_xlfn.XLOOKUP(_xlfn.ANCHORARRAY(A181), TBL_Limiti_CDA[Data], TBL_Limiti_CDA[Etica Obbligazionario Breve Termine], , -1)</f>
        <v>0.5</v>
      </c>
      <c r="D181" cm="1">
        <f t="array" ref="D181">_xlfn.XLOOKUP(_xlfn.ANCHORARRAY(A181), TBL_Limiti_CDA[Data], TBL_Limiti_CDA[Etica Obbligazionario Misto], , -1)</f>
        <v>1.5</v>
      </c>
      <c r="E181" cm="1">
        <f t="array" ref="E181">_xlfn.XLOOKUP(_xlfn.ANCHORARRAY(A181), TBL_Limiti_CDA[Data], TBL_Limiti_CDA[Etica Bilanciato], , -1)</f>
        <v>3</v>
      </c>
      <c r="F181" cm="1">
        <f t="array" ref="F181">_xlfn.XLOOKUP(_xlfn.ANCHORARRAY(A181), TBL_Limiti_CDA[Data], TBL_Limiti_CDA[Etica Azionario], , -1)</f>
        <v>3.5</v>
      </c>
      <c r="G181" cm="1">
        <f t="array" ref="G181">_xlfn.XLOOKUP(_xlfn.ANCHORARRAY(A181), TBL_Limiti_CDA[Data], TBL_Limiti_CDA[Etica Transizione Climatica], , -1)</f>
        <v>2.75</v>
      </c>
      <c r="H181" cm="1">
        <f t="array" ref="H181">_xlfn.XLOOKUP(_xlfn.ANCHORARRAY(A181), TBL_Limiti_CDA[Data], TBL_Limiti_CDA[Etica Obiettivo Sociale], , -1)</f>
        <v>9.99</v>
      </c>
      <c r="I181" cm="1">
        <f t="array" ref="I181">_xlfn.XLOOKUP(_xlfn.ANCHORARRAY(A181), TBL_Limiti_CDA[Data], TBL_Limiti_CDA[Etica Conservative Allocation], , -1)</f>
        <v>1.5</v>
      </c>
      <c r="J181" cm="1">
        <f t="array" ref="J181">_xlfn.XLOOKUP(_xlfn.ANCHORARRAY(A181), TBL_Limiti_CDA[Data], TBL_Limiti_CDA[Etica Dynamic Allocation], , -1)</f>
        <v>3</v>
      </c>
      <c r="K181" cm="1">
        <f t="array" ref="K181">_xlfn.XLOOKUP(_xlfn.ANCHORARRAY(A181), TBL_Limiti_CDA[Data], TBL_Limiti_CDA[Etica Global Equity], , -1)</f>
        <v>3.5</v>
      </c>
      <c r="L181" cm="1">
        <f t="array" ref="L181">_xlfn.ANCHORARRAY(B181)+0.15</f>
        <v>2.65</v>
      </c>
      <c r="M181" cm="1">
        <f t="array" ref="M181">_xlfn.ANCHORARRAY(C181)+0.1</f>
        <v>0.6</v>
      </c>
      <c r="N181" cm="1">
        <f t="array" ref="N181">_xlfn.ANCHORARRAY(D181)+0.15</f>
        <v>1.65</v>
      </c>
      <c r="O181" cm="1">
        <f t="array" ref="O181">_xlfn.ANCHORARRAY(E181)+0.15</f>
        <v>3.15</v>
      </c>
      <c r="P181" cm="1">
        <f t="array" ref="P181">_xlfn.ANCHORARRAY(F181)+0.15</f>
        <v>3.65</v>
      </c>
      <c r="Q181" cm="1">
        <f t="array" ref="Q181">_xlfn.ANCHORARRAY(G181)+0.15</f>
        <v>2.9</v>
      </c>
      <c r="R181" cm="1">
        <f t="array" ref="R181">_xlfn.ANCHORARRAY(H181)</f>
        <v>9.99</v>
      </c>
      <c r="S181" cm="1">
        <f t="array" ref="S181">_xlfn.ANCHORARRAY(R181)+0.15</f>
        <v>10.14</v>
      </c>
      <c r="T181" cm="1">
        <f t="array" ref="T181">_xlfn.ANCHORARRAY(I181)+0.15</f>
        <v>1.65</v>
      </c>
      <c r="U181" cm="1">
        <f t="array" ref="U181">_xlfn.ANCHORARRAY(J181)+0.15</f>
        <v>3.15</v>
      </c>
      <c r="V181" cm="1">
        <f t="array" ref="V181">_xlfn.ANCHORARRAY(K181)+0.15</f>
        <v>3.65</v>
      </c>
      <c r="W181">
        <f>TBL_TEV[[#This Row],[Etica Rendita Bilanciata]]</f>
        <v>1.4769639999999999</v>
      </c>
      <c r="X181">
        <f>TBL_TEV[[#This Row],[Etica Obbligazionario Breve Termine]]</f>
        <v>0.42289700000000002</v>
      </c>
      <c r="Y181">
        <f>TBL_TEV[[#This Row],[Etica Obbligazionario Misto]]</f>
        <v>0.68339799999999995</v>
      </c>
      <c r="Z181">
        <f>TBL_TEV[[#This Row],[Etica Bilanciato]]</f>
        <v>2.1209929999999999</v>
      </c>
      <c r="AA181">
        <f>TBL_TEV[[#This Row],[Etica Azionario]]</f>
        <v>3.0340950000000002</v>
      </c>
      <c r="AB181">
        <f>TBL_TEV[[#This Row],[Etica Transizione Climatica]]</f>
        <v>2.3687939999999998</v>
      </c>
      <c r="AC181">
        <f>TBL_TEV[[#This Row],[Etica Obiettivo Sociale]]</f>
        <v>7.5606850319327989</v>
      </c>
      <c r="AD181">
        <f>TBL_TEV[[#This Row],[Etica Conservative Allocation]]</f>
        <v>0.72244900000000001</v>
      </c>
      <c r="AE181">
        <f>TBL_TEV[[#This Row],[Etica Dynamic Allocation]]</f>
        <v>2.0825770000000001</v>
      </c>
      <c r="AF181">
        <f>TBL_TEV[[#This Row],[Etica Global Equity]]</f>
        <v>2.9572620000000001</v>
      </c>
      <c r="AL181">
        <f ca="1"/>
        <v>1.4844250000000001</v>
      </c>
      <c r="AM181">
        <f ca="1"/>
        <v>0.42226200000000003</v>
      </c>
      <c r="AN181">
        <f ca="1"/>
        <v>0.68276300000000001</v>
      </c>
      <c r="AO181">
        <f ca="1"/>
        <v>2.120676</v>
      </c>
      <c r="AP181">
        <f ca="1"/>
        <v>3.0377459999999998</v>
      </c>
      <c r="AQ181">
        <f ca="1"/>
        <v>2.4837259999999999</v>
      </c>
      <c r="AR181">
        <f ca="1"/>
        <v>7.6150929838996966</v>
      </c>
      <c r="AS181">
        <f ca="1"/>
        <v>0.72244900000000001</v>
      </c>
      <c r="AT181">
        <f ca="1"/>
        <v>2.0825770000000001</v>
      </c>
      <c r="AU181">
        <f ca="1"/>
        <v>2.9572620000000001</v>
      </c>
    </row>
    <row r="182" spans="1:47">
      <c r="A182" s="43">
        <f>TBL_TEV[[#This Row],[Data2]]</f>
        <v>45546</v>
      </c>
      <c r="B182" cm="1">
        <f t="array" ref="B182">_xlfn.XLOOKUP(_xlfn.ANCHORARRAY(A182), TBL_Limiti_CDA[Data], TBL_Limiti_CDA[Etica Rendita Bilanciata], , -1)</f>
        <v>2.5</v>
      </c>
      <c r="C182" cm="1">
        <f t="array" ref="C182">_xlfn.XLOOKUP(_xlfn.ANCHORARRAY(A182), TBL_Limiti_CDA[Data], TBL_Limiti_CDA[Etica Obbligazionario Breve Termine], , -1)</f>
        <v>0.5</v>
      </c>
      <c r="D182" cm="1">
        <f t="array" ref="D182">_xlfn.XLOOKUP(_xlfn.ANCHORARRAY(A182), TBL_Limiti_CDA[Data], TBL_Limiti_CDA[Etica Obbligazionario Misto], , -1)</f>
        <v>1.5</v>
      </c>
      <c r="E182" cm="1">
        <f t="array" ref="E182">_xlfn.XLOOKUP(_xlfn.ANCHORARRAY(A182), TBL_Limiti_CDA[Data], TBL_Limiti_CDA[Etica Bilanciato], , -1)</f>
        <v>3</v>
      </c>
      <c r="F182" cm="1">
        <f t="array" ref="F182">_xlfn.XLOOKUP(_xlfn.ANCHORARRAY(A182), TBL_Limiti_CDA[Data], TBL_Limiti_CDA[Etica Azionario], , -1)</f>
        <v>3.5</v>
      </c>
      <c r="G182" cm="1">
        <f t="array" ref="G182">_xlfn.XLOOKUP(_xlfn.ANCHORARRAY(A182), TBL_Limiti_CDA[Data], TBL_Limiti_CDA[Etica Transizione Climatica], , -1)</f>
        <v>2.75</v>
      </c>
      <c r="H182" cm="1">
        <f t="array" ref="H182">_xlfn.XLOOKUP(_xlfn.ANCHORARRAY(A182), TBL_Limiti_CDA[Data], TBL_Limiti_CDA[Etica Obiettivo Sociale], , -1)</f>
        <v>9.99</v>
      </c>
      <c r="I182" cm="1">
        <f t="array" ref="I182">_xlfn.XLOOKUP(_xlfn.ANCHORARRAY(A182), TBL_Limiti_CDA[Data], TBL_Limiti_CDA[Etica Conservative Allocation], , -1)</f>
        <v>1.5</v>
      </c>
      <c r="J182" cm="1">
        <f t="array" ref="J182">_xlfn.XLOOKUP(_xlfn.ANCHORARRAY(A182), TBL_Limiti_CDA[Data], TBL_Limiti_CDA[Etica Dynamic Allocation], , -1)</f>
        <v>3</v>
      </c>
      <c r="K182" cm="1">
        <f t="array" ref="K182">_xlfn.XLOOKUP(_xlfn.ANCHORARRAY(A182), TBL_Limiti_CDA[Data], TBL_Limiti_CDA[Etica Global Equity], , -1)</f>
        <v>3.5</v>
      </c>
      <c r="L182" cm="1">
        <f t="array" ref="L182">_xlfn.ANCHORARRAY(B182)+0.15</f>
        <v>2.65</v>
      </c>
      <c r="M182" cm="1">
        <f t="array" ref="M182">_xlfn.ANCHORARRAY(C182)+0.1</f>
        <v>0.6</v>
      </c>
      <c r="N182" cm="1">
        <f t="array" ref="N182">_xlfn.ANCHORARRAY(D182)+0.15</f>
        <v>1.65</v>
      </c>
      <c r="O182" cm="1">
        <f t="array" ref="O182">_xlfn.ANCHORARRAY(E182)+0.15</f>
        <v>3.15</v>
      </c>
      <c r="P182" cm="1">
        <f t="array" ref="P182">_xlfn.ANCHORARRAY(F182)+0.15</f>
        <v>3.65</v>
      </c>
      <c r="Q182" cm="1">
        <f t="array" ref="Q182">_xlfn.ANCHORARRAY(G182)+0.15</f>
        <v>2.9</v>
      </c>
      <c r="R182" cm="1">
        <f t="array" ref="R182">_xlfn.ANCHORARRAY(H182)</f>
        <v>9.99</v>
      </c>
      <c r="S182" cm="1">
        <f t="array" ref="S182">_xlfn.ANCHORARRAY(R182)+0.15</f>
        <v>10.14</v>
      </c>
      <c r="T182" cm="1">
        <f t="array" ref="T182">_xlfn.ANCHORARRAY(I182)+0.15</f>
        <v>1.65</v>
      </c>
      <c r="U182" cm="1">
        <f t="array" ref="U182">_xlfn.ANCHORARRAY(J182)+0.15</f>
        <v>3.15</v>
      </c>
      <c r="V182" cm="1">
        <f t="array" ref="V182">_xlfn.ANCHORARRAY(K182)+0.15</f>
        <v>3.65</v>
      </c>
      <c r="W182">
        <f>TBL_TEV[[#This Row],[Etica Rendita Bilanciata]]</f>
        <v>1.4844250000000001</v>
      </c>
      <c r="X182">
        <f>TBL_TEV[[#This Row],[Etica Obbligazionario Breve Termine]]</f>
        <v>0.42226200000000003</v>
      </c>
      <c r="Y182">
        <f>TBL_TEV[[#This Row],[Etica Obbligazionario Misto]]</f>
        <v>0.68276300000000001</v>
      </c>
      <c r="Z182">
        <f>TBL_TEV[[#This Row],[Etica Bilanciato]]</f>
        <v>2.120676</v>
      </c>
      <c r="AA182">
        <f>TBL_TEV[[#This Row],[Etica Azionario]]</f>
        <v>3.0377459999999998</v>
      </c>
      <c r="AB182">
        <f>TBL_TEV[[#This Row],[Etica Transizione Climatica]]</f>
        <v>2.4837259999999999</v>
      </c>
      <c r="AC182">
        <f>TBL_TEV[[#This Row],[Etica Obiettivo Sociale]]</f>
        <v>7.6150929838996966</v>
      </c>
      <c r="AD182">
        <f>TBL_TEV[[#This Row],[Etica Conservative Allocation]]</f>
        <v>0.72244900000000001</v>
      </c>
      <c r="AE182">
        <f>TBL_TEV[[#This Row],[Etica Dynamic Allocation]]</f>
        <v>2.0825770000000001</v>
      </c>
      <c r="AF182">
        <f>TBL_TEV[[#This Row],[Etica Global Equity]]</f>
        <v>2.9572620000000001</v>
      </c>
      <c r="AL182">
        <f ca="1"/>
        <v>1.531255</v>
      </c>
      <c r="AM182">
        <f ca="1"/>
        <v>0.43035800000000002</v>
      </c>
      <c r="AN182">
        <f ca="1"/>
        <v>0.70419299999999996</v>
      </c>
      <c r="AO182">
        <f ca="1"/>
        <v>2.115278</v>
      </c>
      <c r="AP182">
        <f ca="1"/>
        <v>3.0283799999999998</v>
      </c>
      <c r="AQ182">
        <f ca="1"/>
        <v>2.482297</v>
      </c>
      <c r="AR182">
        <f ca="1"/>
        <v>7.7869553859326883</v>
      </c>
      <c r="AS182">
        <f ca="1"/>
        <v>0.72244900000000001</v>
      </c>
      <c r="AT182">
        <f ca="1"/>
        <v>2.0825770000000001</v>
      </c>
      <c r="AU182">
        <f ca="1"/>
        <v>2.9572620000000001</v>
      </c>
    </row>
    <row r="183" spans="1:47">
      <c r="A183" s="43">
        <f>TBL_TEV[[#This Row],[Data2]]</f>
        <v>45547</v>
      </c>
      <c r="B183" cm="1">
        <f t="array" ref="B183">_xlfn.XLOOKUP(_xlfn.ANCHORARRAY(A183), TBL_Limiti_CDA[Data], TBL_Limiti_CDA[Etica Rendita Bilanciata], , -1)</f>
        <v>2.5</v>
      </c>
      <c r="C183" cm="1">
        <f t="array" ref="C183">_xlfn.XLOOKUP(_xlfn.ANCHORARRAY(A183), TBL_Limiti_CDA[Data], TBL_Limiti_CDA[Etica Obbligazionario Breve Termine], , -1)</f>
        <v>0.5</v>
      </c>
      <c r="D183" cm="1">
        <f t="array" ref="D183">_xlfn.XLOOKUP(_xlfn.ANCHORARRAY(A183), TBL_Limiti_CDA[Data], TBL_Limiti_CDA[Etica Obbligazionario Misto], , -1)</f>
        <v>1.5</v>
      </c>
      <c r="E183" cm="1">
        <f t="array" ref="E183">_xlfn.XLOOKUP(_xlfn.ANCHORARRAY(A183), TBL_Limiti_CDA[Data], TBL_Limiti_CDA[Etica Bilanciato], , -1)</f>
        <v>3</v>
      </c>
      <c r="F183" cm="1">
        <f t="array" ref="F183">_xlfn.XLOOKUP(_xlfn.ANCHORARRAY(A183), TBL_Limiti_CDA[Data], TBL_Limiti_CDA[Etica Azionario], , -1)</f>
        <v>3.5</v>
      </c>
      <c r="G183" cm="1">
        <f t="array" ref="G183">_xlfn.XLOOKUP(_xlfn.ANCHORARRAY(A183), TBL_Limiti_CDA[Data], TBL_Limiti_CDA[Etica Transizione Climatica], , -1)</f>
        <v>2.75</v>
      </c>
      <c r="H183" cm="1">
        <f t="array" ref="H183">_xlfn.XLOOKUP(_xlfn.ANCHORARRAY(A183), TBL_Limiti_CDA[Data], TBL_Limiti_CDA[Etica Obiettivo Sociale], , -1)</f>
        <v>9.99</v>
      </c>
      <c r="I183" cm="1">
        <f t="array" ref="I183">_xlfn.XLOOKUP(_xlfn.ANCHORARRAY(A183), TBL_Limiti_CDA[Data], TBL_Limiti_CDA[Etica Conservative Allocation], , -1)</f>
        <v>1.5</v>
      </c>
      <c r="J183" cm="1">
        <f t="array" ref="J183">_xlfn.XLOOKUP(_xlfn.ANCHORARRAY(A183), TBL_Limiti_CDA[Data], TBL_Limiti_CDA[Etica Dynamic Allocation], , -1)</f>
        <v>3</v>
      </c>
      <c r="K183" cm="1">
        <f t="array" ref="K183">_xlfn.XLOOKUP(_xlfn.ANCHORARRAY(A183), TBL_Limiti_CDA[Data], TBL_Limiti_CDA[Etica Global Equity], , -1)</f>
        <v>3.5</v>
      </c>
      <c r="L183" cm="1">
        <f t="array" ref="L183">_xlfn.ANCHORARRAY(B183)+0.15</f>
        <v>2.65</v>
      </c>
      <c r="M183" cm="1">
        <f t="array" ref="M183">_xlfn.ANCHORARRAY(C183)+0.1</f>
        <v>0.6</v>
      </c>
      <c r="N183" cm="1">
        <f t="array" ref="N183">_xlfn.ANCHORARRAY(D183)+0.15</f>
        <v>1.65</v>
      </c>
      <c r="O183" cm="1">
        <f t="array" ref="O183">_xlfn.ANCHORARRAY(E183)+0.15</f>
        <v>3.15</v>
      </c>
      <c r="P183" cm="1">
        <f t="array" ref="P183">_xlfn.ANCHORARRAY(F183)+0.15</f>
        <v>3.65</v>
      </c>
      <c r="Q183" cm="1">
        <f t="array" ref="Q183">_xlfn.ANCHORARRAY(G183)+0.15</f>
        <v>2.9</v>
      </c>
      <c r="R183" cm="1">
        <f t="array" ref="R183">_xlfn.ANCHORARRAY(H183)</f>
        <v>9.99</v>
      </c>
      <c r="S183" cm="1">
        <f t="array" ref="S183">_xlfn.ANCHORARRAY(R183)+0.15</f>
        <v>10.14</v>
      </c>
      <c r="T183" cm="1">
        <f t="array" ref="T183">_xlfn.ANCHORARRAY(I183)+0.15</f>
        <v>1.65</v>
      </c>
      <c r="U183" cm="1">
        <f t="array" ref="U183">_xlfn.ANCHORARRAY(J183)+0.15</f>
        <v>3.15</v>
      </c>
      <c r="V183" cm="1">
        <f t="array" ref="V183">_xlfn.ANCHORARRAY(K183)+0.15</f>
        <v>3.65</v>
      </c>
      <c r="W183">
        <f>TBL_TEV[[#This Row],[Etica Rendita Bilanciata]]</f>
        <v>1.531255</v>
      </c>
      <c r="X183">
        <f>TBL_TEV[[#This Row],[Etica Obbligazionario Breve Termine]]</f>
        <v>0.43035800000000002</v>
      </c>
      <c r="Y183">
        <f>TBL_TEV[[#This Row],[Etica Obbligazionario Misto]]</f>
        <v>0.70419299999999996</v>
      </c>
      <c r="Z183">
        <f>TBL_TEV[[#This Row],[Etica Bilanciato]]</f>
        <v>2.115278</v>
      </c>
      <c r="AA183">
        <f>TBL_TEV[[#This Row],[Etica Azionario]]</f>
        <v>3.0283799999999998</v>
      </c>
      <c r="AB183">
        <f>TBL_TEV[[#This Row],[Etica Transizione Climatica]]</f>
        <v>2.482297</v>
      </c>
      <c r="AC183">
        <f>TBL_TEV[[#This Row],[Etica Obiettivo Sociale]]</f>
        <v>7.7869553859326883</v>
      </c>
      <c r="AD183">
        <f>TBL_TEV[[#This Row],[Etica Conservative Allocation]]</f>
        <v>0.72244900000000001</v>
      </c>
      <c r="AE183">
        <f>TBL_TEV[[#This Row],[Etica Dynamic Allocation]]</f>
        <v>2.0825770000000001</v>
      </c>
      <c r="AF183">
        <f>TBL_TEV[[#This Row],[Etica Global Equity]]</f>
        <v>2.9572620000000001</v>
      </c>
      <c r="AL183">
        <f ca="1"/>
        <v>1.4945850000000001</v>
      </c>
      <c r="AM183">
        <f ca="1"/>
        <v>0.42781799999999998</v>
      </c>
      <c r="AN183">
        <f ca="1"/>
        <v>0.70990799999999998</v>
      </c>
      <c r="AO183">
        <f ca="1"/>
        <v>2.1100400000000001</v>
      </c>
      <c r="AP183">
        <f ca="1"/>
        <v>3.0158390000000002</v>
      </c>
      <c r="AQ183">
        <f ca="1"/>
        <v>2.4524530000000002</v>
      </c>
      <c r="AR183">
        <f ca="1"/>
        <v>7.7462438944674306</v>
      </c>
      <c r="AS183">
        <f ca="1"/>
        <v>0.72244900000000001</v>
      </c>
      <c r="AT183">
        <f ca="1"/>
        <v>2.0825770000000001</v>
      </c>
      <c r="AU183">
        <f ca="1"/>
        <v>2.9572620000000001</v>
      </c>
    </row>
    <row r="184" spans="1:47">
      <c r="A184" s="43">
        <f>TBL_TEV[[#This Row],[Data2]]</f>
        <v>45548</v>
      </c>
      <c r="B184" cm="1">
        <f t="array" ref="B184">_xlfn.XLOOKUP(_xlfn.ANCHORARRAY(A184), TBL_Limiti_CDA[Data], TBL_Limiti_CDA[Etica Rendita Bilanciata], , -1)</f>
        <v>2.5</v>
      </c>
      <c r="C184" cm="1">
        <f t="array" ref="C184">_xlfn.XLOOKUP(_xlfn.ANCHORARRAY(A184), TBL_Limiti_CDA[Data], TBL_Limiti_CDA[Etica Obbligazionario Breve Termine], , -1)</f>
        <v>0.5</v>
      </c>
      <c r="D184" cm="1">
        <f t="array" ref="D184">_xlfn.XLOOKUP(_xlfn.ANCHORARRAY(A184), TBL_Limiti_CDA[Data], TBL_Limiti_CDA[Etica Obbligazionario Misto], , -1)</f>
        <v>1.5</v>
      </c>
      <c r="E184" cm="1">
        <f t="array" ref="E184">_xlfn.XLOOKUP(_xlfn.ANCHORARRAY(A184), TBL_Limiti_CDA[Data], TBL_Limiti_CDA[Etica Bilanciato], , -1)</f>
        <v>3</v>
      </c>
      <c r="F184" cm="1">
        <f t="array" ref="F184">_xlfn.XLOOKUP(_xlfn.ANCHORARRAY(A184), TBL_Limiti_CDA[Data], TBL_Limiti_CDA[Etica Azionario], , -1)</f>
        <v>3.5</v>
      </c>
      <c r="G184" cm="1">
        <f t="array" ref="G184">_xlfn.XLOOKUP(_xlfn.ANCHORARRAY(A184), TBL_Limiti_CDA[Data], TBL_Limiti_CDA[Etica Transizione Climatica], , -1)</f>
        <v>2.75</v>
      </c>
      <c r="H184" cm="1">
        <f t="array" ref="H184">_xlfn.XLOOKUP(_xlfn.ANCHORARRAY(A184), TBL_Limiti_CDA[Data], TBL_Limiti_CDA[Etica Obiettivo Sociale], , -1)</f>
        <v>9.99</v>
      </c>
      <c r="I184" cm="1">
        <f t="array" ref="I184">_xlfn.XLOOKUP(_xlfn.ANCHORARRAY(A184), TBL_Limiti_CDA[Data], TBL_Limiti_CDA[Etica Conservative Allocation], , -1)</f>
        <v>1.5</v>
      </c>
      <c r="J184" cm="1">
        <f t="array" ref="J184">_xlfn.XLOOKUP(_xlfn.ANCHORARRAY(A184), TBL_Limiti_CDA[Data], TBL_Limiti_CDA[Etica Dynamic Allocation], , -1)</f>
        <v>3</v>
      </c>
      <c r="K184" cm="1">
        <f t="array" ref="K184">_xlfn.XLOOKUP(_xlfn.ANCHORARRAY(A184), TBL_Limiti_CDA[Data], TBL_Limiti_CDA[Etica Global Equity], , -1)</f>
        <v>3.5</v>
      </c>
      <c r="L184" cm="1">
        <f t="array" ref="L184">_xlfn.ANCHORARRAY(B184)+0.15</f>
        <v>2.65</v>
      </c>
      <c r="M184" cm="1">
        <f t="array" ref="M184">_xlfn.ANCHORARRAY(C184)+0.1</f>
        <v>0.6</v>
      </c>
      <c r="N184" cm="1">
        <f t="array" ref="N184">_xlfn.ANCHORARRAY(D184)+0.15</f>
        <v>1.65</v>
      </c>
      <c r="O184" cm="1">
        <f t="array" ref="O184">_xlfn.ANCHORARRAY(E184)+0.15</f>
        <v>3.15</v>
      </c>
      <c r="P184" cm="1">
        <f t="array" ref="P184">_xlfn.ANCHORARRAY(F184)+0.15</f>
        <v>3.65</v>
      </c>
      <c r="Q184" cm="1">
        <f t="array" ref="Q184">_xlfn.ANCHORARRAY(G184)+0.15</f>
        <v>2.9</v>
      </c>
      <c r="R184" cm="1">
        <f t="array" ref="R184">_xlfn.ANCHORARRAY(H184)</f>
        <v>9.99</v>
      </c>
      <c r="S184" cm="1">
        <f t="array" ref="S184">_xlfn.ANCHORARRAY(R184)+0.15</f>
        <v>10.14</v>
      </c>
      <c r="T184" cm="1">
        <f t="array" ref="T184">_xlfn.ANCHORARRAY(I184)+0.15</f>
        <v>1.65</v>
      </c>
      <c r="U184" cm="1">
        <f t="array" ref="U184">_xlfn.ANCHORARRAY(J184)+0.15</f>
        <v>3.15</v>
      </c>
      <c r="V184" cm="1">
        <f t="array" ref="V184">_xlfn.ANCHORARRAY(K184)+0.15</f>
        <v>3.65</v>
      </c>
      <c r="W184">
        <f>TBL_TEV[[#This Row],[Etica Rendita Bilanciata]]</f>
        <v>1.4945850000000001</v>
      </c>
      <c r="X184">
        <f>TBL_TEV[[#This Row],[Etica Obbligazionario Breve Termine]]</f>
        <v>0.42781799999999998</v>
      </c>
      <c r="Y184">
        <f>TBL_TEV[[#This Row],[Etica Obbligazionario Misto]]</f>
        <v>0.70990799999999998</v>
      </c>
      <c r="Z184">
        <f>TBL_TEV[[#This Row],[Etica Bilanciato]]</f>
        <v>2.1100400000000001</v>
      </c>
      <c r="AA184">
        <f>TBL_TEV[[#This Row],[Etica Azionario]]</f>
        <v>3.0158390000000002</v>
      </c>
      <c r="AB184">
        <f>TBL_TEV[[#This Row],[Etica Transizione Climatica]]</f>
        <v>2.4524530000000002</v>
      </c>
      <c r="AC184">
        <f>TBL_TEV[[#This Row],[Etica Obiettivo Sociale]]</f>
        <v>7.7462438944674306</v>
      </c>
      <c r="AD184">
        <f>TBL_TEV[[#This Row],[Etica Conservative Allocation]]</f>
        <v>0.72244900000000001</v>
      </c>
      <c r="AE184">
        <f>TBL_TEV[[#This Row],[Etica Dynamic Allocation]]</f>
        <v>2.0825770000000001</v>
      </c>
      <c r="AF184">
        <f>TBL_TEV[[#This Row],[Etica Global Equity]]</f>
        <v>2.9572620000000001</v>
      </c>
      <c r="AL184">
        <f ca="1"/>
        <v>1.484108</v>
      </c>
      <c r="AM184">
        <f ca="1"/>
        <v>0.423373</v>
      </c>
      <c r="AN184">
        <f ca="1"/>
        <v>0.70705099999999999</v>
      </c>
      <c r="AO184">
        <f ca="1"/>
        <v>2.0987689999999999</v>
      </c>
      <c r="AP184">
        <f ca="1"/>
        <v>3.0182199999999999</v>
      </c>
      <c r="AQ184">
        <f ca="1"/>
        <v>2.4327679999999998</v>
      </c>
      <c r="AR184">
        <f ca="1"/>
        <v>7.8567296906895754</v>
      </c>
      <c r="AS184">
        <f ca="1"/>
        <v>0.72244900000000001</v>
      </c>
      <c r="AT184">
        <f ca="1"/>
        <v>2.0825770000000001</v>
      </c>
      <c r="AU184">
        <f ca="1"/>
        <v>2.9572620000000001</v>
      </c>
    </row>
    <row r="185" spans="1:47">
      <c r="A185" s="43">
        <f>TBL_TEV[[#This Row],[Data2]]</f>
        <v>45551</v>
      </c>
      <c r="B185" cm="1">
        <f t="array" ref="B185">_xlfn.XLOOKUP(_xlfn.ANCHORARRAY(A185), TBL_Limiti_CDA[Data], TBL_Limiti_CDA[Etica Rendita Bilanciata], , -1)</f>
        <v>2.5</v>
      </c>
      <c r="C185" cm="1">
        <f t="array" ref="C185">_xlfn.XLOOKUP(_xlfn.ANCHORARRAY(A185), TBL_Limiti_CDA[Data], TBL_Limiti_CDA[Etica Obbligazionario Breve Termine], , -1)</f>
        <v>0.5</v>
      </c>
      <c r="D185" cm="1">
        <f t="array" ref="D185">_xlfn.XLOOKUP(_xlfn.ANCHORARRAY(A185), TBL_Limiti_CDA[Data], TBL_Limiti_CDA[Etica Obbligazionario Misto], , -1)</f>
        <v>1.5</v>
      </c>
      <c r="E185" cm="1">
        <f t="array" ref="E185">_xlfn.XLOOKUP(_xlfn.ANCHORARRAY(A185), TBL_Limiti_CDA[Data], TBL_Limiti_CDA[Etica Bilanciato], , -1)</f>
        <v>3</v>
      </c>
      <c r="F185" cm="1">
        <f t="array" ref="F185">_xlfn.XLOOKUP(_xlfn.ANCHORARRAY(A185), TBL_Limiti_CDA[Data], TBL_Limiti_CDA[Etica Azionario], , -1)</f>
        <v>3.5</v>
      </c>
      <c r="G185" cm="1">
        <f t="array" ref="G185">_xlfn.XLOOKUP(_xlfn.ANCHORARRAY(A185), TBL_Limiti_CDA[Data], TBL_Limiti_CDA[Etica Transizione Climatica], , -1)</f>
        <v>2.75</v>
      </c>
      <c r="H185" cm="1">
        <f t="array" ref="H185">_xlfn.XLOOKUP(_xlfn.ANCHORARRAY(A185), TBL_Limiti_CDA[Data], TBL_Limiti_CDA[Etica Obiettivo Sociale], , -1)</f>
        <v>9.99</v>
      </c>
      <c r="I185" cm="1">
        <f t="array" ref="I185">_xlfn.XLOOKUP(_xlfn.ANCHORARRAY(A185), TBL_Limiti_CDA[Data], TBL_Limiti_CDA[Etica Conservative Allocation], , -1)</f>
        <v>1.5</v>
      </c>
      <c r="J185" cm="1">
        <f t="array" ref="J185">_xlfn.XLOOKUP(_xlfn.ANCHORARRAY(A185), TBL_Limiti_CDA[Data], TBL_Limiti_CDA[Etica Dynamic Allocation], , -1)</f>
        <v>3</v>
      </c>
      <c r="K185" cm="1">
        <f t="array" ref="K185">_xlfn.XLOOKUP(_xlfn.ANCHORARRAY(A185), TBL_Limiti_CDA[Data], TBL_Limiti_CDA[Etica Global Equity], , -1)</f>
        <v>3.5</v>
      </c>
      <c r="L185" cm="1">
        <f t="array" ref="L185">_xlfn.ANCHORARRAY(B185)+0.15</f>
        <v>2.65</v>
      </c>
      <c r="M185" cm="1">
        <f t="array" ref="M185">_xlfn.ANCHORARRAY(C185)+0.1</f>
        <v>0.6</v>
      </c>
      <c r="N185" cm="1">
        <f t="array" ref="N185">_xlfn.ANCHORARRAY(D185)+0.15</f>
        <v>1.65</v>
      </c>
      <c r="O185" cm="1">
        <f t="array" ref="O185">_xlfn.ANCHORARRAY(E185)+0.15</f>
        <v>3.15</v>
      </c>
      <c r="P185" cm="1">
        <f t="array" ref="P185">_xlfn.ANCHORARRAY(F185)+0.15</f>
        <v>3.65</v>
      </c>
      <c r="Q185" cm="1">
        <f t="array" ref="Q185">_xlfn.ANCHORARRAY(G185)+0.15</f>
        <v>2.9</v>
      </c>
      <c r="R185" cm="1">
        <f t="array" ref="R185">_xlfn.ANCHORARRAY(H185)</f>
        <v>9.99</v>
      </c>
      <c r="S185" cm="1">
        <f t="array" ref="S185">_xlfn.ANCHORARRAY(R185)+0.15</f>
        <v>10.14</v>
      </c>
      <c r="T185" cm="1">
        <f t="array" ref="T185">_xlfn.ANCHORARRAY(I185)+0.15</f>
        <v>1.65</v>
      </c>
      <c r="U185" cm="1">
        <f t="array" ref="U185">_xlfn.ANCHORARRAY(J185)+0.15</f>
        <v>3.15</v>
      </c>
      <c r="V185" cm="1">
        <f t="array" ref="V185">_xlfn.ANCHORARRAY(K185)+0.15</f>
        <v>3.65</v>
      </c>
      <c r="W185">
        <f>TBL_TEV[[#This Row],[Etica Rendita Bilanciata]]</f>
        <v>1.484108</v>
      </c>
      <c r="X185">
        <f>TBL_TEV[[#This Row],[Etica Obbligazionario Breve Termine]]</f>
        <v>0.423373</v>
      </c>
      <c r="Y185">
        <f>TBL_TEV[[#This Row],[Etica Obbligazionario Misto]]</f>
        <v>0.70705099999999999</v>
      </c>
      <c r="Z185">
        <f>TBL_TEV[[#This Row],[Etica Bilanciato]]</f>
        <v>2.0987689999999999</v>
      </c>
      <c r="AA185">
        <f>TBL_TEV[[#This Row],[Etica Azionario]]</f>
        <v>3.0182199999999999</v>
      </c>
      <c r="AB185">
        <f>TBL_TEV[[#This Row],[Etica Transizione Climatica]]</f>
        <v>2.4327679999999998</v>
      </c>
      <c r="AC185">
        <f>TBL_TEV[[#This Row],[Etica Obiettivo Sociale]]</f>
        <v>7.8567296906895754</v>
      </c>
      <c r="AD185">
        <f>TBL_TEV[[#This Row],[Etica Conservative Allocation]]</f>
        <v>0.72244900000000001</v>
      </c>
      <c r="AE185">
        <f>TBL_TEV[[#This Row],[Etica Dynamic Allocation]]</f>
        <v>2.0825770000000001</v>
      </c>
      <c r="AF185">
        <f>TBL_TEV[[#This Row],[Etica Global Equity]]</f>
        <v>2.9572620000000001</v>
      </c>
      <c r="AL185">
        <f ca="1"/>
        <v>1.4571210000000001</v>
      </c>
      <c r="AM185">
        <f ca="1"/>
        <v>0.420516</v>
      </c>
      <c r="AN185">
        <f ca="1"/>
        <v>0.66672900000000002</v>
      </c>
      <c r="AO185">
        <f ca="1"/>
        <v>2.09226</v>
      </c>
      <c r="AP185">
        <f ca="1"/>
        <v>3.026475</v>
      </c>
      <c r="AQ185">
        <f ca="1"/>
        <v>2.4146709999999998</v>
      </c>
      <c r="AR185">
        <f ca="1"/>
        <v>7.7604907954485469</v>
      </c>
      <c r="AS185">
        <f ca="1"/>
        <v>0.72244900000000001</v>
      </c>
      <c r="AT185">
        <f ca="1"/>
        <v>2.0825770000000001</v>
      </c>
      <c r="AU185">
        <f ca="1"/>
        <v>2.9572620000000001</v>
      </c>
    </row>
    <row r="186" spans="1:47">
      <c r="A186" s="43">
        <f>TBL_TEV[[#This Row],[Data2]]</f>
        <v>45552</v>
      </c>
      <c r="B186" cm="1">
        <f t="array" ref="B186">_xlfn.XLOOKUP(_xlfn.ANCHORARRAY(A186), TBL_Limiti_CDA[Data], TBL_Limiti_CDA[Etica Rendita Bilanciata], , -1)</f>
        <v>2.5</v>
      </c>
      <c r="C186" cm="1">
        <f t="array" ref="C186">_xlfn.XLOOKUP(_xlfn.ANCHORARRAY(A186), TBL_Limiti_CDA[Data], TBL_Limiti_CDA[Etica Obbligazionario Breve Termine], , -1)</f>
        <v>0.5</v>
      </c>
      <c r="D186" cm="1">
        <f t="array" ref="D186">_xlfn.XLOOKUP(_xlfn.ANCHORARRAY(A186), TBL_Limiti_CDA[Data], TBL_Limiti_CDA[Etica Obbligazionario Misto], , -1)</f>
        <v>1.5</v>
      </c>
      <c r="E186" cm="1">
        <f t="array" ref="E186">_xlfn.XLOOKUP(_xlfn.ANCHORARRAY(A186), TBL_Limiti_CDA[Data], TBL_Limiti_CDA[Etica Bilanciato], , -1)</f>
        <v>3</v>
      </c>
      <c r="F186" cm="1">
        <f t="array" ref="F186">_xlfn.XLOOKUP(_xlfn.ANCHORARRAY(A186), TBL_Limiti_CDA[Data], TBL_Limiti_CDA[Etica Azionario], , -1)</f>
        <v>3.5</v>
      </c>
      <c r="G186" cm="1">
        <f t="array" ref="G186">_xlfn.XLOOKUP(_xlfn.ANCHORARRAY(A186), TBL_Limiti_CDA[Data], TBL_Limiti_CDA[Etica Transizione Climatica], , -1)</f>
        <v>2.75</v>
      </c>
      <c r="H186" cm="1">
        <f t="array" ref="H186">_xlfn.XLOOKUP(_xlfn.ANCHORARRAY(A186), TBL_Limiti_CDA[Data], TBL_Limiti_CDA[Etica Obiettivo Sociale], , -1)</f>
        <v>9.99</v>
      </c>
      <c r="I186" cm="1">
        <f t="array" ref="I186">_xlfn.XLOOKUP(_xlfn.ANCHORARRAY(A186), TBL_Limiti_CDA[Data], TBL_Limiti_CDA[Etica Conservative Allocation], , -1)</f>
        <v>1.5</v>
      </c>
      <c r="J186" cm="1">
        <f t="array" ref="J186">_xlfn.XLOOKUP(_xlfn.ANCHORARRAY(A186), TBL_Limiti_CDA[Data], TBL_Limiti_CDA[Etica Dynamic Allocation], , -1)</f>
        <v>3</v>
      </c>
      <c r="K186" cm="1">
        <f t="array" ref="K186">_xlfn.XLOOKUP(_xlfn.ANCHORARRAY(A186), TBL_Limiti_CDA[Data], TBL_Limiti_CDA[Etica Global Equity], , -1)</f>
        <v>3.5</v>
      </c>
      <c r="L186" cm="1">
        <f t="array" ref="L186">_xlfn.ANCHORARRAY(B186)+0.15</f>
        <v>2.65</v>
      </c>
      <c r="M186" cm="1">
        <f t="array" ref="M186">_xlfn.ANCHORARRAY(C186)+0.1</f>
        <v>0.6</v>
      </c>
      <c r="N186" cm="1">
        <f t="array" ref="N186">_xlfn.ANCHORARRAY(D186)+0.15</f>
        <v>1.65</v>
      </c>
      <c r="O186" cm="1">
        <f t="array" ref="O186">_xlfn.ANCHORARRAY(E186)+0.15</f>
        <v>3.15</v>
      </c>
      <c r="P186" cm="1">
        <f t="array" ref="P186">_xlfn.ANCHORARRAY(F186)+0.15</f>
        <v>3.65</v>
      </c>
      <c r="Q186" cm="1">
        <f t="array" ref="Q186">_xlfn.ANCHORARRAY(G186)+0.15</f>
        <v>2.9</v>
      </c>
      <c r="R186" cm="1">
        <f t="array" ref="R186">_xlfn.ANCHORARRAY(H186)</f>
        <v>9.99</v>
      </c>
      <c r="S186" cm="1">
        <f t="array" ref="S186">_xlfn.ANCHORARRAY(R186)+0.15</f>
        <v>10.14</v>
      </c>
      <c r="T186" cm="1">
        <f t="array" ref="T186">_xlfn.ANCHORARRAY(I186)+0.15</f>
        <v>1.65</v>
      </c>
      <c r="U186" cm="1">
        <f t="array" ref="U186">_xlfn.ANCHORARRAY(J186)+0.15</f>
        <v>3.15</v>
      </c>
      <c r="V186" cm="1">
        <f t="array" ref="V186">_xlfn.ANCHORARRAY(K186)+0.15</f>
        <v>3.65</v>
      </c>
      <c r="W186">
        <f>TBL_TEV[[#This Row],[Etica Rendita Bilanciata]]</f>
        <v>1.4571210000000001</v>
      </c>
      <c r="X186">
        <f>TBL_TEV[[#This Row],[Etica Obbligazionario Breve Termine]]</f>
        <v>0.420516</v>
      </c>
      <c r="Y186">
        <f>TBL_TEV[[#This Row],[Etica Obbligazionario Misto]]</f>
        <v>0.66672900000000002</v>
      </c>
      <c r="Z186">
        <f>TBL_TEV[[#This Row],[Etica Bilanciato]]</f>
        <v>2.09226</v>
      </c>
      <c r="AA186">
        <f>TBL_TEV[[#This Row],[Etica Azionario]]</f>
        <v>3.026475</v>
      </c>
      <c r="AB186">
        <f>TBL_TEV[[#This Row],[Etica Transizione Climatica]]</f>
        <v>2.4146709999999998</v>
      </c>
      <c r="AC186">
        <f>TBL_TEV[[#This Row],[Etica Obiettivo Sociale]]</f>
        <v>7.7604907954485469</v>
      </c>
      <c r="AD186">
        <f>TBL_TEV[[#This Row],[Etica Conservative Allocation]]</f>
        <v>0.72244900000000001</v>
      </c>
      <c r="AE186">
        <f>TBL_TEV[[#This Row],[Etica Dynamic Allocation]]</f>
        <v>2.0825770000000001</v>
      </c>
      <c r="AF186">
        <f>TBL_TEV[[#This Row],[Etica Global Equity]]</f>
        <v>2.9572620000000001</v>
      </c>
      <c r="AL186">
        <f ca="1"/>
        <v>1.4460090000000001</v>
      </c>
      <c r="AM186">
        <f ca="1"/>
        <v>0.423373</v>
      </c>
      <c r="AN186">
        <f ca="1"/>
        <v>0.66149100000000005</v>
      </c>
      <c r="AO186">
        <f ca="1"/>
        <v>2.0814650000000001</v>
      </c>
      <c r="AP186">
        <f ca="1"/>
        <v>3.0045679999999999</v>
      </c>
      <c r="AQ186">
        <f ca="1"/>
        <v>2.3914949999999999</v>
      </c>
      <c r="AR186">
        <f ca="1"/>
        <v>7.6180757161974535</v>
      </c>
      <c r="AS186">
        <f ca="1"/>
        <v>0.72244900000000001</v>
      </c>
      <c r="AT186">
        <f ca="1"/>
        <v>2.0825770000000001</v>
      </c>
      <c r="AU186">
        <f ca="1"/>
        <v>2.9572620000000001</v>
      </c>
    </row>
    <row r="187" spans="1:47">
      <c r="A187" s="43">
        <f>TBL_TEV[[#This Row],[Data2]]</f>
        <v>45553</v>
      </c>
      <c r="B187" cm="1">
        <f t="array" ref="B187">_xlfn.XLOOKUP(_xlfn.ANCHORARRAY(A187), TBL_Limiti_CDA[Data], TBL_Limiti_CDA[Etica Rendita Bilanciata], , -1)</f>
        <v>2.5</v>
      </c>
      <c r="C187" cm="1">
        <f t="array" ref="C187">_xlfn.XLOOKUP(_xlfn.ANCHORARRAY(A187), TBL_Limiti_CDA[Data], TBL_Limiti_CDA[Etica Obbligazionario Breve Termine], , -1)</f>
        <v>0.5</v>
      </c>
      <c r="D187" cm="1">
        <f t="array" ref="D187">_xlfn.XLOOKUP(_xlfn.ANCHORARRAY(A187), TBL_Limiti_CDA[Data], TBL_Limiti_CDA[Etica Obbligazionario Misto], , -1)</f>
        <v>1.5</v>
      </c>
      <c r="E187" cm="1">
        <f t="array" ref="E187">_xlfn.XLOOKUP(_xlfn.ANCHORARRAY(A187), TBL_Limiti_CDA[Data], TBL_Limiti_CDA[Etica Bilanciato], , -1)</f>
        <v>3</v>
      </c>
      <c r="F187" cm="1">
        <f t="array" ref="F187">_xlfn.XLOOKUP(_xlfn.ANCHORARRAY(A187), TBL_Limiti_CDA[Data], TBL_Limiti_CDA[Etica Azionario], , -1)</f>
        <v>3.5</v>
      </c>
      <c r="G187" cm="1">
        <f t="array" ref="G187">_xlfn.XLOOKUP(_xlfn.ANCHORARRAY(A187), TBL_Limiti_CDA[Data], TBL_Limiti_CDA[Etica Transizione Climatica], , -1)</f>
        <v>2.75</v>
      </c>
      <c r="H187" cm="1">
        <f t="array" ref="H187">_xlfn.XLOOKUP(_xlfn.ANCHORARRAY(A187), TBL_Limiti_CDA[Data], TBL_Limiti_CDA[Etica Obiettivo Sociale], , -1)</f>
        <v>9.99</v>
      </c>
      <c r="I187" cm="1">
        <f t="array" ref="I187">_xlfn.XLOOKUP(_xlfn.ANCHORARRAY(A187), TBL_Limiti_CDA[Data], TBL_Limiti_CDA[Etica Conservative Allocation], , -1)</f>
        <v>1.5</v>
      </c>
      <c r="J187" cm="1">
        <f t="array" ref="J187">_xlfn.XLOOKUP(_xlfn.ANCHORARRAY(A187), TBL_Limiti_CDA[Data], TBL_Limiti_CDA[Etica Dynamic Allocation], , -1)</f>
        <v>3</v>
      </c>
      <c r="K187" cm="1">
        <f t="array" ref="K187">_xlfn.XLOOKUP(_xlfn.ANCHORARRAY(A187), TBL_Limiti_CDA[Data], TBL_Limiti_CDA[Etica Global Equity], , -1)</f>
        <v>3.5</v>
      </c>
      <c r="L187" cm="1">
        <f t="array" ref="L187">_xlfn.ANCHORARRAY(B187)+0.15</f>
        <v>2.65</v>
      </c>
      <c r="M187" cm="1">
        <f t="array" ref="M187">_xlfn.ANCHORARRAY(C187)+0.1</f>
        <v>0.6</v>
      </c>
      <c r="N187" cm="1">
        <f t="array" ref="N187">_xlfn.ANCHORARRAY(D187)+0.15</f>
        <v>1.65</v>
      </c>
      <c r="O187" cm="1">
        <f t="array" ref="O187">_xlfn.ANCHORARRAY(E187)+0.15</f>
        <v>3.15</v>
      </c>
      <c r="P187" cm="1">
        <f t="array" ref="P187">_xlfn.ANCHORARRAY(F187)+0.15</f>
        <v>3.65</v>
      </c>
      <c r="Q187" cm="1">
        <f t="array" ref="Q187">_xlfn.ANCHORARRAY(G187)+0.15</f>
        <v>2.9</v>
      </c>
      <c r="R187" cm="1">
        <f t="array" ref="R187">_xlfn.ANCHORARRAY(H187)</f>
        <v>9.99</v>
      </c>
      <c r="S187" cm="1">
        <f t="array" ref="S187">_xlfn.ANCHORARRAY(R187)+0.15</f>
        <v>10.14</v>
      </c>
      <c r="T187" cm="1">
        <f t="array" ref="T187">_xlfn.ANCHORARRAY(I187)+0.15</f>
        <v>1.65</v>
      </c>
      <c r="U187" cm="1">
        <f t="array" ref="U187">_xlfn.ANCHORARRAY(J187)+0.15</f>
        <v>3.15</v>
      </c>
      <c r="V187" cm="1">
        <f t="array" ref="V187">_xlfn.ANCHORARRAY(K187)+0.15</f>
        <v>3.65</v>
      </c>
      <c r="W187">
        <f>TBL_TEV[[#This Row],[Etica Rendita Bilanciata]]</f>
        <v>1.4460090000000001</v>
      </c>
      <c r="X187">
        <f>TBL_TEV[[#This Row],[Etica Obbligazionario Breve Termine]]</f>
        <v>0.423373</v>
      </c>
      <c r="Y187">
        <f>TBL_TEV[[#This Row],[Etica Obbligazionario Misto]]</f>
        <v>0.66149100000000005</v>
      </c>
      <c r="Z187">
        <f>TBL_TEV[[#This Row],[Etica Bilanciato]]</f>
        <v>2.0814650000000001</v>
      </c>
      <c r="AA187">
        <f>TBL_TEV[[#This Row],[Etica Azionario]]</f>
        <v>3.0045679999999999</v>
      </c>
      <c r="AB187">
        <f>TBL_TEV[[#This Row],[Etica Transizione Climatica]]</f>
        <v>2.3914949999999999</v>
      </c>
      <c r="AC187">
        <f>TBL_TEV[[#This Row],[Etica Obiettivo Sociale]]</f>
        <v>7.6180757161974535</v>
      </c>
      <c r="AD187">
        <f>TBL_TEV[[#This Row],[Etica Conservative Allocation]]</f>
        <v>0.72244900000000001</v>
      </c>
      <c r="AE187">
        <f>TBL_TEV[[#This Row],[Etica Dynamic Allocation]]</f>
        <v>2.0825770000000001</v>
      </c>
      <c r="AF187">
        <f>TBL_TEV[[#This Row],[Etica Global Equity]]</f>
        <v>2.9572620000000001</v>
      </c>
      <c r="AL187">
        <f ca="1"/>
        <v>1.5274449999999999</v>
      </c>
      <c r="AM187">
        <f ca="1"/>
        <v>0.420516</v>
      </c>
      <c r="AN187">
        <f ca="1"/>
        <v>0.74070499999999995</v>
      </c>
      <c r="AO187">
        <f ca="1"/>
        <v>2.1217869999999999</v>
      </c>
      <c r="AP187">
        <f ca="1"/>
        <v>3.0213950000000001</v>
      </c>
      <c r="AQ187">
        <f ca="1"/>
        <v>2.3892720000000001</v>
      </c>
      <c r="AR187">
        <f ca="1"/>
        <v>7.736903412557635</v>
      </c>
      <c r="AS187">
        <f ca="1"/>
        <v>0.72244900000000001</v>
      </c>
      <c r="AT187">
        <f ca="1"/>
        <v>2.0825770000000001</v>
      </c>
      <c r="AU187">
        <f ca="1"/>
        <v>2.9572620000000001</v>
      </c>
    </row>
    <row r="188" spans="1:47">
      <c r="A188" s="43">
        <f>TBL_TEV[[#This Row],[Data2]]</f>
        <v>45554</v>
      </c>
      <c r="B188" cm="1">
        <f t="array" ref="B188">_xlfn.XLOOKUP(_xlfn.ANCHORARRAY(A188), TBL_Limiti_CDA[Data], TBL_Limiti_CDA[Etica Rendita Bilanciata], , -1)</f>
        <v>2.5</v>
      </c>
      <c r="C188" cm="1">
        <f t="array" ref="C188">_xlfn.XLOOKUP(_xlfn.ANCHORARRAY(A188), TBL_Limiti_CDA[Data], TBL_Limiti_CDA[Etica Obbligazionario Breve Termine], , -1)</f>
        <v>0.5</v>
      </c>
      <c r="D188" cm="1">
        <f t="array" ref="D188">_xlfn.XLOOKUP(_xlfn.ANCHORARRAY(A188), TBL_Limiti_CDA[Data], TBL_Limiti_CDA[Etica Obbligazionario Misto], , -1)</f>
        <v>1.5</v>
      </c>
      <c r="E188" cm="1">
        <f t="array" ref="E188">_xlfn.XLOOKUP(_xlfn.ANCHORARRAY(A188), TBL_Limiti_CDA[Data], TBL_Limiti_CDA[Etica Bilanciato], , -1)</f>
        <v>3</v>
      </c>
      <c r="F188" cm="1">
        <f t="array" ref="F188">_xlfn.XLOOKUP(_xlfn.ANCHORARRAY(A188), TBL_Limiti_CDA[Data], TBL_Limiti_CDA[Etica Azionario], , -1)</f>
        <v>3.5</v>
      </c>
      <c r="G188" cm="1">
        <f t="array" ref="G188">_xlfn.XLOOKUP(_xlfn.ANCHORARRAY(A188), TBL_Limiti_CDA[Data], TBL_Limiti_CDA[Etica Transizione Climatica], , -1)</f>
        <v>2.75</v>
      </c>
      <c r="H188" cm="1">
        <f t="array" ref="H188">_xlfn.XLOOKUP(_xlfn.ANCHORARRAY(A188), TBL_Limiti_CDA[Data], TBL_Limiti_CDA[Etica Obiettivo Sociale], , -1)</f>
        <v>9.99</v>
      </c>
      <c r="I188" cm="1">
        <f t="array" ref="I188">_xlfn.XLOOKUP(_xlfn.ANCHORARRAY(A188), TBL_Limiti_CDA[Data], TBL_Limiti_CDA[Etica Conservative Allocation], , -1)</f>
        <v>1.5</v>
      </c>
      <c r="J188" cm="1">
        <f t="array" ref="J188">_xlfn.XLOOKUP(_xlfn.ANCHORARRAY(A188), TBL_Limiti_CDA[Data], TBL_Limiti_CDA[Etica Dynamic Allocation], , -1)</f>
        <v>3</v>
      </c>
      <c r="K188" cm="1">
        <f t="array" ref="K188">_xlfn.XLOOKUP(_xlfn.ANCHORARRAY(A188), TBL_Limiti_CDA[Data], TBL_Limiti_CDA[Etica Global Equity], , -1)</f>
        <v>3.5</v>
      </c>
      <c r="L188" cm="1">
        <f t="array" ref="L188">_xlfn.ANCHORARRAY(B188)+0.15</f>
        <v>2.65</v>
      </c>
      <c r="M188" cm="1">
        <f t="array" ref="M188">_xlfn.ANCHORARRAY(C188)+0.1</f>
        <v>0.6</v>
      </c>
      <c r="N188" cm="1">
        <f t="array" ref="N188">_xlfn.ANCHORARRAY(D188)+0.15</f>
        <v>1.65</v>
      </c>
      <c r="O188" cm="1">
        <f t="array" ref="O188">_xlfn.ANCHORARRAY(E188)+0.15</f>
        <v>3.15</v>
      </c>
      <c r="P188" cm="1">
        <f t="array" ref="P188">_xlfn.ANCHORARRAY(F188)+0.15</f>
        <v>3.65</v>
      </c>
      <c r="Q188" cm="1">
        <f t="array" ref="Q188">_xlfn.ANCHORARRAY(G188)+0.15</f>
        <v>2.9</v>
      </c>
      <c r="R188" cm="1">
        <f t="array" ref="R188">_xlfn.ANCHORARRAY(H188)</f>
        <v>9.99</v>
      </c>
      <c r="S188" cm="1">
        <f t="array" ref="S188">_xlfn.ANCHORARRAY(R188)+0.15</f>
        <v>10.14</v>
      </c>
      <c r="T188" cm="1">
        <f t="array" ref="T188">_xlfn.ANCHORARRAY(I188)+0.15</f>
        <v>1.65</v>
      </c>
      <c r="U188" cm="1">
        <f t="array" ref="U188">_xlfn.ANCHORARRAY(J188)+0.15</f>
        <v>3.15</v>
      </c>
      <c r="V188" cm="1">
        <f t="array" ref="V188">_xlfn.ANCHORARRAY(K188)+0.15</f>
        <v>3.65</v>
      </c>
      <c r="W188">
        <f>TBL_TEV[[#This Row],[Etica Rendita Bilanciata]]</f>
        <v>1.5274449999999999</v>
      </c>
      <c r="X188">
        <f>TBL_TEV[[#This Row],[Etica Obbligazionario Breve Termine]]</f>
        <v>0.420516</v>
      </c>
      <c r="Y188">
        <f>TBL_TEV[[#This Row],[Etica Obbligazionario Misto]]</f>
        <v>0.74070499999999995</v>
      </c>
      <c r="Z188">
        <f>TBL_TEV[[#This Row],[Etica Bilanciato]]</f>
        <v>2.1217869999999999</v>
      </c>
      <c r="AA188">
        <f>TBL_TEV[[#This Row],[Etica Azionario]]</f>
        <v>3.0213950000000001</v>
      </c>
      <c r="AB188">
        <f>TBL_TEV[[#This Row],[Etica Transizione Climatica]]</f>
        <v>2.3892720000000001</v>
      </c>
      <c r="AC188">
        <f>TBL_TEV[[#This Row],[Etica Obiettivo Sociale]]</f>
        <v>7.736903412557635</v>
      </c>
      <c r="AD188">
        <f>TBL_TEV[[#This Row],[Etica Conservative Allocation]]</f>
        <v>0.72244900000000001</v>
      </c>
      <c r="AE188">
        <f>TBL_TEV[[#This Row],[Etica Dynamic Allocation]]</f>
        <v>2.0825770000000001</v>
      </c>
      <c r="AF188">
        <f>TBL_TEV[[#This Row],[Etica Global Equity]]</f>
        <v>2.9572620000000001</v>
      </c>
      <c r="AL188">
        <f ca="1"/>
        <v>1.555067</v>
      </c>
      <c r="AM188">
        <f ca="1"/>
        <v>0.41892800000000002</v>
      </c>
      <c r="AN188">
        <f ca="1"/>
        <v>0.72784599999999999</v>
      </c>
      <c r="AO188">
        <f ca="1"/>
        <v>2.105912</v>
      </c>
      <c r="AP188">
        <f ca="1"/>
        <v>3.1034660000000001</v>
      </c>
      <c r="AQ188">
        <f ca="1"/>
        <v>2.4054639999999998</v>
      </c>
      <c r="AR188">
        <f ca="1"/>
        <v>7.5369544957843448</v>
      </c>
      <c r="AS188">
        <f ca="1"/>
        <v>0.72244900000000001</v>
      </c>
      <c r="AT188">
        <f ca="1"/>
        <v>2.0825770000000001</v>
      </c>
      <c r="AU188">
        <f ca="1"/>
        <v>2.9572620000000001</v>
      </c>
    </row>
    <row r="189" spans="1:47">
      <c r="A189" s="43">
        <f>TBL_TEV[[#This Row],[Data2]]</f>
        <v>45555</v>
      </c>
      <c r="B189" cm="1">
        <f t="array" ref="B189">_xlfn.XLOOKUP(_xlfn.ANCHORARRAY(A189), TBL_Limiti_CDA[Data], TBL_Limiti_CDA[Etica Rendita Bilanciata], , -1)</f>
        <v>2.5</v>
      </c>
      <c r="C189" cm="1">
        <f t="array" ref="C189">_xlfn.XLOOKUP(_xlfn.ANCHORARRAY(A189), TBL_Limiti_CDA[Data], TBL_Limiti_CDA[Etica Obbligazionario Breve Termine], , -1)</f>
        <v>0.5</v>
      </c>
      <c r="D189" cm="1">
        <f t="array" ref="D189">_xlfn.XLOOKUP(_xlfn.ANCHORARRAY(A189), TBL_Limiti_CDA[Data], TBL_Limiti_CDA[Etica Obbligazionario Misto], , -1)</f>
        <v>1.5</v>
      </c>
      <c r="E189" cm="1">
        <f t="array" ref="E189">_xlfn.XLOOKUP(_xlfn.ANCHORARRAY(A189), TBL_Limiti_CDA[Data], TBL_Limiti_CDA[Etica Bilanciato], , -1)</f>
        <v>3</v>
      </c>
      <c r="F189" cm="1">
        <f t="array" ref="F189">_xlfn.XLOOKUP(_xlfn.ANCHORARRAY(A189), TBL_Limiti_CDA[Data], TBL_Limiti_CDA[Etica Azionario], , -1)</f>
        <v>3.5</v>
      </c>
      <c r="G189" cm="1">
        <f t="array" ref="G189">_xlfn.XLOOKUP(_xlfn.ANCHORARRAY(A189), TBL_Limiti_CDA[Data], TBL_Limiti_CDA[Etica Transizione Climatica], , -1)</f>
        <v>2.75</v>
      </c>
      <c r="H189" cm="1">
        <f t="array" ref="H189">_xlfn.XLOOKUP(_xlfn.ANCHORARRAY(A189), TBL_Limiti_CDA[Data], TBL_Limiti_CDA[Etica Obiettivo Sociale], , -1)</f>
        <v>9.99</v>
      </c>
      <c r="I189" cm="1">
        <f t="array" ref="I189">_xlfn.XLOOKUP(_xlfn.ANCHORARRAY(A189), TBL_Limiti_CDA[Data], TBL_Limiti_CDA[Etica Conservative Allocation], , -1)</f>
        <v>1.5</v>
      </c>
      <c r="J189" cm="1">
        <f t="array" ref="J189">_xlfn.XLOOKUP(_xlfn.ANCHORARRAY(A189), TBL_Limiti_CDA[Data], TBL_Limiti_CDA[Etica Dynamic Allocation], , -1)</f>
        <v>3</v>
      </c>
      <c r="K189" cm="1">
        <f t="array" ref="K189">_xlfn.XLOOKUP(_xlfn.ANCHORARRAY(A189), TBL_Limiti_CDA[Data], TBL_Limiti_CDA[Etica Global Equity], , -1)</f>
        <v>3.5</v>
      </c>
      <c r="L189" cm="1">
        <f t="array" ref="L189">_xlfn.ANCHORARRAY(B189)+0.15</f>
        <v>2.65</v>
      </c>
      <c r="M189" cm="1">
        <f t="array" ref="M189">_xlfn.ANCHORARRAY(C189)+0.1</f>
        <v>0.6</v>
      </c>
      <c r="N189" cm="1">
        <f t="array" ref="N189">_xlfn.ANCHORARRAY(D189)+0.15</f>
        <v>1.65</v>
      </c>
      <c r="O189" cm="1">
        <f t="array" ref="O189">_xlfn.ANCHORARRAY(E189)+0.15</f>
        <v>3.15</v>
      </c>
      <c r="P189" cm="1">
        <f t="array" ref="P189">_xlfn.ANCHORARRAY(F189)+0.15</f>
        <v>3.65</v>
      </c>
      <c r="Q189" cm="1">
        <f t="array" ref="Q189">_xlfn.ANCHORARRAY(G189)+0.15</f>
        <v>2.9</v>
      </c>
      <c r="R189" cm="1">
        <f t="array" ref="R189">_xlfn.ANCHORARRAY(H189)</f>
        <v>9.99</v>
      </c>
      <c r="S189" cm="1">
        <f t="array" ref="S189">_xlfn.ANCHORARRAY(R189)+0.15</f>
        <v>10.14</v>
      </c>
      <c r="T189" cm="1">
        <f t="array" ref="T189">_xlfn.ANCHORARRAY(I189)+0.15</f>
        <v>1.65</v>
      </c>
      <c r="U189" cm="1">
        <f t="array" ref="U189">_xlfn.ANCHORARRAY(J189)+0.15</f>
        <v>3.15</v>
      </c>
      <c r="V189" cm="1">
        <f t="array" ref="V189">_xlfn.ANCHORARRAY(K189)+0.15</f>
        <v>3.65</v>
      </c>
      <c r="W189">
        <f>TBL_TEV[[#This Row],[Etica Rendita Bilanciata]]</f>
        <v>1.555067</v>
      </c>
      <c r="X189">
        <f>TBL_TEV[[#This Row],[Etica Obbligazionario Breve Termine]]</f>
        <v>0.41892800000000002</v>
      </c>
      <c r="Y189">
        <f>TBL_TEV[[#This Row],[Etica Obbligazionario Misto]]</f>
        <v>0.72784599999999999</v>
      </c>
      <c r="Z189">
        <f>TBL_TEV[[#This Row],[Etica Bilanciato]]</f>
        <v>2.105912</v>
      </c>
      <c r="AA189">
        <f>TBL_TEV[[#This Row],[Etica Azionario]]</f>
        <v>3.1034660000000001</v>
      </c>
      <c r="AB189">
        <f>TBL_TEV[[#This Row],[Etica Transizione Climatica]]</f>
        <v>2.4054639999999998</v>
      </c>
      <c r="AC189">
        <f>TBL_TEV[[#This Row],[Etica Obiettivo Sociale]]</f>
        <v>7.5369544957843448</v>
      </c>
      <c r="AD189">
        <f>TBL_TEV[[#This Row],[Etica Conservative Allocation]]</f>
        <v>0.72244900000000001</v>
      </c>
      <c r="AE189">
        <f>TBL_TEV[[#This Row],[Etica Dynamic Allocation]]</f>
        <v>2.0825770000000001</v>
      </c>
      <c r="AF189">
        <f>TBL_TEV[[#This Row],[Etica Global Equity]]</f>
        <v>2.9572620000000001</v>
      </c>
      <c r="AL189">
        <f ca="1"/>
        <v>1.5495110000000001</v>
      </c>
      <c r="AM189">
        <f ca="1"/>
        <v>0.42654799999999998</v>
      </c>
      <c r="AN189">
        <f ca="1"/>
        <v>0.72879899999999997</v>
      </c>
      <c r="AO189">
        <f ca="1"/>
        <v>2.0936889999999999</v>
      </c>
      <c r="AP189">
        <f ca="1"/>
        <v>3.0837819999999998</v>
      </c>
      <c r="AQ189">
        <f ca="1"/>
        <v>2.3946700000000001</v>
      </c>
      <c r="AR189">
        <f ca="1"/>
        <v>7.4799435832432337</v>
      </c>
      <c r="AS189">
        <f ca="1"/>
        <v>0.72244900000000001</v>
      </c>
      <c r="AT189">
        <f ca="1"/>
        <v>2.0825770000000001</v>
      </c>
      <c r="AU189">
        <f ca="1"/>
        <v>2.9572620000000001</v>
      </c>
    </row>
    <row r="190" spans="1:47">
      <c r="A190" s="43">
        <f>TBL_TEV[[#This Row],[Data2]]</f>
        <v>45558</v>
      </c>
      <c r="B190" cm="1">
        <f t="array" ref="B190">_xlfn.XLOOKUP(_xlfn.ANCHORARRAY(A190), TBL_Limiti_CDA[Data], TBL_Limiti_CDA[Etica Rendita Bilanciata], , -1)</f>
        <v>2.5</v>
      </c>
      <c r="C190" cm="1">
        <f t="array" ref="C190">_xlfn.XLOOKUP(_xlfn.ANCHORARRAY(A190), TBL_Limiti_CDA[Data], TBL_Limiti_CDA[Etica Obbligazionario Breve Termine], , -1)</f>
        <v>0.5</v>
      </c>
      <c r="D190" cm="1">
        <f t="array" ref="D190">_xlfn.XLOOKUP(_xlfn.ANCHORARRAY(A190), TBL_Limiti_CDA[Data], TBL_Limiti_CDA[Etica Obbligazionario Misto], , -1)</f>
        <v>1.5</v>
      </c>
      <c r="E190" cm="1">
        <f t="array" ref="E190">_xlfn.XLOOKUP(_xlfn.ANCHORARRAY(A190), TBL_Limiti_CDA[Data], TBL_Limiti_CDA[Etica Bilanciato], , -1)</f>
        <v>3</v>
      </c>
      <c r="F190" cm="1">
        <f t="array" ref="F190">_xlfn.XLOOKUP(_xlfn.ANCHORARRAY(A190), TBL_Limiti_CDA[Data], TBL_Limiti_CDA[Etica Azionario], , -1)</f>
        <v>3.5</v>
      </c>
      <c r="G190" cm="1">
        <f t="array" ref="G190">_xlfn.XLOOKUP(_xlfn.ANCHORARRAY(A190), TBL_Limiti_CDA[Data], TBL_Limiti_CDA[Etica Transizione Climatica], , -1)</f>
        <v>2.75</v>
      </c>
      <c r="H190" cm="1">
        <f t="array" ref="H190">_xlfn.XLOOKUP(_xlfn.ANCHORARRAY(A190), TBL_Limiti_CDA[Data], TBL_Limiti_CDA[Etica Obiettivo Sociale], , -1)</f>
        <v>9.99</v>
      </c>
      <c r="I190" cm="1">
        <f t="array" ref="I190">_xlfn.XLOOKUP(_xlfn.ANCHORARRAY(A190), TBL_Limiti_CDA[Data], TBL_Limiti_CDA[Etica Conservative Allocation], , -1)</f>
        <v>1.5</v>
      </c>
      <c r="J190" cm="1">
        <f t="array" ref="J190">_xlfn.XLOOKUP(_xlfn.ANCHORARRAY(A190), TBL_Limiti_CDA[Data], TBL_Limiti_CDA[Etica Dynamic Allocation], , -1)</f>
        <v>3</v>
      </c>
      <c r="K190" cm="1">
        <f t="array" ref="K190">_xlfn.XLOOKUP(_xlfn.ANCHORARRAY(A190), TBL_Limiti_CDA[Data], TBL_Limiti_CDA[Etica Global Equity], , -1)</f>
        <v>3.5</v>
      </c>
      <c r="L190" cm="1">
        <f t="array" ref="L190">_xlfn.ANCHORARRAY(B190)+0.15</f>
        <v>2.65</v>
      </c>
      <c r="M190" cm="1">
        <f t="array" ref="M190">_xlfn.ANCHORARRAY(C190)+0.1</f>
        <v>0.6</v>
      </c>
      <c r="N190" cm="1">
        <f t="array" ref="N190">_xlfn.ANCHORARRAY(D190)+0.15</f>
        <v>1.65</v>
      </c>
      <c r="O190" cm="1">
        <f t="array" ref="O190">_xlfn.ANCHORARRAY(E190)+0.15</f>
        <v>3.15</v>
      </c>
      <c r="P190" cm="1">
        <f t="array" ref="P190">_xlfn.ANCHORARRAY(F190)+0.15</f>
        <v>3.65</v>
      </c>
      <c r="Q190" cm="1">
        <f t="array" ref="Q190">_xlfn.ANCHORARRAY(G190)+0.15</f>
        <v>2.9</v>
      </c>
      <c r="R190" cm="1">
        <f t="array" ref="R190">_xlfn.ANCHORARRAY(H190)</f>
        <v>9.99</v>
      </c>
      <c r="S190" cm="1">
        <f t="array" ref="S190">_xlfn.ANCHORARRAY(R190)+0.15</f>
        <v>10.14</v>
      </c>
      <c r="T190" cm="1">
        <f t="array" ref="T190">_xlfn.ANCHORARRAY(I190)+0.15</f>
        <v>1.65</v>
      </c>
      <c r="U190" cm="1">
        <f t="array" ref="U190">_xlfn.ANCHORARRAY(J190)+0.15</f>
        <v>3.15</v>
      </c>
      <c r="V190" cm="1">
        <f t="array" ref="V190">_xlfn.ANCHORARRAY(K190)+0.15</f>
        <v>3.65</v>
      </c>
      <c r="W190">
        <f>TBL_TEV[[#This Row],[Etica Rendita Bilanciata]]</f>
        <v>1.5495110000000001</v>
      </c>
      <c r="X190">
        <f>TBL_TEV[[#This Row],[Etica Obbligazionario Breve Termine]]</f>
        <v>0.42654799999999998</v>
      </c>
      <c r="Y190">
        <f>TBL_TEV[[#This Row],[Etica Obbligazionario Misto]]</f>
        <v>0.72879899999999997</v>
      </c>
      <c r="Z190">
        <f>TBL_TEV[[#This Row],[Etica Bilanciato]]</f>
        <v>2.0936889999999999</v>
      </c>
      <c r="AA190">
        <f>TBL_TEV[[#This Row],[Etica Azionario]]</f>
        <v>3.0837819999999998</v>
      </c>
      <c r="AB190">
        <f>TBL_TEV[[#This Row],[Etica Transizione Climatica]]</f>
        <v>2.3946700000000001</v>
      </c>
      <c r="AC190">
        <f>TBL_TEV[[#This Row],[Etica Obiettivo Sociale]]</f>
        <v>7.4799435832432337</v>
      </c>
      <c r="AD190">
        <f>TBL_TEV[[#This Row],[Etica Conservative Allocation]]</f>
        <v>0.72244900000000001</v>
      </c>
      <c r="AE190">
        <f>TBL_TEV[[#This Row],[Etica Dynamic Allocation]]</f>
        <v>2.0825770000000001</v>
      </c>
      <c r="AF190">
        <f>TBL_TEV[[#This Row],[Etica Global Equity]]</f>
        <v>2.9572620000000001</v>
      </c>
      <c r="AL190">
        <f ca="1"/>
        <v>1.5626869999999999</v>
      </c>
      <c r="AM190">
        <f ca="1"/>
        <v>0.427342</v>
      </c>
      <c r="AN190">
        <f ca="1"/>
        <v>0.73308499999999999</v>
      </c>
      <c r="AO190">
        <f ca="1"/>
        <v>2.0997210000000002</v>
      </c>
      <c r="AP190">
        <f ca="1"/>
        <v>3.0891790000000001</v>
      </c>
      <c r="AQ190">
        <f ca="1"/>
        <v>2.4200689999999998</v>
      </c>
      <c r="AR190">
        <f ca="1"/>
        <v>7.4882306206946572</v>
      </c>
      <c r="AS190">
        <f ca="1"/>
        <v>0.72244900000000001</v>
      </c>
      <c r="AT190">
        <f ca="1"/>
        <v>2.0825770000000001</v>
      </c>
      <c r="AU190">
        <f ca="1"/>
        <v>2.9572620000000001</v>
      </c>
    </row>
    <row r="191" spans="1:47">
      <c r="A191" s="43">
        <f>TBL_TEV[[#This Row],[Data2]]</f>
        <v>45559</v>
      </c>
      <c r="B191" cm="1">
        <f t="array" ref="B191">_xlfn.XLOOKUP(_xlfn.ANCHORARRAY(A191), TBL_Limiti_CDA[Data], TBL_Limiti_CDA[Etica Rendita Bilanciata], , -1)</f>
        <v>2.5</v>
      </c>
      <c r="C191" cm="1">
        <f t="array" ref="C191">_xlfn.XLOOKUP(_xlfn.ANCHORARRAY(A191), TBL_Limiti_CDA[Data], TBL_Limiti_CDA[Etica Obbligazionario Breve Termine], , -1)</f>
        <v>0.5</v>
      </c>
      <c r="D191" cm="1">
        <f t="array" ref="D191">_xlfn.XLOOKUP(_xlfn.ANCHORARRAY(A191), TBL_Limiti_CDA[Data], TBL_Limiti_CDA[Etica Obbligazionario Misto], , -1)</f>
        <v>1.5</v>
      </c>
      <c r="E191" cm="1">
        <f t="array" ref="E191">_xlfn.XLOOKUP(_xlfn.ANCHORARRAY(A191), TBL_Limiti_CDA[Data], TBL_Limiti_CDA[Etica Bilanciato], , -1)</f>
        <v>3</v>
      </c>
      <c r="F191" cm="1">
        <f t="array" ref="F191">_xlfn.XLOOKUP(_xlfn.ANCHORARRAY(A191), TBL_Limiti_CDA[Data], TBL_Limiti_CDA[Etica Azionario], , -1)</f>
        <v>3.5</v>
      </c>
      <c r="G191" cm="1">
        <f t="array" ref="G191">_xlfn.XLOOKUP(_xlfn.ANCHORARRAY(A191), TBL_Limiti_CDA[Data], TBL_Limiti_CDA[Etica Transizione Climatica], , -1)</f>
        <v>2.75</v>
      </c>
      <c r="H191" cm="1">
        <f t="array" ref="H191">_xlfn.XLOOKUP(_xlfn.ANCHORARRAY(A191), TBL_Limiti_CDA[Data], TBL_Limiti_CDA[Etica Obiettivo Sociale], , -1)</f>
        <v>9.99</v>
      </c>
      <c r="I191" cm="1">
        <f t="array" ref="I191">_xlfn.XLOOKUP(_xlfn.ANCHORARRAY(A191), TBL_Limiti_CDA[Data], TBL_Limiti_CDA[Etica Conservative Allocation], , -1)</f>
        <v>1.5</v>
      </c>
      <c r="J191" cm="1">
        <f t="array" ref="J191">_xlfn.XLOOKUP(_xlfn.ANCHORARRAY(A191), TBL_Limiti_CDA[Data], TBL_Limiti_CDA[Etica Dynamic Allocation], , -1)</f>
        <v>3</v>
      </c>
      <c r="K191" cm="1">
        <f t="array" ref="K191">_xlfn.XLOOKUP(_xlfn.ANCHORARRAY(A191), TBL_Limiti_CDA[Data], TBL_Limiti_CDA[Etica Global Equity], , -1)</f>
        <v>3.5</v>
      </c>
      <c r="L191" cm="1">
        <f t="array" ref="L191">_xlfn.ANCHORARRAY(B191)+0.15</f>
        <v>2.65</v>
      </c>
      <c r="M191" cm="1">
        <f t="array" ref="M191">_xlfn.ANCHORARRAY(C191)+0.1</f>
        <v>0.6</v>
      </c>
      <c r="N191" cm="1">
        <f t="array" ref="N191">_xlfn.ANCHORARRAY(D191)+0.15</f>
        <v>1.65</v>
      </c>
      <c r="O191" cm="1">
        <f t="array" ref="O191">_xlfn.ANCHORARRAY(E191)+0.15</f>
        <v>3.15</v>
      </c>
      <c r="P191" cm="1">
        <f t="array" ref="P191">_xlfn.ANCHORARRAY(F191)+0.15</f>
        <v>3.65</v>
      </c>
      <c r="Q191" cm="1">
        <f t="array" ref="Q191">_xlfn.ANCHORARRAY(G191)+0.15</f>
        <v>2.9</v>
      </c>
      <c r="R191" cm="1">
        <f t="array" ref="R191">_xlfn.ANCHORARRAY(H191)</f>
        <v>9.99</v>
      </c>
      <c r="S191" cm="1">
        <f t="array" ref="S191">_xlfn.ANCHORARRAY(R191)+0.15</f>
        <v>10.14</v>
      </c>
      <c r="T191" cm="1">
        <f t="array" ref="T191">_xlfn.ANCHORARRAY(I191)+0.15</f>
        <v>1.65</v>
      </c>
      <c r="U191" cm="1">
        <f t="array" ref="U191">_xlfn.ANCHORARRAY(J191)+0.15</f>
        <v>3.15</v>
      </c>
      <c r="V191" cm="1">
        <f t="array" ref="V191">_xlfn.ANCHORARRAY(K191)+0.15</f>
        <v>3.65</v>
      </c>
      <c r="W191">
        <f>TBL_TEV[[#This Row],[Etica Rendita Bilanciata]]</f>
        <v>1.5626869999999999</v>
      </c>
      <c r="X191">
        <f>TBL_TEV[[#This Row],[Etica Obbligazionario Breve Termine]]</f>
        <v>0.427342</v>
      </c>
      <c r="Y191">
        <f>TBL_TEV[[#This Row],[Etica Obbligazionario Misto]]</f>
        <v>0.73308499999999999</v>
      </c>
      <c r="Z191">
        <f>TBL_TEV[[#This Row],[Etica Bilanciato]]</f>
        <v>2.0997210000000002</v>
      </c>
      <c r="AA191">
        <f>TBL_TEV[[#This Row],[Etica Azionario]]</f>
        <v>3.0891790000000001</v>
      </c>
      <c r="AB191">
        <f>TBL_TEV[[#This Row],[Etica Transizione Climatica]]</f>
        <v>2.4200689999999998</v>
      </c>
      <c r="AC191">
        <f>TBL_TEV[[#This Row],[Etica Obiettivo Sociale]]</f>
        <v>7.4882306206946572</v>
      </c>
      <c r="AD191">
        <f>TBL_TEV[[#This Row],[Etica Conservative Allocation]]</f>
        <v>0.72244900000000001</v>
      </c>
      <c r="AE191">
        <f>TBL_TEV[[#This Row],[Etica Dynamic Allocation]]</f>
        <v>2.0825770000000001</v>
      </c>
      <c r="AF191">
        <f>TBL_TEV[[#This Row],[Etica Global Equity]]</f>
        <v>2.9572620000000001</v>
      </c>
      <c r="AL191">
        <f ca="1"/>
        <v>1.5657030000000001</v>
      </c>
      <c r="AM191">
        <f ca="1"/>
        <v>0.280503</v>
      </c>
      <c r="AN191">
        <f ca="1"/>
        <v>0.73419599999999996</v>
      </c>
      <c r="AO191">
        <f ca="1"/>
        <v>2.1086109999999998</v>
      </c>
      <c r="AP191">
        <f ca="1"/>
        <v>3.1025140000000002</v>
      </c>
      <c r="AQ191">
        <f ca="1"/>
        <v>2.42753</v>
      </c>
      <c r="AR191">
        <f ca="1"/>
        <v>7.5116527187066389</v>
      </c>
      <c r="AS191">
        <f ca="1"/>
        <v>0.72244900000000001</v>
      </c>
      <c r="AT191">
        <f ca="1"/>
        <v>2.0825770000000001</v>
      </c>
      <c r="AU191">
        <f ca="1"/>
        <v>2.9572620000000001</v>
      </c>
    </row>
    <row r="192" spans="1:47">
      <c r="A192" s="43">
        <f>TBL_TEV[[#This Row],[Data2]]</f>
        <v>45560</v>
      </c>
      <c r="B192" cm="1">
        <f t="array" ref="B192">_xlfn.XLOOKUP(_xlfn.ANCHORARRAY(A192), TBL_Limiti_CDA[Data], TBL_Limiti_CDA[Etica Rendita Bilanciata], , -1)</f>
        <v>2.5</v>
      </c>
      <c r="C192" cm="1">
        <f t="array" ref="C192">_xlfn.XLOOKUP(_xlfn.ANCHORARRAY(A192), TBL_Limiti_CDA[Data], TBL_Limiti_CDA[Etica Obbligazionario Breve Termine], , -1)</f>
        <v>0.5</v>
      </c>
      <c r="D192" cm="1">
        <f t="array" ref="D192">_xlfn.XLOOKUP(_xlfn.ANCHORARRAY(A192), TBL_Limiti_CDA[Data], TBL_Limiti_CDA[Etica Obbligazionario Misto], , -1)</f>
        <v>1.5</v>
      </c>
      <c r="E192" cm="1">
        <f t="array" ref="E192">_xlfn.XLOOKUP(_xlfn.ANCHORARRAY(A192), TBL_Limiti_CDA[Data], TBL_Limiti_CDA[Etica Bilanciato], , -1)</f>
        <v>3</v>
      </c>
      <c r="F192" cm="1">
        <f t="array" ref="F192">_xlfn.XLOOKUP(_xlfn.ANCHORARRAY(A192), TBL_Limiti_CDA[Data], TBL_Limiti_CDA[Etica Azionario], , -1)</f>
        <v>3.5</v>
      </c>
      <c r="G192" cm="1">
        <f t="array" ref="G192">_xlfn.XLOOKUP(_xlfn.ANCHORARRAY(A192), TBL_Limiti_CDA[Data], TBL_Limiti_CDA[Etica Transizione Climatica], , -1)</f>
        <v>2.75</v>
      </c>
      <c r="H192" cm="1">
        <f t="array" ref="H192">_xlfn.XLOOKUP(_xlfn.ANCHORARRAY(A192), TBL_Limiti_CDA[Data], TBL_Limiti_CDA[Etica Obiettivo Sociale], , -1)</f>
        <v>9.99</v>
      </c>
      <c r="I192" cm="1">
        <f t="array" ref="I192">_xlfn.XLOOKUP(_xlfn.ANCHORARRAY(A192), TBL_Limiti_CDA[Data], TBL_Limiti_CDA[Etica Conservative Allocation], , -1)</f>
        <v>1.5</v>
      </c>
      <c r="J192" cm="1">
        <f t="array" ref="J192">_xlfn.XLOOKUP(_xlfn.ANCHORARRAY(A192), TBL_Limiti_CDA[Data], TBL_Limiti_CDA[Etica Dynamic Allocation], , -1)</f>
        <v>3</v>
      </c>
      <c r="K192" cm="1">
        <f t="array" ref="K192">_xlfn.XLOOKUP(_xlfn.ANCHORARRAY(A192), TBL_Limiti_CDA[Data], TBL_Limiti_CDA[Etica Global Equity], , -1)</f>
        <v>3.5</v>
      </c>
      <c r="L192" cm="1">
        <f t="array" ref="L192">_xlfn.ANCHORARRAY(B192)+0.15</f>
        <v>2.65</v>
      </c>
      <c r="M192" cm="1">
        <f t="array" ref="M192">_xlfn.ANCHORARRAY(C192)+0.1</f>
        <v>0.6</v>
      </c>
      <c r="N192" cm="1">
        <f t="array" ref="N192">_xlfn.ANCHORARRAY(D192)+0.15</f>
        <v>1.65</v>
      </c>
      <c r="O192" cm="1">
        <f t="array" ref="O192">_xlfn.ANCHORARRAY(E192)+0.15</f>
        <v>3.15</v>
      </c>
      <c r="P192" cm="1">
        <f t="array" ref="P192">_xlfn.ANCHORARRAY(F192)+0.15</f>
        <v>3.65</v>
      </c>
      <c r="Q192" cm="1">
        <f t="array" ref="Q192">_xlfn.ANCHORARRAY(G192)+0.15</f>
        <v>2.9</v>
      </c>
      <c r="R192" cm="1">
        <f t="array" ref="R192">_xlfn.ANCHORARRAY(H192)</f>
        <v>9.99</v>
      </c>
      <c r="S192" cm="1">
        <f t="array" ref="S192">_xlfn.ANCHORARRAY(R192)+0.15</f>
        <v>10.14</v>
      </c>
      <c r="T192" cm="1">
        <f t="array" ref="T192">_xlfn.ANCHORARRAY(I192)+0.15</f>
        <v>1.65</v>
      </c>
      <c r="U192" cm="1">
        <f t="array" ref="U192">_xlfn.ANCHORARRAY(J192)+0.15</f>
        <v>3.15</v>
      </c>
      <c r="V192" cm="1">
        <f t="array" ref="V192">_xlfn.ANCHORARRAY(K192)+0.15</f>
        <v>3.65</v>
      </c>
      <c r="W192">
        <f>TBL_TEV[[#This Row],[Etica Rendita Bilanciata]]</f>
        <v>1.5657030000000001</v>
      </c>
      <c r="X192">
        <f>TBL_TEV[[#This Row],[Etica Obbligazionario Breve Termine]]</f>
        <v>0.280503</v>
      </c>
      <c r="Y192">
        <f>TBL_TEV[[#This Row],[Etica Obbligazionario Misto]]</f>
        <v>0.73419599999999996</v>
      </c>
      <c r="Z192">
        <f>TBL_TEV[[#This Row],[Etica Bilanciato]]</f>
        <v>2.1086109999999998</v>
      </c>
      <c r="AA192">
        <f>TBL_TEV[[#This Row],[Etica Azionario]]</f>
        <v>3.1025140000000002</v>
      </c>
      <c r="AB192">
        <f>TBL_TEV[[#This Row],[Etica Transizione Climatica]]</f>
        <v>2.42753</v>
      </c>
      <c r="AC192">
        <f>TBL_TEV[[#This Row],[Etica Obiettivo Sociale]]</f>
        <v>7.5116527187066389</v>
      </c>
      <c r="AD192">
        <f>TBL_TEV[[#This Row],[Etica Conservative Allocation]]</f>
        <v>0.72244900000000001</v>
      </c>
      <c r="AE192">
        <f>TBL_TEV[[#This Row],[Etica Dynamic Allocation]]</f>
        <v>2.0825770000000001</v>
      </c>
      <c r="AF192">
        <f>TBL_TEV[[#This Row],[Etica Global Equity]]</f>
        <v>2.9572620000000001</v>
      </c>
      <c r="AL192">
        <f ca="1"/>
        <v>1.6192</v>
      </c>
      <c r="AM192">
        <f ca="1"/>
        <v>0.278756</v>
      </c>
      <c r="AN192">
        <f ca="1"/>
        <v>0.745784</v>
      </c>
      <c r="AO192">
        <f ca="1"/>
        <v>2.2054450000000001</v>
      </c>
      <c r="AP192">
        <f ca="1"/>
        <v>3.2444320000000002</v>
      </c>
      <c r="AQ192">
        <f ca="1"/>
        <v>2.4919799999999999</v>
      </c>
      <c r="AR192">
        <f ca="1"/>
        <v>7.7620847372948614</v>
      </c>
      <c r="AS192">
        <f ca="1"/>
        <v>0.72244900000000001</v>
      </c>
      <c r="AT192">
        <f ca="1"/>
        <v>2.0825770000000001</v>
      </c>
      <c r="AU192">
        <f ca="1"/>
        <v>2.9572620000000001</v>
      </c>
    </row>
    <row r="193" spans="1:47">
      <c r="A193" s="43">
        <f>TBL_TEV[[#This Row],[Data2]]</f>
        <v>45561</v>
      </c>
      <c r="B193" cm="1">
        <f t="array" ref="B193">_xlfn.XLOOKUP(_xlfn.ANCHORARRAY(A193), TBL_Limiti_CDA[Data], TBL_Limiti_CDA[Etica Rendita Bilanciata], , -1)</f>
        <v>2.5</v>
      </c>
      <c r="C193" cm="1">
        <f t="array" ref="C193">_xlfn.XLOOKUP(_xlfn.ANCHORARRAY(A193), TBL_Limiti_CDA[Data], TBL_Limiti_CDA[Etica Obbligazionario Breve Termine], , -1)</f>
        <v>0.5</v>
      </c>
      <c r="D193" cm="1">
        <f t="array" ref="D193">_xlfn.XLOOKUP(_xlfn.ANCHORARRAY(A193), TBL_Limiti_CDA[Data], TBL_Limiti_CDA[Etica Obbligazionario Misto], , -1)</f>
        <v>1.5</v>
      </c>
      <c r="E193" cm="1">
        <f t="array" ref="E193">_xlfn.XLOOKUP(_xlfn.ANCHORARRAY(A193), TBL_Limiti_CDA[Data], TBL_Limiti_CDA[Etica Bilanciato], , -1)</f>
        <v>3</v>
      </c>
      <c r="F193" cm="1">
        <f t="array" ref="F193">_xlfn.XLOOKUP(_xlfn.ANCHORARRAY(A193), TBL_Limiti_CDA[Data], TBL_Limiti_CDA[Etica Azionario], , -1)</f>
        <v>3.5</v>
      </c>
      <c r="G193" cm="1">
        <f t="array" ref="G193">_xlfn.XLOOKUP(_xlfn.ANCHORARRAY(A193), TBL_Limiti_CDA[Data], TBL_Limiti_CDA[Etica Transizione Climatica], , -1)</f>
        <v>2.75</v>
      </c>
      <c r="H193" cm="1">
        <f t="array" ref="H193">_xlfn.XLOOKUP(_xlfn.ANCHORARRAY(A193), TBL_Limiti_CDA[Data], TBL_Limiti_CDA[Etica Obiettivo Sociale], , -1)</f>
        <v>9.99</v>
      </c>
      <c r="I193" cm="1">
        <f t="array" ref="I193">_xlfn.XLOOKUP(_xlfn.ANCHORARRAY(A193), TBL_Limiti_CDA[Data], TBL_Limiti_CDA[Etica Conservative Allocation], , -1)</f>
        <v>1.5</v>
      </c>
      <c r="J193" cm="1">
        <f t="array" ref="J193">_xlfn.XLOOKUP(_xlfn.ANCHORARRAY(A193), TBL_Limiti_CDA[Data], TBL_Limiti_CDA[Etica Dynamic Allocation], , -1)</f>
        <v>3</v>
      </c>
      <c r="K193" cm="1">
        <f t="array" ref="K193">_xlfn.XLOOKUP(_xlfn.ANCHORARRAY(A193), TBL_Limiti_CDA[Data], TBL_Limiti_CDA[Etica Global Equity], , -1)</f>
        <v>3.5</v>
      </c>
      <c r="L193" cm="1">
        <f t="array" ref="L193">_xlfn.ANCHORARRAY(B193)+0.15</f>
        <v>2.65</v>
      </c>
      <c r="M193" cm="1">
        <f t="array" ref="M193">_xlfn.ANCHORARRAY(C193)+0.1</f>
        <v>0.6</v>
      </c>
      <c r="N193" cm="1">
        <f t="array" ref="N193">_xlfn.ANCHORARRAY(D193)+0.15</f>
        <v>1.65</v>
      </c>
      <c r="O193" cm="1">
        <f t="array" ref="O193">_xlfn.ANCHORARRAY(E193)+0.15</f>
        <v>3.15</v>
      </c>
      <c r="P193" cm="1">
        <f t="array" ref="P193">_xlfn.ANCHORARRAY(F193)+0.15</f>
        <v>3.65</v>
      </c>
      <c r="Q193" cm="1">
        <f t="array" ref="Q193">_xlfn.ANCHORARRAY(G193)+0.15</f>
        <v>2.9</v>
      </c>
      <c r="R193" cm="1">
        <f t="array" ref="R193">_xlfn.ANCHORARRAY(H193)</f>
        <v>9.99</v>
      </c>
      <c r="S193" cm="1">
        <f t="array" ref="S193">_xlfn.ANCHORARRAY(R193)+0.15</f>
        <v>10.14</v>
      </c>
      <c r="T193" cm="1">
        <f t="array" ref="T193">_xlfn.ANCHORARRAY(I193)+0.15</f>
        <v>1.65</v>
      </c>
      <c r="U193" cm="1">
        <f t="array" ref="U193">_xlfn.ANCHORARRAY(J193)+0.15</f>
        <v>3.15</v>
      </c>
      <c r="V193" cm="1">
        <f t="array" ref="V193">_xlfn.ANCHORARRAY(K193)+0.15</f>
        <v>3.65</v>
      </c>
      <c r="W193">
        <f>TBL_TEV[[#This Row],[Etica Rendita Bilanciata]]</f>
        <v>1.6192</v>
      </c>
      <c r="X193">
        <f>TBL_TEV[[#This Row],[Etica Obbligazionario Breve Termine]]</f>
        <v>0.278756</v>
      </c>
      <c r="Y193">
        <f>TBL_TEV[[#This Row],[Etica Obbligazionario Misto]]</f>
        <v>0.745784</v>
      </c>
      <c r="Z193">
        <f>TBL_TEV[[#This Row],[Etica Bilanciato]]</f>
        <v>2.2054450000000001</v>
      </c>
      <c r="AA193">
        <f>TBL_TEV[[#This Row],[Etica Azionario]]</f>
        <v>3.2444320000000002</v>
      </c>
      <c r="AB193">
        <f>TBL_TEV[[#This Row],[Etica Transizione Climatica]]</f>
        <v>2.4919799999999999</v>
      </c>
      <c r="AC193">
        <f>TBL_TEV[[#This Row],[Etica Obiettivo Sociale]]</f>
        <v>7.7620847372948614</v>
      </c>
      <c r="AD193">
        <f>TBL_TEV[[#This Row],[Etica Conservative Allocation]]</f>
        <v>0.72244900000000001</v>
      </c>
      <c r="AE193">
        <f>TBL_TEV[[#This Row],[Etica Dynamic Allocation]]</f>
        <v>2.0825770000000001</v>
      </c>
      <c r="AF193">
        <f>TBL_TEV[[#This Row],[Etica Global Equity]]</f>
        <v>2.9572620000000001</v>
      </c>
      <c r="AL193">
        <f ca="1"/>
        <v>1.6393599999999999</v>
      </c>
      <c r="AM193">
        <f ca="1"/>
        <v>0.27986800000000001</v>
      </c>
      <c r="AN193">
        <f ca="1"/>
        <v>0.76229400000000003</v>
      </c>
      <c r="AO193">
        <f ca="1"/>
        <v>2.2348129999999999</v>
      </c>
      <c r="AP193">
        <f ca="1"/>
        <v>3.268561</v>
      </c>
      <c r="AQ193">
        <f ca="1"/>
        <v>2.5038860000000001</v>
      </c>
      <c r="AR193">
        <f ca="1"/>
        <v>7.6336438946712759</v>
      </c>
      <c r="AS193">
        <f ca="1"/>
        <v>0.72244900000000001</v>
      </c>
      <c r="AT193">
        <f ca="1"/>
        <v>2.0825770000000001</v>
      </c>
      <c r="AU193">
        <f ca="1"/>
        <v>2.9572620000000001</v>
      </c>
    </row>
    <row r="194" spans="1:47">
      <c r="A194" s="43">
        <f>TBL_TEV[[#This Row],[Data2]]</f>
        <v>45562</v>
      </c>
      <c r="B194" cm="1">
        <f t="array" ref="B194">_xlfn.XLOOKUP(_xlfn.ANCHORARRAY(A194), TBL_Limiti_CDA[Data], TBL_Limiti_CDA[Etica Rendita Bilanciata], , -1)</f>
        <v>2.5</v>
      </c>
      <c r="C194" cm="1">
        <f t="array" ref="C194">_xlfn.XLOOKUP(_xlfn.ANCHORARRAY(A194), TBL_Limiti_CDA[Data], TBL_Limiti_CDA[Etica Obbligazionario Breve Termine], , -1)</f>
        <v>0.5</v>
      </c>
      <c r="D194" cm="1">
        <f t="array" ref="D194">_xlfn.XLOOKUP(_xlfn.ANCHORARRAY(A194), TBL_Limiti_CDA[Data], TBL_Limiti_CDA[Etica Obbligazionario Misto], , -1)</f>
        <v>1.5</v>
      </c>
      <c r="E194" cm="1">
        <f t="array" ref="E194">_xlfn.XLOOKUP(_xlfn.ANCHORARRAY(A194), TBL_Limiti_CDA[Data], TBL_Limiti_CDA[Etica Bilanciato], , -1)</f>
        <v>3</v>
      </c>
      <c r="F194" cm="1">
        <f t="array" ref="F194">_xlfn.XLOOKUP(_xlfn.ANCHORARRAY(A194), TBL_Limiti_CDA[Data], TBL_Limiti_CDA[Etica Azionario], , -1)</f>
        <v>3.5</v>
      </c>
      <c r="G194" cm="1">
        <f t="array" ref="G194">_xlfn.XLOOKUP(_xlfn.ANCHORARRAY(A194), TBL_Limiti_CDA[Data], TBL_Limiti_CDA[Etica Transizione Climatica], , -1)</f>
        <v>2.75</v>
      </c>
      <c r="H194" cm="1">
        <f t="array" ref="H194">_xlfn.XLOOKUP(_xlfn.ANCHORARRAY(A194), TBL_Limiti_CDA[Data], TBL_Limiti_CDA[Etica Obiettivo Sociale], , -1)</f>
        <v>9.99</v>
      </c>
      <c r="I194" cm="1">
        <f t="array" ref="I194">_xlfn.XLOOKUP(_xlfn.ANCHORARRAY(A194), TBL_Limiti_CDA[Data], TBL_Limiti_CDA[Etica Conservative Allocation], , -1)</f>
        <v>1.5</v>
      </c>
      <c r="J194" cm="1">
        <f t="array" ref="J194">_xlfn.XLOOKUP(_xlfn.ANCHORARRAY(A194), TBL_Limiti_CDA[Data], TBL_Limiti_CDA[Etica Dynamic Allocation], , -1)</f>
        <v>3</v>
      </c>
      <c r="K194" cm="1">
        <f t="array" ref="K194">_xlfn.XLOOKUP(_xlfn.ANCHORARRAY(A194), TBL_Limiti_CDA[Data], TBL_Limiti_CDA[Etica Global Equity], , -1)</f>
        <v>3.5</v>
      </c>
      <c r="L194" cm="1">
        <f t="array" ref="L194">_xlfn.ANCHORARRAY(B194)+0.15</f>
        <v>2.65</v>
      </c>
      <c r="M194" cm="1">
        <f t="array" ref="M194">_xlfn.ANCHORARRAY(C194)+0.1</f>
        <v>0.6</v>
      </c>
      <c r="N194" cm="1">
        <f t="array" ref="N194">_xlfn.ANCHORARRAY(D194)+0.15</f>
        <v>1.65</v>
      </c>
      <c r="O194" cm="1">
        <f t="array" ref="O194">_xlfn.ANCHORARRAY(E194)+0.15</f>
        <v>3.15</v>
      </c>
      <c r="P194" cm="1">
        <f t="array" ref="P194">_xlfn.ANCHORARRAY(F194)+0.15</f>
        <v>3.65</v>
      </c>
      <c r="Q194" cm="1">
        <f t="array" ref="Q194">_xlfn.ANCHORARRAY(G194)+0.15</f>
        <v>2.9</v>
      </c>
      <c r="R194" cm="1">
        <f t="array" ref="R194">_xlfn.ANCHORARRAY(H194)</f>
        <v>9.99</v>
      </c>
      <c r="S194" cm="1">
        <f t="array" ref="S194">_xlfn.ANCHORARRAY(R194)+0.15</f>
        <v>10.14</v>
      </c>
      <c r="T194" cm="1">
        <f t="array" ref="T194">_xlfn.ANCHORARRAY(I194)+0.15</f>
        <v>1.65</v>
      </c>
      <c r="U194" cm="1">
        <f t="array" ref="U194">_xlfn.ANCHORARRAY(J194)+0.15</f>
        <v>3.15</v>
      </c>
      <c r="V194" cm="1">
        <f t="array" ref="V194">_xlfn.ANCHORARRAY(K194)+0.15</f>
        <v>3.65</v>
      </c>
      <c r="W194">
        <f>TBL_TEV[[#This Row],[Etica Rendita Bilanciata]]</f>
        <v>1.6393599999999999</v>
      </c>
      <c r="X194">
        <f>TBL_TEV[[#This Row],[Etica Obbligazionario Breve Termine]]</f>
        <v>0.27986800000000001</v>
      </c>
      <c r="Y194">
        <f>TBL_TEV[[#This Row],[Etica Obbligazionario Misto]]</f>
        <v>0.76229400000000003</v>
      </c>
      <c r="Z194">
        <f>TBL_TEV[[#This Row],[Etica Bilanciato]]</f>
        <v>2.2348129999999999</v>
      </c>
      <c r="AA194">
        <f>TBL_TEV[[#This Row],[Etica Azionario]]</f>
        <v>3.268561</v>
      </c>
      <c r="AB194">
        <f>TBL_TEV[[#This Row],[Etica Transizione Climatica]]</f>
        <v>2.5038860000000001</v>
      </c>
      <c r="AC194">
        <f>TBL_TEV[[#This Row],[Etica Obiettivo Sociale]]</f>
        <v>7.6336438946712759</v>
      </c>
      <c r="AD194">
        <f>TBL_TEV[[#This Row],[Etica Conservative Allocation]]</f>
        <v>0.72244900000000001</v>
      </c>
      <c r="AE194">
        <f>TBL_TEV[[#This Row],[Etica Dynamic Allocation]]</f>
        <v>2.0825770000000001</v>
      </c>
      <c r="AF194">
        <f>TBL_TEV[[#This Row],[Etica Global Equity]]</f>
        <v>2.9572620000000001</v>
      </c>
      <c r="AL194">
        <f ca="1"/>
        <v>1.650631</v>
      </c>
      <c r="AM194">
        <f ca="1"/>
        <v>0.31526799999999999</v>
      </c>
      <c r="AN194">
        <f ca="1"/>
        <v>0.74768900000000005</v>
      </c>
      <c r="AO194">
        <f ca="1"/>
        <v>2.2867229999999998</v>
      </c>
      <c r="AP194">
        <f ca="1"/>
        <v>3.3223760000000002</v>
      </c>
      <c r="AQ194">
        <f ca="1"/>
        <v>2.5105529999999998</v>
      </c>
      <c r="AR194">
        <f ca="1"/>
        <v>7.6746509238449159</v>
      </c>
      <c r="AS194">
        <f ca="1"/>
        <v>0.72244900000000001</v>
      </c>
      <c r="AT194">
        <f ca="1"/>
        <v>2.0825770000000001</v>
      </c>
      <c r="AU194">
        <f ca="1"/>
        <v>2.9572620000000001</v>
      </c>
    </row>
    <row r="195" spans="1:47">
      <c r="A195" s="43">
        <f>TBL_TEV[[#This Row],[Data2]]</f>
        <v>45565</v>
      </c>
      <c r="B195" cm="1">
        <f t="array" ref="B195">_xlfn.XLOOKUP(_xlfn.ANCHORARRAY(A195), TBL_Limiti_CDA[Data], TBL_Limiti_CDA[Etica Rendita Bilanciata], , -1)</f>
        <v>2.5</v>
      </c>
      <c r="C195" cm="1">
        <f t="array" ref="C195">_xlfn.XLOOKUP(_xlfn.ANCHORARRAY(A195), TBL_Limiti_CDA[Data], TBL_Limiti_CDA[Etica Obbligazionario Breve Termine], , -1)</f>
        <v>0.5</v>
      </c>
      <c r="D195" cm="1">
        <f t="array" ref="D195">_xlfn.XLOOKUP(_xlfn.ANCHORARRAY(A195), TBL_Limiti_CDA[Data], TBL_Limiti_CDA[Etica Obbligazionario Misto], , -1)</f>
        <v>1.5</v>
      </c>
      <c r="E195" cm="1">
        <f t="array" ref="E195">_xlfn.XLOOKUP(_xlfn.ANCHORARRAY(A195), TBL_Limiti_CDA[Data], TBL_Limiti_CDA[Etica Bilanciato], , -1)</f>
        <v>3</v>
      </c>
      <c r="F195" cm="1">
        <f t="array" ref="F195">_xlfn.XLOOKUP(_xlfn.ANCHORARRAY(A195), TBL_Limiti_CDA[Data], TBL_Limiti_CDA[Etica Azionario], , -1)</f>
        <v>3.5</v>
      </c>
      <c r="G195" cm="1">
        <f t="array" ref="G195">_xlfn.XLOOKUP(_xlfn.ANCHORARRAY(A195), TBL_Limiti_CDA[Data], TBL_Limiti_CDA[Etica Transizione Climatica], , -1)</f>
        <v>2.75</v>
      </c>
      <c r="H195" cm="1">
        <f t="array" ref="H195">_xlfn.XLOOKUP(_xlfn.ANCHORARRAY(A195), TBL_Limiti_CDA[Data], TBL_Limiti_CDA[Etica Obiettivo Sociale], , -1)</f>
        <v>9.99</v>
      </c>
      <c r="I195" cm="1">
        <f t="array" ref="I195">_xlfn.XLOOKUP(_xlfn.ANCHORARRAY(A195), TBL_Limiti_CDA[Data], TBL_Limiti_CDA[Etica Conservative Allocation], , -1)</f>
        <v>1.5</v>
      </c>
      <c r="J195" cm="1">
        <f t="array" ref="J195">_xlfn.XLOOKUP(_xlfn.ANCHORARRAY(A195), TBL_Limiti_CDA[Data], TBL_Limiti_CDA[Etica Dynamic Allocation], , -1)</f>
        <v>3</v>
      </c>
      <c r="K195" cm="1">
        <f t="array" ref="K195">_xlfn.XLOOKUP(_xlfn.ANCHORARRAY(A195), TBL_Limiti_CDA[Data], TBL_Limiti_CDA[Etica Global Equity], , -1)</f>
        <v>3.5</v>
      </c>
      <c r="L195" cm="1">
        <f t="array" ref="L195">_xlfn.ANCHORARRAY(B195)+0.15</f>
        <v>2.65</v>
      </c>
      <c r="M195" cm="1">
        <f t="array" ref="M195">_xlfn.ANCHORARRAY(C195)+0.1</f>
        <v>0.6</v>
      </c>
      <c r="N195" cm="1">
        <f t="array" ref="N195">_xlfn.ANCHORARRAY(D195)+0.15</f>
        <v>1.65</v>
      </c>
      <c r="O195" cm="1">
        <f t="array" ref="O195">_xlfn.ANCHORARRAY(E195)+0.15</f>
        <v>3.15</v>
      </c>
      <c r="P195" cm="1">
        <f t="array" ref="P195">_xlfn.ANCHORARRAY(F195)+0.15</f>
        <v>3.65</v>
      </c>
      <c r="Q195" cm="1">
        <f t="array" ref="Q195">_xlfn.ANCHORARRAY(G195)+0.15</f>
        <v>2.9</v>
      </c>
      <c r="R195" cm="1">
        <f t="array" ref="R195">_xlfn.ANCHORARRAY(H195)</f>
        <v>9.99</v>
      </c>
      <c r="S195" cm="1">
        <f t="array" ref="S195">_xlfn.ANCHORARRAY(R195)+0.15</f>
        <v>10.14</v>
      </c>
      <c r="T195" cm="1">
        <f t="array" ref="T195">_xlfn.ANCHORARRAY(I195)+0.15</f>
        <v>1.65</v>
      </c>
      <c r="U195" cm="1">
        <f t="array" ref="U195">_xlfn.ANCHORARRAY(J195)+0.15</f>
        <v>3.15</v>
      </c>
      <c r="V195" cm="1">
        <f t="array" ref="V195">_xlfn.ANCHORARRAY(K195)+0.15</f>
        <v>3.65</v>
      </c>
      <c r="W195">
        <f>TBL_TEV[[#This Row],[Etica Rendita Bilanciata]]</f>
        <v>1.650631</v>
      </c>
      <c r="X195">
        <f>TBL_TEV[[#This Row],[Etica Obbligazionario Breve Termine]]</f>
        <v>0.31526799999999999</v>
      </c>
      <c r="Y195">
        <f>TBL_TEV[[#This Row],[Etica Obbligazionario Misto]]</f>
        <v>0.74768900000000005</v>
      </c>
      <c r="Z195">
        <f>TBL_TEV[[#This Row],[Etica Bilanciato]]</f>
        <v>2.2867229999999998</v>
      </c>
      <c r="AA195">
        <f>TBL_TEV[[#This Row],[Etica Azionario]]</f>
        <v>3.3223760000000002</v>
      </c>
      <c r="AB195">
        <f>TBL_TEV[[#This Row],[Etica Transizione Climatica]]</f>
        <v>2.5105529999999998</v>
      </c>
      <c r="AC195">
        <f>TBL_TEV[[#This Row],[Etica Obiettivo Sociale]]</f>
        <v>7.6746509238449159</v>
      </c>
      <c r="AD195">
        <f>TBL_TEV[[#This Row],[Etica Conservative Allocation]]</f>
        <v>0.72244900000000001</v>
      </c>
      <c r="AE195">
        <f>TBL_TEV[[#This Row],[Etica Dynamic Allocation]]</f>
        <v>2.0825770000000001</v>
      </c>
      <c r="AF195">
        <f>TBL_TEV[[#This Row],[Etica Global Equity]]</f>
        <v>2.9572620000000001</v>
      </c>
      <c r="AL195">
        <f ca="1"/>
        <v>1.6382490000000001</v>
      </c>
      <c r="AM195">
        <f ca="1"/>
        <v>0.31907799999999997</v>
      </c>
      <c r="AN195">
        <f ca="1"/>
        <v>0.74340300000000004</v>
      </c>
      <c r="AO195">
        <f ca="1"/>
        <v>2.2714829999999999</v>
      </c>
      <c r="AP195">
        <f ca="1"/>
        <v>3.3698410000000001</v>
      </c>
      <c r="AQ195">
        <f ca="1"/>
        <v>2.495949</v>
      </c>
      <c r="AR195">
        <f ca="1"/>
        <v>7.710956385664991</v>
      </c>
      <c r="AS195">
        <f ca="1"/>
        <v>0.72244900000000001</v>
      </c>
      <c r="AT195">
        <f ca="1"/>
        <v>2.0825770000000001</v>
      </c>
      <c r="AU195">
        <f ca="1"/>
        <v>2.9572620000000001</v>
      </c>
    </row>
    <row r="196" spans="1:47">
      <c r="A196" s="43">
        <f>TBL_TEV[[#This Row],[Data2]]</f>
        <v>45566</v>
      </c>
      <c r="B196" cm="1">
        <f t="array" ref="B196">_xlfn.XLOOKUP(_xlfn.ANCHORARRAY(A196), TBL_Limiti_CDA[Data], TBL_Limiti_CDA[Etica Rendita Bilanciata], , -1)</f>
        <v>2.5</v>
      </c>
      <c r="C196" cm="1">
        <f t="array" ref="C196">_xlfn.XLOOKUP(_xlfn.ANCHORARRAY(A196), TBL_Limiti_CDA[Data], TBL_Limiti_CDA[Etica Obbligazionario Breve Termine], , -1)</f>
        <v>0.5</v>
      </c>
      <c r="D196" cm="1">
        <f t="array" ref="D196">_xlfn.XLOOKUP(_xlfn.ANCHORARRAY(A196), TBL_Limiti_CDA[Data], TBL_Limiti_CDA[Etica Obbligazionario Misto], , -1)</f>
        <v>1.5</v>
      </c>
      <c r="E196" cm="1">
        <f t="array" ref="E196">_xlfn.XLOOKUP(_xlfn.ANCHORARRAY(A196), TBL_Limiti_CDA[Data], TBL_Limiti_CDA[Etica Bilanciato], , -1)</f>
        <v>3</v>
      </c>
      <c r="F196" cm="1">
        <f t="array" ref="F196">_xlfn.XLOOKUP(_xlfn.ANCHORARRAY(A196), TBL_Limiti_CDA[Data], TBL_Limiti_CDA[Etica Azionario], , -1)</f>
        <v>3.5</v>
      </c>
      <c r="G196" cm="1">
        <f t="array" ref="G196">_xlfn.XLOOKUP(_xlfn.ANCHORARRAY(A196), TBL_Limiti_CDA[Data], TBL_Limiti_CDA[Etica Transizione Climatica], , -1)</f>
        <v>2.75</v>
      </c>
      <c r="H196" cm="1">
        <f t="array" ref="H196">_xlfn.XLOOKUP(_xlfn.ANCHORARRAY(A196), TBL_Limiti_CDA[Data], TBL_Limiti_CDA[Etica Obiettivo Sociale], , -1)</f>
        <v>9.99</v>
      </c>
      <c r="I196" cm="1">
        <f t="array" ref="I196">_xlfn.XLOOKUP(_xlfn.ANCHORARRAY(A196), TBL_Limiti_CDA[Data], TBL_Limiti_CDA[Etica Conservative Allocation], , -1)</f>
        <v>1.5</v>
      </c>
      <c r="J196" cm="1">
        <f t="array" ref="J196">_xlfn.XLOOKUP(_xlfn.ANCHORARRAY(A196), TBL_Limiti_CDA[Data], TBL_Limiti_CDA[Etica Dynamic Allocation], , -1)</f>
        <v>3</v>
      </c>
      <c r="K196" cm="1">
        <f t="array" ref="K196">_xlfn.XLOOKUP(_xlfn.ANCHORARRAY(A196), TBL_Limiti_CDA[Data], TBL_Limiti_CDA[Etica Global Equity], , -1)</f>
        <v>3.5</v>
      </c>
      <c r="L196" cm="1">
        <f t="array" ref="L196">_xlfn.ANCHORARRAY(B196)+0.15</f>
        <v>2.65</v>
      </c>
      <c r="M196" cm="1">
        <f t="array" ref="M196">_xlfn.ANCHORARRAY(C196)+0.1</f>
        <v>0.6</v>
      </c>
      <c r="N196" cm="1">
        <f t="array" ref="N196">_xlfn.ANCHORARRAY(D196)+0.15</f>
        <v>1.65</v>
      </c>
      <c r="O196" cm="1">
        <f t="array" ref="O196">_xlfn.ANCHORARRAY(E196)+0.15</f>
        <v>3.15</v>
      </c>
      <c r="P196" cm="1">
        <f t="array" ref="P196">_xlfn.ANCHORARRAY(F196)+0.15</f>
        <v>3.65</v>
      </c>
      <c r="Q196" cm="1">
        <f t="array" ref="Q196">_xlfn.ANCHORARRAY(G196)+0.15</f>
        <v>2.9</v>
      </c>
      <c r="R196" cm="1">
        <f t="array" ref="R196">_xlfn.ANCHORARRAY(H196)</f>
        <v>9.99</v>
      </c>
      <c r="S196" cm="1">
        <f t="array" ref="S196">_xlfn.ANCHORARRAY(R196)+0.15</f>
        <v>10.14</v>
      </c>
      <c r="T196" cm="1">
        <f t="array" ref="T196">_xlfn.ANCHORARRAY(I196)+0.15</f>
        <v>1.65</v>
      </c>
      <c r="U196" cm="1">
        <f t="array" ref="U196">_xlfn.ANCHORARRAY(J196)+0.15</f>
        <v>3.15</v>
      </c>
      <c r="V196" cm="1">
        <f t="array" ref="V196">_xlfn.ANCHORARRAY(K196)+0.15</f>
        <v>3.65</v>
      </c>
      <c r="W196">
        <f>TBL_TEV[[#This Row],[Etica Rendita Bilanciata]]</f>
        <v>1.6382490000000001</v>
      </c>
      <c r="X196">
        <f>TBL_TEV[[#This Row],[Etica Obbligazionario Breve Termine]]</f>
        <v>0.31907799999999997</v>
      </c>
      <c r="Y196">
        <f>TBL_TEV[[#This Row],[Etica Obbligazionario Misto]]</f>
        <v>0.74340300000000004</v>
      </c>
      <c r="Z196">
        <f>TBL_TEV[[#This Row],[Etica Bilanciato]]</f>
        <v>2.2714829999999999</v>
      </c>
      <c r="AA196">
        <f>TBL_TEV[[#This Row],[Etica Azionario]]</f>
        <v>3.3698410000000001</v>
      </c>
      <c r="AB196">
        <f>TBL_TEV[[#This Row],[Etica Transizione Climatica]]</f>
        <v>2.495949</v>
      </c>
      <c r="AC196">
        <f>TBL_TEV[[#This Row],[Etica Obiettivo Sociale]]</f>
        <v>7.710956385664991</v>
      </c>
      <c r="AD196">
        <f>TBL_TEV[[#This Row],[Etica Conservative Allocation]]</f>
        <v>0.72244900000000001</v>
      </c>
      <c r="AE196">
        <f>TBL_TEV[[#This Row],[Etica Dynamic Allocation]]</f>
        <v>2.0825770000000001</v>
      </c>
      <c r="AF196">
        <f>TBL_TEV[[#This Row],[Etica Global Equity]]</f>
        <v>2.9572620000000001</v>
      </c>
      <c r="AL196">
        <f ca="1"/>
        <v>1.6333279999999999</v>
      </c>
      <c r="AM196">
        <f ca="1"/>
        <v>0.31669599999999998</v>
      </c>
      <c r="AN196">
        <f ca="1"/>
        <v>0.74276799999999998</v>
      </c>
      <c r="AO196">
        <f ca="1"/>
        <v>2.2651340000000002</v>
      </c>
      <c r="AP196">
        <f ca="1"/>
        <v>3.351426</v>
      </c>
      <c r="AQ196">
        <f ca="1"/>
        <v>2.491028</v>
      </c>
      <c r="AR196">
        <f ca="1"/>
        <v>7.5149403048974701</v>
      </c>
      <c r="AS196">
        <f ca="1"/>
        <v>0.72244900000000001</v>
      </c>
      <c r="AT196">
        <f ca="1"/>
        <v>2.0825770000000001</v>
      </c>
      <c r="AU196">
        <f ca="1"/>
        <v>2.9572620000000001</v>
      </c>
    </row>
    <row r="197" spans="1:47">
      <c r="A197" s="43">
        <f>TBL_TEV[[#This Row],[Data2]]</f>
        <v>45567</v>
      </c>
      <c r="B197" cm="1">
        <f t="array" ref="B197">_xlfn.XLOOKUP(_xlfn.ANCHORARRAY(A197), TBL_Limiti_CDA[Data], TBL_Limiti_CDA[Etica Rendita Bilanciata], , -1)</f>
        <v>2.5</v>
      </c>
      <c r="C197" cm="1">
        <f t="array" ref="C197">_xlfn.XLOOKUP(_xlfn.ANCHORARRAY(A197), TBL_Limiti_CDA[Data], TBL_Limiti_CDA[Etica Obbligazionario Breve Termine], , -1)</f>
        <v>0.5</v>
      </c>
      <c r="D197" cm="1">
        <f t="array" ref="D197">_xlfn.XLOOKUP(_xlfn.ANCHORARRAY(A197), TBL_Limiti_CDA[Data], TBL_Limiti_CDA[Etica Obbligazionario Misto], , -1)</f>
        <v>1.5</v>
      </c>
      <c r="E197" cm="1">
        <f t="array" ref="E197">_xlfn.XLOOKUP(_xlfn.ANCHORARRAY(A197), TBL_Limiti_CDA[Data], TBL_Limiti_CDA[Etica Bilanciato], , -1)</f>
        <v>3</v>
      </c>
      <c r="F197" cm="1">
        <f t="array" ref="F197">_xlfn.XLOOKUP(_xlfn.ANCHORARRAY(A197), TBL_Limiti_CDA[Data], TBL_Limiti_CDA[Etica Azionario], , -1)</f>
        <v>3.5</v>
      </c>
      <c r="G197" cm="1">
        <f t="array" ref="G197">_xlfn.XLOOKUP(_xlfn.ANCHORARRAY(A197), TBL_Limiti_CDA[Data], TBL_Limiti_CDA[Etica Transizione Climatica], , -1)</f>
        <v>2.75</v>
      </c>
      <c r="H197" cm="1">
        <f t="array" ref="H197">_xlfn.XLOOKUP(_xlfn.ANCHORARRAY(A197), TBL_Limiti_CDA[Data], TBL_Limiti_CDA[Etica Obiettivo Sociale], , -1)</f>
        <v>9.99</v>
      </c>
      <c r="I197" cm="1">
        <f t="array" ref="I197">_xlfn.XLOOKUP(_xlfn.ANCHORARRAY(A197), TBL_Limiti_CDA[Data], TBL_Limiti_CDA[Etica Conservative Allocation], , -1)</f>
        <v>1.5</v>
      </c>
      <c r="J197" cm="1">
        <f t="array" ref="J197">_xlfn.XLOOKUP(_xlfn.ANCHORARRAY(A197), TBL_Limiti_CDA[Data], TBL_Limiti_CDA[Etica Dynamic Allocation], , -1)</f>
        <v>3</v>
      </c>
      <c r="K197" cm="1">
        <f t="array" ref="K197">_xlfn.XLOOKUP(_xlfn.ANCHORARRAY(A197), TBL_Limiti_CDA[Data], TBL_Limiti_CDA[Etica Global Equity], , -1)</f>
        <v>3.5</v>
      </c>
      <c r="L197" cm="1">
        <f t="array" ref="L197">_xlfn.ANCHORARRAY(B197)+0.15</f>
        <v>2.65</v>
      </c>
      <c r="M197" cm="1">
        <f t="array" ref="M197">_xlfn.ANCHORARRAY(C197)+0.1</f>
        <v>0.6</v>
      </c>
      <c r="N197" cm="1">
        <f t="array" ref="N197">_xlfn.ANCHORARRAY(D197)+0.15</f>
        <v>1.65</v>
      </c>
      <c r="O197" cm="1">
        <f t="array" ref="O197">_xlfn.ANCHORARRAY(E197)+0.15</f>
        <v>3.15</v>
      </c>
      <c r="P197" cm="1">
        <f t="array" ref="P197">_xlfn.ANCHORARRAY(F197)+0.15</f>
        <v>3.65</v>
      </c>
      <c r="Q197" cm="1">
        <f t="array" ref="Q197">_xlfn.ANCHORARRAY(G197)+0.15</f>
        <v>2.9</v>
      </c>
      <c r="R197" cm="1">
        <f t="array" ref="R197">_xlfn.ANCHORARRAY(H197)</f>
        <v>9.99</v>
      </c>
      <c r="S197" cm="1">
        <f t="array" ref="S197">_xlfn.ANCHORARRAY(R197)+0.15</f>
        <v>10.14</v>
      </c>
      <c r="T197" cm="1">
        <f t="array" ref="T197">_xlfn.ANCHORARRAY(I197)+0.15</f>
        <v>1.65</v>
      </c>
      <c r="U197" cm="1">
        <f t="array" ref="U197">_xlfn.ANCHORARRAY(J197)+0.15</f>
        <v>3.15</v>
      </c>
      <c r="V197" cm="1">
        <f t="array" ref="V197">_xlfn.ANCHORARRAY(K197)+0.15</f>
        <v>3.65</v>
      </c>
      <c r="W197">
        <f>TBL_TEV[[#This Row],[Etica Rendita Bilanciata]]</f>
        <v>1.6333279999999999</v>
      </c>
      <c r="X197">
        <f>TBL_TEV[[#This Row],[Etica Obbligazionario Breve Termine]]</f>
        <v>0.31669599999999998</v>
      </c>
      <c r="Y197">
        <f>TBL_TEV[[#This Row],[Etica Obbligazionario Misto]]</f>
        <v>0.74276799999999998</v>
      </c>
      <c r="Z197">
        <f>TBL_TEV[[#This Row],[Etica Bilanciato]]</f>
        <v>2.2651340000000002</v>
      </c>
      <c r="AA197">
        <f>TBL_TEV[[#This Row],[Etica Azionario]]</f>
        <v>3.351426</v>
      </c>
      <c r="AB197">
        <f>TBL_TEV[[#This Row],[Etica Transizione Climatica]]</f>
        <v>2.491028</v>
      </c>
      <c r="AC197">
        <f>TBL_TEV[[#This Row],[Etica Obiettivo Sociale]]</f>
        <v>7.5149403048974701</v>
      </c>
      <c r="AD197">
        <f>TBL_TEV[[#This Row],[Etica Conservative Allocation]]</f>
        <v>0.72244900000000001</v>
      </c>
      <c r="AE197">
        <f>TBL_TEV[[#This Row],[Etica Dynamic Allocation]]</f>
        <v>2.0825770000000001</v>
      </c>
      <c r="AF197">
        <f>TBL_TEV[[#This Row],[Etica Global Equity]]</f>
        <v>2.9572620000000001</v>
      </c>
      <c r="AL197">
        <f ca="1"/>
        <v>1.627613</v>
      </c>
      <c r="AM197">
        <f ca="1"/>
        <v>0.31193399999999999</v>
      </c>
      <c r="AN197">
        <f ca="1"/>
        <v>0.73768800000000001</v>
      </c>
      <c r="AO197">
        <f ca="1"/>
        <v>2.2359239999999998</v>
      </c>
      <c r="AP197">
        <f ca="1"/>
        <v>3.3149150000000001</v>
      </c>
      <c r="AQ197">
        <f ca="1"/>
        <v>2.50468</v>
      </c>
      <c r="AR197">
        <f ca="1"/>
        <v>7.5782370099457168</v>
      </c>
      <c r="AS197">
        <f ca="1"/>
        <v>0.72244900000000001</v>
      </c>
      <c r="AT197">
        <f ca="1"/>
        <v>2.0825770000000001</v>
      </c>
      <c r="AU197">
        <f ca="1"/>
        <v>2.9572620000000001</v>
      </c>
    </row>
    <row r="198" spans="1:47">
      <c r="A198" s="43">
        <f>TBL_TEV[[#This Row],[Data2]]</f>
        <v>45568</v>
      </c>
      <c r="B198" cm="1">
        <f t="array" ref="B198">_xlfn.XLOOKUP(_xlfn.ANCHORARRAY(A198), TBL_Limiti_CDA[Data], TBL_Limiti_CDA[Etica Rendita Bilanciata], , -1)</f>
        <v>2.5</v>
      </c>
      <c r="C198" cm="1">
        <f t="array" ref="C198">_xlfn.XLOOKUP(_xlfn.ANCHORARRAY(A198), TBL_Limiti_CDA[Data], TBL_Limiti_CDA[Etica Obbligazionario Breve Termine], , -1)</f>
        <v>0.5</v>
      </c>
      <c r="D198" cm="1">
        <f t="array" ref="D198">_xlfn.XLOOKUP(_xlfn.ANCHORARRAY(A198), TBL_Limiti_CDA[Data], TBL_Limiti_CDA[Etica Obbligazionario Misto], , -1)</f>
        <v>1.5</v>
      </c>
      <c r="E198" cm="1">
        <f t="array" ref="E198">_xlfn.XLOOKUP(_xlfn.ANCHORARRAY(A198), TBL_Limiti_CDA[Data], TBL_Limiti_CDA[Etica Bilanciato], , -1)</f>
        <v>3</v>
      </c>
      <c r="F198" cm="1">
        <f t="array" ref="F198">_xlfn.XLOOKUP(_xlfn.ANCHORARRAY(A198), TBL_Limiti_CDA[Data], TBL_Limiti_CDA[Etica Azionario], , -1)</f>
        <v>3.5</v>
      </c>
      <c r="G198" cm="1">
        <f t="array" ref="G198">_xlfn.XLOOKUP(_xlfn.ANCHORARRAY(A198), TBL_Limiti_CDA[Data], TBL_Limiti_CDA[Etica Transizione Climatica], , -1)</f>
        <v>2.75</v>
      </c>
      <c r="H198" cm="1">
        <f t="array" ref="H198">_xlfn.XLOOKUP(_xlfn.ANCHORARRAY(A198), TBL_Limiti_CDA[Data], TBL_Limiti_CDA[Etica Obiettivo Sociale], , -1)</f>
        <v>9.99</v>
      </c>
      <c r="I198" cm="1">
        <f t="array" ref="I198">_xlfn.XLOOKUP(_xlfn.ANCHORARRAY(A198), TBL_Limiti_CDA[Data], TBL_Limiti_CDA[Etica Conservative Allocation], , -1)</f>
        <v>1.5</v>
      </c>
      <c r="J198" cm="1">
        <f t="array" ref="J198">_xlfn.XLOOKUP(_xlfn.ANCHORARRAY(A198), TBL_Limiti_CDA[Data], TBL_Limiti_CDA[Etica Dynamic Allocation], , -1)</f>
        <v>3</v>
      </c>
      <c r="K198" cm="1">
        <f t="array" ref="K198">_xlfn.XLOOKUP(_xlfn.ANCHORARRAY(A198), TBL_Limiti_CDA[Data], TBL_Limiti_CDA[Etica Global Equity], , -1)</f>
        <v>3.5</v>
      </c>
      <c r="L198" cm="1">
        <f t="array" ref="L198">_xlfn.ANCHORARRAY(B198)+0.15</f>
        <v>2.65</v>
      </c>
      <c r="M198" cm="1">
        <f t="array" ref="M198">_xlfn.ANCHORARRAY(C198)+0.1</f>
        <v>0.6</v>
      </c>
      <c r="N198" cm="1">
        <f t="array" ref="N198">_xlfn.ANCHORARRAY(D198)+0.15</f>
        <v>1.65</v>
      </c>
      <c r="O198" cm="1">
        <f t="array" ref="O198">_xlfn.ANCHORARRAY(E198)+0.15</f>
        <v>3.15</v>
      </c>
      <c r="P198" cm="1">
        <f t="array" ref="P198">_xlfn.ANCHORARRAY(F198)+0.15</f>
        <v>3.65</v>
      </c>
      <c r="Q198" cm="1">
        <f t="array" ref="Q198">_xlfn.ANCHORARRAY(G198)+0.15</f>
        <v>2.9</v>
      </c>
      <c r="R198" cm="1">
        <f t="array" ref="R198">_xlfn.ANCHORARRAY(H198)</f>
        <v>9.99</v>
      </c>
      <c r="S198" cm="1">
        <f t="array" ref="S198">_xlfn.ANCHORARRAY(R198)+0.15</f>
        <v>10.14</v>
      </c>
      <c r="T198" cm="1">
        <f t="array" ref="T198">_xlfn.ANCHORARRAY(I198)+0.15</f>
        <v>1.65</v>
      </c>
      <c r="U198" cm="1">
        <f t="array" ref="U198">_xlfn.ANCHORARRAY(J198)+0.15</f>
        <v>3.15</v>
      </c>
      <c r="V198" cm="1">
        <f t="array" ref="V198">_xlfn.ANCHORARRAY(K198)+0.15</f>
        <v>3.65</v>
      </c>
      <c r="W198">
        <f>TBL_TEV[[#This Row],[Etica Rendita Bilanciata]]</f>
        <v>1.627613</v>
      </c>
      <c r="X198">
        <f>TBL_TEV[[#This Row],[Etica Obbligazionario Breve Termine]]</f>
        <v>0.31193399999999999</v>
      </c>
      <c r="Y198">
        <f>TBL_TEV[[#This Row],[Etica Obbligazionario Misto]]</f>
        <v>0.73768800000000001</v>
      </c>
      <c r="Z198">
        <f>TBL_TEV[[#This Row],[Etica Bilanciato]]</f>
        <v>2.2359239999999998</v>
      </c>
      <c r="AA198">
        <f>TBL_TEV[[#This Row],[Etica Azionario]]</f>
        <v>3.3149150000000001</v>
      </c>
      <c r="AB198">
        <f>TBL_TEV[[#This Row],[Etica Transizione Climatica]]</f>
        <v>2.50468</v>
      </c>
      <c r="AC198">
        <f>TBL_TEV[[#This Row],[Etica Obiettivo Sociale]]</f>
        <v>7.5782370099457168</v>
      </c>
      <c r="AD198">
        <f>TBL_TEV[[#This Row],[Etica Conservative Allocation]]</f>
        <v>0.72244900000000001</v>
      </c>
      <c r="AE198">
        <f>TBL_TEV[[#This Row],[Etica Dynamic Allocation]]</f>
        <v>2.0825770000000001</v>
      </c>
      <c r="AF198">
        <f>TBL_TEV[[#This Row],[Etica Global Equity]]</f>
        <v>2.9572620000000001</v>
      </c>
      <c r="AL198">
        <f ca="1"/>
        <v>1.6379319999999999</v>
      </c>
      <c r="AM198">
        <f ca="1"/>
        <v>0.323681</v>
      </c>
      <c r="AN198">
        <f ca="1"/>
        <v>0.73959299999999994</v>
      </c>
      <c r="AO198">
        <f ca="1"/>
        <v>2.2490999999999999</v>
      </c>
      <c r="AP198">
        <f ca="1"/>
        <v>3.3253919999999999</v>
      </c>
      <c r="AQ198">
        <f ca="1"/>
        <v>2.508807</v>
      </c>
      <c r="AR198">
        <f ca="1"/>
        <v>7.5738113429114016</v>
      </c>
      <c r="AS198">
        <f ca="1"/>
        <v>0.72244900000000001</v>
      </c>
      <c r="AT198">
        <f ca="1"/>
        <v>2.0825770000000001</v>
      </c>
      <c r="AU198">
        <f ca="1"/>
        <v>2.9572620000000001</v>
      </c>
    </row>
    <row r="199" spans="1:47">
      <c r="A199" s="43">
        <f>TBL_TEV[[#This Row],[Data2]]</f>
        <v>45569</v>
      </c>
      <c r="B199" cm="1">
        <f t="array" ref="B199">_xlfn.XLOOKUP(_xlfn.ANCHORARRAY(A199), TBL_Limiti_CDA[Data], TBL_Limiti_CDA[Etica Rendita Bilanciata], , -1)</f>
        <v>2.5</v>
      </c>
      <c r="C199" cm="1">
        <f t="array" ref="C199">_xlfn.XLOOKUP(_xlfn.ANCHORARRAY(A199), TBL_Limiti_CDA[Data], TBL_Limiti_CDA[Etica Obbligazionario Breve Termine], , -1)</f>
        <v>0.5</v>
      </c>
      <c r="D199" cm="1">
        <f t="array" ref="D199">_xlfn.XLOOKUP(_xlfn.ANCHORARRAY(A199), TBL_Limiti_CDA[Data], TBL_Limiti_CDA[Etica Obbligazionario Misto], , -1)</f>
        <v>1.5</v>
      </c>
      <c r="E199" cm="1">
        <f t="array" ref="E199">_xlfn.XLOOKUP(_xlfn.ANCHORARRAY(A199), TBL_Limiti_CDA[Data], TBL_Limiti_CDA[Etica Bilanciato], , -1)</f>
        <v>3</v>
      </c>
      <c r="F199" cm="1">
        <f t="array" ref="F199">_xlfn.XLOOKUP(_xlfn.ANCHORARRAY(A199), TBL_Limiti_CDA[Data], TBL_Limiti_CDA[Etica Azionario], , -1)</f>
        <v>3.5</v>
      </c>
      <c r="G199" cm="1">
        <f t="array" ref="G199">_xlfn.XLOOKUP(_xlfn.ANCHORARRAY(A199), TBL_Limiti_CDA[Data], TBL_Limiti_CDA[Etica Transizione Climatica], , -1)</f>
        <v>2.75</v>
      </c>
      <c r="H199" cm="1">
        <f t="array" ref="H199">_xlfn.XLOOKUP(_xlfn.ANCHORARRAY(A199), TBL_Limiti_CDA[Data], TBL_Limiti_CDA[Etica Obiettivo Sociale], , -1)</f>
        <v>9.99</v>
      </c>
      <c r="I199" cm="1">
        <f t="array" ref="I199">_xlfn.XLOOKUP(_xlfn.ANCHORARRAY(A199), TBL_Limiti_CDA[Data], TBL_Limiti_CDA[Etica Conservative Allocation], , -1)</f>
        <v>1.5</v>
      </c>
      <c r="J199" cm="1">
        <f t="array" ref="J199">_xlfn.XLOOKUP(_xlfn.ANCHORARRAY(A199), TBL_Limiti_CDA[Data], TBL_Limiti_CDA[Etica Dynamic Allocation], , -1)</f>
        <v>3</v>
      </c>
      <c r="K199" cm="1">
        <f t="array" ref="K199">_xlfn.XLOOKUP(_xlfn.ANCHORARRAY(A199), TBL_Limiti_CDA[Data], TBL_Limiti_CDA[Etica Global Equity], , -1)</f>
        <v>3.5</v>
      </c>
      <c r="L199" cm="1">
        <f t="array" ref="L199">_xlfn.ANCHORARRAY(B199)+0.15</f>
        <v>2.65</v>
      </c>
      <c r="M199" cm="1">
        <f t="array" ref="M199">_xlfn.ANCHORARRAY(C199)+0.1</f>
        <v>0.6</v>
      </c>
      <c r="N199" cm="1">
        <f t="array" ref="N199">_xlfn.ANCHORARRAY(D199)+0.15</f>
        <v>1.65</v>
      </c>
      <c r="O199" cm="1">
        <f t="array" ref="O199">_xlfn.ANCHORARRAY(E199)+0.15</f>
        <v>3.15</v>
      </c>
      <c r="P199" cm="1">
        <f t="array" ref="P199">_xlfn.ANCHORARRAY(F199)+0.15</f>
        <v>3.65</v>
      </c>
      <c r="Q199" cm="1">
        <f t="array" ref="Q199">_xlfn.ANCHORARRAY(G199)+0.15</f>
        <v>2.9</v>
      </c>
      <c r="R199" cm="1">
        <f t="array" ref="R199">_xlfn.ANCHORARRAY(H199)</f>
        <v>9.99</v>
      </c>
      <c r="S199" cm="1">
        <f t="array" ref="S199">_xlfn.ANCHORARRAY(R199)+0.15</f>
        <v>10.14</v>
      </c>
      <c r="T199" cm="1">
        <f t="array" ref="T199">_xlfn.ANCHORARRAY(I199)+0.15</f>
        <v>1.65</v>
      </c>
      <c r="U199" cm="1">
        <f t="array" ref="U199">_xlfn.ANCHORARRAY(J199)+0.15</f>
        <v>3.15</v>
      </c>
      <c r="V199" cm="1">
        <f t="array" ref="V199">_xlfn.ANCHORARRAY(K199)+0.15</f>
        <v>3.65</v>
      </c>
      <c r="W199">
        <f>TBL_TEV[[#This Row],[Etica Rendita Bilanciata]]</f>
        <v>1.6379319999999999</v>
      </c>
      <c r="X199">
        <f>TBL_TEV[[#This Row],[Etica Obbligazionario Breve Termine]]</f>
        <v>0.323681</v>
      </c>
      <c r="Y199">
        <f>TBL_TEV[[#This Row],[Etica Obbligazionario Misto]]</f>
        <v>0.73959299999999994</v>
      </c>
      <c r="Z199">
        <f>TBL_TEV[[#This Row],[Etica Bilanciato]]</f>
        <v>2.2490999999999999</v>
      </c>
      <c r="AA199">
        <f>TBL_TEV[[#This Row],[Etica Azionario]]</f>
        <v>3.3253919999999999</v>
      </c>
      <c r="AB199">
        <f>TBL_TEV[[#This Row],[Etica Transizione Climatica]]</f>
        <v>2.508807</v>
      </c>
      <c r="AC199">
        <f>TBL_TEV[[#This Row],[Etica Obiettivo Sociale]]</f>
        <v>7.5738113429114016</v>
      </c>
      <c r="AD199">
        <f>TBL_TEV[[#This Row],[Etica Conservative Allocation]]</f>
        <v>0.72244900000000001</v>
      </c>
      <c r="AE199">
        <f>TBL_TEV[[#This Row],[Etica Dynamic Allocation]]</f>
        <v>2.0825770000000001</v>
      </c>
      <c r="AF199">
        <f>TBL_TEV[[#This Row],[Etica Global Equity]]</f>
        <v>2.9572620000000001</v>
      </c>
      <c r="AL199">
        <f ca="1"/>
        <v>1.6453930000000001</v>
      </c>
      <c r="AM199">
        <f ca="1"/>
        <v>0.32177600000000001</v>
      </c>
      <c r="AN199">
        <f ca="1"/>
        <v>0.73880000000000001</v>
      </c>
      <c r="AO199">
        <f ca="1"/>
        <v>2.253069</v>
      </c>
      <c r="AP199">
        <f ca="1"/>
        <v>3.3309479999999998</v>
      </c>
      <c r="AQ199">
        <f ca="1"/>
        <v>2.51484</v>
      </c>
      <c r="AR199">
        <f ca="1"/>
        <v>7.5679862011697239</v>
      </c>
      <c r="AS199">
        <f ca="1"/>
        <v>0.72244900000000001</v>
      </c>
      <c r="AT199">
        <f ca="1"/>
        <v>2.0825770000000001</v>
      </c>
      <c r="AU199">
        <f ca="1"/>
        <v>2.9572620000000001</v>
      </c>
    </row>
    <row r="200" spans="1:47">
      <c r="A200" s="43">
        <f>TBL_TEV[[#This Row],[Data2]]</f>
        <v>45572</v>
      </c>
      <c r="B200" cm="1">
        <f t="array" ref="B200">_xlfn.XLOOKUP(_xlfn.ANCHORARRAY(A200), TBL_Limiti_CDA[Data], TBL_Limiti_CDA[Etica Rendita Bilanciata], , -1)</f>
        <v>2.5</v>
      </c>
      <c r="C200" cm="1">
        <f t="array" ref="C200">_xlfn.XLOOKUP(_xlfn.ANCHORARRAY(A200), TBL_Limiti_CDA[Data], TBL_Limiti_CDA[Etica Obbligazionario Breve Termine], , -1)</f>
        <v>0.5</v>
      </c>
      <c r="D200" cm="1">
        <f t="array" ref="D200">_xlfn.XLOOKUP(_xlfn.ANCHORARRAY(A200), TBL_Limiti_CDA[Data], TBL_Limiti_CDA[Etica Obbligazionario Misto], , -1)</f>
        <v>1.5</v>
      </c>
      <c r="E200" cm="1">
        <f t="array" ref="E200">_xlfn.XLOOKUP(_xlfn.ANCHORARRAY(A200), TBL_Limiti_CDA[Data], TBL_Limiti_CDA[Etica Bilanciato], , -1)</f>
        <v>3</v>
      </c>
      <c r="F200" cm="1">
        <f t="array" ref="F200">_xlfn.XLOOKUP(_xlfn.ANCHORARRAY(A200), TBL_Limiti_CDA[Data], TBL_Limiti_CDA[Etica Azionario], , -1)</f>
        <v>3.5</v>
      </c>
      <c r="G200" cm="1">
        <f t="array" ref="G200">_xlfn.XLOOKUP(_xlfn.ANCHORARRAY(A200), TBL_Limiti_CDA[Data], TBL_Limiti_CDA[Etica Transizione Climatica], , -1)</f>
        <v>2.75</v>
      </c>
      <c r="H200" cm="1">
        <f t="array" ref="H200">_xlfn.XLOOKUP(_xlfn.ANCHORARRAY(A200), TBL_Limiti_CDA[Data], TBL_Limiti_CDA[Etica Obiettivo Sociale], , -1)</f>
        <v>9.99</v>
      </c>
      <c r="I200" cm="1">
        <f t="array" ref="I200">_xlfn.XLOOKUP(_xlfn.ANCHORARRAY(A200), TBL_Limiti_CDA[Data], TBL_Limiti_CDA[Etica Conservative Allocation], , -1)</f>
        <v>1.5</v>
      </c>
      <c r="J200" cm="1">
        <f t="array" ref="J200">_xlfn.XLOOKUP(_xlfn.ANCHORARRAY(A200), TBL_Limiti_CDA[Data], TBL_Limiti_CDA[Etica Dynamic Allocation], , -1)</f>
        <v>3</v>
      </c>
      <c r="K200" cm="1">
        <f t="array" ref="K200">_xlfn.XLOOKUP(_xlfn.ANCHORARRAY(A200), TBL_Limiti_CDA[Data], TBL_Limiti_CDA[Etica Global Equity], , -1)</f>
        <v>3.5</v>
      </c>
      <c r="L200" cm="1">
        <f t="array" ref="L200">_xlfn.ANCHORARRAY(B200)+0.15</f>
        <v>2.65</v>
      </c>
      <c r="M200" cm="1">
        <f t="array" ref="M200">_xlfn.ANCHORARRAY(C200)+0.1</f>
        <v>0.6</v>
      </c>
      <c r="N200" cm="1">
        <f t="array" ref="N200">_xlfn.ANCHORARRAY(D200)+0.15</f>
        <v>1.65</v>
      </c>
      <c r="O200" cm="1">
        <f t="array" ref="O200">_xlfn.ANCHORARRAY(E200)+0.15</f>
        <v>3.15</v>
      </c>
      <c r="P200" cm="1">
        <f t="array" ref="P200">_xlfn.ANCHORARRAY(F200)+0.15</f>
        <v>3.65</v>
      </c>
      <c r="Q200" cm="1">
        <f t="array" ref="Q200">_xlfn.ANCHORARRAY(G200)+0.15</f>
        <v>2.9</v>
      </c>
      <c r="R200" cm="1">
        <f t="array" ref="R200">_xlfn.ANCHORARRAY(H200)</f>
        <v>9.99</v>
      </c>
      <c r="S200" cm="1">
        <f t="array" ref="S200">_xlfn.ANCHORARRAY(R200)+0.15</f>
        <v>10.14</v>
      </c>
      <c r="T200" cm="1">
        <f t="array" ref="T200">_xlfn.ANCHORARRAY(I200)+0.15</f>
        <v>1.65</v>
      </c>
      <c r="U200" cm="1">
        <f t="array" ref="U200">_xlfn.ANCHORARRAY(J200)+0.15</f>
        <v>3.15</v>
      </c>
      <c r="V200" cm="1">
        <f t="array" ref="V200">_xlfn.ANCHORARRAY(K200)+0.15</f>
        <v>3.65</v>
      </c>
      <c r="W200">
        <f>TBL_TEV[[#This Row],[Etica Rendita Bilanciata]]</f>
        <v>1.6453930000000001</v>
      </c>
      <c r="X200">
        <f>TBL_TEV[[#This Row],[Etica Obbligazionario Breve Termine]]</f>
        <v>0.32177600000000001</v>
      </c>
      <c r="Y200">
        <f>TBL_TEV[[#This Row],[Etica Obbligazionario Misto]]</f>
        <v>0.73880000000000001</v>
      </c>
      <c r="Z200">
        <f>TBL_TEV[[#This Row],[Etica Bilanciato]]</f>
        <v>2.253069</v>
      </c>
      <c r="AA200">
        <f>TBL_TEV[[#This Row],[Etica Azionario]]</f>
        <v>3.3309479999999998</v>
      </c>
      <c r="AB200">
        <f>TBL_TEV[[#This Row],[Etica Transizione Climatica]]</f>
        <v>2.51484</v>
      </c>
      <c r="AC200">
        <f>TBL_TEV[[#This Row],[Etica Obiettivo Sociale]]</f>
        <v>7.5679862011697239</v>
      </c>
      <c r="AD200">
        <f>TBL_TEV[[#This Row],[Etica Conservative Allocation]]</f>
        <v>0.72244900000000001</v>
      </c>
      <c r="AE200">
        <f>TBL_TEV[[#This Row],[Etica Dynamic Allocation]]</f>
        <v>2.0825770000000001</v>
      </c>
      <c r="AF200">
        <f>TBL_TEV[[#This Row],[Etica Global Equity]]</f>
        <v>2.9572620000000001</v>
      </c>
      <c r="AL200">
        <f ca="1"/>
        <v>1.6536470000000001</v>
      </c>
      <c r="AM200">
        <f ca="1"/>
        <v>0.319554</v>
      </c>
      <c r="AN200">
        <f ca="1"/>
        <v>0.79277299999999995</v>
      </c>
      <c r="AO200">
        <f ca="1"/>
        <v>2.2295750000000001</v>
      </c>
      <c r="AP200">
        <f ca="1"/>
        <v>3.2849119999999998</v>
      </c>
      <c r="AQ200">
        <f ca="1"/>
        <v>2.5407150000000001</v>
      </c>
      <c r="AR200">
        <f ca="1"/>
        <v>7.6907795738826747</v>
      </c>
      <c r="AS200">
        <f ca="1"/>
        <v>0.72244900000000001</v>
      </c>
      <c r="AT200">
        <f ca="1"/>
        <v>2.0825770000000001</v>
      </c>
      <c r="AU200">
        <f ca="1"/>
        <v>2.9572620000000001</v>
      </c>
    </row>
    <row r="201" spans="1:47">
      <c r="A201" s="43">
        <f>TBL_TEV[[#This Row],[Data2]]</f>
        <v>45573</v>
      </c>
      <c r="B201" cm="1">
        <f t="array" ref="B201">_xlfn.XLOOKUP(_xlfn.ANCHORARRAY(A201), TBL_Limiti_CDA[Data], TBL_Limiti_CDA[Etica Rendita Bilanciata], , -1)</f>
        <v>2.5</v>
      </c>
      <c r="C201" cm="1">
        <f t="array" ref="C201">_xlfn.XLOOKUP(_xlfn.ANCHORARRAY(A201), TBL_Limiti_CDA[Data], TBL_Limiti_CDA[Etica Obbligazionario Breve Termine], , -1)</f>
        <v>0.5</v>
      </c>
      <c r="D201" cm="1">
        <f t="array" ref="D201">_xlfn.XLOOKUP(_xlfn.ANCHORARRAY(A201), TBL_Limiti_CDA[Data], TBL_Limiti_CDA[Etica Obbligazionario Misto], , -1)</f>
        <v>1.5</v>
      </c>
      <c r="E201" cm="1">
        <f t="array" ref="E201">_xlfn.XLOOKUP(_xlfn.ANCHORARRAY(A201), TBL_Limiti_CDA[Data], TBL_Limiti_CDA[Etica Bilanciato], , -1)</f>
        <v>3</v>
      </c>
      <c r="F201" cm="1">
        <f t="array" ref="F201">_xlfn.XLOOKUP(_xlfn.ANCHORARRAY(A201), TBL_Limiti_CDA[Data], TBL_Limiti_CDA[Etica Azionario], , -1)</f>
        <v>3.5</v>
      </c>
      <c r="G201" cm="1">
        <f t="array" ref="G201">_xlfn.XLOOKUP(_xlfn.ANCHORARRAY(A201), TBL_Limiti_CDA[Data], TBL_Limiti_CDA[Etica Transizione Climatica], , -1)</f>
        <v>2.75</v>
      </c>
      <c r="H201" cm="1">
        <f t="array" ref="H201">_xlfn.XLOOKUP(_xlfn.ANCHORARRAY(A201), TBL_Limiti_CDA[Data], TBL_Limiti_CDA[Etica Obiettivo Sociale], , -1)</f>
        <v>9.99</v>
      </c>
      <c r="I201" cm="1">
        <f t="array" ref="I201">_xlfn.XLOOKUP(_xlfn.ANCHORARRAY(A201), TBL_Limiti_CDA[Data], TBL_Limiti_CDA[Etica Conservative Allocation], , -1)</f>
        <v>1.5</v>
      </c>
      <c r="J201" cm="1">
        <f t="array" ref="J201">_xlfn.XLOOKUP(_xlfn.ANCHORARRAY(A201), TBL_Limiti_CDA[Data], TBL_Limiti_CDA[Etica Dynamic Allocation], , -1)</f>
        <v>3</v>
      </c>
      <c r="K201" cm="1">
        <f t="array" ref="K201">_xlfn.XLOOKUP(_xlfn.ANCHORARRAY(A201), TBL_Limiti_CDA[Data], TBL_Limiti_CDA[Etica Global Equity], , -1)</f>
        <v>3.5</v>
      </c>
      <c r="L201" cm="1">
        <f t="array" ref="L201">_xlfn.ANCHORARRAY(B201)+0.15</f>
        <v>2.65</v>
      </c>
      <c r="M201" cm="1">
        <f t="array" ref="M201">_xlfn.ANCHORARRAY(C201)+0.1</f>
        <v>0.6</v>
      </c>
      <c r="N201" cm="1">
        <f t="array" ref="N201">_xlfn.ANCHORARRAY(D201)+0.15</f>
        <v>1.65</v>
      </c>
      <c r="O201" cm="1">
        <f t="array" ref="O201">_xlfn.ANCHORARRAY(E201)+0.15</f>
        <v>3.15</v>
      </c>
      <c r="P201" cm="1">
        <f t="array" ref="P201">_xlfn.ANCHORARRAY(F201)+0.15</f>
        <v>3.65</v>
      </c>
      <c r="Q201" cm="1">
        <f t="array" ref="Q201">_xlfn.ANCHORARRAY(G201)+0.15</f>
        <v>2.9</v>
      </c>
      <c r="R201" cm="1">
        <f t="array" ref="R201">_xlfn.ANCHORARRAY(H201)</f>
        <v>9.99</v>
      </c>
      <c r="S201" cm="1">
        <f t="array" ref="S201">_xlfn.ANCHORARRAY(R201)+0.15</f>
        <v>10.14</v>
      </c>
      <c r="T201" cm="1">
        <f t="array" ref="T201">_xlfn.ANCHORARRAY(I201)+0.15</f>
        <v>1.65</v>
      </c>
      <c r="U201" cm="1">
        <f t="array" ref="U201">_xlfn.ANCHORARRAY(J201)+0.15</f>
        <v>3.15</v>
      </c>
      <c r="V201" cm="1">
        <f t="array" ref="V201">_xlfn.ANCHORARRAY(K201)+0.15</f>
        <v>3.65</v>
      </c>
      <c r="W201">
        <f>TBL_TEV[[#This Row],[Etica Rendita Bilanciata]]</f>
        <v>1.6536470000000001</v>
      </c>
      <c r="X201">
        <f>TBL_TEV[[#This Row],[Etica Obbligazionario Breve Termine]]</f>
        <v>0.319554</v>
      </c>
      <c r="Y201">
        <f>TBL_TEV[[#This Row],[Etica Obbligazionario Misto]]</f>
        <v>0.79277299999999995</v>
      </c>
      <c r="Z201">
        <f>TBL_TEV[[#This Row],[Etica Bilanciato]]</f>
        <v>2.2295750000000001</v>
      </c>
      <c r="AA201">
        <f>TBL_TEV[[#This Row],[Etica Azionario]]</f>
        <v>3.2849119999999998</v>
      </c>
      <c r="AB201">
        <f>TBL_TEV[[#This Row],[Etica Transizione Climatica]]</f>
        <v>2.5407150000000001</v>
      </c>
      <c r="AC201">
        <f>TBL_TEV[[#This Row],[Etica Obiettivo Sociale]]</f>
        <v>7.6907795738826747</v>
      </c>
      <c r="AD201">
        <f>TBL_TEV[[#This Row],[Etica Conservative Allocation]]</f>
        <v>0.72244900000000001</v>
      </c>
      <c r="AE201">
        <f>TBL_TEV[[#This Row],[Etica Dynamic Allocation]]</f>
        <v>2.0825770000000001</v>
      </c>
      <c r="AF201">
        <f>TBL_TEV[[#This Row],[Etica Global Equity]]</f>
        <v>2.9572620000000001</v>
      </c>
      <c r="AL201">
        <f ca="1"/>
        <v>1.6512659999999999</v>
      </c>
      <c r="AM201">
        <f ca="1"/>
        <v>0.26986700000000002</v>
      </c>
      <c r="AN201">
        <f ca="1"/>
        <v>0.78896299999999997</v>
      </c>
      <c r="AO201">
        <f ca="1"/>
        <v>2.2270349999999999</v>
      </c>
      <c r="AP201">
        <f ca="1"/>
        <v>3.2668149999999998</v>
      </c>
      <c r="AQ201">
        <f ca="1"/>
        <v>2.5354760000000001</v>
      </c>
      <c r="AR201">
        <f ca="1"/>
        <v>7.5878144367412306</v>
      </c>
      <c r="AS201">
        <f ca="1"/>
        <v>0.72244900000000001</v>
      </c>
      <c r="AT201">
        <f ca="1"/>
        <v>2.0825770000000001</v>
      </c>
      <c r="AU201">
        <f ca="1"/>
        <v>2.9572620000000001</v>
      </c>
    </row>
    <row r="202" spans="1:47">
      <c r="A202" s="43">
        <f>TBL_TEV[[#This Row],[Data2]]</f>
        <v>45574</v>
      </c>
      <c r="B202" cm="1">
        <f t="array" ref="B202">_xlfn.XLOOKUP(_xlfn.ANCHORARRAY(A202), TBL_Limiti_CDA[Data], TBL_Limiti_CDA[Etica Rendita Bilanciata], , -1)</f>
        <v>2.5</v>
      </c>
      <c r="C202" cm="1">
        <f t="array" ref="C202">_xlfn.XLOOKUP(_xlfn.ANCHORARRAY(A202), TBL_Limiti_CDA[Data], TBL_Limiti_CDA[Etica Obbligazionario Breve Termine], , -1)</f>
        <v>0.5</v>
      </c>
      <c r="D202" cm="1">
        <f t="array" ref="D202">_xlfn.XLOOKUP(_xlfn.ANCHORARRAY(A202), TBL_Limiti_CDA[Data], TBL_Limiti_CDA[Etica Obbligazionario Misto], , -1)</f>
        <v>1.5</v>
      </c>
      <c r="E202" cm="1">
        <f t="array" ref="E202">_xlfn.XLOOKUP(_xlfn.ANCHORARRAY(A202), TBL_Limiti_CDA[Data], TBL_Limiti_CDA[Etica Bilanciato], , -1)</f>
        <v>3</v>
      </c>
      <c r="F202" cm="1">
        <f t="array" ref="F202">_xlfn.XLOOKUP(_xlfn.ANCHORARRAY(A202), TBL_Limiti_CDA[Data], TBL_Limiti_CDA[Etica Azionario], , -1)</f>
        <v>3.5</v>
      </c>
      <c r="G202" cm="1">
        <f t="array" ref="G202">_xlfn.XLOOKUP(_xlfn.ANCHORARRAY(A202), TBL_Limiti_CDA[Data], TBL_Limiti_CDA[Etica Transizione Climatica], , -1)</f>
        <v>2.75</v>
      </c>
      <c r="H202" cm="1">
        <f t="array" ref="H202">_xlfn.XLOOKUP(_xlfn.ANCHORARRAY(A202), TBL_Limiti_CDA[Data], TBL_Limiti_CDA[Etica Obiettivo Sociale], , -1)</f>
        <v>9.99</v>
      </c>
      <c r="I202" cm="1">
        <f t="array" ref="I202">_xlfn.XLOOKUP(_xlfn.ANCHORARRAY(A202), TBL_Limiti_CDA[Data], TBL_Limiti_CDA[Etica Conservative Allocation], , -1)</f>
        <v>1.5</v>
      </c>
      <c r="J202" cm="1">
        <f t="array" ref="J202">_xlfn.XLOOKUP(_xlfn.ANCHORARRAY(A202), TBL_Limiti_CDA[Data], TBL_Limiti_CDA[Etica Dynamic Allocation], , -1)</f>
        <v>3</v>
      </c>
      <c r="K202" cm="1">
        <f t="array" ref="K202">_xlfn.XLOOKUP(_xlfn.ANCHORARRAY(A202), TBL_Limiti_CDA[Data], TBL_Limiti_CDA[Etica Global Equity], , -1)</f>
        <v>3.5</v>
      </c>
      <c r="L202" cm="1">
        <f t="array" ref="L202">_xlfn.ANCHORARRAY(B202)+0.15</f>
        <v>2.65</v>
      </c>
      <c r="M202" cm="1">
        <f t="array" ref="M202">_xlfn.ANCHORARRAY(C202)+0.1</f>
        <v>0.6</v>
      </c>
      <c r="N202" cm="1">
        <f t="array" ref="N202">_xlfn.ANCHORARRAY(D202)+0.15</f>
        <v>1.65</v>
      </c>
      <c r="O202" cm="1">
        <f t="array" ref="O202">_xlfn.ANCHORARRAY(E202)+0.15</f>
        <v>3.15</v>
      </c>
      <c r="P202" cm="1">
        <f t="array" ref="P202">_xlfn.ANCHORARRAY(F202)+0.15</f>
        <v>3.65</v>
      </c>
      <c r="Q202" cm="1">
        <f t="array" ref="Q202">_xlfn.ANCHORARRAY(G202)+0.15</f>
        <v>2.9</v>
      </c>
      <c r="R202" cm="1">
        <f t="array" ref="R202">_xlfn.ANCHORARRAY(H202)</f>
        <v>9.99</v>
      </c>
      <c r="S202" cm="1">
        <f t="array" ref="S202">_xlfn.ANCHORARRAY(R202)+0.15</f>
        <v>10.14</v>
      </c>
      <c r="T202" cm="1">
        <f t="array" ref="T202">_xlfn.ANCHORARRAY(I202)+0.15</f>
        <v>1.65</v>
      </c>
      <c r="U202" cm="1">
        <f t="array" ref="U202">_xlfn.ANCHORARRAY(J202)+0.15</f>
        <v>3.15</v>
      </c>
      <c r="V202" cm="1">
        <f t="array" ref="V202">_xlfn.ANCHORARRAY(K202)+0.15</f>
        <v>3.65</v>
      </c>
      <c r="W202">
        <f>TBL_TEV[[#This Row],[Etica Rendita Bilanciata]]</f>
        <v>1.6512659999999999</v>
      </c>
      <c r="X202">
        <f>TBL_TEV[[#This Row],[Etica Obbligazionario Breve Termine]]</f>
        <v>0.26986700000000002</v>
      </c>
      <c r="Y202">
        <f>TBL_TEV[[#This Row],[Etica Obbligazionario Misto]]</f>
        <v>0.78896299999999997</v>
      </c>
      <c r="Z202">
        <f>TBL_TEV[[#This Row],[Etica Bilanciato]]</f>
        <v>2.2270349999999999</v>
      </c>
      <c r="AA202">
        <f>TBL_TEV[[#This Row],[Etica Azionario]]</f>
        <v>3.2668149999999998</v>
      </c>
      <c r="AB202">
        <f>TBL_TEV[[#This Row],[Etica Transizione Climatica]]</f>
        <v>2.5354760000000001</v>
      </c>
      <c r="AC202">
        <f>TBL_TEV[[#This Row],[Etica Obiettivo Sociale]]</f>
        <v>7.5878144367412306</v>
      </c>
      <c r="AD202">
        <f>TBL_TEV[[#This Row],[Etica Conservative Allocation]]</f>
        <v>0.72244900000000001</v>
      </c>
      <c r="AE202">
        <f>TBL_TEV[[#This Row],[Etica Dynamic Allocation]]</f>
        <v>2.0825770000000001</v>
      </c>
      <c r="AF202">
        <f>TBL_TEV[[#This Row],[Etica Global Equity]]</f>
        <v>2.9572620000000001</v>
      </c>
      <c r="AL202">
        <f ca="1"/>
        <v>1.6522190000000001</v>
      </c>
      <c r="AM202">
        <f ca="1"/>
        <v>0.27955000000000002</v>
      </c>
      <c r="AN202">
        <f ca="1"/>
        <v>0.79023299999999996</v>
      </c>
      <c r="AO202">
        <f ca="1"/>
        <v>2.2225899999999998</v>
      </c>
      <c r="AP202">
        <f ca="1"/>
        <v>3.2609409999999999</v>
      </c>
      <c r="AQ202">
        <f ca="1"/>
        <v>2.5099179999999999</v>
      </c>
      <c r="AR202">
        <f ca="1"/>
        <v>7.5492116488963852</v>
      </c>
      <c r="AS202">
        <f ca="1"/>
        <v>0.72244900000000001</v>
      </c>
      <c r="AT202">
        <f ca="1"/>
        <v>2.0825770000000001</v>
      </c>
      <c r="AU202">
        <f ca="1"/>
        <v>2.9572620000000001</v>
      </c>
    </row>
    <row r="203" spans="1:47">
      <c r="A203" s="43">
        <f>TBL_TEV[[#This Row],[Data2]]</f>
        <v>45575</v>
      </c>
      <c r="B203" cm="1">
        <f t="array" ref="B203">_xlfn.XLOOKUP(_xlfn.ANCHORARRAY(A203), TBL_Limiti_CDA[Data], TBL_Limiti_CDA[Etica Rendita Bilanciata], , -1)</f>
        <v>2.5</v>
      </c>
      <c r="C203" cm="1">
        <f t="array" ref="C203">_xlfn.XLOOKUP(_xlfn.ANCHORARRAY(A203), TBL_Limiti_CDA[Data], TBL_Limiti_CDA[Etica Obbligazionario Breve Termine], , -1)</f>
        <v>0.5</v>
      </c>
      <c r="D203" cm="1">
        <f t="array" ref="D203">_xlfn.XLOOKUP(_xlfn.ANCHORARRAY(A203), TBL_Limiti_CDA[Data], TBL_Limiti_CDA[Etica Obbligazionario Misto], , -1)</f>
        <v>1.5</v>
      </c>
      <c r="E203" cm="1">
        <f t="array" ref="E203">_xlfn.XLOOKUP(_xlfn.ANCHORARRAY(A203), TBL_Limiti_CDA[Data], TBL_Limiti_CDA[Etica Bilanciato], , -1)</f>
        <v>3</v>
      </c>
      <c r="F203" cm="1">
        <f t="array" ref="F203">_xlfn.XLOOKUP(_xlfn.ANCHORARRAY(A203), TBL_Limiti_CDA[Data], TBL_Limiti_CDA[Etica Azionario], , -1)</f>
        <v>3.5</v>
      </c>
      <c r="G203" cm="1">
        <f t="array" ref="G203">_xlfn.XLOOKUP(_xlfn.ANCHORARRAY(A203), TBL_Limiti_CDA[Data], TBL_Limiti_CDA[Etica Transizione Climatica], , -1)</f>
        <v>2.75</v>
      </c>
      <c r="H203" cm="1">
        <f t="array" ref="H203">_xlfn.XLOOKUP(_xlfn.ANCHORARRAY(A203), TBL_Limiti_CDA[Data], TBL_Limiti_CDA[Etica Obiettivo Sociale], , -1)</f>
        <v>9.99</v>
      </c>
      <c r="I203" cm="1">
        <f t="array" ref="I203">_xlfn.XLOOKUP(_xlfn.ANCHORARRAY(A203), TBL_Limiti_CDA[Data], TBL_Limiti_CDA[Etica Conservative Allocation], , -1)</f>
        <v>1.5</v>
      </c>
      <c r="J203" cm="1">
        <f t="array" ref="J203">_xlfn.XLOOKUP(_xlfn.ANCHORARRAY(A203), TBL_Limiti_CDA[Data], TBL_Limiti_CDA[Etica Dynamic Allocation], , -1)</f>
        <v>3</v>
      </c>
      <c r="K203" cm="1">
        <f t="array" ref="K203">_xlfn.XLOOKUP(_xlfn.ANCHORARRAY(A203), TBL_Limiti_CDA[Data], TBL_Limiti_CDA[Etica Global Equity], , -1)</f>
        <v>3.5</v>
      </c>
      <c r="L203" cm="1">
        <f t="array" ref="L203">_xlfn.ANCHORARRAY(B203)+0.15</f>
        <v>2.65</v>
      </c>
      <c r="M203" cm="1">
        <f t="array" ref="M203">_xlfn.ANCHORARRAY(C203)+0.1</f>
        <v>0.6</v>
      </c>
      <c r="N203" cm="1">
        <f t="array" ref="N203">_xlfn.ANCHORARRAY(D203)+0.15</f>
        <v>1.65</v>
      </c>
      <c r="O203" cm="1">
        <f t="array" ref="O203">_xlfn.ANCHORARRAY(E203)+0.15</f>
        <v>3.15</v>
      </c>
      <c r="P203" cm="1">
        <f t="array" ref="P203">_xlfn.ANCHORARRAY(F203)+0.15</f>
        <v>3.65</v>
      </c>
      <c r="Q203" cm="1">
        <f t="array" ref="Q203">_xlfn.ANCHORARRAY(G203)+0.15</f>
        <v>2.9</v>
      </c>
      <c r="R203" cm="1">
        <f t="array" ref="R203">_xlfn.ANCHORARRAY(H203)</f>
        <v>9.99</v>
      </c>
      <c r="S203" cm="1">
        <f t="array" ref="S203">_xlfn.ANCHORARRAY(R203)+0.15</f>
        <v>10.14</v>
      </c>
      <c r="T203" cm="1">
        <f t="array" ref="T203">_xlfn.ANCHORARRAY(I203)+0.15</f>
        <v>1.65</v>
      </c>
      <c r="U203" cm="1">
        <f t="array" ref="U203">_xlfn.ANCHORARRAY(J203)+0.15</f>
        <v>3.15</v>
      </c>
      <c r="V203" cm="1">
        <f t="array" ref="V203">_xlfn.ANCHORARRAY(K203)+0.15</f>
        <v>3.65</v>
      </c>
      <c r="W203">
        <f>TBL_TEV[[#This Row],[Etica Rendita Bilanciata]]</f>
        <v>1.6522190000000001</v>
      </c>
      <c r="X203">
        <f>TBL_TEV[[#This Row],[Etica Obbligazionario Breve Termine]]</f>
        <v>0.27955000000000002</v>
      </c>
      <c r="Y203">
        <f>TBL_TEV[[#This Row],[Etica Obbligazionario Misto]]</f>
        <v>0.79023299999999996</v>
      </c>
      <c r="Z203">
        <f>TBL_TEV[[#This Row],[Etica Bilanciato]]</f>
        <v>2.2225899999999998</v>
      </c>
      <c r="AA203">
        <f>TBL_TEV[[#This Row],[Etica Azionario]]</f>
        <v>3.2609409999999999</v>
      </c>
      <c r="AB203">
        <f>TBL_TEV[[#This Row],[Etica Transizione Climatica]]</f>
        <v>2.5099179999999999</v>
      </c>
      <c r="AC203">
        <f>TBL_TEV[[#This Row],[Etica Obiettivo Sociale]]</f>
        <v>7.5492116488963852</v>
      </c>
      <c r="AD203">
        <f>TBL_TEV[[#This Row],[Etica Conservative Allocation]]</f>
        <v>0.72244900000000001</v>
      </c>
      <c r="AE203">
        <f>TBL_TEV[[#This Row],[Etica Dynamic Allocation]]</f>
        <v>2.0825770000000001</v>
      </c>
      <c r="AF203">
        <f>TBL_TEV[[#This Row],[Etica Global Equity]]</f>
        <v>2.9572620000000001</v>
      </c>
      <c r="AL203">
        <f ca="1"/>
        <v>1.6245970000000001</v>
      </c>
      <c r="AM203">
        <f ca="1"/>
        <v>0.27859800000000001</v>
      </c>
      <c r="AN203">
        <f ca="1"/>
        <v>0.781026</v>
      </c>
      <c r="AO203">
        <f ca="1"/>
        <v>2.1733790000000002</v>
      </c>
      <c r="AP203">
        <f ca="1"/>
        <v>3.1825209999999999</v>
      </c>
      <c r="AQ203">
        <f ca="1"/>
        <v>2.458485</v>
      </c>
      <c r="AR203">
        <f ca="1"/>
        <v>7.6142028050476833</v>
      </c>
      <c r="AS203">
        <f ca="1"/>
        <v>0.72244900000000001</v>
      </c>
      <c r="AT203">
        <f ca="1"/>
        <v>2.0825770000000001</v>
      </c>
      <c r="AU203">
        <f ca="1"/>
        <v>2.9572620000000001</v>
      </c>
    </row>
    <row r="204" spans="1:47">
      <c r="A204" s="43">
        <f>TBL_TEV[[#This Row],[Data2]]</f>
        <v>45576</v>
      </c>
      <c r="B204" cm="1">
        <f t="array" ref="B204">_xlfn.XLOOKUP(_xlfn.ANCHORARRAY(A204), TBL_Limiti_CDA[Data], TBL_Limiti_CDA[Etica Rendita Bilanciata], , -1)</f>
        <v>2.5</v>
      </c>
      <c r="C204" cm="1">
        <f t="array" ref="C204">_xlfn.XLOOKUP(_xlfn.ANCHORARRAY(A204), TBL_Limiti_CDA[Data], TBL_Limiti_CDA[Etica Obbligazionario Breve Termine], , -1)</f>
        <v>0.5</v>
      </c>
      <c r="D204" cm="1">
        <f t="array" ref="D204">_xlfn.XLOOKUP(_xlfn.ANCHORARRAY(A204), TBL_Limiti_CDA[Data], TBL_Limiti_CDA[Etica Obbligazionario Misto], , -1)</f>
        <v>1.5</v>
      </c>
      <c r="E204" cm="1">
        <f t="array" ref="E204">_xlfn.XLOOKUP(_xlfn.ANCHORARRAY(A204), TBL_Limiti_CDA[Data], TBL_Limiti_CDA[Etica Bilanciato], , -1)</f>
        <v>3</v>
      </c>
      <c r="F204" cm="1">
        <f t="array" ref="F204">_xlfn.XLOOKUP(_xlfn.ANCHORARRAY(A204), TBL_Limiti_CDA[Data], TBL_Limiti_CDA[Etica Azionario], , -1)</f>
        <v>3.5</v>
      </c>
      <c r="G204" cm="1">
        <f t="array" ref="G204">_xlfn.XLOOKUP(_xlfn.ANCHORARRAY(A204), TBL_Limiti_CDA[Data], TBL_Limiti_CDA[Etica Transizione Climatica], , -1)</f>
        <v>2.75</v>
      </c>
      <c r="H204" cm="1">
        <f t="array" ref="H204">_xlfn.XLOOKUP(_xlfn.ANCHORARRAY(A204), TBL_Limiti_CDA[Data], TBL_Limiti_CDA[Etica Obiettivo Sociale], , -1)</f>
        <v>9.99</v>
      </c>
      <c r="I204" cm="1">
        <f t="array" ref="I204">_xlfn.XLOOKUP(_xlfn.ANCHORARRAY(A204), TBL_Limiti_CDA[Data], TBL_Limiti_CDA[Etica Conservative Allocation], , -1)</f>
        <v>1.5</v>
      </c>
      <c r="J204" cm="1">
        <f t="array" ref="J204">_xlfn.XLOOKUP(_xlfn.ANCHORARRAY(A204), TBL_Limiti_CDA[Data], TBL_Limiti_CDA[Etica Dynamic Allocation], , -1)</f>
        <v>3</v>
      </c>
      <c r="K204" cm="1">
        <f t="array" ref="K204">_xlfn.XLOOKUP(_xlfn.ANCHORARRAY(A204), TBL_Limiti_CDA[Data], TBL_Limiti_CDA[Etica Global Equity], , -1)</f>
        <v>3.5</v>
      </c>
      <c r="L204" cm="1">
        <f t="array" ref="L204">_xlfn.ANCHORARRAY(B204)+0.15</f>
        <v>2.65</v>
      </c>
      <c r="M204" cm="1">
        <f t="array" ref="M204">_xlfn.ANCHORARRAY(C204)+0.1</f>
        <v>0.6</v>
      </c>
      <c r="N204" cm="1">
        <f t="array" ref="N204">_xlfn.ANCHORARRAY(D204)+0.15</f>
        <v>1.65</v>
      </c>
      <c r="O204" cm="1">
        <f t="array" ref="O204">_xlfn.ANCHORARRAY(E204)+0.15</f>
        <v>3.15</v>
      </c>
      <c r="P204" cm="1">
        <f t="array" ref="P204">_xlfn.ANCHORARRAY(F204)+0.15</f>
        <v>3.65</v>
      </c>
      <c r="Q204" cm="1">
        <f t="array" ref="Q204">_xlfn.ANCHORARRAY(G204)+0.15</f>
        <v>2.9</v>
      </c>
      <c r="R204" cm="1">
        <f t="array" ref="R204">_xlfn.ANCHORARRAY(H204)</f>
        <v>9.99</v>
      </c>
      <c r="S204" cm="1">
        <f t="array" ref="S204">_xlfn.ANCHORARRAY(R204)+0.15</f>
        <v>10.14</v>
      </c>
      <c r="T204" cm="1">
        <f t="array" ref="T204">_xlfn.ANCHORARRAY(I204)+0.15</f>
        <v>1.65</v>
      </c>
      <c r="U204" cm="1">
        <f t="array" ref="U204">_xlfn.ANCHORARRAY(J204)+0.15</f>
        <v>3.15</v>
      </c>
      <c r="V204" cm="1">
        <f t="array" ref="V204">_xlfn.ANCHORARRAY(K204)+0.15</f>
        <v>3.65</v>
      </c>
      <c r="W204">
        <f>TBL_TEV[[#This Row],[Etica Rendita Bilanciata]]</f>
        <v>1.6245970000000001</v>
      </c>
      <c r="X204">
        <f>TBL_TEV[[#This Row],[Etica Obbligazionario Breve Termine]]</f>
        <v>0.27859800000000001</v>
      </c>
      <c r="Y204">
        <f>TBL_TEV[[#This Row],[Etica Obbligazionario Misto]]</f>
        <v>0.781026</v>
      </c>
      <c r="Z204">
        <f>TBL_TEV[[#This Row],[Etica Bilanciato]]</f>
        <v>2.1733790000000002</v>
      </c>
      <c r="AA204">
        <f>TBL_TEV[[#This Row],[Etica Azionario]]</f>
        <v>3.1825209999999999</v>
      </c>
      <c r="AB204">
        <f>TBL_TEV[[#This Row],[Etica Transizione Climatica]]</f>
        <v>2.458485</v>
      </c>
      <c r="AC204">
        <f>TBL_TEV[[#This Row],[Etica Obiettivo Sociale]]</f>
        <v>7.6142028050476833</v>
      </c>
      <c r="AD204">
        <f>TBL_TEV[[#This Row],[Etica Conservative Allocation]]</f>
        <v>0.72244900000000001</v>
      </c>
      <c r="AE204">
        <f>TBL_TEV[[#This Row],[Etica Dynamic Allocation]]</f>
        <v>2.0825770000000001</v>
      </c>
      <c r="AF204">
        <f>TBL_TEV[[#This Row],[Etica Global Equity]]</f>
        <v>2.9572620000000001</v>
      </c>
      <c r="AL204">
        <f ca="1"/>
        <v>1.6452340000000001</v>
      </c>
      <c r="AM204">
        <f ca="1"/>
        <v>0.27748600000000001</v>
      </c>
      <c r="AN204">
        <f ca="1"/>
        <v>0.79039199999999998</v>
      </c>
      <c r="AO204">
        <f ca="1"/>
        <v>2.1871900000000002</v>
      </c>
      <c r="AP204">
        <f ca="1"/>
        <v>3.186172</v>
      </c>
      <c r="AQ204">
        <f ca="1"/>
        <v>2.45404</v>
      </c>
      <c r="AR204">
        <f ca="1"/>
        <v>7.4612397808837612</v>
      </c>
      <c r="AS204">
        <f ca="1"/>
        <v>0.72244900000000001</v>
      </c>
      <c r="AT204">
        <f ca="1"/>
        <v>2.0825770000000001</v>
      </c>
      <c r="AU204">
        <f ca="1"/>
        <v>2.9572620000000001</v>
      </c>
    </row>
    <row r="205" spans="1:47">
      <c r="A205" s="43">
        <f>TBL_TEV[[#This Row],[Data2]]</f>
        <v>45579</v>
      </c>
      <c r="B205" cm="1">
        <f t="array" ref="B205">_xlfn.XLOOKUP(_xlfn.ANCHORARRAY(A205), TBL_Limiti_CDA[Data], TBL_Limiti_CDA[Etica Rendita Bilanciata], , -1)</f>
        <v>2.5</v>
      </c>
      <c r="C205" cm="1">
        <f t="array" ref="C205">_xlfn.XLOOKUP(_xlfn.ANCHORARRAY(A205), TBL_Limiti_CDA[Data], TBL_Limiti_CDA[Etica Obbligazionario Breve Termine], , -1)</f>
        <v>0.5</v>
      </c>
      <c r="D205" cm="1">
        <f t="array" ref="D205">_xlfn.XLOOKUP(_xlfn.ANCHORARRAY(A205), TBL_Limiti_CDA[Data], TBL_Limiti_CDA[Etica Obbligazionario Misto], , -1)</f>
        <v>1.5</v>
      </c>
      <c r="E205" cm="1">
        <f t="array" ref="E205">_xlfn.XLOOKUP(_xlfn.ANCHORARRAY(A205), TBL_Limiti_CDA[Data], TBL_Limiti_CDA[Etica Bilanciato], , -1)</f>
        <v>3</v>
      </c>
      <c r="F205" cm="1">
        <f t="array" ref="F205">_xlfn.XLOOKUP(_xlfn.ANCHORARRAY(A205), TBL_Limiti_CDA[Data], TBL_Limiti_CDA[Etica Azionario], , -1)</f>
        <v>3.5</v>
      </c>
      <c r="G205" cm="1">
        <f t="array" ref="G205">_xlfn.XLOOKUP(_xlfn.ANCHORARRAY(A205), TBL_Limiti_CDA[Data], TBL_Limiti_CDA[Etica Transizione Climatica], , -1)</f>
        <v>2.75</v>
      </c>
      <c r="H205" cm="1">
        <f t="array" ref="H205">_xlfn.XLOOKUP(_xlfn.ANCHORARRAY(A205), TBL_Limiti_CDA[Data], TBL_Limiti_CDA[Etica Obiettivo Sociale], , -1)</f>
        <v>9.99</v>
      </c>
      <c r="I205" cm="1">
        <f t="array" ref="I205">_xlfn.XLOOKUP(_xlfn.ANCHORARRAY(A205), TBL_Limiti_CDA[Data], TBL_Limiti_CDA[Etica Conservative Allocation], , -1)</f>
        <v>1.5</v>
      </c>
      <c r="J205" cm="1">
        <f t="array" ref="J205">_xlfn.XLOOKUP(_xlfn.ANCHORARRAY(A205), TBL_Limiti_CDA[Data], TBL_Limiti_CDA[Etica Dynamic Allocation], , -1)</f>
        <v>3</v>
      </c>
      <c r="K205" cm="1">
        <f t="array" ref="K205">_xlfn.XLOOKUP(_xlfn.ANCHORARRAY(A205), TBL_Limiti_CDA[Data], TBL_Limiti_CDA[Etica Global Equity], , -1)</f>
        <v>3.5</v>
      </c>
      <c r="L205" cm="1">
        <f t="array" ref="L205">_xlfn.ANCHORARRAY(B205)+0.15</f>
        <v>2.65</v>
      </c>
      <c r="M205" cm="1">
        <f t="array" ref="M205">_xlfn.ANCHORARRAY(C205)+0.1</f>
        <v>0.6</v>
      </c>
      <c r="N205" cm="1">
        <f t="array" ref="N205">_xlfn.ANCHORARRAY(D205)+0.15</f>
        <v>1.65</v>
      </c>
      <c r="O205" cm="1">
        <f t="array" ref="O205">_xlfn.ANCHORARRAY(E205)+0.15</f>
        <v>3.15</v>
      </c>
      <c r="P205" cm="1">
        <f t="array" ref="P205">_xlfn.ANCHORARRAY(F205)+0.15</f>
        <v>3.65</v>
      </c>
      <c r="Q205" cm="1">
        <f t="array" ref="Q205">_xlfn.ANCHORARRAY(G205)+0.15</f>
        <v>2.9</v>
      </c>
      <c r="R205" cm="1">
        <f t="array" ref="R205">_xlfn.ANCHORARRAY(H205)</f>
        <v>9.99</v>
      </c>
      <c r="S205" cm="1">
        <f t="array" ref="S205">_xlfn.ANCHORARRAY(R205)+0.15</f>
        <v>10.14</v>
      </c>
      <c r="T205" cm="1">
        <f t="array" ref="T205">_xlfn.ANCHORARRAY(I205)+0.15</f>
        <v>1.65</v>
      </c>
      <c r="U205" cm="1">
        <f t="array" ref="U205">_xlfn.ANCHORARRAY(J205)+0.15</f>
        <v>3.15</v>
      </c>
      <c r="V205" cm="1">
        <f t="array" ref="V205">_xlfn.ANCHORARRAY(K205)+0.15</f>
        <v>3.65</v>
      </c>
      <c r="W205">
        <f>TBL_TEV[[#This Row],[Etica Rendita Bilanciata]]</f>
        <v>1.6452340000000001</v>
      </c>
      <c r="X205">
        <f>TBL_TEV[[#This Row],[Etica Obbligazionario Breve Termine]]</f>
        <v>0.27748600000000001</v>
      </c>
      <c r="Y205">
        <f>TBL_TEV[[#This Row],[Etica Obbligazionario Misto]]</f>
        <v>0.79039199999999998</v>
      </c>
      <c r="Z205">
        <f>TBL_TEV[[#This Row],[Etica Bilanciato]]</f>
        <v>2.1871900000000002</v>
      </c>
      <c r="AA205">
        <f>TBL_TEV[[#This Row],[Etica Azionario]]</f>
        <v>3.186172</v>
      </c>
      <c r="AB205">
        <f>TBL_TEV[[#This Row],[Etica Transizione Climatica]]</f>
        <v>2.45404</v>
      </c>
      <c r="AC205">
        <f>TBL_TEV[[#This Row],[Etica Obiettivo Sociale]]</f>
        <v>7.4612397808837612</v>
      </c>
      <c r="AD205">
        <f>TBL_TEV[[#This Row],[Etica Conservative Allocation]]</f>
        <v>0.72244900000000001</v>
      </c>
      <c r="AE205">
        <f>TBL_TEV[[#This Row],[Etica Dynamic Allocation]]</f>
        <v>2.0825770000000001</v>
      </c>
      <c r="AF205">
        <f>TBL_TEV[[#This Row],[Etica Global Equity]]</f>
        <v>2.9572620000000001</v>
      </c>
      <c r="AL205">
        <f ca="1"/>
        <v>1.6245970000000001</v>
      </c>
      <c r="AM205">
        <f ca="1"/>
        <v>0.28320099999999998</v>
      </c>
      <c r="AN205">
        <f ca="1"/>
        <v>0.78213699999999997</v>
      </c>
      <c r="AO205">
        <f ca="1"/>
        <v>2.1636950000000001</v>
      </c>
      <c r="AP205">
        <f ca="1"/>
        <v>3.181886</v>
      </c>
      <c r="AQ205">
        <f ca="1"/>
        <v>2.4227669999999999</v>
      </c>
      <c r="AR205">
        <f ca="1"/>
        <v>7.3550501132065014</v>
      </c>
      <c r="AS205">
        <f ca="1"/>
        <v>0.72244900000000001</v>
      </c>
      <c r="AT205">
        <f ca="1"/>
        <v>2.0825770000000001</v>
      </c>
      <c r="AU205">
        <f ca="1"/>
        <v>2.9572620000000001</v>
      </c>
    </row>
    <row r="206" spans="1:47">
      <c r="A206" s="43">
        <f>TBL_TEV[[#This Row],[Data2]]</f>
        <v>45580</v>
      </c>
      <c r="B206" cm="1">
        <f t="array" ref="B206">_xlfn.XLOOKUP(_xlfn.ANCHORARRAY(A206), TBL_Limiti_CDA[Data], TBL_Limiti_CDA[Etica Rendita Bilanciata], , -1)</f>
        <v>2.5</v>
      </c>
      <c r="C206" cm="1">
        <f t="array" ref="C206">_xlfn.XLOOKUP(_xlfn.ANCHORARRAY(A206), TBL_Limiti_CDA[Data], TBL_Limiti_CDA[Etica Obbligazionario Breve Termine], , -1)</f>
        <v>0.5</v>
      </c>
      <c r="D206" cm="1">
        <f t="array" ref="D206">_xlfn.XLOOKUP(_xlfn.ANCHORARRAY(A206), TBL_Limiti_CDA[Data], TBL_Limiti_CDA[Etica Obbligazionario Misto], , -1)</f>
        <v>1.5</v>
      </c>
      <c r="E206" cm="1">
        <f t="array" ref="E206">_xlfn.XLOOKUP(_xlfn.ANCHORARRAY(A206), TBL_Limiti_CDA[Data], TBL_Limiti_CDA[Etica Bilanciato], , -1)</f>
        <v>3</v>
      </c>
      <c r="F206" cm="1">
        <f t="array" ref="F206">_xlfn.XLOOKUP(_xlfn.ANCHORARRAY(A206), TBL_Limiti_CDA[Data], TBL_Limiti_CDA[Etica Azionario], , -1)</f>
        <v>3.5</v>
      </c>
      <c r="G206" cm="1">
        <f t="array" ref="G206">_xlfn.XLOOKUP(_xlfn.ANCHORARRAY(A206), TBL_Limiti_CDA[Data], TBL_Limiti_CDA[Etica Transizione Climatica], , -1)</f>
        <v>2.75</v>
      </c>
      <c r="H206" cm="1">
        <f t="array" ref="H206">_xlfn.XLOOKUP(_xlfn.ANCHORARRAY(A206), TBL_Limiti_CDA[Data], TBL_Limiti_CDA[Etica Obiettivo Sociale], , -1)</f>
        <v>9.99</v>
      </c>
      <c r="I206" cm="1">
        <f t="array" ref="I206">_xlfn.XLOOKUP(_xlfn.ANCHORARRAY(A206), TBL_Limiti_CDA[Data], TBL_Limiti_CDA[Etica Conservative Allocation], , -1)</f>
        <v>1.5</v>
      </c>
      <c r="J206" cm="1">
        <f t="array" ref="J206">_xlfn.XLOOKUP(_xlfn.ANCHORARRAY(A206), TBL_Limiti_CDA[Data], TBL_Limiti_CDA[Etica Dynamic Allocation], , -1)</f>
        <v>3</v>
      </c>
      <c r="K206" cm="1">
        <f t="array" ref="K206">_xlfn.XLOOKUP(_xlfn.ANCHORARRAY(A206), TBL_Limiti_CDA[Data], TBL_Limiti_CDA[Etica Global Equity], , -1)</f>
        <v>3.5</v>
      </c>
      <c r="L206" cm="1">
        <f t="array" ref="L206">_xlfn.ANCHORARRAY(B206)+0.15</f>
        <v>2.65</v>
      </c>
      <c r="M206" cm="1">
        <f t="array" ref="M206">_xlfn.ANCHORARRAY(C206)+0.1</f>
        <v>0.6</v>
      </c>
      <c r="N206" cm="1">
        <f t="array" ref="N206">_xlfn.ANCHORARRAY(D206)+0.15</f>
        <v>1.65</v>
      </c>
      <c r="O206" cm="1">
        <f t="array" ref="O206">_xlfn.ANCHORARRAY(E206)+0.15</f>
        <v>3.15</v>
      </c>
      <c r="P206" cm="1">
        <f t="array" ref="P206">_xlfn.ANCHORARRAY(F206)+0.15</f>
        <v>3.65</v>
      </c>
      <c r="Q206" cm="1">
        <f t="array" ref="Q206">_xlfn.ANCHORARRAY(G206)+0.15</f>
        <v>2.9</v>
      </c>
      <c r="R206" cm="1">
        <f t="array" ref="R206">_xlfn.ANCHORARRAY(H206)</f>
        <v>9.99</v>
      </c>
      <c r="S206" cm="1">
        <f t="array" ref="S206">_xlfn.ANCHORARRAY(R206)+0.15</f>
        <v>10.14</v>
      </c>
      <c r="T206" cm="1">
        <f t="array" ref="T206">_xlfn.ANCHORARRAY(I206)+0.15</f>
        <v>1.65</v>
      </c>
      <c r="U206" cm="1">
        <f t="array" ref="U206">_xlfn.ANCHORARRAY(J206)+0.15</f>
        <v>3.15</v>
      </c>
      <c r="V206" cm="1">
        <f t="array" ref="V206">_xlfn.ANCHORARRAY(K206)+0.15</f>
        <v>3.65</v>
      </c>
      <c r="W206">
        <f>TBL_TEV[[#This Row],[Etica Rendita Bilanciata]]</f>
        <v>1.6245970000000001</v>
      </c>
      <c r="X206">
        <f>TBL_TEV[[#This Row],[Etica Obbligazionario Breve Termine]]</f>
        <v>0.28320099999999998</v>
      </c>
      <c r="Y206">
        <f>TBL_TEV[[#This Row],[Etica Obbligazionario Misto]]</f>
        <v>0.78213699999999997</v>
      </c>
      <c r="Z206">
        <f>TBL_TEV[[#This Row],[Etica Bilanciato]]</f>
        <v>2.1636950000000001</v>
      </c>
      <c r="AA206">
        <f>TBL_TEV[[#This Row],[Etica Azionario]]</f>
        <v>3.181886</v>
      </c>
      <c r="AB206">
        <f>TBL_TEV[[#This Row],[Etica Transizione Climatica]]</f>
        <v>2.4227669999999999</v>
      </c>
      <c r="AC206">
        <f>TBL_TEV[[#This Row],[Etica Obiettivo Sociale]]</f>
        <v>7.3550501132065014</v>
      </c>
      <c r="AD206">
        <f>TBL_TEV[[#This Row],[Etica Conservative Allocation]]</f>
        <v>0.72244900000000001</v>
      </c>
      <c r="AE206">
        <f>TBL_TEV[[#This Row],[Etica Dynamic Allocation]]</f>
        <v>2.0825770000000001</v>
      </c>
      <c r="AF206">
        <f>TBL_TEV[[#This Row],[Etica Global Equity]]</f>
        <v>2.9572620000000001</v>
      </c>
      <c r="AL206">
        <f ca="1"/>
        <v>1.6241209999999999</v>
      </c>
      <c r="AM206">
        <f ca="1"/>
        <v>0.282725</v>
      </c>
      <c r="AN206">
        <f ca="1"/>
        <v>0.78293100000000004</v>
      </c>
      <c r="AO206">
        <f ca="1"/>
        <v>2.1559170000000001</v>
      </c>
      <c r="AP206">
        <f ca="1"/>
        <v>3.1696629999999999</v>
      </c>
      <c r="AQ206">
        <f ca="1"/>
        <v>2.4287999999999998</v>
      </c>
      <c r="AR206">
        <f ca="1"/>
        <v>7.3879407693735448</v>
      </c>
      <c r="AS206">
        <f ca="1"/>
        <v>0.72244900000000001</v>
      </c>
      <c r="AT206">
        <f ca="1"/>
        <v>2.0825770000000001</v>
      </c>
      <c r="AU206">
        <f ca="1"/>
        <v>2.9572620000000001</v>
      </c>
    </row>
    <row r="207" spans="1:47">
      <c r="A207" s="43">
        <f>TBL_TEV[[#This Row],[Data2]]</f>
        <v>45581</v>
      </c>
      <c r="B207" cm="1">
        <f t="array" ref="B207">_xlfn.XLOOKUP(_xlfn.ANCHORARRAY(A207), TBL_Limiti_CDA[Data], TBL_Limiti_CDA[Etica Rendita Bilanciata], , -1)</f>
        <v>2.5</v>
      </c>
      <c r="C207" cm="1">
        <f t="array" ref="C207">_xlfn.XLOOKUP(_xlfn.ANCHORARRAY(A207), TBL_Limiti_CDA[Data], TBL_Limiti_CDA[Etica Obbligazionario Breve Termine], , -1)</f>
        <v>0.5</v>
      </c>
      <c r="D207" cm="1">
        <f t="array" ref="D207">_xlfn.XLOOKUP(_xlfn.ANCHORARRAY(A207), TBL_Limiti_CDA[Data], TBL_Limiti_CDA[Etica Obbligazionario Misto], , -1)</f>
        <v>1.5</v>
      </c>
      <c r="E207" cm="1">
        <f t="array" ref="E207">_xlfn.XLOOKUP(_xlfn.ANCHORARRAY(A207), TBL_Limiti_CDA[Data], TBL_Limiti_CDA[Etica Bilanciato], , -1)</f>
        <v>3</v>
      </c>
      <c r="F207" cm="1">
        <f t="array" ref="F207">_xlfn.XLOOKUP(_xlfn.ANCHORARRAY(A207), TBL_Limiti_CDA[Data], TBL_Limiti_CDA[Etica Azionario], , -1)</f>
        <v>3.5</v>
      </c>
      <c r="G207" cm="1">
        <f t="array" ref="G207">_xlfn.XLOOKUP(_xlfn.ANCHORARRAY(A207), TBL_Limiti_CDA[Data], TBL_Limiti_CDA[Etica Transizione Climatica], , -1)</f>
        <v>2.75</v>
      </c>
      <c r="H207" cm="1">
        <f t="array" ref="H207">_xlfn.XLOOKUP(_xlfn.ANCHORARRAY(A207), TBL_Limiti_CDA[Data], TBL_Limiti_CDA[Etica Obiettivo Sociale], , -1)</f>
        <v>9.99</v>
      </c>
      <c r="I207" cm="1">
        <f t="array" ref="I207">_xlfn.XLOOKUP(_xlfn.ANCHORARRAY(A207), TBL_Limiti_CDA[Data], TBL_Limiti_CDA[Etica Conservative Allocation], , -1)</f>
        <v>1.5</v>
      </c>
      <c r="J207" cm="1">
        <f t="array" ref="J207">_xlfn.XLOOKUP(_xlfn.ANCHORARRAY(A207), TBL_Limiti_CDA[Data], TBL_Limiti_CDA[Etica Dynamic Allocation], , -1)</f>
        <v>3</v>
      </c>
      <c r="K207" cm="1">
        <f t="array" ref="K207">_xlfn.XLOOKUP(_xlfn.ANCHORARRAY(A207), TBL_Limiti_CDA[Data], TBL_Limiti_CDA[Etica Global Equity], , -1)</f>
        <v>3.5</v>
      </c>
      <c r="L207" cm="1">
        <f t="array" ref="L207">_xlfn.ANCHORARRAY(B207)+0.15</f>
        <v>2.65</v>
      </c>
      <c r="M207" cm="1">
        <f t="array" ref="M207">_xlfn.ANCHORARRAY(C207)+0.1</f>
        <v>0.6</v>
      </c>
      <c r="N207" cm="1">
        <f t="array" ref="N207">_xlfn.ANCHORARRAY(D207)+0.15</f>
        <v>1.65</v>
      </c>
      <c r="O207" cm="1">
        <f t="array" ref="O207">_xlfn.ANCHORARRAY(E207)+0.15</f>
        <v>3.15</v>
      </c>
      <c r="P207" cm="1">
        <f t="array" ref="P207">_xlfn.ANCHORARRAY(F207)+0.15</f>
        <v>3.65</v>
      </c>
      <c r="Q207" cm="1">
        <f t="array" ref="Q207">_xlfn.ANCHORARRAY(G207)+0.15</f>
        <v>2.9</v>
      </c>
      <c r="R207" cm="1">
        <f t="array" ref="R207">_xlfn.ANCHORARRAY(H207)</f>
        <v>9.99</v>
      </c>
      <c r="S207" cm="1">
        <f t="array" ref="S207">_xlfn.ANCHORARRAY(R207)+0.15</f>
        <v>10.14</v>
      </c>
      <c r="T207" cm="1">
        <f t="array" ref="T207">_xlfn.ANCHORARRAY(I207)+0.15</f>
        <v>1.65</v>
      </c>
      <c r="U207" cm="1">
        <f t="array" ref="U207">_xlfn.ANCHORARRAY(J207)+0.15</f>
        <v>3.15</v>
      </c>
      <c r="V207" cm="1">
        <f t="array" ref="V207">_xlfn.ANCHORARRAY(K207)+0.15</f>
        <v>3.65</v>
      </c>
      <c r="W207">
        <f>TBL_TEV[[#This Row],[Etica Rendita Bilanciata]]</f>
        <v>1.6241209999999999</v>
      </c>
      <c r="X207">
        <f>TBL_TEV[[#This Row],[Etica Obbligazionario Breve Termine]]</f>
        <v>0.282725</v>
      </c>
      <c r="Y207">
        <f>TBL_TEV[[#This Row],[Etica Obbligazionario Misto]]</f>
        <v>0.78293100000000004</v>
      </c>
      <c r="Z207">
        <f>TBL_TEV[[#This Row],[Etica Bilanciato]]</f>
        <v>2.1559170000000001</v>
      </c>
      <c r="AA207">
        <f>TBL_TEV[[#This Row],[Etica Azionario]]</f>
        <v>3.1696629999999999</v>
      </c>
      <c r="AB207">
        <f>TBL_TEV[[#This Row],[Etica Transizione Climatica]]</f>
        <v>2.4287999999999998</v>
      </c>
      <c r="AC207">
        <f>TBL_TEV[[#This Row],[Etica Obiettivo Sociale]]</f>
        <v>7.3879407693735448</v>
      </c>
      <c r="AD207">
        <f>TBL_TEV[[#This Row],[Etica Conservative Allocation]]</f>
        <v>0.72244900000000001</v>
      </c>
      <c r="AE207">
        <f>TBL_TEV[[#This Row],[Etica Dynamic Allocation]]</f>
        <v>2.0825770000000001</v>
      </c>
      <c r="AF207">
        <f>TBL_TEV[[#This Row],[Etica Global Equity]]</f>
        <v>2.9572620000000001</v>
      </c>
      <c r="AL207">
        <f ca="1"/>
        <v>1.6239619999999999</v>
      </c>
      <c r="AM207">
        <f ca="1"/>
        <v>0.28288400000000002</v>
      </c>
      <c r="AN207">
        <f ca="1"/>
        <v>0.78531200000000001</v>
      </c>
      <c r="AO207">
        <f ca="1"/>
        <v>2.1508370000000001</v>
      </c>
      <c r="AP207">
        <f ca="1"/>
        <v>3.163948</v>
      </c>
      <c r="AQ207">
        <f ca="1"/>
        <v>2.4314979999999999</v>
      </c>
      <c r="AR207">
        <f ca="1"/>
        <v>7.3907406487136127</v>
      </c>
      <c r="AS207">
        <f ca="1"/>
        <v>0.72244900000000001</v>
      </c>
      <c r="AT207">
        <f ca="1"/>
        <v>2.0825770000000001</v>
      </c>
      <c r="AU207">
        <f ca="1"/>
        <v>2.9572620000000001</v>
      </c>
    </row>
    <row r="208" spans="1:47">
      <c r="A208" s="43">
        <f>TBL_TEV[[#This Row],[Data2]]</f>
        <v>45582</v>
      </c>
      <c r="B208" cm="1">
        <f t="array" ref="B208">_xlfn.XLOOKUP(_xlfn.ANCHORARRAY(A208), TBL_Limiti_CDA[Data], TBL_Limiti_CDA[Etica Rendita Bilanciata], , -1)</f>
        <v>2.5</v>
      </c>
      <c r="C208" cm="1">
        <f t="array" ref="C208">_xlfn.XLOOKUP(_xlfn.ANCHORARRAY(A208), TBL_Limiti_CDA[Data], TBL_Limiti_CDA[Etica Obbligazionario Breve Termine], , -1)</f>
        <v>0.5</v>
      </c>
      <c r="D208" cm="1">
        <f t="array" ref="D208">_xlfn.XLOOKUP(_xlfn.ANCHORARRAY(A208), TBL_Limiti_CDA[Data], TBL_Limiti_CDA[Etica Obbligazionario Misto], , -1)</f>
        <v>1.5</v>
      </c>
      <c r="E208" cm="1">
        <f t="array" ref="E208">_xlfn.XLOOKUP(_xlfn.ANCHORARRAY(A208), TBL_Limiti_CDA[Data], TBL_Limiti_CDA[Etica Bilanciato], , -1)</f>
        <v>3</v>
      </c>
      <c r="F208" cm="1">
        <f t="array" ref="F208">_xlfn.XLOOKUP(_xlfn.ANCHORARRAY(A208), TBL_Limiti_CDA[Data], TBL_Limiti_CDA[Etica Azionario], , -1)</f>
        <v>3.5</v>
      </c>
      <c r="G208" cm="1">
        <f t="array" ref="G208">_xlfn.XLOOKUP(_xlfn.ANCHORARRAY(A208), TBL_Limiti_CDA[Data], TBL_Limiti_CDA[Etica Transizione Climatica], , -1)</f>
        <v>2.75</v>
      </c>
      <c r="H208" cm="1">
        <f t="array" ref="H208">_xlfn.XLOOKUP(_xlfn.ANCHORARRAY(A208), TBL_Limiti_CDA[Data], TBL_Limiti_CDA[Etica Obiettivo Sociale], , -1)</f>
        <v>9.99</v>
      </c>
      <c r="I208" cm="1">
        <f t="array" ref="I208">_xlfn.XLOOKUP(_xlfn.ANCHORARRAY(A208), TBL_Limiti_CDA[Data], TBL_Limiti_CDA[Etica Conservative Allocation], , -1)</f>
        <v>1.5</v>
      </c>
      <c r="J208" cm="1">
        <f t="array" ref="J208">_xlfn.XLOOKUP(_xlfn.ANCHORARRAY(A208), TBL_Limiti_CDA[Data], TBL_Limiti_CDA[Etica Dynamic Allocation], , -1)</f>
        <v>3</v>
      </c>
      <c r="K208" cm="1">
        <f t="array" ref="K208">_xlfn.XLOOKUP(_xlfn.ANCHORARRAY(A208), TBL_Limiti_CDA[Data], TBL_Limiti_CDA[Etica Global Equity], , -1)</f>
        <v>3.5</v>
      </c>
      <c r="L208" cm="1">
        <f t="array" ref="L208">_xlfn.ANCHORARRAY(B208)+0.15</f>
        <v>2.65</v>
      </c>
      <c r="M208" cm="1">
        <f t="array" ref="M208">_xlfn.ANCHORARRAY(C208)+0.1</f>
        <v>0.6</v>
      </c>
      <c r="N208" cm="1">
        <f t="array" ref="N208">_xlfn.ANCHORARRAY(D208)+0.15</f>
        <v>1.65</v>
      </c>
      <c r="O208" cm="1">
        <f t="array" ref="O208">_xlfn.ANCHORARRAY(E208)+0.15</f>
        <v>3.15</v>
      </c>
      <c r="P208" cm="1">
        <f t="array" ref="P208">_xlfn.ANCHORARRAY(F208)+0.15</f>
        <v>3.65</v>
      </c>
      <c r="Q208" cm="1">
        <f t="array" ref="Q208">_xlfn.ANCHORARRAY(G208)+0.15</f>
        <v>2.9</v>
      </c>
      <c r="R208" cm="1">
        <f t="array" ref="R208">_xlfn.ANCHORARRAY(H208)</f>
        <v>9.99</v>
      </c>
      <c r="S208" cm="1">
        <f t="array" ref="S208">_xlfn.ANCHORARRAY(R208)+0.15</f>
        <v>10.14</v>
      </c>
      <c r="T208" cm="1">
        <f t="array" ref="T208">_xlfn.ANCHORARRAY(I208)+0.15</f>
        <v>1.65</v>
      </c>
      <c r="U208" cm="1">
        <f t="array" ref="U208">_xlfn.ANCHORARRAY(J208)+0.15</f>
        <v>3.15</v>
      </c>
      <c r="V208" cm="1">
        <f t="array" ref="V208">_xlfn.ANCHORARRAY(K208)+0.15</f>
        <v>3.65</v>
      </c>
      <c r="W208">
        <f>TBL_TEV[[#This Row],[Etica Rendita Bilanciata]]</f>
        <v>1.6239619999999999</v>
      </c>
      <c r="X208">
        <f>TBL_TEV[[#This Row],[Etica Obbligazionario Breve Termine]]</f>
        <v>0.28288400000000002</v>
      </c>
      <c r="Y208">
        <f>TBL_TEV[[#This Row],[Etica Obbligazionario Misto]]</f>
        <v>0.78531200000000001</v>
      </c>
      <c r="Z208">
        <f>TBL_TEV[[#This Row],[Etica Bilanciato]]</f>
        <v>2.1508370000000001</v>
      </c>
      <c r="AA208">
        <f>TBL_TEV[[#This Row],[Etica Azionario]]</f>
        <v>3.163948</v>
      </c>
      <c r="AB208">
        <f>TBL_TEV[[#This Row],[Etica Transizione Climatica]]</f>
        <v>2.4314979999999999</v>
      </c>
      <c r="AC208">
        <f>TBL_TEV[[#This Row],[Etica Obiettivo Sociale]]</f>
        <v>7.3907406487136127</v>
      </c>
      <c r="AD208">
        <f>TBL_TEV[[#This Row],[Etica Conservative Allocation]]</f>
        <v>0.72244900000000001</v>
      </c>
      <c r="AE208">
        <f>TBL_TEV[[#This Row],[Etica Dynamic Allocation]]</f>
        <v>2.0825770000000001</v>
      </c>
      <c r="AF208">
        <f>TBL_TEV[[#This Row],[Etica Global Equity]]</f>
        <v>2.9572620000000001</v>
      </c>
      <c r="AL208">
        <f ca="1"/>
        <v>1.6214219999999999</v>
      </c>
      <c r="AM208">
        <f ca="1"/>
        <v>0.28240700000000002</v>
      </c>
      <c r="AN208">
        <f ca="1"/>
        <v>0.78674100000000002</v>
      </c>
      <c r="AO208">
        <f ca="1"/>
        <v>2.1433759999999999</v>
      </c>
      <c r="AP208">
        <f ca="1"/>
        <v>3.1561699999999999</v>
      </c>
      <c r="AQ208">
        <f ca="1"/>
        <v>2.4291170000000002</v>
      </c>
      <c r="AR208">
        <f ca="1"/>
        <v>7.5157331104145619</v>
      </c>
      <c r="AS208">
        <f ca="1"/>
        <v>0.72244900000000001</v>
      </c>
      <c r="AT208">
        <f ca="1"/>
        <v>2.0825770000000001</v>
      </c>
      <c r="AU208">
        <f ca="1"/>
        <v>2.9572620000000001</v>
      </c>
    </row>
    <row r="209" spans="1:47">
      <c r="A209" s="43">
        <f>TBL_TEV[[#This Row],[Data2]]</f>
        <v>45583</v>
      </c>
      <c r="B209" cm="1">
        <f t="array" ref="B209">_xlfn.XLOOKUP(_xlfn.ANCHORARRAY(A209), TBL_Limiti_CDA[Data], TBL_Limiti_CDA[Etica Rendita Bilanciata], , -1)</f>
        <v>2.5</v>
      </c>
      <c r="C209" cm="1">
        <f t="array" ref="C209">_xlfn.XLOOKUP(_xlfn.ANCHORARRAY(A209), TBL_Limiti_CDA[Data], TBL_Limiti_CDA[Etica Obbligazionario Breve Termine], , -1)</f>
        <v>0.5</v>
      </c>
      <c r="D209" cm="1">
        <f t="array" ref="D209">_xlfn.XLOOKUP(_xlfn.ANCHORARRAY(A209), TBL_Limiti_CDA[Data], TBL_Limiti_CDA[Etica Obbligazionario Misto], , -1)</f>
        <v>1.5</v>
      </c>
      <c r="E209" cm="1">
        <f t="array" ref="E209">_xlfn.XLOOKUP(_xlfn.ANCHORARRAY(A209), TBL_Limiti_CDA[Data], TBL_Limiti_CDA[Etica Bilanciato], , -1)</f>
        <v>3</v>
      </c>
      <c r="F209" cm="1">
        <f t="array" ref="F209">_xlfn.XLOOKUP(_xlfn.ANCHORARRAY(A209), TBL_Limiti_CDA[Data], TBL_Limiti_CDA[Etica Azionario], , -1)</f>
        <v>3.5</v>
      </c>
      <c r="G209" cm="1">
        <f t="array" ref="G209">_xlfn.XLOOKUP(_xlfn.ANCHORARRAY(A209), TBL_Limiti_CDA[Data], TBL_Limiti_CDA[Etica Transizione Climatica], , -1)</f>
        <v>2.75</v>
      </c>
      <c r="H209" cm="1">
        <f t="array" ref="H209">_xlfn.XLOOKUP(_xlfn.ANCHORARRAY(A209), TBL_Limiti_CDA[Data], TBL_Limiti_CDA[Etica Obiettivo Sociale], , -1)</f>
        <v>9.99</v>
      </c>
      <c r="I209" cm="1">
        <f t="array" ref="I209">_xlfn.XLOOKUP(_xlfn.ANCHORARRAY(A209), TBL_Limiti_CDA[Data], TBL_Limiti_CDA[Etica Conservative Allocation], , -1)</f>
        <v>1.5</v>
      </c>
      <c r="J209" cm="1">
        <f t="array" ref="J209">_xlfn.XLOOKUP(_xlfn.ANCHORARRAY(A209), TBL_Limiti_CDA[Data], TBL_Limiti_CDA[Etica Dynamic Allocation], , -1)</f>
        <v>3</v>
      </c>
      <c r="K209" cm="1">
        <f t="array" ref="K209">_xlfn.XLOOKUP(_xlfn.ANCHORARRAY(A209), TBL_Limiti_CDA[Data], TBL_Limiti_CDA[Etica Global Equity], , -1)</f>
        <v>3.5</v>
      </c>
      <c r="L209" cm="1">
        <f t="array" ref="L209">_xlfn.ANCHORARRAY(B209)+0.15</f>
        <v>2.65</v>
      </c>
      <c r="M209" cm="1">
        <f t="array" ref="M209">_xlfn.ANCHORARRAY(C209)+0.1</f>
        <v>0.6</v>
      </c>
      <c r="N209" cm="1">
        <f t="array" ref="N209">_xlfn.ANCHORARRAY(D209)+0.15</f>
        <v>1.65</v>
      </c>
      <c r="O209" cm="1">
        <f t="array" ref="O209">_xlfn.ANCHORARRAY(E209)+0.15</f>
        <v>3.15</v>
      </c>
      <c r="P209" cm="1">
        <f t="array" ref="P209">_xlfn.ANCHORARRAY(F209)+0.15</f>
        <v>3.65</v>
      </c>
      <c r="Q209" cm="1">
        <f t="array" ref="Q209">_xlfn.ANCHORARRAY(G209)+0.15</f>
        <v>2.9</v>
      </c>
      <c r="R209" cm="1">
        <f t="array" ref="R209">_xlfn.ANCHORARRAY(H209)</f>
        <v>9.99</v>
      </c>
      <c r="S209" cm="1">
        <f t="array" ref="S209">_xlfn.ANCHORARRAY(R209)+0.15</f>
        <v>10.14</v>
      </c>
      <c r="T209" cm="1">
        <f t="array" ref="T209">_xlfn.ANCHORARRAY(I209)+0.15</f>
        <v>1.65</v>
      </c>
      <c r="U209" cm="1">
        <f t="array" ref="U209">_xlfn.ANCHORARRAY(J209)+0.15</f>
        <v>3.15</v>
      </c>
      <c r="V209" cm="1">
        <f t="array" ref="V209">_xlfn.ANCHORARRAY(K209)+0.15</f>
        <v>3.65</v>
      </c>
      <c r="W209">
        <f>TBL_TEV[[#This Row],[Etica Rendita Bilanciata]]</f>
        <v>1.6214219999999999</v>
      </c>
      <c r="X209">
        <f>TBL_TEV[[#This Row],[Etica Obbligazionario Breve Termine]]</f>
        <v>0.28240700000000002</v>
      </c>
      <c r="Y209">
        <f>TBL_TEV[[#This Row],[Etica Obbligazionario Misto]]</f>
        <v>0.78674100000000002</v>
      </c>
      <c r="Z209">
        <f>TBL_TEV[[#This Row],[Etica Bilanciato]]</f>
        <v>2.1433759999999999</v>
      </c>
      <c r="AA209">
        <f>TBL_TEV[[#This Row],[Etica Azionario]]</f>
        <v>3.1561699999999999</v>
      </c>
      <c r="AB209">
        <f>TBL_TEV[[#This Row],[Etica Transizione Climatica]]</f>
        <v>2.4291170000000002</v>
      </c>
      <c r="AC209">
        <f>TBL_TEV[[#This Row],[Etica Obiettivo Sociale]]</f>
        <v>7.5157331104145619</v>
      </c>
      <c r="AD209">
        <f>TBL_TEV[[#This Row],[Etica Conservative Allocation]]</f>
        <v>0.72244900000000001</v>
      </c>
      <c r="AE209">
        <f>TBL_TEV[[#This Row],[Etica Dynamic Allocation]]</f>
        <v>2.0825770000000001</v>
      </c>
      <c r="AF209">
        <f>TBL_TEV[[#This Row],[Etica Global Equity]]</f>
        <v>2.9572620000000001</v>
      </c>
      <c r="AL209">
        <f ca="1"/>
        <v>1.626026</v>
      </c>
      <c r="AM209">
        <f ca="1"/>
        <v>0.28812199999999999</v>
      </c>
      <c r="AN209">
        <f ca="1"/>
        <v>0.78467699999999996</v>
      </c>
      <c r="AO209">
        <f ca="1"/>
        <v>2.1473450000000001</v>
      </c>
      <c r="AP209">
        <f ca="1"/>
        <v>3.1536300000000002</v>
      </c>
      <c r="AQ209">
        <f ca="1"/>
        <v>2.5062669999999998</v>
      </c>
      <c r="AR209">
        <f ca="1"/>
        <v>7.4729489969470579</v>
      </c>
      <c r="AS209">
        <f ca="1"/>
        <v>0.72244900000000001</v>
      </c>
      <c r="AT209">
        <f ca="1"/>
        <v>2.0825770000000001</v>
      </c>
      <c r="AU209">
        <f ca="1"/>
        <v>2.9572620000000001</v>
      </c>
    </row>
    <row r="210" spans="1:47">
      <c r="A210" s="43">
        <f>TBL_TEV[[#This Row],[Data2]]</f>
        <v>45586</v>
      </c>
      <c r="B210" cm="1">
        <f t="array" ref="B210">_xlfn.XLOOKUP(_xlfn.ANCHORARRAY(A210), TBL_Limiti_CDA[Data], TBL_Limiti_CDA[Etica Rendita Bilanciata], , -1)</f>
        <v>2.5</v>
      </c>
      <c r="C210" cm="1">
        <f t="array" ref="C210">_xlfn.XLOOKUP(_xlfn.ANCHORARRAY(A210), TBL_Limiti_CDA[Data], TBL_Limiti_CDA[Etica Obbligazionario Breve Termine], , -1)</f>
        <v>0.5</v>
      </c>
      <c r="D210" cm="1">
        <f t="array" ref="D210">_xlfn.XLOOKUP(_xlfn.ANCHORARRAY(A210), TBL_Limiti_CDA[Data], TBL_Limiti_CDA[Etica Obbligazionario Misto], , -1)</f>
        <v>1.5</v>
      </c>
      <c r="E210" cm="1">
        <f t="array" ref="E210">_xlfn.XLOOKUP(_xlfn.ANCHORARRAY(A210), TBL_Limiti_CDA[Data], TBL_Limiti_CDA[Etica Bilanciato], , -1)</f>
        <v>3</v>
      </c>
      <c r="F210" cm="1">
        <f t="array" ref="F210">_xlfn.XLOOKUP(_xlfn.ANCHORARRAY(A210), TBL_Limiti_CDA[Data], TBL_Limiti_CDA[Etica Azionario], , -1)</f>
        <v>3.5</v>
      </c>
      <c r="G210" cm="1">
        <f t="array" ref="G210">_xlfn.XLOOKUP(_xlfn.ANCHORARRAY(A210), TBL_Limiti_CDA[Data], TBL_Limiti_CDA[Etica Transizione Climatica], , -1)</f>
        <v>2.75</v>
      </c>
      <c r="H210" cm="1">
        <f t="array" ref="H210">_xlfn.XLOOKUP(_xlfn.ANCHORARRAY(A210), TBL_Limiti_CDA[Data], TBL_Limiti_CDA[Etica Obiettivo Sociale], , -1)</f>
        <v>9.99</v>
      </c>
      <c r="I210" cm="1">
        <f t="array" ref="I210">_xlfn.XLOOKUP(_xlfn.ANCHORARRAY(A210), TBL_Limiti_CDA[Data], TBL_Limiti_CDA[Etica Conservative Allocation], , -1)</f>
        <v>1.5</v>
      </c>
      <c r="J210" cm="1">
        <f t="array" ref="J210">_xlfn.XLOOKUP(_xlfn.ANCHORARRAY(A210), TBL_Limiti_CDA[Data], TBL_Limiti_CDA[Etica Dynamic Allocation], , -1)</f>
        <v>3</v>
      </c>
      <c r="K210" cm="1">
        <f t="array" ref="K210">_xlfn.XLOOKUP(_xlfn.ANCHORARRAY(A210), TBL_Limiti_CDA[Data], TBL_Limiti_CDA[Etica Global Equity], , -1)</f>
        <v>3.5</v>
      </c>
      <c r="L210" cm="1">
        <f t="array" ref="L210">_xlfn.ANCHORARRAY(B210)+0.15</f>
        <v>2.65</v>
      </c>
      <c r="M210" cm="1">
        <f t="array" ref="M210">_xlfn.ANCHORARRAY(C210)+0.1</f>
        <v>0.6</v>
      </c>
      <c r="N210" cm="1">
        <f t="array" ref="N210">_xlfn.ANCHORARRAY(D210)+0.15</f>
        <v>1.65</v>
      </c>
      <c r="O210" cm="1">
        <f t="array" ref="O210">_xlfn.ANCHORARRAY(E210)+0.15</f>
        <v>3.15</v>
      </c>
      <c r="P210" cm="1">
        <f t="array" ref="P210">_xlfn.ANCHORARRAY(F210)+0.15</f>
        <v>3.65</v>
      </c>
      <c r="Q210" cm="1">
        <f t="array" ref="Q210">_xlfn.ANCHORARRAY(G210)+0.15</f>
        <v>2.9</v>
      </c>
      <c r="R210" cm="1">
        <f t="array" ref="R210">_xlfn.ANCHORARRAY(H210)</f>
        <v>9.99</v>
      </c>
      <c r="S210" cm="1">
        <f t="array" ref="S210">_xlfn.ANCHORARRAY(R210)+0.15</f>
        <v>10.14</v>
      </c>
      <c r="T210" cm="1">
        <f t="array" ref="T210">_xlfn.ANCHORARRAY(I210)+0.15</f>
        <v>1.65</v>
      </c>
      <c r="U210" cm="1">
        <f t="array" ref="U210">_xlfn.ANCHORARRAY(J210)+0.15</f>
        <v>3.15</v>
      </c>
      <c r="V210" cm="1">
        <f t="array" ref="V210">_xlfn.ANCHORARRAY(K210)+0.15</f>
        <v>3.65</v>
      </c>
      <c r="W210">
        <f>TBL_TEV[[#This Row],[Etica Rendita Bilanciata]]</f>
        <v>1.626026</v>
      </c>
      <c r="X210">
        <f>TBL_TEV[[#This Row],[Etica Obbligazionario Breve Termine]]</f>
        <v>0.28812199999999999</v>
      </c>
      <c r="Y210">
        <f>TBL_TEV[[#This Row],[Etica Obbligazionario Misto]]</f>
        <v>0.78467699999999996</v>
      </c>
      <c r="Z210">
        <f>TBL_TEV[[#This Row],[Etica Bilanciato]]</f>
        <v>2.1473450000000001</v>
      </c>
      <c r="AA210">
        <f>TBL_TEV[[#This Row],[Etica Azionario]]</f>
        <v>3.1536300000000002</v>
      </c>
      <c r="AB210">
        <f>TBL_TEV[[#This Row],[Etica Transizione Climatica]]</f>
        <v>2.5062669999999998</v>
      </c>
      <c r="AC210">
        <f>TBL_TEV[[#This Row],[Etica Obiettivo Sociale]]</f>
        <v>7.4729489969470579</v>
      </c>
      <c r="AD210">
        <f>TBL_TEV[[#This Row],[Etica Conservative Allocation]]</f>
        <v>0.72244900000000001</v>
      </c>
      <c r="AE210">
        <f>TBL_TEV[[#This Row],[Etica Dynamic Allocation]]</f>
        <v>2.0825770000000001</v>
      </c>
      <c r="AF210">
        <f>TBL_TEV[[#This Row],[Etica Global Equity]]</f>
        <v>2.9572620000000001</v>
      </c>
      <c r="AL210">
        <f ca="1"/>
        <v>1.549193</v>
      </c>
      <c r="AM210">
        <f ca="1"/>
        <v>0.28701100000000002</v>
      </c>
      <c r="AN210">
        <f ca="1"/>
        <v>0.76753199999999999</v>
      </c>
      <c r="AO210">
        <f ca="1"/>
        <v>2.041779</v>
      </c>
      <c r="AP210">
        <f ca="1"/>
        <v>3.0172680000000001</v>
      </c>
      <c r="AQ210">
        <f ca="1"/>
        <v>2.5103949999999999</v>
      </c>
      <c r="AR210">
        <f ca="1"/>
        <v>7.5603074252607287</v>
      </c>
      <c r="AS210">
        <f ca="1"/>
        <v>0.72244900000000001</v>
      </c>
      <c r="AT210">
        <f ca="1"/>
        <v>2.0825770000000001</v>
      </c>
      <c r="AU210">
        <f ca="1"/>
        <v>2.9572620000000001</v>
      </c>
    </row>
    <row r="211" spans="1:47">
      <c r="A211" s="43">
        <f>TBL_TEV[[#This Row],[Data2]]</f>
        <v>45587</v>
      </c>
      <c r="B211" cm="1">
        <f t="array" ref="B211">_xlfn.XLOOKUP(_xlfn.ANCHORARRAY(A211), TBL_Limiti_CDA[Data], TBL_Limiti_CDA[Etica Rendita Bilanciata], , -1)</f>
        <v>2.5</v>
      </c>
      <c r="C211" cm="1">
        <f t="array" ref="C211">_xlfn.XLOOKUP(_xlfn.ANCHORARRAY(A211), TBL_Limiti_CDA[Data], TBL_Limiti_CDA[Etica Obbligazionario Breve Termine], , -1)</f>
        <v>0.5</v>
      </c>
      <c r="D211" cm="1">
        <f t="array" ref="D211">_xlfn.XLOOKUP(_xlfn.ANCHORARRAY(A211), TBL_Limiti_CDA[Data], TBL_Limiti_CDA[Etica Obbligazionario Misto], , -1)</f>
        <v>1.5</v>
      </c>
      <c r="E211" cm="1">
        <f t="array" ref="E211">_xlfn.XLOOKUP(_xlfn.ANCHORARRAY(A211), TBL_Limiti_CDA[Data], TBL_Limiti_CDA[Etica Bilanciato], , -1)</f>
        <v>3</v>
      </c>
      <c r="F211" cm="1">
        <f t="array" ref="F211">_xlfn.XLOOKUP(_xlfn.ANCHORARRAY(A211), TBL_Limiti_CDA[Data], TBL_Limiti_CDA[Etica Azionario], , -1)</f>
        <v>3.5</v>
      </c>
      <c r="G211" cm="1">
        <f t="array" ref="G211">_xlfn.XLOOKUP(_xlfn.ANCHORARRAY(A211), TBL_Limiti_CDA[Data], TBL_Limiti_CDA[Etica Transizione Climatica], , -1)</f>
        <v>2.75</v>
      </c>
      <c r="H211" cm="1">
        <f t="array" ref="H211">_xlfn.XLOOKUP(_xlfn.ANCHORARRAY(A211), TBL_Limiti_CDA[Data], TBL_Limiti_CDA[Etica Obiettivo Sociale], , -1)</f>
        <v>9.99</v>
      </c>
      <c r="I211" cm="1">
        <f t="array" ref="I211">_xlfn.XLOOKUP(_xlfn.ANCHORARRAY(A211), TBL_Limiti_CDA[Data], TBL_Limiti_CDA[Etica Conservative Allocation], , -1)</f>
        <v>1.5</v>
      </c>
      <c r="J211" cm="1">
        <f t="array" ref="J211">_xlfn.XLOOKUP(_xlfn.ANCHORARRAY(A211), TBL_Limiti_CDA[Data], TBL_Limiti_CDA[Etica Dynamic Allocation], , -1)</f>
        <v>3</v>
      </c>
      <c r="K211" cm="1">
        <f t="array" ref="K211">_xlfn.XLOOKUP(_xlfn.ANCHORARRAY(A211), TBL_Limiti_CDA[Data], TBL_Limiti_CDA[Etica Global Equity], , -1)</f>
        <v>3.5</v>
      </c>
      <c r="L211" cm="1">
        <f t="array" ref="L211">_xlfn.ANCHORARRAY(B211)+0.15</f>
        <v>2.65</v>
      </c>
      <c r="M211" cm="1">
        <f t="array" ref="M211">_xlfn.ANCHORARRAY(C211)+0.1</f>
        <v>0.6</v>
      </c>
      <c r="N211" cm="1">
        <f t="array" ref="N211">_xlfn.ANCHORARRAY(D211)+0.15</f>
        <v>1.65</v>
      </c>
      <c r="O211" cm="1">
        <f t="array" ref="O211">_xlfn.ANCHORARRAY(E211)+0.15</f>
        <v>3.15</v>
      </c>
      <c r="P211" cm="1">
        <f t="array" ref="P211">_xlfn.ANCHORARRAY(F211)+0.15</f>
        <v>3.65</v>
      </c>
      <c r="Q211" cm="1">
        <f t="array" ref="Q211">_xlfn.ANCHORARRAY(G211)+0.15</f>
        <v>2.9</v>
      </c>
      <c r="R211" cm="1">
        <f t="array" ref="R211">_xlfn.ANCHORARRAY(H211)</f>
        <v>9.99</v>
      </c>
      <c r="S211" cm="1">
        <f t="array" ref="S211">_xlfn.ANCHORARRAY(R211)+0.15</f>
        <v>10.14</v>
      </c>
      <c r="T211" cm="1">
        <f t="array" ref="T211">_xlfn.ANCHORARRAY(I211)+0.15</f>
        <v>1.65</v>
      </c>
      <c r="U211" cm="1">
        <f t="array" ref="U211">_xlfn.ANCHORARRAY(J211)+0.15</f>
        <v>3.15</v>
      </c>
      <c r="V211" cm="1">
        <f t="array" ref="V211">_xlfn.ANCHORARRAY(K211)+0.15</f>
        <v>3.65</v>
      </c>
      <c r="W211">
        <f>TBL_TEV[[#This Row],[Etica Rendita Bilanciata]]</f>
        <v>1.549193</v>
      </c>
      <c r="X211">
        <f>TBL_TEV[[#This Row],[Etica Obbligazionario Breve Termine]]</f>
        <v>0.28701100000000002</v>
      </c>
      <c r="Y211">
        <f>TBL_TEV[[#This Row],[Etica Obbligazionario Misto]]</f>
        <v>0.76753199999999999</v>
      </c>
      <c r="Z211">
        <f>TBL_TEV[[#This Row],[Etica Bilanciato]]</f>
        <v>2.041779</v>
      </c>
      <c r="AA211">
        <f>TBL_TEV[[#This Row],[Etica Azionario]]</f>
        <v>3.0172680000000001</v>
      </c>
      <c r="AB211">
        <f>TBL_TEV[[#This Row],[Etica Transizione Climatica]]</f>
        <v>2.5103949999999999</v>
      </c>
      <c r="AC211">
        <f>TBL_TEV[[#This Row],[Etica Obiettivo Sociale]]</f>
        <v>7.5603074252607287</v>
      </c>
      <c r="AD211">
        <f>TBL_TEV[[#This Row],[Etica Conservative Allocation]]</f>
        <v>0.72244900000000001</v>
      </c>
      <c r="AE211">
        <f>TBL_TEV[[#This Row],[Etica Dynamic Allocation]]</f>
        <v>2.0825770000000001</v>
      </c>
      <c r="AF211">
        <f>TBL_TEV[[#This Row],[Etica Global Equity]]</f>
        <v>2.9572620000000001</v>
      </c>
      <c r="AL211">
        <f ca="1"/>
        <v>1.52935</v>
      </c>
      <c r="AM211">
        <f ca="1"/>
        <v>0.28653499999999998</v>
      </c>
      <c r="AN211">
        <f ca="1"/>
        <v>0.76642100000000002</v>
      </c>
      <c r="AO211">
        <f ca="1"/>
        <v>2.0135230000000002</v>
      </c>
      <c r="AP211">
        <f ca="1"/>
        <v>2.9832960000000002</v>
      </c>
      <c r="AQ211">
        <f ca="1"/>
        <v>2.4716610000000001</v>
      </c>
      <c r="AR211">
        <f ca="1"/>
        <v>7.3996720305470642</v>
      </c>
      <c r="AS211">
        <f ca="1"/>
        <v>0.72244900000000001</v>
      </c>
      <c r="AT211">
        <f ca="1"/>
        <v>2.0825770000000001</v>
      </c>
      <c r="AU211">
        <f ca="1"/>
        <v>2.9572620000000001</v>
      </c>
    </row>
    <row r="212" spans="1:47">
      <c r="A212" s="43">
        <f>TBL_TEV[[#This Row],[Data2]]</f>
        <v>45588</v>
      </c>
      <c r="B212" cm="1">
        <f t="array" ref="B212">_xlfn.XLOOKUP(_xlfn.ANCHORARRAY(A212), TBL_Limiti_CDA[Data], TBL_Limiti_CDA[Etica Rendita Bilanciata], , -1)</f>
        <v>2.5</v>
      </c>
      <c r="C212" cm="1">
        <f t="array" ref="C212">_xlfn.XLOOKUP(_xlfn.ANCHORARRAY(A212), TBL_Limiti_CDA[Data], TBL_Limiti_CDA[Etica Obbligazionario Breve Termine], , -1)</f>
        <v>0.5</v>
      </c>
      <c r="D212" cm="1">
        <f t="array" ref="D212">_xlfn.XLOOKUP(_xlfn.ANCHORARRAY(A212), TBL_Limiti_CDA[Data], TBL_Limiti_CDA[Etica Obbligazionario Misto], , -1)</f>
        <v>1.5</v>
      </c>
      <c r="E212" cm="1">
        <f t="array" ref="E212">_xlfn.XLOOKUP(_xlfn.ANCHORARRAY(A212), TBL_Limiti_CDA[Data], TBL_Limiti_CDA[Etica Bilanciato], , -1)</f>
        <v>3</v>
      </c>
      <c r="F212" cm="1">
        <f t="array" ref="F212">_xlfn.XLOOKUP(_xlfn.ANCHORARRAY(A212), TBL_Limiti_CDA[Data], TBL_Limiti_CDA[Etica Azionario], , -1)</f>
        <v>3.5</v>
      </c>
      <c r="G212" cm="1">
        <f t="array" ref="G212">_xlfn.XLOOKUP(_xlfn.ANCHORARRAY(A212), TBL_Limiti_CDA[Data], TBL_Limiti_CDA[Etica Transizione Climatica], , -1)</f>
        <v>2.75</v>
      </c>
      <c r="H212" cm="1">
        <f t="array" ref="H212">_xlfn.XLOOKUP(_xlfn.ANCHORARRAY(A212), TBL_Limiti_CDA[Data], TBL_Limiti_CDA[Etica Obiettivo Sociale], , -1)</f>
        <v>9.99</v>
      </c>
      <c r="I212" cm="1">
        <f t="array" ref="I212">_xlfn.XLOOKUP(_xlfn.ANCHORARRAY(A212), TBL_Limiti_CDA[Data], TBL_Limiti_CDA[Etica Conservative Allocation], , -1)</f>
        <v>1.5</v>
      </c>
      <c r="J212" cm="1">
        <f t="array" ref="J212">_xlfn.XLOOKUP(_xlfn.ANCHORARRAY(A212), TBL_Limiti_CDA[Data], TBL_Limiti_CDA[Etica Dynamic Allocation], , -1)</f>
        <v>3</v>
      </c>
      <c r="K212" cm="1">
        <f t="array" ref="K212">_xlfn.XLOOKUP(_xlfn.ANCHORARRAY(A212), TBL_Limiti_CDA[Data], TBL_Limiti_CDA[Etica Global Equity], , -1)</f>
        <v>3.5</v>
      </c>
      <c r="L212" cm="1">
        <f t="array" ref="L212">_xlfn.ANCHORARRAY(B212)+0.15</f>
        <v>2.65</v>
      </c>
      <c r="M212" cm="1">
        <f t="array" ref="M212">_xlfn.ANCHORARRAY(C212)+0.1</f>
        <v>0.6</v>
      </c>
      <c r="N212" cm="1">
        <f t="array" ref="N212">_xlfn.ANCHORARRAY(D212)+0.15</f>
        <v>1.65</v>
      </c>
      <c r="O212" cm="1">
        <f t="array" ref="O212">_xlfn.ANCHORARRAY(E212)+0.15</f>
        <v>3.15</v>
      </c>
      <c r="P212" cm="1">
        <f t="array" ref="P212">_xlfn.ANCHORARRAY(F212)+0.15</f>
        <v>3.65</v>
      </c>
      <c r="Q212" cm="1">
        <f t="array" ref="Q212">_xlfn.ANCHORARRAY(G212)+0.15</f>
        <v>2.9</v>
      </c>
      <c r="R212" cm="1">
        <f t="array" ref="R212">_xlfn.ANCHORARRAY(H212)</f>
        <v>9.99</v>
      </c>
      <c r="S212" cm="1">
        <f t="array" ref="S212">_xlfn.ANCHORARRAY(R212)+0.15</f>
        <v>10.14</v>
      </c>
      <c r="T212" cm="1">
        <f t="array" ref="T212">_xlfn.ANCHORARRAY(I212)+0.15</f>
        <v>1.65</v>
      </c>
      <c r="U212" cm="1">
        <f t="array" ref="U212">_xlfn.ANCHORARRAY(J212)+0.15</f>
        <v>3.15</v>
      </c>
      <c r="V212" cm="1">
        <f t="array" ref="V212">_xlfn.ANCHORARRAY(K212)+0.15</f>
        <v>3.65</v>
      </c>
      <c r="W212">
        <f>TBL_TEV[[#This Row],[Etica Rendita Bilanciata]]</f>
        <v>1.52935</v>
      </c>
      <c r="X212">
        <f>TBL_TEV[[#This Row],[Etica Obbligazionario Breve Termine]]</f>
        <v>0.28653499999999998</v>
      </c>
      <c r="Y212">
        <f>TBL_TEV[[#This Row],[Etica Obbligazionario Misto]]</f>
        <v>0.76642100000000002</v>
      </c>
      <c r="Z212">
        <f>TBL_TEV[[#This Row],[Etica Bilanciato]]</f>
        <v>2.0135230000000002</v>
      </c>
      <c r="AA212">
        <f>TBL_TEV[[#This Row],[Etica Azionario]]</f>
        <v>2.9832960000000002</v>
      </c>
      <c r="AB212">
        <f>TBL_TEV[[#This Row],[Etica Transizione Climatica]]</f>
        <v>2.4716610000000001</v>
      </c>
      <c r="AC212">
        <f>TBL_TEV[[#This Row],[Etica Obiettivo Sociale]]</f>
        <v>7.3996720305470642</v>
      </c>
      <c r="AD212">
        <f>TBL_TEV[[#This Row],[Etica Conservative Allocation]]</f>
        <v>0.72244900000000001</v>
      </c>
      <c r="AE212">
        <f>TBL_TEV[[#This Row],[Etica Dynamic Allocation]]</f>
        <v>2.0825770000000001</v>
      </c>
      <c r="AF212">
        <f>TBL_TEV[[#This Row],[Etica Global Equity]]</f>
        <v>2.9572620000000001</v>
      </c>
      <c r="AL212">
        <f ca="1"/>
        <v>1.5272859999999999</v>
      </c>
      <c r="AM212">
        <f ca="1"/>
        <v>0.28828100000000001</v>
      </c>
      <c r="AN212">
        <f ca="1"/>
        <v>0.76292899999999997</v>
      </c>
      <c r="AO212">
        <f ca="1"/>
        <v>2.009395</v>
      </c>
      <c r="AP212">
        <f ca="1"/>
        <v>2.9923449999999998</v>
      </c>
      <c r="AQ212">
        <f ca="1"/>
        <v>2.4753120000000002</v>
      </c>
      <c r="AR212">
        <f ca="1"/>
        <v>7.2667092049025355</v>
      </c>
      <c r="AS212">
        <f ca="1"/>
        <v>0.72244900000000001</v>
      </c>
      <c r="AT212">
        <f ca="1"/>
        <v>2.0825770000000001</v>
      </c>
      <c r="AU212">
        <f ca="1"/>
        <v>2.9572620000000001</v>
      </c>
    </row>
    <row r="213" spans="1:47">
      <c r="A213" s="43">
        <f>TBL_TEV[[#This Row],[Data2]]</f>
        <v>45589</v>
      </c>
      <c r="B213" cm="1">
        <f t="array" ref="B213">_xlfn.XLOOKUP(_xlfn.ANCHORARRAY(A213), TBL_Limiti_CDA[Data], TBL_Limiti_CDA[Etica Rendita Bilanciata], , -1)</f>
        <v>2.5</v>
      </c>
      <c r="C213" cm="1">
        <f t="array" ref="C213">_xlfn.XLOOKUP(_xlfn.ANCHORARRAY(A213), TBL_Limiti_CDA[Data], TBL_Limiti_CDA[Etica Obbligazionario Breve Termine], , -1)</f>
        <v>0.5</v>
      </c>
      <c r="D213" cm="1">
        <f t="array" ref="D213">_xlfn.XLOOKUP(_xlfn.ANCHORARRAY(A213), TBL_Limiti_CDA[Data], TBL_Limiti_CDA[Etica Obbligazionario Misto], , -1)</f>
        <v>1.5</v>
      </c>
      <c r="E213" cm="1">
        <f t="array" ref="E213">_xlfn.XLOOKUP(_xlfn.ANCHORARRAY(A213), TBL_Limiti_CDA[Data], TBL_Limiti_CDA[Etica Bilanciato], , -1)</f>
        <v>3</v>
      </c>
      <c r="F213" cm="1">
        <f t="array" ref="F213">_xlfn.XLOOKUP(_xlfn.ANCHORARRAY(A213), TBL_Limiti_CDA[Data], TBL_Limiti_CDA[Etica Azionario], , -1)</f>
        <v>3.5</v>
      </c>
      <c r="G213" cm="1">
        <f t="array" ref="G213">_xlfn.XLOOKUP(_xlfn.ANCHORARRAY(A213), TBL_Limiti_CDA[Data], TBL_Limiti_CDA[Etica Transizione Climatica], , -1)</f>
        <v>2.75</v>
      </c>
      <c r="H213" cm="1">
        <f t="array" ref="H213">_xlfn.XLOOKUP(_xlfn.ANCHORARRAY(A213), TBL_Limiti_CDA[Data], TBL_Limiti_CDA[Etica Obiettivo Sociale], , -1)</f>
        <v>9.99</v>
      </c>
      <c r="I213" cm="1">
        <f t="array" ref="I213">_xlfn.XLOOKUP(_xlfn.ANCHORARRAY(A213), TBL_Limiti_CDA[Data], TBL_Limiti_CDA[Etica Conservative Allocation], , -1)</f>
        <v>1.5</v>
      </c>
      <c r="J213" cm="1">
        <f t="array" ref="J213">_xlfn.XLOOKUP(_xlfn.ANCHORARRAY(A213), TBL_Limiti_CDA[Data], TBL_Limiti_CDA[Etica Dynamic Allocation], , -1)</f>
        <v>3</v>
      </c>
      <c r="K213" cm="1">
        <f t="array" ref="K213">_xlfn.XLOOKUP(_xlfn.ANCHORARRAY(A213), TBL_Limiti_CDA[Data], TBL_Limiti_CDA[Etica Global Equity], , -1)</f>
        <v>3.5</v>
      </c>
      <c r="L213" cm="1">
        <f t="array" ref="L213">_xlfn.ANCHORARRAY(B213)+0.15</f>
        <v>2.65</v>
      </c>
      <c r="M213" cm="1">
        <f t="array" ref="M213">_xlfn.ANCHORARRAY(C213)+0.1</f>
        <v>0.6</v>
      </c>
      <c r="N213" cm="1">
        <f t="array" ref="N213">_xlfn.ANCHORARRAY(D213)+0.15</f>
        <v>1.65</v>
      </c>
      <c r="O213" cm="1">
        <f t="array" ref="O213">_xlfn.ANCHORARRAY(E213)+0.15</f>
        <v>3.15</v>
      </c>
      <c r="P213" cm="1">
        <f t="array" ref="P213">_xlfn.ANCHORARRAY(F213)+0.15</f>
        <v>3.65</v>
      </c>
      <c r="Q213" cm="1">
        <f t="array" ref="Q213">_xlfn.ANCHORARRAY(G213)+0.15</f>
        <v>2.9</v>
      </c>
      <c r="R213" cm="1">
        <f t="array" ref="R213">_xlfn.ANCHORARRAY(H213)</f>
        <v>9.99</v>
      </c>
      <c r="S213" cm="1">
        <f t="array" ref="S213">_xlfn.ANCHORARRAY(R213)+0.15</f>
        <v>10.14</v>
      </c>
      <c r="T213" cm="1">
        <f t="array" ref="T213">_xlfn.ANCHORARRAY(I213)+0.15</f>
        <v>1.65</v>
      </c>
      <c r="U213" cm="1">
        <f t="array" ref="U213">_xlfn.ANCHORARRAY(J213)+0.15</f>
        <v>3.15</v>
      </c>
      <c r="V213" cm="1">
        <f t="array" ref="V213">_xlfn.ANCHORARRAY(K213)+0.15</f>
        <v>3.65</v>
      </c>
      <c r="W213">
        <f>TBL_TEV[[#This Row],[Etica Rendita Bilanciata]]</f>
        <v>1.5272859999999999</v>
      </c>
      <c r="X213">
        <f>TBL_TEV[[#This Row],[Etica Obbligazionario Breve Termine]]</f>
        <v>0.28828100000000001</v>
      </c>
      <c r="Y213">
        <f>TBL_TEV[[#This Row],[Etica Obbligazionario Misto]]</f>
        <v>0.76292899999999997</v>
      </c>
      <c r="Z213">
        <f>TBL_TEV[[#This Row],[Etica Bilanciato]]</f>
        <v>2.009395</v>
      </c>
      <c r="AA213">
        <f>TBL_TEV[[#This Row],[Etica Azionario]]</f>
        <v>2.9923449999999998</v>
      </c>
      <c r="AB213">
        <f>TBL_TEV[[#This Row],[Etica Transizione Climatica]]</f>
        <v>2.4753120000000002</v>
      </c>
      <c r="AC213">
        <f>TBL_TEV[[#This Row],[Etica Obiettivo Sociale]]</f>
        <v>7.2667092049025355</v>
      </c>
      <c r="AD213">
        <f>TBL_TEV[[#This Row],[Etica Conservative Allocation]]</f>
        <v>0.72244900000000001</v>
      </c>
      <c r="AE213">
        <f>TBL_TEV[[#This Row],[Etica Dynamic Allocation]]</f>
        <v>2.0825770000000001</v>
      </c>
      <c r="AF213">
        <f>TBL_TEV[[#This Row],[Etica Global Equity]]</f>
        <v>2.9572620000000001</v>
      </c>
      <c r="AL213">
        <f ca="1"/>
        <v>1.524905</v>
      </c>
      <c r="AM213">
        <f ca="1"/>
        <v>0.28748699999999999</v>
      </c>
      <c r="AN213">
        <f ca="1"/>
        <v>0.761818</v>
      </c>
      <c r="AO213">
        <f ca="1"/>
        <v>2.0081250000000002</v>
      </c>
      <c r="AP213">
        <f ca="1"/>
        <v>2.9966309999999998</v>
      </c>
      <c r="AQ213">
        <f ca="1"/>
        <v>2.4921389999999999</v>
      </c>
      <c r="AR213">
        <f ca="1"/>
        <v>7.3458986907870356</v>
      </c>
      <c r="AS213">
        <f ca="1"/>
        <v>0.72244900000000001</v>
      </c>
      <c r="AT213">
        <f ca="1"/>
        <v>2.0825770000000001</v>
      </c>
      <c r="AU213">
        <f ca="1"/>
        <v>2.9572620000000001</v>
      </c>
    </row>
    <row r="214" spans="1:47">
      <c r="A214" s="43">
        <f>TBL_TEV[[#This Row],[Data2]]</f>
        <v>45590</v>
      </c>
      <c r="B214" cm="1">
        <f t="array" ref="B214">_xlfn.XLOOKUP(_xlfn.ANCHORARRAY(A214), TBL_Limiti_CDA[Data], TBL_Limiti_CDA[Etica Rendita Bilanciata], , -1)</f>
        <v>2.5</v>
      </c>
      <c r="C214" cm="1">
        <f t="array" ref="C214">_xlfn.XLOOKUP(_xlfn.ANCHORARRAY(A214), TBL_Limiti_CDA[Data], TBL_Limiti_CDA[Etica Obbligazionario Breve Termine], , -1)</f>
        <v>0.5</v>
      </c>
      <c r="D214" cm="1">
        <f t="array" ref="D214">_xlfn.XLOOKUP(_xlfn.ANCHORARRAY(A214), TBL_Limiti_CDA[Data], TBL_Limiti_CDA[Etica Obbligazionario Misto], , -1)</f>
        <v>1.5</v>
      </c>
      <c r="E214" cm="1">
        <f t="array" ref="E214">_xlfn.XLOOKUP(_xlfn.ANCHORARRAY(A214), TBL_Limiti_CDA[Data], TBL_Limiti_CDA[Etica Bilanciato], , -1)</f>
        <v>3</v>
      </c>
      <c r="F214" cm="1">
        <f t="array" ref="F214">_xlfn.XLOOKUP(_xlfn.ANCHORARRAY(A214), TBL_Limiti_CDA[Data], TBL_Limiti_CDA[Etica Azionario], , -1)</f>
        <v>3.5</v>
      </c>
      <c r="G214" cm="1">
        <f t="array" ref="G214">_xlfn.XLOOKUP(_xlfn.ANCHORARRAY(A214), TBL_Limiti_CDA[Data], TBL_Limiti_CDA[Etica Transizione Climatica], , -1)</f>
        <v>2.75</v>
      </c>
      <c r="H214" cm="1">
        <f t="array" ref="H214">_xlfn.XLOOKUP(_xlfn.ANCHORARRAY(A214), TBL_Limiti_CDA[Data], TBL_Limiti_CDA[Etica Obiettivo Sociale], , -1)</f>
        <v>9.99</v>
      </c>
      <c r="I214" cm="1">
        <f t="array" ref="I214">_xlfn.XLOOKUP(_xlfn.ANCHORARRAY(A214), TBL_Limiti_CDA[Data], TBL_Limiti_CDA[Etica Conservative Allocation], , -1)</f>
        <v>1.5</v>
      </c>
      <c r="J214" cm="1">
        <f t="array" ref="J214">_xlfn.XLOOKUP(_xlfn.ANCHORARRAY(A214), TBL_Limiti_CDA[Data], TBL_Limiti_CDA[Etica Dynamic Allocation], , -1)</f>
        <v>3</v>
      </c>
      <c r="K214" cm="1">
        <f t="array" ref="K214">_xlfn.XLOOKUP(_xlfn.ANCHORARRAY(A214), TBL_Limiti_CDA[Data], TBL_Limiti_CDA[Etica Global Equity], , -1)</f>
        <v>3.5</v>
      </c>
      <c r="L214" cm="1">
        <f t="array" ref="L214">_xlfn.ANCHORARRAY(B214)+0.15</f>
        <v>2.65</v>
      </c>
      <c r="M214" cm="1">
        <f t="array" ref="M214">_xlfn.ANCHORARRAY(C214)+0.1</f>
        <v>0.6</v>
      </c>
      <c r="N214" cm="1">
        <f t="array" ref="N214">_xlfn.ANCHORARRAY(D214)+0.15</f>
        <v>1.65</v>
      </c>
      <c r="O214" cm="1">
        <f t="array" ref="O214">_xlfn.ANCHORARRAY(E214)+0.15</f>
        <v>3.15</v>
      </c>
      <c r="P214" cm="1">
        <f t="array" ref="P214">_xlfn.ANCHORARRAY(F214)+0.15</f>
        <v>3.65</v>
      </c>
      <c r="Q214" cm="1">
        <f t="array" ref="Q214">_xlfn.ANCHORARRAY(G214)+0.15</f>
        <v>2.9</v>
      </c>
      <c r="R214" cm="1">
        <f t="array" ref="R214">_xlfn.ANCHORARRAY(H214)</f>
        <v>9.99</v>
      </c>
      <c r="S214" cm="1">
        <f t="array" ref="S214">_xlfn.ANCHORARRAY(R214)+0.15</f>
        <v>10.14</v>
      </c>
      <c r="T214" cm="1">
        <f t="array" ref="T214">_xlfn.ANCHORARRAY(I214)+0.15</f>
        <v>1.65</v>
      </c>
      <c r="U214" cm="1">
        <f t="array" ref="U214">_xlfn.ANCHORARRAY(J214)+0.15</f>
        <v>3.15</v>
      </c>
      <c r="V214" cm="1">
        <f t="array" ref="V214">_xlfn.ANCHORARRAY(K214)+0.15</f>
        <v>3.65</v>
      </c>
      <c r="W214">
        <f>TBL_TEV[[#This Row],[Etica Rendita Bilanciata]]</f>
        <v>1.524905</v>
      </c>
      <c r="X214">
        <f>TBL_TEV[[#This Row],[Etica Obbligazionario Breve Termine]]</f>
        <v>0.28748699999999999</v>
      </c>
      <c r="Y214">
        <f>TBL_TEV[[#This Row],[Etica Obbligazionario Misto]]</f>
        <v>0.761818</v>
      </c>
      <c r="Z214">
        <f>TBL_TEV[[#This Row],[Etica Bilanciato]]</f>
        <v>2.0081250000000002</v>
      </c>
      <c r="AA214">
        <f>TBL_TEV[[#This Row],[Etica Azionario]]</f>
        <v>2.9966309999999998</v>
      </c>
      <c r="AB214">
        <f>TBL_TEV[[#This Row],[Etica Transizione Climatica]]</f>
        <v>2.4921389999999999</v>
      </c>
      <c r="AC214">
        <f>TBL_TEV[[#This Row],[Etica Obiettivo Sociale]]</f>
        <v>7.3458986907870356</v>
      </c>
      <c r="AD214">
        <f>TBL_TEV[[#This Row],[Etica Conservative Allocation]]</f>
        <v>0.72244900000000001</v>
      </c>
      <c r="AE214">
        <f>TBL_TEV[[#This Row],[Etica Dynamic Allocation]]</f>
        <v>2.0825770000000001</v>
      </c>
      <c r="AF214">
        <f>TBL_TEV[[#This Row],[Etica Global Equity]]</f>
        <v>2.9572620000000001</v>
      </c>
      <c r="AL214">
        <f ca="1"/>
        <v>1.522524</v>
      </c>
      <c r="AM214">
        <f ca="1"/>
        <v>0.286694</v>
      </c>
      <c r="AN214">
        <f ca="1"/>
        <v>0.76213500000000001</v>
      </c>
      <c r="AO214">
        <f ca="1"/>
        <v>2.0020929999999999</v>
      </c>
      <c r="AP214">
        <f ca="1"/>
        <v>2.9871059999999998</v>
      </c>
      <c r="AQ214">
        <f ca="1"/>
        <v>2.4724550000000001</v>
      </c>
      <c r="AR214">
        <f ca="1"/>
        <v>7.4330167413059387</v>
      </c>
      <c r="AS214">
        <f ca="1"/>
        <v>0.72244900000000001</v>
      </c>
      <c r="AT214">
        <f ca="1"/>
        <v>2.0825770000000001</v>
      </c>
      <c r="AU214">
        <f ca="1"/>
        <v>2.9572620000000001</v>
      </c>
    </row>
    <row r="215" spans="1:47">
      <c r="A215" s="43">
        <f>TBL_TEV[[#This Row],[Data2]]</f>
        <v>45593</v>
      </c>
      <c r="B215" cm="1">
        <f t="array" ref="B215">_xlfn.XLOOKUP(_xlfn.ANCHORARRAY(A215), TBL_Limiti_CDA[Data], TBL_Limiti_CDA[Etica Rendita Bilanciata], , -1)</f>
        <v>2.5</v>
      </c>
      <c r="C215" cm="1">
        <f t="array" ref="C215">_xlfn.XLOOKUP(_xlfn.ANCHORARRAY(A215), TBL_Limiti_CDA[Data], TBL_Limiti_CDA[Etica Obbligazionario Breve Termine], , -1)</f>
        <v>0.5</v>
      </c>
      <c r="D215" cm="1">
        <f t="array" ref="D215">_xlfn.XLOOKUP(_xlfn.ANCHORARRAY(A215), TBL_Limiti_CDA[Data], TBL_Limiti_CDA[Etica Obbligazionario Misto], , -1)</f>
        <v>1.5</v>
      </c>
      <c r="E215" cm="1">
        <f t="array" ref="E215">_xlfn.XLOOKUP(_xlfn.ANCHORARRAY(A215), TBL_Limiti_CDA[Data], TBL_Limiti_CDA[Etica Bilanciato], , -1)</f>
        <v>3</v>
      </c>
      <c r="F215" cm="1">
        <f t="array" ref="F215">_xlfn.XLOOKUP(_xlfn.ANCHORARRAY(A215), TBL_Limiti_CDA[Data], TBL_Limiti_CDA[Etica Azionario], , -1)</f>
        <v>3.5</v>
      </c>
      <c r="G215" cm="1">
        <f t="array" ref="G215">_xlfn.XLOOKUP(_xlfn.ANCHORARRAY(A215), TBL_Limiti_CDA[Data], TBL_Limiti_CDA[Etica Transizione Climatica], , -1)</f>
        <v>2.75</v>
      </c>
      <c r="H215" cm="1">
        <f t="array" ref="H215">_xlfn.XLOOKUP(_xlfn.ANCHORARRAY(A215), TBL_Limiti_CDA[Data], TBL_Limiti_CDA[Etica Obiettivo Sociale], , -1)</f>
        <v>9.99</v>
      </c>
      <c r="I215" cm="1">
        <f t="array" ref="I215">_xlfn.XLOOKUP(_xlfn.ANCHORARRAY(A215), TBL_Limiti_CDA[Data], TBL_Limiti_CDA[Etica Conservative Allocation], , -1)</f>
        <v>1.5</v>
      </c>
      <c r="J215" cm="1">
        <f t="array" ref="J215">_xlfn.XLOOKUP(_xlfn.ANCHORARRAY(A215), TBL_Limiti_CDA[Data], TBL_Limiti_CDA[Etica Dynamic Allocation], , -1)</f>
        <v>3</v>
      </c>
      <c r="K215" cm="1">
        <f t="array" ref="K215">_xlfn.XLOOKUP(_xlfn.ANCHORARRAY(A215), TBL_Limiti_CDA[Data], TBL_Limiti_CDA[Etica Global Equity], , -1)</f>
        <v>3.5</v>
      </c>
      <c r="L215" cm="1">
        <f t="array" ref="L215">_xlfn.ANCHORARRAY(B215)+0.15</f>
        <v>2.65</v>
      </c>
      <c r="M215" cm="1">
        <f t="array" ref="M215">_xlfn.ANCHORARRAY(C215)+0.1</f>
        <v>0.6</v>
      </c>
      <c r="N215" cm="1">
        <f t="array" ref="N215">_xlfn.ANCHORARRAY(D215)+0.15</f>
        <v>1.65</v>
      </c>
      <c r="O215" cm="1">
        <f t="array" ref="O215">_xlfn.ANCHORARRAY(E215)+0.15</f>
        <v>3.15</v>
      </c>
      <c r="P215" cm="1">
        <f t="array" ref="P215">_xlfn.ANCHORARRAY(F215)+0.15</f>
        <v>3.65</v>
      </c>
      <c r="Q215" cm="1">
        <f t="array" ref="Q215">_xlfn.ANCHORARRAY(G215)+0.15</f>
        <v>2.9</v>
      </c>
      <c r="R215" cm="1">
        <f t="array" ref="R215">_xlfn.ANCHORARRAY(H215)</f>
        <v>9.99</v>
      </c>
      <c r="S215" cm="1">
        <f t="array" ref="S215">_xlfn.ANCHORARRAY(R215)+0.15</f>
        <v>10.14</v>
      </c>
      <c r="T215" cm="1">
        <f t="array" ref="T215">_xlfn.ANCHORARRAY(I215)+0.15</f>
        <v>1.65</v>
      </c>
      <c r="U215" cm="1">
        <f t="array" ref="U215">_xlfn.ANCHORARRAY(J215)+0.15</f>
        <v>3.15</v>
      </c>
      <c r="V215" cm="1">
        <f t="array" ref="V215">_xlfn.ANCHORARRAY(K215)+0.15</f>
        <v>3.65</v>
      </c>
      <c r="W215">
        <f>TBL_TEV[[#This Row],[Etica Rendita Bilanciata]]</f>
        <v>1.522524</v>
      </c>
      <c r="X215">
        <f>TBL_TEV[[#This Row],[Etica Obbligazionario Breve Termine]]</f>
        <v>0.286694</v>
      </c>
      <c r="Y215">
        <f>TBL_TEV[[#This Row],[Etica Obbligazionario Misto]]</f>
        <v>0.76213500000000001</v>
      </c>
      <c r="Z215">
        <f>TBL_TEV[[#This Row],[Etica Bilanciato]]</f>
        <v>2.0020929999999999</v>
      </c>
      <c r="AA215">
        <f>TBL_TEV[[#This Row],[Etica Azionario]]</f>
        <v>2.9871059999999998</v>
      </c>
      <c r="AB215">
        <f>TBL_TEV[[#This Row],[Etica Transizione Climatica]]</f>
        <v>2.4724550000000001</v>
      </c>
      <c r="AC215">
        <f>TBL_TEV[[#This Row],[Etica Obiettivo Sociale]]</f>
        <v>7.4330167413059387</v>
      </c>
      <c r="AD215">
        <f>TBL_TEV[[#This Row],[Etica Conservative Allocation]]</f>
        <v>0.72244900000000001</v>
      </c>
      <c r="AE215">
        <f>TBL_TEV[[#This Row],[Etica Dynamic Allocation]]</f>
        <v>2.0825770000000001</v>
      </c>
      <c r="AF215">
        <f>TBL_TEV[[#This Row],[Etica Global Equity]]</f>
        <v>2.9572620000000001</v>
      </c>
      <c r="AL215">
        <f ca="1"/>
        <v>1.5229999999999999</v>
      </c>
      <c r="AM215">
        <f ca="1"/>
        <v>0.28716999999999998</v>
      </c>
      <c r="AN215">
        <f ca="1"/>
        <v>0.76276999999999995</v>
      </c>
      <c r="AO215">
        <f ca="1"/>
        <v>1.993679</v>
      </c>
      <c r="AP215">
        <f ca="1"/>
        <v>2.9705970000000002</v>
      </c>
      <c r="AQ215">
        <f ca="1"/>
        <v>2.4667400000000002</v>
      </c>
      <c r="AR215">
        <f ca="1"/>
        <v>7.37193651579486</v>
      </c>
      <c r="AS215">
        <f ca="1"/>
        <v>0.72244900000000001</v>
      </c>
      <c r="AT215">
        <f ca="1"/>
        <v>2.0825770000000001</v>
      </c>
      <c r="AU215">
        <f ca="1"/>
        <v>2.9572620000000001</v>
      </c>
    </row>
    <row r="216" spans="1:47">
      <c r="A216" s="43">
        <f>TBL_TEV[[#This Row],[Data2]]</f>
        <v>45594</v>
      </c>
      <c r="B216" cm="1">
        <f t="array" ref="B216">_xlfn.XLOOKUP(_xlfn.ANCHORARRAY(A216), TBL_Limiti_CDA[Data], TBL_Limiti_CDA[Etica Rendita Bilanciata], , -1)</f>
        <v>2.5</v>
      </c>
      <c r="C216" cm="1">
        <f t="array" ref="C216">_xlfn.XLOOKUP(_xlfn.ANCHORARRAY(A216), TBL_Limiti_CDA[Data], TBL_Limiti_CDA[Etica Obbligazionario Breve Termine], , -1)</f>
        <v>0.5</v>
      </c>
      <c r="D216" cm="1">
        <f t="array" ref="D216">_xlfn.XLOOKUP(_xlfn.ANCHORARRAY(A216), TBL_Limiti_CDA[Data], TBL_Limiti_CDA[Etica Obbligazionario Misto], , -1)</f>
        <v>1.5</v>
      </c>
      <c r="E216" cm="1">
        <f t="array" ref="E216">_xlfn.XLOOKUP(_xlfn.ANCHORARRAY(A216), TBL_Limiti_CDA[Data], TBL_Limiti_CDA[Etica Bilanciato], , -1)</f>
        <v>3</v>
      </c>
      <c r="F216" cm="1">
        <f t="array" ref="F216">_xlfn.XLOOKUP(_xlfn.ANCHORARRAY(A216), TBL_Limiti_CDA[Data], TBL_Limiti_CDA[Etica Azionario], , -1)</f>
        <v>3.5</v>
      </c>
      <c r="G216" cm="1">
        <f t="array" ref="G216">_xlfn.XLOOKUP(_xlfn.ANCHORARRAY(A216), TBL_Limiti_CDA[Data], TBL_Limiti_CDA[Etica Transizione Climatica], , -1)</f>
        <v>2.75</v>
      </c>
      <c r="H216" cm="1">
        <f t="array" ref="H216">_xlfn.XLOOKUP(_xlfn.ANCHORARRAY(A216), TBL_Limiti_CDA[Data], TBL_Limiti_CDA[Etica Obiettivo Sociale], , -1)</f>
        <v>9.99</v>
      </c>
      <c r="I216" cm="1">
        <f t="array" ref="I216">_xlfn.XLOOKUP(_xlfn.ANCHORARRAY(A216), TBL_Limiti_CDA[Data], TBL_Limiti_CDA[Etica Conservative Allocation], , -1)</f>
        <v>1.5</v>
      </c>
      <c r="J216" cm="1">
        <f t="array" ref="J216">_xlfn.XLOOKUP(_xlfn.ANCHORARRAY(A216), TBL_Limiti_CDA[Data], TBL_Limiti_CDA[Etica Dynamic Allocation], , -1)</f>
        <v>3</v>
      </c>
      <c r="K216" cm="1">
        <f t="array" ref="K216">_xlfn.XLOOKUP(_xlfn.ANCHORARRAY(A216), TBL_Limiti_CDA[Data], TBL_Limiti_CDA[Etica Global Equity], , -1)</f>
        <v>3.5</v>
      </c>
      <c r="L216" cm="1">
        <f t="array" ref="L216">_xlfn.ANCHORARRAY(B216)+0.15</f>
        <v>2.65</v>
      </c>
      <c r="M216" cm="1">
        <f t="array" ref="M216">_xlfn.ANCHORARRAY(C216)+0.1</f>
        <v>0.6</v>
      </c>
      <c r="N216" cm="1">
        <f t="array" ref="N216">_xlfn.ANCHORARRAY(D216)+0.15</f>
        <v>1.65</v>
      </c>
      <c r="O216" cm="1">
        <f t="array" ref="O216">_xlfn.ANCHORARRAY(E216)+0.15</f>
        <v>3.15</v>
      </c>
      <c r="P216" cm="1">
        <f t="array" ref="P216">_xlfn.ANCHORARRAY(F216)+0.15</f>
        <v>3.65</v>
      </c>
      <c r="Q216" cm="1">
        <f t="array" ref="Q216">_xlfn.ANCHORARRAY(G216)+0.15</f>
        <v>2.9</v>
      </c>
      <c r="R216" cm="1">
        <f t="array" ref="R216">_xlfn.ANCHORARRAY(H216)</f>
        <v>9.99</v>
      </c>
      <c r="S216" cm="1">
        <f t="array" ref="S216">_xlfn.ANCHORARRAY(R216)+0.15</f>
        <v>10.14</v>
      </c>
      <c r="T216" cm="1">
        <f t="array" ref="T216">_xlfn.ANCHORARRAY(I216)+0.15</f>
        <v>1.65</v>
      </c>
      <c r="U216" cm="1">
        <f t="array" ref="U216">_xlfn.ANCHORARRAY(J216)+0.15</f>
        <v>3.15</v>
      </c>
      <c r="V216" cm="1">
        <f t="array" ref="V216">_xlfn.ANCHORARRAY(K216)+0.15</f>
        <v>3.65</v>
      </c>
      <c r="W216">
        <f>TBL_TEV[[#This Row],[Etica Rendita Bilanciata]]</f>
        <v>1.5229999999999999</v>
      </c>
      <c r="X216">
        <f>TBL_TEV[[#This Row],[Etica Obbligazionario Breve Termine]]</f>
        <v>0.28716999999999998</v>
      </c>
      <c r="Y216">
        <f>TBL_TEV[[#This Row],[Etica Obbligazionario Misto]]</f>
        <v>0.76276999999999995</v>
      </c>
      <c r="Z216">
        <f>TBL_TEV[[#This Row],[Etica Bilanciato]]</f>
        <v>1.993679</v>
      </c>
      <c r="AA216">
        <f>TBL_TEV[[#This Row],[Etica Azionario]]</f>
        <v>2.9705970000000002</v>
      </c>
      <c r="AB216">
        <f>TBL_TEV[[#This Row],[Etica Transizione Climatica]]</f>
        <v>2.4667400000000002</v>
      </c>
      <c r="AC216">
        <f>TBL_TEV[[#This Row],[Etica Obiettivo Sociale]]</f>
        <v>7.37193651579486</v>
      </c>
      <c r="AD216">
        <f>TBL_TEV[[#This Row],[Etica Conservative Allocation]]</f>
        <v>0.72244900000000001</v>
      </c>
      <c r="AE216">
        <f>TBL_TEV[[#This Row],[Etica Dynamic Allocation]]</f>
        <v>2.0825770000000001</v>
      </c>
      <c r="AF216">
        <f>TBL_TEV[[#This Row],[Etica Global Equity]]</f>
        <v>2.9572620000000001</v>
      </c>
      <c r="AL216">
        <f ca="1"/>
        <v>1.484901</v>
      </c>
      <c r="AM216">
        <f ca="1"/>
        <v>0.32034800000000002</v>
      </c>
      <c r="AN216">
        <f ca="1"/>
        <v>0.76880199999999999</v>
      </c>
      <c r="AO216">
        <f ca="1"/>
        <v>1.937484</v>
      </c>
      <c r="AP216">
        <f ca="1"/>
        <v>2.8901129999999999</v>
      </c>
      <c r="AQ216">
        <f ca="1"/>
        <v>2.439594</v>
      </c>
      <c r="AR216">
        <f ca="1"/>
        <v>7.2639666361435697</v>
      </c>
      <c r="AS216">
        <f ca="1"/>
        <v>0.72244900000000001</v>
      </c>
      <c r="AT216">
        <f ca="1"/>
        <v>2.0825770000000001</v>
      </c>
      <c r="AU216">
        <f ca="1"/>
        <v>2.9572620000000001</v>
      </c>
    </row>
    <row r="217" spans="1:47">
      <c r="A217" s="43">
        <f>TBL_TEV[[#This Row],[Data2]]</f>
        <v>45595</v>
      </c>
      <c r="B217" cm="1">
        <f t="array" ref="B217">_xlfn.XLOOKUP(_xlfn.ANCHORARRAY(A217), TBL_Limiti_CDA[Data], TBL_Limiti_CDA[Etica Rendita Bilanciata], , -1)</f>
        <v>2.5</v>
      </c>
      <c r="C217" cm="1">
        <f t="array" ref="C217">_xlfn.XLOOKUP(_xlfn.ANCHORARRAY(A217), TBL_Limiti_CDA[Data], TBL_Limiti_CDA[Etica Obbligazionario Breve Termine], , -1)</f>
        <v>0.5</v>
      </c>
      <c r="D217" cm="1">
        <f t="array" ref="D217">_xlfn.XLOOKUP(_xlfn.ANCHORARRAY(A217), TBL_Limiti_CDA[Data], TBL_Limiti_CDA[Etica Obbligazionario Misto], , -1)</f>
        <v>1.5</v>
      </c>
      <c r="E217" cm="1">
        <f t="array" ref="E217">_xlfn.XLOOKUP(_xlfn.ANCHORARRAY(A217), TBL_Limiti_CDA[Data], TBL_Limiti_CDA[Etica Bilanciato], , -1)</f>
        <v>3</v>
      </c>
      <c r="F217" cm="1">
        <f t="array" ref="F217">_xlfn.XLOOKUP(_xlfn.ANCHORARRAY(A217), TBL_Limiti_CDA[Data], TBL_Limiti_CDA[Etica Azionario], , -1)</f>
        <v>3.5</v>
      </c>
      <c r="G217" cm="1">
        <f t="array" ref="G217">_xlfn.XLOOKUP(_xlfn.ANCHORARRAY(A217), TBL_Limiti_CDA[Data], TBL_Limiti_CDA[Etica Transizione Climatica], , -1)</f>
        <v>2.75</v>
      </c>
      <c r="H217" cm="1">
        <f t="array" ref="H217">_xlfn.XLOOKUP(_xlfn.ANCHORARRAY(A217), TBL_Limiti_CDA[Data], TBL_Limiti_CDA[Etica Obiettivo Sociale], , -1)</f>
        <v>9.99</v>
      </c>
      <c r="I217" cm="1">
        <f t="array" ref="I217">_xlfn.XLOOKUP(_xlfn.ANCHORARRAY(A217), TBL_Limiti_CDA[Data], TBL_Limiti_CDA[Etica Conservative Allocation], , -1)</f>
        <v>1.5</v>
      </c>
      <c r="J217" cm="1">
        <f t="array" ref="J217">_xlfn.XLOOKUP(_xlfn.ANCHORARRAY(A217), TBL_Limiti_CDA[Data], TBL_Limiti_CDA[Etica Dynamic Allocation], , -1)</f>
        <v>3</v>
      </c>
      <c r="K217" cm="1">
        <f t="array" ref="K217">_xlfn.XLOOKUP(_xlfn.ANCHORARRAY(A217), TBL_Limiti_CDA[Data], TBL_Limiti_CDA[Etica Global Equity], , -1)</f>
        <v>3.5</v>
      </c>
      <c r="L217" cm="1">
        <f t="array" ref="L217">_xlfn.ANCHORARRAY(B217)+0.15</f>
        <v>2.65</v>
      </c>
      <c r="M217" cm="1">
        <f t="array" ref="M217">_xlfn.ANCHORARRAY(C217)+0.1</f>
        <v>0.6</v>
      </c>
      <c r="N217" cm="1">
        <f t="array" ref="N217">_xlfn.ANCHORARRAY(D217)+0.15</f>
        <v>1.65</v>
      </c>
      <c r="O217" cm="1">
        <f t="array" ref="O217">_xlfn.ANCHORARRAY(E217)+0.15</f>
        <v>3.15</v>
      </c>
      <c r="P217" cm="1">
        <f t="array" ref="P217">_xlfn.ANCHORARRAY(F217)+0.15</f>
        <v>3.65</v>
      </c>
      <c r="Q217" cm="1">
        <f t="array" ref="Q217">_xlfn.ANCHORARRAY(G217)+0.15</f>
        <v>2.9</v>
      </c>
      <c r="R217" cm="1">
        <f t="array" ref="R217">_xlfn.ANCHORARRAY(H217)</f>
        <v>9.99</v>
      </c>
      <c r="S217" cm="1">
        <f t="array" ref="S217">_xlfn.ANCHORARRAY(R217)+0.15</f>
        <v>10.14</v>
      </c>
      <c r="T217" cm="1">
        <f t="array" ref="T217">_xlfn.ANCHORARRAY(I217)+0.15</f>
        <v>1.65</v>
      </c>
      <c r="U217" cm="1">
        <f t="array" ref="U217">_xlfn.ANCHORARRAY(J217)+0.15</f>
        <v>3.15</v>
      </c>
      <c r="V217" cm="1">
        <f t="array" ref="V217">_xlfn.ANCHORARRAY(K217)+0.15</f>
        <v>3.65</v>
      </c>
      <c r="W217">
        <f>TBL_TEV[[#This Row],[Etica Rendita Bilanciata]]</f>
        <v>1.484901</v>
      </c>
      <c r="X217">
        <f>TBL_TEV[[#This Row],[Etica Obbligazionario Breve Termine]]</f>
        <v>0.32034800000000002</v>
      </c>
      <c r="Y217">
        <f>TBL_TEV[[#This Row],[Etica Obbligazionario Misto]]</f>
        <v>0.76880199999999999</v>
      </c>
      <c r="Z217">
        <f>TBL_TEV[[#This Row],[Etica Bilanciato]]</f>
        <v>1.937484</v>
      </c>
      <c r="AA217">
        <f>TBL_TEV[[#This Row],[Etica Azionario]]</f>
        <v>2.8901129999999999</v>
      </c>
      <c r="AB217">
        <f>TBL_TEV[[#This Row],[Etica Transizione Climatica]]</f>
        <v>2.439594</v>
      </c>
      <c r="AC217">
        <f>TBL_TEV[[#This Row],[Etica Obiettivo Sociale]]</f>
        <v>7.2639666361435697</v>
      </c>
      <c r="AD217">
        <f>TBL_TEV[[#This Row],[Etica Conservative Allocation]]</f>
        <v>0.72244900000000001</v>
      </c>
      <c r="AE217">
        <f>TBL_TEV[[#This Row],[Etica Dynamic Allocation]]</f>
        <v>2.0825770000000001</v>
      </c>
      <c r="AF217">
        <f>TBL_TEV[[#This Row],[Etica Global Equity]]</f>
        <v>2.9572620000000001</v>
      </c>
      <c r="AL217">
        <f ca="1"/>
        <v>1.462677</v>
      </c>
      <c r="AM217">
        <f ca="1"/>
        <v>0.25192799999999999</v>
      </c>
      <c r="AN217">
        <f ca="1"/>
        <v>0.747054</v>
      </c>
      <c r="AO217">
        <f ca="1"/>
        <v>1.9179580000000001</v>
      </c>
      <c r="AP217">
        <f ca="1"/>
        <v>2.8875730000000002</v>
      </c>
      <c r="AQ217">
        <f ca="1"/>
        <v>2.4278469999999999</v>
      </c>
      <c r="AR217">
        <f ca="1"/>
        <v>7.2360939419953265</v>
      </c>
      <c r="AS217">
        <f ca="1"/>
        <v>0.72244900000000001</v>
      </c>
      <c r="AT217">
        <f ca="1"/>
        <v>2.0825770000000001</v>
      </c>
      <c r="AU217">
        <f ca="1"/>
        <v>2.9572620000000001</v>
      </c>
    </row>
    <row r="218" spans="1:47">
      <c r="A218" s="43">
        <f>TBL_TEV[[#This Row],[Data2]]</f>
        <v>45596</v>
      </c>
      <c r="B218" cm="1">
        <f t="array" ref="B218">_xlfn.XLOOKUP(_xlfn.ANCHORARRAY(A218), TBL_Limiti_CDA[Data], TBL_Limiti_CDA[Etica Rendita Bilanciata], , -1)</f>
        <v>2.5</v>
      </c>
      <c r="C218" cm="1">
        <f t="array" ref="C218">_xlfn.XLOOKUP(_xlfn.ANCHORARRAY(A218), TBL_Limiti_CDA[Data], TBL_Limiti_CDA[Etica Obbligazionario Breve Termine], , -1)</f>
        <v>0.5</v>
      </c>
      <c r="D218" cm="1">
        <f t="array" ref="D218">_xlfn.XLOOKUP(_xlfn.ANCHORARRAY(A218), TBL_Limiti_CDA[Data], TBL_Limiti_CDA[Etica Obbligazionario Misto], , -1)</f>
        <v>1.5</v>
      </c>
      <c r="E218" cm="1">
        <f t="array" ref="E218">_xlfn.XLOOKUP(_xlfn.ANCHORARRAY(A218), TBL_Limiti_CDA[Data], TBL_Limiti_CDA[Etica Bilanciato], , -1)</f>
        <v>3</v>
      </c>
      <c r="F218" cm="1">
        <f t="array" ref="F218">_xlfn.XLOOKUP(_xlfn.ANCHORARRAY(A218), TBL_Limiti_CDA[Data], TBL_Limiti_CDA[Etica Azionario], , -1)</f>
        <v>3.5</v>
      </c>
      <c r="G218" cm="1">
        <f t="array" ref="G218">_xlfn.XLOOKUP(_xlfn.ANCHORARRAY(A218), TBL_Limiti_CDA[Data], TBL_Limiti_CDA[Etica Transizione Climatica], , -1)</f>
        <v>2.75</v>
      </c>
      <c r="H218" cm="1">
        <f t="array" ref="H218">_xlfn.XLOOKUP(_xlfn.ANCHORARRAY(A218), TBL_Limiti_CDA[Data], TBL_Limiti_CDA[Etica Obiettivo Sociale], , -1)</f>
        <v>9.99</v>
      </c>
      <c r="I218" cm="1">
        <f t="array" ref="I218">_xlfn.XLOOKUP(_xlfn.ANCHORARRAY(A218), TBL_Limiti_CDA[Data], TBL_Limiti_CDA[Etica Conservative Allocation], , -1)</f>
        <v>1.5</v>
      </c>
      <c r="J218" cm="1">
        <f t="array" ref="J218">_xlfn.XLOOKUP(_xlfn.ANCHORARRAY(A218), TBL_Limiti_CDA[Data], TBL_Limiti_CDA[Etica Dynamic Allocation], , -1)</f>
        <v>3</v>
      </c>
      <c r="K218" cm="1">
        <f t="array" ref="K218">_xlfn.XLOOKUP(_xlfn.ANCHORARRAY(A218), TBL_Limiti_CDA[Data], TBL_Limiti_CDA[Etica Global Equity], , -1)</f>
        <v>3.5</v>
      </c>
      <c r="L218" cm="1">
        <f t="array" ref="L218">_xlfn.ANCHORARRAY(B218)+0.15</f>
        <v>2.65</v>
      </c>
      <c r="M218" cm="1">
        <f t="array" ref="M218">_xlfn.ANCHORARRAY(C218)+0.1</f>
        <v>0.6</v>
      </c>
      <c r="N218" cm="1">
        <f t="array" ref="N218">_xlfn.ANCHORARRAY(D218)+0.15</f>
        <v>1.65</v>
      </c>
      <c r="O218" cm="1">
        <f t="array" ref="O218">_xlfn.ANCHORARRAY(E218)+0.15</f>
        <v>3.15</v>
      </c>
      <c r="P218" cm="1">
        <f t="array" ref="P218">_xlfn.ANCHORARRAY(F218)+0.15</f>
        <v>3.65</v>
      </c>
      <c r="Q218" cm="1">
        <f t="array" ref="Q218">_xlfn.ANCHORARRAY(G218)+0.15</f>
        <v>2.9</v>
      </c>
      <c r="R218" cm="1">
        <f t="array" ref="R218">_xlfn.ANCHORARRAY(H218)</f>
        <v>9.99</v>
      </c>
      <c r="S218" cm="1">
        <f t="array" ref="S218">_xlfn.ANCHORARRAY(R218)+0.15</f>
        <v>10.14</v>
      </c>
      <c r="T218" cm="1">
        <f t="array" ref="T218">_xlfn.ANCHORARRAY(I218)+0.15</f>
        <v>1.65</v>
      </c>
      <c r="U218" cm="1">
        <f t="array" ref="U218">_xlfn.ANCHORARRAY(J218)+0.15</f>
        <v>3.15</v>
      </c>
      <c r="V218" cm="1">
        <f t="array" ref="V218">_xlfn.ANCHORARRAY(K218)+0.15</f>
        <v>3.65</v>
      </c>
      <c r="W218">
        <f>TBL_TEV[[#This Row],[Etica Rendita Bilanciata]]</f>
        <v>1.462677</v>
      </c>
      <c r="X218">
        <f>TBL_TEV[[#This Row],[Etica Obbligazionario Breve Termine]]</f>
        <v>0.25192799999999999</v>
      </c>
      <c r="Y218">
        <f>TBL_TEV[[#This Row],[Etica Obbligazionario Misto]]</f>
        <v>0.747054</v>
      </c>
      <c r="Z218">
        <f>TBL_TEV[[#This Row],[Etica Bilanciato]]</f>
        <v>1.9179580000000001</v>
      </c>
      <c r="AA218">
        <f>TBL_TEV[[#This Row],[Etica Azionario]]</f>
        <v>2.8875730000000002</v>
      </c>
      <c r="AB218">
        <f>TBL_TEV[[#This Row],[Etica Transizione Climatica]]</f>
        <v>2.4278469999999999</v>
      </c>
      <c r="AC218">
        <f>TBL_TEV[[#This Row],[Etica Obiettivo Sociale]]</f>
        <v>7.2360939419953265</v>
      </c>
      <c r="AD218">
        <f>TBL_TEV[[#This Row],[Etica Conservative Allocation]]</f>
        <v>0.72244900000000001</v>
      </c>
      <c r="AE218">
        <f>TBL_TEV[[#This Row],[Etica Dynamic Allocation]]</f>
        <v>2.0825770000000001</v>
      </c>
      <c r="AF218">
        <f>TBL_TEV[[#This Row],[Etica Global Equity]]</f>
        <v>2.9572620000000001</v>
      </c>
      <c r="AL218">
        <f ca="1"/>
        <v>1.454264</v>
      </c>
      <c r="AM218">
        <f ca="1"/>
        <v>0.24970600000000001</v>
      </c>
      <c r="AN218">
        <f ca="1"/>
        <v>0.73832299999999995</v>
      </c>
      <c r="AO218">
        <f ca="1"/>
        <v>1.903195</v>
      </c>
      <c r="AP218">
        <f ca="1"/>
        <v>2.8615390000000001</v>
      </c>
      <c r="AQ218">
        <f ca="1"/>
        <v>2.4241959999999998</v>
      </c>
      <c r="AR218">
        <f ca="1"/>
        <v>7.2360939419953265</v>
      </c>
      <c r="AS218">
        <f ca="1"/>
        <v>0.72244900000000001</v>
      </c>
      <c r="AT218">
        <f ca="1"/>
        <v>2.0825770000000001</v>
      </c>
      <c r="AU218">
        <f ca="1"/>
        <v>2.9572620000000001</v>
      </c>
    </row>
    <row r="219" spans="1:47">
      <c r="A219" s="43">
        <f>TBL_TEV[[#This Row],[Data2]]</f>
        <v>45597</v>
      </c>
      <c r="B219" cm="1">
        <f t="array" ref="B219">_xlfn.XLOOKUP(_xlfn.ANCHORARRAY(A219), TBL_Limiti_CDA[Data], TBL_Limiti_CDA[Etica Rendita Bilanciata], , -1)</f>
        <v>2.5</v>
      </c>
      <c r="C219" cm="1">
        <f t="array" ref="C219">_xlfn.XLOOKUP(_xlfn.ANCHORARRAY(A219), TBL_Limiti_CDA[Data], TBL_Limiti_CDA[Etica Obbligazionario Breve Termine], , -1)</f>
        <v>0.5</v>
      </c>
      <c r="D219" cm="1">
        <f t="array" ref="D219">_xlfn.XLOOKUP(_xlfn.ANCHORARRAY(A219), TBL_Limiti_CDA[Data], TBL_Limiti_CDA[Etica Obbligazionario Misto], , -1)</f>
        <v>1.5</v>
      </c>
      <c r="E219" cm="1">
        <f t="array" ref="E219">_xlfn.XLOOKUP(_xlfn.ANCHORARRAY(A219), TBL_Limiti_CDA[Data], TBL_Limiti_CDA[Etica Bilanciato], , -1)</f>
        <v>3</v>
      </c>
      <c r="F219" cm="1">
        <f t="array" ref="F219">_xlfn.XLOOKUP(_xlfn.ANCHORARRAY(A219), TBL_Limiti_CDA[Data], TBL_Limiti_CDA[Etica Azionario], , -1)</f>
        <v>3.5</v>
      </c>
      <c r="G219" cm="1">
        <f t="array" ref="G219">_xlfn.XLOOKUP(_xlfn.ANCHORARRAY(A219), TBL_Limiti_CDA[Data], TBL_Limiti_CDA[Etica Transizione Climatica], , -1)</f>
        <v>2.75</v>
      </c>
      <c r="H219" cm="1">
        <f t="array" ref="H219">_xlfn.XLOOKUP(_xlfn.ANCHORARRAY(A219), TBL_Limiti_CDA[Data], TBL_Limiti_CDA[Etica Obiettivo Sociale], , -1)</f>
        <v>9.99</v>
      </c>
      <c r="I219" cm="1">
        <f t="array" ref="I219">_xlfn.XLOOKUP(_xlfn.ANCHORARRAY(A219), TBL_Limiti_CDA[Data], TBL_Limiti_CDA[Etica Conservative Allocation], , -1)</f>
        <v>1.5</v>
      </c>
      <c r="J219" cm="1">
        <f t="array" ref="J219">_xlfn.XLOOKUP(_xlfn.ANCHORARRAY(A219), TBL_Limiti_CDA[Data], TBL_Limiti_CDA[Etica Dynamic Allocation], , -1)</f>
        <v>3</v>
      </c>
      <c r="K219" cm="1">
        <f t="array" ref="K219">_xlfn.XLOOKUP(_xlfn.ANCHORARRAY(A219), TBL_Limiti_CDA[Data], TBL_Limiti_CDA[Etica Global Equity], , -1)</f>
        <v>3.5</v>
      </c>
      <c r="L219" cm="1">
        <f t="array" ref="L219">_xlfn.ANCHORARRAY(B219)+0.15</f>
        <v>2.65</v>
      </c>
      <c r="M219" cm="1">
        <f t="array" ref="M219">_xlfn.ANCHORARRAY(C219)+0.1</f>
        <v>0.6</v>
      </c>
      <c r="N219" cm="1">
        <f t="array" ref="N219">_xlfn.ANCHORARRAY(D219)+0.15</f>
        <v>1.65</v>
      </c>
      <c r="O219" cm="1">
        <f t="array" ref="O219">_xlfn.ANCHORARRAY(E219)+0.15</f>
        <v>3.15</v>
      </c>
      <c r="P219" cm="1">
        <f t="array" ref="P219">_xlfn.ANCHORARRAY(F219)+0.15</f>
        <v>3.65</v>
      </c>
      <c r="Q219" cm="1">
        <f t="array" ref="Q219">_xlfn.ANCHORARRAY(G219)+0.15</f>
        <v>2.9</v>
      </c>
      <c r="R219" cm="1">
        <f t="array" ref="R219">_xlfn.ANCHORARRAY(H219)</f>
        <v>9.99</v>
      </c>
      <c r="S219" cm="1">
        <f t="array" ref="S219">_xlfn.ANCHORARRAY(R219)+0.15</f>
        <v>10.14</v>
      </c>
      <c r="T219" cm="1">
        <f t="array" ref="T219">_xlfn.ANCHORARRAY(I219)+0.15</f>
        <v>1.65</v>
      </c>
      <c r="U219" cm="1">
        <f t="array" ref="U219">_xlfn.ANCHORARRAY(J219)+0.15</f>
        <v>3.15</v>
      </c>
      <c r="V219" cm="1">
        <f t="array" ref="V219">_xlfn.ANCHORARRAY(K219)+0.15</f>
        <v>3.65</v>
      </c>
      <c r="W219">
        <f>TBL_TEV[[#This Row],[Etica Rendita Bilanciata]]</f>
        <v>1.454264</v>
      </c>
      <c r="X219">
        <f>TBL_TEV[[#This Row],[Etica Obbligazionario Breve Termine]]</f>
        <v>0.24970600000000001</v>
      </c>
      <c r="Y219">
        <f>TBL_TEV[[#This Row],[Etica Obbligazionario Misto]]</f>
        <v>0.73832299999999995</v>
      </c>
      <c r="Z219">
        <f>TBL_TEV[[#This Row],[Etica Bilanciato]]</f>
        <v>1.903195</v>
      </c>
      <c r="AA219">
        <f>TBL_TEV[[#This Row],[Etica Azionario]]</f>
        <v>2.8615390000000001</v>
      </c>
      <c r="AB219">
        <f>TBL_TEV[[#This Row],[Etica Transizione Climatica]]</f>
        <v>2.4241959999999998</v>
      </c>
      <c r="AC219">
        <f>TBL_TEV[[#This Row],[Etica Obiettivo Sociale]]</f>
        <v>7.2360939419953265</v>
      </c>
      <c r="AD219">
        <f>TBL_TEV[[#This Row],[Etica Conservative Allocation]]</f>
        <v>0.72244900000000001</v>
      </c>
      <c r="AE219">
        <f>TBL_TEV[[#This Row],[Etica Dynamic Allocation]]</f>
        <v>2.0825770000000001</v>
      </c>
      <c r="AF219">
        <f>TBL_TEV[[#This Row],[Etica Global Equity]]</f>
        <v>2.9572620000000001</v>
      </c>
      <c r="AL219">
        <f ca="1"/>
        <v>1.445533</v>
      </c>
      <c r="AM219">
        <f ca="1"/>
        <v>0.249389</v>
      </c>
      <c r="AN219">
        <f ca="1"/>
        <v>0.73387800000000003</v>
      </c>
      <c r="AO219">
        <f ca="1"/>
        <v>1.8882730000000001</v>
      </c>
      <c r="AP219">
        <f ca="1"/>
        <v>2.844236</v>
      </c>
      <c r="AQ219">
        <f ca="1"/>
        <v>2.4135599999999999</v>
      </c>
      <c r="AR219">
        <f ca="1"/>
        <v>7.218014994811254</v>
      </c>
      <c r="AS219">
        <f ca="1"/>
        <v>0.72244900000000001</v>
      </c>
      <c r="AT219">
        <f ca="1"/>
        <v>2.0825770000000001</v>
      </c>
      <c r="AU219">
        <f ca="1"/>
        <v>2.9572620000000001</v>
      </c>
    </row>
    <row r="220" spans="1:47">
      <c r="A220" s="43">
        <f>TBL_TEV[[#This Row],[Data2]]</f>
        <v>45600</v>
      </c>
      <c r="B220" cm="1">
        <f t="array" ref="B220">_xlfn.XLOOKUP(_xlfn.ANCHORARRAY(A220), TBL_Limiti_CDA[Data], TBL_Limiti_CDA[Etica Rendita Bilanciata], , -1)</f>
        <v>2.5</v>
      </c>
      <c r="C220" cm="1">
        <f t="array" ref="C220">_xlfn.XLOOKUP(_xlfn.ANCHORARRAY(A220), TBL_Limiti_CDA[Data], TBL_Limiti_CDA[Etica Obbligazionario Breve Termine], , -1)</f>
        <v>0.5</v>
      </c>
      <c r="D220" cm="1">
        <f t="array" ref="D220">_xlfn.XLOOKUP(_xlfn.ANCHORARRAY(A220), TBL_Limiti_CDA[Data], TBL_Limiti_CDA[Etica Obbligazionario Misto], , -1)</f>
        <v>1.5</v>
      </c>
      <c r="E220" cm="1">
        <f t="array" ref="E220">_xlfn.XLOOKUP(_xlfn.ANCHORARRAY(A220), TBL_Limiti_CDA[Data], TBL_Limiti_CDA[Etica Bilanciato], , -1)</f>
        <v>3</v>
      </c>
      <c r="F220" cm="1">
        <f t="array" ref="F220">_xlfn.XLOOKUP(_xlfn.ANCHORARRAY(A220), TBL_Limiti_CDA[Data], TBL_Limiti_CDA[Etica Azionario], , -1)</f>
        <v>3.5</v>
      </c>
      <c r="G220" cm="1">
        <f t="array" ref="G220">_xlfn.XLOOKUP(_xlfn.ANCHORARRAY(A220), TBL_Limiti_CDA[Data], TBL_Limiti_CDA[Etica Transizione Climatica], , -1)</f>
        <v>2.75</v>
      </c>
      <c r="H220" cm="1">
        <f t="array" ref="H220">_xlfn.XLOOKUP(_xlfn.ANCHORARRAY(A220), TBL_Limiti_CDA[Data], TBL_Limiti_CDA[Etica Obiettivo Sociale], , -1)</f>
        <v>9.99</v>
      </c>
      <c r="I220" cm="1">
        <f t="array" ref="I220">_xlfn.XLOOKUP(_xlfn.ANCHORARRAY(A220), TBL_Limiti_CDA[Data], TBL_Limiti_CDA[Etica Conservative Allocation], , -1)</f>
        <v>1.5</v>
      </c>
      <c r="J220" cm="1">
        <f t="array" ref="J220">_xlfn.XLOOKUP(_xlfn.ANCHORARRAY(A220), TBL_Limiti_CDA[Data], TBL_Limiti_CDA[Etica Dynamic Allocation], , -1)</f>
        <v>3</v>
      </c>
      <c r="K220" cm="1">
        <f t="array" ref="K220">_xlfn.XLOOKUP(_xlfn.ANCHORARRAY(A220), TBL_Limiti_CDA[Data], TBL_Limiti_CDA[Etica Global Equity], , -1)</f>
        <v>3.5</v>
      </c>
      <c r="L220" cm="1">
        <f t="array" ref="L220">_xlfn.ANCHORARRAY(B220)+0.15</f>
        <v>2.65</v>
      </c>
      <c r="M220" cm="1">
        <f t="array" ref="M220">_xlfn.ANCHORARRAY(C220)+0.1</f>
        <v>0.6</v>
      </c>
      <c r="N220" cm="1">
        <f t="array" ref="N220">_xlfn.ANCHORARRAY(D220)+0.15</f>
        <v>1.65</v>
      </c>
      <c r="O220" cm="1">
        <f t="array" ref="O220">_xlfn.ANCHORARRAY(E220)+0.15</f>
        <v>3.15</v>
      </c>
      <c r="P220" cm="1">
        <f t="array" ref="P220">_xlfn.ANCHORARRAY(F220)+0.15</f>
        <v>3.65</v>
      </c>
      <c r="Q220" cm="1">
        <f t="array" ref="Q220">_xlfn.ANCHORARRAY(G220)+0.15</f>
        <v>2.9</v>
      </c>
      <c r="R220" cm="1">
        <f t="array" ref="R220">_xlfn.ANCHORARRAY(H220)</f>
        <v>9.99</v>
      </c>
      <c r="S220" cm="1">
        <f t="array" ref="S220">_xlfn.ANCHORARRAY(R220)+0.15</f>
        <v>10.14</v>
      </c>
      <c r="T220" cm="1">
        <f t="array" ref="T220">_xlfn.ANCHORARRAY(I220)+0.15</f>
        <v>1.65</v>
      </c>
      <c r="U220" cm="1">
        <f t="array" ref="U220">_xlfn.ANCHORARRAY(J220)+0.15</f>
        <v>3.15</v>
      </c>
      <c r="V220" cm="1">
        <f t="array" ref="V220">_xlfn.ANCHORARRAY(K220)+0.15</f>
        <v>3.65</v>
      </c>
      <c r="W220">
        <f>TBL_TEV[[#This Row],[Etica Rendita Bilanciata]]</f>
        <v>1.445533</v>
      </c>
      <c r="X220">
        <f>TBL_TEV[[#This Row],[Etica Obbligazionario Breve Termine]]</f>
        <v>0.249389</v>
      </c>
      <c r="Y220">
        <f>TBL_TEV[[#This Row],[Etica Obbligazionario Misto]]</f>
        <v>0.73387800000000003</v>
      </c>
      <c r="Z220">
        <f>TBL_TEV[[#This Row],[Etica Bilanciato]]</f>
        <v>1.8882730000000001</v>
      </c>
      <c r="AA220">
        <f>TBL_TEV[[#This Row],[Etica Azionario]]</f>
        <v>2.844236</v>
      </c>
      <c r="AB220">
        <f>TBL_TEV[[#This Row],[Etica Transizione Climatica]]</f>
        <v>2.4135599999999999</v>
      </c>
      <c r="AC220">
        <f>TBL_TEV[[#This Row],[Etica Obiettivo Sociale]]</f>
        <v>7.218014994811254</v>
      </c>
      <c r="AD220">
        <f>TBL_TEV[[#This Row],[Etica Conservative Allocation]]</f>
        <v>0.72244900000000001</v>
      </c>
      <c r="AE220">
        <f>TBL_TEV[[#This Row],[Etica Dynamic Allocation]]</f>
        <v>2.0825770000000001</v>
      </c>
      <c r="AF220">
        <f>TBL_TEV[[#This Row],[Etica Global Equity]]</f>
        <v>2.9572620000000001</v>
      </c>
      <c r="AL220">
        <f ca="1"/>
        <v>1.458391</v>
      </c>
      <c r="AM220">
        <f ca="1"/>
        <v>0.24811900000000001</v>
      </c>
      <c r="AN220">
        <f ca="1"/>
        <v>0.737371</v>
      </c>
      <c r="AO220">
        <f ca="1"/>
        <v>1.908433</v>
      </c>
      <c r="AP220">
        <f ca="1"/>
        <v>2.862333</v>
      </c>
      <c r="AQ220">
        <f ca="1"/>
        <v>2.4468969999999999</v>
      </c>
      <c r="AR220">
        <f ca="1"/>
        <v>7.2498854550893199</v>
      </c>
      <c r="AS220">
        <f ca="1"/>
        <v>0.72244900000000001</v>
      </c>
      <c r="AT220">
        <f ca="1"/>
        <v>2.0825770000000001</v>
      </c>
      <c r="AU220">
        <f ca="1"/>
        <v>2.9572620000000001</v>
      </c>
    </row>
    <row r="221" spans="1:47">
      <c r="A221" s="43">
        <f>TBL_TEV[[#This Row],[Data2]]</f>
        <v>45601</v>
      </c>
      <c r="B221" cm="1">
        <f t="array" ref="B221">_xlfn.XLOOKUP(_xlfn.ANCHORARRAY(A221), TBL_Limiti_CDA[Data], TBL_Limiti_CDA[Etica Rendita Bilanciata], , -1)</f>
        <v>2.5</v>
      </c>
      <c r="C221" cm="1">
        <f t="array" ref="C221">_xlfn.XLOOKUP(_xlfn.ANCHORARRAY(A221), TBL_Limiti_CDA[Data], TBL_Limiti_CDA[Etica Obbligazionario Breve Termine], , -1)</f>
        <v>0.5</v>
      </c>
      <c r="D221" cm="1">
        <f t="array" ref="D221">_xlfn.XLOOKUP(_xlfn.ANCHORARRAY(A221), TBL_Limiti_CDA[Data], TBL_Limiti_CDA[Etica Obbligazionario Misto], , -1)</f>
        <v>1.5</v>
      </c>
      <c r="E221" cm="1">
        <f t="array" ref="E221">_xlfn.XLOOKUP(_xlfn.ANCHORARRAY(A221), TBL_Limiti_CDA[Data], TBL_Limiti_CDA[Etica Bilanciato], , -1)</f>
        <v>3</v>
      </c>
      <c r="F221" cm="1">
        <f t="array" ref="F221">_xlfn.XLOOKUP(_xlfn.ANCHORARRAY(A221), TBL_Limiti_CDA[Data], TBL_Limiti_CDA[Etica Azionario], , -1)</f>
        <v>3.5</v>
      </c>
      <c r="G221" cm="1">
        <f t="array" ref="G221">_xlfn.XLOOKUP(_xlfn.ANCHORARRAY(A221), TBL_Limiti_CDA[Data], TBL_Limiti_CDA[Etica Transizione Climatica], , -1)</f>
        <v>2.75</v>
      </c>
      <c r="H221" cm="1">
        <f t="array" ref="H221">_xlfn.XLOOKUP(_xlfn.ANCHORARRAY(A221), TBL_Limiti_CDA[Data], TBL_Limiti_CDA[Etica Obiettivo Sociale], , -1)</f>
        <v>9.99</v>
      </c>
      <c r="I221" cm="1">
        <f t="array" ref="I221">_xlfn.XLOOKUP(_xlfn.ANCHORARRAY(A221), TBL_Limiti_CDA[Data], TBL_Limiti_CDA[Etica Conservative Allocation], , -1)</f>
        <v>1.5</v>
      </c>
      <c r="J221" cm="1">
        <f t="array" ref="J221">_xlfn.XLOOKUP(_xlfn.ANCHORARRAY(A221), TBL_Limiti_CDA[Data], TBL_Limiti_CDA[Etica Dynamic Allocation], , -1)</f>
        <v>3</v>
      </c>
      <c r="K221" cm="1">
        <f t="array" ref="K221">_xlfn.XLOOKUP(_xlfn.ANCHORARRAY(A221), TBL_Limiti_CDA[Data], TBL_Limiti_CDA[Etica Global Equity], , -1)</f>
        <v>3.5</v>
      </c>
      <c r="L221" cm="1">
        <f t="array" ref="L221">_xlfn.ANCHORARRAY(B221)+0.15</f>
        <v>2.65</v>
      </c>
      <c r="M221" cm="1">
        <f t="array" ref="M221">_xlfn.ANCHORARRAY(C221)+0.1</f>
        <v>0.6</v>
      </c>
      <c r="N221" cm="1">
        <f t="array" ref="N221">_xlfn.ANCHORARRAY(D221)+0.15</f>
        <v>1.65</v>
      </c>
      <c r="O221" cm="1">
        <f t="array" ref="O221">_xlfn.ANCHORARRAY(E221)+0.15</f>
        <v>3.15</v>
      </c>
      <c r="P221" cm="1">
        <f t="array" ref="P221">_xlfn.ANCHORARRAY(F221)+0.15</f>
        <v>3.65</v>
      </c>
      <c r="Q221" cm="1">
        <f t="array" ref="Q221">_xlfn.ANCHORARRAY(G221)+0.15</f>
        <v>2.9</v>
      </c>
      <c r="R221" cm="1">
        <f t="array" ref="R221">_xlfn.ANCHORARRAY(H221)</f>
        <v>9.99</v>
      </c>
      <c r="S221" cm="1">
        <f t="array" ref="S221">_xlfn.ANCHORARRAY(R221)+0.15</f>
        <v>10.14</v>
      </c>
      <c r="T221" cm="1">
        <f t="array" ref="T221">_xlfn.ANCHORARRAY(I221)+0.15</f>
        <v>1.65</v>
      </c>
      <c r="U221" cm="1">
        <f t="array" ref="U221">_xlfn.ANCHORARRAY(J221)+0.15</f>
        <v>3.15</v>
      </c>
      <c r="V221" cm="1">
        <f t="array" ref="V221">_xlfn.ANCHORARRAY(K221)+0.15</f>
        <v>3.65</v>
      </c>
      <c r="W221">
        <f>TBL_TEV[[#This Row],[Etica Rendita Bilanciata]]</f>
        <v>1.458391</v>
      </c>
      <c r="X221">
        <f>TBL_TEV[[#This Row],[Etica Obbligazionario Breve Termine]]</f>
        <v>0.24811900000000001</v>
      </c>
      <c r="Y221">
        <f>TBL_TEV[[#This Row],[Etica Obbligazionario Misto]]</f>
        <v>0.737371</v>
      </c>
      <c r="Z221">
        <f>TBL_TEV[[#This Row],[Etica Bilanciato]]</f>
        <v>1.908433</v>
      </c>
      <c r="AA221">
        <f>TBL_TEV[[#This Row],[Etica Azionario]]</f>
        <v>2.862333</v>
      </c>
      <c r="AB221">
        <f>TBL_TEV[[#This Row],[Etica Transizione Climatica]]</f>
        <v>2.4468969999999999</v>
      </c>
      <c r="AC221">
        <f>TBL_TEV[[#This Row],[Etica Obiettivo Sociale]]</f>
        <v>7.2498854550893199</v>
      </c>
      <c r="AD221">
        <f>TBL_TEV[[#This Row],[Etica Conservative Allocation]]</f>
        <v>0.72244900000000001</v>
      </c>
      <c r="AE221">
        <f>TBL_TEV[[#This Row],[Etica Dynamic Allocation]]</f>
        <v>2.0825770000000001</v>
      </c>
      <c r="AF221">
        <f>TBL_TEV[[#This Row],[Etica Global Equity]]</f>
        <v>2.9572620000000001</v>
      </c>
      <c r="AL221">
        <f ca="1"/>
        <v>1.548082</v>
      </c>
      <c r="AM221">
        <f ca="1"/>
        <v>0.24970600000000001</v>
      </c>
      <c r="AN221">
        <f ca="1"/>
        <v>0.748166</v>
      </c>
      <c r="AO221">
        <f ca="1"/>
        <v>2.15306</v>
      </c>
      <c r="AP221">
        <f ca="1"/>
        <v>3.2357010000000002</v>
      </c>
      <c r="AQ221">
        <f ca="1"/>
        <v>2.5015049999999999</v>
      </c>
      <c r="AR221">
        <f ca="1"/>
        <v>7.5101422797740049</v>
      </c>
      <c r="AS221">
        <f ca="1"/>
        <v>0.72244900000000001</v>
      </c>
      <c r="AT221">
        <f ca="1"/>
        <v>2.0825770000000001</v>
      </c>
      <c r="AU221">
        <f ca="1"/>
        <v>2.9572620000000001</v>
      </c>
    </row>
    <row r="222" spans="1:47">
      <c r="A222" s="43">
        <f>TBL_TEV[[#This Row],[Data2]]</f>
        <v>45602</v>
      </c>
      <c r="B222" cm="1">
        <f t="array" ref="B222">_xlfn.XLOOKUP(_xlfn.ANCHORARRAY(A222), TBL_Limiti_CDA[Data], TBL_Limiti_CDA[Etica Rendita Bilanciata], , -1)</f>
        <v>2.5</v>
      </c>
      <c r="C222" cm="1">
        <f t="array" ref="C222">_xlfn.XLOOKUP(_xlfn.ANCHORARRAY(A222), TBL_Limiti_CDA[Data], TBL_Limiti_CDA[Etica Obbligazionario Breve Termine], , -1)</f>
        <v>0.5</v>
      </c>
      <c r="D222" cm="1">
        <f t="array" ref="D222">_xlfn.XLOOKUP(_xlfn.ANCHORARRAY(A222), TBL_Limiti_CDA[Data], TBL_Limiti_CDA[Etica Obbligazionario Misto], , -1)</f>
        <v>1.5</v>
      </c>
      <c r="E222" cm="1">
        <f t="array" ref="E222">_xlfn.XLOOKUP(_xlfn.ANCHORARRAY(A222), TBL_Limiti_CDA[Data], TBL_Limiti_CDA[Etica Bilanciato], , -1)</f>
        <v>3</v>
      </c>
      <c r="F222" cm="1">
        <f t="array" ref="F222">_xlfn.XLOOKUP(_xlfn.ANCHORARRAY(A222), TBL_Limiti_CDA[Data], TBL_Limiti_CDA[Etica Azionario], , -1)</f>
        <v>3.5</v>
      </c>
      <c r="G222" cm="1">
        <f t="array" ref="G222">_xlfn.XLOOKUP(_xlfn.ANCHORARRAY(A222), TBL_Limiti_CDA[Data], TBL_Limiti_CDA[Etica Transizione Climatica], , -1)</f>
        <v>2.75</v>
      </c>
      <c r="H222" cm="1">
        <f t="array" ref="H222">_xlfn.XLOOKUP(_xlfn.ANCHORARRAY(A222), TBL_Limiti_CDA[Data], TBL_Limiti_CDA[Etica Obiettivo Sociale], , -1)</f>
        <v>9.99</v>
      </c>
      <c r="I222" cm="1">
        <f t="array" ref="I222">_xlfn.XLOOKUP(_xlfn.ANCHORARRAY(A222), TBL_Limiti_CDA[Data], TBL_Limiti_CDA[Etica Conservative Allocation], , -1)</f>
        <v>1.5</v>
      </c>
      <c r="J222" cm="1">
        <f t="array" ref="J222">_xlfn.XLOOKUP(_xlfn.ANCHORARRAY(A222), TBL_Limiti_CDA[Data], TBL_Limiti_CDA[Etica Dynamic Allocation], , -1)</f>
        <v>3</v>
      </c>
      <c r="K222" cm="1">
        <f t="array" ref="K222">_xlfn.XLOOKUP(_xlfn.ANCHORARRAY(A222), TBL_Limiti_CDA[Data], TBL_Limiti_CDA[Etica Global Equity], , -1)</f>
        <v>3.5</v>
      </c>
      <c r="L222" cm="1">
        <f t="array" ref="L222">_xlfn.ANCHORARRAY(B222)+0.15</f>
        <v>2.65</v>
      </c>
      <c r="M222" cm="1">
        <f t="array" ref="M222">_xlfn.ANCHORARRAY(C222)+0.1</f>
        <v>0.6</v>
      </c>
      <c r="N222" cm="1">
        <f t="array" ref="N222">_xlfn.ANCHORARRAY(D222)+0.15</f>
        <v>1.65</v>
      </c>
      <c r="O222" cm="1">
        <f t="array" ref="O222">_xlfn.ANCHORARRAY(E222)+0.15</f>
        <v>3.15</v>
      </c>
      <c r="P222" cm="1">
        <f t="array" ref="P222">_xlfn.ANCHORARRAY(F222)+0.15</f>
        <v>3.65</v>
      </c>
      <c r="Q222" cm="1">
        <f t="array" ref="Q222">_xlfn.ANCHORARRAY(G222)+0.15</f>
        <v>2.9</v>
      </c>
      <c r="R222" cm="1">
        <f t="array" ref="R222">_xlfn.ANCHORARRAY(H222)</f>
        <v>9.99</v>
      </c>
      <c r="S222" cm="1">
        <f t="array" ref="S222">_xlfn.ANCHORARRAY(R222)+0.15</f>
        <v>10.14</v>
      </c>
      <c r="T222" cm="1">
        <f t="array" ref="T222">_xlfn.ANCHORARRAY(I222)+0.15</f>
        <v>1.65</v>
      </c>
      <c r="U222" cm="1">
        <f t="array" ref="U222">_xlfn.ANCHORARRAY(J222)+0.15</f>
        <v>3.15</v>
      </c>
      <c r="V222" cm="1">
        <f t="array" ref="V222">_xlfn.ANCHORARRAY(K222)+0.15</f>
        <v>3.65</v>
      </c>
      <c r="W222">
        <f>TBL_TEV[[#This Row],[Etica Rendita Bilanciata]]</f>
        <v>1.548082</v>
      </c>
      <c r="X222">
        <f>TBL_TEV[[#This Row],[Etica Obbligazionario Breve Termine]]</f>
        <v>0.24970600000000001</v>
      </c>
      <c r="Y222">
        <f>TBL_TEV[[#This Row],[Etica Obbligazionario Misto]]</f>
        <v>0.748166</v>
      </c>
      <c r="Z222">
        <f>TBL_TEV[[#This Row],[Etica Bilanciato]]</f>
        <v>2.15306</v>
      </c>
      <c r="AA222">
        <f>TBL_TEV[[#This Row],[Etica Azionario]]</f>
        <v>3.2357010000000002</v>
      </c>
      <c r="AB222">
        <f>TBL_TEV[[#This Row],[Etica Transizione Climatica]]</f>
        <v>2.5015049999999999</v>
      </c>
      <c r="AC222">
        <f>TBL_TEV[[#This Row],[Etica Obiettivo Sociale]]</f>
        <v>7.5101422797740049</v>
      </c>
      <c r="AD222">
        <f>TBL_TEV[[#This Row],[Etica Conservative Allocation]]</f>
        <v>0.72244900000000001</v>
      </c>
      <c r="AE222">
        <f>TBL_TEV[[#This Row],[Etica Dynamic Allocation]]</f>
        <v>2.0825770000000001</v>
      </c>
      <c r="AF222">
        <f>TBL_TEV[[#This Row],[Etica Global Equity]]</f>
        <v>2.9572620000000001</v>
      </c>
      <c r="AL222">
        <f ca="1"/>
        <v>1.5625279999999999</v>
      </c>
      <c r="AM222">
        <f ca="1"/>
        <v>0.24954699999999999</v>
      </c>
      <c r="AN222">
        <f ca="1"/>
        <v>0.75387999999999999</v>
      </c>
      <c r="AO222">
        <f ca="1"/>
        <v>2.1746490000000001</v>
      </c>
      <c r="AP222">
        <f ca="1"/>
        <v>3.2655449999999999</v>
      </c>
      <c r="AQ222">
        <f ca="1"/>
        <v>2.509125</v>
      </c>
      <c r="AR222">
        <f ca="1"/>
        <v>7.476463984947844</v>
      </c>
      <c r="AS222">
        <f ca="1"/>
        <v>0.72244900000000001</v>
      </c>
      <c r="AT222">
        <f ca="1"/>
        <v>2.0825770000000001</v>
      </c>
      <c r="AU222">
        <f ca="1"/>
        <v>2.9572620000000001</v>
      </c>
    </row>
    <row r="223" spans="1:47">
      <c r="A223" s="43">
        <f>TBL_TEV[[#This Row],[Data2]]</f>
        <v>45603</v>
      </c>
      <c r="B223" cm="1">
        <f t="array" ref="B223">_xlfn.XLOOKUP(_xlfn.ANCHORARRAY(A223), TBL_Limiti_CDA[Data], TBL_Limiti_CDA[Etica Rendita Bilanciata], , -1)</f>
        <v>2.5</v>
      </c>
      <c r="C223" cm="1">
        <f t="array" ref="C223">_xlfn.XLOOKUP(_xlfn.ANCHORARRAY(A223), TBL_Limiti_CDA[Data], TBL_Limiti_CDA[Etica Obbligazionario Breve Termine], , -1)</f>
        <v>0.5</v>
      </c>
      <c r="D223" cm="1">
        <f t="array" ref="D223">_xlfn.XLOOKUP(_xlfn.ANCHORARRAY(A223), TBL_Limiti_CDA[Data], TBL_Limiti_CDA[Etica Obbligazionario Misto], , -1)</f>
        <v>1.5</v>
      </c>
      <c r="E223" cm="1">
        <f t="array" ref="E223">_xlfn.XLOOKUP(_xlfn.ANCHORARRAY(A223), TBL_Limiti_CDA[Data], TBL_Limiti_CDA[Etica Bilanciato], , -1)</f>
        <v>3</v>
      </c>
      <c r="F223" cm="1">
        <f t="array" ref="F223">_xlfn.XLOOKUP(_xlfn.ANCHORARRAY(A223), TBL_Limiti_CDA[Data], TBL_Limiti_CDA[Etica Azionario], , -1)</f>
        <v>3.5</v>
      </c>
      <c r="G223" cm="1">
        <f t="array" ref="G223">_xlfn.XLOOKUP(_xlfn.ANCHORARRAY(A223), TBL_Limiti_CDA[Data], TBL_Limiti_CDA[Etica Transizione Climatica], , -1)</f>
        <v>2.75</v>
      </c>
      <c r="H223" cm="1">
        <f t="array" ref="H223">_xlfn.XLOOKUP(_xlfn.ANCHORARRAY(A223), TBL_Limiti_CDA[Data], TBL_Limiti_CDA[Etica Obiettivo Sociale], , -1)</f>
        <v>9.99</v>
      </c>
      <c r="I223" cm="1">
        <f t="array" ref="I223">_xlfn.XLOOKUP(_xlfn.ANCHORARRAY(A223), TBL_Limiti_CDA[Data], TBL_Limiti_CDA[Etica Conservative Allocation], , -1)</f>
        <v>1.5</v>
      </c>
      <c r="J223" cm="1">
        <f t="array" ref="J223">_xlfn.XLOOKUP(_xlfn.ANCHORARRAY(A223), TBL_Limiti_CDA[Data], TBL_Limiti_CDA[Etica Dynamic Allocation], , -1)</f>
        <v>3</v>
      </c>
      <c r="K223" cm="1">
        <f t="array" ref="K223">_xlfn.XLOOKUP(_xlfn.ANCHORARRAY(A223), TBL_Limiti_CDA[Data], TBL_Limiti_CDA[Etica Global Equity], , -1)</f>
        <v>3.5</v>
      </c>
      <c r="L223" cm="1">
        <f t="array" ref="L223">_xlfn.ANCHORARRAY(B223)+0.15</f>
        <v>2.65</v>
      </c>
      <c r="M223" cm="1">
        <f t="array" ref="M223">_xlfn.ANCHORARRAY(C223)+0.1</f>
        <v>0.6</v>
      </c>
      <c r="N223" cm="1">
        <f t="array" ref="N223">_xlfn.ANCHORARRAY(D223)+0.15</f>
        <v>1.65</v>
      </c>
      <c r="O223" cm="1">
        <f t="array" ref="O223">_xlfn.ANCHORARRAY(E223)+0.15</f>
        <v>3.15</v>
      </c>
      <c r="P223" cm="1">
        <f t="array" ref="P223">_xlfn.ANCHORARRAY(F223)+0.15</f>
        <v>3.65</v>
      </c>
      <c r="Q223" cm="1">
        <f t="array" ref="Q223">_xlfn.ANCHORARRAY(G223)+0.15</f>
        <v>2.9</v>
      </c>
      <c r="R223" cm="1">
        <f t="array" ref="R223">_xlfn.ANCHORARRAY(H223)</f>
        <v>9.99</v>
      </c>
      <c r="S223" cm="1">
        <f t="array" ref="S223">_xlfn.ANCHORARRAY(R223)+0.15</f>
        <v>10.14</v>
      </c>
      <c r="T223" cm="1">
        <f t="array" ref="T223">_xlfn.ANCHORARRAY(I223)+0.15</f>
        <v>1.65</v>
      </c>
      <c r="U223" cm="1">
        <f t="array" ref="U223">_xlfn.ANCHORARRAY(J223)+0.15</f>
        <v>3.15</v>
      </c>
      <c r="V223" cm="1">
        <f t="array" ref="V223">_xlfn.ANCHORARRAY(K223)+0.15</f>
        <v>3.65</v>
      </c>
      <c r="W223">
        <f>TBL_TEV[[#This Row],[Etica Rendita Bilanciata]]</f>
        <v>1.5625279999999999</v>
      </c>
      <c r="X223">
        <f>TBL_TEV[[#This Row],[Etica Obbligazionario Breve Termine]]</f>
        <v>0.24954699999999999</v>
      </c>
      <c r="Y223">
        <f>TBL_TEV[[#This Row],[Etica Obbligazionario Misto]]</f>
        <v>0.75387999999999999</v>
      </c>
      <c r="Z223">
        <f>TBL_TEV[[#This Row],[Etica Bilanciato]]</f>
        <v>2.1746490000000001</v>
      </c>
      <c r="AA223">
        <f>TBL_TEV[[#This Row],[Etica Azionario]]</f>
        <v>3.2655449999999999</v>
      </c>
      <c r="AB223">
        <f>TBL_TEV[[#This Row],[Etica Transizione Climatica]]</f>
        <v>2.509125</v>
      </c>
      <c r="AC223">
        <f>TBL_TEV[[#This Row],[Etica Obiettivo Sociale]]</f>
        <v>7.476463984947844</v>
      </c>
      <c r="AD223">
        <f>TBL_TEV[[#This Row],[Etica Conservative Allocation]]</f>
        <v>0.72244900000000001</v>
      </c>
      <c r="AE223">
        <f>TBL_TEV[[#This Row],[Etica Dynamic Allocation]]</f>
        <v>2.0825770000000001</v>
      </c>
      <c r="AF223">
        <f>TBL_TEV[[#This Row],[Etica Global Equity]]</f>
        <v>2.9572620000000001</v>
      </c>
      <c r="AL223">
        <f ca="1"/>
        <v>1.5349060000000001</v>
      </c>
      <c r="AM223">
        <f ca="1"/>
        <v>0.249389</v>
      </c>
      <c r="AN223">
        <f ca="1"/>
        <v>0.74721300000000002</v>
      </c>
      <c r="AO223">
        <f ca="1"/>
        <v>2.176078</v>
      </c>
      <c r="AP223">
        <f ca="1"/>
        <v>3.3646020000000001</v>
      </c>
      <c r="AQ223">
        <f ca="1"/>
        <v>2.5202369999999998</v>
      </c>
      <c r="AR223">
        <f ca="1"/>
        <v>7.7199642726871973</v>
      </c>
      <c r="AS223">
        <f ca="1"/>
        <v>0.72244900000000001</v>
      </c>
      <c r="AT223">
        <f ca="1"/>
        <v>2.0825770000000001</v>
      </c>
      <c r="AU223">
        <f ca="1"/>
        <v>2.9572620000000001</v>
      </c>
    </row>
    <row r="224" spans="1:47">
      <c r="A224" s="43">
        <f>TBL_TEV[[#This Row],[Data2]]</f>
        <v>45604</v>
      </c>
      <c r="B224" cm="1">
        <f t="array" ref="B224">_xlfn.XLOOKUP(_xlfn.ANCHORARRAY(A224), TBL_Limiti_CDA[Data], TBL_Limiti_CDA[Etica Rendita Bilanciata], , -1)</f>
        <v>2.5</v>
      </c>
      <c r="C224" cm="1">
        <f t="array" ref="C224">_xlfn.XLOOKUP(_xlfn.ANCHORARRAY(A224), TBL_Limiti_CDA[Data], TBL_Limiti_CDA[Etica Obbligazionario Breve Termine], , -1)</f>
        <v>0.5</v>
      </c>
      <c r="D224" cm="1">
        <f t="array" ref="D224">_xlfn.XLOOKUP(_xlfn.ANCHORARRAY(A224), TBL_Limiti_CDA[Data], TBL_Limiti_CDA[Etica Obbligazionario Misto], , -1)</f>
        <v>1.5</v>
      </c>
      <c r="E224" cm="1">
        <f t="array" ref="E224">_xlfn.XLOOKUP(_xlfn.ANCHORARRAY(A224), TBL_Limiti_CDA[Data], TBL_Limiti_CDA[Etica Bilanciato], , -1)</f>
        <v>3</v>
      </c>
      <c r="F224" cm="1">
        <f t="array" ref="F224">_xlfn.XLOOKUP(_xlfn.ANCHORARRAY(A224), TBL_Limiti_CDA[Data], TBL_Limiti_CDA[Etica Azionario], , -1)</f>
        <v>3.5</v>
      </c>
      <c r="G224" cm="1">
        <f t="array" ref="G224">_xlfn.XLOOKUP(_xlfn.ANCHORARRAY(A224), TBL_Limiti_CDA[Data], TBL_Limiti_CDA[Etica Transizione Climatica], , -1)</f>
        <v>2.75</v>
      </c>
      <c r="H224" cm="1">
        <f t="array" ref="H224">_xlfn.XLOOKUP(_xlfn.ANCHORARRAY(A224), TBL_Limiti_CDA[Data], TBL_Limiti_CDA[Etica Obiettivo Sociale], , -1)</f>
        <v>9.99</v>
      </c>
      <c r="I224" cm="1">
        <f t="array" ref="I224">_xlfn.XLOOKUP(_xlfn.ANCHORARRAY(A224), TBL_Limiti_CDA[Data], TBL_Limiti_CDA[Etica Conservative Allocation], , -1)</f>
        <v>1.5</v>
      </c>
      <c r="J224" cm="1">
        <f t="array" ref="J224">_xlfn.XLOOKUP(_xlfn.ANCHORARRAY(A224), TBL_Limiti_CDA[Data], TBL_Limiti_CDA[Etica Dynamic Allocation], , -1)</f>
        <v>3</v>
      </c>
      <c r="K224" cm="1">
        <f t="array" ref="K224">_xlfn.XLOOKUP(_xlfn.ANCHORARRAY(A224), TBL_Limiti_CDA[Data], TBL_Limiti_CDA[Etica Global Equity], , -1)</f>
        <v>3.5</v>
      </c>
      <c r="L224" cm="1">
        <f t="array" ref="L224">_xlfn.ANCHORARRAY(B224)+0.15</f>
        <v>2.65</v>
      </c>
      <c r="M224" cm="1">
        <f t="array" ref="M224">_xlfn.ANCHORARRAY(C224)+0.1</f>
        <v>0.6</v>
      </c>
      <c r="N224" cm="1">
        <f t="array" ref="N224">_xlfn.ANCHORARRAY(D224)+0.15</f>
        <v>1.65</v>
      </c>
      <c r="O224" cm="1">
        <f t="array" ref="O224">_xlfn.ANCHORARRAY(E224)+0.15</f>
        <v>3.15</v>
      </c>
      <c r="P224" cm="1">
        <f t="array" ref="P224">_xlfn.ANCHORARRAY(F224)+0.15</f>
        <v>3.65</v>
      </c>
      <c r="Q224" cm="1">
        <f t="array" ref="Q224">_xlfn.ANCHORARRAY(G224)+0.15</f>
        <v>2.9</v>
      </c>
      <c r="R224" cm="1">
        <f t="array" ref="R224">_xlfn.ANCHORARRAY(H224)</f>
        <v>9.99</v>
      </c>
      <c r="S224" cm="1">
        <f t="array" ref="S224">_xlfn.ANCHORARRAY(R224)+0.15</f>
        <v>10.14</v>
      </c>
      <c r="T224" cm="1">
        <f t="array" ref="T224">_xlfn.ANCHORARRAY(I224)+0.15</f>
        <v>1.65</v>
      </c>
      <c r="U224" cm="1">
        <f t="array" ref="U224">_xlfn.ANCHORARRAY(J224)+0.15</f>
        <v>3.15</v>
      </c>
      <c r="V224" cm="1">
        <f t="array" ref="V224">_xlfn.ANCHORARRAY(K224)+0.15</f>
        <v>3.65</v>
      </c>
      <c r="W224">
        <f>TBL_TEV[[#This Row],[Etica Rendita Bilanciata]]</f>
        <v>1.5349060000000001</v>
      </c>
      <c r="X224">
        <f>TBL_TEV[[#This Row],[Etica Obbligazionario Breve Termine]]</f>
        <v>0.249389</v>
      </c>
      <c r="Y224">
        <f>TBL_TEV[[#This Row],[Etica Obbligazionario Misto]]</f>
        <v>0.74721300000000002</v>
      </c>
      <c r="Z224">
        <f>TBL_TEV[[#This Row],[Etica Bilanciato]]</f>
        <v>2.176078</v>
      </c>
      <c r="AA224">
        <f>TBL_TEV[[#This Row],[Etica Azionario]]</f>
        <v>3.3646020000000001</v>
      </c>
      <c r="AB224">
        <f>TBL_TEV[[#This Row],[Etica Transizione Climatica]]</f>
        <v>2.5202369999999998</v>
      </c>
      <c r="AC224">
        <f>TBL_TEV[[#This Row],[Etica Obiettivo Sociale]]</f>
        <v>7.7199642726871973</v>
      </c>
      <c r="AD224">
        <f>TBL_TEV[[#This Row],[Etica Conservative Allocation]]</f>
        <v>0.72244900000000001</v>
      </c>
      <c r="AE224">
        <f>TBL_TEV[[#This Row],[Etica Dynamic Allocation]]</f>
        <v>2.0825770000000001</v>
      </c>
      <c r="AF224">
        <f>TBL_TEV[[#This Row],[Etica Global Equity]]</f>
        <v>2.9572620000000001</v>
      </c>
      <c r="AL224">
        <f ca="1"/>
        <v>1.539034</v>
      </c>
      <c r="AM224">
        <f ca="1"/>
        <v>0.25208700000000001</v>
      </c>
      <c r="AN224">
        <f ca="1"/>
        <v>0.74800699999999998</v>
      </c>
      <c r="AO224">
        <f ca="1"/>
        <v>2.1943329999999999</v>
      </c>
      <c r="AP224">
        <f ca="1"/>
        <v>3.3998430000000002</v>
      </c>
      <c r="AQ224">
        <f ca="1"/>
        <v>2.4927739999999998</v>
      </c>
      <c r="AR224">
        <f ca="1"/>
        <v>7.9834134312447098</v>
      </c>
      <c r="AS224">
        <f ca="1"/>
        <v>0.72244900000000001</v>
      </c>
      <c r="AT224">
        <f ca="1"/>
        <v>2.0825770000000001</v>
      </c>
      <c r="AU224">
        <f ca="1"/>
        <v>2.9572620000000001</v>
      </c>
    </row>
    <row r="225" spans="1:47">
      <c r="A225" s="43">
        <f>TBL_TEV[[#This Row],[Data2]]</f>
        <v>45607</v>
      </c>
      <c r="B225" cm="1">
        <f t="array" ref="B225">_xlfn.XLOOKUP(_xlfn.ANCHORARRAY(A225), TBL_Limiti_CDA[Data], TBL_Limiti_CDA[Etica Rendita Bilanciata], , -1)</f>
        <v>2.5</v>
      </c>
      <c r="C225" cm="1">
        <f t="array" ref="C225">_xlfn.XLOOKUP(_xlfn.ANCHORARRAY(A225), TBL_Limiti_CDA[Data], TBL_Limiti_CDA[Etica Obbligazionario Breve Termine], , -1)</f>
        <v>0.5</v>
      </c>
      <c r="D225" cm="1">
        <f t="array" ref="D225">_xlfn.XLOOKUP(_xlfn.ANCHORARRAY(A225), TBL_Limiti_CDA[Data], TBL_Limiti_CDA[Etica Obbligazionario Misto], , -1)</f>
        <v>1.5</v>
      </c>
      <c r="E225" cm="1">
        <f t="array" ref="E225">_xlfn.XLOOKUP(_xlfn.ANCHORARRAY(A225), TBL_Limiti_CDA[Data], TBL_Limiti_CDA[Etica Bilanciato], , -1)</f>
        <v>3</v>
      </c>
      <c r="F225" cm="1">
        <f t="array" ref="F225">_xlfn.XLOOKUP(_xlfn.ANCHORARRAY(A225), TBL_Limiti_CDA[Data], TBL_Limiti_CDA[Etica Azionario], , -1)</f>
        <v>3.5</v>
      </c>
      <c r="G225" cm="1">
        <f t="array" ref="G225">_xlfn.XLOOKUP(_xlfn.ANCHORARRAY(A225), TBL_Limiti_CDA[Data], TBL_Limiti_CDA[Etica Transizione Climatica], , -1)</f>
        <v>2.75</v>
      </c>
      <c r="H225" cm="1">
        <f t="array" ref="H225">_xlfn.XLOOKUP(_xlfn.ANCHORARRAY(A225), TBL_Limiti_CDA[Data], TBL_Limiti_CDA[Etica Obiettivo Sociale], , -1)</f>
        <v>9.99</v>
      </c>
      <c r="I225" cm="1">
        <f t="array" ref="I225">_xlfn.XLOOKUP(_xlfn.ANCHORARRAY(A225), TBL_Limiti_CDA[Data], TBL_Limiti_CDA[Etica Conservative Allocation], , -1)</f>
        <v>1.5</v>
      </c>
      <c r="J225" cm="1">
        <f t="array" ref="J225">_xlfn.XLOOKUP(_xlfn.ANCHORARRAY(A225), TBL_Limiti_CDA[Data], TBL_Limiti_CDA[Etica Dynamic Allocation], , -1)</f>
        <v>3</v>
      </c>
      <c r="K225" cm="1">
        <f t="array" ref="K225">_xlfn.XLOOKUP(_xlfn.ANCHORARRAY(A225), TBL_Limiti_CDA[Data], TBL_Limiti_CDA[Etica Global Equity], , -1)</f>
        <v>3.5</v>
      </c>
      <c r="L225" cm="1">
        <f t="array" ref="L225">_xlfn.ANCHORARRAY(B225)+0.15</f>
        <v>2.65</v>
      </c>
      <c r="M225" cm="1">
        <f t="array" ref="M225">_xlfn.ANCHORARRAY(C225)+0.1</f>
        <v>0.6</v>
      </c>
      <c r="N225" cm="1">
        <f t="array" ref="N225">_xlfn.ANCHORARRAY(D225)+0.15</f>
        <v>1.65</v>
      </c>
      <c r="O225" cm="1">
        <f t="array" ref="O225">_xlfn.ANCHORARRAY(E225)+0.15</f>
        <v>3.15</v>
      </c>
      <c r="P225" cm="1">
        <f t="array" ref="P225">_xlfn.ANCHORARRAY(F225)+0.15</f>
        <v>3.65</v>
      </c>
      <c r="Q225" cm="1">
        <f t="array" ref="Q225">_xlfn.ANCHORARRAY(G225)+0.15</f>
        <v>2.9</v>
      </c>
      <c r="R225" cm="1">
        <f t="array" ref="R225">_xlfn.ANCHORARRAY(H225)</f>
        <v>9.99</v>
      </c>
      <c r="S225" cm="1">
        <f t="array" ref="S225">_xlfn.ANCHORARRAY(R225)+0.15</f>
        <v>10.14</v>
      </c>
      <c r="T225" cm="1">
        <f t="array" ref="T225">_xlfn.ANCHORARRAY(I225)+0.15</f>
        <v>1.65</v>
      </c>
      <c r="U225" cm="1">
        <f t="array" ref="U225">_xlfn.ANCHORARRAY(J225)+0.15</f>
        <v>3.15</v>
      </c>
      <c r="V225" cm="1">
        <f t="array" ref="V225">_xlfn.ANCHORARRAY(K225)+0.15</f>
        <v>3.65</v>
      </c>
      <c r="W225">
        <f>TBL_TEV[[#This Row],[Etica Rendita Bilanciata]]</f>
        <v>1.539034</v>
      </c>
      <c r="X225">
        <f>TBL_TEV[[#This Row],[Etica Obbligazionario Breve Termine]]</f>
        <v>0.25208700000000001</v>
      </c>
      <c r="Y225">
        <f>TBL_TEV[[#This Row],[Etica Obbligazionario Misto]]</f>
        <v>0.74800699999999998</v>
      </c>
      <c r="Z225">
        <f>TBL_TEV[[#This Row],[Etica Bilanciato]]</f>
        <v>2.1943329999999999</v>
      </c>
      <c r="AA225">
        <f>TBL_TEV[[#This Row],[Etica Azionario]]</f>
        <v>3.3998430000000002</v>
      </c>
      <c r="AB225">
        <f>TBL_TEV[[#This Row],[Etica Transizione Climatica]]</f>
        <v>2.4927739999999998</v>
      </c>
      <c r="AC225">
        <f>TBL_TEV[[#This Row],[Etica Obiettivo Sociale]]</f>
        <v>7.9834134312447098</v>
      </c>
      <c r="AD225">
        <f>TBL_TEV[[#This Row],[Etica Conservative Allocation]]</f>
        <v>0.72244900000000001</v>
      </c>
      <c r="AE225">
        <f>TBL_TEV[[#This Row],[Etica Dynamic Allocation]]</f>
        <v>2.0825770000000001</v>
      </c>
      <c r="AF225">
        <f>TBL_TEV[[#This Row],[Etica Global Equity]]</f>
        <v>2.9572620000000001</v>
      </c>
      <c r="AL225">
        <f ca="1"/>
        <v>1.5263340000000001</v>
      </c>
      <c r="AM225">
        <f ca="1"/>
        <v>0.252722</v>
      </c>
      <c r="AN225">
        <f ca="1"/>
        <v>0.74102199999999996</v>
      </c>
      <c r="AO225">
        <f ca="1"/>
        <v>2.176078</v>
      </c>
      <c r="AP225">
        <f ca="1"/>
        <v>3.3822230000000002</v>
      </c>
      <c r="AQ225">
        <f ca="1"/>
        <v>2.541032</v>
      </c>
      <c r="AR225">
        <f ca="1"/>
        <v>7.6633581542069136</v>
      </c>
      <c r="AS225">
        <f ca="1"/>
        <v>0.72244900000000001</v>
      </c>
      <c r="AT225">
        <f ca="1"/>
        <v>2.0825770000000001</v>
      </c>
      <c r="AU225">
        <f ca="1"/>
        <v>2.9572620000000001</v>
      </c>
    </row>
    <row r="226" spans="1:47">
      <c r="A226" s="43">
        <f>TBL_TEV[[#This Row],[Data2]]</f>
        <v>45608</v>
      </c>
      <c r="B226" cm="1">
        <f t="array" ref="B226">_xlfn.XLOOKUP(_xlfn.ANCHORARRAY(A226), TBL_Limiti_CDA[Data], TBL_Limiti_CDA[Etica Rendita Bilanciata], , -1)</f>
        <v>2.5</v>
      </c>
      <c r="C226" cm="1">
        <f t="array" ref="C226">_xlfn.XLOOKUP(_xlfn.ANCHORARRAY(A226), TBL_Limiti_CDA[Data], TBL_Limiti_CDA[Etica Obbligazionario Breve Termine], , -1)</f>
        <v>0.5</v>
      </c>
      <c r="D226" cm="1">
        <f t="array" ref="D226">_xlfn.XLOOKUP(_xlfn.ANCHORARRAY(A226), TBL_Limiti_CDA[Data], TBL_Limiti_CDA[Etica Obbligazionario Misto], , -1)</f>
        <v>1.5</v>
      </c>
      <c r="E226" cm="1">
        <f t="array" ref="E226">_xlfn.XLOOKUP(_xlfn.ANCHORARRAY(A226), TBL_Limiti_CDA[Data], TBL_Limiti_CDA[Etica Bilanciato], , -1)</f>
        <v>3</v>
      </c>
      <c r="F226" cm="1">
        <f t="array" ref="F226">_xlfn.XLOOKUP(_xlfn.ANCHORARRAY(A226), TBL_Limiti_CDA[Data], TBL_Limiti_CDA[Etica Azionario], , -1)</f>
        <v>3.5</v>
      </c>
      <c r="G226" cm="1">
        <f t="array" ref="G226">_xlfn.XLOOKUP(_xlfn.ANCHORARRAY(A226), TBL_Limiti_CDA[Data], TBL_Limiti_CDA[Etica Transizione Climatica], , -1)</f>
        <v>2.75</v>
      </c>
      <c r="H226" cm="1">
        <f t="array" ref="H226">_xlfn.XLOOKUP(_xlfn.ANCHORARRAY(A226), TBL_Limiti_CDA[Data], TBL_Limiti_CDA[Etica Obiettivo Sociale], , -1)</f>
        <v>9.99</v>
      </c>
      <c r="I226" cm="1">
        <f t="array" ref="I226">_xlfn.XLOOKUP(_xlfn.ANCHORARRAY(A226), TBL_Limiti_CDA[Data], TBL_Limiti_CDA[Etica Conservative Allocation], , -1)</f>
        <v>1.5</v>
      </c>
      <c r="J226" cm="1">
        <f t="array" ref="J226">_xlfn.XLOOKUP(_xlfn.ANCHORARRAY(A226), TBL_Limiti_CDA[Data], TBL_Limiti_CDA[Etica Dynamic Allocation], , -1)</f>
        <v>3</v>
      </c>
      <c r="K226" cm="1">
        <f t="array" ref="K226">_xlfn.XLOOKUP(_xlfn.ANCHORARRAY(A226), TBL_Limiti_CDA[Data], TBL_Limiti_CDA[Etica Global Equity], , -1)</f>
        <v>3.5</v>
      </c>
      <c r="L226" cm="1">
        <f t="array" ref="L226">_xlfn.ANCHORARRAY(B226)+0.15</f>
        <v>2.65</v>
      </c>
      <c r="M226" cm="1">
        <f t="array" ref="M226">_xlfn.ANCHORARRAY(C226)+0.1</f>
        <v>0.6</v>
      </c>
      <c r="N226" cm="1">
        <f t="array" ref="N226">_xlfn.ANCHORARRAY(D226)+0.15</f>
        <v>1.65</v>
      </c>
      <c r="O226" cm="1">
        <f t="array" ref="O226">_xlfn.ANCHORARRAY(E226)+0.15</f>
        <v>3.15</v>
      </c>
      <c r="P226" cm="1">
        <f t="array" ref="P226">_xlfn.ANCHORARRAY(F226)+0.15</f>
        <v>3.65</v>
      </c>
      <c r="Q226" cm="1">
        <f t="array" ref="Q226">_xlfn.ANCHORARRAY(G226)+0.15</f>
        <v>2.9</v>
      </c>
      <c r="R226" cm="1">
        <f t="array" ref="R226">_xlfn.ANCHORARRAY(H226)</f>
        <v>9.99</v>
      </c>
      <c r="S226" cm="1">
        <f t="array" ref="S226">_xlfn.ANCHORARRAY(R226)+0.15</f>
        <v>10.14</v>
      </c>
      <c r="T226" cm="1">
        <f t="array" ref="T226">_xlfn.ANCHORARRAY(I226)+0.15</f>
        <v>1.65</v>
      </c>
      <c r="U226" cm="1">
        <f t="array" ref="U226">_xlfn.ANCHORARRAY(J226)+0.15</f>
        <v>3.15</v>
      </c>
      <c r="V226" cm="1">
        <f t="array" ref="V226">_xlfn.ANCHORARRAY(K226)+0.15</f>
        <v>3.65</v>
      </c>
      <c r="W226">
        <f>TBL_TEV[[#This Row],[Etica Rendita Bilanciata]]</f>
        <v>1.5263340000000001</v>
      </c>
      <c r="X226">
        <f>TBL_TEV[[#This Row],[Etica Obbligazionario Breve Termine]]</f>
        <v>0.252722</v>
      </c>
      <c r="Y226">
        <f>TBL_TEV[[#This Row],[Etica Obbligazionario Misto]]</f>
        <v>0.74102199999999996</v>
      </c>
      <c r="Z226">
        <f>TBL_TEV[[#This Row],[Etica Bilanciato]]</f>
        <v>2.176078</v>
      </c>
      <c r="AA226">
        <f>TBL_TEV[[#This Row],[Etica Azionario]]</f>
        <v>3.3822230000000002</v>
      </c>
      <c r="AB226">
        <f>TBL_TEV[[#This Row],[Etica Transizione Climatica]]</f>
        <v>2.541032</v>
      </c>
      <c r="AC226">
        <f>TBL_TEV[[#This Row],[Etica Obiettivo Sociale]]</f>
        <v>7.6633581542069136</v>
      </c>
      <c r="AD226">
        <f>TBL_TEV[[#This Row],[Etica Conservative Allocation]]</f>
        <v>0.72244900000000001</v>
      </c>
      <c r="AE226">
        <f>TBL_TEV[[#This Row],[Etica Dynamic Allocation]]</f>
        <v>2.0825770000000001</v>
      </c>
      <c r="AF226">
        <f>TBL_TEV[[#This Row],[Etica Global Equity]]</f>
        <v>2.9572620000000001</v>
      </c>
      <c r="AL226">
        <f ca="1"/>
        <v>1.5557019999999999</v>
      </c>
      <c r="AM226">
        <f ca="1"/>
        <v>0.29685299999999998</v>
      </c>
      <c r="AN226">
        <f ca="1"/>
        <v>0.77483500000000005</v>
      </c>
      <c r="AO226">
        <f ca="1"/>
        <v>2.1813159999999998</v>
      </c>
      <c r="AP226">
        <f ca="1"/>
        <v>3.3988909999999999</v>
      </c>
      <c r="AQ226">
        <f ca="1"/>
        <v>2.5300790000000002</v>
      </c>
      <c r="AR226">
        <f ca="1"/>
        <v>7.7396537912346748</v>
      </c>
      <c r="AS226">
        <f ca="1"/>
        <v>0.72244900000000001</v>
      </c>
      <c r="AT226">
        <f ca="1"/>
        <v>2.0825770000000001</v>
      </c>
      <c r="AU226">
        <f ca="1"/>
        <v>2.9572620000000001</v>
      </c>
    </row>
    <row r="227" spans="1:47">
      <c r="A227" s="43">
        <f>TBL_TEV[[#This Row],[Data2]]</f>
        <v>45609</v>
      </c>
      <c r="B227" cm="1">
        <f t="array" ref="B227">_xlfn.XLOOKUP(_xlfn.ANCHORARRAY(A227), TBL_Limiti_CDA[Data], TBL_Limiti_CDA[Etica Rendita Bilanciata], , -1)</f>
        <v>2.5</v>
      </c>
      <c r="C227" cm="1">
        <f t="array" ref="C227">_xlfn.XLOOKUP(_xlfn.ANCHORARRAY(A227), TBL_Limiti_CDA[Data], TBL_Limiti_CDA[Etica Obbligazionario Breve Termine], , -1)</f>
        <v>0.5</v>
      </c>
      <c r="D227" cm="1">
        <f t="array" ref="D227">_xlfn.XLOOKUP(_xlfn.ANCHORARRAY(A227), TBL_Limiti_CDA[Data], TBL_Limiti_CDA[Etica Obbligazionario Misto], , -1)</f>
        <v>1.5</v>
      </c>
      <c r="E227" cm="1">
        <f t="array" ref="E227">_xlfn.XLOOKUP(_xlfn.ANCHORARRAY(A227), TBL_Limiti_CDA[Data], TBL_Limiti_CDA[Etica Bilanciato], , -1)</f>
        <v>3</v>
      </c>
      <c r="F227" cm="1">
        <f t="array" ref="F227">_xlfn.XLOOKUP(_xlfn.ANCHORARRAY(A227), TBL_Limiti_CDA[Data], TBL_Limiti_CDA[Etica Azionario], , -1)</f>
        <v>3.5</v>
      </c>
      <c r="G227" cm="1">
        <f t="array" ref="G227">_xlfn.XLOOKUP(_xlfn.ANCHORARRAY(A227), TBL_Limiti_CDA[Data], TBL_Limiti_CDA[Etica Transizione Climatica], , -1)</f>
        <v>2.75</v>
      </c>
      <c r="H227" cm="1">
        <f t="array" ref="H227">_xlfn.XLOOKUP(_xlfn.ANCHORARRAY(A227), TBL_Limiti_CDA[Data], TBL_Limiti_CDA[Etica Obiettivo Sociale], , -1)</f>
        <v>9.99</v>
      </c>
      <c r="I227" cm="1">
        <f t="array" ref="I227">_xlfn.XLOOKUP(_xlfn.ANCHORARRAY(A227), TBL_Limiti_CDA[Data], TBL_Limiti_CDA[Etica Conservative Allocation], , -1)</f>
        <v>1.5</v>
      </c>
      <c r="J227" cm="1">
        <f t="array" ref="J227">_xlfn.XLOOKUP(_xlfn.ANCHORARRAY(A227), TBL_Limiti_CDA[Data], TBL_Limiti_CDA[Etica Dynamic Allocation], , -1)</f>
        <v>3</v>
      </c>
      <c r="K227" cm="1">
        <f t="array" ref="K227">_xlfn.XLOOKUP(_xlfn.ANCHORARRAY(A227), TBL_Limiti_CDA[Data], TBL_Limiti_CDA[Etica Global Equity], , -1)</f>
        <v>3.5</v>
      </c>
      <c r="L227" cm="1">
        <f t="array" ref="L227">_xlfn.ANCHORARRAY(B227)+0.15</f>
        <v>2.65</v>
      </c>
      <c r="M227" cm="1">
        <f t="array" ref="M227">_xlfn.ANCHORARRAY(C227)+0.1</f>
        <v>0.6</v>
      </c>
      <c r="N227" cm="1">
        <f t="array" ref="N227">_xlfn.ANCHORARRAY(D227)+0.15</f>
        <v>1.65</v>
      </c>
      <c r="O227" cm="1">
        <f t="array" ref="O227">_xlfn.ANCHORARRAY(E227)+0.15</f>
        <v>3.15</v>
      </c>
      <c r="P227" cm="1">
        <f t="array" ref="P227">_xlfn.ANCHORARRAY(F227)+0.15</f>
        <v>3.65</v>
      </c>
      <c r="Q227" cm="1">
        <f t="array" ref="Q227">_xlfn.ANCHORARRAY(G227)+0.15</f>
        <v>2.9</v>
      </c>
      <c r="R227" cm="1">
        <f t="array" ref="R227">_xlfn.ANCHORARRAY(H227)</f>
        <v>9.99</v>
      </c>
      <c r="S227" cm="1">
        <f t="array" ref="S227">_xlfn.ANCHORARRAY(R227)+0.15</f>
        <v>10.14</v>
      </c>
      <c r="T227" cm="1">
        <f t="array" ref="T227">_xlfn.ANCHORARRAY(I227)+0.15</f>
        <v>1.65</v>
      </c>
      <c r="U227" cm="1">
        <f t="array" ref="U227">_xlfn.ANCHORARRAY(J227)+0.15</f>
        <v>3.15</v>
      </c>
      <c r="V227" cm="1">
        <f t="array" ref="V227">_xlfn.ANCHORARRAY(K227)+0.15</f>
        <v>3.65</v>
      </c>
      <c r="W227">
        <f>TBL_TEV[[#This Row],[Etica Rendita Bilanciata]]</f>
        <v>1.5557019999999999</v>
      </c>
      <c r="X227">
        <f>TBL_TEV[[#This Row],[Etica Obbligazionario Breve Termine]]</f>
        <v>0.29685299999999998</v>
      </c>
      <c r="Y227">
        <f>TBL_TEV[[#This Row],[Etica Obbligazionario Misto]]</f>
        <v>0.77483500000000005</v>
      </c>
      <c r="Z227">
        <f>TBL_TEV[[#This Row],[Etica Bilanciato]]</f>
        <v>2.1813159999999998</v>
      </c>
      <c r="AA227">
        <f>TBL_TEV[[#This Row],[Etica Azionario]]</f>
        <v>3.3988909999999999</v>
      </c>
      <c r="AB227">
        <f>TBL_TEV[[#This Row],[Etica Transizione Climatica]]</f>
        <v>2.5300790000000002</v>
      </c>
      <c r="AC227">
        <f>TBL_TEV[[#This Row],[Etica Obiettivo Sociale]]</f>
        <v>7.7396537912346748</v>
      </c>
      <c r="AD227">
        <f>TBL_TEV[[#This Row],[Etica Conservative Allocation]]</f>
        <v>0.72244900000000001</v>
      </c>
      <c r="AE227">
        <f>TBL_TEV[[#This Row],[Etica Dynamic Allocation]]</f>
        <v>2.0825770000000001</v>
      </c>
      <c r="AF227">
        <f>TBL_TEV[[#This Row],[Etica Global Equity]]</f>
        <v>2.9572620000000001</v>
      </c>
      <c r="AL227">
        <f ca="1"/>
        <v>1.5555429999999999</v>
      </c>
      <c r="AM227">
        <f ca="1"/>
        <v>0.31304500000000002</v>
      </c>
      <c r="AN227">
        <f ca="1"/>
        <v>0.77927999999999997</v>
      </c>
      <c r="AO227">
        <f ca="1"/>
        <v>2.1706799999999999</v>
      </c>
      <c r="AP227">
        <f ca="1"/>
        <v>3.393494</v>
      </c>
      <c r="AQ227">
        <f ca="1"/>
        <v>2.5299200000000002</v>
      </c>
      <c r="AR227">
        <f ca="1"/>
        <v>7.8514837782128266</v>
      </c>
      <c r="AS227">
        <f ca="1"/>
        <v>0.72244900000000001</v>
      </c>
      <c r="AT227">
        <f ca="1"/>
        <v>2.0825770000000001</v>
      </c>
      <c r="AU227">
        <f ca="1"/>
        <v>2.9572620000000001</v>
      </c>
    </row>
    <row r="228" spans="1:47">
      <c r="A228" s="43">
        <f>TBL_TEV[[#This Row],[Data2]]</f>
        <v>45610</v>
      </c>
      <c r="B228" cm="1">
        <f t="array" ref="B228">_xlfn.XLOOKUP(_xlfn.ANCHORARRAY(A228), TBL_Limiti_CDA[Data], TBL_Limiti_CDA[Etica Rendita Bilanciata], , -1)</f>
        <v>2.5</v>
      </c>
      <c r="C228" cm="1">
        <f t="array" ref="C228">_xlfn.XLOOKUP(_xlfn.ANCHORARRAY(A228), TBL_Limiti_CDA[Data], TBL_Limiti_CDA[Etica Obbligazionario Breve Termine], , -1)</f>
        <v>0.5</v>
      </c>
      <c r="D228" cm="1">
        <f t="array" ref="D228">_xlfn.XLOOKUP(_xlfn.ANCHORARRAY(A228), TBL_Limiti_CDA[Data], TBL_Limiti_CDA[Etica Obbligazionario Misto], , -1)</f>
        <v>1.5</v>
      </c>
      <c r="E228" cm="1">
        <f t="array" ref="E228">_xlfn.XLOOKUP(_xlfn.ANCHORARRAY(A228), TBL_Limiti_CDA[Data], TBL_Limiti_CDA[Etica Bilanciato], , -1)</f>
        <v>3</v>
      </c>
      <c r="F228" cm="1">
        <f t="array" ref="F228">_xlfn.XLOOKUP(_xlfn.ANCHORARRAY(A228), TBL_Limiti_CDA[Data], TBL_Limiti_CDA[Etica Azionario], , -1)</f>
        <v>3.5</v>
      </c>
      <c r="G228" cm="1">
        <f t="array" ref="G228">_xlfn.XLOOKUP(_xlfn.ANCHORARRAY(A228), TBL_Limiti_CDA[Data], TBL_Limiti_CDA[Etica Transizione Climatica], , -1)</f>
        <v>2.75</v>
      </c>
      <c r="H228" cm="1">
        <f t="array" ref="H228">_xlfn.XLOOKUP(_xlfn.ANCHORARRAY(A228), TBL_Limiti_CDA[Data], TBL_Limiti_CDA[Etica Obiettivo Sociale], , -1)</f>
        <v>9.99</v>
      </c>
      <c r="I228" cm="1">
        <f t="array" ref="I228">_xlfn.XLOOKUP(_xlfn.ANCHORARRAY(A228), TBL_Limiti_CDA[Data], TBL_Limiti_CDA[Etica Conservative Allocation], , -1)</f>
        <v>1.5</v>
      </c>
      <c r="J228" cm="1">
        <f t="array" ref="J228">_xlfn.XLOOKUP(_xlfn.ANCHORARRAY(A228), TBL_Limiti_CDA[Data], TBL_Limiti_CDA[Etica Dynamic Allocation], , -1)</f>
        <v>3</v>
      </c>
      <c r="K228" cm="1">
        <f t="array" ref="K228">_xlfn.XLOOKUP(_xlfn.ANCHORARRAY(A228), TBL_Limiti_CDA[Data], TBL_Limiti_CDA[Etica Global Equity], , -1)</f>
        <v>3.5</v>
      </c>
      <c r="L228" cm="1">
        <f t="array" ref="L228">_xlfn.ANCHORARRAY(B228)+0.15</f>
        <v>2.65</v>
      </c>
      <c r="M228" cm="1">
        <f t="array" ref="M228">_xlfn.ANCHORARRAY(C228)+0.1</f>
        <v>0.6</v>
      </c>
      <c r="N228" cm="1">
        <f t="array" ref="N228">_xlfn.ANCHORARRAY(D228)+0.15</f>
        <v>1.65</v>
      </c>
      <c r="O228" cm="1">
        <f t="array" ref="O228">_xlfn.ANCHORARRAY(E228)+0.15</f>
        <v>3.15</v>
      </c>
      <c r="P228" cm="1">
        <f t="array" ref="P228">_xlfn.ANCHORARRAY(F228)+0.15</f>
        <v>3.65</v>
      </c>
      <c r="Q228" cm="1">
        <f t="array" ref="Q228">_xlfn.ANCHORARRAY(G228)+0.15</f>
        <v>2.9</v>
      </c>
      <c r="R228" cm="1">
        <f t="array" ref="R228">_xlfn.ANCHORARRAY(H228)</f>
        <v>9.99</v>
      </c>
      <c r="S228" cm="1">
        <f t="array" ref="S228">_xlfn.ANCHORARRAY(R228)+0.15</f>
        <v>10.14</v>
      </c>
      <c r="T228" cm="1">
        <f t="array" ref="T228">_xlfn.ANCHORARRAY(I228)+0.15</f>
        <v>1.65</v>
      </c>
      <c r="U228" cm="1">
        <f t="array" ref="U228">_xlfn.ANCHORARRAY(J228)+0.15</f>
        <v>3.15</v>
      </c>
      <c r="V228" cm="1">
        <f t="array" ref="V228">_xlfn.ANCHORARRAY(K228)+0.15</f>
        <v>3.65</v>
      </c>
      <c r="W228">
        <f>TBL_TEV[[#This Row],[Etica Rendita Bilanciata]]</f>
        <v>1.5555429999999999</v>
      </c>
      <c r="X228">
        <f>TBL_TEV[[#This Row],[Etica Obbligazionario Breve Termine]]</f>
        <v>0.31304500000000002</v>
      </c>
      <c r="Y228">
        <f>TBL_TEV[[#This Row],[Etica Obbligazionario Misto]]</f>
        <v>0.77927999999999997</v>
      </c>
      <c r="Z228">
        <f>TBL_TEV[[#This Row],[Etica Bilanciato]]</f>
        <v>2.1706799999999999</v>
      </c>
      <c r="AA228">
        <f>TBL_TEV[[#This Row],[Etica Azionario]]</f>
        <v>3.393494</v>
      </c>
      <c r="AB228">
        <f>TBL_TEV[[#This Row],[Etica Transizione Climatica]]</f>
        <v>2.5299200000000002</v>
      </c>
      <c r="AC228">
        <f>TBL_TEV[[#This Row],[Etica Obiettivo Sociale]]</f>
        <v>7.8514837782128266</v>
      </c>
      <c r="AD228">
        <f>TBL_TEV[[#This Row],[Etica Conservative Allocation]]</f>
        <v>0.72244900000000001</v>
      </c>
      <c r="AE228">
        <f>TBL_TEV[[#This Row],[Etica Dynamic Allocation]]</f>
        <v>2.0825770000000001</v>
      </c>
      <c r="AF228">
        <f>TBL_TEV[[#This Row],[Etica Global Equity]]</f>
        <v>2.9572620000000001</v>
      </c>
      <c r="AL228">
        <f ca="1"/>
        <v>1.575545</v>
      </c>
      <c r="AM228">
        <f ca="1"/>
        <v>0.31272800000000001</v>
      </c>
      <c r="AN228">
        <f ca="1"/>
        <v>0.82769700000000002</v>
      </c>
      <c r="AO228">
        <f ca="1"/>
        <v>2.1906819999999998</v>
      </c>
      <c r="AP228">
        <f ca="1"/>
        <v>3.4101620000000001</v>
      </c>
      <c r="AQ228">
        <f ca="1"/>
        <v>2.5170620000000001</v>
      </c>
      <c r="AR228">
        <f ca="1"/>
        <v>7.6337609334881478</v>
      </c>
      <c r="AS228">
        <f ca="1"/>
        <v>0.72244900000000001</v>
      </c>
      <c r="AT228">
        <f ca="1"/>
        <v>2.0825770000000001</v>
      </c>
      <c r="AU228">
        <f ca="1"/>
        <v>2.9572620000000001</v>
      </c>
    </row>
    <row r="229" spans="1:47">
      <c r="A229" s="43">
        <f>TBL_TEV[[#This Row],[Data2]]</f>
        <v>45611</v>
      </c>
      <c r="B229" cm="1">
        <f t="array" ref="B229">_xlfn.XLOOKUP(_xlfn.ANCHORARRAY(A229), TBL_Limiti_CDA[Data], TBL_Limiti_CDA[Etica Rendita Bilanciata], , -1)</f>
        <v>2.5</v>
      </c>
      <c r="C229" cm="1">
        <f t="array" ref="C229">_xlfn.XLOOKUP(_xlfn.ANCHORARRAY(A229), TBL_Limiti_CDA[Data], TBL_Limiti_CDA[Etica Obbligazionario Breve Termine], , -1)</f>
        <v>0.5</v>
      </c>
      <c r="D229" cm="1">
        <f t="array" ref="D229">_xlfn.XLOOKUP(_xlfn.ANCHORARRAY(A229), TBL_Limiti_CDA[Data], TBL_Limiti_CDA[Etica Obbligazionario Misto], , -1)</f>
        <v>1.5</v>
      </c>
      <c r="E229" cm="1">
        <f t="array" ref="E229">_xlfn.XLOOKUP(_xlfn.ANCHORARRAY(A229), TBL_Limiti_CDA[Data], TBL_Limiti_CDA[Etica Bilanciato], , -1)</f>
        <v>3</v>
      </c>
      <c r="F229" cm="1">
        <f t="array" ref="F229">_xlfn.XLOOKUP(_xlfn.ANCHORARRAY(A229), TBL_Limiti_CDA[Data], TBL_Limiti_CDA[Etica Azionario], , -1)</f>
        <v>3.5</v>
      </c>
      <c r="G229" cm="1">
        <f t="array" ref="G229">_xlfn.XLOOKUP(_xlfn.ANCHORARRAY(A229), TBL_Limiti_CDA[Data], TBL_Limiti_CDA[Etica Transizione Climatica], , -1)</f>
        <v>2.75</v>
      </c>
      <c r="H229" cm="1">
        <f t="array" ref="H229">_xlfn.XLOOKUP(_xlfn.ANCHORARRAY(A229), TBL_Limiti_CDA[Data], TBL_Limiti_CDA[Etica Obiettivo Sociale], , -1)</f>
        <v>9.99</v>
      </c>
      <c r="I229" cm="1">
        <f t="array" ref="I229">_xlfn.XLOOKUP(_xlfn.ANCHORARRAY(A229), TBL_Limiti_CDA[Data], TBL_Limiti_CDA[Etica Conservative Allocation], , -1)</f>
        <v>1.5</v>
      </c>
      <c r="J229" cm="1">
        <f t="array" ref="J229">_xlfn.XLOOKUP(_xlfn.ANCHORARRAY(A229), TBL_Limiti_CDA[Data], TBL_Limiti_CDA[Etica Dynamic Allocation], , -1)</f>
        <v>3</v>
      </c>
      <c r="K229" cm="1">
        <f t="array" ref="K229">_xlfn.XLOOKUP(_xlfn.ANCHORARRAY(A229), TBL_Limiti_CDA[Data], TBL_Limiti_CDA[Etica Global Equity], , -1)</f>
        <v>3.5</v>
      </c>
      <c r="L229" cm="1">
        <f t="array" ref="L229">_xlfn.ANCHORARRAY(B229)+0.15</f>
        <v>2.65</v>
      </c>
      <c r="M229" cm="1">
        <f t="array" ref="M229">_xlfn.ANCHORARRAY(C229)+0.1</f>
        <v>0.6</v>
      </c>
      <c r="N229" cm="1">
        <f t="array" ref="N229">_xlfn.ANCHORARRAY(D229)+0.15</f>
        <v>1.65</v>
      </c>
      <c r="O229" cm="1">
        <f t="array" ref="O229">_xlfn.ANCHORARRAY(E229)+0.15</f>
        <v>3.15</v>
      </c>
      <c r="P229" cm="1">
        <f t="array" ref="P229">_xlfn.ANCHORARRAY(F229)+0.15</f>
        <v>3.65</v>
      </c>
      <c r="Q229" cm="1">
        <f t="array" ref="Q229">_xlfn.ANCHORARRAY(G229)+0.15</f>
        <v>2.9</v>
      </c>
      <c r="R229" cm="1">
        <f t="array" ref="R229">_xlfn.ANCHORARRAY(H229)</f>
        <v>9.99</v>
      </c>
      <c r="S229" cm="1">
        <f t="array" ref="S229">_xlfn.ANCHORARRAY(R229)+0.15</f>
        <v>10.14</v>
      </c>
      <c r="T229" cm="1">
        <f t="array" ref="T229">_xlfn.ANCHORARRAY(I229)+0.15</f>
        <v>1.65</v>
      </c>
      <c r="U229" cm="1">
        <f t="array" ref="U229">_xlfn.ANCHORARRAY(J229)+0.15</f>
        <v>3.15</v>
      </c>
      <c r="V229" cm="1">
        <f t="array" ref="V229">_xlfn.ANCHORARRAY(K229)+0.15</f>
        <v>3.65</v>
      </c>
      <c r="W229">
        <f>TBL_TEV[[#This Row],[Etica Rendita Bilanciata]]</f>
        <v>1.575545</v>
      </c>
      <c r="X229">
        <f>TBL_TEV[[#This Row],[Etica Obbligazionario Breve Termine]]</f>
        <v>0.31272800000000001</v>
      </c>
      <c r="Y229">
        <f>TBL_TEV[[#This Row],[Etica Obbligazionario Misto]]</f>
        <v>0.82769700000000002</v>
      </c>
      <c r="Z229">
        <f>TBL_TEV[[#This Row],[Etica Bilanciato]]</f>
        <v>2.1906819999999998</v>
      </c>
      <c r="AA229">
        <f>TBL_TEV[[#This Row],[Etica Azionario]]</f>
        <v>3.4101620000000001</v>
      </c>
      <c r="AB229">
        <f>TBL_TEV[[#This Row],[Etica Transizione Climatica]]</f>
        <v>2.5170620000000001</v>
      </c>
      <c r="AC229">
        <f>TBL_TEV[[#This Row],[Etica Obiettivo Sociale]]</f>
        <v>7.6337609334881478</v>
      </c>
      <c r="AD229">
        <f>TBL_TEV[[#This Row],[Etica Conservative Allocation]]</f>
        <v>0.72244900000000001</v>
      </c>
      <c r="AE229">
        <f>TBL_TEV[[#This Row],[Etica Dynamic Allocation]]</f>
        <v>2.0825770000000001</v>
      </c>
      <c r="AF229">
        <f>TBL_TEV[[#This Row],[Etica Global Equity]]</f>
        <v>2.9572620000000001</v>
      </c>
      <c r="AL229">
        <f ca="1"/>
        <v>1.557607</v>
      </c>
      <c r="AM229">
        <f ca="1"/>
        <v>0.31161699999999998</v>
      </c>
      <c r="AN229">
        <f ca="1"/>
        <v>0.82499800000000001</v>
      </c>
      <c r="AO229">
        <f ca="1"/>
        <v>2.1779820000000001</v>
      </c>
      <c r="AP229">
        <f ca="1"/>
        <v>3.38381</v>
      </c>
      <c r="AQ229">
        <f ca="1"/>
        <v>2.4791219999999998</v>
      </c>
      <c r="AR229">
        <f ca="1"/>
        <v>7.7858204896628074</v>
      </c>
      <c r="AS229">
        <f ca="1"/>
        <v>0.72244900000000001</v>
      </c>
      <c r="AT229">
        <f ca="1"/>
        <v>2.0825770000000001</v>
      </c>
      <c r="AU229">
        <f ca="1"/>
        <v>2.9572620000000001</v>
      </c>
    </row>
    <row r="230" spans="1:47">
      <c r="A230" s="43">
        <f>TBL_TEV[[#This Row],[Data2]]</f>
        <v>45614</v>
      </c>
      <c r="B230" cm="1">
        <f t="array" ref="B230">_xlfn.XLOOKUP(_xlfn.ANCHORARRAY(A230), TBL_Limiti_CDA[Data], TBL_Limiti_CDA[Etica Rendita Bilanciata], , -1)</f>
        <v>2.5</v>
      </c>
      <c r="C230" cm="1">
        <f t="array" ref="C230">_xlfn.XLOOKUP(_xlfn.ANCHORARRAY(A230), TBL_Limiti_CDA[Data], TBL_Limiti_CDA[Etica Obbligazionario Breve Termine], , -1)</f>
        <v>0.5</v>
      </c>
      <c r="D230" cm="1">
        <f t="array" ref="D230">_xlfn.XLOOKUP(_xlfn.ANCHORARRAY(A230), TBL_Limiti_CDA[Data], TBL_Limiti_CDA[Etica Obbligazionario Misto], , -1)</f>
        <v>1.5</v>
      </c>
      <c r="E230" cm="1">
        <f t="array" ref="E230">_xlfn.XLOOKUP(_xlfn.ANCHORARRAY(A230), TBL_Limiti_CDA[Data], TBL_Limiti_CDA[Etica Bilanciato], , -1)</f>
        <v>3</v>
      </c>
      <c r="F230" cm="1">
        <f t="array" ref="F230">_xlfn.XLOOKUP(_xlfn.ANCHORARRAY(A230), TBL_Limiti_CDA[Data], TBL_Limiti_CDA[Etica Azionario], , -1)</f>
        <v>3.5</v>
      </c>
      <c r="G230" cm="1">
        <f t="array" ref="G230">_xlfn.XLOOKUP(_xlfn.ANCHORARRAY(A230), TBL_Limiti_CDA[Data], TBL_Limiti_CDA[Etica Transizione Climatica], , -1)</f>
        <v>2.75</v>
      </c>
      <c r="H230" cm="1">
        <f t="array" ref="H230">_xlfn.XLOOKUP(_xlfn.ANCHORARRAY(A230), TBL_Limiti_CDA[Data], TBL_Limiti_CDA[Etica Obiettivo Sociale], , -1)</f>
        <v>9.99</v>
      </c>
      <c r="I230" cm="1">
        <f t="array" ref="I230">_xlfn.XLOOKUP(_xlfn.ANCHORARRAY(A230), TBL_Limiti_CDA[Data], TBL_Limiti_CDA[Etica Conservative Allocation], , -1)</f>
        <v>1.5</v>
      </c>
      <c r="J230" cm="1">
        <f t="array" ref="J230">_xlfn.XLOOKUP(_xlfn.ANCHORARRAY(A230), TBL_Limiti_CDA[Data], TBL_Limiti_CDA[Etica Dynamic Allocation], , -1)</f>
        <v>3</v>
      </c>
      <c r="K230" cm="1">
        <f t="array" ref="K230">_xlfn.XLOOKUP(_xlfn.ANCHORARRAY(A230), TBL_Limiti_CDA[Data], TBL_Limiti_CDA[Etica Global Equity], , -1)</f>
        <v>3.5</v>
      </c>
      <c r="L230" cm="1">
        <f t="array" ref="L230">_xlfn.ANCHORARRAY(B230)+0.15</f>
        <v>2.65</v>
      </c>
      <c r="M230" cm="1">
        <f t="array" ref="M230">_xlfn.ANCHORARRAY(C230)+0.1</f>
        <v>0.6</v>
      </c>
      <c r="N230" cm="1">
        <f t="array" ref="N230">_xlfn.ANCHORARRAY(D230)+0.15</f>
        <v>1.65</v>
      </c>
      <c r="O230" cm="1">
        <f t="array" ref="O230">_xlfn.ANCHORARRAY(E230)+0.15</f>
        <v>3.15</v>
      </c>
      <c r="P230" cm="1">
        <f t="array" ref="P230">_xlfn.ANCHORARRAY(F230)+0.15</f>
        <v>3.65</v>
      </c>
      <c r="Q230" cm="1">
        <f t="array" ref="Q230">_xlfn.ANCHORARRAY(G230)+0.15</f>
        <v>2.9</v>
      </c>
      <c r="R230" cm="1">
        <f t="array" ref="R230">_xlfn.ANCHORARRAY(H230)</f>
        <v>9.99</v>
      </c>
      <c r="S230" cm="1">
        <f t="array" ref="S230">_xlfn.ANCHORARRAY(R230)+0.15</f>
        <v>10.14</v>
      </c>
      <c r="T230" cm="1">
        <f t="array" ref="T230">_xlfn.ANCHORARRAY(I230)+0.15</f>
        <v>1.65</v>
      </c>
      <c r="U230" cm="1">
        <f t="array" ref="U230">_xlfn.ANCHORARRAY(J230)+0.15</f>
        <v>3.15</v>
      </c>
      <c r="V230" cm="1">
        <f t="array" ref="V230">_xlfn.ANCHORARRAY(K230)+0.15</f>
        <v>3.65</v>
      </c>
      <c r="W230">
        <f>TBL_TEV[[#This Row],[Etica Rendita Bilanciata]]</f>
        <v>1.557607</v>
      </c>
      <c r="X230">
        <f>TBL_TEV[[#This Row],[Etica Obbligazionario Breve Termine]]</f>
        <v>0.31161699999999998</v>
      </c>
      <c r="Y230">
        <f>TBL_TEV[[#This Row],[Etica Obbligazionario Misto]]</f>
        <v>0.82499800000000001</v>
      </c>
      <c r="Z230">
        <f>TBL_TEV[[#This Row],[Etica Bilanciato]]</f>
        <v>2.1779820000000001</v>
      </c>
      <c r="AA230">
        <f>TBL_TEV[[#This Row],[Etica Azionario]]</f>
        <v>3.38381</v>
      </c>
      <c r="AB230">
        <f>TBL_TEV[[#This Row],[Etica Transizione Climatica]]</f>
        <v>2.4791219999999998</v>
      </c>
      <c r="AC230">
        <f>TBL_TEV[[#This Row],[Etica Obiettivo Sociale]]</f>
        <v>7.7858204896628074</v>
      </c>
      <c r="AD230">
        <f>TBL_TEV[[#This Row],[Etica Conservative Allocation]]</f>
        <v>0.72244900000000001</v>
      </c>
      <c r="AE230">
        <f>TBL_TEV[[#This Row],[Etica Dynamic Allocation]]</f>
        <v>2.0825770000000001</v>
      </c>
      <c r="AF230">
        <f>TBL_TEV[[#This Row],[Etica Global Equity]]</f>
        <v>2.9572620000000001</v>
      </c>
      <c r="AL230">
        <f ca="1"/>
        <v>1.5598289999999999</v>
      </c>
      <c r="AM230">
        <f ca="1"/>
        <v>0.31193399999999999</v>
      </c>
      <c r="AN230">
        <f ca="1"/>
        <v>0.82531600000000005</v>
      </c>
      <c r="AO230">
        <f ca="1"/>
        <v>2.174331</v>
      </c>
      <c r="AP230">
        <f ca="1"/>
        <v>3.3823810000000001</v>
      </c>
      <c r="AQ230">
        <f ca="1"/>
        <v>2.5438900000000002</v>
      </c>
      <c r="AR230">
        <f ca="1"/>
        <v>7.7950422803451245</v>
      </c>
      <c r="AS230">
        <f ca="1"/>
        <v>0.72244900000000001</v>
      </c>
      <c r="AT230">
        <f ca="1"/>
        <v>2.0825770000000001</v>
      </c>
      <c r="AU230">
        <f ca="1"/>
        <v>2.9572620000000001</v>
      </c>
    </row>
    <row r="231" spans="1:47">
      <c r="A231" s="43">
        <f>TBL_TEV[[#This Row],[Data2]]</f>
        <v>45615</v>
      </c>
      <c r="B231" cm="1">
        <f t="array" ref="B231">_xlfn.XLOOKUP(_xlfn.ANCHORARRAY(A231), TBL_Limiti_CDA[Data], TBL_Limiti_CDA[Etica Rendita Bilanciata], , -1)</f>
        <v>2.5</v>
      </c>
      <c r="C231" cm="1">
        <f t="array" ref="C231">_xlfn.XLOOKUP(_xlfn.ANCHORARRAY(A231), TBL_Limiti_CDA[Data], TBL_Limiti_CDA[Etica Obbligazionario Breve Termine], , -1)</f>
        <v>0.5</v>
      </c>
      <c r="D231" cm="1">
        <f t="array" ref="D231">_xlfn.XLOOKUP(_xlfn.ANCHORARRAY(A231), TBL_Limiti_CDA[Data], TBL_Limiti_CDA[Etica Obbligazionario Misto], , -1)</f>
        <v>1.5</v>
      </c>
      <c r="E231" cm="1">
        <f t="array" ref="E231">_xlfn.XLOOKUP(_xlfn.ANCHORARRAY(A231), TBL_Limiti_CDA[Data], TBL_Limiti_CDA[Etica Bilanciato], , -1)</f>
        <v>3</v>
      </c>
      <c r="F231" cm="1">
        <f t="array" ref="F231">_xlfn.XLOOKUP(_xlfn.ANCHORARRAY(A231), TBL_Limiti_CDA[Data], TBL_Limiti_CDA[Etica Azionario], , -1)</f>
        <v>3.5</v>
      </c>
      <c r="G231" cm="1">
        <f t="array" ref="G231">_xlfn.XLOOKUP(_xlfn.ANCHORARRAY(A231), TBL_Limiti_CDA[Data], TBL_Limiti_CDA[Etica Transizione Climatica], , -1)</f>
        <v>2.75</v>
      </c>
      <c r="H231" cm="1">
        <f t="array" ref="H231">_xlfn.XLOOKUP(_xlfn.ANCHORARRAY(A231), TBL_Limiti_CDA[Data], TBL_Limiti_CDA[Etica Obiettivo Sociale], , -1)</f>
        <v>9.99</v>
      </c>
      <c r="I231" cm="1">
        <f t="array" ref="I231">_xlfn.XLOOKUP(_xlfn.ANCHORARRAY(A231), TBL_Limiti_CDA[Data], TBL_Limiti_CDA[Etica Conservative Allocation], , -1)</f>
        <v>1.5</v>
      </c>
      <c r="J231" cm="1">
        <f t="array" ref="J231">_xlfn.XLOOKUP(_xlfn.ANCHORARRAY(A231), TBL_Limiti_CDA[Data], TBL_Limiti_CDA[Etica Dynamic Allocation], , -1)</f>
        <v>3</v>
      </c>
      <c r="K231" cm="1">
        <f t="array" ref="K231">_xlfn.XLOOKUP(_xlfn.ANCHORARRAY(A231), TBL_Limiti_CDA[Data], TBL_Limiti_CDA[Etica Global Equity], , -1)</f>
        <v>3.5</v>
      </c>
      <c r="L231" cm="1">
        <f t="array" ref="L231">_xlfn.ANCHORARRAY(B231)+0.15</f>
        <v>2.65</v>
      </c>
      <c r="M231" cm="1">
        <f t="array" ref="M231">_xlfn.ANCHORARRAY(C231)+0.1</f>
        <v>0.6</v>
      </c>
      <c r="N231" cm="1">
        <f t="array" ref="N231">_xlfn.ANCHORARRAY(D231)+0.15</f>
        <v>1.65</v>
      </c>
      <c r="O231" cm="1">
        <f t="array" ref="O231">_xlfn.ANCHORARRAY(E231)+0.15</f>
        <v>3.15</v>
      </c>
      <c r="P231" cm="1">
        <f t="array" ref="P231">_xlfn.ANCHORARRAY(F231)+0.15</f>
        <v>3.65</v>
      </c>
      <c r="Q231" cm="1">
        <f t="array" ref="Q231">_xlfn.ANCHORARRAY(G231)+0.15</f>
        <v>2.9</v>
      </c>
      <c r="R231" cm="1">
        <f t="array" ref="R231">_xlfn.ANCHORARRAY(H231)</f>
        <v>9.99</v>
      </c>
      <c r="S231" cm="1">
        <f t="array" ref="S231">_xlfn.ANCHORARRAY(R231)+0.15</f>
        <v>10.14</v>
      </c>
      <c r="T231" cm="1">
        <f t="array" ref="T231">_xlfn.ANCHORARRAY(I231)+0.15</f>
        <v>1.65</v>
      </c>
      <c r="U231" cm="1">
        <f t="array" ref="U231">_xlfn.ANCHORARRAY(J231)+0.15</f>
        <v>3.15</v>
      </c>
      <c r="V231" cm="1">
        <f t="array" ref="V231">_xlfn.ANCHORARRAY(K231)+0.15</f>
        <v>3.65</v>
      </c>
      <c r="W231">
        <f>TBL_TEV[[#This Row],[Etica Rendita Bilanciata]]</f>
        <v>1.5598289999999999</v>
      </c>
      <c r="X231">
        <f>TBL_TEV[[#This Row],[Etica Obbligazionario Breve Termine]]</f>
        <v>0.31193399999999999</v>
      </c>
      <c r="Y231">
        <f>TBL_TEV[[#This Row],[Etica Obbligazionario Misto]]</f>
        <v>0.82531600000000005</v>
      </c>
      <c r="Z231">
        <f>TBL_TEV[[#This Row],[Etica Bilanciato]]</f>
        <v>2.174331</v>
      </c>
      <c r="AA231">
        <f>TBL_TEV[[#This Row],[Etica Azionario]]</f>
        <v>3.3823810000000001</v>
      </c>
      <c r="AB231">
        <f>TBL_TEV[[#This Row],[Etica Transizione Climatica]]</f>
        <v>2.5438900000000002</v>
      </c>
      <c r="AC231">
        <f>TBL_TEV[[#This Row],[Etica Obiettivo Sociale]]</f>
        <v>7.7950422803451245</v>
      </c>
      <c r="AD231">
        <f>TBL_TEV[[#This Row],[Etica Conservative Allocation]]</f>
        <v>0.72244900000000001</v>
      </c>
      <c r="AE231">
        <f>TBL_TEV[[#This Row],[Etica Dynamic Allocation]]</f>
        <v>2.0825770000000001</v>
      </c>
      <c r="AF231">
        <f>TBL_TEV[[#This Row],[Etica Global Equity]]</f>
        <v>2.9572620000000001</v>
      </c>
      <c r="AL231">
        <f ca="1"/>
        <v>1.5539559999999999</v>
      </c>
      <c r="AM231">
        <f ca="1"/>
        <v>0.31050499999999998</v>
      </c>
      <c r="AN231">
        <f ca="1"/>
        <v>0.82309299999999996</v>
      </c>
      <c r="AO231">
        <f ca="1"/>
        <v>2.166553</v>
      </c>
      <c r="AP231">
        <f ca="1"/>
        <v>3.3676179999999998</v>
      </c>
      <c r="AQ231">
        <f ca="1"/>
        <v>2.518014</v>
      </c>
      <c r="AR231">
        <f ca="1"/>
        <v>7.7285303638665628</v>
      </c>
      <c r="AS231">
        <f ca="1"/>
        <v>0.72244900000000001</v>
      </c>
      <c r="AT231">
        <f ca="1"/>
        <v>2.0825770000000001</v>
      </c>
      <c r="AU231">
        <f ca="1"/>
        <v>2.9572620000000001</v>
      </c>
    </row>
    <row r="232" spans="1:47">
      <c r="A232" s="43">
        <f>TBL_TEV[[#This Row],[Data2]]</f>
        <v>45616</v>
      </c>
      <c r="B232" cm="1">
        <f t="array" ref="B232">_xlfn.XLOOKUP(_xlfn.ANCHORARRAY(A232), TBL_Limiti_CDA[Data], TBL_Limiti_CDA[Etica Rendita Bilanciata], , -1)</f>
        <v>2.5</v>
      </c>
      <c r="C232" cm="1">
        <f t="array" ref="C232">_xlfn.XLOOKUP(_xlfn.ANCHORARRAY(A232), TBL_Limiti_CDA[Data], TBL_Limiti_CDA[Etica Obbligazionario Breve Termine], , -1)</f>
        <v>0.5</v>
      </c>
      <c r="D232" cm="1">
        <f t="array" ref="D232">_xlfn.XLOOKUP(_xlfn.ANCHORARRAY(A232), TBL_Limiti_CDA[Data], TBL_Limiti_CDA[Etica Obbligazionario Misto], , -1)</f>
        <v>1.5</v>
      </c>
      <c r="E232" cm="1">
        <f t="array" ref="E232">_xlfn.XLOOKUP(_xlfn.ANCHORARRAY(A232), TBL_Limiti_CDA[Data], TBL_Limiti_CDA[Etica Bilanciato], , -1)</f>
        <v>3</v>
      </c>
      <c r="F232" cm="1">
        <f t="array" ref="F232">_xlfn.XLOOKUP(_xlfn.ANCHORARRAY(A232), TBL_Limiti_CDA[Data], TBL_Limiti_CDA[Etica Azionario], , -1)</f>
        <v>3.5</v>
      </c>
      <c r="G232" cm="1">
        <f t="array" ref="G232">_xlfn.XLOOKUP(_xlfn.ANCHORARRAY(A232), TBL_Limiti_CDA[Data], TBL_Limiti_CDA[Etica Transizione Climatica], , -1)</f>
        <v>2.75</v>
      </c>
      <c r="H232" cm="1">
        <f t="array" ref="H232">_xlfn.XLOOKUP(_xlfn.ANCHORARRAY(A232), TBL_Limiti_CDA[Data], TBL_Limiti_CDA[Etica Obiettivo Sociale], , -1)</f>
        <v>9.99</v>
      </c>
      <c r="I232" cm="1">
        <f t="array" ref="I232">_xlfn.XLOOKUP(_xlfn.ANCHORARRAY(A232), TBL_Limiti_CDA[Data], TBL_Limiti_CDA[Etica Conservative Allocation], , -1)</f>
        <v>1.5</v>
      </c>
      <c r="J232" cm="1">
        <f t="array" ref="J232">_xlfn.XLOOKUP(_xlfn.ANCHORARRAY(A232), TBL_Limiti_CDA[Data], TBL_Limiti_CDA[Etica Dynamic Allocation], , -1)</f>
        <v>3</v>
      </c>
      <c r="K232" cm="1">
        <f t="array" ref="K232">_xlfn.XLOOKUP(_xlfn.ANCHORARRAY(A232), TBL_Limiti_CDA[Data], TBL_Limiti_CDA[Etica Global Equity], , -1)</f>
        <v>3.5</v>
      </c>
      <c r="L232" cm="1">
        <f t="array" ref="L232">_xlfn.ANCHORARRAY(B232)+0.15</f>
        <v>2.65</v>
      </c>
      <c r="M232" cm="1">
        <f t="array" ref="M232">_xlfn.ANCHORARRAY(C232)+0.1</f>
        <v>0.6</v>
      </c>
      <c r="N232" cm="1">
        <f t="array" ref="N232">_xlfn.ANCHORARRAY(D232)+0.15</f>
        <v>1.65</v>
      </c>
      <c r="O232" cm="1">
        <f t="array" ref="O232">_xlfn.ANCHORARRAY(E232)+0.15</f>
        <v>3.15</v>
      </c>
      <c r="P232" cm="1">
        <f t="array" ref="P232">_xlfn.ANCHORARRAY(F232)+0.15</f>
        <v>3.65</v>
      </c>
      <c r="Q232" cm="1">
        <f t="array" ref="Q232">_xlfn.ANCHORARRAY(G232)+0.15</f>
        <v>2.9</v>
      </c>
      <c r="R232" cm="1">
        <f t="array" ref="R232">_xlfn.ANCHORARRAY(H232)</f>
        <v>9.99</v>
      </c>
      <c r="S232" cm="1">
        <f t="array" ref="S232">_xlfn.ANCHORARRAY(R232)+0.15</f>
        <v>10.14</v>
      </c>
      <c r="T232" cm="1">
        <f t="array" ref="T232">_xlfn.ANCHORARRAY(I232)+0.15</f>
        <v>1.65</v>
      </c>
      <c r="U232" cm="1">
        <f t="array" ref="U232">_xlfn.ANCHORARRAY(J232)+0.15</f>
        <v>3.15</v>
      </c>
      <c r="V232" cm="1">
        <f t="array" ref="V232">_xlfn.ANCHORARRAY(K232)+0.15</f>
        <v>3.65</v>
      </c>
      <c r="W232">
        <f>TBL_TEV[[#This Row],[Etica Rendita Bilanciata]]</f>
        <v>1.5539559999999999</v>
      </c>
      <c r="X232">
        <f>TBL_TEV[[#This Row],[Etica Obbligazionario Breve Termine]]</f>
        <v>0.31050499999999998</v>
      </c>
      <c r="Y232">
        <f>TBL_TEV[[#This Row],[Etica Obbligazionario Misto]]</f>
        <v>0.82309299999999996</v>
      </c>
      <c r="Z232">
        <f>TBL_TEV[[#This Row],[Etica Bilanciato]]</f>
        <v>2.166553</v>
      </c>
      <c r="AA232">
        <f>TBL_TEV[[#This Row],[Etica Azionario]]</f>
        <v>3.3676179999999998</v>
      </c>
      <c r="AB232">
        <f>TBL_TEV[[#This Row],[Etica Transizione Climatica]]</f>
        <v>2.518014</v>
      </c>
      <c r="AC232">
        <f>TBL_TEV[[#This Row],[Etica Obiettivo Sociale]]</f>
        <v>7.7285303638665628</v>
      </c>
      <c r="AD232">
        <f>TBL_TEV[[#This Row],[Etica Conservative Allocation]]</f>
        <v>0.72244900000000001</v>
      </c>
      <c r="AE232">
        <f>TBL_TEV[[#This Row],[Etica Dynamic Allocation]]</f>
        <v>2.0825770000000001</v>
      </c>
      <c r="AF232">
        <f>TBL_TEV[[#This Row],[Etica Global Equity]]</f>
        <v>2.9572620000000001</v>
      </c>
      <c r="AL232">
        <f ca="1"/>
        <v>1.5547489999999999</v>
      </c>
      <c r="AM232">
        <f ca="1"/>
        <v>0.310664</v>
      </c>
      <c r="AN232">
        <f ca="1"/>
        <v>0.82198199999999999</v>
      </c>
      <c r="AO232">
        <f ca="1"/>
        <v>2.1575039999999999</v>
      </c>
      <c r="AP232">
        <f ca="1"/>
        <v>3.3550770000000001</v>
      </c>
      <c r="AQ232">
        <f ca="1"/>
        <v>2.513252</v>
      </c>
      <c r="AR232">
        <f ca="1"/>
        <v>7.8137241446036523</v>
      </c>
      <c r="AS232">
        <f ca="1"/>
        <v>0.72244900000000001</v>
      </c>
      <c r="AT232">
        <f ca="1"/>
        <v>2.0825770000000001</v>
      </c>
      <c r="AU232">
        <f ca="1"/>
        <v>2.9572620000000001</v>
      </c>
    </row>
    <row r="233" spans="1:47">
      <c r="A233" s="43">
        <f>TBL_TEV[[#This Row],[Data2]]</f>
        <v>45617</v>
      </c>
      <c r="B233" cm="1">
        <f t="array" ref="B233">_xlfn.XLOOKUP(_xlfn.ANCHORARRAY(A233), TBL_Limiti_CDA[Data], TBL_Limiti_CDA[Etica Rendita Bilanciata], , -1)</f>
        <v>2.5</v>
      </c>
      <c r="C233" cm="1">
        <f t="array" ref="C233">_xlfn.XLOOKUP(_xlfn.ANCHORARRAY(A233), TBL_Limiti_CDA[Data], TBL_Limiti_CDA[Etica Obbligazionario Breve Termine], , -1)</f>
        <v>0.5</v>
      </c>
      <c r="D233" cm="1">
        <f t="array" ref="D233">_xlfn.XLOOKUP(_xlfn.ANCHORARRAY(A233), TBL_Limiti_CDA[Data], TBL_Limiti_CDA[Etica Obbligazionario Misto], , -1)</f>
        <v>1.5</v>
      </c>
      <c r="E233" cm="1">
        <f t="array" ref="E233">_xlfn.XLOOKUP(_xlfn.ANCHORARRAY(A233), TBL_Limiti_CDA[Data], TBL_Limiti_CDA[Etica Bilanciato], , -1)</f>
        <v>3</v>
      </c>
      <c r="F233" cm="1">
        <f t="array" ref="F233">_xlfn.XLOOKUP(_xlfn.ANCHORARRAY(A233), TBL_Limiti_CDA[Data], TBL_Limiti_CDA[Etica Azionario], , -1)</f>
        <v>3.5</v>
      </c>
      <c r="G233" cm="1">
        <f t="array" ref="G233">_xlfn.XLOOKUP(_xlfn.ANCHORARRAY(A233), TBL_Limiti_CDA[Data], TBL_Limiti_CDA[Etica Transizione Climatica], , -1)</f>
        <v>2.75</v>
      </c>
      <c r="H233" cm="1">
        <f t="array" ref="H233">_xlfn.XLOOKUP(_xlfn.ANCHORARRAY(A233), TBL_Limiti_CDA[Data], TBL_Limiti_CDA[Etica Obiettivo Sociale], , -1)</f>
        <v>9.99</v>
      </c>
      <c r="I233" cm="1">
        <f t="array" ref="I233">_xlfn.XLOOKUP(_xlfn.ANCHORARRAY(A233), TBL_Limiti_CDA[Data], TBL_Limiti_CDA[Etica Conservative Allocation], , -1)</f>
        <v>1.5</v>
      </c>
      <c r="J233" cm="1">
        <f t="array" ref="J233">_xlfn.XLOOKUP(_xlfn.ANCHORARRAY(A233), TBL_Limiti_CDA[Data], TBL_Limiti_CDA[Etica Dynamic Allocation], , -1)</f>
        <v>3</v>
      </c>
      <c r="K233" cm="1">
        <f t="array" ref="K233">_xlfn.XLOOKUP(_xlfn.ANCHORARRAY(A233), TBL_Limiti_CDA[Data], TBL_Limiti_CDA[Etica Global Equity], , -1)</f>
        <v>3.5</v>
      </c>
      <c r="L233" cm="1">
        <f t="array" ref="L233">_xlfn.ANCHORARRAY(B233)+0.15</f>
        <v>2.65</v>
      </c>
      <c r="M233" cm="1">
        <f t="array" ref="M233">_xlfn.ANCHORARRAY(C233)+0.1</f>
        <v>0.6</v>
      </c>
      <c r="N233" cm="1">
        <f t="array" ref="N233">_xlfn.ANCHORARRAY(D233)+0.15</f>
        <v>1.65</v>
      </c>
      <c r="O233" cm="1">
        <f t="array" ref="O233">_xlfn.ANCHORARRAY(E233)+0.15</f>
        <v>3.15</v>
      </c>
      <c r="P233" cm="1">
        <f t="array" ref="P233">_xlfn.ANCHORARRAY(F233)+0.15</f>
        <v>3.65</v>
      </c>
      <c r="Q233" cm="1">
        <f t="array" ref="Q233">_xlfn.ANCHORARRAY(G233)+0.15</f>
        <v>2.9</v>
      </c>
      <c r="R233" cm="1">
        <f t="array" ref="R233">_xlfn.ANCHORARRAY(H233)</f>
        <v>9.99</v>
      </c>
      <c r="S233" cm="1">
        <f t="array" ref="S233">_xlfn.ANCHORARRAY(R233)+0.15</f>
        <v>10.14</v>
      </c>
      <c r="T233" cm="1">
        <f t="array" ref="T233">_xlfn.ANCHORARRAY(I233)+0.15</f>
        <v>1.65</v>
      </c>
      <c r="U233" cm="1">
        <f t="array" ref="U233">_xlfn.ANCHORARRAY(J233)+0.15</f>
        <v>3.15</v>
      </c>
      <c r="V233" cm="1">
        <f t="array" ref="V233">_xlfn.ANCHORARRAY(K233)+0.15</f>
        <v>3.65</v>
      </c>
      <c r="W233">
        <f>TBL_TEV[[#This Row],[Etica Rendita Bilanciata]]</f>
        <v>1.5547489999999999</v>
      </c>
      <c r="X233">
        <f>TBL_TEV[[#This Row],[Etica Obbligazionario Breve Termine]]</f>
        <v>0.310664</v>
      </c>
      <c r="Y233">
        <f>TBL_TEV[[#This Row],[Etica Obbligazionario Misto]]</f>
        <v>0.82198199999999999</v>
      </c>
      <c r="Z233">
        <f>TBL_TEV[[#This Row],[Etica Bilanciato]]</f>
        <v>2.1575039999999999</v>
      </c>
      <c r="AA233">
        <f>TBL_TEV[[#This Row],[Etica Azionario]]</f>
        <v>3.3550770000000001</v>
      </c>
      <c r="AB233">
        <f>TBL_TEV[[#This Row],[Etica Transizione Climatica]]</f>
        <v>2.513252</v>
      </c>
      <c r="AC233">
        <f>TBL_TEV[[#This Row],[Etica Obiettivo Sociale]]</f>
        <v>7.8137241446036523</v>
      </c>
      <c r="AD233">
        <f>TBL_TEV[[#This Row],[Etica Conservative Allocation]]</f>
        <v>0.72244900000000001</v>
      </c>
      <c r="AE233">
        <f>TBL_TEV[[#This Row],[Etica Dynamic Allocation]]</f>
        <v>2.0825770000000001</v>
      </c>
      <c r="AF233">
        <f>TBL_TEV[[#This Row],[Etica Global Equity]]</f>
        <v>2.9572620000000001</v>
      </c>
      <c r="AL233">
        <f ca="1"/>
        <v>1.5588770000000001</v>
      </c>
      <c r="AM233">
        <f ca="1"/>
        <v>0.31114000000000003</v>
      </c>
      <c r="AN233">
        <f ca="1"/>
        <v>0.82563299999999995</v>
      </c>
      <c r="AO233">
        <f ca="1"/>
        <v>2.1719499999999998</v>
      </c>
      <c r="AP233">
        <f ca="1"/>
        <v>3.3625379999999998</v>
      </c>
      <c r="AQ233">
        <f ca="1"/>
        <v>2.5283329999999999</v>
      </c>
      <c r="AR233">
        <f ca="1"/>
        <v>7.6378470460606467</v>
      </c>
      <c r="AS233">
        <f ca="1"/>
        <v>0.72244900000000001</v>
      </c>
      <c r="AT233">
        <f ca="1"/>
        <v>2.0825770000000001</v>
      </c>
      <c r="AU233">
        <f ca="1"/>
        <v>2.9572620000000001</v>
      </c>
    </row>
    <row r="234" spans="1:47">
      <c r="A234" s="43">
        <f>TBL_TEV[[#This Row],[Data2]]</f>
        <v>45618</v>
      </c>
      <c r="B234" cm="1">
        <f t="array" ref="B234">_xlfn.XLOOKUP(_xlfn.ANCHORARRAY(A234), TBL_Limiti_CDA[Data], TBL_Limiti_CDA[Etica Rendita Bilanciata], , -1)</f>
        <v>2.5</v>
      </c>
      <c r="C234" cm="1">
        <f t="array" ref="C234">_xlfn.XLOOKUP(_xlfn.ANCHORARRAY(A234), TBL_Limiti_CDA[Data], TBL_Limiti_CDA[Etica Obbligazionario Breve Termine], , -1)</f>
        <v>0.5</v>
      </c>
      <c r="D234" cm="1">
        <f t="array" ref="D234">_xlfn.XLOOKUP(_xlfn.ANCHORARRAY(A234), TBL_Limiti_CDA[Data], TBL_Limiti_CDA[Etica Obbligazionario Misto], , -1)</f>
        <v>1.5</v>
      </c>
      <c r="E234" cm="1">
        <f t="array" ref="E234">_xlfn.XLOOKUP(_xlfn.ANCHORARRAY(A234), TBL_Limiti_CDA[Data], TBL_Limiti_CDA[Etica Bilanciato], , -1)</f>
        <v>3</v>
      </c>
      <c r="F234" cm="1">
        <f t="array" ref="F234">_xlfn.XLOOKUP(_xlfn.ANCHORARRAY(A234), TBL_Limiti_CDA[Data], TBL_Limiti_CDA[Etica Azionario], , -1)</f>
        <v>3.5</v>
      </c>
      <c r="G234" cm="1">
        <f t="array" ref="G234">_xlfn.XLOOKUP(_xlfn.ANCHORARRAY(A234), TBL_Limiti_CDA[Data], TBL_Limiti_CDA[Etica Transizione Climatica], , -1)</f>
        <v>2.75</v>
      </c>
      <c r="H234" cm="1">
        <f t="array" ref="H234">_xlfn.XLOOKUP(_xlfn.ANCHORARRAY(A234), TBL_Limiti_CDA[Data], TBL_Limiti_CDA[Etica Obiettivo Sociale], , -1)</f>
        <v>9.99</v>
      </c>
      <c r="I234" cm="1">
        <f t="array" ref="I234">_xlfn.XLOOKUP(_xlfn.ANCHORARRAY(A234), TBL_Limiti_CDA[Data], TBL_Limiti_CDA[Etica Conservative Allocation], , -1)</f>
        <v>1.5</v>
      </c>
      <c r="J234" cm="1">
        <f t="array" ref="J234">_xlfn.XLOOKUP(_xlfn.ANCHORARRAY(A234), TBL_Limiti_CDA[Data], TBL_Limiti_CDA[Etica Dynamic Allocation], , -1)</f>
        <v>3</v>
      </c>
      <c r="K234" cm="1">
        <f t="array" ref="K234">_xlfn.XLOOKUP(_xlfn.ANCHORARRAY(A234), TBL_Limiti_CDA[Data], TBL_Limiti_CDA[Etica Global Equity], , -1)</f>
        <v>3.5</v>
      </c>
      <c r="L234" cm="1">
        <f t="array" ref="L234">_xlfn.ANCHORARRAY(B234)+0.15</f>
        <v>2.65</v>
      </c>
      <c r="M234" cm="1">
        <f t="array" ref="M234">_xlfn.ANCHORARRAY(C234)+0.1</f>
        <v>0.6</v>
      </c>
      <c r="N234" cm="1">
        <f t="array" ref="N234">_xlfn.ANCHORARRAY(D234)+0.15</f>
        <v>1.65</v>
      </c>
      <c r="O234" cm="1">
        <f t="array" ref="O234">_xlfn.ANCHORARRAY(E234)+0.15</f>
        <v>3.15</v>
      </c>
      <c r="P234" cm="1">
        <f t="array" ref="P234">_xlfn.ANCHORARRAY(F234)+0.15</f>
        <v>3.65</v>
      </c>
      <c r="Q234" cm="1">
        <f t="array" ref="Q234">_xlfn.ANCHORARRAY(G234)+0.15</f>
        <v>2.9</v>
      </c>
      <c r="R234" cm="1">
        <f t="array" ref="R234">_xlfn.ANCHORARRAY(H234)</f>
        <v>9.99</v>
      </c>
      <c r="S234" cm="1">
        <f t="array" ref="S234">_xlfn.ANCHORARRAY(R234)+0.15</f>
        <v>10.14</v>
      </c>
      <c r="T234" cm="1">
        <f t="array" ref="T234">_xlfn.ANCHORARRAY(I234)+0.15</f>
        <v>1.65</v>
      </c>
      <c r="U234" cm="1">
        <f t="array" ref="U234">_xlfn.ANCHORARRAY(J234)+0.15</f>
        <v>3.15</v>
      </c>
      <c r="V234" cm="1">
        <f t="array" ref="V234">_xlfn.ANCHORARRAY(K234)+0.15</f>
        <v>3.65</v>
      </c>
      <c r="W234">
        <f>TBL_TEV[[#This Row],[Etica Rendita Bilanciata]]</f>
        <v>1.5588770000000001</v>
      </c>
      <c r="X234">
        <f>TBL_TEV[[#This Row],[Etica Obbligazionario Breve Termine]]</f>
        <v>0.31114000000000003</v>
      </c>
      <c r="Y234">
        <f>TBL_TEV[[#This Row],[Etica Obbligazionario Misto]]</f>
        <v>0.82563299999999995</v>
      </c>
      <c r="Z234">
        <f>TBL_TEV[[#This Row],[Etica Bilanciato]]</f>
        <v>2.1719499999999998</v>
      </c>
      <c r="AA234">
        <f>TBL_TEV[[#This Row],[Etica Azionario]]</f>
        <v>3.3625379999999998</v>
      </c>
      <c r="AB234">
        <f>TBL_TEV[[#This Row],[Etica Transizione Climatica]]</f>
        <v>2.5283329999999999</v>
      </c>
      <c r="AC234">
        <f>TBL_TEV[[#This Row],[Etica Obiettivo Sociale]]</f>
        <v>7.6378470460606467</v>
      </c>
      <c r="AD234">
        <f>TBL_TEV[[#This Row],[Etica Conservative Allocation]]</f>
        <v>0.72244900000000001</v>
      </c>
      <c r="AE234">
        <f>TBL_TEV[[#This Row],[Etica Dynamic Allocation]]</f>
        <v>2.0825770000000001</v>
      </c>
      <c r="AF234">
        <f>TBL_TEV[[#This Row],[Etica Global Equity]]</f>
        <v>2.9572620000000001</v>
      </c>
      <c r="AL234">
        <f ca="1"/>
        <v>1.5436369999999999</v>
      </c>
      <c r="AM234">
        <f ca="1"/>
        <v>0.31161699999999998</v>
      </c>
      <c r="AN234">
        <f ca="1"/>
        <v>0.81467999999999996</v>
      </c>
      <c r="AO234">
        <f ca="1"/>
        <v>2.2543389999999999</v>
      </c>
      <c r="AP234">
        <f ca="1"/>
        <v>3.3453940000000002</v>
      </c>
      <c r="AQ234">
        <f ca="1"/>
        <v>2.5491280000000001</v>
      </c>
      <c r="AR234">
        <f ca="1"/>
        <v>7.5912345765369764</v>
      </c>
      <c r="AS234">
        <f ca="1"/>
        <v>0.72244900000000001</v>
      </c>
      <c r="AT234">
        <f ca="1"/>
        <v>2.0825770000000001</v>
      </c>
      <c r="AU234">
        <f ca="1"/>
        <v>2.9572620000000001</v>
      </c>
    </row>
    <row r="235" spans="1:47">
      <c r="A235" s="43">
        <f>TBL_TEV[[#This Row],[Data2]]</f>
        <v>45621</v>
      </c>
      <c r="B235" cm="1">
        <f t="array" ref="B235">_xlfn.XLOOKUP(_xlfn.ANCHORARRAY(A235), TBL_Limiti_CDA[Data], TBL_Limiti_CDA[Etica Rendita Bilanciata], , -1)</f>
        <v>2.5</v>
      </c>
      <c r="C235" cm="1">
        <f t="array" ref="C235">_xlfn.XLOOKUP(_xlfn.ANCHORARRAY(A235), TBL_Limiti_CDA[Data], TBL_Limiti_CDA[Etica Obbligazionario Breve Termine], , -1)</f>
        <v>0.5</v>
      </c>
      <c r="D235" cm="1">
        <f t="array" ref="D235">_xlfn.XLOOKUP(_xlfn.ANCHORARRAY(A235), TBL_Limiti_CDA[Data], TBL_Limiti_CDA[Etica Obbligazionario Misto], , -1)</f>
        <v>1.5</v>
      </c>
      <c r="E235" cm="1">
        <f t="array" ref="E235">_xlfn.XLOOKUP(_xlfn.ANCHORARRAY(A235), TBL_Limiti_CDA[Data], TBL_Limiti_CDA[Etica Bilanciato], , -1)</f>
        <v>3</v>
      </c>
      <c r="F235" cm="1">
        <f t="array" ref="F235">_xlfn.XLOOKUP(_xlfn.ANCHORARRAY(A235), TBL_Limiti_CDA[Data], TBL_Limiti_CDA[Etica Azionario], , -1)</f>
        <v>3.5</v>
      </c>
      <c r="G235" cm="1">
        <f t="array" ref="G235">_xlfn.XLOOKUP(_xlfn.ANCHORARRAY(A235), TBL_Limiti_CDA[Data], TBL_Limiti_CDA[Etica Transizione Climatica], , -1)</f>
        <v>2.75</v>
      </c>
      <c r="H235" cm="1">
        <f t="array" ref="H235">_xlfn.XLOOKUP(_xlfn.ANCHORARRAY(A235), TBL_Limiti_CDA[Data], TBL_Limiti_CDA[Etica Obiettivo Sociale], , -1)</f>
        <v>9.99</v>
      </c>
      <c r="I235" cm="1">
        <f t="array" ref="I235">_xlfn.XLOOKUP(_xlfn.ANCHORARRAY(A235), TBL_Limiti_CDA[Data], TBL_Limiti_CDA[Etica Conservative Allocation], , -1)</f>
        <v>1.5</v>
      </c>
      <c r="J235" cm="1">
        <f t="array" ref="J235">_xlfn.XLOOKUP(_xlfn.ANCHORARRAY(A235), TBL_Limiti_CDA[Data], TBL_Limiti_CDA[Etica Dynamic Allocation], , -1)</f>
        <v>3</v>
      </c>
      <c r="K235" cm="1">
        <f t="array" ref="K235">_xlfn.XLOOKUP(_xlfn.ANCHORARRAY(A235), TBL_Limiti_CDA[Data], TBL_Limiti_CDA[Etica Global Equity], , -1)</f>
        <v>3.5</v>
      </c>
      <c r="L235" cm="1">
        <f t="array" ref="L235">_xlfn.ANCHORARRAY(B235)+0.15</f>
        <v>2.65</v>
      </c>
      <c r="M235" cm="1">
        <f t="array" ref="M235">_xlfn.ANCHORARRAY(C235)+0.1</f>
        <v>0.6</v>
      </c>
      <c r="N235" cm="1">
        <f t="array" ref="N235">_xlfn.ANCHORARRAY(D235)+0.15</f>
        <v>1.65</v>
      </c>
      <c r="O235" cm="1">
        <f t="array" ref="O235">_xlfn.ANCHORARRAY(E235)+0.15</f>
        <v>3.15</v>
      </c>
      <c r="P235" cm="1">
        <f t="array" ref="P235">_xlfn.ANCHORARRAY(F235)+0.15</f>
        <v>3.65</v>
      </c>
      <c r="Q235" cm="1">
        <f t="array" ref="Q235">_xlfn.ANCHORARRAY(G235)+0.15</f>
        <v>2.9</v>
      </c>
      <c r="R235" cm="1">
        <f t="array" ref="R235">_xlfn.ANCHORARRAY(H235)</f>
        <v>9.99</v>
      </c>
      <c r="S235" cm="1">
        <f t="array" ref="S235">_xlfn.ANCHORARRAY(R235)+0.15</f>
        <v>10.14</v>
      </c>
      <c r="T235" cm="1">
        <f t="array" ref="T235">_xlfn.ANCHORARRAY(I235)+0.15</f>
        <v>1.65</v>
      </c>
      <c r="U235" cm="1">
        <f t="array" ref="U235">_xlfn.ANCHORARRAY(J235)+0.15</f>
        <v>3.15</v>
      </c>
      <c r="V235" cm="1">
        <f t="array" ref="V235">_xlfn.ANCHORARRAY(K235)+0.15</f>
        <v>3.65</v>
      </c>
      <c r="W235">
        <f>TBL_TEV[[#This Row],[Etica Rendita Bilanciata]]</f>
        <v>1.5436369999999999</v>
      </c>
      <c r="X235">
        <f>TBL_TEV[[#This Row],[Etica Obbligazionario Breve Termine]]</f>
        <v>0.31161699999999998</v>
      </c>
      <c r="Y235">
        <f>TBL_TEV[[#This Row],[Etica Obbligazionario Misto]]</f>
        <v>0.81467999999999996</v>
      </c>
      <c r="Z235">
        <f>TBL_TEV[[#This Row],[Etica Bilanciato]]</f>
        <v>2.2543389999999999</v>
      </c>
      <c r="AA235">
        <f>TBL_TEV[[#This Row],[Etica Azionario]]</f>
        <v>3.3453940000000002</v>
      </c>
      <c r="AB235">
        <f>TBL_TEV[[#This Row],[Etica Transizione Climatica]]</f>
        <v>2.5491280000000001</v>
      </c>
      <c r="AC235">
        <f>TBL_TEV[[#This Row],[Etica Obiettivo Sociale]]</f>
        <v>7.5912345765369764</v>
      </c>
      <c r="AD235">
        <f>TBL_TEV[[#This Row],[Etica Conservative Allocation]]</f>
        <v>0.72244900000000001</v>
      </c>
      <c r="AE235">
        <f>TBL_TEV[[#This Row],[Etica Dynamic Allocation]]</f>
        <v>2.0825770000000001</v>
      </c>
      <c r="AF235">
        <f>TBL_TEV[[#This Row],[Etica Global Equity]]</f>
        <v>2.9572620000000001</v>
      </c>
      <c r="AL235">
        <f ca="1"/>
        <v>1.533795</v>
      </c>
      <c r="AM235">
        <f ca="1"/>
        <v>0.26827899999999999</v>
      </c>
      <c r="AN235">
        <f ca="1"/>
        <v>0.77181900000000003</v>
      </c>
      <c r="AO235">
        <f ca="1"/>
        <v>2.4738829999999998</v>
      </c>
      <c r="AP235">
        <f ca="1"/>
        <v>3.6385960000000002</v>
      </c>
      <c r="AQ235">
        <f ca="1"/>
        <v>2.3387910000000001</v>
      </c>
      <c r="AR235">
        <f ca="1"/>
        <v>7.6901282788913825</v>
      </c>
      <c r="AS235">
        <f ca="1"/>
        <v>0.72244900000000001</v>
      </c>
      <c r="AT235">
        <f ca="1"/>
        <v>2.0825770000000001</v>
      </c>
      <c r="AU235">
        <f ca="1"/>
        <v>2.9572620000000001</v>
      </c>
    </row>
    <row r="236" spans="1:47">
      <c r="A236" s="43">
        <f>TBL_TEV[[#This Row],[Data2]]</f>
        <v>45622</v>
      </c>
      <c r="B236" cm="1">
        <f t="array" ref="B236">_xlfn.XLOOKUP(_xlfn.ANCHORARRAY(A236), TBL_Limiti_CDA[Data], TBL_Limiti_CDA[Etica Rendita Bilanciata], , -1)</f>
        <v>2.5</v>
      </c>
      <c r="C236" cm="1">
        <f t="array" ref="C236">_xlfn.XLOOKUP(_xlfn.ANCHORARRAY(A236), TBL_Limiti_CDA[Data], TBL_Limiti_CDA[Etica Obbligazionario Breve Termine], , -1)</f>
        <v>0.5</v>
      </c>
      <c r="D236" cm="1">
        <f t="array" ref="D236">_xlfn.XLOOKUP(_xlfn.ANCHORARRAY(A236), TBL_Limiti_CDA[Data], TBL_Limiti_CDA[Etica Obbligazionario Misto], , -1)</f>
        <v>1.5</v>
      </c>
      <c r="E236" cm="1">
        <f t="array" ref="E236">_xlfn.XLOOKUP(_xlfn.ANCHORARRAY(A236), TBL_Limiti_CDA[Data], TBL_Limiti_CDA[Etica Bilanciato], , -1)</f>
        <v>3</v>
      </c>
      <c r="F236" cm="1">
        <f t="array" ref="F236">_xlfn.XLOOKUP(_xlfn.ANCHORARRAY(A236), TBL_Limiti_CDA[Data], TBL_Limiti_CDA[Etica Azionario], , -1)</f>
        <v>3.5</v>
      </c>
      <c r="G236" cm="1">
        <f t="array" ref="G236">_xlfn.XLOOKUP(_xlfn.ANCHORARRAY(A236), TBL_Limiti_CDA[Data], TBL_Limiti_CDA[Etica Transizione Climatica], , -1)</f>
        <v>2.75</v>
      </c>
      <c r="H236" cm="1">
        <f t="array" ref="H236">_xlfn.XLOOKUP(_xlfn.ANCHORARRAY(A236), TBL_Limiti_CDA[Data], TBL_Limiti_CDA[Etica Obiettivo Sociale], , -1)</f>
        <v>9.99</v>
      </c>
      <c r="I236" cm="1">
        <f t="array" ref="I236">_xlfn.XLOOKUP(_xlfn.ANCHORARRAY(A236), TBL_Limiti_CDA[Data], TBL_Limiti_CDA[Etica Conservative Allocation], , -1)</f>
        <v>1.5</v>
      </c>
      <c r="J236" cm="1">
        <f t="array" ref="J236">_xlfn.XLOOKUP(_xlfn.ANCHORARRAY(A236), TBL_Limiti_CDA[Data], TBL_Limiti_CDA[Etica Dynamic Allocation], , -1)</f>
        <v>3</v>
      </c>
      <c r="K236" cm="1">
        <f t="array" ref="K236">_xlfn.XLOOKUP(_xlfn.ANCHORARRAY(A236), TBL_Limiti_CDA[Data], TBL_Limiti_CDA[Etica Global Equity], , -1)</f>
        <v>3.5</v>
      </c>
      <c r="L236" cm="1">
        <f t="array" ref="L236">_xlfn.ANCHORARRAY(B236)+0.15</f>
        <v>2.65</v>
      </c>
      <c r="M236" cm="1">
        <f t="array" ref="M236">_xlfn.ANCHORARRAY(C236)+0.1</f>
        <v>0.6</v>
      </c>
      <c r="N236" cm="1">
        <f t="array" ref="N236">_xlfn.ANCHORARRAY(D236)+0.15</f>
        <v>1.65</v>
      </c>
      <c r="O236" cm="1">
        <f t="array" ref="O236">_xlfn.ANCHORARRAY(E236)+0.15</f>
        <v>3.15</v>
      </c>
      <c r="P236" cm="1">
        <f t="array" ref="P236">_xlfn.ANCHORARRAY(F236)+0.15</f>
        <v>3.65</v>
      </c>
      <c r="Q236" cm="1">
        <f t="array" ref="Q236">_xlfn.ANCHORARRAY(G236)+0.15</f>
        <v>2.9</v>
      </c>
      <c r="R236" cm="1">
        <f t="array" ref="R236">_xlfn.ANCHORARRAY(H236)</f>
        <v>9.99</v>
      </c>
      <c r="S236" cm="1">
        <f t="array" ref="S236">_xlfn.ANCHORARRAY(R236)+0.15</f>
        <v>10.14</v>
      </c>
      <c r="T236" cm="1">
        <f t="array" ref="T236">_xlfn.ANCHORARRAY(I236)+0.15</f>
        <v>1.65</v>
      </c>
      <c r="U236" cm="1">
        <f t="array" ref="U236">_xlfn.ANCHORARRAY(J236)+0.15</f>
        <v>3.15</v>
      </c>
      <c r="V236" cm="1">
        <f t="array" ref="V236">_xlfn.ANCHORARRAY(K236)+0.15</f>
        <v>3.65</v>
      </c>
      <c r="W236">
        <f>TBL_TEV[[#This Row],[Etica Rendita Bilanciata]]</f>
        <v>1.533795</v>
      </c>
      <c r="X236">
        <f>TBL_TEV[[#This Row],[Etica Obbligazionario Breve Termine]]</f>
        <v>0.26827899999999999</v>
      </c>
      <c r="Y236">
        <f>TBL_TEV[[#This Row],[Etica Obbligazionario Misto]]</f>
        <v>0.77181900000000003</v>
      </c>
      <c r="Z236">
        <f>TBL_TEV[[#This Row],[Etica Bilanciato]]</f>
        <v>2.4738829999999998</v>
      </c>
      <c r="AA236">
        <f>TBL_TEV[[#This Row],[Etica Azionario]]</f>
        <v>3.6385960000000002</v>
      </c>
      <c r="AB236">
        <f>TBL_TEV[[#This Row],[Etica Transizione Climatica]]</f>
        <v>2.3387910000000001</v>
      </c>
      <c r="AC236">
        <f>TBL_TEV[[#This Row],[Etica Obiettivo Sociale]]</f>
        <v>7.6901282788913825</v>
      </c>
      <c r="AD236">
        <f>TBL_TEV[[#This Row],[Etica Conservative Allocation]]</f>
        <v>0.72244900000000001</v>
      </c>
      <c r="AE236">
        <f>TBL_TEV[[#This Row],[Etica Dynamic Allocation]]</f>
        <v>2.0825770000000001</v>
      </c>
      <c r="AF236">
        <f>TBL_TEV[[#This Row],[Etica Global Equity]]</f>
        <v>2.9572620000000001</v>
      </c>
      <c r="AL236">
        <f ca="1"/>
        <v>1.51919</v>
      </c>
      <c r="AM236">
        <f ca="1"/>
        <v>0.27066000000000001</v>
      </c>
      <c r="AN236">
        <f ca="1"/>
        <v>0.73070400000000002</v>
      </c>
      <c r="AO236">
        <f ca="1"/>
        <v>2.4518179999999998</v>
      </c>
      <c r="AP236">
        <f ca="1"/>
        <v>3.620816</v>
      </c>
      <c r="AQ236">
        <f ca="1"/>
        <v>2.3279969999999999</v>
      </c>
      <c r="AR236">
        <f ca="1"/>
        <v>7.6342893737293522</v>
      </c>
      <c r="AS236">
        <f ca="1"/>
        <v>0.72244900000000001</v>
      </c>
      <c r="AT236">
        <f ca="1"/>
        <v>2.0825770000000001</v>
      </c>
      <c r="AU236">
        <f ca="1"/>
        <v>2.9572620000000001</v>
      </c>
    </row>
    <row r="237" spans="1:47">
      <c r="A237" s="43">
        <f>TBL_TEV[[#This Row],[Data2]]</f>
        <v>45623</v>
      </c>
      <c r="B237" cm="1">
        <f t="array" ref="B237">_xlfn.XLOOKUP(_xlfn.ANCHORARRAY(A237), TBL_Limiti_CDA[Data], TBL_Limiti_CDA[Etica Rendita Bilanciata], , -1)</f>
        <v>1.75</v>
      </c>
      <c r="C237" cm="1">
        <f t="array" ref="C237">_xlfn.XLOOKUP(_xlfn.ANCHORARRAY(A237), TBL_Limiti_CDA[Data], TBL_Limiti_CDA[Etica Obbligazionario Breve Termine], , -1)</f>
        <v>0.5</v>
      </c>
      <c r="D237" cm="1">
        <f t="array" ref="D237">_xlfn.XLOOKUP(_xlfn.ANCHORARRAY(A237), TBL_Limiti_CDA[Data], TBL_Limiti_CDA[Etica Obbligazionario Misto], , -1)</f>
        <v>1</v>
      </c>
      <c r="E237" cm="1">
        <f t="array" ref="E237">_xlfn.XLOOKUP(_xlfn.ANCHORARRAY(A237), TBL_Limiti_CDA[Data], TBL_Limiti_CDA[Etica Bilanciato], , -1)</f>
        <v>3</v>
      </c>
      <c r="F237" cm="1">
        <f t="array" ref="F237">_xlfn.XLOOKUP(_xlfn.ANCHORARRAY(A237), TBL_Limiti_CDA[Data], TBL_Limiti_CDA[Etica Azionario], , -1)</f>
        <v>3.5</v>
      </c>
      <c r="G237" cm="1">
        <f t="array" ref="G237">_xlfn.XLOOKUP(_xlfn.ANCHORARRAY(A237), TBL_Limiti_CDA[Data], TBL_Limiti_CDA[Etica Transizione Climatica], , -1)</f>
        <v>2.75</v>
      </c>
      <c r="H237" cm="1">
        <f t="array" ref="H237">_xlfn.XLOOKUP(_xlfn.ANCHORARRAY(A237), TBL_Limiti_CDA[Data], TBL_Limiti_CDA[Etica Obiettivo Sociale], , -1)</f>
        <v>9.99</v>
      </c>
      <c r="I237" cm="1">
        <f t="array" ref="I237">_xlfn.XLOOKUP(_xlfn.ANCHORARRAY(A237), TBL_Limiti_CDA[Data], TBL_Limiti_CDA[Etica Conservative Allocation], , -1)</f>
        <v>1</v>
      </c>
      <c r="J237" cm="1">
        <f t="array" ref="J237">_xlfn.XLOOKUP(_xlfn.ANCHORARRAY(A237), TBL_Limiti_CDA[Data], TBL_Limiti_CDA[Etica Dynamic Allocation], , -1)</f>
        <v>3</v>
      </c>
      <c r="K237" cm="1">
        <f t="array" ref="K237">_xlfn.XLOOKUP(_xlfn.ANCHORARRAY(A237), TBL_Limiti_CDA[Data], TBL_Limiti_CDA[Etica Global Equity], , -1)</f>
        <v>3.5</v>
      </c>
      <c r="L237" cm="1">
        <f t="array" ref="L237">_xlfn.ANCHORARRAY(B237)+0.15</f>
        <v>1.9</v>
      </c>
      <c r="M237" cm="1">
        <f t="array" ref="M237">_xlfn.ANCHORARRAY(C237)+0.1</f>
        <v>0.6</v>
      </c>
      <c r="N237" cm="1">
        <f t="array" ref="N237">_xlfn.ANCHORARRAY(D237)+0.15</f>
        <v>1.1499999999999999</v>
      </c>
      <c r="O237" cm="1">
        <f t="array" ref="O237">_xlfn.ANCHORARRAY(E237)+0.15</f>
        <v>3.15</v>
      </c>
      <c r="P237" cm="1">
        <f t="array" ref="P237">_xlfn.ANCHORARRAY(F237)+0.15</f>
        <v>3.65</v>
      </c>
      <c r="Q237" cm="1">
        <f t="array" ref="Q237">_xlfn.ANCHORARRAY(G237)+0.15</f>
        <v>2.9</v>
      </c>
      <c r="R237" cm="1">
        <f t="array" ref="R237">_xlfn.ANCHORARRAY(H237)</f>
        <v>9.99</v>
      </c>
      <c r="S237" cm="1">
        <f t="array" ref="S237">_xlfn.ANCHORARRAY(R237)+0.15</f>
        <v>10.14</v>
      </c>
      <c r="T237" cm="1">
        <f t="array" ref="T237">_xlfn.ANCHORARRAY(I237)+0.15</f>
        <v>1.1499999999999999</v>
      </c>
      <c r="U237" cm="1">
        <f t="array" ref="U237">_xlfn.ANCHORARRAY(J237)+0.15</f>
        <v>3.15</v>
      </c>
      <c r="V237" cm="1">
        <f t="array" ref="V237">_xlfn.ANCHORARRAY(K237)+0.15</f>
        <v>3.65</v>
      </c>
      <c r="W237">
        <f>TBL_TEV[[#This Row],[Etica Rendita Bilanciata]]</f>
        <v>1.51919</v>
      </c>
      <c r="X237">
        <f>TBL_TEV[[#This Row],[Etica Obbligazionario Breve Termine]]</f>
        <v>0.27066000000000001</v>
      </c>
      <c r="Y237">
        <f>TBL_TEV[[#This Row],[Etica Obbligazionario Misto]]</f>
        <v>0.73070400000000002</v>
      </c>
      <c r="Z237">
        <f>TBL_TEV[[#This Row],[Etica Bilanciato]]</f>
        <v>2.4518179999999998</v>
      </c>
      <c r="AA237">
        <f>TBL_TEV[[#This Row],[Etica Azionario]]</f>
        <v>3.620816</v>
      </c>
      <c r="AB237">
        <f>TBL_TEV[[#This Row],[Etica Transizione Climatica]]</f>
        <v>2.3279969999999999</v>
      </c>
      <c r="AC237">
        <f>TBL_TEV[[#This Row],[Etica Obiettivo Sociale]]</f>
        <v>7.6342893737293522</v>
      </c>
      <c r="AD237">
        <f>TBL_TEV[[#This Row],[Etica Conservative Allocation]]</f>
        <v>0.72244900000000001</v>
      </c>
      <c r="AE237">
        <f>TBL_TEV[[#This Row],[Etica Dynamic Allocation]]</f>
        <v>2.0825770000000001</v>
      </c>
      <c r="AF237">
        <f>TBL_TEV[[#This Row],[Etica Global Equity]]</f>
        <v>2.9572620000000001</v>
      </c>
      <c r="AL237">
        <f ca="1"/>
        <v>1.504586</v>
      </c>
      <c r="AM237">
        <f ca="1"/>
        <v>0.27081899999999998</v>
      </c>
      <c r="AN237">
        <f ca="1"/>
        <v>0.71467000000000003</v>
      </c>
      <c r="AO237">
        <f ca="1"/>
        <v>2.4470550000000002</v>
      </c>
      <c r="AP237">
        <f ca="1"/>
        <v>3.6160540000000001</v>
      </c>
      <c r="AQ237">
        <f ca="1"/>
        <v>2.3100580000000002</v>
      </c>
      <c r="AR237">
        <f ca="1"/>
        <v>7.5321991318111996</v>
      </c>
      <c r="AS237">
        <f ca="1"/>
        <v>0.72244900000000001</v>
      </c>
      <c r="AT237">
        <f ca="1"/>
        <v>2.0825770000000001</v>
      </c>
      <c r="AU237">
        <f ca="1"/>
        <v>2.9572620000000001</v>
      </c>
    </row>
    <row r="238" spans="1:47">
      <c r="A238" s="43">
        <f>TBL_TEV[[#This Row],[Data2]]</f>
        <v>45624</v>
      </c>
      <c r="B238" cm="1">
        <f t="array" ref="B238">_xlfn.XLOOKUP(_xlfn.ANCHORARRAY(A238), TBL_Limiti_CDA[Data], TBL_Limiti_CDA[Etica Rendita Bilanciata], , -1)</f>
        <v>1.75</v>
      </c>
      <c r="C238" cm="1">
        <f t="array" ref="C238">_xlfn.XLOOKUP(_xlfn.ANCHORARRAY(A238), TBL_Limiti_CDA[Data], TBL_Limiti_CDA[Etica Obbligazionario Breve Termine], , -1)</f>
        <v>0.5</v>
      </c>
      <c r="D238" cm="1">
        <f t="array" ref="D238">_xlfn.XLOOKUP(_xlfn.ANCHORARRAY(A238), TBL_Limiti_CDA[Data], TBL_Limiti_CDA[Etica Obbligazionario Misto], , -1)</f>
        <v>1</v>
      </c>
      <c r="E238" cm="1">
        <f t="array" ref="E238">_xlfn.XLOOKUP(_xlfn.ANCHORARRAY(A238), TBL_Limiti_CDA[Data], TBL_Limiti_CDA[Etica Bilanciato], , -1)</f>
        <v>3</v>
      </c>
      <c r="F238" cm="1">
        <f t="array" ref="F238">_xlfn.XLOOKUP(_xlfn.ANCHORARRAY(A238), TBL_Limiti_CDA[Data], TBL_Limiti_CDA[Etica Azionario], , -1)</f>
        <v>3.5</v>
      </c>
      <c r="G238" cm="1">
        <f t="array" ref="G238">_xlfn.XLOOKUP(_xlfn.ANCHORARRAY(A238), TBL_Limiti_CDA[Data], TBL_Limiti_CDA[Etica Transizione Climatica], , -1)</f>
        <v>2.75</v>
      </c>
      <c r="H238" cm="1">
        <f t="array" ref="H238">_xlfn.XLOOKUP(_xlfn.ANCHORARRAY(A238), TBL_Limiti_CDA[Data], TBL_Limiti_CDA[Etica Obiettivo Sociale], , -1)</f>
        <v>9.99</v>
      </c>
      <c r="I238" cm="1">
        <f t="array" ref="I238">_xlfn.XLOOKUP(_xlfn.ANCHORARRAY(A238), TBL_Limiti_CDA[Data], TBL_Limiti_CDA[Etica Conservative Allocation], , -1)</f>
        <v>1</v>
      </c>
      <c r="J238" cm="1">
        <f t="array" ref="J238">_xlfn.XLOOKUP(_xlfn.ANCHORARRAY(A238), TBL_Limiti_CDA[Data], TBL_Limiti_CDA[Etica Dynamic Allocation], , -1)</f>
        <v>3</v>
      </c>
      <c r="K238" cm="1">
        <f t="array" ref="K238">_xlfn.XLOOKUP(_xlfn.ANCHORARRAY(A238), TBL_Limiti_CDA[Data], TBL_Limiti_CDA[Etica Global Equity], , -1)</f>
        <v>3.5</v>
      </c>
      <c r="L238" cm="1">
        <f t="array" ref="L238">_xlfn.ANCHORARRAY(B238)+0.15</f>
        <v>1.9</v>
      </c>
      <c r="M238" cm="1">
        <f t="array" ref="M238">_xlfn.ANCHORARRAY(C238)+0.1</f>
        <v>0.6</v>
      </c>
      <c r="N238" cm="1">
        <f t="array" ref="N238">_xlfn.ANCHORARRAY(D238)+0.15</f>
        <v>1.1499999999999999</v>
      </c>
      <c r="O238" cm="1">
        <f t="array" ref="O238">_xlfn.ANCHORARRAY(E238)+0.15</f>
        <v>3.15</v>
      </c>
      <c r="P238" cm="1">
        <f t="array" ref="P238">_xlfn.ANCHORARRAY(F238)+0.15</f>
        <v>3.65</v>
      </c>
      <c r="Q238" cm="1">
        <f t="array" ref="Q238">_xlfn.ANCHORARRAY(G238)+0.15</f>
        <v>2.9</v>
      </c>
      <c r="R238" cm="1">
        <f t="array" ref="R238">_xlfn.ANCHORARRAY(H238)</f>
        <v>9.99</v>
      </c>
      <c r="S238" cm="1">
        <f t="array" ref="S238">_xlfn.ANCHORARRAY(R238)+0.15</f>
        <v>10.14</v>
      </c>
      <c r="T238" cm="1">
        <f t="array" ref="T238">_xlfn.ANCHORARRAY(I238)+0.15</f>
        <v>1.1499999999999999</v>
      </c>
      <c r="U238" cm="1">
        <f t="array" ref="U238">_xlfn.ANCHORARRAY(J238)+0.15</f>
        <v>3.15</v>
      </c>
      <c r="V238" cm="1">
        <f t="array" ref="V238">_xlfn.ANCHORARRAY(K238)+0.15</f>
        <v>3.65</v>
      </c>
      <c r="W238">
        <f>TBL_TEV[[#This Row],[Etica Rendita Bilanciata]]</f>
        <v>1.504586</v>
      </c>
      <c r="X238">
        <f>TBL_TEV[[#This Row],[Etica Obbligazionario Breve Termine]]</f>
        <v>0.27081899999999998</v>
      </c>
      <c r="Y238">
        <f>TBL_TEV[[#This Row],[Etica Obbligazionario Misto]]</f>
        <v>0.71467000000000003</v>
      </c>
      <c r="Z238">
        <f>TBL_TEV[[#This Row],[Etica Bilanciato]]</f>
        <v>2.4470550000000002</v>
      </c>
      <c r="AA238">
        <f>TBL_TEV[[#This Row],[Etica Azionario]]</f>
        <v>3.6160540000000001</v>
      </c>
      <c r="AB238">
        <f>TBL_TEV[[#This Row],[Etica Transizione Climatica]]</f>
        <v>2.3100580000000002</v>
      </c>
      <c r="AC238">
        <f>TBL_TEV[[#This Row],[Etica Obiettivo Sociale]]</f>
        <v>7.5321991318111996</v>
      </c>
      <c r="AD238">
        <f>TBL_TEV[[#This Row],[Etica Conservative Allocation]]</f>
        <v>0.72244900000000001</v>
      </c>
      <c r="AE238">
        <f>TBL_TEV[[#This Row],[Etica Dynamic Allocation]]</f>
        <v>2.0825770000000001</v>
      </c>
      <c r="AF238">
        <f>TBL_TEV[[#This Row],[Etica Global Equity]]</f>
        <v>2.9572620000000001</v>
      </c>
      <c r="AL238">
        <f ca="1"/>
        <v>1.497125</v>
      </c>
      <c r="AM238">
        <f ca="1"/>
        <v>0.25208700000000001</v>
      </c>
      <c r="AN238">
        <f ca="1"/>
        <v>0.69546200000000002</v>
      </c>
      <c r="AO238">
        <f ca="1"/>
        <v>2.4451499999999999</v>
      </c>
      <c r="AP238">
        <f ca="1"/>
        <v>3.6152600000000001</v>
      </c>
      <c r="AQ238">
        <f ca="1"/>
        <v>2.3046609999999998</v>
      </c>
      <c r="AR238">
        <f ca="1"/>
        <v>7.4490190193628969</v>
      </c>
      <c r="AS238">
        <f ca="1"/>
        <v>0.72244900000000001</v>
      </c>
      <c r="AT238">
        <f ca="1"/>
        <v>2.0825770000000001</v>
      </c>
      <c r="AU238">
        <f ca="1"/>
        <v>2.9572620000000001</v>
      </c>
    </row>
    <row r="239" spans="1:47">
      <c r="A239" s="43">
        <f>TBL_TEV[[#This Row],[Data2]]</f>
        <v>45625</v>
      </c>
      <c r="B239" cm="1">
        <f t="array" ref="B239">_xlfn.XLOOKUP(_xlfn.ANCHORARRAY(A239), TBL_Limiti_CDA[Data], TBL_Limiti_CDA[Etica Rendita Bilanciata], , -1)</f>
        <v>1.75</v>
      </c>
      <c r="C239" cm="1">
        <f t="array" ref="C239">_xlfn.XLOOKUP(_xlfn.ANCHORARRAY(A239), TBL_Limiti_CDA[Data], TBL_Limiti_CDA[Etica Obbligazionario Breve Termine], , -1)</f>
        <v>0.5</v>
      </c>
      <c r="D239" cm="1">
        <f t="array" ref="D239">_xlfn.XLOOKUP(_xlfn.ANCHORARRAY(A239), TBL_Limiti_CDA[Data], TBL_Limiti_CDA[Etica Obbligazionario Misto], , -1)</f>
        <v>1</v>
      </c>
      <c r="E239" cm="1">
        <f t="array" ref="E239">_xlfn.XLOOKUP(_xlfn.ANCHORARRAY(A239), TBL_Limiti_CDA[Data], TBL_Limiti_CDA[Etica Bilanciato], , -1)</f>
        <v>3</v>
      </c>
      <c r="F239" cm="1">
        <f t="array" ref="F239">_xlfn.XLOOKUP(_xlfn.ANCHORARRAY(A239), TBL_Limiti_CDA[Data], TBL_Limiti_CDA[Etica Azionario], , -1)</f>
        <v>3.5</v>
      </c>
      <c r="G239" cm="1">
        <f t="array" ref="G239">_xlfn.XLOOKUP(_xlfn.ANCHORARRAY(A239), TBL_Limiti_CDA[Data], TBL_Limiti_CDA[Etica Transizione Climatica], , -1)</f>
        <v>2.75</v>
      </c>
      <c r="H239" cm="1">
        <f t="array" ref="H239">_xlfn.XLOOKUP(_xlfn.ANCHORARRAY(A239), TBL_Limiti_CDA[Data], TBL_Limiti_CDA[Etica Obiettivo Sociale], , -1)</f>
        <v>9.99</v>
      </c>
      <c r="I239" cm="1">
        <f t="array" ref="I239">_xlfn.XLOOKUP(_xlfn.ANCHORARRAY(A239), TBL_Limiti_CDA[Data], TBL_Limiti_CDA[Etica Conservative Allocation], , -1)</f>
        <v>1</v>
      </c>
      <c r="J239" cm="1">
        <f t="array" ref="J239">_xlfn.XLOOKUP(_xlfn.ANCHORARRAY(A239), TBL_Limiti_CDA[Data], TBL_Limiti_CDA[Etica Dynamic Allocation], , -1)</f>
        <v>3</v>
      </c>
      <c r="K239" cm="1">
        <f t="array" ref="K239">_xlfn.XLOOKUP(_xlfn.ANCHORARRAY(A239), TBL_Limiti_CDA[Data], TBL_Limiti_CDA[Etica Global Equity], , -1)</f>
        <v>3.5</v>
      </c>
      <c r="L239" cm="1">
        <f t="array" ref="L239">_xlfn.ANCHORARRAY(B239)+0.15</f>
        <v>1.9</v>
      </c>
      <c r="M239" cm="1">
        <f t="array" ref="M239">_xlfn.ANCHORARRAY(C239)+0.1</f>
        <v>0.6</v>
      </c>
      <c r="N239" cm="1">
        <f t="array" ref="N239">_xlfn.ANCHORARRAY(D239)+0.15</f>
        <v>1.1499999999999999</v>
      </c>
      <c r="O239" cm="1">
        <f t="array" ref="O239">_xlfn.ANCHORARRAY(E239)+0.15</f>
        <v>3.15</v>
      </c>
      <c r="P239" cm="1">
        <f t="array" ref="P239">_xlfn.ANCHORARRAY(F239)+0.15</f>
        <v>3.65</v>
      </c>
      <c r="Q239" cm="1">
        <f t="array" ref="Q239">_xlfn.ANCHORARRAY(G239)+0.15</f>
        <v>2.9</v>
      </c>
      <c r="R239" cm="1">
        <f t="array" ref="R239">_xlfn.ANCHORARRAY(H239)</f>
        <v>9.99</v>
      </c>
      <c r="S239" cm="1">
        <f t="array" ref="S239">_xlfn.ANCHORARRAY(R239)+0.15</f>
        <v>10.14</v>
      </c>
      <c r="T239" cm="1">
        <f t="array" ref="T239">_xlfn.ANCHORARRAY(I239)+0.15</f>
        <v>1.1499999999999999</v>
      </c>
      <c r="U239" cm="1">
        <f t="array" ref="U239">_xlfn.ANCHORARRAY(J239)+0.15</f>
        <v>3.15</v>
      </c>
      <c r="V239" cm="1">
        <f t="array" ref="V239">_xlfn.ANCHORARRAY(K239)+0.15</f>
        <v>3.65</v>
      </c>
      <c r="W239">
        <f>TBL_TEV[[#This Row],[Etica Rendita Bilanciata]]</f>
        <v>1.497125</v>
      </c>
      <c r="X239">
        <f>TBL_TEV[[#This Row],[Etica Obbligazionario Breve Termine]]</f>
        <v>0.25208700000000001</v>
      </c>
      <c r="Y239">
        <f>TBL_TEV[[#This Row],[Etica Obbligazionario Misto]]</f>
        <v>0.69546200000000002</v>
      </c>
      <c r="Z239">
        <f>TBL_TEV[[#This Row],[Etica Bilanciato]]</f>
        <v>2.4451499999999999</v>
      </c>
      <c r="AA239">
        <f>TBL_TEV[[#This Row],[Etica Azionario]]</f>
        <v>3.6152600000000001</v>
      </c>
      <c r="AB239">
        <f>TBL_TEV[[#This Row],[Etica Transizione Climatica]]</f>
        <v>2.3046609999999998</v>
      </c>
      <c r="AC239">
        <f>TBL_TEV[[#This Row],[Etica Obiettivo Sociale]]</f>
        <v>7.4490190193628969</v>
      </c>
      <c r="AD239">
        <f>TBL_TEV[[#This Row],[Etica Conservative Allocation]]</f>
        <v>0.72244900000000001</v>
      </c>
      <c r="AE239">
        <f>TBL_TEV[[#This Row],[Etica Dynamic Allocation]]</f>
        <v>2.0825770000000001</v>
      </c>
      <c r="AF239">
        <f>TBL_TEV[[#This Row],[Etica Global Equity]]</f>
        <v>2.9572620000000001</v>
      </c>
      <c r="AL239">
        <f ca="1"/>
        <v>1.5004580000000001</v>
      </c>
      <c r="AM239">
        <f ca="1"/>
        <v>0.25161099999999997</v>
      </c>
      <c r="AN239">
        <f ca="1"/>
        <v>0.693716</v>
      </c>
      <c r="AO239">
        <f ca="1"/>
        <v>2.4422929999999998</v>
      </c>
      <c r="AP239">
        <f ca="1"/>
        <v>3.599227</v>
      </c>
      <c r="AQ239">
        <f ca="1"/>
        <v>2.3106930000000001</v>
      </c>
      <c r="AR239">
        <f ca="1"/>
        <v>7.6131641427235168</v>
      </c>
      <c r="AS239">
        <f ca="1"/>
        <v>0.72244900000000001</v>
      </c>
      <c r="AT239">
        <f ca="1"/>
        <v>2.0825770000000001</v>
      </c>
      <c r="AU239">
        <f ca="1"/>
        <v>2.9572620000000001</v>
      </c>
    </row>
    <row r="240" spans="1:47">
      <c r="A240" s="43">
        <f>TBL_TEV[[#This Row],[Data2]]</f>
        <v>45628</v>
      </c>
      <c r="B240" cm="1">
        <f t="array" ref="B240">_xlfn.XLOOKUP(_xlfn.ANCHORARRAY(A240), TBL_Limiti_CDA[Data], TBL_Limiti_CDA[Etica Rendita Bilanciata], , -1)</f>
        <v>1.75</v>
      </c>
      <c r="C240" cm="1">
        <f t="array" ref="C240">_xlfn.XLOOKUP(_xlfn.ANCHORARRAY(A240), TBL_Limiti_CDA[Data], TBL_Limiti_CDA[Etica Obbligazionario Breve Termine], , -1)</f>
        <v>0.5</v>
      </c>
      <c r="D240" cm="1">
        <f t="array" ref="D240">_xlfn.XLOOKUP(_xlfn.ANCHORARRAY(A240), TBL_Limiti_CDA[Data], TBL_Limiti_CDA[Etica Obbligazionario Misto], , -1)</f>
        <v>1</v>
      </c>
      <c r="E240" cm="1">
        <f t="array" ref="E240">_xlfn.XLOOKUP(_xlfn.ANCHORARRAY(A240), TBL_Limiti_CDA[Data], TBL_Limiti_CDA[Etica Bilanciato], , -1)</f>
        <v>3</v>
      </c>
      <c r="F240" cm="1">
        <f t="array" ref="F240">_xlfn.XLOOKUP(_xlfn.ANCHORARRAY(A240), TBL_Limiti_CDA[Data], TBL_Limiti_CDA[Etica Azionario], , -1)</f>
        <v>3.5</v>
      </c>
      <c r="G240" cm="1">
        <f t="array" ref="G240">_xlfn.XLOOKUP(_xlfn.ANCHORARRAY(A240), TBL_Limiti_CDA[Data], TBL_Limiti_CDA[Etica Transizione Climatica], , -1)</f>
        <v>2.75</v>
      </c>
      <c r="H240" cm="1">
        <f t="array" ref="H240">_xlfn.XLOOKUP(_xlfn.ANCHORARRAY(A240), TBL_Limiti_CDA[Data], TBL_Limiti_CDA[Etica Obiettivo Sociale], , -1)</f>
        <v>9.99</v>
      </c>
      <c r="I240" cm="1">
        <f t="array" ref="I240">_xlfn.XLOOKUP(_xlfn.ANCHORARRAY(A240), TBL_Limiti_CDA[Data], TBL_Limiti_CDA[Etica Conservative Allocation], , -1)</f>
        <v>1</v>
      </c>
      <c r="J240" cm="1">
        <f t="array" ref="J240">_xlfn.XLOOKUP(_xlfn.ANCHORARRAY(A240), TBL_Limiti_CDA[Data], TBL_Limiti_CDA[Etica Dynamic Allocation], , -1)</f>
        <v>3</v>
      </c>
      <c r="K240" cm="1">
        <f t="array" ref="K240">_xlfn.XLOOKUP(_xlfn.ANCHORARRAY(A240), TBL_Limiti_CDA[Data], TBL_Limiti_CDA[Etica Global Equity], , -1)</f>
        <v>3.5</v>
      </c>
      <c r="L240" cm="1">
        <f t="array" ref="L240">_xlfn.ANCHORARRAY(B240)+0.15</f>
        <v>1.9</v>
      </c>
      <c r="M240" cm="1">
        <f t="array" ref="M240">_xlfn.ANCHORARRAY(C240)+0.1</f>
        <v>0.6</v>
      </c>
      <c r="N240" cm="1">
        <f t="array" ref="N240">_xlfn.ANCHORARRAY(D240)+0.15</f>
        <v>1.1499999999999999</v>
      </c>
      <c r="O240" cm="1">
        <f t="array" ref="O240">_xlfn.ANCHORARRAY(E240)+0.15</f>
        <v>3.15</v>
      </c>
      <c r="P240" cm="1">
        <f t="array" ref="P240">_xlfn.ANCHORARRAY(F240)+0.15</f>
        <v>3.65</v>
      </c>
      <c r="Q240" cm="1">
        <f t="array" ref="Q240">_xlfn.ANCHORARRAY(G240)+0.15</f>
        <v>2.9</v>
      </c>
      <c r="R240" cm="1">
        <f t="array" ref="R240">_xlfn.ANCHORARRAY(H240)</f>
        <v>9.99</v>
      </c>
      <c r="S240" cm="1">
        <f t="array" ref="S240">_xlfn.ANCHORARRAY(R240)+0.15</f>
        <v>10.14</v>
      </c>
      <c r="T240" cm="1">
        <f t="array" ref="T240">_xlfn.ANCHORARRAY(I240)+0.15</f>
        <v>1.1499999999999999</v>
      </c>
      <c r="U240" cm="1">
        <f t="array" ref="U240">_xlfn.ANCHORARRAY(J240)+0.15</f>
        <v>3.15</v>
      </c>
      <c r="V240" cm="1">
        <f t="array" ref="V240">_xlfn.ANCHORARRAY(K240)+0.15</f>
        <v>3.65</v>
      </c>
      <c r="W240">
        <f>TBL_TEV[[#This Row],[Etica Rendita Bilanciata]]</f>
        <v>1.5004580000000001</v>
      </c>
      <c r="X240">
        <f>TBL_TEV[[#This Row],[Etica Obbligazionario Breve Termine]]</f>
        <v>0.25161099999999997</v>
      </c>
      <c r="Y240">
        <f>TBL_TEV[[#This Row],[Etica Obbligazionario Misto]]</f>
        <v>0.693716</v>
      </c>
      <c r="Z240">
        <f>TBL_TEV[[#This Row],[Etica Bilanciato]]</f>
        <v>2.4422929999999998</v>
      </c>
      <c r="AA240">
        <f>TBL_TEV[[#This Row],[Etica Azionario]]</f>
        <v>3.599227</v>
      </c>
      <c r="AB240">
        <f>TBL_TEV[[#This Row],[Etica Transizione Climatica]]</f>
        <v>2.3106930000000001</v>
      </c>
      <c r="AC240">
        <f>TBL_TEV[[#This Row],[Etica Obiettivo Sociale]]</f>
        <v>7.6131641427235168</v>
      </c>
      <c r="AD240">
        <f>TBL_TEV[[#This Row],[Etica Conservative Allocation]]</f>
        <v>0.72244900000000001</v>
      </c>
      <c r="AE240">
        <f>TBL_TEV[[#This Row],[Etica Dynamic Allocation]]</f>
        <v>2.0825770000000001</v>
      </c>
      <c r="AF240">
        <f>TBL_TEV[[#This Row],[Etica Global Equity]]</f>
        <v>2.9572620000000001</v>
      </c>
      <c r="AL240">
        <f ca="1"/>
        <v>1.4974419999999999</v>
      </c>
      <c r="AM240">
        <f ca="1"/>
        <v>0.25097599999999998</v>
      </c>
      <c r="AN240">
        <f ca="1"/>
        <v>0.69165200000000004</v>
      </c>
      <c r="AO240">
        <f ca="1"/>
        <v>2.4335619999999998</v>
      </c>
      <c r="AP240">
        <f ca="1"/>
        <v>3.5897019999999999</v>
      </c>
      <c r="AQ240">
        <f ca="1"/>
        <v>2.3327589999999998</v>
      </c>
      <c r="AR240">
        <f ca="1"/>
        <v>7.5782963591583199</v>
      </c>
      <c r="AS240">
        <f ca="1"/>
        <v>0.72244900000000001</v>
      </c>
      <c r="AT240">
        <f ca="1"/>
        <v>2.0825770000000001</v>
      </c>
      <c r="AU240">
        <f ca="1"/>
        <v>2.9572620000000001</v>
      </c>
    </row>
    <row r="241" spans="1:47">
      <c r="A241" s="43">
        <f>TBL_TEV[[#This Row],[Data2]]</f>
        <v>45629</v>
      </c>
      <c r="B241" cm="1">
        <f t="array" ref="B241">_xlfn.XLOOKUP(_xlfn.ANCHORARRAY(A241), TBL_Limiti_CDA[Data], TBL_Limiti_CDA[Etica Rendita Bilanciata], , -1)</f>
        <v>1.75</v>
      </c>
      <c r="C241" cm="1">
        <f t="array" ref="C241">_xlfn.XLOOKUP(_xlfn.ANCHORARRAY(A241), TBL_Limiti_CDA[Data], TBL_Limiti_CDA[Etica Obbligazionario Breve Termine], , -1)</f>
        <v>0.5</v>
      </c>
      <c r="D241" cm="1">
        <f t="array" ref="D241">_xlfn.XLOOKUP(_xlfn.ANCHORARRAY(A241), TBL_Limiti_CDA[Data], TBL_Limiti_CDA[Etica Obbligazionario Misto], , -1)</f>
        <v>1</v>
      </c>
      <c r="E241" cm="1">
        <f t="array" ref="E241">_xlfn.XLOOKUP(_xlfn.ANCHORARRAY(A241), TBL_Limiti_CDA[Data], TBL_Limiti_CDA[Etica Bilanciato], , -1)</f>
        <v>3</v>
      </c>
      <c r="F241" cm="1">
        <f t="array" ref="F241">_xlfn.XLOOKUP(_xlfn.ANCHORARRAY(A241), TBL_Limiti_CDA[Data], TBL_Limiti_CDA[Etica Azionario], , -1)</f>
        <v>3.5</v>
      </c>
      <c r="G241" cm="1">
        <f t="array" ref="G241">_xlfn.XLOOKUP(_xlfn.ANCHORARRAY(A241), TBL_Limiti_CDA[Data], TBL_Limiti_CDA[Etica Transizione Climatica], , -1)</f>
        <v>2.75</v>
      </c>
      <c r="H241" cm="1">
        <f t="array" ref="H241">_xlfn.XLOOKUP(_xlfn.ANCHORARRAY(A241), TBL_Limiti_CDA[Data], TBL_Limiti_CDA[Etica Obiettivo Sociale], , -1)</f>
        <v>9.99</v>
      </c>
      <c r="I241" cm="1">
        <f t="array" ref="I241">_xlfn.XLOOKUP(_xlfn.ANCHORARRAY(A241), TBL_Limiti_CDA[Data], TBL_Limiti_CDA[Etica Conservative Allocation], , -1)</f>
        <v>1</v>
      </c>
      <c r="J241" cm="1">
        <f t="array" ref="J241">_xlfn.XLOOKUP(_xlfn.ANCHORARRAY(A241), TBL_Limiti_CDA[Data], TBL_Limiti_CDA[Etica Dynamic Allocation], , -1)</f>
        <v>3</v>
      </c>
      <c r="K241" cm="1">
        <f t="array" ref="K241">_xlfn.XLOOKUP(_xlfn.ANCHORARRAY(A241), TBL_Limiti_CDA[Data], TBL_Limiti_CDA[Etica Global Equity], , -1)</f>
        <v>3.5</v>
      </c>
      <c r="L241" cm="1">
        <f t="array" ref="L241">_xlfn.ANCHORARRAY(B241)+0.15</f>
        <v>1.9</v>
      </c>
      <c r="M241" cm="1">
        <f t="array" ref="M241">_xlfn.ANCHORARRAY(C241)+0.1</f>
        <v>0.6</v>
      </c>
      <c r="N241" cm="1">
        <f t="array" ref="N241">_xlfn.ANCHORARRAY(D241)+0.15</f>
        <v>1.1499999999999999</v>
      </c>
      <c r="O241" cm="1">
        <f t="array" ref="O241">_xlfn.ANCHORARRAY(E241)+0.15</f>
        <v>3.15</v>
      </c>
      <c r="P241" cm="1">
        <f t="array" ref="P241">_xlfn.ANCHORARRAY(F241)+0.15</f>
        <v>3.65</v>
      </c>
      <c r="Q241" cm="1">
        <f t="array" ref="Q241">_xlfn.ANCHORARRAY(G241)+0.15</f>
        <v>2.9</v>
      </c>
      <c r="R241" cm="1">
        <f t="array" ref="R241">_xlfn.ANCHORARRAY(H241)</f>
        <v>9.99</v>
      </c>
      <c r="S241" cm="1">
        <f t="array" ref="S241">_xlfn.ANCHORARRAY(R241)+0.15</f>
        <v>10.14</v>
      </c>
      <c r="T241" cm="1">
        <f t="array" ref="T241">_xlfn.ANCHORARRAY(I241)+0.15</f>
        <v>1.1499999999999999</v>
      </c>
      <c r="U241" cm="1">
        <f t="array" ref="U241">_xlfn.ANCHORARRAY(J241)+0.15</f>
        <v>3.15</v>
      </c>
      <c r="V241" cm="1">
        <f t="array" ref="V241">_xlfn.ANCHORARRAY(K241)+0.15</f>
        <v>3.65</v>
      </c>
      <c r="W241">
        <f>TBL_TEV[[#This Row],[Etica Rendita Bilanciata]]</f>
        <v>1.4974419999999999</v>
      </c>
      <c r="X241">
        <f>TBL_TEV[[#This Row],[Etica Obbligazionario Breve Termine]]</f>
        <v>0.25097599999999998</v>
      </c>
      <c r="Y241">
        <f>TBL_TEV[[#This Row],[Etica Obbligazionario Misto]]</f>
        <v>0.69165200000000004</v>
      </c>
      <c r="Z241">
        <f>TBL_TEV[[#This Row],[Etica Bilanciato]]</f>
        <v>2.4335619999999998</v>
      </c>
      <c r="AA241">
        <f>TBL_TEV[[#This Row],[Etica Azionario]]</f>
        <v>3.5897019999999999</v>
      </c>
      <c r="AB241">
        <f>TBL_TEV[[#This Row],[Etica Transizione Climatica]]</f>
        <v>2.3327589999999998</v>
      </c>
      <c r="AC241">
        <f>TBL_TEV[[#This Row],[Etica Obiettivo Sociale]]</f>
        <v>7.5782963591583199</v>
      </c>
      <c r="AD241">
        <f>TBL_TEV[[#This Row],[Etica Conservative Allocation]]</f>
        <v>0.72244900000000001</v>
      </c>
      <c r="AE241">
        <f>TBL_TEV[[#This Row],[Etica Dynamic Allocation]]</f>
        <v>2.0825770000000001</v>
      </c>
      <c r="AF241">
        <f>TBL_TEV[[#This Row],[Etica Global Equity]]</f>
        <v>2.9572620000000001</v>
      </c>
      <c r="AL241">
        <f ca="1"/>
        <v>1.495379</v>
      </c>
      <c r="AM241">
        <f ca="1"/>
        <v>0.25034099999999998</v>
      </c>
      <c r="AN241">
        <f ca="1"/>
        <v>0.68323900000000004</v>
      </c>
      <c r="AO241">
        <f ca="1"/>
        <v>2.4238789999999999</v>
      </c>
      <c r="AP241">
        <f ca="1"/>
        <v>3.572082</v>
      </c>
      <c r="AQ241">
        <f ca="1"/>
        <v>2.3203770000000001</v>
      </c>
      <c r="AR241">
        <f ca="1"/>
        <v>7.5539143549245962</v>
      </c>
      <c r="AS241">
        <f ca="1"/>
        <v>0.72244900000000001</v>
      </c>
      <c r="AT241">
        <f ca="1"/>
        <v>2.0825770000000001</v>
      </c>
      <c r="AU241">
        <f ca="1"/>
        <v>2.9572620000000001</v>
      </c>
    </row>
    <row r="242" spans="1:47">
      <c r="A242" s="43">
        <f>TBL_TEV[[#This Row],[Data2]]</f>
        <v>45630</v>
      </c>
      <c r="B242" cm="1">
        <f t="array" ref="B242">_xlfn.XLOOKUP(_xlfn.ANCHORARRAY(A242), TBL_Limiti_CDA[Data], TBL_Limiti_CDA[Etica Rendita Bilanciata], , -1)</f>
        <v>1.75</v>
      </c>
      <c r="C242" cm="1">
        <f t="array" ref="C242">_xlfn.XLOOKUP(_xlfn.ANCHORARRAY(A242), TBL_Limiti_CDA[Data], TBL_Limiti_CDA[Etica Obbligazionario Breve Termine], , -1)</f>
        <v>0.5</v>
      </c>
      <c r="D242" cm="1">
        <f t="array" ref="D242">_xlfn.XLOOKUP(_xlfn.ANCHORARRAY(A242), TBL_Limiti_CDA[Data], TBL_Limiti_CDA[Etica Obbligazionario Misto], , -1)</f>
        <v>1</v>
      </c>
      <c r="E242" cm="1">
        <f t="array" ref="E242">_xlfn.XLOOKUP(_xlfn.ANCHORARRAY(A242), TBL_Limiti_CDA[Data], TBL_Limiti_CDA[Etica Bilanciato], , -1)</f>
        <v>3</v>
      </c>
      <c r="F242" cm="1">
        <f t="array" ref="F242">_xlfn.XLOOKUP(_xlfn.ANCHORARRAY(A242), TBL_Limiti_CDA[Data], TBL_Limiti_CDA[Etica Azionario], , -1)</f>
        <v>3.5</v>
      </c>
      <c r="G242" cm="1">
        <f t="array" ref="G242">_xlfn.XLOOKUP(_xlfn.ANCHORARRAY(A242), TBL_Limiti_CDA[Data], TBL_Limiti_CDA[Etica Transizione Climatica], , -1)</f>
        <v>2.75</v>
      </c>
      <c r="H242" cm="1">
        <f t="array" ref="H242">_xlfn.XLOOKUP(_xlfn.ANCHORARRAY(A242), TBL_Limiti_CDA[Data], TBL_Limiti_CDA[Etica Obiettivo Sociale], , -1)</f>
        <v>9.99</v>
      </c>
      <c r="I242" cm="1">
        <f t="array" ref="I242">_xlfn.XLOOKUP(_xlfn.ANCHORARRAY(A242), TBL_Limiti_CDA[Data], TBL_Limiti_CDA[Etica Conservative Allocation], , -1)</f>
        <v>1</v>
      </c>
      <c r="J242" cm="1">
        <f t="array" ref="J242">_xlfn.XLOOKUP(_xlfn.ANCHORARRAY(A242), TBL_Limiti_CDA[Data], TBL_Limiti_CDA[Etica Dynamic Allocation], , -1)</f>
        <v>3</v>
      </c>
      <c r="K242" cm="1">
        <f t="array" ref="K242">_xlfn.XLOOKUP(_xlfn.ANCHORARRAY(A242), TBL_Limiti_CDA[Data], TBL_Limiti_CDA[Etica Global Equity], , -1)</f>
        <v>3.5</v>
      </c>
      <c r="L242" cm="1">
        <f t="array" ref="L242">_xlfn.ANCHORARRAY(B242)+0.15</f>
        <v>1.9</v>
      </c>
      <c r="M242" cm="1">
        <f t="array" ref="M242">_xlfn.ANCHORARRAY(C242)+0.1</f>
        <v>0.6</v>
      </c>
      <c r="N242" cm="1">
        <f t="array" ref="N242">_xlfn.ANCHORARRAY(D242)+0.15</f>
        <v>1.1499999999999999</v>
      </c>
      <c r="O242" cm="1">
        <f t="array" ref="O242">_xlfn.ANCHORARRAY(E242)+0.15</f>
        <v>3.15</v>
      </c>
      <c r="P242" cm="1">
        <f t="array" ref="P242">_xlfn.ANCHORARRAY(F242)+0.15</f>
        <v>3.65</v>
      </c>
      <c r="Q242" cm="1">
        <f t="array" ref="Q242">_xlfn.ANCHORARRAY(G242)+0.15</f>
        <v>2.9</v>
      </c>
      <c r="R242" cm="1">
        <f t="array" ref="R242">_xlfn.ANCHORARRAY(H242)</f>
        <v>9.99</v>
      </c>
      <c r="S242" cm="1">
        <f t="array" ref="S242">_xlfn.ANCHORARRAY(R242)+0.15</f>
        <v>10.14</v>
      </c>
      <c r="T242" cm="1">
        <f t="array" ref="T242">_xlfn.ANCHORARRAY(I242)+0.15</f>
        <v>1.1499999999999999</v>
      </c>
      <c r="U242" cm="1">
        <f t="array" ref="U242">_xlfn.ANCHORARRAY(J242)+0.15</f>
        <v>3.15</v>
      </c>
      <c r="V242" cm="1">
        <f t="array" ref="V242">_xlfn.ANCHORARRAY(K242)+0.15</f>
        <v>3.65</v>
      </c>
      <c r="W242">
        <f>TBL_TEV[[#This Row],[Etica Rendita Bilanciata]]</f>
        <v>1.495379</v>
      </c>
      <c r="X242">
        <f>TBL_TEV[[#This Row],[Etica Obbligazionario Breve Termine]]</f>
        <v>0.25034099999999998</v>
      </c>
      <c r="Y242">
        <f>TBL_TEV[[#This Row],[Etica Obbligazionario Misto]]</f>
        <v>0.68323900000000004</v>
      </c>
      <c r="Z242">
        <f>TBL_TEV[[#This Row],[Etica Bilanciato]]</f>
        <v>2.4238789999999999</v>
      </c>
      <c r="AA242">
        <f>TBL_TEV[[#This Row],[Etica Azionario]]</f>
        <v>3.572082</v>
      </c>
      <c r="AB242">
        <f>TBL_TEV[[#This Row],[Etica Transizione Climatica]]</f>
        <v>2.3203770000000001</v>
      </c>
      <c r="AC242">
        <f>TBL_TEV[[#This Row],[Etica Obiettivo Sociale]]</f>
        <v>7.5539143549245962</v>
      </c>
      <c r="AD242">
        <f>TBL_TEV[[#This Row],[Etica Conservative Allocation]]</f>
        <v>0.72244900000000001</v>
      </c>
      <c r="AE242">
        <f>TBL_TEV[[#This Row],[Etica Dynamic Allocation]]</f>
        <v>2.0825770000000001</v>
      </c>
      <c r="AF242">
        <f>TBL_TEV[[#This Row],[Etica Global Equity]]</f>
        <v>2.9572620000000001</v>
      </c>
      <c r="AL242">
        <f ca="1"/>
        <v>1.494267</v>
      </c>
      <c r="AM242">
        <f ca="1"/>
        <v>0.25065799999999999</v>
      </c>
      <c r="AN242">
        <f ca="1"/>
        <v>0.67736499999999999</v>
      </c>
      <c r="AO242">
        <f ca="1"/>
        <v>2.425942</v>
      </c>
      <c r="AP242">
        <f ca="1"/>
        <v>3.5895440000000001</v>
      </c>
      <c r="AQ242">
        <f ca="1"/>
        <v>2.3475220000000001</v>
      </c>
      <c r="AR242">
        <f ca="1"/>
        <v>7.6063715790763116</v>
      </c>
      <c r="AS242">
        <f ca="1"/>
        <v>0.72244900000000001</v>
      </c>
      <c r="AT242">
        <f ca="1"/>
        <v>2.0825770000000001</v>
      </c>
      <c r="AU242">
        <f ca="1"/>
        <v>2.9572620000000001</v>
      </c>
    </row>
    <row r="243" spans="1:47">
      <c r="A243" s="43">
        <f>TBL_TEV[[#This Row],[Data2]]</f>
        <v>45631</v>
      </c>
      <c r="B243" cm="1">
        <f t="array" ref="B243">_xlfn.XLOOKUP(_xlfn.ANCHORARRAY(A243), TBL_Limiti_CDA[Data], TBL_Limiti_CDA[Etica Rendita Bilanciata], , -1)</f>
        <v>1.75</v>
      </c>
      <c r="C243" cm="1">
        <f t="array" ref="C243">_xlfn.XLOOKUP(_xlfn.ANCHORARRAY(A243), TBL_Limiti_CDA[Data], TBL_Limiti_CDA[Etica Obbligazionario Breve Termine], , -1)</f>
        <v>0.5</v>
      </c>
      <c r="D243" cm="1">
        <f t="array" ref="D243">_xlfn.XLOOKUP(_xlfn.ANCHORARRAY(A243), TBL_Limiti_CDA[Data], TBL_Limiti_CDA[Etica Obbligazionario Misto], , -1)</f>
        <v>1</v>
      </c>
      <c r="E243" cm="1">
        <f t="array" ref="E243">_xlfn.XLOOKUP(_xlfn.ANCHORARRAY(A243), TBL_Limiti_CDA[Data], TBL_Limiti_CDA[Etica Bilanciato], , -1)</f>
        <v>3</v>
      </c>
      <c r="F243" cm="1">
        <f t="array" ref="F243">_xlfn.XLOOKUP(_xlfn.ANCHORARRAY(A243), TBL_Limiti_CDA[Data], TBL_Limiti_CDA[Etica Azionario], , -1)</f>
        <v>3.5</v>
      </c>
      <c r="G243" cm="1">
        <f t="array" ref="G243">_xlfn.XLOOKUP(_xlfn.ANCHORARRAY(A243), TBL_Limiti_CDA[Data], TBL_Limiti_CDA[Etica Transizione Climatica], , -1)</f>
        <v>2.75</v>
      </c>
      <c r="H243" cm="1">
        <f t="array" ref="H243">_xlfn.XLOOKUP(_xlfn.ANCHORARRAY(A243), TBL_Limiti_CDA[Data], TBL_Limiti_CDA[Etica Obiettivo Sociale], , -1)</f>
        <v>9.99</v>
      </c>
      <c r="I243" cm="1">
        <f t="array" ref="I243">_xlfn.XLOOKUP(_xlfn.ANCHORARRAY(A243), TBL_Limiti_CDA[Data], TBL_Limiti_CDA[Etica Conservative Allocation], , -1)</f>
        <v>1</v>
      </c>
      <c r="J243" cm="1">
        <f t="array" ref="J243">_xlfn.XLOOKUP(_xlfn.ANCHORARRAY(A243), TBL_Limiti_CDA[Data], TBL_Limiti_CDA[Etica Dynamic Allocation], , -1)</f>
        <v>3</v>
      </c>
      <c r="K243" cm="1">
        <f t="array" ref="K243">_xlfn.XLOOKUP(_xlfn.ANCHORARRAY(A243), TBL_Limiti_CDA[Data], TBL_Limiti_CDA[Etica Global Equity], , -1)</f>
        <v>3.5</v>
      </c>
      <c r="L243" cm="1">
        <f t="array" ref="L243">_xlfn.ANCHORARRAY(B243)+0.15</f>
        <v>1.9</v>
      </c>
      <c r="M243" cm="1">
        <f t="array" ref="M243">_xlfn.ANCHORARRAY(C243)+0.1</f>
        <v>0.6</v>
      </c>
      <c r="N243" cm="1">
        <f t="array" ref="N243">_xlfn.ANCHORARRAY(D243)+0.15</f>
        <v>1.1499999999999999</v>
      </c>
      <c r="O243" cm="1">
        <f t="array" ref="O243">_xlfn.ANCHORARRAY(E243)+0.15</f>
        <v>3.15</v>
      </c>
      <c r="P243" cm="1">
        <f t="array" ref="P243">_xlfn.ANCHORARRAY(F243)+0.15</f>
        <v>3.65</v>
      </c>
      <c r="Q243" cm="1">
        <f t="array" ref="Q243">_xlfn.ANCHORARRAY(G243)+0.15</f>
        <v>2.9</v>
      </c>
      <c r="R243" cm="1">
        <f t="array" ref="R243">_xlfn.ANCHORARRAY(H243)</f>
        <v>9.99</v>
      </c>
      <c r="S243" cm="1">
        <f t="array" ref="S243">_xlfn.ANCHORARRAY(R243)+0.15</f>
        <v>10.14</v>
      </c>
      <c r="T243" cm="1">
        <f t="array" ref="T243">_xlfn.ANCHORARRAY(I243)+0.15</f>
        <v>1.1499999999999999</v>
      </c>
      <c r="U243" cm="1">
        <f t="array" ref="U243">_xlfn.ANCHORARRAY(J243)+0.15</f>
        <v>3.15</v>
      </c>
      <c r="V243" cm="1">
        <f t="array" ref="V243">_xlfn.ANCHORARRAY(K243)+0.15</f>
        <v>3.65</v>
      </c>
      <c r="W243">
        <f>TBL_TEV[[#This Row],[Etica Rendita Bilanciata]]</f>
        <v>1.494267</v>
      </c>
      <c r="X243">
        <f>TBL_TEV[[#This Row],[Etica Obbligazionario Breve Termine]]</f>
        <v>0.25065799999999999</v>
      </c>
      <c r="Y243">
        <f>TBL_TEV[[#This Row],[Etica Obbligazionario Misto]]</f>
        <v>0.67736499999999999</v>
      </c>
      <c r="Z243">
        <f>TBL_TEV[[#This Row],[Etica Bilanciato]]</f>
        <v>2.425942</v>
      </c>
      <c r="AA243">
        <f>TBL_TEV[[#This Row],[Etica Azionario]]</f>
        <v>3.5895440000000001</v>
      </c>
      <c r="AB243">
        <f>TBL_TEV[[#This Row],[Etica Transizione Climatica]]</f>
        <v>2.3475220000000001</v>
      </c>
      <c r="AC243">
        <f>TBL_TEV[[#This Row],[Etica Obiettivo Sociale]]</f>
        <v>7.6063715790763116</v>
      </c>
      <c r="AD243">
        <f>TBL_TEV[[#This Row],[Etica Conservative Allocation]]</f>
        <v>0.72244900000000001</v>
      </c>
      <c r="AE243">
        <f>TBL_TEV[[#This Row],[Etica Dynamic Allocation]]</f>
        <v>2.0825770000000001</v>
      </c>
      <c r="AF243">
        <f>TBL_TEV[[#This Row],[Etica Global Equity]]</f>
        <v>2.9572620000000001</v>
      </c>
      <c r="AL243">
        <f ca="1"/>
        <v>1.4955369999999999</v>
      </c>
      <c r="AM243">
        <f ca="1"/>
        <v>0.249389</v>
      </c>
      <c r="AN243">
        <f ca="1"/>
        <v>0.67879400000000001</v>
      </c>
      <c r="AO243">
        <f ca="1"/>
        <v>2.4156240000000002</v>
      </c>
      <c r="AP243">
        <f ca="1"/>
        <v>3.5739869999999998</v>
      </c>
      <c r="AQ243">
        <f ca="1"/>
        <v>2.3419660000000002</v>
      </c>
      <c r="AR243">
        <f ca="1"/>
        <v>7.5181670929987172</v>
      </c>
      <c r="AS243">
        <f ca="1"/>
        <v>0.72244900000000001</v>
      </c>
      <c r="AT243">
        <f ca="1"/>
        <v>2.0825770000000001</v>
      </c>
      <c r="AU243">
        <f ca="1"/>
        <v>2.9572620000000001</v>
      </c>
    </row>
    <row r="244" spans="1:47">
      <c r="A244" s="43">
        <f>TBL_TEV[[#This Row],[Data2]]</f>
        <v>45632</v>
      </c>
      <c r="B244" cm="1">
        <f t="array" ref="B244">_xlfn.XLOOKUP(_xlfn.ANCHORARRAY(A244), TBL_Limiti_CDA[Data], TBL_Limiti_CDA[Etica Rendita Bilanciata], , -1)</f>
        <v>1.75</v>
      </c>
      <c r="C244" cm="1">
        <f t="array" ref="C244">_xlfn.XLOOKUP(_xlfn.ANCHORARRAY(A244), TBL_Limiti_CDA[Data], TBL_Limiti_CDA[Etica Obbligazionario Breve Termine], , -1)</f>
        <v>0.5</v>
      </c>
      <c r="D244" cm="1">
        <f t="array" ref="D244">_xlfn.XLOOKUP(_xlfn.ANCHORARRAY(A244), TBL_Limiti_CDA[Data], TBL_Limiti_CDA[Etica Obbligazionario Misto], , -1)</f>
        <v>1</v>
      </c>
      <c r="E244" cm="1">
        <f t="array" ref="E244">_xlfn.XLOOKUP(_xlfn.ANCHORARRAY(A244), TBL_Limiti_CDA[Data], TBL_Limiti_CDA[Etica Bilanciato], , -1)</f>
        <v>3</v>
      </c>
      <c r="F244" cm="1">
        <f t="array" ref="F244">_xlfn.XLOOKUP(_xlfn.ANCHORARRAY(A244), TBL_Limiti_CDA[Data], TBL_Limiti_CDA[Etica Azionario], , -1)</f>
        <v>3.5</v>
      </c>
      <c r="G244" cm="1">
        <f t="array" ref="G244">_xlfn.XLOOKUP(_xlfn.ANCHORARRAY(A244), TBL_Limiti_CDA[Data], TBL_Limiti_CDA[Etica Transizione Climatica], , -1)</f>
        <v>2.75</v>
      </c>
      <c r="H244" cm="1">
        <f t="array" ref="H244">_xlfn.XLOOKUP(_xlfn.ANCHORARRAY(A244), TBL_Limiti_CDA[Data], TBL_Limiti_CDA[Etica Obiettivo Sociale], , -1)</f>
        <v>9.99</v>
      </c>
      <c r="I244" cm="1">
        <f t="array" ref="I244">_xlfn.XLOOKUP(_xlfn.ANCHORARRAY(A244), TBL_Limiti_CDA[Data], TBL_Limiti_CDA[Etica Conservative Allocation], , -1)</f>
        <v>1</v>
      </c>
      <c r="J244" cm="1">
        <f t="array" ref="J244">_xlfn.XLOOKUP(_xlfn.ANCHORARRAY(A244), TBL_Limiti_CDA[Data], TBL_Limiti_CDA[Etica Dynamic Allocation], , -1)</f>
        <v>3</v>
      </c>
      <c r="K244" cm="1">
        <f t="array" ref="K244">_xlfn.XLOOKUP(_xlfn.ANCHORARRAY(A244), TBL_Limiti_CDA[Data], TBL_Limiti_CDA[Etica Global Equity], , -1)</f>
        <v>3.5</v>
      </c>
      <c r="L244" cm="1">
        <f t="array" ref="L244">_xlfn.ANCHORARRAY(B244)+0.15</f>
        <v>1.9</v>
      </c>
      <c r="M244" cm="1">
        <f t="array" ref="M244">_xlfn.ANCHORARRAY(C244)+0.1</f>
        <v>0.6</v>
      </c>
      <c r="N244" cm="1">
        <f t="array" ref="N244">_xlfn.ANCHORARRAY(D244)+0.15</f>
        <v>1.1499999999999999</v>
      </c>
      <c r="O244" cm="1">
        <f t="array" ref="O244">_xlfn.ANCHORARRAY(E244)+0.15</f>
        <v>3.15</v>
      </c>
      <c r="P244" cm="1">
        <f t="array" ref="P244">_xlfn.ANCHORARRAY(F244)+0.15</f>
        <v>3.65</v>
      </c>
      <c r="Q244" cm="1">
        <f t="array" ref="Q244">_xlfn.ANCHORARRAY(G244)+0.15</f>
        <v>2.9</v>
      </c>
      <c r="R244" cm="1">
        <f t="array" ref="R244">_xlfn.ANCHORARRAY(H244)</f>
        <v>9.99</v>
      </c>
      <c r="S244" cm="1">
        <f t="array" ref="S244">_xlfn.ANCHORARRAY(R244)+0.15</f>
        <v>10.14</v>
      </c>
      <c r="T244" cm="1">
        <f t="array" ref="T244">_xlfn.ANCHORARRAY(I244)+0.15</f>
        <v>1.1499999999999999</v>
      </c>
      <c r="U244" cm="1">
        <f t="array" ref="U244">_xlfn.ANCHORARRAY(J244)+0.15</f>
        <v>3.15</v>
      </c>
      <c r="V244" cm="1">
        <f t="array" ref="V244">_xlfn.ANCHORARRAY(K244)+0.15</f>
        <v>3.65</v>
      </c>
      <c r="W244">
        <f>TBL_TEV[[#This Row],[Etica Rendita Bilanciata]]</f>
        <v>1.4955369999999999</v>
      </c>
      <c r="X244">
        <f>TBL_TEV[[#This Row],[Etica Obbligazionario Breve Termine]]</f>
        <v>0.249389</v>
      </c>
      <c r="Y244">
        <f>TBL_TEV[[#This Row],[Etica Obbligazionario Misto]]</f>
        <v>0.67879400000000001</v>
      </c>
      <c r="Z244">
        <f>TBL_TEV[[#This Row],[Etica Bilanciato]]</f>
        <v>2.4156240000000002</v>
      </c>
      <c r="AA244">
        <f>TBL_TEV[[#This Row],[Etica Azionario]]</f>
        <v>3.5739869999999998</v>
      </c>
      <c r="AB244">
        <f>TBL_TEV[[#This Row],[Etica Transizione Climatica]]</f>
        <v>2.3419660000000002</v>
      </c>
      <c r="AC244">
        <f>TBL_TEV[[#This Row],[Etica Obiettivo Sociale]]</f>
        <v>7.5181670929987172</v>
      </c>
      <c r="AD244">
        <f>TBL_TEV[[#This Row],[Etica Conservative Allocation]]</f>
        <v>0.72244900000000001</v>
      </c>
      <c r="AE244">
        <f>TBL_TEV[[#This Row],[Etica Dynamic Allocation]]</f>
        <v>2.0825770000000001</v>
      </c>
      <c r="AF244">
        <f>TBL_TEV[[#This Row],[Etica Global Equity]]</f>
        <v>2.9572620000000001</v>
      </c>
      <c r="AL244">
        <f ca="1"/>
        <v>1.48125</v>
      </c>
      <c r="AM244">
        <f ca="1"/>
        <v>0.248277</v>
      </c>
      <c r="AN244">
        <f ca="1"/>
        <v>0.67434899999999998</v>
      </c>
      <c r="AO244">
        <f ca="1"/>
        <v>2.3802240000000001</v>
      </c>
      <c r="AP244">
        <f ca="1"/>
        <v>3.5284270000000002</v>
      </c>
      <c r="AQ244">
        <f ca="1"/>
        <v>2.3303780000000001</v>
      </c>
      <c r="AR244">
        <f ca="1"/>
        <v>7.3835635993218727</v>
      </c>
      <c r="AS244">
        <f ca="1"/>
        <v>0.72244900000000001</v>
      </c>
      <c r="AT244">
        <f ca="1"/>
        <v>2.0825770000000001</v>
      </c>
      <c r="AU244">
        <f ca="1"/>
        <v>2.9572620000000001</v>
      </c>
    </row>
    <row r="245" spans="1:47">
      <c r="A245" s="43">
        <f>TBL_TEV[[#This Row],[Data2]]</f>
        <v>45635</v>
      </c>
      <c r="B245" cm="1">
        <f t="array" ref="B245">_xlfn.XLOOKUP(_xlfn.ANCHORARRAY(A245), TBL_Limiti_CDA[Data], TBL_Limiti_CDA[Etica Rendita Bilanciata], , -1)</f>
        <v>1.75</v>
      </c>
      <c r="C245" cm="1">
        <f t="array" ref="C245">_xlfn.XLOOKUP(_xlfn.ANCHORARRAY(A245), TBL_Limiti_CDA[Data], TBL_Limiti_CDA[Etica Obbligazionario Breve Termine], , -1)</f>
        <v>0.5</v>
      </c>
      <c r="D245" cm="1">
        <f t="array" ref="D245">_xlfn.XLOOKUP(_xlfn.ANCHORARRAY(A245), TBL_Limiti_CDA[Data], TBL_Limiti_CDA[Etica Obbligazionario Misto], , -1)</f>
        <v>1</v>
      </c>
      <c r="E245" cm="1">
        <f t="array" ref="E245">_xlfn.XLOOKUP(_xlfn.ANCHORARRAY(A245), TBL_Limiti_CDA[Data], TBL_Limiti_CDA[Etica Bilanciato], , -1)</f>
        <v>3</v>
      </c>
      <c r="F245" cm="1">
        <f t="array" ref="F245">_xlfn.XLOOKUP(_xlfn.ANCHORARRAY(A245), TBL_Limiti_CDA[Data], TBL_Limiti_CDA[Etica Azionario], , -1)</f>
        <v>3.5</v>
      </c>
      <c r="G245" cm="1">
        <f t="array" ref="G245">_xlfn.XLOOKUP(_xlfn.ANCHORARRAY(A245), TBL_Limiti_CDA[Data], TBL_Limiti_CDA[Etica Transizione Climatica], , -1)</f>
        <v>2.75</v>
      </c>
      <c r="H245" cm="1">
        <f t="array" ref="H245">_xlfn.XLOOKUP(_xlfn.ANCHORARRAY(A245), TBL_Limiti_CDA[Data], TBL_Limiti_CDA[Etica Obiettivo Sociale], , -1)</f>
        <v>9.99</v>
      </c>
      <c r="I245" cm="1">
        <f t="array" ref="I245">_xlfn.XLOOKUP(_xlfn.ANCHORARRAY(A245), TBL_Limiti_CDA[Data], TBL_Limiti_CDA[Etica Conservative Allocation], , -1)</f>
        <v>1</v>
      </c>
      <c r="J245" cm="1">
        <f t="array" ref="J245">_xlfn.XLOOKUP(_xlfn.ANCHORARRAY(A245), TBL_Limiti_CDA[Data], TBL_Limiti_CDA[Etica Dynamic Allocation], , -1)</f>
        <v>3</v>
      </c>
      <c r="K245" cm="1">
        <f t="array" ref="K245">_xlfn.XLOOKUP(_xlfn.ANCHORARRAY(A245), TBL_Limiti_CDA[Data], TBL_Limiti_CDA[Etica Global Equity], , -1)</f>
        <v>3.5</v>
      </c>
      <c r="L245" cm="1">
        <f t="array" ref="L245">_xlfn.ANCHORARRAY(B245)+0.15</f>
        <v>1.9</v>
      </c>
      <c r="M245" cm="1">
        <f t="array" ref="M245">_xlfn.ANCHORARRAY(C245)+0.1</f>
        <v>0.6</v>
      </c>
      <c r="N245" cm="1">
        <f t="array" ref="N245">_xlfn.ANCHORARRAY(D245)+0.15</f>
        <v>1.1499999999999999</v>
      </c>
      <c r="O245" cm="1">
        <f t="array" ref="O245">_xlfn.ANCHORARRAY(E245)+0.15</f>
        <v>3.15</v>
      </c>
      <c r="P245" cm="1">
        <f t="array" ref="P245">_xlfn.ANCHORARRAY(F245)+0.15</f>
        <v>3.65</v>
      </c>
      <c r="Q245" cm="1">
        <f t="array" ref="Q245">_xlfn.ANCHORARRAY(G245)+0.15</f>
        <v>2.9</v>
      </c>
      <c r="R245" cm="1">
        <f t="array" ref="R245">_xlfn.ANCHORARRAY(H245)</f>
        <v>9.99</v>
      </c>
      <c r="S245" cm="1">
        <f t="array" ref="S245">_xlfn.ANCHORARRAY(R245)+0.15</f>
        <v>10.14</v>
      </c>
      <c r="T245" cm="1">
        <f t="array" ref="T245">_xlfn.ANCHORARRAY(I245)+0.15</f>
        <v>1.1499999999999999</v>
      </c>
      <c r="U245" cm="1">
        <f t="array" ref="U245">_xlfn.ANCHORARRAY(J245)+0.15</f>
        <v>3.15</v>
      </c>
      <c r="V245" cm="1">
        <f t="array" ref="V245">_xlfn.ANCHORARRAY(K245)+0.15</f>
        <v>3.65</v>
      </c>
      <c r="W245">
        <f>TBL_TEV[[#This Row],[Etica Rendita Bilanciata]]</f>
        <v>1.48125</v>
      </c>
      <c r="X245">
        <f>TBL_TEV[[#This Row],[Etica Obbligazionario Breve Termine]]</f>
        <v>0.248277</v>
      </c>
      <c r="Y245">
        <f>TBL_TEV[[#This Row],[Etica Obbligazionario Misto]]</f>
        <v>0.67434899999999998</v>
      </c>
      <c r="Z245">
        <f>TBL_TEV[[#This Row],[Etica Bilanciato]]</f>
        <v>2.3802240000000001</v>
      </c>
      <c r="AA245">
        <f>TBL_TEV[[#This Row],[Etica Azionario]]</f>
        <v>3.5284270000000002</v>
      </c>
      <c r="AB245">
        <f>TBL_TEV[[#This Row],[Etica Transizione Climatica]]</f>
        <v>2.3303780000000001</v>
      </c>
      <c r="AC245">
        <f>TBL_TEV[[#This Row],[Etica Obiettivo Sociale]]</f>
        <v>7.3835635993218727</v>
      </c>
      <c r="AD245">
        <f>TBL_TEV[[#This Row],[Etica Conservative Allocation]]</f>
        <v>0.72244900000000001</v>
      </c>
      <c r="AE245">
        <f>TBL_TEV[[#This Row],[Etica Dynamic Allocation]]</f>
        <v>2.0825770000000001</v>
      </c>
      <c r="AF245">
        <f>TBL_TEV[[#This Row],[Etica Global Equity]]</f>
        <v>2.9572620000000001</v>
      </c>
      <c r="AL245">
        <f ca="1"/>
        <v>1.4709319999999999</v>
      </c>
      <c r="AM245">
        <f ca="1"/>
        <v>0.247166</v>
      </c>
      <c r="AN245">
        <f ca="1"/>
        <v>0.67101500000000003</v>
      </c>
      <c r="AO245">
        <f ca="1"/>
        <v>2.344347</v>
      </c>
      <c r="AP245">
        <f ca="1"/>
        <v>3.539698</v>
      </c>
      <c r="AQ245">
        <f ca="1"/>
        <v>2.3152970000000002</v>
      </c>
      <c r="AR245">
        <f ca="1"/>
        <v>7.3883515152864492</v>
      </c>
      <c r="AS245">
        <f ca="1"/>
        <v>0.72244900000000001</v>
      </c>
      <c r="AT245">
        <f ca="1"/>
        <v>2.0825770000000001</v>
      </c>
      <c r="AU245">
        <f ca="1"/>
        <v>2.9572620000000001</v>
      </c>
    </row>
    <row r="246" spans="1:47">
      <c r="A246" s="43">
        <f>TBL_TEV[[#This Row],[Data2]]</f>
        <v>45636</v>
      </c>
      <c r="B246" cm="1">
        <f t="array" ref="B246">_xlfn.XLOOKUP(_xlfn.ANCHORARRAY(A246), TBL_Limiti_CDA[Data], TBL_Limiti_CDA[Etica Rendita Bilanciata], , -1)</f>
        <v>1.75</v>
      </c>
      <c r="C246" cm="1">
        <f t="array" ref="C246">_xlfn.XLOOKUP(_xlfn.ANCHORARRAY(A246), TBL_Limiti_CDA[Data], TBL_Limiti_CDA[Etica Obbligazionario Breve Termine], , -1)</f>
        <v>0.5</v>
      </c>
      <c r="D246" cm="1">
        <f t="array" ref="D246">_xlfn.XLOOKUP(_xlfn.ANCHORARRAY(A246), TBL_Limiti_CDA[Data], TBL_Limiti_CDA[Etica Obbligazionario Misto], , -1)</f>
        <v>1</v>
      </c>
      <c r="E246" cm="1">
        <f t="array" ref="E246">_xlfn.XLOOKUP(_xlfn.ANCHORARRAY(A246), TBL_Limiti_CDA[Data], TBL_Limiti_CDA[Etica Bilanciato], , -1)</f>
        <v>3</v>
      </c>
      <c r="F246" cm="1">
        <f t="array" ref="F246">_xlfn.XLOOKUP(_xlfn.ANCHORARRAY(A246), TBL_Limiti_CDA[Data], TBL_Limiti_CDA[Etica Azionario], , -1)</f>
        <v>3.5</v>
      </c>
      <c r="G246" cm="1">
        <f t="array" ref="G246">_xlfn.XLOOKUP(_xlfn.ANCHORARRAY(A246), TBL_Limiti_CDA[Data], TBL_Limiti_CDA[Etica Transizione Climatica], , -1)</f>
        <v>2.75</v>
      </c>
      <c r="H246" cm="1">
        <f t="array" ref="H246">_xlfn.XLOOKUP(_xlfn.ANCHORARRAY(A246), TBL_Limiti_CDA[Data], TBL_Limiti_CDA[Etica Obiettivo Sociale], , -1)</f>
        <v>9.99</v>
      </c>
      <c r="I246" cm="1">
        <f t="array" ref="I246">_xlfn.XLOOKUP(_xlfn.ANCHORARRAY(A246), TBL_Limiti_CDA[Data], TBL_Limiti_CDA[Etica Conservative Allocation], , -1)</f>
        <v>1</v>
      </c>
      <c r="J246" cm="1">
        <f t="array" ref="J246">_xlfn.XLOOKUP(_xlfn.ANCHORARRAY(A246), TBL_Limiti_CDA[Data], TBL_Limiti_CDA[Etica Dynamic Allocation], , -1)</f>
        <v>3</v>
      </c>
      <c r="K246" cm="1">
        <f t="array" ref="K246">_xlfn.XLOOKUP(_xlfn.ANCHORARRAY(A246), TBL_Limiti_CDA[Data], TBL_Limiti_CDA[Etica Global Equity], , -1)</f>
        <v>3.5</v>
      </c>
      <c r="L246" cm="1">
        <f t="array" ref="L246">_xlfn.ANCHORARRAY(B246)+0.15</f>
        <v>1.9</v>
      </c>
      <c r="M246" cm="1">
        <f t="array" ref="M246">_xlfn.ANCHORARRAY(C246)+0.1</f>
        <v>0.6</v>
      </c>
      <c r="N246" cm="1">
        <f t="array" ref="N246">_xlfn.ANCHORARRAY(D246)+0.15</f>
        <v>1.1499999999999999</v>
      </c>
      <c r="O246" cm="1">
        <f t="array" ref="O246">_xlfn.ANCHORARRAY(E246)+0.15</f>
        <v>3.15</v>
      </c>
      <c r="P246" cm="1">
        <f t="array" ref="P246">_xlfn.ANCHORARRAY(F246)+0.15</f>
        <v>3.65</v>
      </c>
      <c r="Q246" cm="1">
        <f t="array" ref="Q246">_xlfn.ANCHORARRAY(G246)+0.15</f>
        <v>2.9</v>
      </c>
      <c r="R246" cm="1">
        <f t="array" ref="R246">_xlfn.ANCHORARRAY(H246)</f>
        <v>9.99</v>
      </c>
      <c r="S246" cm="1">
        <f t="array" ref="S246">_xlfn.ANCHORARRAY(R246)+0.15</f>
        <v>10.14</v>
      </c>
      <c r="T246" cm="1">
        <f t="array" ref="T246">_xlfn.ANCHORARRAY(I246)+0.15</f>
        <v>1.1499999999999999</v>
      </c>
      <c r="U246" cm="1">
        <f t="array" ref="U246">_xlfn.ANCHORARRAY(J246)+0.15</f>
        <v>3.15</v>
      </c>
      <c r="V246" cm="1">
        <f t="array" ref="V246">_xlfn.ANCHORARRAY(K246)+0.15</f>
        <v>3.65</v>
      </c>
      <c r="W246">
        <f>TBL_TEV[[#This Row],[Etica Rendita Bilanciata]]</f>
        <v>1.4709319999999999</v>
      </c>
      <c r="X246">
        <f>TBL_TEV[[#This Row],[Etica Obbligazionario Breve Termine]]</f>
        <v>0.247166</v>
      </c>
      <c r="Y246">
        <f>TBL_TEV[[#This Row],[Etica Obbligazionario Misto]]</f>
        <v>0.67101500000000003</v>
      </c>
      <c r="Z246">
        <f>TBL_TEV[[#This Row],[Etica Bilanciato]]</f>
        <v>2.344347</v>
      </c>
      <c r="AA246">
        <f>TBL_TEV[[#This Row],[Etica Azionario]]</f>
        <v>3.539698</v>
      </c>
      <c r="AB246">
        <f>TBL_TEV[[#This Row],[Etica Transizione Climatica]]</f>
        <v>2.3152970000000002</v>
      </c>
      <c r="AC246">
        <f>TBL_TEV[[#This Row],[Etica Obiettivo Sociale]]</f>
        <v>7.3883515152864492</v>
      </c>
      <c r="AD246">
        <f>TBL_TEV[[#This Row],[Etica Conservative Allocation]]</f>
        <v>0.72244900000000001</v>
      </c>
      <c r="AE246">
        <f>TBL_TEV[[#This Row],[Etica Dynamic Allocation]]</f>
        <v>2.0825770000000001</v>
      </c>
      <c r="AF246">
        <f>TBL_TEV[[#This Row],[Etica Global Equity]]</f>
        <v>2.9572620000000001</v>
      </c>
      <c r="AL246">
        <f ca="1"/>
        <v>1.4836320000000001</v>
      </c>
      <c r="AM246">
        <f ca="1"/>
        <v>0.24684900000000001</v>
      </c>
      <c r="AN246">
        <f ca="1"/>
        <v>0.67371400000000004</v>
      </c>
      <c r="AO246">
        <f ca="1"/>
        <v>2.3645079999999998</v>
      </c>
      <c r="AP246">
        <f ca="1"/>
        <v>3.56351</v>
      </c>
      <c r="AQ246">
        <f ca="1"/>
        <v>2.3606980000000002</v>
      </c>
      <c r="AR246">
        <f ca="1"/>
        <v>7.3182795465715849</v>
      </c>
      <c r="AS246">
        <f ca="1"/>
        <v>0.72244900000000001</v>
      </c>
      <c r="AT246">
        <f ca="1"/>
        <v>2.0825770000000001</v>
      </c>
      <c r="AU246">
        <f ca="1"/>
        <v>2.9572620000000001</v>
      </c>
    </row>
    <row r="247" spans="1:47">
      <c r="A247" s="43">
        <f>TBL_TEV[[#This Row],[Data2]]</f>
        <v>45637</v>
      </c>
      <c r="B247" cm="1">
        <f t="array" ref="B247">_xlfn.XLOOKUP(_xlfn.ANCHORARRAY(A247), TBL_Limiti_CDA[Data], TBL_Limiti_CDA[Etica Rendita Bilanciata], , -1)</f>
        <v>1.75</v>
      </c>
      <c r="C247" cm="1">
        <f t="array" ref="C247">_xlfn.XLOOKUP(_xlfn.ANCHORARRAY(A247), TBL_Limiti_CDA[Data], TBL_Limiti_CDA[Etica Obbligazionario Breve Termine], , -1)</f>
        <v>0.5</v>
      </c>
      <c r="D247" cm="1">
        <f t="array" ref="D247">_xlfn.XLOOKUP(_xlfn.ANCHORARRAY(A247), TBL_Limiti_CDA[Data], TBL_Limiti_CDA[Etica Obbligazionario Misto], , -1)</f>
        <v>1</v>
      </c>
      <c r="E247" cm="1">
        <f t="array" ref="E247">_xlfn.XLOOKUP(_xlfn.ANCHORARRAY(A247), TBL_Limiti_CDA[Data], TBL_Limiti_CDA[Etica Bilanciato], , -1)</f>
        <v>3</v>
      </c>
      <c r="F247" cm="1">
        <f t="array" ref="F247">_xlfn.XLOOKUP(_xlfn.ANCHORARRAY(A247), TBL_Limiti_CDA[Data], TBL_Limiti_CDA[Etica Azionario], , -1)</f>
        <v>3.5</v>
      </c>
      <c r="G247" cm="1">
        <f t="array" ref="G247">_xlfn.XLOOKUP(_xlfn.ANCHORARRAY(A247), TBL_Limiti_CDA[Data], TBL_Limiti_CDA[Etica Transizione Climatica], , -1)</f>
        <v>2.75</v>
      </c>
      <c r="H247" cm="1">
        <f t="array" ref="H247">_xlfn.XLOOKUP(_xlfn.ANCHORARRAY(A247), TBL_Limiti_CDA[Data], TBL_Limiti_CDA[Etica Obiettivo Sociale], , -1)</f>
        <v>9.99</v>
      </c>
      <c r="I247" cm="1">
        <f t="array" ref="I247">_xlfn.XLOOKUP(_xlfn.ANCHORARRAY(A247), TBL_Limiti_CDA[Data], TBL_Limiti_CDA[Etica Conservative Allocation], , -1)</f>
        <v>1</v>
      </c>
      <c r="J247" cm="1">
        <f t="array" ref="J247">_xlfn.XLOOKUP(_xlfn.ANCHORARRAY(A247), TBL_Limiti_CDA[Data], TBL_Limiti_CDA[Etica Dynamic Allocation], , -1)</f>
        <v>3</v>
      </c>
      <c r="K247" cm="1">
        <f t="array" ref="K247">_xlfn.XLOOKUP(_xlfn.ANCHORARRAY(A247), TBL_Limiti_CDA[Data], TBL_Limiti_CDA[Etica Global Equity], , -1)</f>
        <v>3.5</v>
      </c>
      <c r="L247" cm="1">
        <f t="array" ref="L247">_xlfn.ANCHORARRAY(B247)+0.15</f>
        <v>1.9</v>
      </c>
      <c r="M247" cm="1">
        <f t="array" ref="M247">_xlfn.ANCHORARRAY(C247)+0.1</f>
        <v>0.6</v>
      </c>
      <c r="N247" cm="1">
        <f t="array" ref="N247">_xlfn.ANCHORARRAY(D247)+0.15</f>
        <v>1.1499999999999999</v>
      </c>
      <c r="O247" cm="1">
        <f t="array" ref="O247">_xlfn.ANCHORARRAY(E247)+0.15</f>
        <v>3.15</v>
      </c>
      <c r="P247" cm="1">
        <f t="array" ref="P247">_xlfn.ANCHORARRAY(F247)+0.15</f>
        <v>3.65</v>
      </c>
      <c r="Q247" cm="1">
        <f t="array" ref="Q247">_xlfn.ANCHORARRAY(G247)+0.15</f>
        <v>2.9</v>
      </c>
      <c r="R247" cm="1">
        <f t="array" ref="R247">_xlfn.ANCHORARRAY(H247)</f>
        <v>9.99</v>
      </c>
      <c r="S247" cm="1">
        <f t="array" ref="S247">_xlfn.ANCHORARRAY(R247)+0.15</f>
        <v>10.14</v>
      </c>
      <c r="T247" cm="1">
        <f t="array" ref="T247">_xlfn.ANCHORARRAY(I247)+0.15</f>
        <v>1.1499999999999999</v>
      </c>
      <c r="U247" cm="1">
        <f t="array" ref="U247">_xlfn.ANCHORARRAY(J247)+0.15</f>
        <v>3.15</v>
      </c>
      <c r="V247" cm="1">
        <f t="array" ref="V247">_xlfn.ANCHORARRAY(K247)+0.15</f>
        <v>3.65</v>
      </c>
      <c r="W247">
        <f>TBL_TEV[[#This Row],[Etica Rendita Bilanciata]]</f>
        <v>1.4836320000000001</v>
      </c>
      <c r="X247">
        <f>TBL_TEV[[#This Row],[Etica Obbligazionario Breve Termine]]</f>
        <v>0.24684900000000001</v>
      </c>
      <c r="Y247">
        <f>TBL_TEV[[#This Row],[Etica Obbligazionario Misto]]</f>
        <v>0.67371400000000004</v>
      </c>
      <c r="Z247">
        <f>TBL_TEV[[#This Row],[Etica Bilanciato]]</f>
        <v>2.3645079999999998</v>
      </c>
      <c r="AA247">
        <f>TBL_TEV[[#This Row],[Etica Azionario]]</f>
        <v>3.56351</v>
      </c>
      <c r="AB247">
        <f>TBL_TEV[[#This Row],[Etica Transizione Climatica]]</f>
        <v>2.3606980000000002</v>
      </c>
      <c r="AC247">
        <f>TBL_TEV[[#This Row],[Etica Obiettivo Sociale]]</f>
        <v>7.3182795465715849</v>
      </c>
      <c r="AD247">
        <f>TBL_TEV[[#This Row],[Etica Conservative Allocation]]</f>
        <v>0.72244900000000001</v>
      </c>
      <c r="AE247">
        <f>TBL_TEV[[#This Row],[Etica Dynamic Allocation]]</f>
        <v>2.0825770000000001</v>
      </c>
      <c r="AF247">
        <f>TBL_TEV[[#This Row],[Etica Global Equity]]</f>
        <v>2.9572620000000001</v>
      </c>
      <c r="AL247">
        <f ca="1"/>
        <v>1.4810920000000001</v>
      </c>
      <c r="AM247">
        <f ca="1"/>
        <v>0.25192799999999999</v>
      </c>
      <c r="AN247">
        <f ca="1"/>
        <v>0.66260200000000002</v>
      </c>
      <c r="AO247">
        <f ca="1"/>
        <v>2.3657780000000002</v>
      </c>
      <c r="AP247">
        <f ca="1"/>
        <v>3.5596999999999999</v>
      </c>
      <c r="AQ247">
        <f ca="1"/>
        <v>2.3464109999999998</v>
      </c>
      <c r="AR247">
        <f ca="1"/>
        <v>7.1882540267221975</v>
      </c>
      <c r="AS247">
        <f ca="1"/>
        <v>0.72244900000000001</v>
      </c>
      <c r="AT247">
        <f ca="1"/>
        <v>2.0825770000000001</v>
      </c>
      <c r="AU247">
        <f ca="1"/>
        <v>2.9572620000000001</v>
      </c>
    </row>
    <row r="248" spans="1:47">
      <c r="A248" s="43">
        <f>TBL_TEV[[#This Row],[Data2]]</f>
        <v>45638</v>
      </c>
      <c r="B248" cm="1">
        <f t="array" ref="B248">_xlfn.XLOOKUP(_xlfn.ANCHORARRAY(A248), TBL_Limiti_CDA[Data], TBL_Limiti_CDA[Etica Rendita Bilanciata], , -1)</f>
        <v>1.75</v>
      </c>
      <c r="C248" cm="1">
        <f t="array" ref="C248">_xlfn.XLOOKUP(_xlfn.ANCHORARRAY(A248), TBL_Limiti_CDA[Data], TBL_Limiti_CDA[Etica Obbligazionario Breve Termine], , -1)</f>
        <v>0.5</v>
      </c>
      <c r="D248" cm="1">
        <f t="array" ref="D248">_xlfn.XLOOKUP(_xlfn.ANCHORARRAY(A248), TBL_Limiti_CDA[Data], TBL_Limiti_CDA[Etica Obbligazionario Misto], , -1)</f>
        <v>1</v>
      </c>
      <c r="E248" cm="1">
        <f t="array" ref="E248">_xlfn.XLOOKUP(_xlfn.ANCHORARRAY(A248), TBL_Limiti_CDA[Data], TBL_Limiti_CDA[Etica Bilanciato], , -1)</f>
        <v>3</v>
      </c>
      <c r="F248" cm="1">
        <f t="array" ref="F248">_xlfn.XLOOKUP(_xlfn.ANCHORARRAY(A248), TBL_Limiti_CDA[Data], TBL_Limiti_CDA[Etica Azionario], , -1)</f>
        <v>3.5</v>
      </c>
      <c r="G248" cm="1">
        <f t="array" ref="G248">_xlfn.XLOOKUP(_xlfn.ANCHORARRAY(A248), TBL_Limiti_CDA[Data], TBL_Limiti_CDA[Etica Transizione Climatica], , -1)</f>
        <v>2.75</v>
      </c>
      <c r="H248" cm="1">
        <f t="array" ref="H248">_xlfn.XLOOKUP(_xlfn.ANCHORARRAY(A248), TBL_Limiti_CDA[Data], TBL_Limiti_CDA[Etica Obiettivo Sociale], , -1)</f>
        <v>9.99</v>
      </c>
      <c r="I248" cm="1">
        <f t="array" ref="I248">_xlfn.XLOOKUP(_xlfn.ANCHORARRAY(A248), TBL_Limiti_CDA[Data], TBL_Limiti_CDA[Etica Conservative Allocation], , -1)</f>
        <v>1</v>
      </c>
      <c r="J248" cm="1">
        <f t="array" ref="J248">_xlfn.XLOOKUP(_xlfn.ANCHORARRAY(A248), TBL_Limiti_CDA[Data], TBL_Limiti_CDA[Etica Dynamic Allocation], , -1)</f>
        <v>3</v>
      </c>
      <c r="K248" cm="1">
        <f t="array" ref="K248">_xlfn.XLOOKUP(_xlfn.ANCHORARRAY(A248), TBL_Limiti_CDA[Data], TBL_Limiti_CDA[Etica Global Equity], , -1)</f>
        <v>3.5</v>
      </c>
      <c r="L248" cm="1">
        <f t="array" ref="L248">_xlfn.ANCHORARRAY(B248)+0.15</f>
        <v>1.9</v>
      </c>
      <c r="M248" cm="1">
        <f t="array" ref="M248">_xlfn.ANCHORARRAY(C248)+0.1</f>
        <v>0.6</v>
      </c>
      <c r="N248" cm="1">
        <f t="array" ref="N248">_xlfn.ANCHORARRAY(D248)+0.15</f>
        <v>1.1499999999999999</v>
      </c>
      <c r="O248" cm="1">
        <f t="array" ref="O248">_xlfn.ANCHORARRAY(E248)+0.15</f>
        <v>3.15</v>
      </c>
      <c r="P248" cm="1">
        <f t="array" ref="P248">_xlfn.ANCHORARRAY(F248)+0.15</f>
        <v>3.65</v>
      </c>
      <c r="Q248" cm="1">
        <f t="array" ref="Q248">_xlfn.ANCHORARRAY(G248)+0.15</f>
        <v>2.9</v>
      </c>
      <c r="R248" cm="1">
        <f t="array" ref="R248">_xlfn.ANCHORARRAY(H248)</f>
        <v>9.99</v>
      </c>
      <c r="S248" cm="1">
        <f t="array" ref="S248">_xlfn.ANCHORARRAY(R248)+0.15</f>
        <v>10.14</v>
      </c>
      <c r="T248" cm="1">
        <f t="array" ref="T248">_xlfn.ANCHORARRAY(I248)+0.15</f>
        <v>1.1499999999999999</v>
      </c>
      <c r="U248" cm="1">
        <f t="array" ref="U248">_xlfn.ANCHORARRAY(J248)+0.15</f>
        <v>3.15</v>
      </c>
      <c r="V248" cm="1">
        <f t="array" ref="V248">_xlfn.ANCHORARRAY(K248)+0.15</f>
        <v>3.65</v>
      </c>
      <c r="W248">
        <f>TBL_TEV[[#This Row],[Etica Rendita Bilanciata]]</f>
        <v>1.4810920000000001</v>
      </c>
      <c r="X248">
        <f>TBL_TEV[[#This Row],[Etica Obbligazionario Breve Termine]]</f>
        <v>0.25192799999999999</v>
      </c>
      <c r="Y248">
        <f>TBL_TEV[[#This Row],[Etica Obbligazionario Misto]]</f>
        <v>0.66260200000000002</v>
      </c>
      <c r="Z248">
        <f>TBL_TEV[[#This Row],[Etica Bilanciato]]</f>
        <v>2.3657780000000002</v>
      </c>
      <c r="AA248">
        <f>TBL_TEV[[#This Row],[Etica Azionario]]</f>
        <v>3.5596999999999999</v>
      </c>
      <c r="AB248">
        <f>TBL_TEV[[#This Row],[Etica Transizione Climatica]]</f>
        <v>2.3464109999999998</v>
      </c>
      <c r="AC248">
        <f>TBL_TEV[[#This Row],[Etica Obiettivo Sociale]]</f>
        <v>7.1882540267221975</v>
      </c>
      <c r="AD248">
        <f>TBL_TEV[[#This Row],[Etica Conservative Allocation]]</f>
        <v>0.72244900000000001</v>
      </c>
      <c r="AE248">
        <f>TBL_TEV[[#This Row],[Etica Dynamic Allocation]]</f>
        <v>2.0825770000000001</v>
      </c>
      <c r="AF248">
        <f>TBL_TEV[[#This Row],[Etica Global Equity]]</f>
        <v>2.9572620000000001</v>
      </c>
      <c r="AL248">
        <f ca="1"/>
        <v>1.5374460000000001</v>
      </c>
      <c r="AM248">
        <f ca="1"/>
        <v>0.25097599999999998</v>
      </c>
      <c r="AN248">
        <f ca="1"/>
        <v>0.68165100000000001</v>
      </c>
      <c r="AO248">
        <f ca="1"/>
        <v>2.4118140000000001</v>
      </c>
      <c r="AP248">
        <f ca="1"/>
        <v>3.6300240000000001</v>
      </c>
      <c r="AQ248">
        <f ca="1"/>
        <v>2.3616510000000002</v>
      </c>
      <c r="AR248">
        <f ca="1"/>
        <v>7.2360166313193188</v>
      </c>
      <c r="AS248">
        <f ca="1"/>
        <v>0.72244900000000001</v>
      </c>
      <c r="AT248">
        <f ca="1"/>
        <v>2.0825770000000001</v>
      </c>
      <c r="AU248">
        <f ca="1"/>
        <v>2.9572620000000001</v>
      </c>
    </row>
    <row r="249" spans="1:47">
      <c r="A249" s="43">
        <f>TBL_TEV[[#This Row],[Data2]]</f>
        <v>45639</v>
      </c>
      <c r="B249" cm="1">
        <f t="array" ref="B249">_xlfn.XLOOKUP(_xlfn.ANCHORARRAY(A249), TBL_Limiti_CDA[Data], TBL_Limiti_CDA[Etica Rendita Bilanciata], , -1)</f>
        <v>1.75</v>
      </c>
      <c r="C249" cm="1">
        <f t="array" ref="C249">_xlfn.XLOOKUP(_xlfn.ANCHORARRAY(A249), TBL_Limiti_CDA[Data], TBL_Limiti_CDA[Etica Obbligazionario Breve Termine], , -1)</f>
        <v>0.5</v>
      </c>
      <c r="D249" cm="1">
        <f t="array" ref="D249">_xlfn.XLOOKUP(_xlfn.ANCHORARRAY(A249), TBL_Limiti_CDA[Data], TBL_Limiti_CDA[Etica Obbligazionario Misto], , -1)</f>
        <v>1</v>
      </c>
      <c r="E249" cm="1">
        <f t="array" ref="E249">_xlfn.XLOOKUP(_xlfn.ANCHORARRAY(A249), TBL_Limiti_CDA[Data], TBL_Limiti_CDA[Etica Bilanciato], , -1)</f>
        <v>3</v>
      </c>
      <c r="F249" cm="1">
        <f t="array" ref="F249">_xlfn.XLOOKUP(_xlfn.ANCHORARRAY(A249), TBL_Limiti_CDA[Data], TBL_Limiti_CDA[Etica Azionario], , -1)</f>
        <v>3.5</v>
      </c>
      <c r="G249" cm="1">
        <f t="array" ref="G249">_xlfn.XLOOKUP(_xlfn.ANCHORARRAY(A249), TBL_Limiti_CDA[Data], TBL_Limiti_CDA[Etica Transizione Climatica], , -1)</f>
        <v>2.75</v>
      </c>
      <c r="H249" cm="1">
        <f t="array" ref="H249">_xlfn.XLOOKUP(_xlfn.ANCHORARRAY(A249), TBL_Limiti_CDA[Data], TBL_Limiti_CDA[Etica Obiettivo Sociale], , -1)</f>
        <v>9.99</v>
      </c>
      <c r="I249" cm="1">
        <f t="array" ref="I249">_xlfn.XLOOKUP(_xlfn.ANCHORARRAY(A249), TBL_Limiti_CDA[Data], TBL_Limiti_CDA[Etica Conservative Allocation], , -1)</f>
        <v>1</v>
      </c>
      <c r="J249" cm="1">
        <f t="array" ref="J249">_xlfn.XLOOKUP(_xlfn.ANCHORARRAY(A249), TBL_Limiti_CDA[Data], TBL_Limiti_CDA[Etica Dynamic Allocation], , -1)</f>
        <v>3</v>
      </c>
      <c r="K249" cm="1">
        <f t="array" ref="K249">_xlfn.XLOOKUP(_xlfn.ANCHORARRAY(A249), TBL_Limiti_CDA[Data], TBL_Limiti_CDA[Etica Global Equity], , -1)</f>
        <v>3.5</v>
      </c>
      <c r="L249" cm="1">
        <f t="array" ref="L249">_xlfn.ANCHORARRAY(B249)+0.15</f>
        <v>1.9</v>
      </c>
      <c r="M249" cm="1">
        <f t="array" ref="M249">_xlfn.ANCHORARRAY(C249)+0.1</f>
        <v>0.6</v>
      </c>
      <c r="N249" cm="1">
        <f t="array" ref="N249">_xlfn.ANCHORARRAY(D249)+0.15</f>
        <v>1.1499999999999999</v>
      </c>
      <c r="O249" cm="1">
        <f t="array" ref="O249">_xlfn.ANCHORARRAY(E249)+0.15</f>
        <v>3.15</v>
      </c>
      <c r="P249" cm="1">
        <f t="array" ref="P249">_xlfn.ANCHORARRAY(F249)+0.15</f>
        <v>3.65</v>
      </c>
      <c r="Q249" cm="1">
        <f t="array" ref="Q249">_xlfn.ANCHORARRAY(G249)+0.15</f>
        <v>2.9</v>
      </c>
      <c r="R249" cm="1">
        <f t="array" ref="R249">_xlfn.ANCHORARRAY(H249)</f>
        <v>9.99</v>
      </c>
      <c r="S249" cm="1">
        <f t="array" ref="S249">_xlfn.ANCHORARRAY(R249)+0.15</f>
        <v>10.14</v>
      </c>
      <c r="T249" cm="1">
        <f t="array" ref="T249">_xlfn.ANCHORARRAY(I249)+0.15</f>
        <v>1.1499999999999999</v>
      </c>
      <c r="U249" cm="1">
        <f t="array" ref="U249">_xlfn.ANCHORARRAY(J249)+0.15</f>
        <v>3.15</v>
      </c>
      <c r="V249" cm="1">
        <f t="array" ref="V249">_xlfn.ANCHORARRAY(K249)+0.15</f>
        <v>3.65</v>
      </c>
      <c r="W249">
        <f>TBL_TEV[[#This Row],[Etica Rendita Bilanciata]]</f>
        <v>1.5374460000000001</v>
      </c>
      <c r="X249">
        <f>TBL_TEV[[#This Row],[Etica Obbligazionario Breve Termine]]</f>
        <v>0.25097599999999998</v>
      </c>
      <c r="Y249">
        <f>TBL_TEV[[#This Row],[Etica Obbligazionario Misto]]</f>
        <v>0.68165100000000001</v>
      </c>
      <c r="Z249">
        <f>TBL_TEV[[#This Row],[Etica Bilanciato]]</f>
        <v>2.4118140000000001</v>
      </c>
      <c r="AA249">
        <f>TBL_TEV[[#This Row],[Etica Azionario]]</f>
        <v>3.6300240000000001</v>
      </c>
      <c r="AB249">
        <f>TBL_TEV[[#This Row],[Etica Transizione Climatica]]</f>
        <v>2.3616510000000002</v>
      </c>
      <c r="AC249">
        <f>TBL_TEV[[#This Row],[Etica Obiettivo Sociale]]</f>
        <v>7.2360166313193188</v>
      </c>
      <c r="AD249">
        <f>TBL_TEV[[#This Row],[Etica Conservative Allocation]]</f>
        <v>0.72244900000000001</v>
      </c>
      <c r="AE249">
        <f>TBL_TEV[[#This Row],[Etica Dynamic Allocation]]</f>
        <v>2.0825770000000001</v>
      </c>
      <c r="AF249">
        <f>TBL_TEV[[#This Row],[Etica Global Equity]]</f>
        <v>2.9572620000000001</v>
      </c>
      <c r="AL249">
        <f ca="1"/>
        <v>1.570465</v>
      </c>
      <c r="AM249">
        <f ca="1"/>
        <v>0.24923000000000001</v>
      </c>
      <c r="AN249">
        <f ca="1"/>
        <v>0.69133500000000003</v>
      </c>
      <c r="AO249">
        <f ca="1"/>
        <v>2.4408639999999999</v>
      </c>
      <c r="AP249">
        <f ca="1"/>
        <v>3.7357480000000001</v>
      </c>
      <c r="AQ249">
        <f ca="1"/>
        <v>2.3743500000000002</v>
      </c>
      <c r="AR249">
        <f ca="1"/>
        <v>6.9379985585142707</v>
      </c>
      <c r="AS249">
        <f ca="1"/>
        <v>0.72244900000000001</v>
      </c>
      <c r="AT249">
        <f ca="1"/>
        <v>2.0825770000000001</v>
      </c>
      <c r="AU249">
        <f ca="1"/>
        <v>2.9572620000000001</v>
      </c>
    </row>
    <row r="250" spans="1:47">
      <c r="A250" s="43">
        <f>TBL_TEV[[#This Row],[Data2]]</f>
        <v>45642</v>
      </c>
      <c r="B250" cm="1">
        <f t="array" ref="B250">_xlfn.XLOOKUP(_xlfn.ANCHORARRAY(A250), TBL_Limiti_CDA[Data], TBL_Limiti_CDA[Etica Rendita Bilanciata], , -1)</f>
        <v>1.75</v>
      </c>
      <c r="C250" cm="1">
        <f t="array" ref="C250">_xlfn.XLOOKUP(_xlfn.ANCHORARRAY(A250), TBL_Limiti_CDA[Data], TBL_Limiti_CDA[Etica Obbligazionario Breve Termine], , -1)</f>
        <v>0.5</v>
      </c>
      <c r="D250" cm="1">
        <f t="array" ref="D250">_xlfn.XLOOKUP(_xlfn.ANCHORARRAY(A250), TBL_Limiti_CDA[Data], TBL_Limiti_CDA[Etica Obbligazionario Misto], , -1)</f>
        <v>1</v>
      </c>
      <c r="E250" cm="1">
        <f t="array" ref="E250">_xlfn.XLOOKUP(_xlfn.ANCHORARRAY(A250), TBL_Limiti_CDA[Data], TBL_Limiti_CDA[Etica Bilanciato], , -1)</f>
        <v>3</v>
      </c>
      <c r="F250" cm="1">
        <f t="array" ref="F250">_xlfn.XLOOKUP(_xlfn.ANCHORARRAY(A250), TBL_Limiti_CDA[Data], TBL_Limiti_CDA[Etica Azionario], , -1)</f>
        <v>3.5</v>
      </c>
      <c r="G250" cm="1">
        <f t="array" ref="G250">_xlfn.XLOOKUP(_xlfn.ANCHORARRAY(A250), TBL_Limiti_CDA[Data], TBL_Limiti_CDA[Etica Transizione Climatica], , -1)</f>
        <v>2.75</v>
      </c>
      <c r="H250" cm="1">
        <f t="array" ref="H250">_xlfn.XLOOKUP(_xlfn.ANCHORARRAY(A250), TBL_Limiti_CDA[Data], TBL_Limiti_CDA[Etica Obiettivo Sociale], , -1)</f>
        <v>9.99</v>
      </c>
      <c r="I250" cm="1">
        <f t="array" ref="I250">_xlfn.XLOOKUP(_xlfn.ANCHORARRAY(A250), TBL_Limiti_CDA[Data], TBL_Limiti_CDA[Etica Conservative Allocation], , -1)</f>
        <v>1</v>
      </c>
      <c r="J250" cm="1">
        <f t="array" ref="J250">_xlfn.XLOOKUP(_xlfn.ANCHORARRAY(A250), TBL_Limiti_CDA[Data], TBL_Limiti_CDA[Etica Dynamic Allocation], , -1)</f>
        <v>3</v>
      </c>
      <c r="K250" cm="1">
        <f t="array" ref="K250">_xlfn.XLOOKUP(_xlfn.ANCHORARRAY(A250), TBL_Limiti_CDA[Data], TBL_Limiti_CDA[Etica Global Equity], , -1)</f>
        <v>3.5</v>
      </c>
      <c r="L250" cm="1">
        <f t="array" ref="L250">_xlfn.ANCHORARRAY(B250)+0.15</f>
        <v>1.9</v>
      </c>
      <c r="M250" cm="1">
        <f t="array" ref="M250">_xlfn.ANCHORARRAY(C250)+0.1</f>
        <v>0.6</v>
      </c>
      <c r="N250" cm="1">
        <f t="array" ref="N250">_xlfn.ANCHORARRAY(D250)+0.15</f>
        <v>1.1499999999999999</v>
      </c>
      <c r="O250" cm="1">
        <f t="array" ref="O250">_xlfn.ANCHORARRAY(E250)+0.15</f>
        <v>3.15</v>
      </c>
      <c r="P250" cm="1">
        <f t="array" ref="P250">_xlfn.ANCHORARRAY(F250)+0.15</f>
        <v>3.65</v>
      </c>
      <c r="Q250" cm="1">
        <f t="array" ref="Q250">_xlfn.ANCHORARRAY(G250)+0.15</f>
        <v>2.9</v>
      </c>
      <c r="R250" cm="1">
        <f t="array" ref="R250">_xlfn.ANCHORARRAY(H250)</f>
        <v>9.99</v>
      </c>
      <c r="S250" cm="1">
        <f t="array" ref="S250">_xlfn.ANCHORARRAY(R250)+0.15</f>
        <v>10.14</v>
      </c>
      <c r="T250" cm="1">
        <f t="array" ref="T250">_xlfn.ANCHORARRAY(I250)+0.15</f>
        <v>1.1499999999999999</v>
      </c>
      <c r="U250" cm="1">
        <f t="array" ref="U250">_xlfn.ANCHORARRAY(J250)+0.15</f>
        <v>3.15</v>
      </c>
      <c r="V250" cm="1">
        <f t="array" ref="V250">_xlfn.ANCHORARRAY(K250)+0.15</f>
        <v>3.65</v>
      </c>
      <c r="W250">
        <f>TBL_TEV[[#This Row],[Etica Rendita Bilanciata]]</f>
        <v>1.570465</v>
      </c>
      <c r="X250">
        <f>TBL_TEV[[#This Row],[Etica Obbligazionario Breve Termine]]</f>
        <v>0.24923000000000001</v>
      </c>
      <c r="Y250">
        <f>TBL_TEV[[#This Row],[Etica Obbligazionario Misto]]</f>
        <v>0.69133500000000003</v>
      </c>
      <c r="Z250">
        <f>TBL_TEV[[#This Row],[Etica Bilanciato]]</f>
        <v>2.4408639999999999</v>
      </c>
      <c r="AA250">
        <f>TBL_TEV[[#This Row],[Etica Azionario]]</f>
        <v>3.7357480000000001</v>
      </c>
      <c r="AB250">
        <f>TBL_TEV[[#This Row],[Etica Transizione Climatica]]</f>
        <v>2.3743500000000002</v>
      </c>
      <c r="AC250">
        <f>TBL_TEV[[#This Row],[Etica Obiettivo Sociale]]</f>
        <v>6.9379985585142707</v>
      </c>
      <c r="AD250">
        <f>TBL_TEV[[#This Row],[Etica Conservative Allocation]]</f>
        <v>0.72244900000000001</v>
      </c>
      <c r="AE250">
        <f>TBL_TEV[[#This Row],[Etica Dynamic Allocation]]</f>
        <v>2.0825770000000001</v>
      </c>
      <c r="AF250">
        <f>TBL_TEV[[#This Row],[Etica Global Equity]]</f>
        <v>2.9572620000000001</v>
      </c>
      <c r="AL250">
        <f ca="1"/>
        <v>1.577291</v>
      </c>
      <c r="AM250">
        <f ca="1"/>
        <v>0.24780099999999999</v>
      </c>
      <c r="AN250">
        <f ca="1"/>
        <v>0.69593799999999995</v>
      </c>
      <c r="AO250">
        <f ca="1"/>
        <v>2.472137</v>
      </c>
      <c r="AP250">
        <f ca="1"/>
        <v>3.7522570000000002</v>
      </c>
      <c r="AQ250">
        <f ca="1"/>
        <v>2.36673</v>
      </c>
      <c r="AR250">
        <f ca="1"/>
        <v>7.2846818507254714</v>
      </c>
      <c r="AS250">
        <f ca="1"/>
        <v>0.72244900000000001</v>
      </c>
      <c r="AT250">
        <f ca="1"/>
        <v>2.0825770000000001</v>
      </c>
      <c r="AU250">
        <f ca="1"/>
        <v>2.9572620000000001</v>
      </c>
    </row>
    <row r="251" spans="1:47">
      <c r="A251" s="43">
        <f>TBL_TEV[[#This Row],[Data2]]</f>
        <v>45643</v>
      </c>
      <c r="B251" cm="1">
        <f t="array" ref="B251">_xlfn.XLOOKUP(_xlfn.ANCHORARRAY(A251), TBL_Limiti_CDA[Data], TBL_Limiti_CDA[Etica Rendita Bilanciata], , -1)</f>
        <v>1.75</v>
      </c>
      <c r="C251" cm="1">
        <f t="array" ref="C251">_xlfn.XLOOKUP(_xlfn.ANCHORARRAY(A251), TBL_Limiti_CDA[Data], TBL_Limiti_CDA[Etica Obbligazionario Breve Termine], , -1)</f>
        <v>0.5</v>
      </c>
      <c r="D251" cm="1">
        <f t="array" ref="D251">_xlfn.XLOOKUP(_xlfn.ANCHORARRAY(A251), TBL_Limiti_CDA[Data], TBL_Limiti_CDA[Etica Obbligazionario Misto], , -1)</f>
        <v>1</v>
      </c>
      <c r="E251" cm="1">
        <f t="array" ref="E251">_xlfn.XLOOKUP(_xlfn.ANCHORARRAY(A251), TBL_Limiti_CDA[Data], TBL_Limiti_CDA[Etica Bilanciato], , -1)</f>
        <v>3</v>
      </c>
      <c r="F251" cm="1">
        <f t="array" ref="F251">_xlfn.XLOOKUP(_xlfn.ANCHORARRAY(A251), TBL_Limiti_CDA[Data], TBL_Limiti_CDA[Etica Azionario], , -1)</f>
        <v>3.5</v>
      </c>
      <c r="G251" cm="1">
        <f t="array" ref="G251">_xlfn.XLOOKUP(_xlfn.ANCHORARRAY(A251), TBL_Limiti_CDA[Data], TBL_Limiti_CDA[Etica Transizione Climatica], , -1)</f>
        <v>2.75</v>
      </c>
      <c r="H251" cm="1">
        <f t="array" ref="H251">_xlfn.XLOOKUP(_xlfn.ANCHORARRAY(A251), TBL_Limiti_CDA[Data], TBL_Limiti_CDA[Etica Obiettivo Sociale], , -1)</f>
        <v>9.99</v>
      </c>
      <c r="I251" cm="1">
        <f t="array" ref="I251">_xlfn.XLOOKUP(_xlfn.ANCHORARRAY(A251), TBL_Limiti_CDA[Data], TBL_Limiti_CDA[Etica Conservative Allocation], , -1)</f>
        <v>1</v>
      </c>
      <c r="J251" cm="1">
        <f t="array" ref="J251">_xlfn.XLOOKUP(_xlfn.ANCHORARRAY(A251), TBL_Limiti_CDA[Data], TBL_Limiti_CDA[Etica Dynamic Allocation], , -1)</f>
        <v>3</v>
      </c>
      <c r="K251" cm="1">
        <f t="array" ref="K251">_xlfn.XLOOKUP(_xlfn.ANCHORARRAY(A251), TBL_Limiti_CDA[Data], TBL_Limiti_CDA[Etica Global Equity], , -1)</f>
        <v>3.5</v>
      </c>
      <c r="L251" cm="1">
        <f t="array" ref="L251">_xlfn.ANCHORARRAY(B251)+0.15</f>
        <v>1.9</v>
      </c>
      <c r="M251" cm="1">
        <f t="array" ref="M251">_xlfn.ANCHORARRAY(C251)+0.1</f>
        <v>0.6</v>
      </c>
      <c r="N251" cm="1">
        <f t="array" ref="N251">_xlfn.ANCHORARRAY(D251)+0.15</f>
        <v>1.1499999999999999</v>
      </c>
      <c r="O251" cm="1">
        <f t="array" ref="O251">_xlfn.ANCHORARRAY(E251)+0.15</f>
        <v>3.15</v>
      </c>
      <c r="P251" cm="1">
        <f t="array" ref="P251">_xlfn.ANCHORARRAY(F251)+0.15</f>
        <v>3.65</v>
      </c>
      <c r="Q251" cm="1">
        <f t="array" ref="Q251">_xlfn.ANCHORARRAY(G251)+0.15</f>
        <v>2.9</v>
      </c>
      <c r="R251" cm="1">
        <f t="array" ref="R251">_xlfn.ANCHORARRAY(H251)</f>
        <v>9.99</v>
      </c>
      <c r="S251" cm="1">
        <f t="array" ref="S251">_xlfn.ANCHORARRAY(R251)+0.15</f>
        <v>10.14</v>
      </c>
      <c r="T251" cm="1">
        <f t="array" ref="T251">_xlfn.ANCHORARRAY(I251)+0.15</f>
        <v>1.1499999999999999</v>
      </c>
      <c r="U251" cm="1">
        <f t="array" ref="U251">_xlfn.ANCHORARRAY(J251)+0.15</f>
        <v>3.15</v>
      </c>
      <c r="V251" cm="1">
        <f t="array" ref="V251">_xlfn.ANCHORARRAY(K251)+0.15</f>
        <v>3.65</v>
      </c>
      <c r="W251">
        <f>TBL_TEV[[#This Row],[Etica Rendita Bilanciata]]</f>
        <v>1.577291</v>
      </c>
      <c r="X251">
        <f>TBL_TEV[[#This Row],[Etica Obbligazionario Breve Termine]]</f>
        <v>0.24780099999999999</v>
      </c>
      <c r="Y251">
        <f>TBL_TEV[[#This Row],[Etica Obbligazionario Misto]]</f>
        <v>0.69593799999999995</v>
      </c>
      <c r="Z251">
        <f>TBL_TEV[[#This Row],[Etica Bilanciato]]</f>
        <v>2.472137</v>
      </c>
      <c r="AA251">
        <f>TBL_TEV[[#This Row],[Etica Azionario]]</f>
        <v>3.7522570000000002</v>
      </c>
      <c r="AB251">
        <f>TBL_TEV[[#This Row],[Etica Transizione Climatica]]</f>
        <v>2.36673</v>
      </c>
      <c r="AC251">
        <f>TBL_TEV[[#This Row],[Etica Obiettivo Sociale]]</f>
        <v>7.2846818507254714</v>
      </c>
      <c r="AD251">
        <f>TBL_TEV[[#This Row],[Etica Conservative Allocation]]</f>
        <v>0.72244900000000001</v>
      </c>
      <c r="AE251">
        <f>TBL_TEV[[#This Row],[Etica Dynamic Allocation]]</f>
        <v>2.0825770000000001</v>
      </c>
      <c r="AF251">
        <f>TBL_TEV[[#This Row],[Etica Global Equity]]</f>
        <v>2.9572620000000001</v>
      </c>
      <c r="AL251">
        <f ca="1"/>
        <v>1.5904670000000001</v>
      </c>
      <c r="AM251">
        <f ca="1"/>
        <v>0.248754</v>
      </c>
      <c r="AN251">
        <f ca="1"/>
        <v>0.69577999999999995</v>
      </c>
      <c r="AO251">
        <f ca="1"/>
        <v>2.4988060000000001</v>
      </c>
      <c r="AP251">
        <f ca="1"/>
        <v>3.8009919999999999</v>
      </c>
      <c r="AQ251">
        <f ca="1"/>
        <v>2.358476</v>
      </c>
      <c r="AR251">
        <f ca="1"/>
        <v>7.5344920550611008</v>
      </c>
      <c r="AS251">
        <f ca="1"/>
        <v>0.72244900000000001</v>
      </c>
      <c r="AT251">
        <f ca="1"/>
        <v>2.0825770000000001</v>
      </c>
      <c r="AU251">
        <f ca="1"/>
        <v>2.9572620000000001</v>
      </c>
    </row>
    <row r="252" spans="1:47">
      <c r="A252" s="43">
        <f>TBL_TEV[[#This Row],[Data2]]</f>
        <v>45644</v>
      </c>
      <c r="B252" cm="1">
        <f t="array" ref="B252">_xlfn.XLOOKUP(_xlfn.ANCHORARRAY(A252), TBL_Limiti_CDA[Data], TBL_Limiti_CDA[Etica Rendita Bilanciata], , -1)</f>
        <v>1.75</v>
      </c>
      <c r="C252" cm="1">
        <f t="array" ref="C252">_xlfn.XLOOKUP(_xlfn.ANCHORARRAY(A252), TBL_Limiti_CDA[Data], TBL_Limiti_CDA[Etica Obbligazionario Breve Termine], , -1)</f>
        <v>0.5</v>
      </c>
      <c r="D252" cm="1">
        <f t="array" ref="D252">_xlfn.XLOOKUP(_xlfn.ANCHORARRAY(A252), TBL_Limiti_CDA[Data], TBL_Limiti_CDA[Etica Obbligazionario Misto], , -1)</f>
        <v>1</v>
      </c>
      <c r="E252" cm="1">
        <f t="array" ref="E252">_xlfn.XLOOKUP(_xlfn.ANCHORARRAY(A252), TBL_Limiti_CDA[Data], TBL_Limiti_CDA[Etica Bilanciato], , -1)</f>
        <v>3</v>
      </c>
      <c r="F252" cm="1">
        <f t="array" ref="F252">_xlfn.XLOOKUP(_xlfn.ANCHORARRAY(A252), TBL_Limiti_CDA[Data], TBL_Limiti_CDA[Etica Azionario], , -1)</f>
        <v>3.5</v>
      </c>
      <c r="G252" cm="1">
        <f t="array" ref="G252">_xlfn.XLOOKUP(_xlfn.ANCHORARRAY(A252), TBL_Limiti_CDA[Data], TBL_Limiti_CDA[Etica Transizione Climatica], , -1)</f>
        <v>2.75</v>
      </c>
      <c r="H252" cm="1">
        <f t="array" ref="H252">_xlfn.XLOOKUP(_xlfn.ANCHORARRAY(A252), TBL_Limiti_CDA[Data], TBL_Limiti_CDA[Etica Obiettivo Sociale], , -1)</f>
        <v>9.99</v>
      </c>
      <c r="I252" cm="1">
        <f t="array" ref="I252">_xlfn.XLOOKUP(_xlfn.ANCHORARRAY(A252), TBL_Limiti_CDA[Data], TBL_Limiti_CDA[Etica Conservative Allocation], , -1)</f>
        <v>1</v>
      </c>
      <c r="J252" cm="1">
        <f t="array" ref="J252">_xlfn.XLOOKUP(_xlfn.ANCHORARRAY(A252), TBL_Limiti_CDA[Data], TBL_Limiti_CDA[Etica Dynamic Allocation], , -1)</f>
        <v>3</v>
      </c>
      <c r="K252" cm="1">
        <f t="array" ref="K252">_xlfn.XLOOKUP(_xlfn.ANCHORARRAY(A252), TBL_Limiti_CDA[Data], TBL_Limiti_CDA[Etica Global Equity], , -1)</f>
        <v>3.5</v>
      </c>
      <c r="L252" cm="1">
        <f t="array" ref="L252">_xlfn.ANCHORARRAY(B252)+0.15</f>
        <v>1.9</v>
      </c>
      <c r="M252" cm="1">
        <f t="array" ref="M252">_xlfn.ANCHORARRAY(C252)+0.1</f>
        <v>0.6</v>
      </c>
      <c r="N252" cm="1">
        <f t="array" ref="N252">_xlfn.ANCHORARRAY(D252)+0.15</f>
        <v>1.1499999999999999</v>
      </c>
      <c r="O252" cm="1">
        <f t="array" ref="O252">_xlfn.ANCHORARRAY(E252)+0.15</f>
        <v>3.15</v>
      </c>
      <c r="P252" cm="1">
        <f t="array" ref="P252">_xlfn.ANCHORARRAY(F252)+0.15</f>
        <v>3.65</v>
      </c>
      <c r="Q252" cm="1">
        <f t="array" ref="Q252">_xlfn.ANCHORARRAY(G252)+0.15</f>
        <v>2.9</v>
      </c>
      <c r="R252" cm="1">
        <f t="array" ref="R252">_xlfn.ANCHORARRAY(H252)</f>
        <v>9.99</v>
      </c>
      <c r="S252" cm="1">
        <f t="array" ref="S252">_xlfn.ANCHORARRAY(R252)+0.15</f>
        <v>10.14</v>
      </c>
      <c r="T252" cm="1">
        <f t="array" ref="T252">_xlfn.ANCHORARRAY(I252)+0.15</f>
        <v>1.1499999999999999</v>
      </c>
      <c r="U252" cm="1">
        <f t="array" ref="U252">_xlfn.ANCHORARRAY(J252)+0.15</f>
        <v>3.15</v>
      </c>
      <c r="V252" cm="1">
        <f t="array" ref="V252">_xlfn.ANCHORARRAY(K252)+0.15</f>
        <v>3.65</v>
      </c>
      <c r="W252">
        <f>TBL_TEV[[#This Row],[Etica Rendita Bilanciata]]</f>
        <v>1.5904670000000001</v>
      </c>
      <c r="X252">
        <f>TBL_TEV[[#This Row],[Etica Obbligazionario Breve Termine]]</f>
        <v>0.248754</v>
      </c>
      <c r="Y252">
        <f>TBL_TEV[[#This Row],[Etica Obbligazionario Misto]]</f>
        <v>0.69577999999999995</v>
      </c>
      <c r="Z252">
        <f>TBL_TEV[[#This Row],[Etica Bilanciato]]</f>
        <v>2.4988060000000001</v>
      </c>
      <c r="AA252">
        <f>TBL_TEV[[#This Row],[Etica Azionario]]</f>
        <v>3.8009919999999999</v>
      </c>
      <c r="AB252">
        <f>TBL_TEV[[#This Row],[Etica Transizione Climatica]]</f>
        <v>2.358476</v>
      </c>
      <c r="AC252">
        <f>TBL_TEV[[#This Row],[Etica Obiettivo Sociale]]</f>
        <v>7.5344920550611008</v>
      </c>
      <c r="AD252">
        <f>TBL_TEV[[#This Row],[Etica Conservative Allocation]]</f>
        <v>0.72244900000000001</v>
      </c>
      <c r="AE252">
        <f>TBL_TEV[[#This Row],[Etica Dynamic Allocation]]</f>
        <v>2.0825770000000001</v>
      </c>
      <c r="AF252">
        <f>TBL_TEV[[#This Row],[Etica Global Equity]]</f>
        <v>2.9572620000000001</v>
      </c>
      <c r="AL252">
        <f ca="1"/>
        <v>1.601262</v>
      </c>
      <c r="AM252">
        <f ca="1"/>
        <v>0.24923000000000001</v>
      </c>
      <c r="AN252">
        <f ca="1"/>
        <v>0.70435199999999998</v>
      </c>
      <c r="AO252">
        <f ca="1"/>
        <v>2.504362</v>
      </c>
      <c r="AP252">
        <f ca="1"/>
        <v>3.8008329999999999</v>
      </c>
      <c r="AQ252">
        <f ca="1"/>
        <v>2.3940350000000001</v>
      </c>
      <c r="AR252">
        <f ca="1"/>
        <v>7.4731754304780029</v>
      </c>
      <c r="AS252">
        <f ca="1"/>
        <v>0.72244900000000001</v>
      </c>
      <c r="AT252">
        <f ca="1"/>
        <v>2.0825770000000001</v>
      </c>
      <c r="AU252">
        <f ca="1"/>
        <v>2.9572620000000001</v>
      </c>
    </row>
    <row r="253" spans="1:47">
      <c r="A253" s="43">
        <f>TBL_TEV[[#This Row],[Data2]]</f>
        <v>45645</v>
      </c>
      <c r="B253" cm="1">
        <f t="array" ref="B253">_xlfn.XLOOKUP(_xlfn.ANCHORARRAY(A253), TBL_Limiti_CDA[Data], TBL_Limiti_CDA[Etica Rendita Bilanciata], , -1)</f>
        <v>1.75</v>
      </c>
      <c r="C253" cm="1">
        <f t="array" ref="C253">_xlfn.XLOOKUP(_xlfn.ANCHORARRAY(A253), TBL_Limiti_CDA[Data], TBL_Limiti_CDA[Etica Obbligazionario Breve Termine], , -1)</f>
        <v>0.5</v>
      </c>
      <c r="D253" cm="1">
        <f t="array" ref="D253">_xlfn.XLOOKUP(_xlfn.ANCHORARRAY(A253), TBL_Limiti_CDA[Data], TBL_Limiti_CDA[Etica Obbligazionario Misto], , -1)</f>
        <v>1</v>
      </c>
      <c r="E253" cm="1">
        <f t="array" ref="E253">_xlfn.XLOOKUP(_xlfn.ANCHORARRAY(A253), TBL_Limiti_CDA[Data], TBL_Limiti_CDA[Etica Bilanciato], , -1)</f>
        <v>3</v>
      </c>
      <c r="F253" cm="1">
        <f t="array" ref="F253">_xlfn.XLOOKUP(_xlfn.ANCHORARRAY(A253), TBL_Limiti_CDA[Data], TBL_Limiti_CDA[Etica Azionario], , -1)</f>
        <v>3.5</v>
      </c>
      <c r="G253" cm="1">
        <f t="array" ref="G253">_xlfn.XLOOKUP(_xlfn.ANCHORARRAY(A253), TBL_Limiti_CDA[Data], TBL_Limiti_CDA[Etica Transizione Climatica], , -1)</f>
        <v>2.75</v>
      </c>
      <c r="H253" cm="1">
        <f t="array" ref="H253">_xlfn.XLOOKUP(_xlfn.ANCHORARRAY(A253), TBL_Limiti_CDA[Data], TBL_Limiti_CDA[Etica Obiettivo Sociale], , -1)</f>
        <v>9.99</v>
      </c>
      <c r="I253" cm="1">
        <f t="array" ref="I253">_xlfn.XLOOKUP(_xlfn.ANCHORARRAY(A253), TBL_Limiti_CDA[Data], TBL_Limiti_CDA[Etica Conservative Allocation], , -1)</f>
        <v>1</v>
      </c>
      <c r="J253" cm="1">
        <f t="array" ref="J253">_xlfn.XLOOKUP(_xlfn.ANCHORARRAY(A253), TBL_Limiti_CDA[Data], TBL_Limiti_CDA[Etica Dynamic Allocation], , -1)</f>
        <v>3</v>
      </c>
      <c r="K253" cm="1">
        <f t="array" ref="K253">_xlfn.XLOOKUP(_xlfn.ANCHORARRAY(A253), TBL_Limiti_CDA[Data], TBL_Limiti_CDA[Etica Global Equity], , -1)</f>
        <v>3.5</v>
      </c>
      <c r="L253" cm="1">
        <f t="array" ref="L253">_xlfn.ANCHORARRAY(B253)+0.15</f>
        <v>1.9</v>
      </c>
      <c r="M253" cm="1">
        <f t="array" ref="M253">_xlfn.ANCHORARRAY(C253)+0.1</f>
        <v>0.6</v>
      </c>
      <c r="N253" cm="1">
        <f t="array" ref="N253">_xlfn.ANCHORARRAY(D253)+0.15</f>
        <v>1.1499999999999999</v>
      </c>
      <c r="O253" cm="1">
        <f t="array" ref="O253">_xlfn.ANCHORARRAY(E253)+0.15</f>
        <v>3.15</v>
      </c>
      <c r="P253" cm="1">
        <f t="array" ref="P253">_xlfn.ANCHORARRAY(F253)+0.15</f>
        <v>3.65</v>
      </c>
      <c r="Q253" cm="1">
        <f t="array" ref="Q253">_xlfn.ANCHORARRAY(G253)+0.15</f>
        <v>2.9</v>
      </c>
      <c r="R253" cm="1">
        <f t="array" ref="R253">_xlfn.ANCHORARRAY(H253)</f>
        <v>9.99</v>
      </c>
      <c r="S253" cm="1">
        <f t="array" ref="S253">_xlfn.ANCHORARRAY(R253)+0.15</f>
        <v>10.14</v>
      </c>
      <c r="T253" cm="1">
        <f t="array" ref="T253">_xlfn.ANCHORARRAY(I253)+0.15</f>
        <v>1.1499999999999999</v>
      </c>
      <c r="U253" cm="1">
        <f t="array" ref="U253">_xlfn.ANCHORARRAY(J253)+0.15</f>
        <v>3.15</v>
      </c>
      <c r="V253" cm="1">
        <f t="array" ref="V253">_xlfn.ANCHORARRAY(K253)+0.15</f>
        <v>3.65</v>
      </c>
      <c r="W253">
        <f>TBL_TEV[[#This Row],[Etica Rendita Bilanciata]]</f>
        <v>1.601262</v>
      </c>
      <c r="X253">
        <f>TBL_TEV[[#This Row],[Etica Obbligazionario Breve Termine]]</f>
        <v>0.24923000000000001</v>
      </c>
      <c r="Y253">
        <f>TBL_TEV[[#This Row],[Etica Obbligazionario Misto]]</f>
        <v>0.70435199999999998</v>
      </c>
      <c r="Z253">
        <f>TBL_TEV[[#This Row],[Etica Bilanciato]]</f>
        <v>2.504362</v>
      </c>
      <c r="AA253">
        <f>TBL_TEV[[#This Row],[Etica Azionario]]</f>
        <v>3.8008329999999999</v>
      </c>
      <c r="AB253">
        <f>TBL_TEV[[#This Row],[Etica Transizione Climatica]]</f>
        <v>2.3940350000000001</v>
      </c>
      <c r="AC253">
        <f>TBL_TEV[[#This Row],[Etica Obiettivo Sociale]]</f>
        <v>7.4731754304780029</v>
      </c>
      <c r="AD253">
        <f>TBL_TEV[[#This Row],[Etica Conservative Allocation]]</f>
        <v>0.72244900000000001</v>
      </c>
      <c r="AE253">
        <f>TBL_TEV[[#This Row],[Etica Dynamic Allocation]]</f>
        <v>2.0825770000000001</v>
      </c>
      <c r="AF253">
        <f>TBL_TEV[[#This Row],[Etica Global Equity]]</f>
        <v>2.9572620000000001</v>
      </c>
      <c r="AL253">
        <f ca="1"/>
        <v>1.5896729999999999</v>
      </c>
      <c r="AM253">
        <f ca="1"/>
        <v>0.248754</v>
      </c>
      <c r="AN253">
        <f ca="1"/>
        <v>0.703399</v>
      </c>
      <c r="AO253">
        <f ca="1"/>
        <v>2.494996</v>
      </c>
      <c r="AP253">
        <f ca="1"/>
        <v>3.7813080000000001</v>
      </c>
      <c r="AQ253">
        <f ca="1"/>
        <v>2.4022890000000001</v>
      </c>
      <c r="AR253">
        <f ca="1"/>
        <v>7.5018382792057121</v>
      </c>
      <c r="AS253">
        <f ca="1"/>
        <v>0.72244900000000001</v>
      </c>
      <c r="AT253">
        <f ca="1"/>
        <v>2.0825770000000001</v>
      </c>
      <c r="AU253">
        <f ca="1"/>
        <v>2.9572620000000001</v>
      </c>
    </row>
    <row r="254" spans="1:47">
      <c r="A254" s="43">
        <f>TBL_TEV[[#This Row],[Data2]]</f>
        <v>45646</v>
      </c>
      <c r="B254" cm="1">
        <f t="array" ref="B254">_xlfn.XLOOKUP(_xlfn.ANCHORARRAY(A254), TBL_Limiti_CDA[Data], TBL_Limiti_CDA[Etica Rendita Bilanciata], , -1)</f>
        <v>1.75</v>
      </c>
      <c r="C254" cm="1">
        <f t="array" ref="C254">_xlfn.XLOOKUP(_xlfn.ANCHORARRAY(A254), TBL_Limiti_CDA[Data], TBL_Limiti_CDA[Etica Obbligazionario Breve Termine], , -1)</f>
        <v>0.5</v>
      </c>
      <c r="D254" cm="1">
        <f t="array" ref="D254">_xlfn.XLOOKUP(_xlfn.ANCHORARRAY(A254), TBL_Limiti_CDA[Data], TBL_Limiti_CDA[Etica Obbligazionario Misto], , -1)</f>
        <v>1</v>
      </c>
      <c r="E254" cm="1">
        <f t="array" ref="E254">_xlfn.XLOOKUP(_xlfn.ANCHORARRAY(A254), TBL_Limiti_CDA[Data], TBL_Limiti_CDA[Etica Bilanciato], , -1)</f>
        <v>3</v>
      </c>
      <c r="F254" cm="1">
        <f t="array" ref="F254">_xlfn.XLOOKUP(_xlfn.ANCHORARRAY(A254), TBL_Limiti_CDA[Data], TBL_Limiti_CDA[Etica Azionario], , -1)</f>
        <v>3.5</v>
      </c>
      <c r="G254" cm="1">
        <f t="array" ref="G254">_xlfn.XLOOKUP(_xlfn.ANCHORARRAY(A254), TBL_Limiti_CDA[Data], TBL_Limiti_CDA[Etica Transizione Climatica], , -1)</f>
        <v>2.75</v>
      </c>
      <c r="H254" cm="1">
        <f t="array" ref="H254">_xlfn.XLOOKUP(_xlfn.ANCHORARRAY(A254), TBL_Limiti_CDA[Data], TBL_Limiti_CDA[Etica Obiettivo Sociale], , -1)</f>
        <v>9.99</v>
      </c>
      <c r="I254" cm="1">
        <f t="array" ref="I254">_xlfn.XLOOKUP(_xlfn.ANCHORARRAY(A254), TBL_Limiti_CDA[Data], TBL_Limiti_CDA[Etica Conservative Allocation], , -1)</f>
        <v>1</v>
      </c>
      <c r="J254" cm="1">
        <f t="array" ref="J254">_xlfn.XLOOKUP(_xlfn.ANCHORARRAY(A254), TBL_Limiti_CDA[Data], TBL_Limiti_CDA[Etica Dynamic Allocation], , -1)</f>
        <v>3</v>
      </c>
      <c r="K254" cm="1">
        <f t="array" ref="K254">_xlfn.XLOOKUP(_xlfn.ANCHORARRAY(A254), TBL_Limiti_CDA[Data], TBL_Limiti_CDA[Etica Global Equity], , -1)</f>
        <v>3.5</v>
      </c>
      <c r="L254" cm="1">
        <f t="array" ref="L254">_xlfn.ANCHORARRAY(B254)+0.15</f>
        <v>1.9</v>
      </c>
      <c r="M254" cm="1">
        <f t="array" ref="M254">_xlfn.ANCHORARRAY(C254)+0.1</f>
        <v>0.6</v>
      </c>
      <c r="N254" cm="1">
        <f t="array" ref="N254">_xlfn.ANCHORARRAY(D254)+0.15</f>
        <v>1.1499999999999999</v>
      </c>
      <c r="O254" cm="1">
        <f t="array" ref="O254">_xlfn.ANCHORARRAY(E254)+0.15</f>
        <v>3.15</v>
      </c>
      <c r="P254" cm="1">
        <f t="array" ref="P254">_xlfn.ANCHORARRAY(F254)+0.15</f>
        <v>3.65</v>
      </c>
      <c r="Q254" cm="1">
        <f t="array" ref="Q254">_xlfn.ANCHORARRAY(G254)+0.15</f>
        <v>2.9</v>
      </c>
      <c r="R254" cm="1">
        <f t="array" ref="R254">_xlfn.ANCHORARRAY(H254)</f>
        <v>9.99</v>
      </c>
      <c r="S254" cm="1">
        <f t="array" ref="S254">_xlfn.ANCHORARRAY(R254)+0.15</f>
        <v>10.14</v>
      </c>
      <c r="T254" cm="1">
        <f t="array" ref="T254">_xlfn.ANCHORARRAY(I254)+0.15</f>
        <v>1.1499999999999999</v>
      </c>
      <c r="U254" cm="1">
        <f t="array" ref="U254">_xlfn.ANCHORARRAY(J254)+0.15</f>
        <v>3.15</v>
      </c>
      <c r="V254" cm="1">
        <f t="array" ref="V254">_xlfn.ANCHORARRAY(K254)+0.15</f>
        <v>3.65</v>
      </c>
      <c r="W254">
        <f>TBL_TEV[[#This Row],[Etica Rendita Bilanciata]]</f>
        <v>1.5896729999999999</v>
      </c>
      <c r="X254">
        <f>TBL_TEV[[#This Row],[Etica Obbligazionario Breve Termine]]</f>
        <v>0.248754</v>
      </c>
      <c r="Y254">
        <f>TBL_TEV[[#This Row],[Etica Obbligazionario Misto]]</f>
        <v>0.703399</v>
      </c>
      <c r="Z254">
        <f>TBL_TEV[[#This Row],[Etica Bilanciato]]</f>
        <v>2.494996</v>
      </c>
      <c r="AA254">
        <f>TBL_TEV[[#This Row],[Etica Azionario]]</f>
        <v>3.7813080000000001</v>
      </c>
      <c r="AB254">
        <f>TBL_TEV[[#This Row],[Etica Transizione Climatica]]</f>
        <v>2.4022890000000001</v>
      </c>
      <c r="AC254">
        <f>TBL_TEV[[#This Row],[Etica Obiettivo Sociale]]</f>
        <v>7.5018382792057121</v>
      </c>
      <c r="AD254">
        <f>TBL_TEV[[#This Row],[Etica Conservative Allocation]]</f>
        <v>0.72244900000000001</v>
      </c>
      <c r="AE254">
        <f>TBL_TEV[[#This Row],[Etica Dynamic Allocation]]</f>
        <v>2.0825770000000001</v>
      </c>
      <c r="AF254">
        <f>TBL_TEV[[#This Row],[Etica Global Equity]]</f>
        <v>2.9572620000000001</v>
      </c>
      <c r="AL254">
        <f ca="1"/>
        <v>1.588721</v>
      </c>
      <c r="AM254">
        <f ca="1"/>
        <v>0.248277</v>
      </c>
      <c r="AN254">
        <f ca="1"/>
        <v>0.70149499999999998</v>
      </c>
      <c r="AO254">
        <f ca="1"/>
        <v>2.5111880000000002</v>
      </c>
      <c r="AP254">
        <f ca="1"/>
        <v>3.7979759999999998</v>
      </c>
      <c r="AQ254">
        <f ca="1"/>
        <v>2.4156240000000002</v>
      </c>
      <c r="AR254">
        <f ca="1"/>
        <v>7.5432810698021138</v>
      </c>
      <c r="AS254">
        <f ca="1"/>
        <v>0.72244900000000001</v>
      </c>
      <c r="AT254">
        <f ca="1"/>
        <v>2.0825770000000001</v>
      </c>
      <c r="AU254">
        <f ca="1"/>
        <v>2.9572620000000001</v>
      </c>
    </row>
    <row r="255" spans="1:47">
      <c r="A255" s="43">
        <f>TBL_TEV[[#This Row],[Data2]]</f>
        <v>45649</v>
      </c>
      <c r="B255" cm="1">
        <f t="array" ref="B255">_xlfn.XLOOKUP(_xlfn.ANCHORARRAY(A255), TBL_Limiti_CDA[Data], TBL_Limiti_CDA[Etica Rendita Bilanciata], , -1)</f>
        <v>1.75</v>
      </c>
      <c r="C255" cm="1">
        <f t="array" ref="C255">_xlfn.XLOOKUP(_xlfn.ANCHORARRAY(A255), TBL_Limiti_CDA[Data], TBL_Limiti_CDA[Etica Obbligazionario Breve Termine], , -1)</f>
        <v>0.5</v>
      </c>
      <c r="D255" cm="1">
        <f t="array" ref="D255">_xlfn.XLOOKUP(_xlfn.ANCHORARRAY(A255), TBL_Limiti_CDA[Data], TBL_Limiti_CDA[Etica Obbligazionario Misto], , -1)</f>
        <v>1</v>
      </c>
      <c r="E255" cm="1">
        <f t="array" ref="E255">_xlfn.XLOOKUP(_xlfn.ANCHORARRAY(A255), TBL_Limiti_CDA[Data], TBL_Limiti_CDA[Etica Bilanciato], , -1)</f>
        <v>3</v>
      </c>
      <c r="F255" cm="1">
        <f t="array" ref="F255">_xlfn.XLOOKUP(_xlfn.ANCHORARRAY(A255), TBL_Limiti_CDA[Data], TBL_Limiti_CDA[Etica Azionario], , -1)</f>
        <v>3.5</v>
      </c>
      <c r="G255" cm="1">
        <f t="array" ref="G255">_xlfn.XLOOKUP(_xlfn.ANCHORARRAY(A255), TBL_Limiti_CDA[Data], TBL_Limiti_CDA[Etica Transizione Climatica], , -1)</f>
        <v>2.75</v>
      </c>
      <c r="H255" cm="1">
        <f t="array" ref="H255">_xlfn.XLOOKUP(_xlfn.ANCHORARRAY(A255), TBL_Limiti_CDA[Data], TBL_Limiti_CDA[Etica Obiettivo Sociale], , -1)</f>
        <v>9.99</v>
      </c>
      <c r="I255" cm="1">
        <f t="array" ref="I255">_xlfn.XLOOKUP(_xlfn.ANCHORARRAY(A255), TBL_Limiti_CDA[Data], TBL_Limiti_CDA[Etica Conservative Allocation], , -1)</f>
        <v>1</v>
      </c>
      <c r="J255" cm="1">
        <f t="array" ref="J255">_xlfn.XLOOKUP(_xlfn.ANCHORARRAY(A255), TBL_Limiti_CDA[Data], TBL_Limiti_CDA[Etica Dynamic Allocation], , -1)</f>
        <v>3</v>
      </c>
      <c r="K255" cm="1">
        <f t="array" ref="K255">_xlfn.XLOOKUP(_xlfn.ANCHORARRAY(A255), TBL_Limiti_CDA[Data], TBL_Limiti_CDA[Etica Global Equity], , -1)</f>
        <v>3.5</v>
      </c>
      <c r="L255" cm="1">
        <f t="array" ref="L255">_xlfn.ANCHORARRAY(B255)+0.15</f>
        <v>1.9</v>
      </c>
      <c r="M255" cm="1">
        <f t="array" ref="M255">_xlfn.ANCHORARRAY(C255)+0.1</f>
        <v>0.6</v>
      </c>
      <c r="N255" cm="1">
        <f t="array" ref="N255">_xlfn.ANCHORARRAY(D255)+0.15</f>
        <v>1.1499999999999999</v>
      </c>
      <c r="O255" cm="1">
        <f t="array" ref="O255">_xlfn.ANCHORARRAY(E255)+0.15</f>
        <v>3.15</v>
      </c>
      <c r="P255" cm="1">
        <f t="array" ref="P255">_xlfn.ANCHORARRAY(F255)+0.15</f>
        <v>3.65</v>
      </c>
      <c r="Q255" cm="1">
        <f t="array" ref="Q255">_xlfn.ANCHORARRAY(G255)+0.15</f>
        <v>2.9</v>
      </c>
      <c r="R255" cm="1">
        <f t="array" ref="R255">_xlfn.ANCHORARRAY(H255)</f>
        <v>9.99</v>
      </c>
      <c r="S255" cm="1">
        <f t="array" ref="S255">_xlfn.ANCHORARRAY(R255)+0.15</f>
        <v>10.14</v>
      </c>
      <c r="T255" cm="1">
        <f t="array" ref="T255">_xlfn.ANCHORARRAY(I255)+0.15</f>
        <v>1.1499999999999999</v>
      </c>
      <c r="U255" cm="1">
        <f t="array" ref="U255">_xlfn.ANCHORARRAY(J255)+0.15</f>
        <v>3.15</v>
      </c>
      <c r="V255" cm="1">
        <f t="array" ref="V255">_xlfn.ANCHORARRAY(K255)+0.15</f>
        <v>3.65</v>
      </c>
      <c r="W255">
        <f>TBL_TEV[[#This Row],[Etica Rendita Bilanciata]]</f>
        <v>1.588721</v>
      </c>
      <c r="X255">
        <f>TBL_TEV[[#This Row],[Etica Obbligazionario Breve Termine]]</f>
        <v>0.248277</v>
      </c>
      <c r="Y255">
        <f>TBL_TEV[[#This Row],[Etica Obbligazionario Misto]]</f>
        <v>0.70149499999999998</v>
      </c>
      <c r="Z255">
        <f>TBL_TEV[[#This Row],[Etica Bilanciato]]</f>
        <v>2.5111880000000002</v>
      </c>
      <c r="AA255">
        <f>TBL_TEV[[#This Row],[Etica Azionario]]</f>
        <v>3.7979759999999998</v>
      </c>
      <c r="AB255">
        <f>TBL_TEV[[#This Row],[Etica Transizione Climatica]]</f>
        <v>2.4156240000000002</v>
      </c>
      <c r="AC255">
        <f>TBL_TEV[[#This Row],[Etica Obiettivo Sociale]]</f>
        <v>7.5432810698021138</v>
      </c>
      <c r="AD255">
        <f>TBL_TEV[[#This Row],[Etica Conservative Allocation]]</f>
        <v>0.72244900000000001</v>
      </c>
      <c r="AE255">
        <f>TBL_TEV[[#This Row],[Etica Dynamic Allocation]]</f>
        <v>2.0825770000000001</v>
      </c>
      <c r="AF255">
        <f>TBL_TEV[[#This Row],[Etica Global Equity]]</f>
        <v>2.9572620000000001</v>
      </c>
      <c r="AL255">
        <f ca="1"/>
        <v>1.602373</v>
      </c>
      <c r="AM255">
        <f ca="1"/>
        <v>0.24954699999999999</v>
      </c>
      <c r="AN255">
        <f ca="1"/>
        <v>0.70482800000000001</v>
      </c>
      <c r="AO255">
        <f ca="1"/>
        <v>2.5240469999999999</v>
      </c>
      <c r="AP255">
        <f ca="1"/>
        <v>3.6649479999999999</v>
      </c>
      <c r="AQ255">
        <f ca="1"/>
        <v>2.4186399999999999</v>
      </c>
      <c r="AR255">
        <f ca="1"/>
        <v>7.5432810698020987</v>
      </c>
      <c r="AS255">
        <f ca="1"/>
        <v>0.72244900000000001</v>
      </c>
      <c r="AT255">
        <f ca="1"/>
        <v>2.0825770000000001</v>
      </c>
      <c r="AU255">
        <f ca="1"/>
        <v>2.9572620000000001</v>
      </c>
    </row>
    <row r="256" spans="1:47">
      <c r="A256" s="43">
        <f>TBL_TEV[[#This Row],[Data2]]</f>
        <v>45650</v>
      </c>
      <c r="B256" cm="1">
        <f t="array" ref="B256">_xlfn.XLOOKUP(_xlfn.ANCHORARRAY(A256), TBL_Limiti_CDA[Data], TBL_Limiti_CDA[Etica Rendita Bilanciata], , -1)</f>
        <v>1.75</v>
      </c>
      <c r="C256" cm="1">
        <f t="array" ref="C256">_xlfn.XLOOKUP(_xlfn.ANCHORARRAY(A256), TBL_Limiti_CDA[Data], TBL_Limiti_CDA[Etica Obbligazionario Breve Termine], , -1)</f>
        <v>0.5</v>
      </c>
      <c r="D256" cm="1">
        <f t="array" ref="D256">_xlfn.XLOOKUP(_xlfn.ANCHORARRAY(A256), TBL_Limiti_CDA[Data], TBL_Limiti_CDA[Etica Obbligazionario Misto], , -1)</f>
        <v>1</v>
      </c>
      <c r="E256" cm="1">
        <f t="array" ref="E256">_xlfn.XLOOKUP(_xlfn.ANCHORARRAY(A256), TBL_Limiti_CDA[Data], TBL_Limiti_CDA[Etica Bilanciato], , -1)</f>
        <v>3</v>
      </c>
      <c r="F256" cm="1">
        <f t="array" ref="F256">_xlfn.XLOOKUP(_xlfn.ANCHORARRAY(A256), TBL_Limiti_CDA[Data], TBL_Limiti_CDA[Etica Azionario], , -1)</f>
        <v>3.5</v>
      </c>
      <c r="G256" cm="1">
        <f t="array" ref="G256">_xlfn.XLOOKUP(_xlfn.ANCHORARRAY(A256), TBL_Limiti_CDA[Data], TBL_Limiti_CDA[Etica Transizione Climatica], , -1)</f>
        <v>2.75</v>
      </c>
      <c r="H256" cm="1">
        <f t="array" ref="H256">_xlfn.XLOOKUP(_xlfn.ANCHORARRAY(A256), TBL_Limiti_CDA[Data], TBL_Limiti_CDA[Etica Obiettivo Sociale], , -1)</f>
        <v>9.99</v>
      </c>
      <c r="I256" cm="1">
        <f t="array" ref="I256">_xlfn.XLOOKUP(_xlfn.ANCHORARRAY(A256), TBL_Limiti_CDA[Data], TBL_Limiti_CDA[Etica Conservative Allocation], , -1)</f>
        <v>1</v>
      </c>
      <c r="J256" cm="1">
        <f t="array" ref="J256">_xlfn.XLOOKUP(_xlfn.ANCHORARRAY(A256), TBL_Limiti_CDA[Data], TBL_Limiti_CDA[Etica Dynamic Allocation], , -1)</f>
        <v>3</v>
      </c>
      <c r="K256" cm="1">
        <f t="array" ref="K256">_xlfn.XLOOKUP(_xlfn.ANCHORARRAY(A256), TBL_Limiti_CDA[Data], TBL_Limiti_CDA[Etica Global Equity], , -1)</f>
        <v>3.5</v>
      </c>
      <c r="L256" cm="1">
        <f t="array" ref="L256">_xlfn.ANCHORARRAY(B256)+0.15</f>
        <v>1.9</v>
      </c>
      <c r="M256" cm="1">
        <f t="array" ref="M256">_xlfn.ANCHORARRAY(C256)+0.1</f>
        <v>0.6</v>
      </c>
      <c r="N256" cm="1">
        <f t="array" ref="N256">_xlfn.ANCHORARRAY(D256)+0.15</f>
        <v>1.1499999999999999</v>
      </c>
      <c r="O256" cm="1">
        <f t="array" ref="O256">_xlfn.ANCHORARRAY(E256)+0.15</f>
        <v>3.15</v>
      </c>
      <c r="P256" cm="1">
        <f t="array" ref="P256">_xlfn.ANCHORARRAY(F256)+0.15</f>
        <v>3.65</v>
      </c>
      <c r="Q256" cm="1">
        <f t="array" ref="Q256">_xlfn.ANCHORARRAY(G256)+0.15</f>
        <v>2.9</v>
      </c>
      <c r="R256" cm="1">
        <f t="array" ref="R256">_xlfn.ANCHORARRAY(H256)</f>
        <v>9.99</v>
      </c>
      <c r="S256" cm="1">
        <f t="array" ref="S256">_xlfn.ANCHORARRAY(R256)+0.15</f>
        <v>10.14</v>
      </c>
      <c r="T256" cm="1">
        <f t="array" ref="T256">_xlfn.ANCHORARRAY(I256)+0.15</f>
        <v>1.1499999999999999</v>
      </c>
      <c r="U256" cm="1">
        <f t="array" ref="U256">_xlfn.ANCHORARRAY(J256)+0.15</f>
        <v>3.15</v>
      </c>
      <c r="V256" cm="1">
        <f t="array" ref="V256">_xlfn.ANCHORARRAY(K256)+0.15</f>
        <v>3.65</v>
      </c>
      <c r="W256">
        <f>TBL_TEV[[#This Row],[Etica Rendita Bilanciata]]</f>
        <v>1.602373</v>
      </c>
      <c r="X256">
        <f>TBL_TEV[[#This Row],[Etica Obbligazionario Breve Termine]]</f>
        <v>0.24954699999999999</v>
      </c>
      <c r="Y256">
        <f>TBL_TEV[[#This Row],[Etica Obbligazionario Misto]]</f>
        <v>0.70482800000000001</v>
      </c>
      <c r="Z256">
        <f>TBL_TEV[[#This Row],[Etica Bilanciato]]</f>
        <v>2.5240469999999999</v>
      </c>
      <c r="AA256">
        <f>TBL_TEV[[#This Row],[Etica Azionario]]</f>
        <v>3.6649479999999999</v>
      </c>
      <c r="AB256">
        <f>TBL_TEV[[#This Row],[Etica Transizione Climatica]]</f>
        <v>2.4186399999999999</v>
      </c>
      <c r="AC256">
        <f>TBL_TEV[[#This Row],[Etica Obiettivo Sociale]]</f>
        <v>7.5432810698020987</v>
      </c>
      <c r="AD256">
        <f>TBL_TEV[[#This Row],[Etica Conservative Allocation]]</f>
        <v>0.72244900000000001</v>
      </c>
      <c r="AE256">
        <f>TBL_TEV[[#This Row],[Etica Dynamic Allocation]]</f>
        <v>2.0825770000000001</v>
      </c>
      <c r="AF256">
        <f>TBL_TEV[[#This Row],[Etica Global Equity]]</f>
        <v>2.9572620000000001</v>
      </c>
      <c r="AL256">
        <f ca="1"/>
        <v>1.589197</v>
      </c>
      <c r="AM256">
        <f ca="1"/>
        <v>0.24923000000000001</v>
      </c>
      <c r="AN256">
        <f ca="1"/>
        <v>0.69720800000000005</v>
      </c>
      <c r="AO256">
        <f ca="1"/>
        <v>2.491187</v>
      </c>
      <c r="AP256">
        <f ca="1"/>
        <v>3.5673189999999999</v>
      </c>
      <c r="AQ256">
        <f ca="1"/>
        <v>2.3878430000000002</v>
      </c>
      <c r="AR256">
        <f ca="1"/>
        <v>7.1782330492582496</v>
      </c>
      <c r="AS256">
        <f ca="1"/>
        <v>0.72244900000000001</v>
      </c>
      <c r="AT256">
        <f ca="1"/>
        <v>2.0825770000000001</v>
      </c>
      <c r="AU256">
        <f ca="1"/>
        <v>2.9572620000000001</v>
      </c>
    </row>
    <row r="257" spans="1:47">
      <c r="A257" s="43">
        <f>TBL_TEV[[#This Row],[Data2]]</f>
        <v>45653</v>
      </c>
      <c r="B257" cm="1">
        <f t="array" ref="B257">_xlfn.XLOOKUP(_xlfn.ANCHORARRAY(A257), TBL_Limiti_CDA[Data], TBL_Limiti_CDA[Etica Rendita Bilanciata], , -1)</f>
        <v>1.75</v>
      </c>
      <c r="C257" cm="1">
        <f t="array" ref="C257">_xlfn.XLOOKUP(_xlfn.ANCHORARRAY(A257), TBL_Limiti_CDA[Data], TBL_Limiti_CDA[Etica Obbligazionario Breve Termine], , -1)</f>
        <v>0.5</v>
      </c>
      <c r="D257" cm="1">
        <f t="array" ref="D257">_xlfn.XLOOKUP(_xlfn.ANCHORARRAY(A257), TBL_Limiti_CDA[Data], TBL_Limiti_CDA[Etica Obbligazionario Misto], , -1)</f>
        <v>1</v>
      </c>
      <c r="E257" cm="1">
        <f t="array" ref="E257">_xlfn.XLOOKUP(_xlfn.ANCHORARRAY(A257), TBL_Limiti_CDA[Data], TBL_Limiti_CDA[Etica Bilanciato], , -1)</f>
        <v>3</v>
      </c>
      <c r="F257" cm="1">
        <f t="array" ref="F257">_xlfn.XLOOKUP(_xlfn.ANCHORARRAY(A257), TBL_Limiti_CDA[Data], TBL_Limiti_CDA[Etica Azionario], , -1)</f>
        <v>3.5</v>
      </c>
      <c r="G257" cm="1">
        <f t="array" ref="G257">_xlfn.XLOOKUP(_xlfn.ANCHORARRAY(A257), TBL_Limiti_CDA[Data], TBL_Limiti_CDA[Etica Transizione Climatica], , -1)</f>
        <v>2.75</v>
      </c>
      <c r="H257" cm="1">
        <f t="array" ref="H257">_xlfn.XLOOKUP(_xlfn.ANCHORARRAY(A257), TBL_Limiti_CDA[Data], TBL_Limiti_CDA[Etica Obiettivo Sociale], , -1)</f>
        <v>9.99</v>
      </c>
      <c r="I257" cm="1">
        <f t="array" ref="I257">_xlfn.XLOOKUP(_xlfn.ANCHORARRAY(A257), TBL_Limiti_CDA[Data], TBL_Limiti_CDA[Etica Conservative Allocation], , -1)</f>
        <v>1</v>
      </c>
      <c r="J257" cm="1">
        <f t="array" ref="J257">_xlfn.XLOOKUP(_xlfn.ANCHORARRAY(A257), TBL_Limiti_CDA[Data], TBL_Limiti_CDA[Etica Dynamic Allocation], , -1)</f>
        <v>3</v>
      </c>
      <c r="K257" cm="1">
        <f t="array" ref="K257">_xlfn.XLOOKUP(_xlfn.ANCHORARRAY(A257), TBL_Limiti_CDA[Data], TBL_Limiti_CDA[Etica Global Equity], , -1)</f>
        <v>3.5</v>
      </c>
      <c r="L257" cm="1">
        <f t="array" ref="L257">_xlfn.ANCHORARRAY(B257)+0.15</f>
        <v>1.9</v>
      </c>
      <c r="M257" cm="1">
        <f t="array" ref="M257">_xlfn.ANCHORARRAY(C257)+0.1</f>
        <v>0.6</v>
      </c>
      <c r="N257" cm="1">
        <f t="array" ref="N257">_xlfn.ANCHORARRAY(D257)+0.15</f>
        <v>1.1499999999999999</v>
      </c>
      <c r="O257" cm="1">
        <f t="array" ref="O257">_xlfn.ANCHORARRAY(E257)+0.15</f>
        <v>3.15</v>
      </c>
      <c r="P257" cm="1">
        <f t="array" ref="P257">_xlfn.ANCHORARRAY(F257)+0.15</f>
        <v>3.65</v>
      </c>
      <c r="Q257" cm="1">
        <f t="array" ref="Q257">_xlfn.ANCHORARRAY(G257)+0.15</f>
        <v>2.9</v>
      </c>
      <c r="R257" cm="1">
        <f t="array" ref="R257">_xlfn.ANCHORARRAY(H257)</f>
        <v>9.99</v>
      </c>
      <c r="S257" cm="1">
        <f t="array" ref="S257">_xlfn.ANCHORARRAY(R257)+0.15</f>
        <v>10.14</v>
      </c>
      <c r="T257" cm="1">
        <f t="array" ref="T257">_xlfn.ANCHORARRAY(I257)+0.15</f>
        <v>1.1499999999999999</v>
      </c>
      <c r="U257" cm="1">
        <f t="array" ref="U257">_xlfn.ANCHORARRAY(J257)+0.15</f>
        <v>3.15</v>
      </c>
      <c r="V257" cm="1">
        <f t="array" ref="V257">_xlfn.ANCHORARRAY(K257)+0.15</f>
        <v>3.65</v>
      </c>
      <c r="W257">
        <f>TBL_TEV[[#This Row],[Etica Rendita Bilanciata]]</f>
        <v>1.589197</v>
      </c>
      <c r="X257">
        <f>TBL_TEV[[#This Row],[Etica Obbligazionario Breve Termine]]</f>
        <v>0.24923000000000001</v>
      </c>
      <c r="Y257">
        <f>TBL_TEV[[#This Row],[Etica Obbligazionario Misto]]</f>
        <v>0.69720800000000005</v>
      </c>
      <c r="Z257">
        <f>TBL_TEV[[#This Row],[Etica Bilanciato]]</f>
        <v>2.491187</v>
      </c>
      <c r="AA257">
        <f>TBL_TEV[[#This Row],[Etica Azionario]]</f>
        <v>3.5673189999999999</v>
      </c>
      <c r="AB257">
        <f>TBL_TEV[[#This Row],[Etica Transizione Climatica]]</f>
        <v>2.3878430000000002</v>
      </c>
      <c r="AC257">
        <f>TBL_TEV[[#This Row],[Etica Obiettivo Sociale]]</f>
        <v>7.1782330492582496</v>
      </c>
      <c r="AD257">
        <f>TBL_TEV[[#This Row],[Etica Conservative Allocation]]</f>
        <v>0.72244900000000001</v>
      </c>
      <c r="AE257">
        <f>TBL_TEV[[#This Row],[Etica Dynamic Allocation]]</f>
        <v>2.0825770000000001</v>
      </c>
      <c r="AF257">
        <f>TBL_TEV[[#This Row],[Etica Global Equity]]</f>
        <v>2.9572620000000001</v>
      </c>
      <c r="AL257">
        <f ca="1"/>
        <v>1.582212</v>
      </c>
      <c r="AM257">
        <f ca="1"/>
        <v>0.24811900000000001</v>
      </c>
      <c r="AN257">
        <f ca="1"/>
        <v>0.69609699999999997</v>
      </c>
      <c r="AO257">
        <f ca="1"/>
        <v>2.481344</v>
      </c>
      <c r="AP257">
        <f ca="1"/>
        <v>3.552556</v>
      </c>
      <c r="AQ257">
        <f ca="1"/>
        <v>2.3816519999999999</v>
      </c>
      <c r="AR257">
        <f ca="1"/>
        <v>7.1903330415571052</v>
      </c>
      <c r="AS257">
        <f ca="1"/>
        <v>0.72244900000000001</v>
      </c>
      <c r="AT257">
        <f ca="1"/>
        <v>2.0825770000000001</v>
      </c>
      <c r="AU257">
        <f ca="1"/>
        <v>2.9572620000000001</v>
      </c>
    </row>
    <row r="258" spans="1:47">
      <c r="A258" s="43">
        <f>TBL_TEV[[#This Row],[Data2]]</f>
        <v>45656</v>
      </c>
      <c r="B258" cm="1">
        <f t="array" ref="B258">_xlfn.XLOOKUP(_xlfn.ANCHORARRAY(A258), TBL_Limiti_CDA[Data], TBL_Limiti_CDA[Etica Rendita Bilanciata], , -1)</f>
        <v>1.75</v>
      </c>
      <c r="C258" cm="1">
        <f t="array" ref="C258">_xlfn.XLOOKUP(_xlfn.ANCHORARRAY(A258), TBL_Limiti_CDA[Data], TBL_Limiti_CDA[Etica Obbligazionario Breve Termine], , -1)</f>
        <v>0.5</v>
      </c>
      <c r="D258" cm="1">
        <f t="array" ref="D258">_xlfn.XLOOKUP(_xlfn.ANCHORARRAY(A258), TBL_Limiti_CDA[Data], TBL_Limiti_CDA[Etica Obbligazionario Misto], , -1)</f>
        <v>1</v>
      </c>
      <c r="E258" cm="1">
        <f t="array" ref="E258">_xlfn.XLOOKUP(_xlfn.ANCHORARRAY(A258), TBL_Limiti_CDA[Data], TBL_Limiti_CDA[Etica Bilanciato], , -1)</f>
        <v>3</v>
      </c>
      <c r="F258" cm="1">
        <f t="array" ref="F258">_xlfn.XLOOKUP(_xlfn.ANCHORARRAY(A258), TBL_Limiti_CDA[Data], TBL_Limiti_CDA[Etica Azionario], , -1)</f>
        <v>3.5</v>
      </c>
      <c r="G258" cm="1">
        <f t="array" ref="G258">_xlfn.XLOOKUP(_xlfn.ANCHORARRAY(A258), TBL_Limiti_CDA[Data], TBL_Limiti_CDA[Etica Transizione Climatica], , -1)</f>
        <v>2.75</v>
      </c>
      <c r="H258" cm="1">
        <f t="array" ref="H258">_xlfn.XLOOKUP(_xlfn.ANCHORARRAY(A258), TBL_Limiti_CDA[Data], TBL_Limiti_CDA[Etica Obiettivo Sociale], , -1)</f>
        <v>9.99</v>
      </c>
      <c r="I258" cm="1">
        <f t="array" ref="I258">_xlfn.XLOOKUP(_xlfn.ANCHORARRAY(A258), TBL_Limiti_CDA[Data], TBL_Limiti_CDA[Etica Conservative Allocation], , -1)</f>
        <v>1</v>
      </c>
      <c r="J258" cm="1">
        <f t="array" ref="J258">_xlfn.XLOOKUP(_xlfn.ANCHORARRAY(A258), TBL_Limiti_CDA[Data], TBL_Limiti_CDA[Etica Dynamic Allocation], , -1)</f>
        <v>3</v>
      </c>
      <c r="K258" cm="1">
        <f t="array" ref="K258">_xlfn.XLOOKUP(_xlfn.ANCHORARRAY(A258), TBL_Limiti_CDA[Data], TBL_Limiti_CDA[Etica Global Equity], , -1)</f>
        <v>3.5</v>
      </c>
      <c r="L258" cm="1">
        <f t="array" ref="L258">_xlfn.ANCHORARRAY(B258)+0.15</f>
        <v>1.9</v>
      </c>
      <c r="M258" cm="1">
        <f t="array" ref="M258">_xlfn.ANCHORARRAY(C258)+0.1</f>
        <v>0.6</v>
      </c>
      <c r="N258" cm="1">
        <f t="array" ref="N258">_xlfn.ANCHORARRAY(D258)+0.15</f>
        <v>1.1499999999999999</v>
      </c>
      <c r="O258" cm="1">
        <f t="array" ref="O258">_xlfn.ANCHORARRAY(E258)+0.15</f>
        <v>3.15</v>
      </c>
      <c r="P258" cm="1">
        <f t="array" ref="P258">_xlfn.ANCHORARRAY(F258)+0.15</f>
        <v>3.65</v>
      </c>
      <c r="Q258" cm="1">
        <f t="array" ref="Q258">_xlfn.ANCHORARRAY(G258)+0.15</f>
        <v>2.9</v>
      </c>
      <c r="R258" cm="1">
        <f t="array" ref="R258">_xlfn.ANCHORARRAY(H258)</f>
        <v>9.99</v>
      </c>
      <c r="S258" cm="1">
        <f t="array" ref="S258">_xlfn.ANCHORARRAY(R258)+0.15</f>
        <v>10.14</v>
      </c>
      <c r="T258" cm="1">
        <f t="array" ref="T258">_xlfn.ANCHORARRAY(I258)+0.15</f>
        <v>1.1499999999999999</v>
      </c>
      <c r="U258" cm="1">
        <f t="array" ref="U258">_xlfn.ANCHORARRAY(J258)+0.15</f>
        <v>3.15</v>
      </c>
      <c r="V258" cm="1">
        <f t="array" ref="V258">_xlfn.ANCHORARRAY(K258)+0.15</f>
        <v>3.65</v>
      </c>
      <c r="W258">
        <f>TBL_TEV[[#This Row],[Etica Rendita Bilanciata]]</f>
        <v>1.582212</v>
      </c>
      <c r="X258">
        <f>TBL_TEV[[#This Row],[Etica Obbligazionario Breve Termine]]</f>
        <v>0.24811900000000001</v>
      </c>
      <c r="Y258">
        <f>TBL_TEV[[#This Row],[Etica Obbligazionario Misto]]</f>
        <v>0.69609699999999997</v>
      </c>
      <c r="Z258">
        <f>TBL_TEV[[#This Row],[Etica Bilanciato]]</f>
        <v>2.481344</v>
      </c>
      <c r="AA258">
        <f>TBL_TEV[[#This Row],[Etica Azionario]]</f>
        <v>3.552556</v>
      </c>
      <c r="AB258">
        <f>TBL_TEV[[#This Row],[Etica Transizione Climatica]]</f>
        <v>2.3816519999999999</v>
      </c>
      <c r="AC258">
        <f>TBL_TEV[[#This Row],[Etica Obiettivo Sociale]]</f>
        <v>7.1903330415571052</v>
      </c>
      <c r="AD258">
        <f>TBL_TEV[[#This Row],[Etica Conservative Allocation]]</f>
        <v>0.72244900000000001</v>
      </c>
      <c r="AE258">
        <f>TBL_TEV[[#This Row],[Etica Dynamic Allocation]]</f>
        <v>2.0825770000000001</v>
      </c>
      <c r="AF258">
        <f>TBL_TEV[[#This Row],[Etica Global Equity]]</f>
        <v>2.9572620000000001</v>
      </c>
      <c r="AL258">
        <f ca="1"/>
        <v>1.565385</v>
      </c>
      <c r="AM258">
        <f ca="1"/>
        <v>0.239705</v>
      </c>
      <c r="AN258">
        <f ca="1"/>
        <v>0.67815899999999996</v>
      </c>
      <c r="AO258">
        <f ca="1"/>
        <v>2.4557859999999998</v>
      </c>
      <c r="AP258">
        <f ca="1"/>
        <v>3.5235059999999998</v>
      </c>
      <c r="AQ258">
        <f ca="1"/>
        <v>2.3713340000000001</v>
      </c>
      <c r="AR258">
        <f ca="1"/>
        <v>7.2519446357708848</v>
      </c>
      <c r="AS258">
        <f ca="1"/>
        <v>0.72244900000000001</v>
      </c>
      <c r="AT258">
        <f ca="1"/>
        <v>2.0825770000000001</v>
      </c>
      <c r="AU258">
        <f ca="1"/>
        <v>2.9572620000000001</v>
      </c>
    </row>
    <row r="259" spans="1:47">
      <c r="A259" s="43">
        <f>TBL_TEV[[#This Row],[Data2]]</f>
        <v>45657</v>
      </c>
      <c r="B259" cm="1">
        <f t="array" ref="B259">_xlfn.XLOOKUP(_xlfn.ANCHORARRAY(A259), TBL_Limiti_CDA[Data], TBL_Limiti_CDA[Etica Rendita Bilanciata], , -1)</f>
        <v>1.75</v>
      </c>
      <c r="C259" cm="1">
        <f t="array" ref="C259">_xlfn.XLOOKUP(_xlfn.ANCHORARRAY(A259), TBL_Limiti_CDA[Data], TBL_Limiti_CDA[Etica Obbligazionario Breve Termine], , -1)</f>
        <v>0.5</v>
      </c>
      <c r="D259" cm="1">
        <f t="array" ref="D259">_xlfn.XLOOKUP(_xlfn.ANCHORARRAY(A259), TBL_Limiti_CDA[Data], TBL_Limiti_CDA[Etica Obbligazionario Misto], , -1)</f>
        <v>1</v>
      </c>
      <c r="E259" cm="1">
        <f t="array" ref="E259">_xlfn.XLOOKUP(_xlfn.ANCHORARRAY(A259), TBL_Limiti_CDA[Data], TBL_Limiti_CDA[Etica Bilanciato], , -1)</f>
        <v>3</v>
      </c>
      <c r="F259" cm="1">
        <f t="array" ref="F259">_xlfn.XLOOKUP(_xlfn.ANCHORARRAY(A259), TBL_Limiti_CDA[Data], TBL_Limiti_CDA[Etica Azionario], , -1)</f>
        <v>3.5</v>
      </c>
      <c r="G259" cm="1">
        <f t="array" ref="G259">_xlfn.XLOOKUP(_xlfn.ANCHORARRAY(A259), TBL_Limiti_CDA[Data], TBL_Limiti_CDA[Etica Transizione Climatica], , -1)</f>
        <v>2.75</v>
      </c>
      <c r="H259" cm="1">
        <f t="array" ref="H259">_xlfn.XLOOKUP(_xlfn.ANCHORARRAY(A259), TBL_Limiti_CDA[Data], TBL_Limiti_CDA[Etica Obiettivo Sociale], , -1)</f>
        <v>9.99</v>
      </c>
      <c r="I259" cm="1">
        <f t="array" ref="I259">_xlfn.XLOOKUP(_xlfn.ANCHORARRAY(A259), TBL_Limiti_CDA[Data], TBL_Limiti_CDA[Etica Conservative Allocation], , -1)</f>
        <v>1</v>
      </c>
      <c r="J259" cm="1">
        <f t="array" ref="J259">_xlfn.XLOOKUP(_xlfn.ANCHORARRAY(A259), TBL_Limiti_CDA[Data], TBL_Limiti_CDA[Etica Dynamic Allocation], , -1)</f>
        <v>3</v>
      </c>
      <c r="K259" cm="1">
        <f t="array" ref="K259">_xlfn.XLOOKUP(_xlfn.ANCHORARRAY(A259), TBL_Limiti_CDA[Data], TBL_Limiti_CDA[Etica Global Equity], , -1)</f>
        <v>3.5</v>
      </c>
      <c r="L259" cm="1">
        <f t="array" ref="L259">_xlfn.ANCHORARRAY(B259)+0.15</f>
        <v>1.9</v>
      </c>
      <c r="M259" cm="1">
        <f t="array" ref="M259">_xlfn.ANCHORARRAY(C259)+0.1</f>
        <v>0.6</v>
      </c>
      <c r="N259" cm="1">
        <f t="array" ref="N259">_xlfn.ANCHORARRAY(D259)+0.15</f>
        <v>1.1499999999999999</v>
      </c>
      <c r="O259" cm="1">
        <f t="array" ref="O259">_xlfn.ANCHORARRAY(E259)+0.15</f>
        <v>3.15</v>
      </c>
      <c r="P259" cm="1">
        <f t="array" ref="P259">_xlfn.ANCHORARRAY(F259)+0.15</f>
        <v>3.65</v>
      </c>
      <c r="Q259" cm="1">
        <f t="array" ref="Q259">_xlfn.ANCHORARRAY(G259)+0.15</f>
        <v>2.9</v>
      </c>
      <c r="R259" cm="1">
        <f t="array" ref="R259">_xlfn.ANCHORARRAY(H259)</f>
        <v>9.99</v>
      </c>
      <c r="S259" cm="1">
        <f t="array" ref="S259">_xlfn.ANCHORARRAY(R259)+0.15</f>
        <v>10.14</v>
      </c>
      <c r="T259" cm="1">
        <f t="array" ref="T259">_xlfn.ANCHORARRAY(I259)+0.15</f>
        <v>1.1499999999999999</v>
      </c>
      <c r="U259" cm="1">
        <f t="array" ref="U259">_xlfn.ANCHORARRAY(J259)+0.15</f>
        <v>3.15</v>
      </c>
      <c r="V259" cm="1">
        <f t="array" ref="V259">_xlfn.ANCHORARRAY(K259)+0.15</f>
        <v>3.65</v>
      </c>
      <c r="W259">
        <f>TBL_TEV[[#This Row],[Etica Rendita Bilanciata]]</f>
        <v>1.565385</v>
      </c>
      <c r="X259">
        <f>TBL_TEV[[#This Row],[Etica Obbligazionario Breve Termine]]</f>
        <v>0.239705</v>
      </c>
      <c r="Y259">
        <f>TBL_TEV[[#This Row],[Etica Obbligazionario Misto]]</f>
        <v>0.67815899999999996</v>
      </c>
      <c r="Z259">
        <f>TBL_TEV[[#This Row],[Etica Bilanciato]]</f>
        <v>2.4557859999999998</v>
      </c>
      <c r="AA259">
        <f>TBL_TEV[[#This Row],[Etica Azionario]]</f>
        <v>3.5235059999999998</v>
      </c>
      <c r="AB259">
        <f>TBL_TEV[[#This Row],[Etica Transizione Climatica]]</f>
        <v>2.3713340000000001</v>
      </c>
      <c r="AC259">
        <f>TBL_TEV[[#This Row],[Etica Obiettivo Sociale]]</f>
        <v>7.2519446357708848</v>
      </c>
      <c r="AD259">
        <f>TBL_TEV[[#This Row],[Etica Conservative Allocation]]</f>
        <v>0.72244900000000001</v>
      </c>
      <c r="AE259">
        <f>TBL_TEV[[#This Row],[Etica Dynamic Allocation]]</f>
        <v>2.0825770000000001</v>
      </c>
      <c r="AF259">
        <f>TBL_TEV[[#This Row],[Etica Global Equity]]</f>
        <v>2.9572620000000001</v>
      </c>
      <c r="AL259">
        <f ca="1"/>
        <v>1.554273</v>
      </c>
      <c r="AM259">
        <f ca="1"/>
        <v>0.237959</v>
      </c>
      <c r="AN259">
        <f ca="1"/>
        <v>0.66815800000000003</v>
      </c>
      <c r="AO259">
        <f ca="1"/>
        <v>2.4513419999999999</v>
      </c>
      <c r="AP259">
        <f ca="1"/>
        <v>3.4981070000000001</v>
      </c>
      <c r="AQ259">
        <f ca="1"/>
        <v>2.3529200000000001</v>
      </c>
      <c r="AR259">
        <f ca="1"/>
        <v>7.1181686635014296</v>
      </c>
      <c r="AS259">
        <f ca="1"/>
        <v>0.72244900000000001</v>
      </c>
      <c r="AT259">
        <f ca="1"/>
        <v>2.0825770000000001</v>
      </c>
      <c r="AU259">
        <f ca="1"/>
        <v>2.9572620000000001</v>
      </c>
    </row>
    <row r="260" spans="1:47">
      <c r="A260" s="43">
        <f>TBL_TEV[[#This Row],[Data2]]</f>
        <v>45659</v>
      </c>
      <c r="B260" cm="1">
        <f t="array" ref="B260">_xlfn.XLOOKUP(_xlfn.ANCHORARRAY(A260), TBL_Limiti_CDA[Data], TBL_Limiti_CDA[Etica Rendita Bilanciata], , -1)</f>
        <v>1.75</v>
      </c>
      <c r="C260" cm="1">
        <f t="array" ref="C260">_xlfn.XLOOKUP(_xlfn.ANCHORARRAY(A260), TBL_Limiti_CDA[Data], TBL_Limiti_CDA[Etica Obbligazionario Breve Termine], , -1)</f>
        <v>0.5</v>
      </c>
      <c r="D260" cm="1">
        <f t="array" ref="D260">_xlfn.XLOOKUP(_xlfn.ANCHORARRAY(A260), TBL_Limiti_CDA[Data], TBL_Limiti_CDA[Etica Obbligazionario Misto], , -1)</f>
        <v>1</v>
      </c>
      <c r="E260" cm="1">
        <f t="array" ref="E260">_xlfn.XLOOKUP(_xlfn.ANCHORARRAY(A260), TBL_Limiti_CDA[Data], TBL_Limiti_CDA[Etica Bilanciato], , -1)</f>
        <v>3</v>
      </c>
      <c r="F260" cm="1">
        <f t="array" ref="F260">_xlfn.XLOOKUP(_xlfn.ANCHORARRAY(A260), TBL_Limiti_CDA[Data], TBL_Limiti_CDA[Etica Azionario], , -1)</f>
        <v>3.5</v>
      </c>
      <c r="G260" cm="1">
        <f t="array" ref="G260">_xlfn.XLOOKUP(_xlfn.ANCHORARRAY(A260), TBL_Limiti_CDA[Data], TBL_Limiti_CDA[Etica Transizione Climatica], , -1)</f>
        <v>2.75</v>
      </c>
      <c r="H260" cm="1">
        <f t="array" ref="H260">_xlfn.XLOOKUP(_xlfn.ANCHORARRAY(A260), TBL_Limiti_CDA[Data], TBL_Limiti_CDA[Etica Obiettivo Sociale], , -1)</f>
        <v>9.99</v>
      </c>
      <c r="I260" cm="1">
        <f t="array" ref="I260">_xlfn.XLOOKUP(_xlfn.ANCHORARRAY(A260), TBL_Limiti_CDA[Data], TBL_Limiti_CDA[Etica Conservative Allocation], , -1)</f>
        <v>1</v>
      </c>
      <c r="J260" cm="1">
        <f t="array" ref="J260">_xlfn.XLOOKUP(_xlfn.ANCHORARRAY(A260), TBL_Limiti_CDA[Data], TBL_Limiti_CDA[Etica Dynamic Allocation], , -1)</f>
        <v>3</v>
      </c>
      <c r="K260" cm="1">
        <f t="array" ref="K260">_xlfn.XLOOKUP(_xlfn.ANCHORARRAY(A260), TBL_Limiti_CDA[Data], TBL_Limiti_CDA[Etica Global Equity], , -1)</f>
        <v>3.5</v>
      </c>
      <c r="L260" cm="1">
        <f t="array" ref="L260">_xlfn.ANCHORARRAY(B260)+0.15</f>
        <v>1.9</v>
      </c>
      <c r="M260" cm="1">
        <f t="array" ref="M260">_xlfn.ANCHORARRAY(C260)+0.1</f>
        <v>0.6</v>
      </c>
      <c r="N260" cm="1">
        <f t="array" ref="N260">_xlfn.ANCHORARRAY(D260)+0.15</f>
        <v>1.1499999999999999</v>
      </c>
      <c r="O260" cm="1">
        <f t="array" ref="O260">_xlfn.ANCHORARRAY(E260)+0.15</f>
        <v>3.15</v>
      </c>
      <c r="P260" cm="1">
        <f t="array" ref="P260">_xlfn.ANCHORARRAY(F260)+0.15</f>
        <v>3.65</v>
      </c>
      <c r="Q260" cm="1">
        <f t="array" ref="Q260">_xlfn.ANCHORARRAY(G260)+0.15</f>
        <v>2.9</v>
      </c>
      <c r="R260" cm="1">
        <f t="array" ref="R260">_xlfn.ANCHORARRAY(H260)</f>
        <v>9.99</v>
      </c>
      <c r="S260" cm="1">
        <f t="array" ref="S260">_xlfn.ANCHORARRAY(R260)+0.15</f>
        <v>10.14</v>
      </c>
      <c r="T260" cm="1">
        <f t="array" ref="T260">_xlfn.ANCHORARRAY(I260)+0.15</f>
        <v>1.1499999999999999</v>
      </c>
      <c r="U260" cm="1">
        <f t="array" ref="U260">_xlfn.ANCHORARRAY(J260)+0.15</f>
        <v>3.15</v>
      </c>
      <c r="V260" cm="1">
        <f t="array" ref="V260">_xlfn.ANCHORARRAY(K260)+0.15</f>
        <v>3.65</v>
      </c>
      <c r="W260">
        <f>TBL_TEV[[#This Row],[Etica Rendita Bilanciata]]</f>
        <v>1.554273</v>
      </c>
      <c r="X260">
        <f>TBL_TEV[[#This Row],[Etica Obbligazionario Breve Termine]]</f>
        <v>0.237959</v>
      </c>
      <c r="Y260">
        <f>TBL_TEV[[#This Row],[Etica Obbligazionario Misto]]</f>
        <v>0.66815800000000003</v>
      </c>
      <c r="Z260">
        <f>TBL_TEV[[#This Row],[Etica Bilanciato]]</f>
        <v>2.4513419999999999</v>
      </c>
      <c r="AA260">
        <f>TBL_TEV[[#This Row],[Etica Azionario]]</f>
        <v>3.4981070000000001</v>
      </c>
      <c r="AB260">
        <f>TBL_TEV[[#This Row],[Etica Transizione Climatica]]</f>
        <v>2.3529200000000001</v>
      </c>
      <c r="AC260">
        <f>TBL_TEV[[#This Row],[Etica Obiettivo Sociale]]</f>
        <v>7.1181686635014296</v>
      </c>
      <c r="AD260">
        <f>TBL_TEV[[#This Row],[Etica Conservative Allocation]]</f>
        <v>0.72244900000000001</v>
      </c>
      <c r="AE260">
        <f>TBL_TEV[[#This Row],[Etica Dynamic Allocation]]</f>
        <v>2.0825770000000001</v>
      </c>
      <c r="AF260">
        <f>TBL_TEV[[#This Row],[Etica Global Equity]]</f>
        <v>2.9572620000000001</v>
      </c>
      <c r="AL260">
        <f ca="1"/>
        <v>1.5682430000000001</v>
      </c>
      <c r="AM260">
        <f ca="1"/>
        <v>0.23621300000000001</v>
      </c>
      <c r="AN260">
        <f ca="1"/>
        <v>0.67371400000000004</v>
      </c>
      <c r="AO260">
        <f ca="1"/>
        <v>2.476264</v>
      </c>
      <c r="AP260">
        <f ca="1"/>
        <v>3.5227119999999998</v>
      </c>
      <c r="AQ260">
        <f ca="1"/>
        <v>2.3978440000000001</v>
      </c>
      <c r="AR260">
        <f ca="1"/>
        <v>7.2006429161174053</v>
      </c>
      <c r="AS260">
        <f ca="1"/>
        <v>0.72244900000000001</v>
      </c>
      <c r="AT260">
        <f ca="1"/>
        <v>2.0825770000000001</v>
      </c>
      <c r="AU260">
        <f ca="1"/>
        <v>2.9572620000000001</v>
      </c>
    </row>
    <row r="261" spans="1:47">
      <c r="A261" s="43">
        <f>TBL_TEV[[#This Row],[Data2]]</f>
        <v>45660</v>
      </c>
      <c r="B261" cm="1">
        <f t="array" ref="B261">_xlfn.XLOOKUP(_xlfn.ANCHORARRAY(A261), TBL_Limiti_CDA[Data], TBL_Limiti_CDA[Etica Rendita Bilanciata], , -1)</f>
        <v>1.75</v>
      </c>
      <c r="C261" cm="1">
        <f t="array" ref="C261">_xlfn.XLOOKUP(_xlfn.ANCHORARRAY(A261), TBL_Limiti_CDA[Data], TBL_Limiti_CDA[Etica Obbligazionario Breve Termine], , -1)</f>
        <v>0.5</v>
      </c>
      <c r="D261" cm="1">
        <f t="array" ref="D261">_xlfn.XLOOKUP(_xlfn.ANCHORARRAY(A261), TBL_Limiti_CDA[Data], TBL_Limiti_CDA[Etica Obbligazionario Misto], , -1)</f>
        <v>1</v>
      </c>
      <c r="E261" cm="1">
        <f t="array" ref="E261">_xlfn.XLOOKUP(_xlfn.ANCHORARRAY(A261), TBL_Limiti_CDA[Data], TBL_Limiti_CDA[Etica Bilanciato], , -1)</f>
        <v>3</v>
      </c>
      <c r="F261" cm="1">
        <f t="array" ref="F261">_xlfn.XLOOKUP(_xlfn.ANCHORARRAY(A261), TBL_Limiti_CDA[Data], TBL_Limiti_CDA[Etica Azionario], , -1)</f>
        <v>3.5</v>
      </c>
      <c r="G261" cm="1">
        <f t="array" ref="G261">_xlfn.XLOOKUP(_xlfn.ANCHORARRAY(A261), TBL_Limiti_CDA[Data], TBL_Limiti_CDA[Etica Transizione Climatica], , -1)</f>
        <v>2.75</v>
      </c>
      <c r="H261" cm="1">
        <f t="array" ref="H261">_xlfn.XLOOKUP(_xlfn.ANCHORARRAY(A261), TBL_Limiti_CDA[Data], TBL_Limiti_CDA[Etica Obiettivo Sociale], , -1)</f>
        <v>9.99</v>
      </c>
      <c r="I261" cm="1">
        <f t="array" ref="I261">_xlfn.XLOOKUP(_xlfn.ANCHORARRAY(A261), TBL_Limiti_CDA[Data], TBL_Limiti_CDA[Etica Conservative Allocation], , -1)</f>
        <v>1</v>
      </c>
      <c r="J261" cm="1">
        <f t="array" ref="J261">_xlfn.XLOOKUP(_xlfn.ANCHORARRAY(A261), TBL_Limiti_CDA[Data], TBL_Limiti_CDA[Etica Dynamic Allocation], , -1)</f>
        <v>3</v>
      </c>
      <c r="K261" cm="1">
        <f t="array" ref="K261">_xlfn.XLOOKUP(_xlfn.ANCHORARRAY(A261), TBL_Limiti_CDA[Data], TBL_Limiti_CDA[Etica Global Equity], , -1)</f>
        <v>3.5</v>
      </c>
      <c r="L261" cm="1">
        <f t="array" ref="L261">_xlfn.ANCHORARRAY(B261)+0.15</f>
        <v>1.9</v>
      </c>
      <c r="M261" cm="1">
        <f t="array" ref="M261">_xlfn.ANCHORARRAY(C261)+0.1</f>
        <v>0.6</v>
      </c>
      <c r="N261" cm="1">
        <f t="array" ref="N261">_xlfn.ANCHORARRAY(D261)+0.15</f>
        <v>1.1499999999999999</v>
      </c>
      <c r="O261" cm="1">
        <f t="array" ref="O261">_xlfn.ANCHORARRAY(E261)+0.15</f>
        <v>3.15</v>
      </c>
      <c r="P261" cm="1">
        <f t="array" ref="P261">_xlfn.ANCHORARRAY(F261)+0.15</f>
        <v>3.65</v>
      </c>
      <c r="Q261" cm="1">
        <f t="array" ref="Q261">_xlfn.ANCHORARRAY(G261)+0.15</f>
        <v>2.9</v>
      </c>
      <c r="R261" cm="1">
        <f t="array" ref="R261">_xlfn.ANCHORARRAY(H261)</f>
        <v>9.99</v>
      </c>
      <c r="S261" cm="1">
        <f t="array" ref="S261">_xlfn.ANCHORARRAY(R261)+0.15</f>
        <v>10.14</v>
      </c>
      <c r="T261" cm="1">
        <f t="array" ref="T261">_xlfn.ANCHORARRAY(I261)+0.15</f>
        <v>1.1499999999999999</v>
      </c>
      <c r="U261" cm="1">
        <f t="array" ref="U261">_xlfn.ANCHORARRAY(J261)+0.15</f>
        <v>3.15</v>
      </c>
      <c r="V261" cm="1">
        <f t="array" ref="V261">_xlfn.ANCHORARRAY(K261)+0.15</f>
        <v>3.65</v>
      </c>
      <c r="W261">
        <f>TBL_TEV[[#This Row],[Etica Rendita Bilanciata]]</f>
        <v>1.5682430000000001</v>
      </c>
      <c r="X261">
        <f>TBL_TEV[[#This Row],[Etica Obbligazionario Breve Termine]]</f>
        <v>0.23621300000000001</v>
      </c>
      <c r="Y261">
        <f>TBL_TEV[[#This Row],[Etica Obbligazionario Misto]]</f>
        <v>0.67371400000000004</v>
      </c>
      <c r="Z261">
        <f>TBL_TEV[[#This Row],[Etica Bilanciato]]</f>
        <v>2.476264</v>
      </c>
      <c r="AA261">
        <f>TBL_TEV[[#This Row],[Etica Azionario]]</f>
        <v>3.5227119999999998</v>
      </c>
      <c r="AB261">
        <f>TBL_TEV[[#This Row],[Etica Transizione Climatica]]</f>
        <v>2.3978440000000001</v>
      </c>
      <c r="AC261">
        <f>TBL_TEV[[#This Row],[Etica Obiettivo Sociale]]</f>
        <v>7.2006429161174053</v>
      </c>
      <c r="AD261">
        <f>TBL_TEV[[#This Row],[Etica Conservative Allocation]]</f>
        <v>0.72244900000000001</v>
      </c>
      <c r="AE261">
        <f>TBL_TEV[[#This Row],[Etica Dynamic Allocation]]</f>
        <v>2.0825770000000001</v>
      </c>
      <c r="AF261">
        <f>TBL_TEV[[#This Row],[Etica Global Equity]]</f>
        <v>2.9572620000000001</v>
      </c>
      <c r="AL261">
        <f ca="1"/>
        <v>1.5699890000000001</v>
      </c>
      <c r="AM261">
        <f ca="1"/>
        <v>0.238594</v>
      </c>
      <c r="AN261">
        <f ca="1"/>
        <v>0.67276199999999997</v>
      </c>
      <c r="AO261">
        <f ca="1"/>
        <v>2.4889640000000002</v>
      </c>
      <c r="AP261">
        <f ca="1"/>
        <v>3.5373169999999998</v>
      </c>
      <c r="AQ261">
        <f ca="1"/>
        <v>2.4199099999999998</v>
      </c>
      <c r="AR261">
        <f ca="1"/>
        <v>7.2006429161174053</v>
      </c>
      <c r="AS261">
        <f ca="1"/>
        <v>0.72244900000000001</v>
      </c>
      <c r="AT261">
        <f ca="1"/>
        <v>2.0825770000000001</v>
      </c>
      <c r="AU261">
        <f ca="1"/>
        <v>2.9572620000000001</v>
      </c>
    </row>
    <row r="262" spans="1:47">
      <c r="A262" s="43">
        <f>TBL_TEV[[#This Row],[Data2]]</f>
        <v>45663</v>
      </c>
      <c r="B262" cm="1">
        <f t="array" ref="B262">_xlfn.XLOOKUP(_xlfn.ANCHORARRAY(A262), TBL_Limiti_CDA[Data], TBL_Limiti_CDA[Etica Rendita Bilanciata], , -1)</f>
        <v>1.75</v>
      </c>
      <c r="C262" cm="1">
        <f t="array" ref="C262">_xlfn.XLOOKUP(_xlfn.ANCHORARRAY(A262), TBL_Limiti_CDA[Data], TBL_Limiti_CDA[Etica Obbligazionario Breve Termine], , -1)</f>
        <v>0.5</v>
      </c>
      <c r="D262" cm="1">
        <f t="array" ref="D262">_xlfn.XLOOKUP(_xlfn.ANCHORARRAY(A262), TBL_Limiti_CDA[Data], TBL_Limiti_CDA[Etica Obbligazionario Misto], , -1)</f>
        <v>1</v>
      </c>
      <c r="E262" cm="1">
        <f t="array" ref="E262">_xlfn.XLOOKUP(_xlfn.ANCHORARRAY(A262), TBL_Limiti_CDA[Data], TBL_Limiti_CDA[Etica Bilanciato], , -1)</f>
        <v>3</v>
      </c>
      <c r="F262" cm="1">
        <f t="array" ref="F262">_xlfn.XLOOKUP(_xlfn.ANCHORARRAY(A262), TBL_Limiti_CDA[Data], TBL_Limiti_CDA[Etica Azionario], , -1)</f>
        <v>3.5</v>
      </c>
      <c r="G262" cm="1">
        <f t="array" ref="G262">_xlfn.XLOOKUP(_xlfn.ANCHORARRAY(A262), TBL_Limiti_CDA[Data], TBL_Limiti_CDA[Etica Transizione Climatica], , -1)</f>
        <v>2.75</v>
      </c>
      <c r="H262" cm="1">
        <f t="array" ref="H262">_xlfn.XLOOKUP(_xlfn.ANCHORARRAY(A262), TBL_Limiti_CDA[Data], TBL_Limiti_CDA[Etica Obiettivo Sociale], , -1)</f>
        <v>9.99</v>
      </c>
      <c r="I262" cm="1">
        <f t="array" ref="I262">_xlfn.XLOOKUP(_xlfn.ANCHORARRAY(A262), TBL_Limiti_CDA[Data], TBL_Limiti_CDA[Etica Conservative Allocation], , -1)</f>
        <v>1</v>
      </c>
      <c r="J262" cm="1">
        <f t="array" ref="J262">_xlfn.XLOOKUP(_xlfn.ANCHORARRAY(A262), TBL_Limiti_CDA[Data], TBL_Limiti_CDA[Etica Dynamic Allocation], , -1)</f>
        <v>3</v>
      </c>
      <c r="K262" cm="1">
        <f t="array" ref="K262">_xlfn.XLOOKUP(_xlfn.ANCHORARRAY(A262), TBL_Limiti_CDA[Data], TBL_Limiti_CDA[Etica Global Equity], , -1)</f>
        <v>3.5</v>
      </c>
      <c r="L262" cm="1">
        <f t="array" ref="L262">_xlfn.ANCHORARRAY(B262)+0.15</f>
        <v>1.9</v>
      </c>
      <c r="M262" cm="1">
        <f t="array" ref="M262">_xlfn.ANCHORARRAY(C262)+0.1</f>
        <v>0.6</v>
      </c>
      <c r="N262" cm="1">
        <f t="array" ref="N262">_xlfn.ANCHORARRAY(D262)+0.15</f>
        <v>1.1499999999999999</v>
      </c>
      <c r="O262" cm="1">
        <f t="array" ref="O262">_xlfn.ANCHORARRAY(E262)+0.15</f>
        <v>3.15</v>
      </c>
      <c r="P262" cm="1">
        <f t="array" ref="P262">_xlfn.ANCHORARRAY(F262)+0.15</f>
        <v>3.65</v>
      </c>
      <c r="Q262" cm="1">
        <f t="array" ref="Q262">_xlfn.ANCHORARRAY(G262)+0.15</f>
        <v>2.9</v>
      </c>
      <c r="R262" cm="1">
        <f t="array" ref="R262">_xlfn.ANCHORARRAY(H262)</f>
        <v>9.99</v>
      </c>
      <c r="S262" cm="1">
        <f t="array" ref="S262">_xlfn.ANCHORARRAY(R262)+0.15</f>
        <v>10.14</v>
      </c>
      <c r="T262" cm="1">
        <f t="array" ref="T262">_xlfn.ANCHORARRAY(I262)+0.15</f>
        <v>1.1499999999999999</v>
      </c>
      <c r="U262" cm="1">
        <f t="array" ref="U262">_xlfn.ANCHORARRAY(J262)+0.15</f>
        <v>3.15</v>
      </c>
      <c r="V262" cm="1">
        <f t="array" ref="V262">_xlfn.ANCHORARRAY(K262)+0.15</f>
        <v>3.65</v>
      </c>
      <c r="W262">
        <f>TBL_TEV[[#This Row],[Etica Rendita Bilanciata]]</f>
        <v>1.5699890000000001</v>
      </c>
      <c r="X262">
        <f>TBL_TEV[[#This Row],[Etica Obbligazionario Breve Termine]]</f>
        <v>0.238594</v>
      </c>
      <c r="Y262">
        <f>TBL_TEV[[#This Row],[Etica Obbligazionario Misto]]</f>
        <v>0.67276199999999997</v>
      </c>
      <c r="Z262">
        <f>TBL_TEV[[#This Row],[Etica Bilanciato]]</f>
        <v>2.4889640000000002</v>
      </c>
      <c r="AA262">
        <f>TBL_TEV[[#This Row],[Etica Azionario]]</f>
        <v>3.5373169999999998</v>
      </c>
      <c r="AB262">
        <f>TBL_TEV[[#This Row],[Etica Transizione Climatica]]</f>
        <v>2.4199099999999998</v>
      </c>
      <c r="AC262">
        <f>TBL_TEV[[#This Row],[Etica Obiettivo Sociale]]</f>
        <v>7.2006429161174053</v>
      </c>
      <c r="AD262">
        <f>TBL_TEV[[#This Row],[Etica Conservative Allocation]]</f>
        <v>0.72244900000000001</v>
      </c>
      <c r="AE262">
        <f>TBL_TEV[[#This Row],[Etica Dynamic Allocation]]</f>
        <v>2.0825770000000001</v>
      </c>
      <c r="AF262">
        <f>TBL_TEV[[#This Row],[Etica Global Equity]]</f>
        <v>2.9572620000000001</v>
      </c>
      <c r="AL262">
        <f ca="1"/>
        <v>1.5590349999999999</v>
      </c>
      <c r="AM262">
        <f ca="1"/>
        <v>0.23732400000000001</v>
      </c>
      <c r="AN262">
        <f ca="1"/>
        <v>0.66657100000000002</v>
      </c>
      <c r="AO262">
        <f ca="1"/>
        <v>2.449754</v>
      </c>
      <c r="AP262">
        <f ca="1"/>
        <v>3.5039799999999999</v>
      </c>
      <c r="AQ262">
        <f ca="1"/>
        <v>2.4472139999999998</v>
      </c>
      <c r="AR262">
        <f ca="1"/>
        <v>7.3681825711398785</v>
      </c>
      <c r="AS262">
        <f ca="1"/>
        <v>0.72244900000000001</v>
      </c>
      <c r="AT262">
        <f ca="1"/>
        <v>2.0825770000000001</v>
      </c>
      <c r="AU262">
        <f ca="1"/>
        <v>2.9572620000000001</v>
      </c>
    </row>
    <row r="263" spans="1:47">
      <c r="A263" s="43">
        <f>TBL_TEV[[#This Row],[Data2]]</f>
        <v>45664</v>
      </c>
      <c r="B263" cm="1">
        <f t="array" ref="B263">_xlfn.XLOOKUP(_xlfn.ANCHORARRAY(A263), TBL_Limiti_CDA[Data], TBL_Limiti_CDA[Etica Rendita Bilanciata], , -1)</f>
        <v>1.75</v>
      </c>
      <c r="C263" cm="1">
        <f t="array" ref="C263">_xlfn.XLOOKUP(_xlfn.ANCHORARRAY(A263), TBL_Limiti_CDA[Data], TBL_Limiti_CDA[Etica Obbligazionario Breve Termine], , -1)</f>
        <v>0.5</v>
      </c>
      <c r="D263" cm="1">
        <f t="array" ref="D263">_xlfn.XLOOKUP(_xlfn.ANCHORARRAY(A263), TBL_Limiti_CDA[Data], TBL_Limiti_CDA[Etica Obbligazionario Misto], , -1)</f>
        <v>1</v>
      </c>
      <c r="E263" cm="1">
        <f t="array" ref="E263">_xlfn.XLOOKUP(_xlfn.ANCHORARRAY(A263), TBL_Limiti_CDA[Data], TBL_Limiti_CDA[Etica Bilanciato], , -1)</f>
        <v>3</v>
      </c>
      <c r="F263" cm="1">
        <f t="array" ref="F263">_xlfn.XLOOKUP(_xlfn.ANCHORARRAY(A263), TBL_Limiti_CDA[Data], TBL_Limiti_CDA[Etica Azionario], , -1)</f>
        <v>3.5</v>
      </c>
      <c r="G263" cm="1">
        <f t="array" ref="G263">_xlfn.XLOOKUP(_xlfn.ANCHORARRAY(A263), TBL_Limiti_CDA[Data], TBL_Limiti_CDA[Etica Transizione Climatica], , -1)</f>
        <v>2.75</v>
      </c>
      <c r="H263" cm="1">
        <f t="array" ref="H263">_xlfn.XLOOKUP(_xlfn.ANCHORARRAY(A263), TBL_Limiti_CDA[Data], TBL_Limiti_CDA[Etica Obiettivo Sociale], , -1)</f>
        <v>9.99</v>
      </c>
      <c r="I263" cm="1">
        <f t="array" ref="I263">_xlfn.XLOOKUP(_xlfn.ANCHORARRAY(A263), TBL_Limiti_CDA[Data], TBL_Limiti_CDA[Etica Conservative Allocation], , -1)</f>
        <v>1</v>
      </c>
      <c r="J263" cm="1">
        <f t="array" ref="J263">_xlfn.XLOOKUP(_xlfn.ANCHORARRAY(A263), TBL_Limiti_CDA[Data], TBL_Limiti_CDA[Etica Dynamic Allocation], , -1)</f>
        <v>3</v>
      </c>
      <c r="K263" cm="1">
        <f t="array" ref="K263">_xlfn.XLOOKUP(_xlfn.ANCHORARRAY(A263), TBL_Limiti_CDA[Data], TBL_Limiti_CDA[Etica Global Equity], , -1)</f>
        <v>3.5</v>
      </c>
      <c r="L263" cm="1">
        <f t="array" ref="L263">_xlfn.ANCHORARRAY(B263)+0.15</f>
        <v>1.9</v>
      </c>
      <c r="M263" cm="1">
        <f t="array" ref="M263">_xlfn.ANCHORARRAY(C263)+0.1</f>
        <v>0.6</v>
      </c>
      <c r="N263" cm="1">
        <f t="array" ref="N263">_xlfn.ANCHORARRAY(D263)+0.15</f>
        <v>1.1499999999999999</v>
      </c>
      <c r="O263" cm="1">
        <f t="array" ref="O263">_xlfn.ANCHORARRAY(E263)+0.15</f>
        <v>3.15</v>
      </c>
      <c r="P263" cm="1">
        <f t="array" ref="P263">_xlfn.ANCHORARRAY(F263)+0.15</f>
        <v>3.65</v>
      </c>
      <c r="Q263" cm="1">
        <f t="array" ref="Q263">_xlfn.ANCHORARRAY(G263)+0.15</f>
        <v>2.9</v>
      </c>
      <c r="R263" cm="1">
        <f t="array" ref="R263">_xlfn.ANCHORARRAY(H263)</f>
        <v>9.99</v>
      </c>
      <c r="S263" cm="1">
        <f t="array" ref="S263">_xlfn.ANCHORARRAY(R263)+0.15</f>
        <v>10.14</v>
      </c>
      <c r="T263" cm="1">
        <f t="array" ref="T263">_xlfn.ANCHORARRAY(I263)+0.15</f>
        <v>1.1499999999999999</v>
      </c>
      <c r="U263" cm="1">
        <f t="array" ref="U263">_xlfn.ANCHORARRAY(J263)+0.15</f>
        <v>3.15</v>
      </c>
      <c r="V263" cm="1">
        <f t="array" ref="V263">_xlfn.ANCHORARRAY(K263)+0.15</f>
        <v>3.65</v>
      </c>
      <c r="W263">
        <f>TBL_TEV[[#This Row],[Etica Rendita Bilanciata]]</f>
        <v>1.5590349999999999</v>
      </c>
      <c r="X263">
        <f>TBL_TEV[[#This Row],[Etica Obbligazionario Breve Termine]]</f>
        <v>0.23732400000000001</v>
      </c>
      <c r="Y263">
        <f>TBL_TEV[[#This Row],[Etica Obbligazionario Misto]]</f>
        <v>0.66657100000000002</v>
      </c>
      <c r="Z263">
        <f>TBL_TEV[[#This Row],[Etica Bilanciato]]</f>
        <v>2.449754</v>
      </c>
      <c r="AA263">
        <f>TBL_TEV[[#This Row],[Etica Azionario]]</f>
        <v>3.5039799999999999</v>
      </c>
      <c r="AB263">
        <f>TBL_TEV[[#This Row],[Etica Transizione Climatica]]</f>
        <v>2.4472139999999998</v>
      </c>
      <c r="AC263">
        <f>TBL_TEV[[#This Row],[Etica Obiettivo Sociale]]</f>
        <v>7.3681825711398785</v>
      </c>
      <c r="AD263">
        <f>TBL_TEV[[#This Row],[Etica Conservative Allocation]]</f>
        <v>0.72244900000000001</v>
      </c>
      <c r="AE263">
        <f>TBL_TEV[[#This Row],[Etica Dynamic Allocation]]</f>
        <v>2.0825770000000001</v>
      </c>
      <c r="AF263">
        <f>TBL_TEV[[#This Row],[Etica Global Equity]]</f>
        <v>2.9572620000000001</v>
      </c>
      <c r="AL263">
        <f ca="1"/>
        <v>1.539669</v>
      </c>
      <c r="AM263">
        <f ca="1"/>
        <v>0.23605400000000001</v>
      </c>
      <c r="AN263">
        <f ca="1"/>
        <v>0.65799799999999997</v>
      </c>
      <c r="AO263">
        <f ca="1"/>
        <v>2.4151479999999999</v>
      </c>
      <c r="AP263">
        <f ca="1"/>
        <v>3.4749300000000001</v>
      </c>
      <c r="AQ263">
        <f ca="1"/>
        <v>2.4187989999999999</v>
      </c>
      <c r="AR263">
        <f ca="1"/>
        <v>7.3209106340204446</v>
      </c>
      <c r="AS263">
        <f ca="1"/>
        <v>0.72244900000000001</v>
      </c>
      <c r="AT263">
        <f ca="1"/>
        <v>2.0825770000000001</v>
      </c>
      <c r="AU263">
        <f ca="1"/>
        <v>2.9572620000000001</v>
      </c>
    </row>
    <row r="264" spans="1:47">
      <c r="A264" s="43">
        <f>TBL_TEV[[#This Row],[Data2]]</f>
        <v>45665</v>
      </c>
      <c r="B264" cm="1">
        <f t="array" ref="B264">_xlfn.XLOOKUP(_xlfn.ANCHORARRAY(A264), TBL_Limiti_CDA[Data], TBL_Limiti_CDA[Etica Rendita Bilanciata], , -1)</f>
        <v>1.75</v>
      </c>
      <c r="C264" cm="1">
        <f t="array" ref="C264">_xlfn.XLOOKUP(_xlfn.ANCHORARRAY(A264), TBL_Limiti_CDA[Data], TBL_Limiti_CDA[Etica Obbligazionario Breve Termine], , -1)</f>
        <v>0.5</v>
      </c>
      <c r="D264" cm="1">
        <f t="array" ref="D264">_xlfn.XLOOKUP(_xlfn.ANCHORARRAY(A264), TBL_Limiti_CDA[Data], TBL_Limiti_CDA[Etica Obbligazionario Misto], , -1)</f>
        <v>1</v>
      </c>
      <c r="E264" cm="1">
        <f t="array" ref="E264">_xlfn.XLOOKUP(_xlfn.ANCHORARRAY(A264), TBL_Limiti_CDA[Data], TBL_Limiti_CDA[Etica Bilanciato], , -1)</f>
        <v>3</v>
      </c>
      <c r="F264" cm="1">
        <f t="array" ref="F264">_xlfn.XLOOKUP(_xlfn.ANCHORARRAY(A264), TBL_Limiti_CDA[Data], TBL_Limiti_CDA[Etica Azionario], , -1)</f>
        <v>3.5</v>
      </c>
      <c r="G264" cm="1">
        <f t="array" ref="G264">_xlfn.XLOOKUP(_xlfn.ANCHORARRAY(A264), TBL_Limiti_CDA[Data], TBL_Limiti_CDA[Etica Transizione Climatica], , -1)</f>
        <v>2.75</v>
      </c>
      <c r="H264" cm="1">
        <f t="array" ref="H264">_xlfn.XLOOKUP(_xlfn.ANCHORARRAY(A264), TBL_Limiti_CDA[Data], TBL_Limiti_CDA[Etica Obiettivo Sociale], , -1)</f>
        <v>9.99</v>
      </c>
      <c r="I264" cm="1">
        <f t="array" ref="I264">_xlfn.XLOOKUP(_xlfn.ANCHORARRAY(A264), TBL_Limiti_CDA[Data], TBL_Limiti_CDA[Etica Conservative Allocation], , -1)</f>
        <v>1</v>
      </c>
      <c r="J264" cm="1">
        <f t="array" ref="J264">_xlfn.XLOOKUP(_xlfn.ANCHORARRAY(A264), TBL_Limiti_CDA[Data], TBL_Limiti_CDA[Etica Dynamic Allocation], , -1)</f>
        <v>3</v>
      </c>
      <c r="K264" cm="1">
        <f t="array" ref="K264">_xlfn.XLOOKUP(_xlfn.ANCHORARRAY(A264), TBL_Limiti_CDA[Data], TBL_Limiti_CDA[Etica Global Equity], , -1)</f>
        <v>3.5</v>
      </c>
      <c r="L264" cm="1">
        <f t="array" ref="L264">_xlfn.ANCHORARRAY(B264)+0.15</f>
        <v>1.9</v>
      </c>
      <c r="M264" cm="1">
        <f t="array" ref="M264">_xlfn.ANCHORARRAY(C264)+0.1</f>
        <v>0.6</v>
      </c>
      <c r="N264" cm="1">
        <f t="array" ref="N264">_xlfn.ANCHORARRAY(D264)+0.15</f>
        <v>1.1499999999999999</v>
      </c>
      <c r="O264" cm="1">
        <f t="array" ref="O264">_xlfn.ANCHORARRAY(E264)+0.15</f>
        <v>3.15</v>
      </c>
      <c r="P264" cm="1">
        <f t="array" ref="P264">_xlfn.ANCHORARRAY(F264)+0.15</f>
        <v>3.65</v>
      </c>
      <c r="Q264" cm="1">
        <f t="array" ref="Q264">_xlfn.ANCHORARRAY(G264)+0.15</f>
        <v>2.9</v>
      </c>
      <c r="R264" cm="1">
        <f t="array" ref="R264">_xlfn.ANCHORARRAY(H264)</f>
        <v>9.99</v>
      </c>
      <c r="S264" cm="1">
        <f t="array" ref="S264">_xlfn.ANCHORARRAY(R264)+0.15</f>
        <v>10.14</v>
      </c>
      <c r="T264" cm="1">
        <f t="array" ref="T264">_xlfn.ANCHORARRAY(I264)+0.15</f>
        <v>1.1499999999999999</v>
      </c>
      <c r="U264" cm="1">
        <f t="array" ref="U264">_xlfn.ANCHORARRAY(J264)+0.15</f>
        <v>3.15</v>
      </c>
      <c r="V264" cm="1">
        <f t="array" ref="V264">_xlfn.ANCHORARRAY(K264)+0.15</f>
        <v>3.65</v>
      </c>
      <c r="W264">
        <f>TBL_TEV[[#This Row],[Etica Rendita Bilanciata]]</f>
        <v>1.539669</v>
      </c>
      <c r="X264">
        <f>TBL_TEV[[#This Row],[Etica Obbligazionario Breve Termine]]</f>
        <v>0.23605400000000001</v>
      </c>
      <c r="Y264">
        <f>TBL_TEV[[#This Row],[Etica Obbligazionario Misto]]</f>
        <v>0.65799799999999997</v>
      </c>
      <c r="Z264">
        <f>TBL_TEV[[#This Row],[Etica Bilanciato]]</f>
        <v>2.4151479999999999</v>
      </c>
      <c r="AA264">
        <f>TBL_TEV[[#This Row],[Etica Azionario]]</f>
        <v>3.4749300000000001</v>
      </c>
      <c r="AB264">
        <f>TBL_TEV[[#This Row],[Etica Transizione Climatica]]</f>
        <v>2.4187989999999999</v>
      </c>
      <c r="AC264">
        <f>TBL_TEV[[#This Row],[Etica Obiettivo Sociale]]</f>
        <v>7.3209106340204446</v>
      </c>
      <c r="AD264">
        <f>TBL_TEV[[#This Row],[Etica Conservative Allocation]]</f>
        <v>0.72244900000000001</v>
      </c>
      <c r="AE264">
        <f>TBL_TEV[[#This Row],[Etica Dynamic Allocation]]</f>
        <v>2.0825770000000001</v>
      </c>
      <c r="AF264">
        <f>TBL_TEV[[#This Row],[Etica Global Equity]]</f>
        <v>2.9572620000000001</v>
      </c>
      <c r="AL264">
        <f ca="1"/>
        <v>1.496807</v>
      </c>
      <c r="AM264">
        <f ca="1"/>
        <v>0.23526</v>
      </c>
      <c r="AN264">
        <f ca="1"/>
        <v>0.61990000000000001</v>
      </c>
      <c r="AO264">
        <f ca="1"/>
        <v>2.3781599999999998</v>
      </c>
      <c r="AP264">
        <f ca="1"/>
        <v>3.420798</v>
      </c>
      <c r="AQ264">
        <f ca="1"/>
        <v>2.3775249999999999</v>
      </c>
      <c r="AR264">
        <f ca="1"/>
        <v>7.2457948865664195</v>
      </c>
      <c r="AS264">
        <f ca="1"/>
        <v>0.72244900000000001</v>
      </c>
      <c r="AT264">
        <f ca="1"/>
        <v>2.0825770000000001</v>
      </c>
      <c r="AU264">
        <f ca="1"/>
        <v>2.9572620000000001</v>
      </c>
    </row>
    <row r="265" spans="1:47">
      <c r="A265" s="43">
        <f>TBL_TEV[[#This Row],[Data2]]</f>
        <v>45666</v>
      </c>
      <c r="B265" cm="1">
        <f t="array" ref="B265">_xlfn.XLOOKUP(_xlfn.ANCHORARRAY(A265), TBL_Limiti_CDA[Data], TBL_Limiti_CDA[Etica Rendita Bilanciata], , -1)</f>
        <v>1.75</v>
      </c>
      <c r="C265" cm="1">
        <f t="array" ref="C265">_xlfn.XLOOKUP(_xlfn.ANCHORARRAY(A265), TBL_Limiti_CDA[Data], TBL_Limiti_CDA[Etica Obbligazionario Breve Termine], , -1)</f>
        <v>0.5</v>
      </c>
      <c r="D265" cm="1">
        <f t="array" ref="D265">_xlfn.XLOOKUP(_xlfn.ANCHORARRAY(A265), TBL_Limiti_CDA[Data], TBL_Limiti_CDA[Etica Obbligazionario Misto], , -1)</f>
        <v>1</v>
      </c>
      <c r="E265" cm="1">
        <f t="array" ref="E265">_xlfn.XLOOKUP(_xlfn.ANCHORARRAY(A265), TBL_Limiti_CDA[Data], TBL_Limiti_CDA[Etica Bilanciato], , -1)</f>
        <v>3</v>
      </c>
      <c r="F265" cm="1">
        <f t="array" ref="F265">_xlfn.XLOOKUP(_xlfn.ANCHORARRAY(A265), TBL_Limiti_CDA[Data], TBL_Limiti_CDA[Etica Azionario], , -1)</f>
        <v>3.5</v>
      </c>
      <c r="G265" cm="1">
        <f t="array" ref="G265">_xlfn.XLOOKUP(_xlfn.ANCHORARRAY(A265), TBL_Limiti_CDA[Data], TBL_Limiti_CDA[Etica Transizione Climatica], , -1)</f>
        <v>2.75</v>
      </c>
      <c r="H265" cm="1">
        <f t="array" ref="H265">_xlfn.XLOOKUP(_xlfn.ANCHORARRAY(A265), TBL_Limiti_CDA[Data], TBL_Limiti_CDA[Etica Obiettivo Sociale], , -1)</f>
        <v>9.99</v>
      </c>
      <c r="I265" cm="1">
        <f t="array" ref="I265">_xlfn.XLOOKUP(_xlfn.ANCHORARRAY(A265), TBL_Limiti_CDA[Data], TBL_Limiti_CDA[Etica Conservative Allocation], , -1)</f>
        <v>1</v>
      </c>
      <c r="J265" cm="1">
        <f t="array" ref="J265">_xlfn.XLOOKUP(_xlfn.ANCHORARRAY(A265), TBL_Limiti_CDA[Data], TBL_Limiti_CDA[Etica Dynamic Allocation], , -1)</f>
        <v>3</v>
      </c>
      <c r="K265" cm="1">
        <f t="array" ref="K265">_xlfn.XLOOKUP(_xlfn.ANCHORARRAY(A265), TBL_Limiti_CDA[Data], TBL_Limiti_CDA[Etica Global Equity], , -1)</f>
        <v>3.5</v>
      </c>
      <c r="L265" cm="1">
        <f t="array" ref="L265">_xlfn.ANCHORARRAY(B265)+0.15</f>
        <v>1.9</v>
      </c>
      <c r="M265" cm="1">
        <f t="array" ref="M265">_xlfn.ANCHORARRAY(C265)+0.1</f>
        <v>0.6</v>
      </c>
      <c r="N265" cm="1">
        <f t="array" ref="N265">_xlfn.ANCHORARRAY(D265)+0.15</f>
        <v>1.1499999999999999</v>
      </c>
      <c r="O265" cm="1">
        <f t="array" ref="O265">_xlfn.ANCHORARRAY(E265)+0.15</f>
        <v>3.15</v>
      </c>
      <c r="P265" cm="1">
        <f t="array" ref="P265">_xlfn.ANCHORARRAY(F265)+0.15</f>
        <v>3.65</v>
      </c>
      <c r="Q265" cm="1">
        <f t="array" ref="Q265">_xlfn.ANCHORARRAY(G265)+0.15</f>
        <v>2.9</v>
      </c>
      <c r="R265" cm="1">
        <f t="array" ref="R265">_xlfn.ANCHORARRAY(H265)</f>
        <v>9.99</v>
      </c>
      <c r="S265" cm="1">
        <f t="array" ref="S265">_xlfn.ANCHORARRAY(R265)+0.15</f>
        <v>10.14</v>
      </c>
      <c r="T265" cm="1">
        <f t="array" ref="T265">_xlfn.ANCHORARRAY(I265)+0.15</f>
        <v>1.1499999999999999</v>
      </c>
      <c r="U265" cm="1">
        <f t="array" ref="U265">_xlfn.ANCHORARRAY(J265)+0.15</f>
        <v>3.15</v>
      </c>
      <c r="V265" cm="1">
        <f t="array" ref="V265">_xlfn.ANCHORARRAY(K265)+0.15</f>
        <v>3.65</v>
      </c>
      <c r="W265">
        <f>TBL_TEV[[#This Row],[Etica Rendita Bilanciata]]</f>
        <v>1.496807</v>
      </c>
      <c r="X265">
        <f>TBL_TEV[[#This Row],[Etica Obbligazionario Breve Termine]]</f>
        <v>0.23526</v>
      </c>
      <c r="Y265">
        <f>TBL_TEV[[#This Row],[Etica Obbligazionario Misto]]</f>
        <v>0.61990000000000001</v>
      </c>
      <c r="Z265">
        <f>TBL_TEV[[#This Row],[Etica Bilanciato]]</f>
        <v>2.3781599999999998</v>
      </c>
      <c r="AA265">
        <f>TBL_TEV[[#This Row],[Etica Azionario]]</f>
        <v>3.420798</v>
      </c>
      <c r="AB265">
        <f>TBL_TEV[[#This Row],[Etica Transizione Climatica]]</f>
        <v>2.3775249999999999</v>
      </c>
      <c r="AC265">
        <f>TBL_TEV[[#This Row],[Etica Obiettivo Sociale]]</f>
        <v>7.2457948865664195</v>
      </c>
      <c r="AD265">
        <f>TBL_TEV[[#This Row],[Etica Conservative Allocation]]</f>
        <v>0.72244900000000001</v>
      </c>
      <c r="AE265">
        <f>TBL_TEV[[#This Row],[Etica Dynamic Allocation]]</f>
        <v>2.0825770000000001</v>
      </c>
      <c r="AF265">
        <f>TBL_TEV[[#This Row],[Etica Global Equity]]</f>
        <v>2.9572620000000001</v>
      </c>
      <c r="AL265">
        <f ca="1"/>
        <v>1.49522</v>
      </c>
      <c r="AM265">
        <f ca="1"/>
        <v>0.23446600000000001</v>
      </c>
      <c r="AN265">
        <f ca="1"/>
        <v>0.62751900000000005</v>
      </c>
      <c r="AO265">
        <f ca="1"/>
        <v>2.3662540000000001</v>
      </c>
      <c r="AP265">
        <f ca="1"/>
        <v>3.4103210000000002</v>
      </c>
      <c r="AQ265">
        <f ca="1"/>
        <v>2.371969</v>
      </c>
      <c r="AR265">
        <f ca="1"/>
        <v>7.1877611125549157</v>
      </c>
      <c r="AS265">
        <f ca="1"/>
        <v>0.72244900000000001</v>
      </c>
      <c r="AT265">
        <f ca="1"/>
        <v>2.0825770000000001</v>
      </c>
      <c r="AU265">
        <f ca="1"/>
        <v>2.9572620000000001</v>
      </c>
    </row>
    <row r="266" spans="1:47">
      <c r="A266" s="43">
        <f>TBL_TEV[[#This Row],[Data2]]</f>
        <v>45667</v>
      </c>
      <c r="B266" cm="1">
        <f t="array" ref="B266">_xlfn.XLOOKUP(_xlfn.ANCHORARRAY(A266), TBL_Limiti_CDA[Data], TBL_Limiti_CDA[Etica Rendita Bilanciata], , -1)</f>
        <v>1.75</v>
      </c>
      <c r="C266" cm="1">
        <f t="array" ref="C266">_xlfn.XLOOKUP(_xlfn.ANCHORARRAY(A266), TBL_Limiti_CDA[Data], TBL_Limiti_CDA[Etica Obbligazionario Breve Termine], , -1)</f>
        <v>0.5</v>
      </c>
      <c r="D266" cm="1">
        <f t="array" ref="D266">_xlfn.XLOOKUP(_xlfn.ANCHORARRAY(A266), TBL_Limiti_CDA[Data], TBL_Limiti_CDA[Etica Obbligazionario Misto], , -1)</f>
        <v>1</v>
      </c>
      <c r="E266" cm="1">
        <f t="array" ref="E266">_xlfn.XLOOKUP(_xlfn.ANCHORARRAY(A266), TBL_Limiti_CDA[Data], TBL_Limiti_CDA[Etica Bilanciato], , -1)</f>
        <v>3</v>
      </c>
      <c r="F266" cm="1">
        <f t="array" ref="F266">_xlfn.XLOOKUP(_xlfn.ANCHORARRAY(A266), TBL_Limiti_CDA[Data], TBL_Limiti_CDA[Etica Azionario], , -1)</f>
        <v>3.5</v>
      </c>
      <c r="G266" cm="1">
        <f t="array" ref="G266">_xlfn.XLOOKUP(_xlfn.ANCHORARRAY(A266), TBL_Limiti_CDA[Data], TBL_Limiti_CDA[Etica Transizione Climatica], , -1)</f>
        <v>2.75</v>
      </c>
      <c r="H266" cm="1">
        <f t="array" ref="H266">_xlfn.XLOOKUP(_xlfn.ANCHORARRAY(A266), TBL_Limiti_CDA[Data], TBL_Limiti_CDA[Etica Obiettivo Sociale], , -1)</f>
        <v>9.99</v>
      </c>
      <c r="I266" cm="1">
        <f t="array" ref="I266">_xlfn.XLOOKUP(_xlfn.ANCHORARRAY(A266), TBL_Limiti_CDA[Data], TBL_Limiti_CDA[Etica Conservative Allocation], , -1)</f>
        <v>1</v>
      </c>
      <c r="J266" cm="1">
        <f t="array" ref="J266">_xlfn.XLOOKUP(_xlfn.ANCHORARRAY(A266), TBL_Limiti_CDA[Data], TBL_Limiti_CDA[Etica Dynamic Allocation], , -1)</f>
        <v>3</v>
      </c>
      <c r="K266" cm="1">
        <f t="array" ref="K266">_xlfn.XLOOKUP(_xlfn.ANCHORARRAY(A266), TBL_Limiti_CDA[Data], TBL_Limiti_CDA[Etica Global Equity], , -1)</f>
        <v>3.5</v>
      </c>
      <c r="L266" cm="1">
        <f t="array" ref="L266">_xlfn.ANCHORARRAY(B266)+0.15</f>
        <v>1.9</v>
      </c>
      <c r="M266" cm="1">
        <f t="array" ref="M266">_xlfn.ANCHORARRAY(C266)+0.1</f>
        <v>0.6</v>
      </c>
      <c r="N266" cm="1">
        <f t="array" ref="N266">_xlfn.ANCHORARRAY(D266)+0.15</f>
        <v>1.1499999999999999</v>
      </c>
      <c r="O266" cm="1">
        <f t="array" ref="O266">_xlfn.ANCHORARRAY(E266)+0.15</f>
        <v>3.15</v>
      </c>
      <c r="P266" cm="1">
        <f t="array" ref="P266">_xlfn.ANCHORARRAY(F266)+0.15</f>
        <v>3.65</v>
      </c>
      <c r="Q266" cm="1">
        <f t="array" ref="Q266">_xlfn.ANCHORARRAY(G266)+0.15</f>
        <v>2.9</v>
      </c>
      <c r="R266" cm="1">
        <f t="array" ref="R266">_xlfn.ANCHORARRAY(H266)</f>
        <v>9.99</v>
      </c>
      <c r="S266" cm="1">
        <f t="array" ref="S266">_xlfn.ANCHORARRAY(R266)+0.15</f>
        <v>10.14</v>
      </c>
      <c r="T266" cm="1">
        <f t="array" ref="T266">_xlfn.ANCHORARRAY(I266)+0.15</f>
        <v>1.1499999999999999</v>
      </c>
      <c r="U266" cm="1">
        <f t="array" ref="U266">_xlfn.ANCHORARRAY(J266)+0.15</f>
        <v>3.15</v>
      </c>
      <c r="V266" cm="1">
        <f t="array" ref="V266">_xlfn.ANCHORARRAY(K266)+0.15</f>
        <v>3.65</v>
      </c>
      <c r="W266">
        <f>TBL_TEV[[#This Row],[Etica Rendita Bilanciata]]</f>
        <v>1.49522</v>
      </c>
      <c r="X266">
        <f>TBL_TEV[[#This Row],[Etica Obbligazionario Breve Termine]]</f>
        <v>0.23446600000000001</v>
      </c>
      <c r="Y266">
        <f>TBL_TEV[[#This Row],[Etica Obbligazionario Misto]]</f>
        <v>0.62751900000000005</v>
      </c>
      <c r="Z266">
        <f>TBL_TEV[[#This Row],[Etica Bilanciato]]</f>
        <v>2.3662540000000001</v>
      </c>
      <c r="AA266">
        <f>TBL_TEV[[#This Row],[Etica Azionario]]</f>
        <v>3.4103210000000002</v>
      </c>
      <c r="AB266">
        <f>TBL_TEV[[#This Row],[Etica Transizione Climatica]]</f>
        <v>2.371969</v>
      </c>
      <c r="AC266">
        <f>TBL_TEV[[#This Row],[Etica Obiettivo Sociale]]</f>
        <v>7.1877611125549157</v>
      </c>
      <c r="AD266">
        <f>TBL_TEV[[#This Row],[Etica Conservative Allocation]]</f>
        <v>0.72244900000000001</v>
      </c>
      <c r="AE266">
        <f>TBL_TEV[[#This Row],[Etica Dynamic Allocation]]</f>
        <v>2.0825770000000001</v>
      </c>
      <c r="AF266">
        <f>TBL_TEV[[#This Row],[Etica Global Equity]]</f>
        <v>2.9572620000000001</v>
      </c>
      <c r="AL266">
        <f ca="1"/>
        <v>1.488394</v>
      </c>
      <c r="AM266">
        <f ca="1"/>
        <v>0.23383200000000001</v>
      </c>
      <c r="AN266">
        <f ca="1"/>
        <v>0.62640799999999996</v>
      </c>
      <c r="AO266">
        <f ca="1"/>
        <v>2.35419</v>
      </c>
      <c r="AP266">
        <f ca="1"/>
        <v>3.3915890000000002</v>
      </c>
      <c r="AQ266">
        <f ca="1"/>
        <v>2.3700640000000002</v>
      </c>
      <c r="AR266">
        <f ca="1"/>
        <v>7.0612032657579196</v>
      </c>
      <c r="AS266">
        <f ca="1"/>
        <v>0.72244900000000001</v>
      </c>
      <c r="AT266">
        <f ca="1"/>
        <v>2.0825770000000001</v>
      </c>
      <c r="AU266">
        <f ca="1"/>
        <v>2.9572620000000001</v>
      </c>
    </row>
    <row r="267" spans="1:47">
      <c r="A267" s="43">
        <f>TBL_TEV[[#This Row],[Data2]]</f>
        <v>45670</v>
      </c>
      <c r="B267" cm="1">
        <f t="array" ref="B267">_xlfn.XLOOKUP(_xlfn.ANCHORARRAY(A267), TBL_Limiti_CDA[Data], TBL_Limiti_CDA[Etica Rendita Bilanciata], , -1)</f>
        <v>1.75</v>
      </c>
      <c r="C267" cm="1">
        <f t="array" ref="C267">_xlfn.XLOOKUP(_xlfn.ANCHORARRAY(A267), TBL_Limiti_CDA[Data], TBL_Limiti_CDA[Etica Obbligazionario Breve Termine], , -1)</f>
        <v>0.5</v>
      </c>
      <c r="D267" cm="1">
        <f t="array" ref="D267">_xlfn.XLOOKUP(_xlfn.ANCHORARRAY(A267), TBL_Limiti_CDA[Data], TBL_Limiti_CDA[Etica Obbligazionario Misto], , -1)</f>
        <v>1</v>
      </c>
      <c r="E267" cm="1">
        <f t="array" ref="E267">_xlfn.XLOOKUP(_xlfn.ANCHORARRAY(A267), TBL_Limiti_CDA[Data], TBL_Limiti_CDA[Etica Bilanciato], , -1)</f>
        <v>3</v>
      </c>
      <c r="F267" cm="1">
        <f t="array" ref="F267">_xlfn.XLOOKUP(_xlfn.ANCHORARRAY(A267), TBL_Limiti_CDA[Data], TBL_Limiti_CDA[Etica Azionario], , -1)</f>
        <v>3.5</v>
      </c>
      <c r="G267" cm="1">
        <f t="array" ref="G267">_xlfn.XLOOKUP(_xlfn.ANCHORARRAY(A267), TBL_Limiti_CDA[Data], TBL_Limiti_CDA[Etica Transizione Climatica], , -1)</f>
        <v>2.75</v>
      </c>
      <c r="H267" cm="1">
        <f t="array" ref="H267">_xlfn.XLOOKUP(_xlfn.ANCHORARRAY(A267), TBL_Limiti_CDA[Data], TBL_Limiti_CDA[Etica Obiettivo Sociale], , -1)</f>
        <v>9.99</v>
      </c>
      <c r="I267" cm="1">
        <f t="array" ref="I267">_xlfn.XLOOKUP(_xlfn.ANCHORARRAY(A267), TBL_Limiti_CDA[Data], TBL_Limiti_CDA[Etica Conservative Allocation], , -1)</f>
        <v>1</v>
      </c>
      <c r="J267" cm="1">
        <f t="array" ref="J267">_xlfn.XLOOKUP(_xlfn.ANCHORARRAY(A267), TBL_Limiti_CDA[Data], TBL_Limiti_CDA[Etica Dynamic Allocation], , -1)</f>
        <v>3</v>
      </c>
      <c r="K267" cm="1">
        <f t="array" ref="K267">_xlfn.XLOOKUP(_xlfn.ANCHORARRAY(A267), TBL_Limiti_CDA[Data], TBL_Limiti_CDA[Etica Global Equity], , -1)</f>
        <v>3.5</v>
      </c>
      <c r="L267" cm="1">
        <f t="array" ref="L267">_xlfn.ANCHORARRAY(B267)+0.15</f>
        <v>1.9</v>
      </c>
      <c r="M267" cm="1">
        <f t="array" ref="M267">_xlfn.ANCHORARRAY(C267)+0.1</f>
        <v>0.6</v>
      </c>
      <c r="N267" cm="1">
        <f t="array" ref="N267">_xlfn.ANCHORARRAY(D267)+0.15</f>
        <v>1.1499999999999999</v>
      </c>
      <c r="O267" cm="1">
        <f t="array" ref="O267">_xlfn.ANCHORARRAY(E267)+0.15</f>
        <v>3.15</v>
      </c>
      <c r="P267" cm="1">
        <f t="array" ref="P267">_xlfn.ANCHORARRAY(F267)+0.15</f>
        <v>3.65</v>
      </c>
      <c r="Q267" cm="1">
        <f t="array" ref="Q267">_xlfn.ANCHORARRAY(G267)+0.15</f>
        <v>2.9</v>
      </c>
      <c r="R267" cm="1">
        <f t="array" ref="R267">_xlfn.ANCHORARRAY(H267)</f>
        <v>9.99</v>
      </c>
      <c r="S267" cm="1">
        <f t="array" ref="S267">_xlfn.ANCHORARRAY(R267)+0.15</f>
        <v>10.14</v>
      </c>
      <c r="T267" cm="1">
        <f t="array" ref="T267">_xlfn.ANCHORARRAY(I267)+0.15</f>
        <v>1.1499999999999999</v>
      </c>
      <c r="U267" cm="1">
        <f t="array" ref="U267">_xlfn.ANCHORARRAY(J267)+0.15</f>
        <v>3.15</v>
      </c>
      <c r="V267" cm="1">
        <f t="array" ref="V267">_xlfn.ANCHORARRAY(K267)+0.15</f>
        <v>3.65</v>
      </c>
      <c r="W267">
        <f>TBL_TEV[[#This Row],[Etica Rendita Bilanciata]]</f>
        <v>1.488394</v>
      </c>
      <c r="X267">
        <f>TBL_TEV[[#This Row],[Etica Obbligazionario Breve Termine]]</f>
        <v>0.23383200000000001</v>
      </c>
      <c r="Y267">
        <f>TBL_TEV[[#This Row],[Etica Obbligazionario Misto]]</f>
        <v>0.62640799999999996</v>
      </c>
      <c r="Z267">
        <f>TBL_TEV[[#This Row],[Etica Bilanciato]]</f>
        <v>2.35419</v>
      </c>
      <c r="AA267">
        <f>TBL_TEV[[#This Row],[Etica Azionario]]</f>
        <v>3.3915890000000002</v>
      </c>
      <c r="AB267">
        <f>TBL_TEV[[#This Row],[Etica Transizione Climatica]]</f>
        <v>2.3700640000000002</v>
      </c>
      <c r="AC267">
        <f>TBL_TEV[[#This Row],[Etica Obiettivo Sociale]]</f>
        <v>7.0612032657579196</v>
      </c>
      <c r="AD267">
        <f>TBL_TEV[[#This Row],[Etica Conservative Allocation]]</f>
        <v>0.72244900000000001</v>
      </c>
      <c r="AE267">
        <f>TBL_TEV[[#This Row],[Etica Dynamic Allocation]]</f>
        <v>2.0825770000000001</v>
      </c>
      <c r="AF267">
        <f>TBL_TEV[[#This Row],[Etica Global Equity]]</f>
        <v>2.9572620000000001</v>
      </c>
      <c r="AL267">
        <f ca="1"/>
        <v>1.471249</v>
      </c>
      <c r="AM267">
        <f ca="1"/>
        <v>0.23224400000000001</v>
      </c>
      <c r="AN267">
        <f ca="1"/>
        <v>0.61958199999999997</v>
      </c>
      <c r="AO267">
        <f ca="1"/>
        <v>2.3291080000000002</v>
      </c>
      <c r="AP267">
        <f ca="1"/>
        <v>3.3623799999999999</v>
      </c>
      <c r="AQ267">
        <f ca="1"/>
        <v>2.3381560000000001</v>
      </c>
      <c r="AR267">
        <f ca="1"/>
        <v>7.0789773603606241</v>
      </c>
      <c r="AS267">
        <f ca="1"/>
        <v>0.72244900000000001</v>
      </c>
      <c r="AT267">
        <f ca="1"/>
        <v>2.0825770000000001</v>
      </c>
      <c r="AU267">
        <f ca="1"/>
        <v>2.9572620000000001</v>
      </c>
    </row>
    <row r="268" spans="1:47">
      <c r="A268" s="43">
        <f>TBL_TEV[[#This Row],[Data2]]</f>
        <v>45671</v>
      </c>
      <c r="B268" cm="1">
        <f t="array" ref="B268">_xlfn.XLOOKUP(_xlfn.ANCHORARRAY(A268), TBL_Limiti_CDA[Data], TBL_Limiti_CDA[Etica Rendita Bilanciata], , -1)</f>
        <v>1.75</v>
      </c>
      <c r="C268" cm="1">
        <f t="array" ref="C268">_xlfn.XLOOKUP(_xlfn.ANCHORARRAY(A268), TBL_Limiti_CDA[Data], TBL_Limiti_CDA[Etica Obbligazionario Breve Termine], , -1)</f>
        <v>0.5</v>
      </c>
      <c r="D268" cm="1">
        <f t="array" ref="D268">_xlfn.XLOOKUP(_xlfn.ANCHORARRAY(A268), TBL_Limiti_CDA[Data], TBL_Limiti_CDA[Etica Obbligazionario Misto], , -1)</f>
        <v>1</v>
      </c>
      <c r="E268" cm="1">
        <f t="array" ref="E268">_xlfn.XLOOKUP(_xlfn.ANCHORARRAY(A268), TBL_Limiti_CDA[Data], TBL_Limiti_CDA[Etica Bilanciato], , -1)</f>
        <v>3</v>
      </c>
      <c r="F268" cm="1">
        <f t="array" ref="F268">_xlfn.XLOOKUP(_xlfn.ANCHORARRAY(A268), TBL_Limiti_CDA[Data], TBL_Limiti_CDA[Etica Azionario], , -1)</f>
        <v>3.5</v>
      </c>
      <c r="G268" cm="1">
        <f t="array" ref="G268">_xlfn.XLOOKUP(_xlfn.ANCHORARRAY(A268), TBL_Limiti_CDA[Data], TBL_Limiti_CDA[Etica Transizione Climatica], , -1)</f>
        <v>2.75</v>
      </c>
      <c r="H268" cm="1">
        <f t="array" ref="H268">_xlfn.XLOOKUP(_xlfn.ANCHORARRAY(A268), TBL_Limiti_CDA[Data], TBL_Limiti_CDA[Etica Obiettivo Sociale], , -1)</f>
        <v>9.99</v>
      </c>
      <c r="I268" cm="1">
        <f t="array" ref="I268">_xlfn.XLOOKUP(_xlfn.ANCHORARRAY(A268), TBL_Limiti_CDA[Data], TBL_Limiti_CDA[Etica Conservative Allocation], , -1)</f>
        <v>1</v>
      </c>
      <c r="J268" cm="1">
        <f t="array" ref="J268">_xlfn.XLOOKUP(_xlfn.ANCHORARRAY(A268), TBL_Limiti_CDA[Data], TBL_Limiti_CDA[Etica Dynamic Allocation], , -1)</f>
        <v>3</v>
      </c>
      <c r="K268" cm="1">
        <f t="array" ref="K268">_xlfn.XLOOKUP(_xlfn.ANCHORARRAY(A268), TBL_Limiti_CDA[Data], TBL_Limiti_CDA[Etica Global Equity], , -1)</f>
        <v>3.5</v>
      </c>
      <c r="L268" cm="1">
        <f t="array" ref="L268">_xlfn.ANCHORARRAY(B268)+0.15</f>
        <v>1.9</v>
      </c>
      <c r="M268" cm="1">
        <f t="array" ref="M268">_xlfn.ANCHORARRAY(C268)+0.1</f>
        <v>0.6</v>
      </c>
      <c r="N268" cm="1">
        <f t="array" ref="N268">_xlfn.ANCHORARRAY(D268)+0.15</f>
        <v>1.1499999999999999</v>
      </c>
      <c r="O268" cm="1">
        <f t="array" ref="O268">_xlfn.ANCHORARRAY(E268)+0.15</f>
        <v>3.15</v>
      </c>
      <c r="P268" cm="1">
        <f t="array" ref="P268">_xlfn.ANCHORARRAY(F268)+0.15</f>
        <v>3.65</v>
      </c>
      <c r="Q268" cm="1">
        <f t="array" ref="Q268">_xlfn.ANCHORARRAY(G268)+0.15</f>
        <v>2.9</v>
      </c>
      <c r="R268" cm="1">
        <f t="array" ref="R268">_xlfn.ANCHORARRAY(H268)</f>
        <v>9.99</v>
      </c>
      <c r="S268" cm="1">
        <f t="array" ref="S268">_xlfn.ANCHORARRAY(R268)+0.15</f>
        <v>10.14</v>
      </c>
      <c r="T268" cm="1">
        <f t="array" ref="T268">_xlfn.ANCHORARRAY(I268)+0.15</f>
        <v>1.1499999999999999</v>
      </c>
      <c r="U268" cm="1">
        <f t="array" ref="U268">_xlfn.ANCHORARRAY(J268)+0.15</f>
        <v>3.15</v>
      </c>
      <c r="V268" cm="1">
        <f t="array" ref="V268">_xlfn.ANCHORARRAY(K268)+0.15</f>
        <v>3.65</v>
      </c>
      <c r="W268">
        <f>TBL_TEV[[#This Row],[Etica Rendita Bilanciata]]</f>
        <v>1.471249</v>
      </c>
      <c r="X268">
        <f>TBL_TEV[[#This Row],[Etica Obbligazionario Breve Termine]]</f>
        <v>0.23224400000000001</v>
      </c>
      <c r="Y268">
        <f>TBL_TEV[[#This Row],[Etica Obbligazionario Misto]]</f>
        <v>0.61958199999999997</v>
      </c>
      <c r="Z268">
        <f>TBL_TEV[[#This Row],[Etica Bilanciato]]</f>
        <v>2.3291080000000002</v>
      </c>
      <c r="AA268">
        <f>TBL_TEV[[#This Row],[Etica Azionario]]</f>
        <v>3.3623799999999999</v>
      </c>
      <c r="AB268">
        <f>TBL_TEV[[#This Row],[Etica Transizione Climatica]]</f>
        <v>2.3381560000000001</v>
      </c>
      <c r="AC268">
        <f>TBL_TEV[[#This Row],[Etica Obiettivo Sociale]]</f>
        <v>7.0789773603606241</v>
      </c>
      <c r="AD268">
        <f>TBL_TEV[[#This Row],[Etica Conservative Allocation]]</f>
        <v>0.72244900000000001</v>
      </c>
      <c r="AE268">
        <f>TBL_TEV[[#This Row],[Etica Dynamic Allocation]]</f>
        <v>2.0825770000000001</v>
      </c>
      <c r="AF268">
        <f>TBL_TEV[[#This Row],[Etica Global Equity]]</f>
        <v>2.9572620000000001</v>
      </c>
      <c r="AL268">
        <f ca="1"/>
        <v>1.488553</v>
      </c>
      <c r="AM268">
        <f ca="1"/>
        <v>0.26113599999999998</v>
      </c>
      <c r="AN268">
        <f ca="1"/>
        <v>0.62291600000000003</v>
      </c>
      <c r="AO268">
        <f ca="1"/>
        <v>2.359111</v>
      </c>
      <c r="AP268">
        <f ca="1"/>
        <v>3.4077809999999999</v>
      </c>
      <c r="AQ268">
        <f ca="1"/>
        <v>2.372128</v>
      </c>
      <c r="AR268">
        <f ca="1"/>
        <v>7.0087273820366391</v>
      </c>
      <c r="AS268">
        <f ca="1"/>
        <v>0.61958199999999997</v>
      </c>
      <c r="AT268">
        <f ca="1"/>
        <v>2.3013270000000001</v>
      </c>
      <c r="AU268">
        <f ca="1"/>
        <v>3.3357100000000002</v>
      </c>
    </row>
    <row r="269" spans="1:47">
      <c r="A269" s="43">
        <f>TBL_TEV[[#This Row],[Data2]]</f>
        <v>45672</v>
      </c>
      <c r="B269" cm="1">
        <f t="array" ref="B269">_xlfn.XLOOKUP(_xlfn.ANCHORARRAY(A269), TBL_Limiti_CDA[Data], TBL_Limiti_CDA[Etica Rendita Bilanciata], , -1)</f>
        <v>1.75</v>
      </c>
      <c r="C269" cm="1">
        <f t="array" ref="C269">_xlfn.XLOOKUP(_xlfn.ANCHORARRAY(A269), TBL_Limiti_CDA[Data], TBL_Limiti_CDA[Etica Obbligazionario Breve Termine], , -1)</f>
        <v>0.5</v>
      </c>
      <c r="D269" cm="1">
        <f t="array" ref="D269">_xlfn.XLOOKUP(_xlfn.ANCHORARRAY(A269), TBL_Limiti_CDA[Data], TBL_Limiti_CDA[Etica Obbligazionario Misto], , -1)</f>
        <v>1</v>
      </c>
      <c r="E269" cm="1">
        <f t="array" ref="E269">_xlfn.XLOOKUP(_xlfn.ANCHORARRAY(A269), TBL_Limiti_CDA[Data], TBL_Limiti_CDA[Etica Bilanciato], , -1)</f>
        <v>3</v>
      </c>
      <c r="F269" cm="1">
        <f t="array" ref="F269">_xlfn.XLOOKUP(_xlfn.ANCHORARRAY(A269), TBL_Limiti_CDA[Data], TBL_Limiti_CDA[Etica Azionario], , -1)</f>
        <v>3.5</v>
      </c>
      <c r="G269" cm="1">
        <f t="array" ref="G269">_xlfn.XLOOKUP(_xlfn.ANCHORARRAY(A269), TBL_Limiti_CDA[Data], TBL_Limiti_CDA[Etica Transizione Climatica], , -1)</f>
        <v>2.75</v>
      </c>
      <c r="H269" cm="1">
        <f t="array" ref="H269">_xlfn.XLOOKUP(_xlfn.ANCHORARRAY(A269), TBL_Limiti_CDA[Data], TBL_Limiti_CDA[Etica Obiettivo Sociale], , -1)</f>
        <v>9.99</v>
      </c>
      <c r="I269" cm="1">
        <f t="array" ref="I269">_xlfn.XLOOKUP(_xlfn.ANCHORARRAY(A269), TBL_Limiti_CDA[Data], TBL_Limiti_CDA[Etica Conservative Allocation], , -1)</f>
        <v>1</v>
      </c>
      <c r="J269" cm="1">
        <f t="array" ref="J269">_xlfn.XLOOKUP(_xlfn.ANCHORARRAY(A269), TBL_Limiti_CDA[Data], TBL_Limiti_CDA[Etica Dynamic Allocation], , -1)</f>
        <v>3</v>
      </c>
      <c r="K269" cm="1">
        <f t="array" ref="K269">_xlfn.XLOOKUP(_xlfn.ANCHORARRAY(A269), TBL_Limiti_CDA[Data], TBL_Limiti_CDA[Etica Global Equity], , -1)</f>
        <v>3.5</v>
      </c>
      <c r="L269" cm="1">
        <f t="array" ref="L269">_xlfn.ANCHORARRAY(B269)+0.15</f>
        <v>1.9</v>
      </c>
      <c r="M269" cm="1">
        <f t="array" ref="M269">_xlfn.ANCHORARRAY(C269)+0.1</f>
        <v>0.6</v>
      </c>
      <c r="N269" cm="1">
        <f t="array" ref="N269">_xlfn.ANCHORARRAY(D269)+0.15</f>
        <v>1.1499999999999999</v>
      </c>
      <c r="O269" cm="1">
        <f t="array" ref="O269">_xlfn.ANCHORARRAY(E269)+0.15</f>
        <v>3.15</v>
      </c>
      <c r="P269" cm="1">
        <f t="array" ref="P269">_xlfn.ANCHORARRAY(F269)+0.15</f>
        <v>3.65</v>
      </c>
      <c r="Q269" cm="1">
        <f t="array" ref="Q269">_xlfn.ANCHORARRAY(G269)+0.15</f>
        <v>2.9</v>
      </c>
      <c r="R269" cm="1">
        <f t="array" ref="R269">_xlfn.ANCHORARRAY(H269)</f>
        <v>9.99</v>
      </c>
      <c r="S269" cm="1">
        <f t="array" ref="S269">_xlfn.ANCHORARRAY(R269)+0.15</f>
        <v>10.14</v>
      </c>
      <c r="T269" cm="1">
        <f t="array" ref="T269">_xlfn.ANCHORARRAY(I269)+0.15</f>
        <v>1.1499999999999999</v>
      </c>
      <c r="U269" cm="1">
        <f t="array" ref="U269">_xlfn.ANCHORARRAY(J269)+0.15</f>
        <v>3.15</v>
      </c>
      <c r="V269" cm="1">
        <f t="array" ref="V269">_xlfn.ANCHORARRAY(K269)+0.15</f>
        <v>3.65</v>
      </c>
      <c r="W269">
        <f>TBL_TEV[[#This Row],[Etica Rendita Bilanciata]]</f>
        <v>1.488553</v>
      </c>
      <c r="X269">
        <f>TBL_TEV[[#This Row],[Etica Obbligazionario Breve Termine]]</f>
        <v>0.26113599999999998</v>
      </c>
      <c r="Y269">
        <f>TBL_TEV[[#This Row],[Etica Obbligazionario Misto]]</f>
        <v>0.62291600000000003</v>
      </c>
      <c r="Z269">
        <f>TBL_TEV[[#This Row],[Etica Bilanciato]]</f>
        <v>2.359111</v>
      </c>
      <c r="AA269">
        <f>TBL_TEV[[#This Row],[Etica Azionario]]</f>
        <v>3.4077809999999999</v>
      </c>
      <c r="AB269">
        <f>TBL_TEV[[#This Row],[Etica Transizione Climatica]]</f>
        <v>2.372128</v>
      </c>
      <c r="AC269">
        <f>TBL_TEV[[#This Row],[Etica Obiettivo Sociale]]</f>
        <v>7.0087273820366391</v>
      </c>
      <c r="AD269">
        <f>TBL_TEV[[#This Row],[Etica Conservative Allocation]]</f>
        <v>0.61958199999999997</v>
      </c>
      <c r="AE269">
        <f>TBL_TEV[[#This Row],[Etica Dynamic Allocation]]</f>
        <v>2.3013270000000001</v>
      </c>
      <c r="AF269">
        <f>TBL_TEV[[#This Row],[Etica Global Equity]]</f>
        <v>3.3357100000000002</v>
      </c>
      <c r="AL269">
        <f ca="1"/>
        <v>1.4876</v>
      </c>
      <c r="AM269">
        <f ca="1"/>
        <v>0.26034200000000002</v>
      </c>
      <c r="AN269">
        <f ca="1"/>
        <v>0.624027</v>
      </c>
      <c r="AO269">
        <f ca="1"/>
        <v>2.335934</v>
      </c>
      <c r="AP269">
        <f ca="1"/>
        <v>3.3822230000000002</v>
      </c>
      <c r="AQ269">
        <f ca="1"/>
        <v>2.3510149999999999</v>
      </c>
      <c r="AR269">
        <f ca="1"/>
        <v>7.1914653681544571</v>
      </c>
      <c r="AS269">
        <f ca="1"/>
        <v>0.62624899999999994</v>
      </c>
      <c r="AT269">
        <f ca="1"/>
        <v>2.284977</v>
      </c>
      <c r="AU269">
        <f ca="1"/>
        <v>3.3168199999999999</v>
      </c>
    </row>
    <row r="270" spans="1:47">
      <c r="A270" s="43">
        <f>TBL_TEV[[#This Row],[Data2]]</f>
        <v>45673</v>
      </c>
      <c r="B270" cm="1">
        <f t="array" ref="B270">_xlfn.XLOOKUP(_xlfn.ANCHORARRAY(A270), TBL_Limiti_CDA[Data], TBL_Limiti_CDA[Etica Rendita Bilanciata], , -1)</f>
        <v>1.75</v>
      </c>
      <c r="C270" cm="1">
        <f t="array" ref="C270">_xlfn.XLOOKUP(_xlfn.ANCHORARRAY(A270), TBL_Limiti_CDA[Data], TBL_Limiti_CDA[Etica Obbligazionario Breve Termine], , -1)</f>
        <v>0.5</v>
      </c>
      <c r="D270" cm="1">
        <f t="array" ref="D270">_xlfn.XLOOKUP(_xlfn.ANCHORARRAY(A270), TBL_Limiti_CDA[Data], TBL_Limiti_CDA[Etica Obbligazionario Misto], , -1)</f>
        <v>1</v>
      </c>
      <c r="E270" cm="1">
        <f t="array" ref="E270">_xlfn.XLOOKUP(_xlfn.ANCHORARRAY(A270), TBL_Limiti_CDA[Data], TBL_Limiti_CDA[Etica Bilanciato], , -1)</f>
        <v>3</v>
      </c>
      <c r="F270" cm="1">
        <f t="array" ref="F270">_xlfn.XLOOKUP(_xlfn.ANCHORARRAY(A270), TBL_Limiti_CDA[Data], TBL_Limiti_CDA[Etica Azionario], , -1)</f>
        <v>3.5</v>
      </c>
      <c r="G270" cm="1">
        <f t="array" ref="G270">_xlfn.XLOOKUP(_xlfn.ANCHORARRAY(A270), TBL_Limiti_CDA[Data], TBL_Limiti_CDA[Etica Transizione Climatica], , -1)</f>
        <v>2.75</v>
      </c>
      <c r="H270" cm="1">
        <f t="array" ref="H270">_xlfn.XLOOKUP(_xlfn.ANCHORARRAY(A270), TBL_Limiti_CDA[Data], TBL_Limiti_CDA[Etica Obiettivo Sociale], , -1)</f>
        <v>9.99</v>
      </c>
      <c r="I270" cm="1">
        <f t="array" ref="I270">_xlfn.XLOOKUP(_xlfn.ANCHORARRAY(A270), TBL_Limiti_CDA[Data], TBL_Limiti_CDA[Etica Conservative Allocation], , -1)</f>
        <v>1</v>
      </c>
      <c r="J270" cm="1">
        <f t="array" ref="J270">_xlfn.XLOOKUP(_xlfn.ANCHORARRAY(A270), TBL_Limiti_CDA[Data], TBL_Limiti_CDA[Etica Dynamic Allocation], , -1)</f>
        <v>3</v>
      </c>
      <c r="K270" cm="1">
        <f t="array" ref="K270">_xlfn.XLOOKUP(_xlfn.ANCHORARRAY(A270), TBL_Limiti_CDA[Data], TBL_Limiti_CDA[Etica Global Equity], , -1)</f>
        <v>3.5</v>
      </c>
      <c r="L270" cm="1">
        <f t="array" ref="L270">_xlfn.ANCHORARRAY(B270)+0.15</f>
        <v>1.9</v>
      </c>
      <c r="M270" cm="1">
        <f t="array" ref="M270">_xlfn.ANCHORARRAY(C270)+0.1</f>
        <v>0.6</v>
      </c>
      <c r="N270" cm="1">
        <f t="array" ref="N270">_xlfn.ANCHORARRAY(D270)+0.15</f>
        <v>1.1499999999999999</v>
      </c>
      <c r="O270" cm="1">
        <f t="array" ref="O270">_xlfn.ANCHORARRAY(E270)+0.15</f>
        <v>3.15</v>
      </c>
      <c r="P270" cm="1">
        <f t="array" ref="P270">_xlfn.ANCHORARRAY(F270)+0.15</f>
        <v>3.65</v>
      </c>
      <c r="Q270" cm="1">
        <f t="array" ref="Q270">_xlfn.ANCHORARRAY(G270)+0.15</f>
        <v>2.9</v>
      </c>
      <c r="R270" cm="1">
        <f t="array" ref="R270">_xlfn.ANCHORARRAY(H270)</f>
        <v>9.99</v>
      </c>
      <c r="S270" cm="1">
        <f t="array" ref="S270">_xlfn.ANCHORARRAY(R270)+0.15</f>
        <v>10.14</v>
      </c>
      <c r="T270" cm="1">
        <f t="array" ref="T270">_xlfn.ANCHORARRAY(I270)+0.15</f>
        <v>1.1499999999999999</v>
      </c>
      <c r="U270" cm="1">
        <f t="array" ref="U270">_xlfn.ANCHORARRAY(J270)+0.15</f>
        <v>3.15</v>
      </c>
      <c r="V270" cm="1">
        <f t="array" ref="V270">_xlfn.ANCHORARRAY(K270)+0.15</f>
        <v>3.65</v>
      </c>
      <c r="W270">
        <f>TBL_TEV[[#This Row],[Etica Rendita Bilanciata]]</f>
        <v>1.4876</v>
      </c>
      <c r="X270">
        <f>TBL_TEV[[#This Row],[Etica Obbligazionario Breve Termine]]</f>
        <v>0.26034200000000002</v>
      </c>
      <c r="Y270">
        <f>TBL_TEV[[#This Row],[Etica Obbligazionario Misto]]</f>
        <v>0.624027</v>
      </c>
      <c r="Z270">
        <f>TBL_TEV[[#This Row],[Etica Bilanciato]]</f>
        <v>2.335934</v>
      </c>
      <c r="AA270">
        <f>TBL_TEV[[#This Row],[Etica Azionario]]</f>
        <v>3.3822230000000002</v>
      </c>
      <c r="AB270">
        <f>TBL_TEV[[#This Row],[Etica Transizione Climatica]]</f>
        <v>2.3510149999999999</v>
      </c>
      <c r="AC270">
        <f>TBL_TEV[[#This Row],[Etica Obiettivo Sociale]]</f>
        <v>7.1914653681544571</v>
      </c>
      <c r="AD270">
        <f>TBL_TEV[[#This Row],[Etica Conservative Allocation]]</f>
        <v>0.62624899999999994</v>
      </c>
      <c r="AE270">
        <f>TBL_TEV[[#This Row],[Etica Dynamic Allocation]]</f>
        <v>2.284977</v>
      </c>
      <c r="AF270">
        <f>TBL_TEV[[#This Row],[Etica Global Equity]]</f>
        <v>3.3168199999999999</v>
      </c>
      <c r="AL270">
        <f ca="1"/>
        <v>1.4917279999999999</v>
      </c>
      <c r="AM270">
        <f ca="1"/>
        <v>0.26002399999999998</v>
      </c>
      <c r="AN270">
        <f ca="1"/>
        <v>0.62894799999999995</v>
      </c>
      <c r="AO270">
        <f ca="1"/>
        <v>2.344824</v>
      </c>
      <c r="AP270">
        <f ca="1"/>
        <v>3.3868260000000001</v>
      </c>
      <c r="AQ270">
        <f ca="1"/>
        <v>2.3537129999999999</v>
      </c>
      <c r="AR270">
        <f ca="1"/>
        <v>6.9919029333107314</v>
      </c>
      <c r="AS270">
        <f ca="1"/>
        <v>0.62656699999999999</v>
      </c>
      <c r="AT270">
        <f ca="1"/>
        <v>2.2978350000000001</v>
      </c>
      <c r="AU270">
        <f ca="1"/>
        <v>3.3266619999999998</v>
      </c>
    </row>
    <row r="271" spans="1:47">
      <c r="A271" s="43">
        <f>TBL_TEV[[#This Row],[Data2]]</f>
        <v>45674</v>
      </c>
      <c r="B271" cm="1">
        <f t="array" ref="B271">_xlfn.XLOOKUP(_xlfn.ANCHORARRAY(A271), TBL_Limiti_CDA[Data], TBL_Limiti_CDA[Etica Rendita Bilanciata], , -1)</f>
        <v>1.75</v>
      </c>
      <c r="C271" cm="1">
        <f t="array" ref="C271">_xlfn.XLOOKUP(_xlfn.ANCHORARRAY(A271), TBL_Limiti_CDA[Data], TBL_Limiti_CDA[Etica Obbligazionario Breve Termine], , -1)</f>
        <v>0.5</v>
      </c>
      <c r="D271" cm="1">
        <f t="array" ref="D271">_xlfn.XLOOKUP(_xlfn.ANCHORARRAY(A271), TBL_Limiti_CDA[Data], TBL_Limiti_CDA[Etica Obbligazionario Misto], , -1)</f>
        <v>1</v>
      </c>
      <c r="E271" cm="1">
        <f t="array" ref="E271">_xlfn.XLOOKUP(_xlfn.ANCHORARRAY(A271), TBL_Limiti_CDA[Data], TBL_Limiti_CDA[Etica Bilanciato], , -1)</f>
        <v>3</v>
      </c>
      <c r="F271" cm="1">
        <f t="array" ref="F271">_xlfn.XLOOKUP(_xlfn.ANCHORARRAY(A271), TBL_Limiti_CDA[Data], TBL_Limiti_CDA[Etica Azionario], , -1)</f>
        <v>3.5</v>
      </c>
      <c r="G271" cm="1">
        <f t="array" ref="G271">_xlfn.XLOOKUP(_xlfn.ANCHORARRAY(A271), TBL_Limiti_CDA[Data], TBL_Limiti_CDA[Etica Transizione Climatica], , -1)</f>
        <v>2.75</v>
      </c>
      <c r="H271" cm="1">
        <f t="array" ref="H271">_xlfn.XLOOKUP(_xlfn.ANCHORARRAY(A271), TBL_Limiti_CDA[Data], TBL_Limiti_CDA[Etica Obiettivo Sociale], , -1)</f>
        <v>9.99</v>
      </c>
      <c r="I271" cm="1">
        <f t="array" ref="I271">_xlfn.XLOOKUP(_xlfn.ANCHORARRAY(A271), TBL_Limiti_CDA[Data], TBL_Limiti_CDA[Etica Conservative Allocation], , -1)</f>
        <v>1</v>
      </c>
      <c r="J271" cm="1">
        <f t="array" ref="J271">_xlfn.XLOOKUP(_xlfn.ANCHORARRAY(A271), TBL_Limiti_CDA[Data], TBL_Limiti_CDA[Etica Dynamic Allocation], , -1)</f>
        <v>3</v>
      </c>
      <c r="K271" cm="1">
        <f t="array" ref="K271">_xlfn.XLOOKUP(_xlfn.ANCHORARRAY(A271), TBL_Limiti_CDA[Data], TBL_Limiti_CDA[Etica Global Equity], , -1)</f>
        <v>3.5</v>
      </c>
      <c r="L271" cm="1">
        <f t="array" ref="L271">_xlfn.ANCHORARRAY(B271)+0.15</f>
        <v>1.9</v>
      </c>
      <c r="M271" cm="1">
        <f t="array" ref="M271">_xlfn.ANCHORARRAY(C271)+0.1</f>
        <v>0.6</v>
      </c>
      <c r="N271" cm="1">
        <f t="array" ref="N271">_xlfn.ANCHORARRAY(D271)+0.15</f>
        <v>1.1499999999999999</v>
      </c>
      <c r="O271" cm="1">
        <f t="array" ref="O271">_xlfn.ANCHORARRAY(E271)+0.15</f>
        <v>3.15</v>
      </c>
      <c r="P271" cm="1">
        <f t="array" ref="P271">_xlfn.ANCHORARRAY(F271)+0.15</f>
        <v>3.65</v>
      </c>
      <c r="Q271" cm="1">
        <f t="array" ref="Q271">_xlfn.ANCHORARRAY(G271)+0.15</f>
        <v>2.9</v>
      </c>
      <c r="R271" cm="1">
        <f t="array" ref="R271">_xlfn.ANCHORARRAY(H271)</f>
        <v>9.99</v>
      </c>
      <c r="S271" cm="1">
        <f t="array" ref="S271">_xlfn.ANCHORARRAY(R271)+0.15</f>
        <v>10.14</v>
      </c>
      <c r="T271" cm="1">
        <f t="array" ref="T271">_xlfn.ANCHORARRAY(I271)+0.15</f>
        <v>1.1499999999999999</v>
      </c>
      <c r="U271" cm="1">
        <f t="array" ref="U271">_xlfn.ANCHORARRAY(J271)+0.15</f>
        <v>3.15</v>
      </c>
      <c r="V271" cm="1">
        <f t="array" ref="V271">_xlfn.ANCHORARRAY(K271)+0.15</f>
        <v>3.65</v>
      </c>
      <c r="W271">
        <f>TBL_TEV[[#This Row],[Etica Rendita Bilanciata]]</f>
        <v>1.4917279999999999</v>
      </c>
      <c r="X271">
        <f>TBL_TEV[[#This Row],[Etica Obbligazionario Breve Termine]]</f>
        <v>0.26002399999999998</v>
      </c>
      <c r="Y271">
        <f>TBL_TEV[[#This Row],[Etica Obbligazionario Misto]]</f>
        <v>0.62894799999999995</v>
      </c>
      <c r="Z271">
        <f>TBL_TEV[[#This Row],[Etica Bilanciato]]</f>
        <v>2.344824</v>
      </c>
      <c r="AA271">
        <f>TBL_TEV[[#This Row],[Etica Azionario]]</f>
        <v>3.3868260000000001</v>
      </c>
      <c r="AB271">
        <f>TBL_TEV[[#This Row],[Etica Transizione Climatica]]</f>
        <v>2.3537129999999999</v>
      </c>
      <c r="AC271">
        <f>TBL_TEV[[#This Row],[Etica Obiettivo Sociale]]</f>
        <v>6.9919029333107314</v>
      </c>
      <c r="AD271">
        <f>TBL_TEV[[#This Row],[Etica Conservative Allocation]]</f>
        <v>0.62656699999999999</v>
      </c>
      <c r="AE271">
        <f>TBL_TEV[[#This Row],[Etica Dynamic Allocation]]</f>
        <v>2.2978350000000001</v>
      </c>
      <c r="AF271">
        <f>TBL_TEV[[#This Row],[Etica Global Equity]]</f>
        <v>3.3266619999999998</v>
      </c>
      <c r="AL271">
        <f ca="1"/>
        <v>1.486013</v>
      </c>
      <c r="AM271">
        <f ca="1"/>
        <v>0.259548</v>
      </c>
      <c r="AN271">
        <f ca="1"/>
        <v>0.62863100000000005</v>
      </c>
      <c r="AO271">
        <f ca="1"/>
        <v>2.33514</v>
      </c>
      <c r="AP271">
        <f ca="1"/>
        <v>3.378889</v>
      </c>
      <c r="AQ271">
        <f ca="1"/>
        <v>2.3464109999999998</v>
      </c>
      <c r="AR271">
        <f ca="1"/>
        <v>7.0686404108785528</v>
      </c>
      <c r="AS271">
        <f ca="1"/>
        <v>0.624027</v>
      </c>
      <c r="AT271">
        <f ca="1"/>
        <v>2.2827540000000002</v>
      </c>
      <c r="AU271">
        <f ca="1"/>
        <v>3.314438</v>
      </c>
    </row>
    <row r="272" spans="1:47">
      <c r="A272" s="43">
        <f>TBL_TEV[[#This Row],[Data2]]</f>
        <v>45677</v>
      </c>
      <c r="B272" cm="1">
        <f t="array" ref="B272">_xlfn.XLOOKUP(_xlfn.ANCHORARRAY(A272), TBL_Limiti_CDA[Data], TBL_Limiti_CDA[Etica Rendita Bilanciata], , -1)</f>
        <v>1.75</v>
      </c>
      <c r="C272" cm="1">
        <f t="array" ref="C272">_xlfn.XLOOKUP(_xlfn.ANCHORARRAY(A272), TBL_Limiti_CDA[Data], TBL_Limiti_CDA[Etica Obbligazionario Breve Termine], , -1)</f>
        <v>0.5</v>
      </c>
      <c r="D272" cm="1">
        <f t="array" ref="D272">_xlfn.XLOOKUP(_xlfn.ANCHORARRAY(A272), TBL_Limiti_CDA[Data], TBL_Limiti_CDA[Etica Obbligazionario Misto], , -1)</f>
        <v>1</v>
      </c>
      <c r="E272" cm="1">
        <f t="array" ref="E272">_xlfn.XLOOKUP(_xlfn.ANCHORARRAY(A272), TBL_Limiti_CDA[Data], TBL_Limiti_CDA[Etica Bilanciato], , -1)</f>
        <v>3</v>
      </c>
      <c r="F272" cm="1">
        <f t="array" ref="F272">_xlfn.XLOOKUP(_xlfn.ANCHORARRAY(A272), TBL_Limiti_CDA[Data], TBL_Limiti_CDA[Etica Azionario], , -1)</f>
        <v>3.5</v>
      </c>
      <c r="G272" cm="1">
        <f t="array" ref="G272">_xlfn.XLOOKUP(_xlfn.ANCHORARRAY(A272), TBL_Limiti_CDA[Data], TBL_Limiti_CDA[Etica Transizione Climatica], , -1)</f>
        <v>2.75</v>
      </c>
      <c r="H272" cm="1">
        <f t="array" ref="H272">_xlfn.XLOOKUP(_xlfn.ANCHORARRAY(A272), TBL_Limiti_CDA[Data], TBL_Limiti_CDA[Etica Obiettivo Sociale], , -1)</f>
        <v>9.99</v>
      </c>
      <c r="I272" cm="1">
        <f t="array" ref="I272">_xlfn.XLOOKUP(_xlfn.ANCHORARRAY(A272), TBL_Limiti_CDA[Data], TBL_Limiti_CDA[Etica Conservative Allocation], , -1)</f>
        <v>1</v>
      </c>
      <c r="J272" cm="1">
        <f t="array" ref="J272">_xlfn.XLOOKUP(_xlfn.ANCHORARRAY(A272), TBL_Limiti_CDA[Data], TBL_Limiti_CDA[Etica Dynamic Allocation], , -1)</f>
        <v>3</v>
      </c>
      <c r="K272" cm="1">
        <f t="array" ref="K272">_xlfn.XLOOKUP(_xlfn.ANCHORARRAY(A272), TBL_Limiti_CDA[Data], TBL_Limiti_CDA[Etica Global Equity], , -1)</f>
        <v>3.5</v>
      </c>
      <c r="L272" cm="1">
        <f t="array" ref="L272">_xlfn.ANCHORARRAY(B272)+0.15</f>
        <v>1.9</v>
      </c>
      <c r="M272" cm="1">
        <f t="array" ref="M272">_xlfn.ANCHORARRAY(C272)+0.1</f>
        <v>0.6</v>
      </c>
      <c r="N272" cm="1">
        <f t="array" ref="N272">_xlfn.ANCHORARRAY(D272)+0.15</f>
        <v>1.1499999999999999</v>
      </c>
      <c r="O272" cm="1">
        <f t="array" ref="O272">_xlfn.ANCHORARRAY(E272)+0.15</f>
        <v>3.15</v>
      </c>
      <c r="P272" cm="1">
        <f t="array" ref="P272">_xlfn.ANCHORARRAY(F272)+0.15</f>
        <v>3.65</v>
      </c>
      <c r="Q272" cm="1">
        <f t="array" ref="Q272">_xlfn.ANCHORARRAY(G272)+0.15</f>
        <v>2.9</v>
      </c>
      <c r="R272" cm="1">
        <f t="array" ref="R272">_xlfn.ANCHORARRAY(H272)</f>
        <v>9.99</v>
      </c>
      <c r="S272" cm="1">
        <f t="array" ref="S272">_xlfn.ANCHORARRAY(R272)+0.15</f>
        <v>10.14</v>
      </c>
      <c r="T272" cm="1">
        <f t="array" ref="T272">_xlfn.ANCHORARRAY(I272)+0.15</f>
        <v>1.1499999999999999</v>
      </c>
      <c r="U272" cm="1">
        <f t="array" ref="U272">_xlfn.ANCHORARRAY(J272)+0.15</f>
        <v>3.15</v>
      </c>
      <c r="V272" cm="1">
        <f t="array" ref="V272">_xlfn.ANCHORARRAY(K272)+0.15</f>
        <v>3.65</v>
      </c>
      <c r="W272">
        <f>TBL_TEV[[#This Row],[Etica Rendita Bilanciata]]</f>
        <v>1.486013</v>
      </c>
      <c r="X272">
        <f>TBL_TEV[[#This Row],[Etica Obbligazionario Breve Termine]]</f>
        <v>0.259548</v>
      </c>
      <c r="Y272">
        <f>TBL_TEV[[#This Row],[Etica Obbligazionario Misto]]</f>
        <v>0.62863100000000005</v>
      </c>
      <c r="Z272">
        <f>TBL_TEV[[#This Row],[Etica Bilanciato]]</f>
        <v>2.33514</v>
      </c>
      <c r="AA272">
        <f>TBL_TEV[[#This Row],[Etica Azionario]]</f>
        <v>3.378889</v>
      </c>
      <c r="AB272">
        <f>TBL_TEV[[#This Row],[Etica Transizione Climatica]]</f>
        <v>2.3464109999999998</v>
      </c>
      <c r="AC272">
        <f>TBL_TEV[[#This Row],[Etica Obiettivo Sociale]]</f>
        <v>7.0686404108785528</v>
      </c>
      <c r="AD272">
        <f>TBL_TEV[[#This Row],[Etica Conservative Allocation]]</f>
        <v>0.624027</v>
      </c>
      <c r="AE272">
        <f>TBL_TEV[[#This Row],[Etica Dynamic Allocation]]</f>
        <v>2.2827540000000002</v>
      </c>
      <c r="AF272">
        <f>TBL_TEV[[#This Row],[Etica Global Equity]]</f>
        <v>3.314438</v>
      </c>
      <c r="AL272">
        <f ca="1"/>
        <v>1.504745</v>
      </c>
      <c r="AM272">
        <f ca="1"/>
        <v>0.25938899999999998</v>
      </c>
      <c r="AN272">
        <f ca="1"/>
        <v>0.63910800000000001</v>
      </c>
      <c r="AO272">
        <f ca="1"/>
        <v>2.3875259999999998</v>
      </c>
      <c r="AP272">
        <f ca="1"/>
        <v>3.4231790000000002</v>
      </c>
      <c r="AQ272">
        <f ca="1"/>
        <v>2.3853040000000001</v>
      </c>
      <c r="AR272">
        <f ca="1"/>
        <v>7.3288775916097917</v>
      </c>
      <c r="AS272">
        <f ca="1"/>
        <v>0.63307500000000005</v>
      </c>
      <c r="AT272">
        <f ca="1"/>
        <v>2.3373629999999999</v>
      </c>
      <c r="AU272">
        <f ca="1"/>
        <v>3.3546010000000002</v>
      </c>
    </row>
    <row r="273" spans="1:47">
      <c r="A273" s="43">
        <f>TBL_TEV[[#This Row],[Data2]]</f>
        <v>45678</v>
      </c>
      <c r="B273" cm="1">
        <f t="array" ref="B273">_xlfn.XLOOKUP(_xlfn.ANCHORARRAY(A273), TBL_Limiti_CDA[Data], TBL_Limiti_CDA[Etica Rendita Bilanciata], , -1)</f>
        <v>1.75</v>
      </c>
      <c r="C273" cm="1">
        <f t="array" ref="C273">_xlfn.XLOOKUP(_xlfn.ANCHORARRAY(A273), TBL_Limiti_CDA[Data], TBL_Limiti_CDA[Etica Obbligazionario Breve Termine], , -1)</f>
        <v>0.5</v>
      </c>
      <c r="D273" cm="1">
        <f t="array" ref="D273">_xlfn.XLOOKUP(_xlfn.ANCHORARRAY(A273), TBL_Limiti_CDA[Data], TBL_Limiti_CDA[Etica Obbligazionario Misto], , -1)</f>
        <v>1</v>
      </c>
      <c r="E273" cm="1">
        <f t="array" ref="E273">_xlfn.XLOOKUP(_xlfn.ANCHORARRAY(A273), TBL_Limiti_CDA[Data], TBL_Limiti_CDA[Etica Bilanciato], , -1)</f>
        <v>3</v>
      </c>
      <c r="F273" cm="1">
        <f t="array" ref="F273">_xlfn.XLOOKUP(_xlfn.ANCHORARRAY(A273), TBL_Limiti_CDA[Data], TBL_Limiti_CDA[Etica Azionario], , -1)</f>
        <v>3.5</v>
      </c>
      <c r="G273" cm="1">
        <f t="array" ref="G273">_xlfn.XLOOKUP(_xlfn.ANCHORARRAY(A273), TBL_Limiti_CDA[Data], TBL_Limiti_CDA[Etica Transizione Climatica], , -1)</f>
        <v>2.75</v>
      </c>
      <c r="H273" cm="1">
        <f t="array" ref="H273">_xlfn.XLOOKUP(_xlfn.ANCHORARRAY(A273), TBL_Limiti_CDA[Data], TBL_Limiti_CDA[Etica Obiettivo Sociale], , -1)</f>
        <v>9.99</v>
      </c>
      <c r="I273" cm="1">
        <f t="array" ref="I273">_xlfn.XLOOKUP(_xlfn.ANCHORARRAY(A273), TBL_Limiti_CDA[Data], TBL_Limiti_CDA[Etica Conservative Allocation], , -1)</f>
        <v>1</v>
      </c>
      <c r="J273" cm="1">
        <f t="array" ref="J273">_xlfn.XLOOKUP(_xlfn.ANCHORARRAY(A273), TBL_Limiti_CDA[Data], TBL_Limiti_CDA[Etica Dynamic Allocation], , -1)</f>
        <v>3</v>
      </c>
      <c r="K273" cm="1">
        <f t="array" ref="K273">_xlfn.XLOOKUP(_xlfn.ANCHORARRAY(A273), TBL_Limiti_CDA[Data], TBL_Limiti_CDA[Etica Global Equity], , -1)</f>
        <v>3.5</v>
      </c>
      <c r="L273" cm="1">
        <f t="array" ref="L273">_xlfn.ANCHORARRAY(B273)+0.15</f>
        <v>1.9</v>
      </c>
      <c r="M273" cm="1">
        <f t="array" ref="M273">_xlfn.ANCHORARRAY(C273)+0.1</f>
        <v>0.6</v>
      </c>
      <c r="N273" cm="1">
        <f t="array" ref="N273">_xlfn.ANCHORARRAY(D273)+0.15</f>
        <v>1.1499999999999999</v>
      </c>
      <c r="O273" cm="1">
        <f t="array" ref="O273">_xlfn.ANCHORARRAY(E273)+0.15</f>
        <v>3.15</v>
      </c>
      <c r="P273" cm="1">
        <f t="array" ref="P273">_xlfn.ANCHORARRAY(F273)+0.15</f>
        <v>3.65</v>
      </c>
      <c r="Q273" cm="1">
        <f t="array" ref="Q273">_xlfn.ANCHORARRAY(G273)+0.15</f>
        <v>2.9</v>
      </c>
      <c r="R273" cm="1">
        <f t="array" ref="R273">_xlfn.ANCHORARRAY(H273)</f>
        <v>9.99</v>
      </c>
      <c r="S273" cm="1">
        <f t="array" ref="S273">_xlfn.ANCHORARRAY(R273)+0.15</f>
        <v>10.14</v>
      </c>
      <c r="T273" cm="1">
        <f t="array" ref="T273">_xlfn.ANCHORARRAY(I273)+0.15</f>
        <v>1.1499999999999999</v>
      </c>
      <c r="U273" cm="1">
        <f t="array" ref="U273">_xlfn.ANCHORARRAY(J273)+0.15</f>
        <v>3.15</v>
      </c>
      <c r="V273" cm="1">
        <f t="array" ref="V273">_xlfn.ANCHORARRAY(K273)+0.15</f>
        <v>3.65</v>
      </c>
      <c r="W273">
        <f>TBL_TEV[[#This Row],[Etica Rendita Bilanciata]]</f>
        <v>1.504745</v>
      </c>
      <c r="X273">
        <f>TBL_TEV[[#This Row],[Etica Obbligazionario Breve Termine]]</f>
        <v>0.25938899999999998</v>
      </c>
      <c r="Y273">
        <f>TBL_TEV[[#This Row],[Etica Obbligazionario Misto]]</f>
        <v>0.63910800000000001</v>
      </c>
      <c r="Z273">
        <f>TBL_TEV[[#This Row],[Etica Bilanciato]]</f>
        <v>2.3875259999999998</v>
      </c>
      <c r="AA273">
        <f>TBL_TEV[[#This Row],[Etica Azionario]]</f>
        <v>3.4231790000000002</v>
      </c>
      <c r="AB273">
        <f>TBL_TEV[[#This Row],[Etica Transizione Climatica]]</f>
        <v>2.3853040000000001</v>
      </c>
      <c r="AC273">
        <f>TBL_TEV[[#This Row],[Etica Obiettivo Sociale]]</f>
        <v>7.3288775916097917</v>
      </c>
      <c r="AD273">
        <f>TBL_TEV[[#This Row],[Etica Conservative Allocation]]</f>
        <v>0.63307500000000005</v>
      </c>
      <c r="AE273">
        <f>TBL_TEV[[#This Row],[Etica Dynamic Allocation]]</f>
        <v>2.3373629999999999</v>
      </c>
      <c r="AF273">
        <f>TBL_TEV[[#This Row],[Etica Global Equity]]</f>
        <v>3.3546010000000002</v>
      </c>
      <c r="AL273">
        <f ca="1"/>
        <v>1.495061</v>
      </c>
      <c r="AM273">
        <f ca="1"/>
        <v>0.27955000000000002</v>
      </c>
      <c r="AN273">
        <f ca="1"/>
        <v>0.63497999999999999</v>
      </c>
      <c r="AO273">
        <f ca="1"/>
        <v>2.3746679999999998</v>
      </c>
      <c r="AP273">
        <f ca="1"/>
        <v>3.4269889999999998</v>
      </c>
      <c r="AQ273">
        <f ca="1"/>
        <v>2.3868909999999999</v>
      </c>
      <c r="AR273">
        <f ca="1"/>
        <v>7.3933089731716191</v>
      </c>
      <c r="AS273">
        <f ca="1"/>
        <v>0.62736099999999995</v>
      </c>
      <c r="AT273">
        <f ca="1"/>
        <v>2.3289490000000002</v>
      </c>
      <c r="AU273">
        <f ca="1"/>
        <v>3.355553</v>
      </c>
    </row>
    <row r="274" spans="1:47">
      <c r="A274" s="43">
        <f>TBL_TEV[[#This Row],[Data2]]</f>
        <v>45679</v>
      </c>
      <c r="B274" cm="1">
        <f t="array" ref="B274">_xlfn.XLOOKUP(_xlfn.ANCHORARRAY(A274), TBL_Limiti_CDA[Data], TBL_Limiti_CDA[Etica Rendita Bilanciata], , -1)</f>
        <v>1.75</v>
      </c>
      <c r="C274" cm="1">
        <f t="array" ref="C274">_xlfn.XLOOKUP(_xlfn.ANCHORARRAY(A274), TBL_Limiti_CDA[Data], TBL_Limiti_CDA[Etica Obbligazionario Breve Termine], , -1)</f>
        <v>0.5</v>
      </c>
      <c r="D274" cm="1">
        <f t="array" ref="D274">_xlfn.XLOOKUP(_xlfn.ANCHORARRAY(A274), TBL_Limiti_CDA[Data], TBL_Limiti_CDA[Etica Obbligazionario Misto], , -1)</f>
        <v>1</v>
      </c>
      <c r="E274" cm="1">
        <f t="array" ref="E274">_xlfn.XLOOKUP(_xlfn.ANCHORARRAY(A274), TBL_Limiti_CDA[Data], TBL_Limiti_CDA[Etica Bilanciato], , -1)</f>
        <v>3</v>
      </c>
      <c r="F274" cm="1">
        <f t="array" ref="F274">_xlfn.XLOOKUP(_xlfn.ANCHORARRAY(A274), TBL_Limiti_CDA[Data], TBL_Limiti_CDA[Etica Azionario], , -1)</f>
        <v>3.5</v>
      </c>
      <c r="G274" cm="1">
        <f t="array" ref="G274">_xlfn.XLOOKUP(_xlfn.ANCHORARRAY(A274), TBL_Limiti_CDA[Data], TBL_Limiti_CDA[Etica Transizione Climatica], , -1)</f>
        <v>2.75</v>
      </c>
      <c r="H274" cm="1">
        <f t="array" ref="H274">_xlfn.XLOOKUP(_xlfn.ANCHORARRAY(A274), TBL_Limiti_CDA[Data], TBL_Limiti_CDA[Etica Obiettivo Sociale], , -1)</f>
        <v>9.99</v>
      </c>
      <c r="I274" cm="1">
        <f t="array" ref="I274">_xlfn.XLOOKUP(_xlfn.ANCHORARRAY(A274), TBL_Limiti_CDA[Data], TBL_Limiti_CDA[Etica Conservative Allocation], , -1)</f>
        <v>1</v>
      </c>
      <c r="J274" cm="1">
        <f t="array" ref="J274">_xlfn.XLOOKUP(_xlfn.ANCHORARRAY(A274), TBL_Limiti_CDA[Data], TBL_Limiti_CDA[Etica Dynamic Allocation], , -1)</f>
        <v>3</v>
      </c>
      <c r="K274" cm="1">
        <f t="array" ref="K274">_xlfn.XLOOKUP(_xlfn.ANCHORARRAY(A274), TBL_Limiti_CDA[Data], TBL_Limiti_CDA[Etica Global Equity], , -1)</f>
        <v>3.5</v>
      </c>
      <c r="L274" cm="1">
        <f t="array" ref="L274">_xlfn.ANCHORARRAY(B274)+0.15</f>
        <v>1.9</v>
      </c>
      <c r="M274" cm="1">
        <f t="array" ref="M274">_xlfn.ANCHORARRAY(C274)+0.1</f>
        <v>0.6</v>
      </c>
      <c r="N274" cm="1">
        <f t="array" ref="N274">_xlfn.ANCHORARRAY(D274)+0.15</f>
        <v>1.1499999999999999</v>
      </c>
      <c r="O274" cm="1">
        <f t="array" ref="O274">_xlfn.ANCHORARRAY(E274)+0.15</f>
        <v>3.15</v>
      </c>
      <c r="P274" cm="1">
        <f t="array" ref="P274">_xlfn.ANCHORARRAY(F274)+0.15</f>
        <v>3.65</v>
      </c>
      <c r="Q274" cm="1">
        <f t="array" ref="Q274">_xlfn.ANCHORARRAY(G274)+0.15</f>
        <v>2.9</v>
      </c>
      <c r="R274" cm="1">
        <f t="array" ref="R274">_xlfn.ANCHORARRAY(H274)</f>
        <v>9.99</v>
      </c>
      <c r="S274" cm="1">
        <f t="array" ref="S274">_xlfn.ANCHORARRAY(R274)+0.15</f>
        <v>10.14</v>
      </c>
      <c r="T274" cm="1">
        <f t="array" ref="T274">_xlfn.ANCHORARRAY(I274)+0.15</f>
        <v>1.1499999999999999</v>
      </c>
      <c r="U274" cm="1">
        <f t="array" ref="U274">_xlfn.ANCHORARRAY(J274)+0.15</f>
        <v>3.15</v>
      </c>
      <c r="V274" cm="1">
        <f t="array" ref="V274">_xlfn.ANCHORARRAY(K274)+0.15</f>
        <v>3.65</v>
      </c>
      <c r="W274">
        <f>TBL_TEV[[#This Row],[Etica Rendita Bilanciata]]</f>
        <v>1.495061</v>
      </c>
      <c r="X274">
        <f>TBL_TEV[[#This Row],[Etica Obbligazionario Breve Termine]]</f>
        <v>0.27955000000000002</v>
      </c>
      <c r="Y274">
        <f>TBL_TEV[[#This Row],[Etica Obbligazionario Misto]]</f>
        <v>0.63497999999999999</v>
      </c>
      <c r="Z274">
        <f>TBL_TEV[[#This Row],[Etica Bilanciato]]</f>
        <v>2.3746679999999998</v>
      </c>
      <c r="AA274">
        <f>TBL_TEV[[#This Row],[Etica Azionario]]</f>
        <v>3.4269889999999998</v>
      </c>
      <c r="AB274">
        <f>TBL_TEV[[#This Row],[Etica Transizione Climatica]]</f>
        <v>2.3868909999999999</v>
      </c>
      <c r="AC274">
        <f>TBL_TEV[[#This Row],[Etica Obiettivo Sociale]]</f>
        <v>7.3933089731716191</v>
      </c>
      <c r="AD274">
        <f>TBL_TEV[[#This Row],[Etica Conservative Allocation]]</f>
        <v>0.62736099999999995</v>
      </c>
      <c r="AE274">
        <f>TBL_TEV[[#This Row],[Etica Dynamic Allocation]]</f>
        <v>2.3289490000000002</v>
      </c>
      <c r="AF274">
        <f>TBL_TEV[[#This Row],[Etica Global Equity]]</f>
        <v>3.355553</v>
      </c>
      <c r="AL274">
        <f ca="1"/>
        <v>1.492362</v>
      </c>
      <c r="AM274">
        <f ca="1"/>
        <v>0.28462999999999999</v>
      </c>
      <c r="AN274">
        <f ca="1"/>
        <v>0.63688500000000003</v>
      </c>
      <c r="AO274">
        <f ca="1"/>
        <v>2.3791120000000001</v>
      </c>
      <c r="AP274">
        <f ca="1"/>
        <v>3.4176229999999999</v>
      </c>
      <c r="AQ274">
        <f ca="1"/>
        <v>2.3819699999999999</v>
      </c>
      <c r="AR274">
        <f ca="1"/>
        <v>7.417752516168779</v>
      </c>
      <c r="AS274">
        <f ca="1"/>
        <v>0.62609099999999995</v>
      </c>
      <c r="AT274">
        <f ca="1"/>
        <v>2.3289490000000002</v>
      </c>
      <c r="AU274">
        <f ca="1"/>
        <v>3.3412660000000001</v>
      </c>
    </row>
    <row r="275" spans="1:47">
      <c r="A275" s="43">
        <f>TBL_TEV[[#This Row],[Data2]]</f>
        <v>45680</v>
      </c>
      <c r="B275" cm="1">
        <f t="array" ref="B275">_xlfn.XLOOKUP(_xlfn.ANCHORARRAY(A275), TBL_Limiti_CDA[Data], TBL_Limiti_CDA[Etica Rendita Bilanciata], , -1)</f>
        <v>1.75</v>
      </c>
      <c r="C275" cm="1">
        <f t="array" ref="C275">_xlfn.XLOOKUP(_xlfn.ANCHORARRAY(A275), TBL_Limiti_CDA[Data], TBL_Limiti_CDA[Etica Obbligazionario Breve Termine], , -1)</f>
        <v>0.5</v>
      </c>
      <c r="D275" cm="1">
        <f t="array" ref="D275">_xlfn.XLOOKUP(_xlfn.ANCHORARRAY(A275), TBL_Limiti_CDA[Data], TBL_Limiti_CDA[Etica Obbligazionario Misto], , -1)</f>
        <v>1</v>
      </c>
      <c r="E275" cm="1">
        <f t="array" ref="E275">_xlfn.XLOOKUP(_xlfn.ANCHORARRAY(A275), TBL_Limiti_CDA[Data], TBL_Limiti_CDA[Etica Bilanciato], , -1)</f>
        <v>3</v>
      </c>
      <c r="F275" cm="1">
        <f t="array" ref="F275">_xlfn.XLOOKUP(_xlfn.ANCHORARRAY(A275), TBL_Limiti_CDA[Data], TBL_Limiti_CDA[Etica Azionario], , -1)</f>
        <v>3.5</v>
      </c>
      <c r="G275" cm="1">
        <f t="array" ref="G275">_xlfn.XLOOKUP(_xlfn.ANCHORARRAY(A275), TBL_Limiti_CDA[Data], TBL_Limiti_CDA[Etica Transizione Climatica], , -1)</f>
        <v>2.75</v>
      </c>
      <c r="H275" cm="1">
        <f t="array" ref="H275">_xlfn.XLOOKUP(_xlfn.ANCHORARRAY(A275), TBL_Limiti_CDA[Data], TBL_Limiti_CDA[Etica Obiettivo Sociale], , -1)</f>
        <v>9.99</v>
      </c>
      <c r="I275" cm="1">
        <f t="array" ref="I275">_xlfn.XLOOKUP(_xlfn.ANCHORARRAY(A275), TBL_Limiti_CDA[Data], TBL_Limiti_CDA[Etica Conservative Allocation], , -1)</f>
        <v>1</v>
      </c>
      <c r="J275" cm="1">
        <f t="array" ref="J275">_xlfn.XLOOKUP(_xlfn.ANCHORARRAY(A275), TBL_Limiti_CDA[Data], TBL_Limiti_CDA[Etica Dynamic Allocation], , -1)</f>
        <v>3</v>
      </c>
      <c r="K275" cm="1">
        <f t="array" ref="K275">_xlfn.XLOOKUP(_xlfn.ANCHORARRAY(A275), TBL_Limiti_CDA[Data], TBL_Limiti_CDA[Etica Global Equity], , -1)</f>
        <v>3.5</v>
      </c>
      <c r="L275" cm="1">
        <f t="array" ref="L275">_xlfn.ANCHORARRAY(B275)+0.15</f>
        <v>1.9</v>
      </c>
      <c r="M275" cm="1">
        <f t="array" ref="M275">_xlfn.ANCHORARRAY(C275)+0.1</f>
        <v>0.6</v>
      </c>
      <c r="N275" cm="1">
        <f t="array" ref="N275">_xlfn.ANCHORARRAY(D275)+0.15</f>
        <v>1.1499999999999999</v>
      </c>
      <c r="O275" cm="1">
        <f t="array" ref="O275">_xlfn.ANCHORARRAY(E275)+0.15</f>
        <v>3.15</v>
      </c>
      <c r="P275" cm="1">
        <f t="array" ref="P275">_xlfn.ANCHORARRAY(F275)+0.15</f>
        <v>3.65</v>
      </c>
      <c r="Q275" cm="1">
        <f t="array" ref="Q275">_xlfn.ANCHORARRAY(G275)+0.15</f>
        <v>2.9</v>
      </c>
      <c r="R275" cm="1">
        <f t="array" ref="R275">_xlfn.ANCHORARRAY(H275)</f>
        <v>9.99</v>
      </c>
      <c r="S275" cm="1">
        <f t="array" ref="S275">_xlfn.ANCHORARRAY(R275)+0.15</f>
        <v>10.14</v>
      </c>
      <c r="T275" cm="1">
        <f t="array" ref="T275">_xlfn.ANCHORARRAY(I275)+0.15</f>
        <v>1.1499999999999999</v>
      </c>
      <c r="U275" cm="1">
        <f t="array" ref="U275">_xlfn.ANCHORARRAY(J275)+0.15</f>
        <v>3.15</v>
      </c>
      <c r="V275" cm="1">
        <f t="array" ref="V275">_xlfn.ANCHORARRAY(K275)+0.15</f>
        <v>3.65</v>
      </c>
      <c r="W275">
        <f>TBL_TEV[[#This Row],[Etica Rendita Bilanciata]]</f>
        <v>1.492362</v>
      </c>
      <c r="X275">
        <f>TBL_TEV[[#This Row],[Etica Obbligazionario Breve Termine]]</f>
        <v>0.28462999999999999</v>
      </c>
      <c r="Y275">
        <f>TBL_TEV[[#This Row],[Etica Obbligazionario Misto]]</f>
        <v>0.63688500000000003</v>
      </c>
      <c r="Z275">
        <f>TBL_TEV[[#This Row],[Etica Bilanciato]]</f>
        <v>2.3791120000000001</v>
      </c>
      <c r="AA275">
        <f>TBL_TEV[[#This Row],[Etica Azionario]]</f>
        <v>3.4176229999999999</v>
      </c>
      <c r="AB275">
        <f>TBL_TEV[[#This Row],[Etica Transizione Climatica]]</f>
        <v>2.3819699999999999</v>
      </c>
      <c r="AC275">
        <f>TBL_TEV[[#This Row],[Etica Obiettivo Sociale]]</f>
        <v>7.417752516168779</v>
      </c>
      <c r="AD275">
        <f>TBL_TEV[[#This Row],[Etica Conservative Allocation]]</f>
        <v>0.62609099999999995</v>
      </c>
      <c r="AE275">
        <f>TBL_TEV[[#This Row],[Etica Dynamic Allocation]]</f>
        <v>2.3289490000000002</v>
      </c>
      <c r="AF275">
        <f>TBL_TEV[[#This Row],[Etica Global Equity]]</f>
        <v>3.3412660000000001</v>
      </c>
      <c r="AL275">
        <f ca="1"/>
        <v>1.489981</v>
      </c>
      <c r="AM275">
        <f ca="1"/>
        <v>0.28383599999999998</v>
      </c>
      <c r="AN275">
        <f ca="1"/>
        <v>0.63783800000000002</v>
      </c>
      <c r="AO275">
        <f ca="1"/>
        <v>2.3595869999999999</v>
      </c>
      <c r="AP275">
        <f ca="1"/>
        <v>3.4117489999999999</v>
      </c>
      <c r="AQ275">
        <f ca="1"/>
        <v>2.3506969999999998</v>
      </c>
      <c r="AR275">
        <f ca="1"/>
        <v>7.2723740488331767</v>
      </c>
      <c r="AS275">
        <f ca="1"/>
        <v>0.62783699999999998</v>
      </c>
      <c r="AT275">
        <f ca="1"/>
        <v>2.316249</v>
      </c>
      <c r="AU275">
        <f ca="1"/>
        <v>3.3322180000000001</v>
      </c>
    </row>
    <row r="276" spans="1:47">
      <c r="A276" s="43">
        <f>TBL_TEV[[#This Row],[Data2]]</f>
        <v>45681</v>
      </c>
      <c r="B276" cm="1">
        <f t="array" ref="B276">_xlfn.XLOOKUP(_xlfn.ANCHORARRAY(A276), TBL_Limiti_CDA[Data], TBL_Limiti_CDA[Etica Rendita Bilanciata], , -1)</f>
        <v>1.75</v>
      </c>
      <c r="C276" cm="1">
        <f t="array" ref="C276">_xlfn.XLOOKUP(_xlfn.ANCHORARRAY(A276), TBL_Limiti_CDA[Data], TBL_Limiti_CDA[Etica Obbligazionario Breve Termine], , -1)</f>
        <v>0.5</v>
      </c>
      <c r="D276" cm="1">
        <f t="array" ref="D276">_xlfn.XLOOKUP(_xlfn.ANCHORARRAY(A276), TBL_Limiti_CDA[Data], TBL_Limiti_CDA[Etica Obbligazionario Misto], , -1)</f>
        <v>1</v>
      </c>
      <c r="E276" cm="1">
        <f t="array" ref="E276">_xlfn.XLOOKUP(_xlfn.ANCHORARRAY(A276), TBL_Limiti_CDA[Data], TBL_Limiti_CDA[Etica Bilanciato], , -1)</f>
        <v>3</v>
      </c>
      <c r="F276" cm="1">
        <f t="array" ref="F276">_xlfn.XLOOKUP(_xlfn.ANCHORARRAY(A276), TBL_Limiti_CDA[Data], TBL_Limiti_CDA[Etica Azionario], , -1)</f>
        <v>3.5</v>
      </c>
      <c r="G276" cm="1">
        <f t="array" ref="G276">_xlfn.XLOOKUP(_xlfn.ANCHORARRAY(A276), TBL_Limiti_CDA[Data], TBL_Limiti_CDA[Etica Transizione Climatica], , -1)</f>
        <v>2.75</v>
      </c>
      <c r="H276" cm="1">
        <f t="array" ref="H276">_xlfn.XLOOKUP(_xlfn.ANCHORARRAY(A276), TBL_Limiti_CDA[Data], TBL_Limiti_CDA[Etica Obiettivo Sociale], , -1)</f>
        <v>9.99</v>
      </c>
      <c r="I276" cm="1">
        <f t="array" ref="I276">_xlfn.XLOOKUP(_xlfn.ANCHORARRAY(A276), TBL_Limiti_CDA[Data], TBL_Limiti_CDA[Etica Conservative Allocation], , -1)</f>
        <v>1</v>
      </c>
      <c r="J276" cm="1">
        <f t="array" ref="J276">_xlfn.XLOOKUP(_xlfn.ANCHORARRAY(A276), TBL_Limiti_CDA[Data], TBL_Limiti_CDA[Etica Dynamic Allocation], , -1)</f>
        <v>3</v>
      </c>
      <c r="K276" cm="1">
        <f t="array" ref="K276">_xlfn.XLOOKUP(_xlfn.ANCHORARRAY(A276), TBL_Limiti_CDA[Data], TBL_Limiti_CDA[Etica Global Equity], , -1)</f>
        <v>3.5</v>
      </c>
      <c r="L276" cm="1">
        <f t="array" ref="L276">_xlfn.ANCHORARRAY(B276)+0.15</f>
        <v>1.9</v>
      </c>
      <c r="M276" cm="1">
        <f t="array" ref="M276">_xlfn.ANCHORARRAY(C276)+0.1</f>
        <v>0.6</v>
      </c>
      <c r="N276" cm="1">
        <f t="array" ref="N276">_xlfn.ANCHORARRAY(D276)+0.15</f>
        <v>1.1499999999999999</v>
      </c>
      <c r="O276" cm="1">
        <f t="array" ref="O276">_xlfn.ANCHORARRAY(E276)+0.15</f>
        <v>3.15</v>
      </c>
      <c r="P276" cm="1">
        <f t="array" ref="P276">_xlfn.ANCHORARRAY(F276)+0.15</f>
        <v>3.65</v>
      </c>
      <c r="Q276" cm="1">
        <f t="array" ref="Q276">_xlfn.ANCHORARRAY(G276)+0.15</f>
        <v>2.9</v>
      </c>
      <c r="R276" cm="1">
        <f t="array" ref="R276">_xlfn.ANCHORARRAY(H276)</f>
        <v>9.99</v>
      </c>
      <c r="S276" cm="1">
        <f t="array" ref="S276">_xlfn.ANCHORARRAY(R276)+0.15</f>
        <v>10.14</v>
      </c>
      <c r="T276" cm="1">
        <f t="array" ref="T276">_xlfn.ANCHORARRAY(I276)+0.15</f>
        <v>1.1499999999999999</v>
      </c>
      <c r="U276" cm="1">
        <f t="array" ref="U276">_xlfn.ANCHORARRAY(J276)+0.15</f>
        <v>3.15</v>
      </c>
      <c r="V276" cm="1">
        <f t="array" ref="V276">_xlfn.ANCHORARRAY(K276)+0.15</f>
        <v>3.65</v>
      </c>
      <c r="W276">
        <f>TBL_TEV[[#This Row],[Etica Rendita Bilanciata]]</f>
        <v>1.489981</v>
      </c>
      <c r="X276">
        <f>TBL_TEV[[#This Row],[Etica Obbligazionario Breve Termine]]</f>
        <v>0.28383599999999998</v>
      </c>
      <c r="Y276">
        <f>TBL_TEV[[#This Row],[Etica Obbligazionario Misto]]</f>
        <v>0.63783800000000002</v>
      </c>
      <c r="Z276">
        <f>TBL_TEV[[#This Row],[Etica Bilanciato]]</f>
        <v>2.3595869999999999</v>
      </c>
      <c r="AA276">
        <f>TBL_TEV[[#This Row],[Etica Azionario]]</f>
        <v>3.4117489999999999</v>
      </c>
      <c r="AB276">
        <f>TBL_TEV[[#This Row],[Etica Transizione Climatica]]</f>
        <v>2.3506969999999998</v>
      </c>
      <c r="AC276">
        <f>TBL_TEV[[#This Row],[Etica Obiettivo Sociale]]</f>
        <v>7.2723740488331767</v>
      </c>
      <c r="AD276">
        <f>TBL_TEV[[#This Row],[Etica Conservative Allocation]]</f>
        <v>0.62783699999999998</v>
      </c>
      <c r="AE276">
        <f>TBL_TEV[[#This Row],[Etica Dynamic Allocation]]</f>
        <v>2.316249</v>
      </c>
      <c r="AF276">
        <f>TBL_TEV[[#This Row],[Etica Global Equity]]</f>
        <v>3.3322180000000001</v>
      </c>
      <c r="AL276">
        <f ca="1"/>
        <v>1.4706140000000001</v>
      </c>
      <c r="AM276">
        <f ca="1"/>
        <v>0.28383599999999998</v>
      </c>
      <c r="AN276">
        <f ca="1"/>
        <v>0.64117100000000005</v>
      </c>
      <c r="AO276">
        <f ca="1"/>
        <v>2.3205360000000002</v>
      </c>
      <c r="AP276">
        <f ca="1"/>
        <v>3.4149240000000001</v>
      </c>
      <c r="AQ276">
        <f ca="1"/>
        <v>2.3098999999999998</v>
      </c>
      <c r="AR276">
        <f ca="1"/>
        <v>7.2467560775366815</v>
      </c>
      <c r="AS276">
        <f ca="1"/>
        <v>0.61926499999999995</v>
      </c>
      <c r="AT276">
        <f ca="1"/>
        <v>2.266721</v>
      </c>
      <c r="AU276">
        <f ca="1"/>
        <v>3.2834829999999999</v>
      </c>
    </row>
    <row r="277" spans="1:47">
      <c r="A277" s="43">
        <f>TBL_TEV[[#This Row],[Data2]]</f>
        <v>45684</v>
      </c>
      <c r="B277" cm="1">
        <f t="array" ref="B277">_xlfn.XLOOKUP(_xlfn.ANCHORARRAY(A277), TBL_Limiti_CDA[Data], TBL_Limiti_CDA[Etica Rendita Bilanciata], , -1)</f>
        <v>1.75</v>
      </c>
      <c r="C277" cm="1">
        <f t="array" ref="C277">_xlfn.XLOOKUP(_xlfn.ANCHORARRAY(A277), TBL_Limiti_CDA[Data], TBL_Limiti_CDA[Etica Obbligazionario Breve Termine], , -1)</f>
        <v>0.5</v>
      </c>
      <c r="D277" cm="1">
        <f t="array" ref="D277">_xlfn.XLOOKUP(_xlfn.ANCHORARRAY(A277), TBL_Limiti_CDA[Data], TBL_Limiti_CDA[Etica Obbligazionario Misto], , -1)</f>
        <v>1</v>
      </c>
      <c r="E277" cm="1">
        <f t="array" ref="E277">_xlfn.XLOOKUP(_xlfn.ANCHORARRAY(A277), TBL_Limiti_CDA[Data], TBL_Limiti_CDA[Etica Bilanciato], , -1)</f>
        <v>3</v>
      </c>
      <c r="F277" cm="1">
        <f t="array" ref="F277">_xlfn.XLOOKUP(_xlfn.ANCHORARRAY(A277), TBL_Limiti_CDA[Data], TBL_Limiti_CDA[Etica Azionario], , -1)</f>
        <v>3.5</v>
      </c>
      <c r="G277" cm="1">
        <f t="array" ref="G277">_xlfn.XLOOKUP(_xlfn.ANCHORARRAY(A277), TBL_Limiti_CDA[Data], TBL_Limiti_CDA[Etica Transizione Climatica], , -1)</f>
        <v>2.75</v>
      </c>
      <c r="H277" cm="1">
        <f t="array" ref="H277">_xlfn.XLOOKUP(_xlfn.ANCHORARRAY(A277), TBL_Limiti_CDA[Data], TBL_Limiti_CDA[Etica Obiettivo Sociale], , -1)</f>
        <v>9.99</v>
      </c>
      <c r="I277" cm="1">
        <f t="array" ref="I277">_xlfn.XLOOKUP(_xlfn.ANCHORARRAY(A277), TBL_Limiti_CDA[Data], TBL_Limiti_CDA[Etica Conservative Allocation], , -1)</f>
        <v>1</v>
      </c>
      <c r="J277" cm="1">
        <f t="array" ref="J277">_xlfn.XLOOKUP(_xlfn.ANCHORARRAY(A277), TBL_Limiti_CDA[Data], TBL_Limiti_CDA[Etica Dynamic Allocation], , -1)</f>
        <v>3</v>
      </c>
      <c r="K277" cm="1">
        <f t="array" ref="K277">_xlfn.XLOOKUP(_xlfn.ANCHORARRAY(A277), TBL_Limiti_CDA[Data], TBL_Limiti_CDA[Etica Global Equity], , -1)</f>
        <v>3.5</v>
      </c>
      <c r="L277" cm="1">
        <f t="array" ref="L277">_xlfn.ANCHORARRAY(B277)+0.15</f>
        <v>1.9</v>
      </c>
      <c r="M277" cm="1">
        <f t="array" ref="M277">_xlfn.ANCHORARRAY(C277)+0.1</f>
        <v>0.6</v>
      </c>
      <c r="N277" cm="1">
        <f t="array" ref="N277">_xlfn.ANCHORARRAY(D277)+0.15</f>
        <v>1.1499999999999999</v>
      </c>
      <c r="O277" cm="1">
        <f t="array" ref="O277">_xlfn.ANCHORARRAY(E277)+0.15</f>
        <v>3.15</v>
      </c>
      <c r="P277" cm="1">
        <f t="array" ref="P277">_xlfn.ANCHORARRAY(F277)+0.15</f>
        <v>3.65</v>
      </c>
      <c r="Q277" cm="1">
        <f t="array" ref="Q277">_xlfn.ANCHORARRAY(G277)+0.15</f>
        <v>2.9</v>
      </c>
      <c r="R277" cm="1">
        <f t="array" ref="R277">_xlfn.ANCHORARRAY(H277)</f>
        <v>9.99</v>
      </c>
      <c r="S277" cm="1">
        <f t="array" ref="S277">_xlfn.ANCHORARRAY(R277)+0.15</f>
        <v>10.14</v>
      </c>
      <c r="T277" cm="1">
        <f t="array" ref="T277">_xlfn.ANCHORARRAY(I277)+0.15</f>
        <v>1.1499999999999999</v>
      </c>
      <c r="U277" cm="1">
        <f t="array" ref="U277">_xlfn.ANCHORARRAY(J277)+0.15</f>
        <v>3.15</v>
      </c>
      <c r="V277" cm="1">
        <f t="array" ref="V277">_xlfn.ANCHORARRAY(K277)+0.15</f>
        <v>3.65</v>
      </c>
      <c r="W277">
        <f>TBL_TEV[[#This Row],[Etica Rendita Bilanciata]]</f>
        <v>1.4706140000000001</v>
      </c>
      <c r="X277">
        <f>TBL_TEV[[#This Row],[Etica Obbligazionario Breve Termine]]</f>
        <v>0.28383599999999998</v>
      </c>
      <c r="Y277">
        <f>TBL_TEV[[#This Row],[Etica Obbligazionario Misto]]</f>
        <v>0.64117100000000005</v>
      </c>
      <c r="Z277">
        <f>TBL_TEV[[#This Row],[Etica Bilanciato]]</f>
        <v>2.3205360000000002</v>
      </c>
      <c r="AA277">
        <f>TBL_TEV[[#This Row],[Etica Azionario]]</f>
        <v>3.4149240000000001</v>
      </c>
      <c r="AB277">
        <f>TBL_TEV[[#This Row],[Etica Transizione Climatica]]</f>
        <v>2.3098999999999998</v>
      </c>
      <c r="AC277">
        <f>TBL_TEV[[#This Row],[Etica Obiettivo Sociale]]</f>
        <v>7.2467560775366815</v>
      </c>
      <c r="AD277">
        <f>TBL_TEV[[#This Row],[Etica Conservative Allocation]]</f>
        <v>0.61926499999999995</v>
      </c>
      <c r="AE277">
        <f>TBL_TEV[[#This Row],[Etica Dynamic Allocation]]</f>
        <v>2.266721</v>
      </c>
      <c r="AF277">
        <f>TBL_TEV[[#This Row],[Etica Global Equity]]</f>
        <v>3.2834829999999999</v>
      </c>
      <c r="AL277">
        <f ca="1"/>
        <v>1.4779169999999999</v>
      </c>
      <c r="AM277">
        <f ca="1"/>
        <v>0.314633</v>
      </c>
      <c r="AN277">
        <f ca="1"/>
        <v>0.64228300000000005</v>
      </c>
      <c r="AO277">
        <f ca="1"/>
        <v>2.353237</v>
      </c>
      <c r="AP277">
        <f ca="1"/>
        <v>3.4360369999999998</v>
      </c>
      <c r="AQ277">
        <f ca="1"/>
        <v>2.3983210000000001</v>
      </c>
      <c r="AR277">
        <f ca="1"/>
        <v>7.5058966207984339</v>
      </c>
      <c r="AS277">
        <f ca="1"/>
        <v>0.62021700000000002</v>
      </c>
      <c r="AT277">
        <f ca="1"/>
        <v>2.2979940000000001</v>
      </c>
      <c r="AU277">
        <f ca="1"/>
        <v>3.2993579999999998</v>
      </c>
    </row>
    <row r="278" spans="1:47">
      <c r="A278" s="43">
        <f>TBL_TEV[[#This Row],[Data2]]</f>
        <v>45685</v>
      </c>
      <c r="B278" cm="1">
        <f t="array" ref="B278">_xlfn.XLOOKUP(_xlfn.ANCHORARRAY(A278), TBL_Limiti_CDA[Data], TBL_Limiti_CDA[Etica Rendita Bilanciata], , -1)</f>
        <v>1.75</v>
      </c>
      <c r="C278" cm="1">
        <f t="array" ref="C278">_xlfn.XLOOKUP(_xlfn.ANCHORARRAY(A278), TBL_Limiti_CDA[Data], TBL_Limiti_CDA[Etica Obbligazionario Breve Termine], , -1)</f>
        <v>0.5</v>
      </c>
      <c r="D278" cm="1">
        <f t="array" ref="D278">_xlfn.XLOOKUP(_xlfn.ANCHORARRAY(A278), TBL_Limiti_CDA[Data], TBL_Limiti_CDA[Etica Obbligazionario Misto], , -1)</f>
        <v>1</v>
      </c>
      <c r="E278" cm="1">
        <f t="array" ref="E278">_xlfn.XLOOKUP(_xlfn.ANCHORARRAY(A278), TBL_Limiti_CDA[Data], TBL_Limiti_CDA[Etica Bilanciato], , -1)</f>
        <v>3</v>
      </c>
      <c r="F278" cm="1">
        <f t="array" ref="F278">_xlfn.XLOOKUP(_xlfn.ANCHORARRAY(A278), TBL_Limiti_CDA[Data], TBL_Limiti_CDA[Etica Azionario], , -1)</f>
        <v>3.5</v>
      </c>
      <c r="G278" cm="1">
        <f t="array" ref="G278">_xlfn.XLOOKUP(_xlfn.ANCHORARRAY(A278), TBL_Limiti_CDA[Data], TBL_Limiti_CDA[Etica Transizione Climatica], , -1)</f>
        <v>2.75</v>
      </c>
      <c r="H278" cm="1">
        <f t="array" ref="H278">_xlfn.XLOOKUP(_xlfn.ANCHORARRAY(A278), TBL_Limiti_CDA[Data], TBL_Limiti_CDA[Etica Obiettivo Sociale], , -1)</f>
        <v>9.99</v>
      </c>
      <c r="I278" cm="1">
        <f t="array" ref="I278">_xlfn.XLOOKUP(_xlfn.ANCHORARRAY(A278), TBL_Limiti_CDA[Data], TBL_Limiti_CDA[Etica Conservative Allocation], , -1)</f>
        <v>1</v>
      </c>
      <c r="J278" cm="1">
        <f t="array" ref="J278">_xlfn.XLOOKUP(_xlfn.ANCHORARRAY(A278), TBL_Limiti_CDA[Data], TBL_Limiti_CDA[Etica Dynamic Allocation], , -1)</f>
        <v>3</v>
      </c>
      <c r="K278" cm="1">
        <f t="array" ref="K278">_xlfn.XLOOKUP(_xlfn.ANCHORARRAY(A278), TBL_Limiti_CDA[Data], TBL_Limiti_CDA[Etica Global Equity], , -1)</f>
        <v>3.5</v>
      </c>
      <c r="L278" cm="1">
        <f t="array" ref="L278">_xlfn.ANCHORARRAY(B278)+0.15</f>
        <v>1.9</v>
      </c>
      <c r="M278" cm="1">
        <f t="array" ref="M278">_xlfn.ANCHORARRAY(C278)+0.1</f>
        <v>0.6</v>
      </c>
      <c r="N278" cm="1">
        <f t="array" ref="N278">_xlfn.ANCHORARRAY(D278)+0.15</f>
        <v>1.1499999999999999</v>
      </c>
      <c r="O278" cm="1">
        <f t="array" ref="O278">_xlfn.ANCHORARRAY(E278)+0.15</f>
        <v>3.15</v>
      </c>
      <c r="P278" cm="1">
        <f t="array" ref="P278">_xlfn.ANCHORARRAY(F278)+0.15</f>
        <v>3.65</v>
      </c>
      <c r="Q278" cm="1">
        <f t="array" ref="Q278">_xlfn.ANCHORARRAY(G278)+0.15</f>
        <v>2.9</v>
      </c>
      <c r="R278" cm="1">
        <f t="array" ref="R278">_xlfn.ANCHORARRAY(H278)</f>
        <v>9.99</v>
      </c>
      <c r="S278" cm="1">
        <f t="array" ref="S278">_xlfn.ANCHORARRAY(R278)+0.15</f>
        <v>10.14</v>
      </c>
      <c r="T278" cm="1">
        <f t="array" ref="T278">_xlfn.ANCHORARRAY(I278)+0.15</f>
        <v>1.1499999999999999</v>
      </c>
      <c r="U278" cm="1">
        <f t="array" ref="U278">_xlfn.ANCHORARRAY(J278)+0.15</f>
        <v>3.15</v>
      </c>
      <c r="V278" cm="1">
        <f t="array" ref="V278">_xlfn.ANCHORARRAY(K278)+0.15</f>
        <v>3.65</v>
      </c>
      <c r="W278">
        <f>TBL_TEV[[#This Row],[Etica Rendita Bilanciata]]</f>
        <v>1.4779169999999999</v>
      </c>
      <c r="X278">
        <f>TBL_TEV[[#This Row],[Etica Obbligazionario Breve Termine]]</f>
        <v>0.314633</v>
      </c>
      <c r="Y278">
        <f>TBL_TEV[[#This Row],[Etica Obbligazionario Misto]]</f>
        <v>0.64228300000000005</v>
      </c>
      <c r="Z278">
        <f>TBL_TEV[[#This Row],[Etica Bilanciato]]</f>
        <v>2.353237</v>
      </c>
      <c r="AA278">
        <f>TBL_TEV[[#This Row],[Etica Azionario]]</f>
        <v>3.4360369999999998</v>
      </c>
      <c r="AB278">
        <f>TBL_TEV[[#This Row],[Etica Transizione Climatica]]</f>
        <v>2.3983210000000001</v>
      </c>
      <c r="AC278">
        <f>TBL_TEV[[#This Row],[Etica Obiettivo Sociale]]</f>
        <v>7.5058966207984339</v>
      </c>
      <c r="AD278">
        <f>TBL_TEV[[#This Row],[Etica Conservative Allocation]]</f>
        <v>0.62021700000000002</v>
      </c>
      <c r="AE278">
        <f>TBL_TEV[[#This Row],[Etica Dynamic Allocation]]</f>
        <v>2.2979940000000001</v>
      </c>
      <c r="AF278">
        <f>TBL_TEV[[#This Row],[Etica Global Equity]]</f>
        <v>3.2993579999999998</v>
      </c>
      <c r="AL278">
        <f ca="1"/>
        <v>1.4741070000000001</v>
      </c>
      <c r="AM278">
        <f ca="1"/>
        <v>0.32606200000000002</v>
      </c>
      <c r="AN278">
        <f ca="1"/>
        <v>0.64021899999999998</v>
      </c>
      <c r="AO278">
        <f ca="1"/>
        <v>2.3406959999999999</v>
      </c>
      <c r="AP278">
        <f ca="1"/>
        <v>3.4263539999999999</v>
      </c>
      <c r="AQ278">
        <f ca="1"/>
        <v>2.3589519999999999</v>
      </c>
      <c r="AR278">
        <f ca="1"/>
        <v>7.3811539329168125</v>
      </c>
      <c r="AS278">
        <f ca="1"/>
        <v>0.61593100000000001</v>
      </c>
      <c r="AT278">
        <f ca="1"/>
        <v>2.2810079999999999</v>
      </c>
      <c r="AU278">
        <f ca="1"/>
        <v>3.2901509999999998</v>
      </c>
    </row>
    <row r="279" spans="1:47">
      <c r="A279" s="43">
        <f>TBL_TEV[[#This Row],[Data2]]</f>
        <v>45686</v>
      </c>
      <c r="B279" cm="1">
        <f t="array" ref="B279">_xlfn.XLOOKUP(_xlfn.ANCHORARRAY(A279), TBL_Limiti_CDA[Data], TBL_Limiti_CDA[Etica Rendita Bilanciata], , -1)</f>
        <v>1.75</v>
      </c>
      <c r="C279" cm="1">
        <f t="array" ref="C279">_xlfn.XLOOKUP(_xlfn.ANCHORARRAY(A279), TBL_Limiti_CDA[Data], TBL_Limiti_CDA[Etica Obbligazionario Breve Termine], , -1)</f>
        <v>0.5</v>
      </c>
      <c r="D279" cm="1">
        <f t="array" ref="D279">_xlfn.XLOOKUP(_xlfn.ANCHORARRAY(A279), TBL_Limiti_CDA[Data], TBL_Limiti_CDA[Etica Obbligazionario Misto], , -1)</f>
        <v>1</v>
      </c>
      <c r="E279" cm="1">
        <f t="array" ref="E279">_xlfn.XLOOKUP(_xlfn.ANCHORARRAY(A279), TBL_Limiti_CDA[Data], TBL_Limiti_CDA[Etica Bilanciato], , -1)</f>
        <v>3</v>
      </c>
      <c r="F279" cm="1">
        <f t="array" ref="F279">_xlfn.XLOOKUP(_xlfn.ANCHORARRAY(A279), TBL_Limiti_CDA[Data], TBL_Limiti_CDA[Etica Azionario], , -1)</f>
        <v>4.5</v>
      </c>
      <c r="G279" cm="1">
        <f t="array" ref="G279">_xlfn.XLOOKUP(_xlfn.ANCHORARRAY(A279), TBL_Limiti_CDA[Data], TBL_Limiti_CDA[Etica Transizione Climatica], , -1)</f>
        <v>2.75</v>
      </c>
      <c r="H279" cm="1">
        <f t="array" ref="H279">_xlfn.XLOOKUP(_xlfn.ANCHORARRAY(A279), TBL_Limiti_CDA[Data], TBL_Limiti_CDA[Etica Obiettivo Sociale], , -1)</f>
        <v>9.99</v>
      </c>
      <c r="I279" cm="1">
        <f t="array" ref="I279">_xlfn.XLOOKUP(_xlfn.ANCHORARRAY(A279), TBL_Limiti_CDA[Data], TBL_Limiti_CDA[Etica Conservative Allocation], , -1)</f>
        <v>1</v>
      </c>
      <c r="J279" cm="1">
        <f t="array" ref="J279">_xlfn.XLOOKUP(_xlfn.ANCHORARRAY(A279), TBL_Limiti_CDA[Data], TBL_Limiti_CDA[Etica Dynamic Allocation], , -1)</f>
        <v>3</v>
      </c>
      <c r="K279" cm="1">
        <f t="array" ref="K279">_xlfn.XLOOKUP(_xlfn.ANCHORARRAY(A279), TBL_Limiti_CDA[Data], TBL_Limiti_CDA[Etica Global Equity], , -1)</f>
        <v>4.5</v>
      </c>
      <c r="L279" cm="1">
        <f t="array" ref="L279">_xlfn.ANCHORARRAY(B279)+0.15</f>
        <v>1.9</v>
      </c>
      <c r="M279" cm="1">
        <f t="array" ref="M279">_xlfn.ANCHORARRAY(C279)+0.1</f>
        <v>0.6</v>
      </c>
      <c r="N279" cm="1">
        <f t="array" ref="N279">_xlfn.ANCHORARRAY(D279)+0.15</f>
        <v>1.1499999999999999</v>
      </c>
      <c r="O279" cm="1">
        <f t="array" ref="O279">_xlfn.ANCHORARRAY(E279)+0.15</f>
        <v>3.15</v>
      </c>
      <c r="P279" cm="1">
        <f t="array" ref="P279">_xlfn.ANCHORARRAY(F279)+0.15</f>
        <v>4.6500000000000004</v>
      </c>
      <c r="Q279" cm="1">
        <f t="array" ref="Q279">_xlfn.ANCHORARRAY(G279)+0.15</f>
        <v>2.9</v>
      </c>
      <c r="R279" cm="1">
        <f t="array" ref="R279">_xlfn.ANCHORARRAY(H279)</f>
        <v>9.99</v>
      </c>
      <c r="S279" cm="1">
        <f t="array" ref="S279">_xlfn.ANCHORARRAY(R279)+0.15</f>
        <v>10.14</v>
      </c>
      <c r="T279" cm="1">
        <f t="array" ref="T279">_xlfn.ANCHORARRAY(I279)+0.15</f>
        <v>1.1499999999999999</v>
      </c>
      <c r="U279" cm="1">
        <f t="array" ref="U279">_xlfn.ANCHORARRAY(J279)+0.15</f>
        <v>3.15</v>
      </c>
      <c r="V279" cm="1">
        <f t="array" ref="V279">_xlfn.ANCHORARRAY(K279)+0.15</f>
        <v>4.6500000000000004</v>
      </c>
      <c r="W279">
        <f>TBL_TEV[[#This Row],[Etica Rendita Bilanciata]]</f>
        <v>1.4741070000000001</v>
      </c>
      <c r="X279">
        <f>TBL_TEV[[#This Row],[Etica Obbligazionario Breve Termine]]</f>
        <v>0.32606200000000002</v>
      </c>
      <c r="Y279">
        <f>TBL_TEV[[#This Row],[Etica Obbligazionario Misto]]</f>
        <v>0.64021899999999998</v>
      </c>
      <c r="Z279">
        <f>TBL_TEV[[#This Row],[Etica Bilanciato]]</f>
        <v>2.3406959999999999</v>
      </c>
      <c r="AA279">
        <f>TBL_TEV[[#This Row],[Etica Azionario]]</f>
        <v>3.4263539999999999</v>
      </c>
      <c r="AB279">
        <f>TBL_TEV[[#This Row],[Etica Transizione Climatica]]</f>
        <v>2.3589519999999999</v>
      </c>
      <c r="AC279">
        <f>TBL_TEV[[#This Row],[Etica Obiettivo Sociale]]</f>
        <v>7.3811539329168125</v>
      </c>
      <c r="AD279">
        <f>TBL_TEV[[#This Row],[Etica Conservative Allocation]]</f>
        <v>0.61593100000000001</v>
      </c>
      <c r="AE279">
        <f>TBL_TEV[[#This Row],[Etica Dynamic Allocation]]</f>
        <v>2.2810079999999999</v>
      </c>
      <c r="AF279">
        <f>TBL_TEV[[#This Row],[Etica Global Equity]]</f>
        <v>3.2901509999999998</v>
      </c>
      <c r="AL279">
        <f ca="1"/>
        <v>1.473948</v>
      </c>
      <c r="AM279">
        <f ca="1"/>
        <v>0.32717400000000002</v>
      </c>
      <c r="AN279">
        <f ca="1"/>
        <v>0.68514399999999998</v>
      </c>
      <c r="AO279">
        <f ca="1"/>
        <v>2.3375210000000002</v>
      </c>
      <c r="AP279">
        <f ca="1"/>
        <v>3.4246080000000001</v>
      </c>
      <c r="AQ279">
        <f ca="1"/>
        <v>2.3408549999999999</v>
      </c>
      <c r="AR279">
        <f ca="1"/>
        <v>7.4347140771324751</v>
      </c>
      <c r="AS279">
        <f ca="1"/>
        <v>0.61751800000000001</v>
      </c>
      <c r="AT279">
        <f ca="1"/>
        <v>2.2770389999999998</v>
      </c>
      <c r="AU279">
        <f ca="1"/>
        <v>3.2801499999999999</v>
      </c>
    </row>
    <row r="280" spans="1:47">
      <c r="A280" s="43">
        <f>TBL_TEV[[#This Row],[Data2]]</f>
        <v>45687</v>
      </c>
      <c r="B280" cm="1">
        <f t="array" ref="B280">_xlfn.XLOOKUP(_xlfn.ANCHORARRAY(A280), TBL_Limiti_CDA[Data], TBL_Limiti_CDA[Etica Rendita Bilanciata], , -1)</f>
        <v>1.75</v>
      </c>
      <c r="C280" cm="1">
        <f t="array" ref="C280">_xlfn.XLOOKUP(_xlfn.ANCHORARRAY(A280), TBL_Limiti_CDA[Data], TBL_Limiti_CDA[Etica Obbligazionario Breve Termine], , -1)</f>
        <v>0.5</v>
      </c>
      <c r="D280" cm="1">
        <f t="array" ref="D280">_xlfn.XLOOKUP(_xlfn.ANCHORARRAY(A280), TBL_Limiti_CDA[Data], TBL_Limiti_CDA[Etica Obbligazionario Misto], , -1)</f>
        <v>1</v>
      </c>
      <c r="E280" cm="1">
        <f t="array" ref="E280">_xlfn.XLOOKUP(_xlfn.ANCHORARRAY(A280), TBL_Limiti_CDA[Data], TBL_Limiti_CDA[Etica Bilanciato], , -1)</f>
        <v>3</v>
      </c>
      <c r="F280" cm="1">
        <f t="array" ref="F280">_xlfn.XLOOKUP(_xlfn.ANCHORARRAY(A280), TBL_Limiti_CDA[Data], TBL_Limiti_CDA[Etica Azionario], , -1)</f>
        <v>4.5</v>
      </c>
      <c r="G280" cm="1">
        <f t="array" ref="G280">_xlfn.XLOOKUP(_xlfn.ANCHORARRAY(A280), TBL_Limiti_CDA[Data], TBL_Limiti_CDA[Etica Transizione Climatica], , -1)</f>
        <v>2.75</v>
      </c>
      <c r="H280" cm="1">
        <f t="array" ref="H280">_xlfn.XLOOKUP(_xlfn.ANCHORARRAY(A280), TBL_Limiti_CDA[Data], TBL_Limiti_CDA[Etica Obiettivo Sociale], , -1)</f>
        <v>9.99</v>
      </c>
      <c r="I280" cm="1">
        <f t="array" ref="I280">_xlfn.XLOOKUP(_xlfn.ANCHORARRAY(A280), TBL_Limiti_CDA[Data], TBL_Limiti_CDA[Etica Conservative Allocation], , -1)</f>
        <v>1</v>
      </c>
      <c r="J280" cm="1">
        <f t="array" ref="J280">_xlfn.XLOOKUP(_xlfn.ANCHORARRAY(A280), TBL_Limiti_CDA[Data], TBL_Limiti_CDA[Etica Dynamic Allocation], , -1)</f>
        <v>3</v>
      </c>
      <c r="K280" cm="1">
        <f t="array" ref="K280">_xlfn.XLOOKUP(_xlfn.ANCHORARRAY(A280), TBL_Limiti_CDA[Data], TBL_Limiti_CDA[Etica Global Equity], , -1)</f>
        <v>4.5</v>
      </c>
      <c r="L280" cm="1">
        <f t="array" ref="L280">_xlfn.ANCHORARRAY(B280)+0.15</f>
        <v>1.9</v>
      </c>
      <c r="M280" cm="1">
        <f t="array" ref="M280">_xlfn.ANCHORARRAY(C280)+0.1</f>
        <v>0.6</v>
      </c>
      <c r="N280" cm="1">
        <f t="array" ref="N280">_xlfn.ANCHORARRAY(D280)+0.15</f>
        <v>1.1499999999999999</v>
      </c>
      <c r="O280" cm="1">
        <f t="array" ref="O280">_xlfn.ANCHORARRAY(E280)+0.15</f>
        <v>3.15</v>
      </c>
      <c r="P280" cm="1">
        <f t="array" ref="P280">_xlfn.ANCHORARRAY(F280)+0.15</f>
        <v>4.6500000000000004</v>
      </c>
      <c r="Q280" cm="1">
        <f t="array" ref="Q280">_xlfn.ANCHORARRAY(G280)+0.15</f>
        <v>2.9</v>
      </c>
      <c r="R280" cm="1">
        <f t="array" ref="R280">_xlfn.ANCHORARRAY(H280)</f>
        <v>9.99</v>
      </c>
      <c r="S280" cm="1">
        <f t="array" ref="S280">_xlfn.ANCHORARRAY(R280)+0.15</f>
        <v>10.14</v>
      </c>
      <c r="T280" cm="1">
        <f t="array" ref="T280">_xlfn.ANCHORARRAY(I280)+0.15</f>
        <v>1.1499999999999999</v>
      </c>
      <c r="U280" cm="1">
        <f t="array" ref="U280">_xlfn.ANCHORARRAY(J280)+0.15</f>
        <v>3.15</v>
      </c>
      <c r="V280" cm="1">
        <f t="array" ref="V280">_xlfn.ANCHORARRAY(K280)+0.15</f>
        <v>4.6500000000000004</v>
      </c>
      <c r="W280">
        <f>TBL_TEV[[#This Row],[Etica Rendita Bilanciata]]</f>
        <v>1.473948</v>
      </c>
      <c r="X280">
        <f>TBL_TEV[[#This Row],[Etica Obbligazionario Breve Termine]]</f>
        <v>0.32717400000000002</v>
      </c>
      <c r="Y280">
        <f>TBL_TEV[[#This Row],[Etica Obbligazionario Misto]]</f>
        <v>0.68514399999999998</v>
      </c>
      <c r="Z280">
        <f>TBL_TEV[[#This Row],[Etica Bilanciato]]</f>
        <v>2.3375210000000002</v>
      </c>
      <c r="AA280">
        <f>TBL_TEV[[#This Row],[Etica Azionario]]</f>
        <v>3.4246080000000001</v>
      </c>
      <c r="AB280">
        <f>TBL_TEV[[#This Row],[Etica Transizione Climatica]]</f>
        <v>2.3408549999999999</v>
      </c>
      <c r="AC280">
        <f>TBL_TEV[[#This Row],[Etica Obiettivo Sociale]]</f>
        <v>7.4347140771324751</v>
      </c>
      <c r="AD280">
        <f>TBL_TEV[[#This Row],[Etica Conservative Allocation]]</f>
        <v>0.61751800000000001</v>
      </c>
      <c r="AE280">
        <f>TBL_TEV[[#This Row],[Etica Dynamic Allocation]]</f>
        <v>2.2770389999999998</v>
      </c>
      <c r="AF280">
        <f>TBL_TEV[[#This Row],[Etica Global Equity]]</f>
        <v>3.2801499999999999</v>
      </c>
      <c r="AL280">
        <f ca="1"/>
        <v>1.4658519999999999</v>
      </c>
      <c r="AM280">
        <f ca="1"/>
        <v>0.29129699999999997</v>
      </c>
      <c r="AN280">
        <f ca="1"/>
        <v>0.67196800000000001</v>
      </c>
      <c r="AO280">
        <f ca="1"/>
        <v>2.326092</v>
      </c>
      <c r="AP280">
        <f ca="1"/>
        <v>3.415718</v>
      </c>
      <c r="AQ280">
        <f ca="1"/>
        <v>2.299264</v>
      </c>
      <c r="AR280">
        <f ca="1"/>
        <v>7.1456410983291683</v>
      </c>
      <c r="AS280">
        <f ca="1"/>
        <v>0.59719900000000004</v>
      </c>
      <c r="AT280">
        <f ca="1"/>
        <v>2.2598950000000002</v>
      </c>
      <c r="AU280">
        <f ca="1"/>
        <v>3.2776100000000001</v>
      </c>
    </row>
    <row r="281" spans="1:47">
      <c r="A281" s="43">
        <f>TBL_TEV[[#This Row],[Data2]]</f>
        <v>45688</v>
      </c>
      <c r="B281" cm="1">
        <f t="array" ref="B281">_xlfn.XLOOKUP(_xlfn.ANCHORARRAY(A281), TBL_Limiti_CDA[Data], TBL_Limiti_CDA[Etica Rendita Bilanciata], , -1)</f>
        <v>1.75</v>
      </c>
      <c r="C281" cm="1">
        <f t="array" ref="C281">_xlfn.XLOOKUP(_xlfn.ANCHORARRAY(A281), TBL_Limiti_CDA[Data], TBL_Limiti_CDA[Etica Obbligazionario Breve Termine], , -1)</f>
        <v>0.5</v>
      </c>
      <c r="D281" cm="1">
        <f t="array" ref="D281">_xlfn.XLOOKUP(_xlfn.ANCHORARRAY(A281), TBL_Limiti_CDA[Data], TBL_Limiti_CDA[Etica Obbligazionario Misto], , -1)</f>
        <v>1</v>
      </c>
      <c r="E281" cm="1">
        <f t="array" ref="E281">_xlfn.XLOOKUP(_xlfn.ANCHORARRAY(A281), TBL_Limiti_CDA[Data], TBL_Limiti_CDA[Etica Bilanciato], , -1)</f>
        <v>3</v>
      </c>
      <c r="F281" cm="1">
        <f t="array" ref="F281">_xlfn.XLOOKUP(_xlfn.ANCHORARRAY(A281), TBL_Limiti_CDA[Data], TBL_Limiti_CDA[Etica Azionario], , -1)</f>
        <v>4.5</v>
      </c>
      <c r="G281" cm="1">
        <f t="array" ref="G281">_xlfn.XLOOKUP(_xlfn.ANCHORARRAY(A281), TBL_Limiti_CDA[Data], TBL_Limiti_CDA[Etica Transizione Climatica], , -1)</f>
        <v>2.75</v>
      </c>
      <c r="H281" cm="1">
        <f t="array" ref="H281">_xlfn.XLOOKUP(_xlfn.ANCHORARRAY(A281), TBL_Limiti_CDA[Data], TBL_Limiti_CDA[Etica Obiettivo Sociale], , -1)</f>
        <v>9.99</v>
      </c>
      <c r="I281" cm="1">
        <f t="array" ref="I281">_xlfn.XLOOKUP(_xlfn.ANCHORARRAY(A281), TBL_Limiti_CDA[Data], TBL_Limiti_CDA[Etica Conservative Allocation], , -1)</f>
        <v>1</v>
      </c>
      <c r="J281" cm="1">
        <f t="array" ref="J281">_xlfn.XLOOKUP(_xlfn.ANCHORARRAY(A281), TBL_Limiti_CDA[Data], TBL_Limiti_CDA[Etica Dynamic Allocation], , -1)</f>
        <v>3</v>
      </c>
      <c r="K281" cm="1">
        <f t="array" ref="K281">_xlfn.XLOOKUP(_xlfn.ANCHORARRAY(A281), TBL_Limiti_CDA[Data], TBL_Limiti_CDA[Etica Global Equity], , -1)</f>
        <v>4.5</v>
      </c>
      <c r="L281" cm="1">
        <f t="array" ref="L281">_xlfn.ANCHORARRAY(B281)+0.15</f>
        <v>1.9</v>
      </c>
      <c r="M281" cm="1">
        <f t="array" ref="M281">_xlfn.ANCHORARRAY(C281)+0.1</f>
        <v>0.6</v>
      </c>
      <c r="N281" cm="1">
        <f t="array" ref="N281">_xlfn.ANCHORARRAY(D281)+0.15</f>
        <v>1.1499999999999999</v>
      </c>
      <c r="O281" cm="1">
        <f t="array" ref="O281">_xlfn.ANCHORARRAY(E281)+0.15</f>
        <v>3.15</v>
      </c>
      <c r="P281" cm="1">
        <f t="array" ref="P281">_xlfn.ANCHORARRAY(F281)+0.15</f>
        <v>4.6500000000000004</v>
      </c>
      <c r="Q281" cm="1">
        <f t="array" ref="Q281">_xlfn.ANCHORARRAY(G281)+0.15</f>
        <v>2.9</v>
      </c>
      <c r="R281" cm="1">
        <f t="array" ref="R281">_xlfn.ANCHORARRAY(H281)</f>
        <v>9.99</v>
      </c>
      <c r="S281" cm="1">
        <f t="array" ref="S281">_xlfn.ANCHORARRAY(R281)+0.15</f>
        <v>10.14</v>
      </c>
      <c r="T281" cm="1">
        <f t="array" ref="T281">_xlfn.ANCHORARRAY(I281)+0.15</f>
        <v>1.1499999999999999</v>
      </c>
      <c r="U281" cm="1">
        <f t="array" ref="U281">_xlfn.ANCHORARRAY(J281)+0.15</f>
        <v>3.15</v>
      </c>
      <c r="V281" cm="1">
        <f t="array" ref="V281">_xlfn.ANCHORARRAY(K281)+0.15</f>
        <v>4.6500000000000004</v>
      </c>
      <c r="W281">
        <f>TBL_TEV[[#This Row],[Etica Rendita Bilanciata]]</f>
        <v>1.4658519999999999</v>
      </c>
      <c r="X281">
        <f>TBL_TEV[[#This Row],[Etica Obbligazionario Breve Termine]]</f>
        <v>0.29129699999999997</v>
      </c>
      <c r="Y281">
        <f>TBL_TEV[[#This Row],[Etica Obbligazionario Misto]]</f>
        <v>0.67196800000000001</v>
      </c>
      <c r="Z281">
        <f>TBL_TEV[[#This Row],[Etica Bilanciato]]</f>
        <v>2.326092</v>
      </c>
      <c r="AA281">
        <f>TBL_TEV[[#This Row],[Etica Azionario]]</f>
        <v>3.415718</v>
      </c>
      <c r="AB281">
        <f>TBL_TEV[[#This Row],[Etica Transizione Climatica]]</f>
        <v>2.299264</v>
      </c>
      <c r="AC281">
        <f>TBL_TEV[[#This Row],[Etica Obiettivo Sociale]]</f>
        <v>7.1456410983291683</v>
      </c>
      <c r="AD281">
        <f>TBL_TEV[[#This Row],[Etica Conservative Allocation]]</f>
        <v>0.59719900000000004</v>
      </c>
      <c r="AE281">
        <f>TBL_TEV[[#This Row],[Etica Dynamic Allocation]]</f>
        <v>2.2598950000000002</v>
      </c>
      <c r="AF281">
        <f>TBL_TEV[[#This Row],[Etica Global Equity]]</f>
        <v>3.2776100000000001</v>
      </c>
      <c r="AL281">
        <f ca="1"/>
        <v>1.4183870000000001</v>
      </c>
      <c r="AM281">
        <f ca="1"/>
        <v>0.28907500000000003</v>
      </c>
      <c r="AN281">
        <f ca="1"/>
        <v>0.62656699999999999</v>
      </c>
      <c r="AO281">
        <f ca="1"/>
        <v>2.2916439999999998</v>
      </c>
      <c r="AP281">
        <f ca="1"/>
        <v>3.370317</v>
      </c>
      <c r="AQ281">
        <f ca="1"/>
        <v>2.283865</v>
      </c>
      <c r="AR281">
        <f ca="1"/>
        <v>7.1890411642455376</v>
      </c>
      <c r="AS281">
        <f ca="1"/>
        <v>0.58735700000000002</v>
      </c>
      <c r="AT281">
        <f ca="1"/>
        <v>2.220526</v>
      </c>
      <c r="AU281">
        <f ca="1"/>
        <v>3.2309389999999998</v>
      </c>
    </row>
    <row r="282" spans="1:47">
      <c r="A282" s="43">
        <f>TBL_TEV[[#This Row],[Data2]]</f>
        <v>45691</v>
      </c>
      <c r="B282" cm="1">
        <f t="array" ref="B282">_xlfn.XLOOKUP(_xlfn.ANCHORARRAY(A282), TBL_Limiti_CDA[Data], TBL_Limiti_CDA[Etica Rendita Bilanciata], , -1)</f>
        <v>1.75</v>
      </c>
      <c r="C282" cm="1">
        <f t="array" ref="C282">_xlfn.XLOOKUP(_xlfn.ANCHORARRAY(A282), TBL_Limiti_CDA[Data], TBL_Limiti_CDA[Etica Obbligazionario Breve Termine], , -1)</f>
        <v>0.5</v>
      </c>
      <c r="D282" cm="1">
        <f t="array" ref="D282">_xlfn.XLOOKUP(_xlfn.ANCHORARRAY(A282), TBL_Limiti_CDA[Data], TBL_Limiti_CDA[Etica Obbligazionario Misto], , -1)</f>
        <v>1</v>
      </c>
      <c r="E282" cm="1">
        <f t="array" ref="E282">_xlfn.XLOOKUP(_xlfn.ANCHORARRAY(A282), TBL_Limiti_CDA[Data], TBL_Limiti_CDA[Etica Bilanciato], , -1)</f>
        <v>3</v>
      </c>
      <c r="F282" cm="1">
        <f t="array" ref="F282">_xlfn.XLOOKUP(_xlfn.ANCHORARRAY(A282), TBL_Limiti_CDA[Data], TBL_Limiti_CDA[Etica Azionario], , -1)</f>
        <v>4.5</v>
      </c>
      <c r="G282" cm="1">
        <f t="array" ref="G282">_xlfn.XLOOKUP(_xlfn.ANCHORARRAY(A282), TBL_Limiti_CDA[Data], TBL_Limiti_CDA[Etica Transizione Climatica], , -1)</f>
        <v>2.75</v>
      </c>
      <c r="H282" cm="1">
        <f t="array" ref="H282">_xlfn.XLOOKUP(_xlfn.ANCHORARRAY(A282), TBL_Limiti_CDA[Data], TBL_Limiti_CDA[Etica Obiettivo Sociale], , -1)</f>
        <v>9.99</v>
      </c>
      <c r="I282" cm="1">
        <f t="array" ref="I282">_xlfn.XLOOKUP(_xlfn.ANCHORARRAY(A282), TBL_Limiti_CDA[Data], TBL_Limiti_CDA[Etica Conservative Allocation], , -1)</f>
        <v>1</v>
      </c>
      <c r="J282" cm="1">
        <f t="array" ref="J282">_xlfn.XLOOKUP(_xlfn.ANCHORARRAY(A282), TBL_Limiti_CDA[Data], TBL_Limiti_CDA[Etica Dynamic Allocation], , -1)</f>
        <v>3</v>
      </c>
      <c r="K282" cm="1">
        <f t="array" ref="K282">_xlfn.XLOOKUP(_xlfn.ANCHORARRAY(A282), TBL_Limiti_CDA[Data], TBL_Limiti_CDA[Etica Global Equity], , -1)</f>
        <v>4.5</v>
      </c>
      <c r="L282" cm="1">
        <f t="array" ref="L282">_xlfn.ANCHORARRAY(B282)+0.15</f>
        <v>1.9</v>
      </c>
      <c r="M282" cm="1">
        <f t="array" ref="M282">_xlfn.ANCHORARRAY(C282)+0.1</f>
        <v>0.6</v>
      </c>
      <c r="N282" cm="1">
        <f t="array" ref="N282">_xlfn.ANCHORARRAY(D282)+0.15</f>
        <v>1.1499999999999999</v>
      </c>
      <c r="O282" cm="1">
        <f t="array" ref="O282">_xlfn.ANCHORARRAY(E282)+0.15</f>
        <v>3.15</v>
      </c>
      <c r="P282" cm="1">
        <f t="array" ref="P282">_xlfn.ANCHORARRAY(F282)+0.15</f>
        <v>4.6500000000000004</v>
      </c>
      <c r="Q282" cm="1">
        <f t="array" ref="Q282">_xlfn.ANCHORARRAY(G282)+0.15</f>
        <v>2.9</v>
      </c>
      <c r="R282" cm="1">
        <f t="array" ref="R282">_xlfn.ANCHORARRAY(H282)</f>
        <v>9.99</v>
      </c>
      <c r="S282" cm="1">
        <f t="array" ref="S282">_xlfn.ANCHORARRAY(R282)+0.15</f>
        <v>10.14</v>
      </c>
      <c r="T282" cm="1">
        <f t="array" ref="T282">_xlfn.ANCHORARRAY(I282)+0.15</f>
        <v>1.1499999999999999</v>
      </c>
      <c r="U282" cm="1">
        <f t="array" ref="U282">_xlfn.ANCHORARRAY(J282)+0.15</f>
        <v>3.15</v>
      </c>
      <c r="V282" cm="1">
        <f t="array" ref="V282">_xlfn.ANCHORARRAY(K282)+0.15</f>
        <v>4.6500000000000004</v>
      </c>
      <c r="W282">
        <f>TBL_TEV[[#This Row],[Etica Rendita Bilanciata]]</f>
        <v>1.4183870000000001</v>
      </c>
      <c r="X282">
        <f>TBL_TEV[[#This Row],[Etica Obbligazionario Breve Termine]]</f>
        <v>0.28907500000000003</v>
      </c>
      <c r="Y282">
        <f>TBL_TEV[[#This Row],[Etica Obbligazionario Misto]]</f>
        <v>0.62656699999999999</v>
      </c>
      <c r="Z282">
        <f>TBL_TEV[[#This Row],[Etica Bilanciato]]</f>
        <v>2.2916439999999998</v>
      </c>
      <c r="AA282">
        <f>TBL_TEV[[#This Row],[Etica Azionario]]</f>
        <v>3.370317</v>
      </c>
      <c r="AB282">
        <f>TBL_TEV[[#This Row],[Etica Transizione Climatica]]</f>
        <v>2.283865</v>
      </c>
      <c r="AC282">
        <f>TBL_TEV[[#This Row],[Etica Obiettivo Sociale]]</f>
        <v>7.1890411642455376</v>
      </c>
      <c r="AD282">
        <f>TBL_TEV[[#This Row],[Etica Conservative Allocation]]</f>
        <v>0.58735700000000002</v>
      </c>
      <c r="AE282">
        <f>TBL_TEV[[#This Row],[Etica Dynamic Allocation]]</f>
        <v>2.220526</v>
      </c>
      <c r="AF282">
        <f>TBL_TEV[[#This Row],[Etica Global Equity]]</f>
        <v>3.2309389999999998</v>
      </c>
      <c r="AL282">
        <f ca="1"/>
        <v>1.428547</v>
      </c>
      <c r="AM282">
        <f ca="1"/>
        <v>0.28780499999999998</v>
      </c>
      <c r="AN282">
        <f ca="1"/>
        <v>0.630853</v>
      </c>
      <c r="AO282">
        <f ca="1"/>
        <v>2.2987869999999999</v>
      </c>
      <c r="AP282">
        <f ca="1"/>
        <v>3.375238</v>
      </c>
      <c r="AQ282">
        <f ca="1"/>
        <v>2.302597</v>
      </c>
      <c r="AR282">
        <f ca="1"/>
        <v>7.2170583208829884</v>
      </c>
      <c r="AS282">
        <f ca="1"/>
        <v>0.59084899999999996</v>
      </c>
      <c r="AT282">
        <f ca="1"/>
        <v>2.2305269999999999</v>
      </c>
      <c r="AU282">
        <f ca="1"/>
        <v>3.2482419999999999</v>
      </c>
    </row>
    <row r="283" spans="1:47">
      <c r="A283" s="43">
        <f>TBL_TEV[[#This Row],[Data2]]</f>
        <v>45692</v>
      </c>
      <c r="B283" cm="1">
        <f t="array" ref="B283">_xlfn.XLOOKUP(_xlfn.ANCHORARRAY(A283), TBL_Limiti_CDA[Data], TBL_Limiti_CDA[Etica Rendita Bilanciata], , -1)</f>
        <v>1.75</v>
      </c>
      <c r="C283" cm="1">
        <f t="array" ref="C283">_xlfn.XLOOKUP(_xlfn.ANCHORARRAY(A283), TBL_Limiti_CDA[Data], TBL_Limiti_CDA[Etica Obbligazionario Breve Termine], , -1)</f>
        <v>0.5</v>
      </c>
      <c r="D283" cm="1">
        <f t="array" ref="D283">_xlfn.XLOOKUP(_xlfn.ANCHORARRAY(A283), TBL_Limiti_CDA[Data], TBL_Limiti_CDA[Etica Obbligazionario Misto], , -1)</f>
        <v>1</v>
      </c>
      <c r="E283" cm="1">
        <f t="array" ref="E283">_xlfn.XLOOKUP(_xlfn.ANCHORARRAY(A283), TBL_Limiti_CDA[Data], TBL_Limiti_CDA[Etica Bilanciato], , -1)</f>
        <v>3</v>
      </c>
      <c r="F283" cm="1">
        <f t="array" ref="F283">_xlfn.XLOOKUP(_xlfn.ANCHORARRAY(A283), TBL_Limiti_CDA[Data], TBL_Limiti_CDA[Etica Azionario], , -1)</f>
        <v>4.5</v>
      </c>
      <c r="G283" cm="1">
        <f t="array" ref="G283">_xlfn.XLOOKUP(_xlfn.ANCHORARRAY(A283), TBL_Limiti_CDA[Data], TBL_Limiti_CDA[Etica Transizione Climatica], , -1)</f>
        <v>2.75</v>
      </c>
      <c r="H283" cm="1">
        <f t="array" ref="H283">_xlfn.XLOOKUP(_xlfn.ANCHORARRAY(A283), TBL_Limiti_CDA[Data], TBL_Limiti_CDA[Etica Obiettivo Sociale], , -1)</f>
        <v>9.99</v>
      </c>
      <c r="I283" cm="1">
        <f t="array" ref="I283">_xlfn.XLOOKUP(_xlfn.ANCHORARRAY(A283), TBL_Limiti_CDA[Data], TBL_Limiti_CDA[Etica Conservative Allocation], , -1)</f>
        <v>1</v>
      </c>
      <c r="J283" cm="1">
        <f t="array" ref="J283">_xlfn.XLOOKUP(_xlfn.ANCHORARRAY(A283), TBL_Limiti_CDA[Data], TBL_Limiti_CDA[Etica Dynamic Allocation], , -1)</f>
        <v>3</v>
      </c>
      <c r="K283" cm="1">
        <f t="array" ref="K283">_xlfn.XLOOKUP(_xlfn.ANCHORARRAY(A283), TBL_Limiti_CDA[Data], TBL_Limiti_CDA[Etica Global Equity], , -1)</f>
        <v>4.5</v>
      </c>
      <c r="L283" cm="1">
        <f t="array" ref="L283">_xlfn.ANCHORARRAY(B283)+0.15</f>
        <v>1.9</v>
      </c>
      <c r="M283" cm="1">
        <f t="array" ref="M283">_xlfn.ANCHORARRAY(C283)+0.1</f>
        <v>0.6</v>
      </c>
      <c r="N283" cm="1">
        <f t="array" ref="N283">_xlfn.ANCHORARRAY(D283)+0.15</f>
        <v>1.1499999999999999</v>
      </c>
      <c r="O283" cm="1">
        <f t="array" ref="O283">_xlfn.ANCHORARRAY(E283)+0.15</f>
        <v>3.15</v>
      </c>
      <c r="P283" cm="1">
        <f t="array" ref="P283">_xlfn.ANCHORARRAY(F283)+0.15</f>
        <v>4.6500000000000004</v>
      </c>
      <c r="Q283" cm="1">
        <f t="array" ref="Q283">_xlfn.ANCHORARRAY(G283)+0.15</f>
        <v>2.9</v>
      </c>
      <c r="R283" cm="1">
        <f t="array" ref="R283">_xlfn.ANCHORARRAY(H283)</f>
        <v>9.99</v>
      </c>
      <c r="S283" cm="1">
        <f t="array" ref="S283">_xlfn.ANCHORARRAY(R283)+0.15</f>
        <v>10.14</v>
      </c>
      <c r="T283" cm="1">
        <f t="array" ref="T283">_xlfn.ANCHORARRAY(I283)+0.15</f>
        <v>1.1499999999999999</v>
      </c>
      <c r="U283" cm="1">
        <f t="array" ref="U283">_xlfn.ANCHORARRAY(J283)+0.15</f>
        <v>3.15</v>
      </c>
      <c r="V283" cm="1">
        <f t="array" ref="V283">_xlfn.ANCHORARRAY(K283)+0.15</f>
        <v>4.6500000000000004</v>
      </c>
      <c r="W283">
        <f>TBL_TEV[[#This Row],[Etica Rendita Bilanciata]]</f>
        <v>1.428547</v>
      </c>
      <c r="X283">
        <f>TBL_TEV[[#This Row],[Etica Obbligazionario Breve Termine]]</f>
        <v>0.28780499999999998</v>
      </c>
      <c r="Y283">
        <f>TBL_TEV[[#This Row],[Etica Obbligazionario Misto]]</f>
        <v>0.630853</v>
      </c>
      <c r="Z283">
        <f>TBL_TEV[[#This Row],[Etica Bilanciato]]</f>
        <v>2.2987869999999999</v>
      </c>
      <c r="AA283">
        <f>TBL_TEV[[#This Row],[Etica Azionario]]</f>
        <v>3.375238</v>
      </c>
      <c r="AB283">
        <f>TBL_TEV[[#This Row],[Etica Transizione Climatica]]</f>
        <v>2.302597</v>
      </c>
      <c r="AC283">
        <f>TBL_TEV[[#This Row],[Etica Obiettivo Sociale]]</f>
        <v>7.2170583208829884</v>
      </c>
      <c r="AD283">
        <f>TBL_TEV[[#This Row],[Etica Conservative Allocation]]</f>
        <v>0.59084899999999996</v>
      </c>
      <c r="AE283">
        <f>TBL_TEV[[#This Row],[Etica Dynamic Allocation]]</f>
        <v>2.2305269999999999</v>
      </c>
      <c r="AF283">
        <f>TBL_TEV[[#This Row],[Etica Global Equity]]</f>
        <v>3.2482419999999999</v>
      </c>
      <c r="AL283">
        <f ca="1"/>
        <v>1.4469609999999999</v>
      </c>
      <c r="AM283">
        <f ca="1"/>
        <v>0.28923399999999999</v>
      </c>
      <c r="AN283">
        <f ca="1"/>
        <v>0.64148899999999998</v>
      </c>
      <c r="AO283">
        <f ca="1"/>
        <v>2.3413309999999998</v>
      </c>
      <c r="AP283">
        <f ca="1"/>
        <v>3.3936519999999999</v>
      </c>
      <c r="AQ283">
        <f ca="1"/>
        <v>2.2913260000000002</v>
      </c>
      <c r="AR283">
        <f ca="1"/>
        <v>7.2892992796109786</v>
      </c>
      <c r="AS283">
        <f ca="1"/>
        <v>0.59592900000000004</v>
      </c>
      <c r="AT283">
        <f ca="1"/>
        <v>2.2595770000000002</v>
      </c>
      <c r="AU283">
        <f ca="1"/>
        <v>3.2480829999999998</v>
      </c>
    </row>
    <row r="284" spans="1:47">
      <c r="A284" s="43">
        <f>TBL_TEV[[#This Row],[Data2]]</f>
        <v>45693</v>
      </c>
      <c r="B284" cm="1">
        <f t="array" ref="B284">_xlfn.XLOOKUP(_xlfn.ANCHORARRAY(A284), TBL_Limiti_CDA[Data], TBL_Limiti_CDA[Etica Rendita Bilanciata], , -1)</f>
        <v>1.75</v>
      </c>
      <c r="C284" cm="1">
        <f t="array" ref="C284">_xlfn.XLOOKUP(_xlfn.ANCHORARRAY(A284), TBL_Limiti_CDA[Data], TBL_Limiti_CDA[Etica Obbligazionario Breve Termine], , -1)</f>
        <v>0.5</v>
      </c>
      <c r="D284" cm="1">
        <f t="array" ref="D284">_xlfn.XLOOKUP(_xlfn.ANCHORARRAY(A284), TBL_Limiti_CDA[Data], TBL_Limiti_CDA[Etica Obbligazionario Misto], , -1)</f>
        <v>1</v>
      </c>
      <c r="E284" cm="1">
        <f t="array" ref="E284">_xlfn.XLOOKUP(_xlfn.ANCHORARRAY(A284), TBL_Limiti_CDA[Data], TBL_Limiti_CDA[Etica Bilanciato], , -1)</f>
        <v>3</v>
      </c>
      <c r="F284" cm="1">
        <f t="array" ref="F284">_xlfn.XLOOKUP(_xlfn.ANCHORARRAY(A284), TBL_Limiti_CDA[Data], TBL_Limiti_CDA[Etica Azionario], , -1)</f>
        <v>4.5</v>
      </c>
      <c r="G284" cm="1">
        <f t="array" ref="G284">_xlfn.XLOOKUP(_xlfn.ANCHORARRAY(A284), TBL_Limiti_CDA[Data], TBL_Limiti_CDA[Etica Transizione Climatica], , -1)</f>
        <v>2.75</v>
      </c>
      <c r="H284" cm="1">
        <f t="array" ref="H284">_xlfn.XLOOKUP(_xlfn.ANCHORARRAY(A284), TBL_Limiti_CDA[Data], TBL_Limiti_CDA[Etica Obiettivo Sociale], , -1)</f>
        <v>9.99</v>
      </c>
      <c r="I284" cm="1">
        <f t="array" ref="I284">_xlfn.XLOOKUP(_xlfn.ANCHORARRAY(A284), TBL_Limiti_CDA[Data], TBL_Limiti_CDA[Etica Conservative Allocation], , -1)</f>
        <v>1</v>
      </c>
      <c r="J284" cm="1">
        <f t="array" ref="J284">_xlfn.XLOOKUP(_xlfn.ANCHORARRAY(A284), TBL_Limiti_CDA[Data], TBL_Limiti_CDA[Etica Dynamic Allocation], , -1)</f>
        <v>3</v>
      </c>
      <c r="K284" cm="1">
        <f t="array" ref="K284">_xlfn.XLOOKUP(_xlfn.ANCHORARRAY(A284), TBL_Limiti_CDA[Data], TBL_Limiti_CDA[Etica Global Equity], , -1)</f>
        <v>4.5</v>
      </c>
      <c r="L284" cm="1">
        <f t="array" ref="L284">_xlfn.ANCHORARRAY(B284)+0.15</f>
        <v>1.9</v>
      </c>
      <c r="M284" cm="1">
        <f t="array" ref="M284">_xlfn.ANCHORARRAY(C284)+0.1</f>
        <v>0.6</v>
      </c>
      <c r="N284" cm="1">
        <f t="array" ref="N284">_xlfn.ANCHORARRAY(D284)+0.15</f>
        <v>1.1499999999999999</v>
      </c>
      <c r="O284" cm="1">
        <f t="array" ref="O284">_xlfn.ANCHORARRAY(E284)+0.15</f>
        <v>3.15</v>
      </c>
      <c r="P284" cm="1">
        <f t="array" ref="P284">_xlfn.ANCHORARRAY(F284)+0.15</f>
        <v>4.6500000000000004</v>
      </c>
      <c r="Q284" cm="1">
        <f t="array" ref="Q284">_xlfn.ANCHORARRAY(G284)+0.15</f>
        <v>2.9</v>
      </c>
      <c r="R284" cm="1">
        <f t="array" ref="R284">_xlfn.ANCHORARRAY(H284)</f>
        <v>9.99</v>
      </c>
      <c r="S284" cm="1">
        <f t="array" ref="S284">_xlfn.ANCHORARRAY(R284)+0.15</f>
        <v>10.14</v>
      </c>
      <c r="T284" cm="1">
        <f t="array" ref="T284">_xlfn.ANCHORARRAY(I284)+0.15</f>
        <v>1.1499999999999999</v>
      </c>
      <c r="U284" cm="1">
        <f t="array" ref="U284">_xlfn.ANCHORARRAY(J284)+0.15</f>
        <v>3.15</v>
      </c>
      <c r="V284" cm="1">
        <f t="array" ref="V284">_xlfn.ANCHORARRAY(K284)+0.15</f>
        <v>4.6500000000000004</v>
      </c>
      <c r="W284">
        <f>TBL_TEV[[#This Row],[Etica Rendita Bilanciata]]</f>
        <v>1.4469609999999999</v>
      </c>
      <c r="X284">
        <f>TBL_TEV[[#This Row],[Etica Obbligazionario Breve Termine]]</f>
        <v>0.28923399999999999</v>
      </c>
      <c r="Y284">
        <f>TBL_TEV[[#This Row],[Etica Obbligazionario Misto]]</f>
        <v>0.64148899999999998</v>
      </c>
      <c r="Z284">
        <f>TBL_TEV[[#This Row],[Etica Bilanciato]]</f>
        <v>2.3413309999999998</v>
      </c>
      <c r="AA284">
        <f>TBL_TEV[[#This Row],[Etica Azionario]]</f>
        <v>3.3936519999999999</v>
      </c>
      <c r="AB284">
        <f>TBL_TEV[[#This Row],[Etica Transizione Climatica]]</f>
        <v>2.2913260000000002</v>
      </c>
      <c r="AC284">
        <f>TBL_TEV[[#This Row],[Etica Obiettivo Sociale]]</f>
        <v>7.2892992796109786</v>
      </c>
      <c r="AD284">
        <f>TBL_TEV[[#This Row],[Etica Conservative Allocation]]</f>
        <v>0.59592900000000004</v>
      </c>
      <c r="AE284">
        <f>TBL_TEV[[#This Row],[Etica Dynamic Allocation]]</f>
        <v>2.2595770000000002</v>
      </c>
      <c r="AF284">
        <f>TBL_TEV[[#This Row],[Etica Global Equity]]</f>
        <v>3.2480829999999998</v>
      </c>
      <c r="AL284">
        <f ca="1"/>
        <v>1.447438</v>
      </c>
      <c r="AM284">
        <f ca="1"/>
        <v>0.28986899999999999</v>
      </c>
      <c r="AN284">
        <f ca="1"/>
        <v>0.643235</v>
      </c>
      <c r="AO284">
        <f ca="1"/>
        <v>2.3546659999999999</v>
      </c>
      <c r="AP284">
        <f ca="1"/>
        <v>3.393176</v>
      </c>
      <c r="AQ284">
        <f ca="1"/>
        <v>2.2818019999999999</v>
      </c>
      <c r="AR284">
        <f ca="1"/>
        <v>7.6135794176513283</v>
      </c>
      <c r="AS284">
        <f ca="1"/>
        <v>0.59545300000000001</v>
      </c>
      <c r="AT284">
        <f ca="1"/>
        <v>2.2641810000000002</v>
      </c>
      <c r="AU284">
        <f ca="1"/>
        <v>3.2423679999999999</v>
      </c>
    </row>
    <row r="285" spans="1:47">
      <c r="A285" s="43">
        <f>TBL_TEV[[#This Row],[Data2]]</f>
        <v>45694</v>
      </c>
      <c r="B285" cm="1">
        <f t="array" ref="B285">_xlfn.XLOOKUP(_xlfn.ANCHORARRAY(A285), TBL_Limiti_CDA[Data], TBL_Limiti_CDA[Etica Rendita Bilanciata], , -1)</f>
        <v>1.75</v>
      </c>
      <c r="C285" cm="1">
        <f t="array" ref="C285">_xlfn.XLOOKUP(_xlfn.ANCHORARRAY(A285), TBL_Limiti_CDA[Data], TBL_Limiti_CDA[Etica Obbligazionario Breve Termine], , -1)</f>
        <v>0.5</v>
      </c>
      <c r="D285" cm="1">
        <f t="array" ref="D285">_xlfn.XLOOKUP(_xlfn.ANCHORARRAY(A285), TBL_Limiti_CDA[Data], TBL_Limiti_CDA[Etica Obbligazionario Misto], , -1)</f>
        <v>1</v>
      </c>
      <c r="E285" cm="1">
        <f t="array" ref="E285">_xlfn.XLOOKUP(_xlfn.ANCHORARRAY(A285), TBL_Limiti_CDA[Data], TBL_Limiti_CDA[Etica Bilanciato], , -1)</f>
        <v>3</v>
      </c>
      <c r="F285" cm="1">
        <f t="array" ref="F285">_xlfn.XLOOKUP(_xlfn.ANCHORARRAY(A285), TBL_Limiti_CDA[Data], TBL_Limiti_CDA[Etica Azionario], , -1)</f>
        <v>4.5</v>
      </c>
      <c r="G285" cm="1">
        <f t="array" ref="G285">_xlfn.XLOOKUP(_xlfn.ANCHORARRAY(A285), TBL_Limiti_CDA[Data], TBL_Limiti_CDA[Etica Transizione Climatica], , -1)</f>
        <v>2.75</v>
      </c>
      <c r="H285" cm="1">
        <f t="array" ref="H285">_xlfn.XLOOKUP(_xlfn.ANCHORARRAY(A285), TBL_Limiti_CDA[Data], TBL_Limiti_CDA[Etica Obiettivo Sociale], , -1)</f>
        <v>9.99</v>
      </c>
      <c r="I285" cm="1">
        <f t="array" ref="I285">_xlfn.XLOOKUP(_xlfn.ANCHORARRAY(A285), TBL_Limiti_CDA[Data], TBL_Limiti_CDA[Etica Conservative Allocation], , -1)</f>
        <v>1</v>
      </c>
      <c r="J285" cm="1">
        <f t="array" ref="J285">_xlfn.XLOOKUP(_xlfn.ANCHORARRAY(A285), TBL_Limiti_CDA[Data], TBL_Limiti_CDA[Etica Dynamic Allocation], , -1)</f>
        <v>3</v>
      </c>
      <c r="K285" cm="1">
        <f t="array" ref="K285">_xlfn.XLOOKUP(_xlfn.ANCHORARRAY(A285), TBL_Limiti_CDA[Data], TBL_Limiti_CDA[Etica Global Equity], , -1)</f>
        <v>4.5</v>
      </c>
      <c r="L285" cm="1">
        <f t="array" ref="L285">_xlfn.ANCHORARRAY(B285)+0.15</f>
        <v>1.9</v>
      </c>
      <c r="M285" cm="1">
        <f t="array" ref="M285">_xlfn.ANCHORARRAY(C285)+0.1</f>
        <v>0.6</v>
      </c>
      <c r="N285" cm="1">
        <f t="array" ref="N285">_xlfn.ANCHORARRAY(D285)+0.15</f>
        <v>1.1499999999999999</v>
      </c>
      <c r="O285" cm="1">
        <f t="array" ref="O285">_xlfn.ANCHORARRAY(E285)+0.15</f>
        <v>3.15</v>
      </c>
      <c r="P285" cm="1">
        <f t="array" ref="P285">_xlfn.ANCHORARRAY(F285)+0.15</f>
        <v>4.6500000000000004</v>
      </c>
      <c r="Q285" cm="1">
        <f t="array" ref="Q285">_xlfn.ANCHORARRAY(G285)+0.15</f>
        <v>2.9</v>
      </c>
      <c r="R285" cm="1">
        <f t="array" ref="R285">_xlfn.ANCHORARRAY(H285)</f>
        <v>9.99</v>
      </c>
      <c r="S285" cm="1">
        <f t="array" ref="S285">_xlfn.ANCHORARRAY(R285)+0.15</f>
        <v>10.14</v>
      </c>
      <c r="T285" cm="1">
        <f t="array" ref="T285">_xlfn.ANCHORARRAY(I285)+0.15</f>
        <v>1.1499999999999999</v>
      </c>
      <c r="U285" cm="1">
        <f t="array" ref="U285">_xlfn.ANCHORARRAY(J285)+0.15</f>
        <v>3.15</v>
      </c>
      <c r="V285" cm="1">
        <f t="array" ref="V285">_xlfn.ANCHORARRAY(K285)+0.15</f>
        <v>4.6500000000000004</v>
      </c>
      <c r="W285">
        <f>TBL_TEV[[#This Row],[Etica Rendita Bilanciata]]</f>
        <v>1.447438</v>
      </c>
      <c r="X285">
        <f>TBL_TEV[[#This Row],[Etica Obbligazionario Breve Termine]]</f>
        <v>0.28986899999999999</v>
      </c>
      <c r="Y285">
        <f>TBL_TEV[[#This Row],[Etica Obbligazionario Misto]]</f>
        <v>0.643235</v>
      </c>
      <c r="Z285">
        <f>TBL_TEV[[#This Row],[Etica Bilanciato]]</f>
        <v>2.3546659999999999</v>
      </c>
      <c r="AA285">
        <f>TBL_TEV[[#This Row],[Etica Azionario]]</f>
        <v>3.393176</v>
      </c>
      <c r="AB285">
        <f>TBL_TEV[[#This Row],[Etica Transizione Climatica]]</f>
        <v>2.2818019999999999</v>
      </c>
      <c r="AC285">
        <f>TBL_TEV[[#This Row],[Etica Obiettivo Sociale]]</f>
        <v>7.6135794176513283</v>
      </c>
      <c r="AD285">
        <f>TBL_TEV[[#This Row],[Etica Conservative Allocation]]</f>
        <v>0.59545300000000001</v>
      </c>
      <c r="AE285">
        <f>TBL_TEV[[#This Row],[Etica Dynamic Allocation]]</f>
        <v>2.2641810000000002</v>
      </c>
      <c r="AF285">
        <f>TBL_TEV[[#This Row],[Etica Global Equity]]</f>
        <v>3.2423679999999999</v>
      </c>
      <c r="AL285">
        <f ca="1"/>
        <v>1.438072</v>
      </c>
      <c r="AM285">
        <f ca="1"/>
        <v>0.29288500000000001</v>
      </c>
      <c r="AN285">
        <f ca="1"/>
        <v>0.64863199999999999</v>
      </c>
      <c r="AO285">
        <f ca="1"/>
        <v>2.3614920000000001</v>
      </c>
      <c r="AP285">
        <f ca="1"/>
        <v>3.4088919999999998</v>
      </c>
      <c r="AQ285">
        <f ca="1"/>
        <v>2.26688</v>
      </c>
      <c r="AR285">
        <f ca="1"/>
        <v>7.2597351079071517</v>
      </c>
      <c r="AS285">
        <f ca="1"/>
        <v>0.59465900000000005</v>
      </c>
      <c r="AT285">
        <f ca="1"/>
        <v>2.275928</v>
      </c>
      <c r="AU285">
        <f ca="1"/>
        <v>3.2663389999999999</v>
      </c>
    </row>
    <row r="286" spans="1:47">
      <c r="A286" s="43">
        <f>TBL_TEV[[#This Row],[Data2]]</f>
        <v>45695</v>
      </c>
      <c r="B286" cm="1">
        <f t="array" ref="B286">_xlfn.XLOOKUP(_xlfn.ANCHORARRAY(A286), TBL_Limiti_CDA[Data], TBL_Limiti_CDA[Etica Rendita Bilanciata], , -1)</f>
        <v>1.75</v>
      </c>
      <c r="C286" cm="1">
        <f t="array" ref="C286">_xlfn.XLOOKUP(_xlfn.ANCHORARRAY(A286), TBL_Limiti_CDA[Data], TBL_Limiti_CDA[Etica Obbligazionario Breve Termine], , -1)</f>
        <v>0.5</v>
      </c>
      <c r="D286" cm="1">
        <f t="array" ref="D286">_xlfn.XLOOKUP(_xlfn.ANCHORARRAY(A286), TBL_Limiti_CDA[Data], TBL_Limiti_CDA[Etica Obbligazionario Misto], , -1)</f>
        <v>1</v>
      </c>
      <c r="E286" cm="1">
        <f t="array" ref="E286">_xlfn.XLOOKUP(_xlfn.ANCHORARRAY(A286), TBL_Limiti_CDA[Data], TBL_Limiti_CDA[Etica Bilanciato], , -1)</f>
        <v>3</v>
      </c>
      <c r="F286" cm="1">
        <f t="array" ref="F286">_xlfn.XLOOKUP(_xlfn.ANCHORARRAY(A286), TBL_Limiti_CDA[Data], TBL_Limiti_CDA[Etica Azionario], , -1)</f>
        <v>4.5</v>
      </c>
      <c r="G286" cm="1">
        <f t="array" ref="G286">_xlfn.XLOOKUP(_xlfn.ANCHORARRAY(A286), TBL_Limiti_CDA[Data], TBL_Limiti_CDA[Etica Transizione Climatica], , -1)</f>
        <v>2.75</v>
      </c>
      <c r="H286" cm="1">
        <f t="array" ref="H286">_xlfn.XLOOKUP(_xlfn.ANCHORARRAY(A286), TBL_Limiti_CDA[Data], TBL_Limiti_CDA[Etica Obiettivo Sociale], , -1)</f>
        <v>9.99</v>
      </c>
      <c r="I286" cm="1">
        <f t="array" ref="I286">_xlfn.XLOOKUP(_xlfn.ANCHORARRAY(A286), TBL_Limiti_CDA[Data], TBL_Limiti_CDA[Etica Conservative Allocation], , -1)</f>
        <v>1</v>
      </c>
      <c r="J286" cm="1">
        <f t="array" ref="J286">_xlfn.XLOOKUP(_xlfn.ANCHORARRAY(A286), TBL_Limiti_CDA[Data], TBL_Limiti_CDA[Etica Dynamic Allocation], , -1)</f>
        <v>3</v>
      </c>
      <c r="K286" cm="1">
        <f t="array" ref="K286">_xlfn.XLOOKUP(_xlfn.ANCHORARRAY(A286), TBL_Limiti_CDA[Data], TBL_Limiti_CDA[Etica Global Equity], , -1)</f>
        <v>4.5</v>
      </c>
      <c r="L286" cm="1">
        <f t="array" ref="L286">_xlfn.ANCHORARRAY(B286)+0.15</f>
        <v>1.9</v>
      </c>
      <c r="M286" cm="1">
        <f t="array" ref="M286">_xlfn.ANCHORARRAY(C286)+0.1</f>
        <v>0.6</v>
      </c>
      <c r="N286" cm="1">
        <f t="array" ref="N286">_xlfn.ANCHORARRAY(D286)+0.15</f>
        <v>1.1499999999999999</v>
      </c>
      <c r="O286" cm="1">
        <f t="array" ref="O286">_xlfn.ANCHORARRAY(E286)+0.15</f>
        <v>3.15</v>
      </c>
      <c r="P286" cm="1">
        <f t="array" ref="P286">_xlfn.ANCHORARRAY(F286)+0.15</f>
        <v>4.6500000000000004</v>
      </c>
      <c r="Q286" cm="1">
        <f t="array" ref="Q286">_xlfn.ANCHORARRAY(G286)+0.15</f>
        <v>2.9</v>
      </c>
      <c r="R286" cm="1">
        <f t="array" ref="R286">_xlfn.ANCHORARRAY(H286)</f>
        <v>9.99</v>
      </c>
      <c r="S286" cm="1">
        <f t="array" ref="S286">_xlfn.ANCHORARRAY(R286)+0.15</f>
        <v>10.14</v>
      </c>
      <c r="T286" cm="1">
        <f t="array" ref="T286">_xlfn.ANCHORARRAY(I286)+0.15</f>
        <v>1.1499999999999999</v>
      </c>
      <c r="U286" cm="1">
        <f t="array" ref="U286">_xlfn.ANCHORARRAY(J286)+0.15</f>
        <v>3.15</v>
      </c>
      <c r="V286" cm="1">
        <f t="array" ref="V286">_xlfn.ANCHORARRAY(K286)+0.15</f>
        <v>4.6500000000000004</v>
      </c>
      <c r="W286">
        <f>TBL_TEV[[#This Row],[Etica Rendita Bilanciata]]</f>
        <v>1.438072</v>
      </c>
      <c r="X286">
        <f>TBL_TEV[[#This Row],[Etica Obbligazionario Breve Termine]]</f>
        <v>0.29288500000000001</v>
      </c>
      <c r="Y286">
        <f>TBL_TEV[[#This Row],[Etica Obbligazionario Misto]]</f>
        <v>0.64863199999999999</v>
      </c>
      <c r="Z286">
        <f>TBL_TEV[[#This Row],[Etica Bilanciato]]</f>
        <v>2.3614920000000001</v>
      </c>
      <c r="AA286">
        <f>TBL_TEV[[#This Row],[Etica Azionario]]</f>
        <v>3.4088919999999998</v>
      </c>
      <c r="AB286">
        <f>TBL_TEV[[#This Row],[Etica Transizione Climatica]]</f>
        <v>2.26688</v>
      </c>
      <c r="AC286">
        <f>TBL_TEV[[#This Row],[Etica Obiettivo Sociale]]</f>
        <v>7.2597351079071517</v>
      </c>
      <c r="AD286">
        <f>TBL_TEV[[#This Row],[Etica Conservative Allocation]]</f>
        <v>0.59465900000000005</v>
      </c>
      <c r="AE286">
        <f>TBL_TEV[[#This Row],[Etica Dynamic Allocation]]</f>
        <v>2.275928</v>
      </c>
      <c r="AF286">
        <f>TBL_TEV[[#This Row],[Etica Global Equity]]</f>
        <v>3.2663389999999999</v>
      </c>
      <c r="AL286">
        <f ca="1"/>
        <v>1.453311</v>
      </c>
      <c r="AM286">
        <f ca="1"/>
        <v>0.29288500000000001</v>
      </c>
      <c r="AN286">
        <f ca="1"/>
        <v>0.663713</v>
      </c>
      <c r="AO286">
        <f ca="1"/>
        <v>2.409592</v>
      </c>
      <c r="AP286">
        <f ca="1"/>
        <v>3.438418</v>
      </c>
      <c r="AQ286">
        <f ca="1"/>
        <v>2.2902149999999999</v>
      </c>
      <c r="AR286">
        <f ca="1"/>
        <v>7.413965809895755</v>
      </c>
      <c r="AS286">
        <f ca="1"/>
        <v>0.60069099999999997</v>
      </c>
      <c r="AT286">
        <f ca="1"/>
        <v>2.3010100000000002</v>
      </c>
      <c r="AU286">
        <f ca="1"/>
        <v>3.2934839999999999</v>
      </c>
    </row>
    <row r="287" spans="1:47">
      <c r="A287" s="43">
        <f>TBL_TEV[[#This Row],[Data2]]</f>
        <v>45698</v>
      </c>
      <c r="B287" cm="1">
        <f t="array" ref="B287">_xlfn.XLOOKUP(_xlfn.ANCHORARRAY(A287), TBL_Limiti_CDA[Data], TBL_Limiti_CDA[Etica Rendita Bilanciata], , -1)</f>
        <v>1.75</v>
      </c>
      <c r="C287" cm="1">
        <f t="array" ref="C287">_xlfn.XLOOKUP(_xlfn.ANCHORARRAY(A287), TBL_Limiti_CDA[Data], TBL_Limiti_CDA[Etica Obbligazionario Breve Termine], , -1)</f>
        <v>0.5</v>
      </c>
      <c r="D287" cm="1">
        <f t="array" ref="D287">_xlfn.XLOOKUP(_xlfn.ANCHORARRAY(A287), TBL_Limiti_CDA[Data], TBL_Limiti_CDA[Etica Obbligazionario Misto], , -1)</f>
        <v>1</v>
      </c>
      <c r="E287" cm="1">
        <f t="array" ref="E287">_xlfn.XLOOKUP(_xlfn.ANCHORARRAY(A287), TBL_Limiti_CDA[Data], TBL_Limiti_CDA[Etica Bilanciato], , -1)</f>
        <v>3</v>
      </c>
      <c r="F287" cm="1">
        <f t="array" ref="F287">_xlfn.XLOOKUP(_xlfn.ANCHORARRAY(A287), TBL_Limiti_CDA[Data], TBL_Limiti_CDA[Etica Azionario], , -1)</f>
        <v>4.5</v>
      </c>
      <c r="G287" cm="1">
        <f t="array" ref="G287">_xlfn.XLOOKUP(_xlfn.ANCHORARRAY(A287), TBL_Limiti_CDA[Data], TBL_Limiti_CDA[Etica Transizione Climatica], , -1)</f>
        <v>2.75</v>
      </c>
      <c r="H287" cm="1">
        <f t="array" ref="H287">_xlfn.XLOOKUP(_xlfn.ANCHORARRAY(A287), TBL_Limiti_CDA[Data], TBL_Limiti_CDA[Etica Obiettivo Sociale], , -1)</f>
        <v>9.99</v>
      </c>
      <c r="I287" cm="1">
        <f t="array" ref="I287">_xlfn.XLOOKUP(_xlfn.ANCHORARRAY(A287), TBL_Limiti_CDA[Data], TBL_Limiti_CDA[Etica Conservative Allocation], , -1)</f>
        <v>1</v>
      </c>
      <c r="J287" cm="1">
        <f t="array" ref="J287">_xlfn.XLOOKUP(_xlfn.ANCHORARRAY(A287), TBL_Limiti_CDA[Data], TBL_Limiti_CDA[Etica Dynamic Allocation], , -1)</f>
        <v>3</v>
      </c>
      <c r="K287" cm="1">
        <f t="array" ref="K287">_xlfn.XLOOKUP(_xlfn.ANCHORARRAY(A287), TBL_Limiti_CDA[Data], TBL_Limiti_CDA[Etica Global Equity], , -1)</f>
        <v>4.5</v>
      </c>
      <c r="L287" cm="1">
        <f t="array" ref="L287">_xlfn.ANCHORARRAY(B287)+0.15</f>
        <v>1.9</v>
      </c>
      <c r="M287" cm="1">
        <f t="array" ref="M287">_xlfn.ANCHORARRAY(C287)+0.1</f>
        <v>0.6</v>
      </c>
      <c r="N287" cm="1">
        <f t="array" ref="N287">_xlfn.ANCHORARRAY(D287)+0.15</f>
        <v>1.1499999999999999</v>
      </c>
      <c r="O287" cm="1">
        <f t="array" ref="O287">_xlfn.ANCHORARRAY(E287)+0.15</f>
        <v>3.15</v>
      </c>
      <c r="P287" cm="1">
        <f t="array" ref="P287">_xlfn.ANCHORARRAY(F287)+0.15</f>
        <v>4.6500000000000004</v>
      </c>
      <c r="Q287" cm="1">
        <f t="array" ref="Q287">_xlfn.ANCHORARRAY(G287)+0.15</f>
        <v>2.9</v>
      </c>
      <c r="R287" cm="1">
        <f t="array" ref="R287">_xlfn.ANCHORARRAY(H287)</f>
        <v>9.99</v>
      </c>
      <c r="S287" cm="1">
        <f t="array" ref="S287">_xlfn.ANCHORARRAY(R287)+0.15</f>
        <v>10.14</v>
      </c>
      <c r="T287" cm="1">
        <f t="array" ref="T287">_xlfn.ANCHORARRAY(I287)+0.15</f>
        <v>1.1499999999999999</v>
      </c>
      <c r="U287" cm="1">
        <f t="array" ref="U287">_xlfn.ANCHORARRAY(J287)+0.15</f>
        <v>3.15</v>
      </c>
      <c r="V287" cm="1">
        <f t="array" ref="V287">_xlfn.ANCHORARRAY(K287)+0.15</f>
        <v>4.6500000000000004</v>
      </c>
      <c r="W287">
        <f>TBL_TEV[[#This Row],[Etica Rendita Bilanciata]]</f>
        <v>1.453311</v>
      </c>
      <c r="X287">
        <f>TBL_TEV[[#This Row],[Etica Obbligazionario Breve Termine]]</f>
        <v>0.29288500000000001</v>
      </c>
      <c r="Y287">
        <f>TBL_TEV[[#This Row],[Etica Obbligazionario Misto]]</f>
        <v>0.663713</v>
      </c>
      <c r="Z287">
        <f>TBL_TEV[[#This Row],[Etica Bilanciato]]</f>
        <v>2.409592</v>
      </c>
      <c r="AA287">
        <f>TBL_TEV[[#This Row],[Etica Azionario]]</f>
        <v>3.438418</v>
      </c>
      <c r="AB287">
        <f>TBL_TEV[[#This Row],[Etica Transizione Climatica]]</f>
        <v>2.2902149999999999</v>
      </c>
      <c r="AC287">
        <f>TBL_TEV[[#This Row],[Etica Obiettivo Sociale]]</f>
        <v>7.413965809895755</v>
      </c>
      <c r="AD287">
        <f>TBL_TEV[[#This Row],[Etica Conservative Allocation]]</f>
        <v>0.60069099999999997</v>
      </c>
      <c r="AE287">
        <f>TBL_TEV[[#This Row],[Etica Dynamic Allocation]]</f>
        <v>2.3010100000000002</v>
      </c>
      <c r="AF287">
        <f>TBL_TEV[[#This Row],[Etica Global Equity]]</f>
        <v>3.2934839999999999</v>
      </c>
      <c r="AL287">
        <f ca="1"/>
        <v>1.4442630000000001</v>
      </c>
      <c r="AM287">
        <f ca="1"/>
        <v>0.29399599999999998</v>
      </c>
      <c r="AN287">
        <f ca="1"/>
        <v>0.66418900000000003</v>
      </c>
      <c r="AO287">
        <f ca="1"/>
        <v>2.40848</v>
      </c>
      <c r="AP287">
        <f ca="1"/>
        <v>3.4323860000000002</v>
      </c>
      <c r="AQ287">
        <f ca="1"/>
        <v>2.2764039999999999</v>
      </c>
      <c r="AR287">
        <f ca="1"/>
        <v>7.4600799810682856</v>
      </c>
      <c r="AS287">
        <f ca="1"/>
        <v>0.59640499999999996</v>
      </c>
      <c r="AT287">
        <f ca="1"/>
        <v>2.285612</v>
      </c>
      <c r="AU287">
        <f ca="1"/>
        <v>3.264275</v>
      </c>
    </row>
    <row r="288" spans="1:47">
      <c r="A288" s="43">
        <f>TBL_TEV[[#This Row],[Data2]]</f>
        <v>45699</v>
      </c>
      <c r="B288" cm="1">
        <f t="array" ref="B288">_xlfn.XLOOKUP(_xlfn.ANCHORARRAY(A288), TBL_Limiti_CDA[Data], TBL_Limiti_CDA[Etica Rendita Bilanciata], , -1)</f>
        <v>1.75</v>
      </c>
      <c r="C288" cm="1">
        <f t="array" ref="C288">_xlfn.XLOOKUP(_xlfn.ANCHORARRAY(A288), TBL_Limiti_CDA[Data], TBL_Limiti_CDA[Etica Obbligazionario Breve Termine], , -1)</f>
        <v>0.5</v>
      </c>
      <c r="D288" cm="1">
        <f t="array" ref="D288">_xlfn.XLOOKUP(_xlfn.ANCHORARRAY(A288), TBL_Limiti_CDA[Data], TBL_Limiti_CDA[Etica Obbligazionario Misto], , -1)</f>
        <v>1</v>
      </c>
      <c r="E288" cm="1">
        <f t="array" ref="E288">_xlfn.XLOOKUP(_xlfn.ANCHORARRAY(A288), TBL_Limiti_CDA[Data], TBL_Limiti_CDA[Etica Bilanciato], , -1)</f>
        <v>3</v>
      </c>
      <c r="F288" cm="1">
        <f t="array" ref="F288">_xlfn.XLOOKUP(_xlfn.ANCHORARRAY(A288), TBL_Limiti_CDA[Data], TBL_Limiti_CDA[Etica Azionario], , -1)</f>
        <v>4.5</v>
      </c>
      <c r="G288" cm="1">
        <f t="array" ref="G288">_xlfn.XLOOKUP(_xlfn.ANCHORARRAY(A288), TBL_Limiti_CDA[Data], TBL_Limiti_CDA[Etica Transizione Climatica], , -1)</f>
        <v>2.75</v>
      </c>
      <c r="H288" cm="1">
        <f t="array" ref="H288">_xlfn.XLOOKUP(_xlfn.ANCHORARRAY(A288), TBL_Limiti_CDA[Data], TBL_Limiti_CDA[Etica Obiettivo Sociale], , -1)</f>
        <v>9.99</v>
      </c>
      <c r="I288" cm="1">
        <f t="array" ref="I288">_xlfn.XLOOKUP(_xlfn.ANCHORARRAY(A288), TBL_Limiti_CDA[Data], TBL_Limiti_CDA[Etica Conservative Allocation], , -1)</f>
        <v>1</v>
      </c>
      <c r="J288" cm="1">
        <f t="array" ref="J288">_xlfn.XLOOKUP(_xlfn.ANCHORARRAY(A288), TBL_Limiti_CDA[Data], TBL_Limiti_CDA[Etica Dynamic Allocation], , -1)</f>
        <v>3</v>
      </c>
      <c r="K288" cm="1">
        <f t="array" ref="K288">_xlfn.XLOOKUP(_xlfn.ANCHORARRAY(A288), TBL_Limiti_CDA[Data], TBL_Limiti_CDA[Etica Global Equity], , -1)</f>
        <v>4.5</v>
      </c>
      <c r="L288" cm="1">
        <f t="array" ref="L288">_xlfn.ANCHORARRAY(B288)+0.15</f>
        <v>1.9</v>
      </c>
      <c r="M288" cm="1">
        <f t="array" ref="M288">_xlfn.ANCHORARRAY(C288)+0.1</f>
        <v>0.6</v>
      </c>
      <c r="N288" cm="1">
        <f t="array" ref="N288">_xlfn.ANCHORARRAY(D288)+0.15</f>
        <v>1.1499999999999999</v>
      </c>
      <c r="O288" cm="1">
        <f t="array" ref="O288">_xlfn.ANCHORARRAY(E288)+0.15</f>
        <v>3.15</v>
      </c>
      <c r="P288" cm="1">
        <f t="array" ref="P288">_xlfn.ANCHORARRAY(F288)+0.15</f>
        <v>4.6500000000000004</v>
      </c>
      <c r="Q288" cm="1">
        <f t="array" ref="Q288">_xlfn.ANCHORARRAY(G288)+0.15</f>
        <v>2.9</v>
      </c>
      <c r="R288" cm="1">
        <f t="array" ref="R288">_xlfn.ANCHORARRAY(H288)</f>
        <v>9.99</v>
      </c>
      <c r="S288" cm="1">
        <f t="array" ref="S288">_xlfn.ANCHORARRAY(R288)+0.15</f>
        <v>10.14</v>
      </c>
      <c r="T288" cm="1">
        <f t="array" ref="T288">_xlfn.ANCHORARRAY(I288)+0.15</f>
        <v>1.1499999999999999</v>
      </c>
      <c r="U288" cm="1">
        <f t="array" ref="U288">_xlfn.ANCHORARRAY(J288)+0.15</f>
        <v>3.15</v>
      </c>
      <c r="V288" cm="1">
        <f t="array" ref="V288">_xlfn.ANCHORARRAY(K288)+0.15</f>
        <v>4.6500000000000004</v>
      </c>
      <c r="W288">
        <f>TBL_TEV[[#This Row],[Etica Rendita Bilanciata]]</f>
        <v>1.4442630000000001</v>
      </c>
      <c r="X288">
        <f>TBL_TEV[[#This Row],[Etica Obbligazionario Breve Termine]]</f>
        <v>0.29399599999999998</v>
      </c>
      <c r="Y288">
        <f>TBL_TEV[[#This Row],[Etica Obbligazionario Misto]]</f>
        <v>0.66418900000000003</v>
      </c>
      <c r="Z288">
        <f>TBL_TEV[[#This Row],[Etica Bilanciato]]</f>
        <v>2.40848</v>
      </c>
      <c r="AA288">
        <f>TBL_TEV[[#This Row],[Etica Azionario]]</f>
        <v>3.4323860000000002</v>
      </c>
      <c r="AB288">
        <f>TBL_TEV[[#This Row],[Etica Transizione Climatica]]</f>
        <v>2.2764039999999999</v>
      </c>
      <c r="AC288">
        <f>TBL_TEV[[#This Row],[Etica Obiettivo Sociale]]</f>
        <v>7.4600799810682856</v>
      </c>
      <c r="AD288">
        <f>TBL_TEV[[#This Row],[Etica Conservative Allocation]]</f>
        <v>0.59640499999999996</v>
      </c>
      <c r="AE288">
        <f>TBL_TEV[[#This Row],[Etica Dynamic Allocation]]</f>
        <v>2.285612</v>
      </c>
      <c r="AF288">
        <f>TBL_TEV[[#This Row],[Etica Global Equity]]</f>
        <v>3.264275</v>
      </c>
      <c r="AL288">
        <f ca="1"/>
        <v>1.4479139999999999</v>
      </c>
      <c r="AM288">
        <f ca="1"/>
        <v>0.29383700000000001</v>
      </c>
      <c r="AN288">
        <f ca="1"/>
        <v>0.66672900000000002</v>
      </c>
      <c r="AO288">
        <f ca="1"/>
        <v>2.4054639999999998</v>
      </c>
      <c r="AP288">
        <f ca="1"/>
        <v>3.43953</v>
      </c>
      <c r="AQ288">
        <f ca="1"/>
        <v>2.2876750000000001</v>
      </c>
      <c r="AR288">
        <f ca="1"/>
        <v>7.685680888955674</v>
      </c>
      <c r="AS288">
        <f ca="1"/>
        <v>0.59608799999999995</v>
      </c>
      <c r="AT288">
        <f ca="1"/>
        <v>2.2775159999999999</v>
      </c>
      <c r="AU288">
        <f ca="1"/>
        <v>3.2545920000000002</v>
      </c>
    </row>
    <row r="289" spans="1:47">
      <c r="A289" s="43">
        <f>TBL_TEV[[#This Row],[Data2]]</f>
        <v>45700</v>
      </c>
      <c r="B289" cm="1">
        <f t="array" ref="B289">_xlfn.XLOOKUP(_xlfn.ANCHORARRAY(A289), TBL_Limiti_CDA[Data], TBL_Limiti_CDA[Etica Rendita Bilanciata], , -1)</f>
        <v>1.75</v>
      </c>
      <c r="C289" cm="1">
        <f t="array" ref="C289">_xlfn.XLOOKUP(_xlfn.ANCHORARRAY(A289), TBL_Limiti_CDA[Data], TBL_Limiti_CDA[Etica Obbligazionario Breve Termine], , -1)</f>
        <v>0.5</v>
      </c>
      <c r="D289" cm="1">
        <f t="array" ref="D289">_xlfn.XLOOKUP(_xlfn.ANCHORARRAY(A289), TBL_Limiti_CDA[Data], TBL_Limiti_CDA[Etica Obbligazionario Misto], , -1)</f>
        <v>1</v>
      </c>
      <c r="E289" cm="1">
        <f t="array" ref="E289">_xlfn.XLOOKUP(_xlfn.ANCHORARRAY(A289), TBL_Limiti_CDA[Data], TBL_Limiti_CDA[Etica Bilanciato], , -1)</f>
        <v>3</v>
      </c>
      <c r="F289" cm="1">
        <f t="array" ref="F289">_xlfn.XLOOKUP(_xlfn.ANCHORARRAY(A289), TBL_Limiti_CDA[Data], TBL_Limiti_CDA[Etica Azionario], , -1)</f>
        <v>4.5</v>
      </c>
      <c r="G289" cm="1">
        <f t="array" ref="G289">_xlfn.XLOOKUP(_xlfn.ANCHORARRAY(A289), TBL_Limiti_CDA[Data], TBL_Limiti_CDA[Etica Transizione Climatica], , -1)</f>
        <v>2.75</v>
      </c>
      <c r="H289" cm="1">
        <f t="array" ref="H289">_xlfn.XLOOKUP(_xlfn.ANCHORARRAY(A289), TBL_Limiti_CDA[Data], TBL_Limiti_CDA[Etica Obiettivo Sociale], , -1)</f>
        <v>9.99</v>
      </c>
      <c r="I289" cm="1">
        <f t="array" ref="I289">_xlfn.XLOOKUP(_xlfn.ANCHORARRAY(A289), TBL_Limiti_CDA[Data], TBL_Limiti_CDA[Etica Conservative Allocation], , -1)</f>
        <v>1</v>
      </c>
      <c r="J289" cm="1">
        <f t="array" ref="J289">_xlfn.XLOOKUP(_xlfn.ANCHORARRAY(A289), TBL_Limiti_CDA[Data], TBL_Limiti_CDA[Etica Dynamic Allocation], , -1)</f>
        <v>3</v>
      </c>
      <c r="K289" cm="1">
        <f t="array" ref="K289">_xlfn.XLOOKUP(_xlfn.ANCHORARRAY(A289), TBL_Limiti_CDA[Data], TBL_Limiti_CDA[Etica Global Equity], , -1)</f>
        <v>4.5</v>
      </c>
      <c r="L289" cm="1">
        <f t="array" ref="L289">_xlfn.ANCHORARRAY(B289)+0.15</f>
        <v>1.9</v>
      </c>
      <c r="M289" cm="1">
        <f t="array" ref="M289">_xlfn.ANCHORARRAY(C289)+0.1</f>
        <v>0.6</v>
      </c>
      <c r="N289" cm="1">
        <f t="array" ref="N289">_xlfn.ANCHORARRAY(D289)+0.15</f>
        <v>1.1499999999999999</v>
      </c>
      <c r="O289" cm="1">
        <f t="array" ref="O289">_xlfn.ANCHORARRAY(E289)+0.15</f>
        <v>3.15</v>
      </c>
      <c r="P289" cm="1">
        <f t="array" ref="P289">_xlfn.ANCHORARRAY(F289)+0.15</f>
        <v>4.6500000000000004</v>
      </c>
      <c r="Q289" cm="1">
        <f t="array" ref="Q289">_xlfn.ANCHORARRAY(G289)+0.15</f>
        <v>2.9</v>
      </c>
      <c r="R289" cm="1">
        <f t="array" ref="R289">_xlfn.ANCHORARRAY(H289)</f>
        <v>9.99</v>
      </c>
      <c r="S289" cm="1">
        <f t="array" ref="S289">_xlfn.ANCHORARRAY(R289)+0.15</f>
        <v>10.14</v>
      </c>
      <c r="T289" cm="1">
        <f t="array" ref="T289">_xlfn.ANCHORARRAY(I289)+0.15</f>
        <v>1.1499999999999999</v>
      </c>
      <c r="U289" cm="1">
        <f t="array" ref="U289">_xlfn.ANCHORARRAY(J289)+0.15</f>
        <v>3.15</v>
      </c>
      <c r="V289" cm="1">
        <f t="array" ref="V289">_xlfn.ANCHORARRAY(K289)+0.15</f>
        <v>4.6500000000000004</v>
      </c>
      <c r="W289">
        <f>TBL_TEV[[#This Row],[Etica Rendita Bilanciata]]</f>
        <v>1.4479139999999999</v>
      </c>
      <c r="X289">
        <f>TBL_TEV[[#This Row],[Etica Obbligazionario Breve Termine]]</f>
        <v>0.29383700000000001</v>
      </c>
      <c r="Y289">
        <f>TBL_TEV[[#This Row],[Etica Obbligazionario Misto]]</f>
        <v>0.66672900000000002</v>
      </c>
      <c r="Z289">
        <f>TBL_TEV[[#This Row],[Etica Bilanciato]]</f>
        <v>2.4054639999999998</v>
      </c>
      <c r="AA289">
        <f>TBL_TEV[[#This Row],[Etica Azionario]]</f>
        <v>3.43953</v>
      </c>
      <c r="AB289">
        <f>TBL_TEV[[#This Row],[Etica Transizione Climatica]]</f>
        <v>2.2876750000000001</v>
      </c>
      <c r="AC289">
        <f>TBL_TEV[[#This Row],[Etica Obiettivo Sociale]]</f>
        <v>7.685680888955674</v>
      </c>
      <c r="AD289">
        <f>TBL_TEV[[#This Row],[Etica Conservative Allocation]]</f>
        <v>0.59608799999999995</v>
      </c>
      <c r="AE289">
        <f>TBL_TEV[[#This Row],[Etica Dynamic Allocation]]</f>
        <v>2.2775159999999999</v>
      </c>
      <c r="AF289">
        <f>TBL_TEV[[#This Row],[Etica Global Equity]]</f>
        <v>3.2545920000000002</v>
      </c>
      <c r="AL289">
        <f ca="1"/>
        <v>1.488235</v>
      </c>
      <c r="AM289">
        <f ca="1"/>
        <v>0.29732999999999998</v>
      </c>
      <c r="AN289">
        <f ca="1"/>
        <v>0.69752599999999998</v>
      </c>
      <c r="AO289">
        <f ca="1"/>
        <v>2.4519760000000002</v>
      </c>
      <c r="AP289">
        <f ca="1"/>
        <v>3.4903279999999999</v>
      </c>
      <c r="AQ289">
        <f ca="1"/>
        <v>2.3067250000000001</v>
      </c>
      <c r="AR289">
        <f ca="1"/>
        <v>7.5132957042119504</v>
      </c>
      <c r="AS289">
        <f ca="1"/>
        <v>0.60148500000000005</v>
      </c>
      <c r="AT289">
        <f ca="1"/>
        <v>2.298629</v>
      </c>
      <c r="AU289">
        <f ca="1"/>
        <v>3.2782450000000001</v>
      </c>
    </row>
    <row r="290" spans="1:47">
      <c r="A290" s="43">
        <f>TBL_TEV[[#This Row],[Data2]]</f>
        <v>45701</v>
      </c>
      <c r="B290" cm="1">
        <f t="array" ref="B290">_xlfn.XLOOKUP(_xlfn.ANCHORARRAY(A290), TBL_Limiti_CDA[Data], TBL_Limiti_CDA[Etica Rendita Bilanciata], , -1)</f>
        <v>1.75</v>
      </c>
      <c r="C290" cm="1">
        <f t="array" ref="C290">_xlfn.XLOOKUP(_xlfn.ANCHORARRAY(A290), TBL_Limiti_CDA[Data], TBL_Limiti_CDA[Etica Obbligazionario Breve Termine], , -1)</f>
        <v>0.5</v>
      </c>
      <c r="D290" cm="1">
        <f t="array" ref="D290">_xlfn.XLOOKUP(_xlfn.ANCHORARRAY(A290), TBL_Limiti_CDA[Data], TBL_Limiti_CDA[Etica Obbligazionario Misto], , -1)</f>
        <v>1</v>
      </c>
      <c r="E290" cm="1">
        <f t="array" ref="E290">_xlfn.XLOOKUP(_xlfn.ANCHORARRAY(A290), TBL_Limiti_CDA[Data], TBL_Limiti_CDA[Etica Bilanciato], , -1)</f>
        <v>3</v>
      </c>
      <c r="F290" cm="1">
        <f t="array" ref="F290">_xlfn.XLOOKUP(_xlfn.ANCHORARRAY(A290), TBL_Limiti_CDA[Data], TBL_Limiti_CDA[Etica Azionario], , -1)</f>
        <v>4.5</v>
      </c>
      <c r="G290" cm="1">
        <f t="array" ref="G290">_xlfn.XLOOKUP(_xlfn.ANCHORARRAY(A290), TBL_Limiti_CDA[Data], TBL_Limiti_CDA[Etica Transizione Climatica], , -1)</f>
        <v>2.75</v>
      </c>
      <c r="H290" cm="1">
        <f t="array" ref="H290">_xlfn.XLOOKUP(_xlfn.ANCHORARRAY(A290), TBL_Limiti_CDA[Data], TBL_Limiti_CDA[Etica Obiettivo Sociale], , -1)</f>
        <v>9.99</v>
      </c>
      <c r="I290" cm="1">
        <f t="array" ref="I290">_xlfn.XLOOKUP(_xlfn.ANCHORARRAY(A290), TBL_Limiti_CDA[Data], TBL_Limiti_CDA[Etica Conservative Allocation], , -1)</f>
        <v>1</v>
      </c>
      <c r="J290" cm="1">
        <f t="array" ref="J290">_xlfn.XLOOKUP(_xlfn.ANCHORARRAY(A290), TBL_Limiti_CDA[Data], TBL_Limiti_CDA[Etica Dynamic Allocation], , -1)</f>
        <v>3</v>
      </c>
      <c r="K290" cm="1">
        <f t="array" ref="K290">_xlfn.XLOOKUP(_xlfn.ANCHORARRAY(A290), TBL_Limiti_CDA[Data], TBL_Limiti_CDA[Etica Global Equity], , -1)</f>
        <v>4.5</v>
      </c>
      <c r="L290" cm="1">
        <f t="array" ref="L290">_xlfn.ANCHORARRAY(B290)+0.15</f>
        <v>1.9</v>
      </c>
      <c r="M290" cm="1">
        <f t="array" ref="M290">_xlfn.ANCHORARRAY(C290)+0.1</f>
        <v>0.6</v>
      </c>
      <c r="N290" cm="1">
        <f t="array" ref="N290">_xlfn.ANCHORARRAY(D290)+0.15</f>
        <v>1.1499999999999999</v>
      </c>
      <c r="O290" cm="1">
        <f t="array" ref="O290">_xlfn.ANCHORARRAY(E290)+0.15</f>
        <v>3.15</v>
      </c>
      <c r="P290" cm="1">
        <f t="array" ref="P290">_xlfn.ANCHORARRAY(F290)+0.15</f>
        <v>4.6500000000000004</v>
      </c>
      <c r="Q290" cm="1">
        <f t="array" ref="Q290">_xlfn.ANCHORARRAY(G290)+0.15</f>
        <v>2.9</v>
      </c>
      <c r="R290" cm="1">
        <f t="array" ref="R290">_xlfn.ANCHORARRAY(H290)</f>
        <v>9.99</v>
      </c>
      <c r="S290" cm="1">
        <f t="array" ref="S290">_xlfn.ANCHORARRAY(R290)+0.15</f>
        <v>10.14</v>
      </c>
      <c r="T290" cm="1">
        <f t="array" ref="T290">_xlfn.ANCHORARRAY(I290)+0.15</f>
        <v>1.1499999999999999</v>
      </c>
      <c r="U290" cm="1">
        <f t="array" ref="U290">_xlfn.ANCHORARRAY(J290)+0.15</f>
        <v>3.15</v>
      </c>
      <c r="V290" cm="1">
        <f t="array" ref="V290">_xlfn.ANCHORARRAY(K290)+0.15</f>
        <v>4.6500000000000004</v>
      </c>
      <c r="W290">
        <f>TBL_TEV[[#This Row],[Etica Rendita Bilanciata]]</f>
        <v>1.488235</v>
      </c>
      <c r="X290">
        <f>TBL_TEV[[#This Row],[Etica Obbligazionario Breve Termine]]</f>
        <v>0.29732999999999998</v>
      </c>
      <c r="Y290">
        <f>TBL_TEV[[#This Row],[Etica Obbligazionario Misto]]</f>
        <v>0.69752599999999998</v>
      </c>
      <c r="Z290">
        <f>TBL_TEV[[#This Row],[Etica Bilanciato]]</f>
        <v>2.4519760000000002</v>
      </c>
      <c r="AA290">
        <f>TBL_TEV[[#This Row],[Etica Azionario]]</f>
        <v>3.4903279999999999</v>
      </c>
      <c r="AB290">
        <f>TBL_TEV[[#This Row],[Etica Transizione Climatica]]</f>
        <v>2.3067250000000001</v>
      </c>
      <c r="AC290">
        <f>TBL_TEV[[#This Row],[Etica Obiettivo Sociale]]</f>
        <v>7.5132957042119504</v>
      </c>
      <c r="AD290">
        <f>TBL_TEV[[#This Row],[Etica Conservative Allocation]]</f>
        <v>0.60148500000000005</v>
      </c>
      <c r="AE290">
        <f>TBL_TEV[[#This Row],[Etica Dynamic Allocation]]</f>
        <v>2.298629</v>
      </c>
      <c r="AF290">
        <f>TBL_TEV[[#This Row],[Etica Global Equity]]</f>
        <v>3.2782450000000001</v>
      </c>
      <c r="AL290">
        <f ca="1"/>
        <v>1.494902</v>
      </c>
      <c r="AM290">
        <f ca="1"/>
        <v>0.29796499999999998</v>
      </c>
      <c r="AN290">
        <f ca="1"/>
        <v>0.70181199999999999</v>
      </c>
      <c r="AO290">
        <f ca="1"/>
        <v>2.4775339999999999</v>
      </c>
      <c r="AP290">
        <f ca="1"/>
        <v>3.5169969999999999</v>
      </c>
      <c r="AQ290">
        <f ca="1"/>
        <v>2.317202</v>
      </c>
      <c r="AR290">
        <f ca="1"/>
        <v>7.5181332368886711</v>
      </c>
      <c r="AS290">
        <f ca="1"/>
        <v>0.59577000000000002</v>
      </c>
      <c r="AT290">
        <f ca="1"/>
        <v>2.3005339999999999</v>
      </c>
      <c r="AU290">
        <f ca="1"/>
        <v>3.2758630000000002</v>
      </c>
    </row>
    <row r="291" spans="1:47">
      <c r="A291" s="43">
        <f>TBL_TEV[[#This Row],[Data2]]</f>
        <v>45702</v>
      </c>
      <c r="B291" cm="1">
        <f t="array" ref="B291">_xlfn.XLOOKUP(_xlfn.ANCHORARRAY(A291), TBL_Limiti_CDA[Data], TBL_Limiti_CDA[Etica Rendita Bilanciata], , -1)</f>
        <v>1.75</v>
      </c>
      <c r="C291" cm="1">
        <f t="array" ref="C291">_xlfn.XLOOKUP(_xlfn.ANCHORARRAY(A291), TBL_Limiti_CDA[Data], TBL_Limiti_CDA[Etica Obbligazionario Breve Termine], , -1)</f>
        <v>0.5</v>
      </c>
      <c r="D291" cm="1">
        <f t="array" ref="D291">_xlfn.XLOOKUP(_xlfn.ANCHORARRAY(A291), TBL_Limiti_CDA[Data], TBL_Limiti_CDA[Etica Obbligazionario Misto], , -1)</f>
        <v>1</v>
      </c>
      <c r="E291" cm="1">
        <f t="array" ref="E291">_xlfn.XLOOKUP(_xlfn.ANCHORARRAY(A291), TBL_Limiti_CDA[Data], TBL_Limiti_CDA[Etica Bilanciato], , -1)</f>
        <v>3</v>
      </c>
      <c r="F291" cm="1">
        <f t="array" ref="F291">_xlfn.XLOOKUP(_xlfn.ANCHORARRAY(A291), TBL_Limiti_CDA[Data], TBL_Limiti_CDA[Etica Azionario], , -1)</f>
        <v>4.5</v>
      </c>
      <c r="G291" cm="1">
        <f t="array" ref="G291">_xlfn.XLOOKUP(_xlfn.ANCHORARRAY(A291), TBL_Limiti_CDA[Data], TBL_Limiti_CDA[Etica Transizione Climatica], , -1)</f>
        <v>2.75</v>
      </c>
      <c r="H291" cm="1">
        <f t="array" ref="H291">_xlfn.XLOOKUP(_xlfn.ANCHORARRAY(A291), TBL_Limiti_CDA[Data], TBL_Limiti_CDA[Etica Obiettivo Sociale], , -1)</f>
        <v>9.99</v>
      </c>
      <c r="I291" cm="1">
        <f t="array" ref="I291">_xlfn.XLOOKUP(_xlfn.ANCHORARRAY(A291), TBL_Limiti_CDA[Data], TBL_Limiti_CDA[Etica Conservative Allocation], , -1)</f>
        <v>1</v>
      </c>
      <c r="J291" cm="1">
        <f t="array" ref="J291">_xlfn.XLOOKUP(_xlfn.ANCHORARRAY(A291), TBL_Limiti_CDA[Data], TBL_Limiti_CDA[Etica Dynamic Allocation], , -1)</f>
        <v>3</v>
      </c>
      <c r="K291" cm="1">
        <f t="array" ref="K291">_xlfn.XLOOKUP(_xlfn.ANCHORARRAY(A291), TBL_Limiti_CDA[Data], TBL_Limiti_CDA[Etica Global Equity], , -1)</f>
        <v>4.5</v>
      </c>
      <c r="L291" cm="1">
        <f t="array" ref="L291">_xlfn.ANCHORARRAY(B291)+0.15</f>
        <v>1.9</v>
      </c>
      <c r="M291" cm="1">
        <f t="array" ref="M291">_xlfn.ANCHORARRAY(C291)+0.1</f>
        <v>0.6</v>
      </c>
      <c r="N291" cm="1">
        <f t="array" ref="N291">_xlfn.ANCHORARRAY(D291)+0.15</f>
        <v>1.1499999999999999</v>
      </c>
      <c r="O291" cm="1">
        <f t="array" ref="O291">_xlfn.ANCHORARRAY(E291)+0.15</f>
        <v>3.15</v>
      </c>
      <c r="P291" cm="1">
        <f t="array" ref="P291">_xlfn.ANCHORARRAY(F291)+0.15</f>
        <v>4.6500000000000004</v>
      </c>
      <c r="Q291" cm="1">
        <f t="array" ref="Q291">_xlfn.ANCHORARRAY(G291)+0.15</f>
        <v>2.9</v>
      </c>
      <c r="R291" cm="1">
        <f t="array" ref="R291">_xlfn.ANCHORARRAY(H291)</f>
        <v>9.99</v>
      </c>
      <c r="S291" cm="1">
        <f t="array" ref="S291">_xlfn.ANCHORARRAY(R291)+0.15</f>
        <v>10.14</v>
      </c>
      <c r="T291" cm="1">
        <f t="array" ref="T291">_xlfn.ANCHORARRAY(I291)+0.15</f>
        <v>1.1499999999999999</v>
      </c>
      <c r="U291" cm="1">
        <f t="array" ref="U291">_xlfn.ANCHORARRAY(J291)+0.15</f>
        <v>3.15</v>
      </c>
      <c r="V291" cm="1">
        <f t="array" ref="V291">_xlfn.ANCHORARRAY(K291)+0.15</f>
        <v>4.6500000000000004</v>
      </c>
      <c r="W291">
        <f>TBL_TEV[[#This Row],[Etica Rendita Bilanciata]]</f>
        <v>1.494902</v>
      </c>
      <c r="X291">
        <f>TBL_TEV[[#This Row],[Etica Obbligazionario Breve Termine]]</f>
        <v>0.29796499999999998</v>
      </c>
      <c r="Y291">
        <f>TBL_TEV[[#This Row],[Etica Obbligazionario Misto]]</f>
        <v>0.70181199999999999</v>
      </c>
      <c r="Z291">
        <f>TBL_TEV[[#This Row],[Etica Bilanciato]]</f>
        <v>2.4775339999999999</v>
      </c>
      <c r="AA291">
        <f>TBL_TEV[[#This Row],[Etica Azionario]]</f>
        <v>3.5169969999999999</v>
      </c>
      <c r="AB291">
        <f>TBL_TEV[[#This Row],[Etica Transizione Climatica]]</f>
        <v>2.317202</v>
      </c>
      <c r="AC291">
        <f>TBL_TEV[[#This Row],[Etica Obiettivo Sociale]]</f>
        <v>7.5181332368886711</v>
      </c>
      <c r="AD291">
        <f>TBL_TEV[[#This Row],[Etica Conservative Allocation]]</f>
        <v>0.59577000000000002</v>
      </c>
      <c r="AE291">
        <f>TBL_TEV[[#This Row],[Etica Dynamic Allocation]]</f>
        <v>2.3005339999999999</v>
      </c>
      <c r="AF291">
        <f>TBL_TEV[[#This Row],[Etica Global Equity]]</f>
        <v>3.2758630000000002</v>
      </c>
      <c r="AL291">
        <f ca="1"/>
        <v>1.490934</v>
      </c>
      <c r="AM291">
        <f ca="1"/>
        <v>0.29828199999999999</v>
      </c>
      <c r="AN291">
        <f ca="1"/>
        <v>0.70149499999999998</v>
      </c>
      <c r="AO291">
        <f ca="1"/>
        <v>2.4872179999999999</v>
      </c>
      <c r="AP291">
        <f ca="1"/>
        <v>3.5149339999999998</v>
      </c>
      <c r="AQ291">
        <f ca="1"/>
        <v>2.3054549999999998</v>
      </c>
      <c r="AR291">
        <f ca="1"/>
        <v>7.5990340401177292</v>
      </c>
      <c r="AS291">
        <f ca="1"/>
        <v>0.592754</v>
      </c>
      <c r="AT291">
        <f ca="1"/>
        <v>2.2873579999999998</v>
      </c>
      <c r="AU291">
        <f ca="1"/>
        <v>3.2561789999999999</v>
      </c>
    </row>
    <row r="292" spans="1:47">
      <c r="A292" s="43">
        <f>TBL_TEV[[#This Row],[Data2]]</f>
        <v>45705</v>
      </c>
      <c r="B292" cm="1">
        <f t="array" ref="B292">_xlfn.XLOOKUP(_xlfn.ANCHORARRAY(A292), TBL_Limiti_CDA[Data], TBL_Limiti_CDA[Etica Rendita Bilanciata], , -1)</f>
        <v>1.75</v>
      </c>
      <c r="C292" cm="1">
        <f t="array" ref="C292">_xlfn.XLOOKUP(_xlfn.ANCHORARRAY(A292), TBL_Limiti_CDA[Data], TBL_Limiti_CDA[Etica Obbligazionario Breve Termine], , -1)</f>
        <v>0.5</v>
      </c>
      <c r="D292" cm="1">
        <f t="array" ref="D292">_xlfn.XLOOKUP(_xlfn.ANCHORARRAY(A292), TBL_Limiti_CDA[Data], TBL_Limiti_CDA[Etica Obbligazionario Misto], , -1)</f>
        <v>1</v>
      </c>
      <c r="E292" cm="1">
        <f t="array" ref="E292">_xlfn.XLOOKUP(_xlfn.ANCHORARRAY(A292), TBL_Limiti_CDA[Data], TBL_Limiti_CDA[Etica Bilanciato], , -1)</f>
        <v>3</v>
      </c>
      <c r="F292" cm="1">
        <f t="array" ref="F292">_xlfn.XLOOKUP(_xlfn.ANCHORARRAY(A292), TBL_Limiti_CDA[Data], TBL_Limiti_CDA[Etica Azionario], , -1)</f>
        <v>4.5</v>
      </c>
      <c r="G292" cm="1">
        <f t="array" ref="G292">_xlfn.XLOOKUP(_xlfn.ANCHORARRAY(A292), TBL_Limiti_CDA[Data], TBL_Limiti_CDA[Etica Transizione Climatica], , -1)</f>
        <v>2.75</v>
      </c>
      <c r="H292" cm="1">
        <f t="array" ref="H292">_xlfn.XLOOKUP(_xlfn.ANCHORARRAY(A292), TBL_Limiti_CDA[Data], TBL_Limiti_CDA[Etica Obiettivo Sociale], , -1)</f>
        <v>9.99</v>
      </c>
      <c r="I292" cm="1">
        <f t="array" ref="I292">_xlfn.XLOOKUP(_xlfn.ANCHORARRAY(A292), TBL_Limiti_CDA[Data], TBL_Limiti_CDA[Etica Conservative Allocation], , -1)</f>
        <v>1</v>
      </c>
      <c r="J292" cm="1">
        <f t="array" ref="J292">_xlfn.XLOOKUP(_xlfn.ANCHORARRAY(A292), TBL_Limiti_CDA[Data], TBL_Limiti_CDA[Etica Dynamic Allocation], , -1)</f>
        <v>3</v>
      </c>
      <c r="K292" cm="1">
        <f t="array" ref="K292">_xlfn.XLOOKUP(_xlfn.ANCHORARRAY(A292), TBL_Limiti_CDA[Data], TBL_Limiti_CDA[Etica Global Equity], , -1)</f>
        <v>4.5</v>
      </c>
      <c r="L292" cm="1">
        <f t="array" ref="L292">_xlfn.ANCHORARRAY(B292)+0.15</f>
        <v>1.9</v>
      </c>
      <c r="M292" cm="1">
        <f t="array" ref="M292">_xlfn.ANCHORARRAY(C292)+0.1</f>
        <v>0.6</v>
      </c>
      <c r="N292" cm="1">
        <f t="array" ref="N292">_xlfn.ANCHORARRAY(D292)+0.15</f>
        <v>1.1499999999999999</v>
      </c>
      <c r="O292" cm="1">
        <f t="array" ref="O292">_xlfn.ANCHORARRAY(E292)+0.15</f>
        <v>3.15</v>
      </c>
      <c r="P292" cm="1">
        <f t="array" ref="P292">_xlfn.ANCHORARRAY(F292)+0.15</f>
        <v>4.6500000000000004</v>
      </c>
      <c r="Q292" cm="1">
        <f t="array" ref="Q292">_xlfn.ANCHORARRAY(G292)+0.15</f>
        <v>2.9</v>
      </c>
      <c r="R292" cm="1">
        <f t="array" ref="R292">_xlfn.ANCHORARRAY(H292)</f>
        <v>9.99</v>
      </c>
      <c r="S292" cm="1">
        <f t="array" ref="S292">_xlfn.ANCHORARRAY(R292)+0.15</f>
        <v>10.14</v>
      </c>
      <c r="T292" cm="1">
        <f t="array" ref="T292">_xlfn.ANCHORARRAY(I292)+0.15</f>
        <v>1.1499999999999999</v>
      </c>
      <c r="U292" cm="1">
        <f t="array" ref="U292">_xlfn.ANCHORARRAY(J292)+0.15</f>
        <v>3.15</v>
      </c>
      <c r="V292" cm="1">
        <f t="array" ref="V292">_xlfn.ANCHORARRAY(K292)+0.15</f>
        <v>4.6500000000000004</v>
      </c>
      <c r="W292">
        <f>TBL_TEV[[#This Row],[Etica Rendita Bilanciata]]</f>
        <v>1.490934</v>
      </c>
      <c r="X292">
        <f>TBL_TEV[[#This Row],[Etica Obbligazionario Breve Termine]]</f>
        <v>0.29828199999999999</v>
      </c>
      <c r="Y292">
        <f>TBL_TEV[[#This Row],[Etica Obbligazionario Misto]]</f>
        <v>0.70149499999999998</v>
      </c>
      <c r="Z292">
        <f>TBL_TEV[[#This Row],[Etica Bilanciato]]</f>
        <v>2.4872179999999999</v>
      </c>
      <c r="AA292">
        <f>TBL_TEV[[#This Row],[Etica Azionario]]</f>
        <v>3.5149339999999998</v>
      </c>
      <c r="AB292">
        <f>TBL_TEV[[#This Row],[Etica Transizione Climatica]]</f>
        <v>2.3054549999999998</v>
      </c>
      <c r="AC292">
        <f>TBL_TEV[[#This Row],[Etica Obiettivo Sociale]]</f>
        <v>7.5990340401177292</v>
      </c>
      <c r="AD292">
        <f>TBL_TEV[[#This Row],[Etica Conservative Allocation]]</f>
        <v>0.592754</v>
      </c>
      <c r="AE292">
        <f>TBL_TEV[[#This Row],[Etica Dynamic Allocation]]</f>
        <v>2.2873579999999998</v>
      </c>
      <c r="AF292">
        <f>TBL_TEV[[#This Row],[Etica Global Equity]]</f>
        <v>3.2561789999999999</v>
      </c>
      <c r="AL292">
        <f ca="1"/>
        <v>1.4775990000000001</v>
      </c>
      <c r="AM292">
        <f ca="1"/>
        <v>0.29875800000000002</v>
      </c>
      <c r="AN292">
        <f ca="1"/>
        <v>0.69625599999999999</v>
      </c>
      <c r="AO292">
        <f ca="1"/>
        <v>2.4807090000000001</v>
      </c>
      <c r="AP292">
        <f ca="1"/>
        <v>3.5054090000000002</v>
      </c>
      <c r="AQ292">
        <f ca="1"/>
        <v>2.2924380000000002</v>
      </c>
      <c r="AR292">
        <f ca="1"/>
        <v>7.4544339902121344</v>
      </c>
      <c r="AS292">
        <f ca="1"/>
        <v>0.59243699999999999</v>
      </c>
      <c r="AT292">
        <f ca="1"/>
        <v>2.2825950000000002</v>
      </c>
      <c r="AU292">
        <f ca="1"/>
        <v>3.2388759999999999</v>
      </c>
    </row>
    <row r="293" spans="1:47">
      <c r="A293" s="43">
        <f>TBL_TEV[[#This Row],[Data2]]</f>
        <v>45706</v>
      </c>
      <c r="B293" cm="1">
        <f t="array" ref="B293">_xlfn.XLOOKUP(_xlfn.ANCHORARRAY(A293), TBL_Limiti_CDA[Data], TBL_Limiti_CDA[Etica Rendita Bilanciata], , -1)</f>
        <v>1.75</v>
      </c>
      <c r="C293" cm="1">
        <f t="array" ref="C293">_xlfn.XLOOKUP(_xlfn.ANCHORARRAY(A293), TBL_Limiti_CDA[Data], TBL_Limiti_CDA[Etica Obbligazionario Breve Termine], , -1)</f>
        <v>0.5</v>
      </c>
      <c r="D293" cm="1">
        <f t="array" ref="D293">_xlfn.XLOOKUP(_xlfn.ANCHORARRAY(A293), TBL_Limiti_CDA[Data], TBL_Limiti_CDA[Etica Obbligazionario Misto], , -1)</f>
        <v>1</v>
      </c>
      <c r="E293" cm="1">
        <f t="array" ref="E293">_xlfn.XLOOKUP(_xlfn.ANCHORARRAY(A293), TBL_Limiti_CDA[Data], TBL_Limiti_CDA[Etica Bilanciato], , -1)</f>
        <v>3</v>
      </c>
      <c r="F293" cm="1">
        <f t="array" ref="F293">_xlfn.XLOOKUP(_xlfn.ANCHORARRAY(A293), TBL_Limiti_CDA[Data], TBL_Limiti_CDA[Etica Azionario], , -1)</f>
        <v>4.5</v>
      </c>
      <c r="G293" cm="1">
        <f t="array" ref="G293">_xlfn.XLOOKUP(_xlfn.ANCHORARRAY(A293), TBL_Limiti_CDA[Data], TBL_Limiti_CDA[Etica Transizione Climatica], , -1)</f>
        <v>2.75</v>
      </c>
      <c r="H293" cm="1">
        <f t="array" ref="H293">_xlfn.XLOOKUP(_xlfn.ANCHORARRAY(A293), TBL_Limiti_CDA[Data], TBL_Limiti_CDA[Etica Obiettivo Sociale], , -1)</f>
        <v>9.99</v>
      </c>
      <c r="I293" cm="1">
        <f t="array" ref="I293">_xlfn.XLOOKUP(_xlfn.ANCHORARRAY(A293), TBL_Limiti_CDA[Data], TBL_Limiti_CDA[Etica Conservative Allocation], , -1)</f>
        <v>1</v>
      </c>
      <c r="J293" cm="1">
        <f t="array" ref="J293">_xlfn.XLOOKUP(_xlfn.ANCHORARRAY(A293), TBL_Limiti_CDA[Data], TBL_Limiti_CDA[Etica Dynamic Allocation], , -1)</f>
        <v>3</v>
      </c>
      <c r="K293" cm="1">
        <f t="array" ref="K293">_xlfn.XLOOKUP(_xlfn.ANCHORARRAY(A293), TBL_Limiti_CDA[Data], TBL_Limiti_CDA[Etica Global Equity], , -1)</f>
        <v>4.5</v>
      </c>
      <c r="L293" cm="1">
        <f t="array" ref="L293">_xlfn.ANCHORARRAY(B293)+0.15</f>
        <v>1.9</v>
      </c>
      <c r="M293" cm="1">
        <f t="array" ref="M293">_xlfn.ANCHORARRAY(C293)+0.1</f>
        <v>0.6</v>
      </c>
      <c r="N293" cm="1">
        <f t="array" ref="N293">_xlfn.ANCHORARRAY(D293)+0.15</f>
        <v>1.1499999999999999</v>
      </c>
      <c r="O293" cm="1">
        <f t="array" ref="O293">_xlfn.ANCHORARRAY(E293)+0.15</f>
        <v>3.15</v>
      </c>
      <c r="P293" cm="1">
        <f t="array" ref="P293">_xlfn.ANCHORARRAY(F293)+0.15</f>
        <v>4.6500000000000004</v>
      </c>
      <c r="Q293" cm="1">
        <f t="array" ref="Q293">_xlfn.ANCHORARRAY(G293)+0.15</f>
        <v>2.9</v>
      </c>
      <c r="R293" cm="1">
        <f t="array" ref="R293">_xlfn.ANCHORARRAY(H293)</f>
        <v>9.99</v>
      </c>
      <c r="S293" cm="1">
        <f t="array" ref="S293">_xlfn.ANCHORARRAY(R293)+0.15</f>
        <v>10.14</v>
      </c>
      <c r="T293" cm="1">
        <f t="array" ref="T293">_xlfn.ANCHORARRAY(I293)+0.15</f>
        <v>1.1499999999999999</v>
      </c>
      <c r="U293" cm="1">
        <f t="array" ref="U293">_xlfn.ANCHORARRAY(J293)+0.15</f>
        <v>3.15</v>
      </c>
      <c r="V293" cm="1">
        <f t="array" ref="V293">_xlfn.ANCHORARRAY(K293)+0.15</f>
        <v>4.6500000000000004</v>
      </c>
      <c r="W293">
        <f>TBL_TEV[[#This Row],[Etica Rendita Bilanciata]]</f>
        <v>1.4775990000000001</v>
      </c>
      <c r="X293">
        <f>TBL_TEV[[#This Row],[Etica Obbligazionario Breve Termine]]</f>
        <v>0.29875800000000002</v>
      </c>
      <c r="Y293">
        <f>TBL_TEV[[#This Row],[Etica Obbligazionario Misto]]</f>
        <v>0.69625599999999999</v>
      </c>
      <c r="Z293">
        <f>TBL_TEV[[#This Row],[Etica Bilanciato]]</f>
        <v>2.4807090000000001</v>
      </c>
      <c r="AA293">
        <f>TBL_TEV[[#This Row],[Etica Azionario]]</f>
        <v>3.5054090000000002</v>
      </c>
      <c r="AB293">
        <f>TBL_TEV[[#This Row],[Etica Transizione Climatica]]</f>
        <v>2.2924380000000002</v>
      </c>
      <c r="AC293">
        <f>TBL_TEV[[#This Row],[Etica Obiettivo Sociale]]</f>
        <v>7.4544339902121344</v>
      </c>
      <c r="AD293">
        <f>TBL_TEV[[#This Row],[Etica Conservative Allocation]]</f>
        <v>0.59243699999999999</v>
      </c>
      <c r="AE293">
        <f>TBL_TEV[[#This Row],[Etica Dynamic Allocation]]</f>
        <v>2.2825950000000002</v>
      </c>
      <c r="AF293">
        <f>TBL_TEV[[#This Row],[Etica Global Equity]]</f>
        <v>3.2388759999999999</v>
      </c>
      <c r="AL293">
        <f ca="1"/>
        <v>1.465376</v>
      </c>
      <c r="AM293">
        <f ca="1"/>
        <v>0.35939900000000002</v>
      </c>
      <c r="AN293">
        <f ca="1"/>
        <v>0.67514300000000005</v>
      </c>
      <c r="AO293">
        <f ca="1"/>
        <v>2.486583</v>
      </c>
      <c r="AP293">
        <f ca="1"/>
        <v>3.4938199999999999</v>
      </c>
      <c r="AQ293">
        <f ca="1"/>
        <v>2.3006920000000002</v>
      </c>
      <c r="AR293">
        <f ca="1"/>
        <v>7.4926533355738538</v>
      </c>
      <c r="AS293">
        <f ca="1"/>
        <v>0.58942000000000005</v>
      </c>
      <c r="AT293">
        <f ca="1"/>
        <v>2.2816429999999999</v>
      </c>
      <c r="AU293">
        <f ca="1"/>
        <v>3.2285569999999999</v>
      </c>
    </row>
    <row r="294" spans="1:47">
      <c r="A294" s="43">
        <f>TBL_TEV[[#This Row],[Data2]]</f>
        <v>45707</v>
      </c>
      <c r="B294" cm="1">
        <f t="array" ref="B294">_xlfn.XLOOKUP(_xlfn.ANCHORARRAY(A294), TBL_Limiti_CDA[Data], TBL_Limiti_CDA[Etica Rendita Bilanciata], , -1)</f>
        <v>1.75</v>
      </c>
      <c r="C294" cm="1">
        <f t="array" ref="C294">_xlfn.XLOOKUP(_xlfn.ANCHORARRAY(A294), TBL_Limiti_CDA[Data], TBL_Limiti_CDA[Etica Obbligazionario Breve Termine], , -1)</f>
        <v>0.5</v>
      </c>
      <c r="D294" cm="1">
        <f t="array" ref="D294">_xlfn.XLOOKUP(_xlfn.ANCHORARRAY(A294), TBL_Limiti_CDA[Data], TBL_Limiti_CDA[Etica Obbligazionario Misto], , -1)</f>
        <v>1</v>
      </c>
      <c r="E294" cm="1">
        <f t="array" ref="E294">_xlfn.XLOOKUP(_xlfn.ANCHORARRAY(A294), TBL_Limiti_CDA[Data], TBL_Limiti_CDA[Etica Bilanciato], , -1)</f>
        <v>3</v>
      </c>
      <c r="F294" cm="1">
        <f t="array" ref="F294">_xlfn.XLOOKUP(_xlfn.ANCHORARRAY(A294), TBL_Limiti_CDA[Data], TBL_Limiti_CDA[Etica Azionario], , -1)</f>
        <v>4.5</v>
      </c>
      <c r="G294" cm="1">
        <f t="array" ref="G294">_xlfn.XLOOKUP(_xlfn.ANCHORARRAY(A294), TBL_Limiti_CDA[Data], TBL_Limiti_CDA[Etica Transizione Climatica], , -1)</f>
        <v>2.75</v>
      </c>
      <c r="H294" cm="1">
        <f t="array" ref="H294">_xlfn.XLOOKUP(_xlfn.ANCHORARRAY(A294), TBL_Limiti_CDA[Data], TBL_Limiti_CDA[Etica Obiettivo Sociale], , -1)</f>
        <v>9.99</v>
      </c>
      <c r="I294" cm="1">
        <f t="array" ref="I294">_xlfn.XLOOKUP(_xlfn.ANCHORARRAY(A294), TBL_Limiti_CDA[Data], TBL_Limiti_CDA[Etica Conservative Allocation], , -1)</f>
        <v>1</v>
      </c>
      <c r="J294" cm="1">
        <f t="array" ref="J294">_xlfn.XLOOKUP(_xlfn.ANCHORARRAY(A294), TBL_Limiti_CDA[Data], TBL_Limiti_CDA[Etica Dynamic Allocation], , -1)</f>
        <v>3</v>
      </c>
      <c r="K294" cm="1">
        <f t="array" ref="K294">_xlfn.XLOOKUP(_xlfn.ANCHORARRAY(A294), TBL_Limiti_CDA[Data], TBL_Limiti_CDA[Etica Global Equity], , -1)</f>
        <v>4.5</v>
      </c>
      <c r="L294" cm="1">
        <f t="array" ref="L294">_xlfn.ANCHORARRAY(B294)+0.15</f>
        <v>1.9</v>
      </c>
      <c r="M294" cm="1">
        <f t="array" ref="M294">_xlfn.ANCHORARRAY(C294)+0.1</f>
        <v>0.6</v>
      </c>
      <c r="N294" cm="1">
        <f t="array" ref="N294">_xlfn.ANCHORARRAY(D294)+0.15</f>
        <v>1.1499999999999999</v>
      </c>
      <c r="O294" cm="1">
        <f t="array" ref="O294">_xlfn.ANCHORARRAY(E294)+0.15</f>
        <v>3.15</v>
      </c>
      <c r="P294" cm="1">
        <f t="array" ref="P294">_xlfn.ANCHORARRAY(F294)+0.15</f>
        <v>4.6500000000000004</v>
      </c>
      <c r="Q294" cm="1">
        <f t="array" ref="Q294">_xlfn.ANCHORARRAY(G294)+0.15</f>
        <v>2.9</v>
      </c>
      <c r="R294" cm="1">
        <f t="array" ref="R294">_xlfn.ANCHORARRAY(H294)</f>
        <v>9.99</v>
      </c>
      <c r="S294" cm="1">
        <f t="array" ref="S294">_xlfn.ANCHORARRAY(R294)+0.15</f>
        <v>10.14</v>
      </c>
      <c r="T294" cm="1">
        <f t="array" ref="T294">_xlfn.ANCHORARRAY(I294)+0.15</f>
        <v>1.1499999999999999</v>
      </c>
      <c r="U294" cm="1">
        <f t="array" ref="U294">_xlfn.ANCHORARRAY(J294)+0.15</f>
        <v>3.15</v>
      </c>
      <c r="V294" cm="1">
        <f t="array" ref="V294">_xlfn.ANCHORARRAY(K294)+0.15</f>
        <v>4.6500000000000004</v>
      </c>
      <c r="W294">
        <f>TBL_TEV[[#This Row],[Etica Rendita Bilanciata]]</f>
        <v>1.465376</v>
      </c>
      <c r="X294">
        <f>TBL_TEV[[#This Row],[Etica Obbligazionario Breve Termine]]</f>
        <v>0.35939900000000002</v>
      </c>
      <c r="Y294">
        <f>TBL_TEV[[#This Row],[Etica Obbligazionario Misto]]</f>
        <v>0.67514300000000005</v>
      </c>
      <c r="Z294">
        <f>TBL_TEV[[#This Row],[Etica Bilanciato]]</f>
        <v>2.486583</v>
      </c>
      <c r="AA294">
        <f>TBL_TEV[[#This Row],[Etica Azionario]]</f>
        <v>3.4938199999999999</v>
      </c>
      <c r="AB294">
        <f>TBL_TEV[[#This Row],[Etica Transizione Climatica]]</f>
        <v>2.3006920000000002</v>
      </c>
      <c r="AC294">
        <f>TBL_TEV[[#This Row],[Etica Obiettivo Sociale]]</f>
        <v>7.4926533355738538</v>
      </c>
      <c r="AD294">
        <f>TBL_TEV[[#This Row],[Etica Conservative Allocation]]</f>
        <v>0.58942000000000005</v>
      </c>
      <c r="AE294">
        <f>TBL_TEV[[#This Row],[Etica Dynamic Allocation]]</f>
        <v>2.2816429999999999</v>
      </c>
      <c r="AF294">
        <f>TBL_TEV[[#This Row],[Etica Global Equity]]</f>
        <v>3.2285569999999999</v>
      </c>
      <c r="AL294">
        <f ca="1"/>
        <v>1.518397</v>
      </c>
      <c r="AM294">
        <f ca="1"/>
        <v>0.36590699999999998</v>
      </c>
      <c r="AN294">
        <f ca="1"/>
        <v>0.74054600000000004</v>
      </c>
      <c r="AO294">
        <f ca="1"/>
        <v>2.4830909999999999</v>
      </c>
      <c r="AP294">
        <f ca="1"/>
        <v>3.5033449999999999</v>
      </c>
      <c r="AQ294">
        <f ca="1"/>
        <v>2.3225989999999999</v>
      </c>
      <c r="AR294">
        <f ca="1"/>
        <v>7.4465862220150996</v>
      </c>
      <c r="AS294">
        <f ca="1"/>
        <v>0.58561099999999999</v>
      </c>
      <c r="AT294">
        <f ca="1"/>
        <v>2.27196</v>
      </c>
      <c r="AU294">
        <f ca="1"/>
        <v>3.2260170000000001</v>
      </c>
    </row>
    <row r="295" spans="1:47">
      <c r="A295" s="43">
        <f>TBL_TEV[[#This Row],[Data2]]</f>
        <v>45708</v>
      </c>
      <c r="B295" cm="1">
        <f t="array" ref="B295">_xlfn.XLOOKUP(_xlfn.ANCHORARRAY(A295), TBL_Limiti_CDA[Data], TBL_Limiti_CDA[Etica Rendita Bilanciata], , -1)</f>
        <v>1.75</v>
      </c>
      <c r="C295" cm="1">
        <f t="array" ref="C295">_xlfn.XLOOKUP(_xlfn.ANCHORARRAY(A295), TBL_Limiti_CDA[Data], TBL_Limiti_CDA[Etica Obbligazionario Breve Termine], , -1)</f>
        <v>0.5</v>
      </c>
      <c r="D295" cm="1">
        <f t="array" ref="D295">_xlfn.XLOOKUP(_xlfn.ANCHORARRAY(A295), TBL_Limiti_CDA[Data], TBL_Limiti_CDA[Etica Obbligazionario Misto], , -1)</f>
        <v>1</v>
      </c>
      <c r="E295" cm="1">
        <f t="array" ref="E295">_xlfn.XLOOKUP(_xlfn.ANCHORARRAY(A295), TBL_Limiti_CDA[Data], TBL_Limiti_CDA[Etica Bilanciato], , -1)</f>
        <v>3</v>
      </c>
      <c r="F295" cm="1">
        <f t="array" ref="F295">_xlfn.XLOOKUP(_xlfn.ANCHORARRAY(A295), TBL_Limiti_CDA[Data], TBL_Limiti_CDA[Etica Azionario], , -1)</f>
        <v>4.5</v>
      </c>
      <c r="G295" cm="1">
        <f t="array" ref="G295">_xlfn.XLOOKUP(_xlfn.ANCHORARRAY(A295), TBL_Limiti_CDA[Data], TBL_Limiti_CDA[Etica Transizione Climatica], , -1)</f>
        <v>2.75</v>
      </c>
      <c r="H295" cm="1">
        <f t="array" ref="H295">_xlfn.XLOOKUP(_xlfn.ANCHORARRAY(A295), TBL_Limiti_CDA[Data], TBL_Limiti_CDA[Etica Obiettivo Sociale], , -1)</f>
        <v>9.99</v>
      </c>
      <c r="I295" cm="1">
        <f t="array" ref="I295">_xlfn.XLOOKUP(_xlfn.ANCHORARRAY(A295), TBL_Limiti_CDA[Data], TBL_Limiti_CDA[Etica Conservative Allocation], , -1)</f>
        <v>1</v>
      </c>
      <c r="J295" cm="1">
        <f t="array" ref="J295">_xlfn.XLOOKUP(_xlfn.ANCHORARRAY(A295), TBL_Limiti_CDA[Data], TBL_Limiti_CDA[Etica Dynamic Allocation], , -1)</f>
        <v>3</v>
      </c>
      <c r="K295" cm="1">
        <f t="array" ref="K295">_xlfn.XLOOKUP(_xlfn.ANCHORARRAY(A295), TBL_Limiti_CDA[Data], TBL_Limiti_CDA[Etica Global Equity], , -1)</f>
        <v>4.5</v>
      </c>
      <c r="L295" cm="1">
        <f t="array" ref="L295">_xlfn.ANCHORARRAY(B295)+0.15</f>
        <v>1.9</v>
      </c>
      <c r="M295" cm="1">
        <f t="array" ref="M295">_xlfn.ANCHORARRAY(C295)+0.1</f>
        <v>0.6</v>
      </c>
      <c r="N295" cm="1">
        <f t="array" ref="N295">_xlfn.ANCHORARRAY(D295)+0.15</f>
        <v>1.1499999999999999</v>
      </c>
      <c r="O295" cm="1">
        <f t="array" ref="O295">_xlfn.ANCHORARRAY(E295)+0.15</f>
        <v>3.15</v>
      </c>
      <c r="P295" cm="1">
        <f t="array" ref="P295">_xlfn.ANCHORARRAY(F295)+0.15</f>
        <v>4.6500000000000004</v>
      </c>
      <c r="Q295" cm="1">
        <f t="array" ref="Q295">_xlfn.ANCHORARRAY(G295)+0.15</f>
        <v>2.9</v>
      </c>
      <c r="R295" cm="1">
        <f t="array" ref="R295">_xlfn.ANCHORARRAY(H295)</f>
        <v>9.99</v>
      </c>
      <c r="S295" cm="1">
        <f t="array" ref="S295">_xlfn.ANCHORARRAY(R295)+0.15</f>
        <v>10.14</v>
      </c>
      <c r="T295" cm="1">
        <f t="array" ref="T295">_xlfn.ANCHORARRAY(I295)+0.15</f>
        <v>1.1499999999999999</v>
      </c>
      <c r="U295" cm="1">
        <f t="array" ref="U295">_xlfn.ANCHORARRAY(J295)+0.15</f>
        <v>3.15</v>
      </c>
      <c r="V295" cm="1">
        <f t="array" ref="V295">_xlfn.ANCHORARRAY(K295)+0.15</f>
        <v>4.6500000000000004</v>
      </c>
      <c r="W295">
        <f>TBL_TEV[[#This Row],[Etica Rendita Bilanciata]]</f>
        <v>1.518397</v>
      </c>
      <c r="X295">
        <f>TBL_TEV[[#This Row],[Etica Obbligazionario Breve Termine]]</f>
        <v>0.36590699999999998</v>
      </c>
      <c r="Y295">
        <f>TBL_TEV[[#This Row],[Etica Obbligazionario Misto]]</f>
        <v>0.74054600000000004</v>
      </c>
      <c r="Z295">
        <f>TBL_TEV[[#This Row],[Etica Bilanciato]]</f>
        <v>2.4830909999999999</v>
      </c>
      <c r="AA295">
        <f>TBL_TEV[[#This Row],[Etica Azionario]]</f>
        <v>3.5033449999999999</v>
      </c>
      <c r="AB295">
        <f>TBL_TEV[[#This Row],[Etica Transizione Climatica]]</f>
        <v>2.3225989999999999</v>
      </c>
      <c r="AC295">
        <f>TBL_TEV[[#This Row],[Etica Obiettivo Sociale]]</f>
        <v>7.4465862220150996</v>
      </c>
      <c r="AD295">
        <f>TBL_TEV[[#This Row],[Etica Conservative Allocation]]</f>
        <v>0.58561099999999999</v>
      </c>
      <c r="AE295">
        <f>TBL_TEV[[#This Row],[Etica Dynamic Allocation]]</f>
        <v>2.27196</v>
      </c>
      <c r="AF295">
        <f>TBL_TEV[[#This Row],[Etica Global Equity]]</f>
        <v>3.2260170000000001</v>
      </c>
      <c r="AL295">
        <f ca="1"/>
        <v>1.5479229999999999</v>
      </c>
      <c r="AM295">
        <f ca="1"/>
        <v>0.36686000000000002</v>
      </c>
      <c r="AN295">
        <f ca="1"/>
        <v>0.76038899999999998</v>
      </c>
      <c r="AO295">
        <f ca="1"/>
        <v>2.4878529999999999</v>
      </c>
      <c r="AP295">
        <f ca="1"/>
        <v>3.5327130000000002</v>
      </c>
      <c r="AQ295">
        <f ca="1"/>
        <v>2.3145030000000002</v>
      </c>
      <c r="AR295">
        <f ca="1"/>
        <v>7.4414247791712187</v>
      </c>
      <c r="AS295">
        <f ca="1"/>
        <v>0.58640400000000004</v>
      </c>
      <c r="AT295">
        <f ca="1"/>
        <v>2.257673</v>
      </c>
      <c r="AU295">
        <f ca="1"/>
        <v>3.2472889999999999</v>
      </c>
    </row>
    <row r="296" spans="1:47">
      <c r="A296" s="43">
        <f>TBL_TEV[[#This Row],[Data2]]</f>
        <v>45709</v>
      </c>
      <c r="B296" cm="1">
        <f t="array" ref="B296">_xlfn.XLOOKUP(_xlfn.ANCHORARRAY(A296), TBL_Limiti_CDA[Data], TBL_Limiti_CDA[Etica Rendita Bilanciata], , -1)</f>
        <v>1.75</v>
      </c>
      <c r="C296" cm="1">
        <f t="array" ref="C296">_xlfn.XLOOKUP(_xlfn.ANCHORARRAY(A296), TBL_Limiti_CDA[Data], TBL_Limiti_CDA[Etica Obbligazionario Breve Termine], , -1)</f>
        <v>0.5</v>
      </c>
      <c r="D296" cm="1">
        <f t="array" ref="D296">_xlfn.XLOOKUP(_xlfn.ANCHORARRAY(A296), TBL_Limiti_CDA[Data], TBL_Limiti_CDA[Etica Obbligazionario Misto], , -1)</f>
        <v>1</v>
      </c>
      <c r="E296" cm="1">
        <f t="array" ref="E296">_xlfn.XLOOKUP(_xlfn.ANCHORARRAY(A296), TBL_Limiti_CDA[Data], TBL_Limiti_CDA[Etica Bilanciato], , -1)</f>
        <v>3</v>
      </c>
      <c r="F296" cm="1">
        <f t="array" ref="F296">_xlfn.XLOOKUP(_xlfn.ANCHORARRAY(A296), TBL_Limiti_CDA[Data], TBL_Limiti_CDA[Etica Azionario], , -1)</f>
        <v>4.5</v>
      </c>
      <c r="G296" cm="1">
        <f t="array" ref="G296">_xlfn.XLOOKUP(_xlfn.ANCHORARRAY(A296), TBL_Limiti_CDA[Data], TBL_Limiti_CDA[Etica Transizione Climatica], , -1)</f>
        <v>2.75</v>
      </c>
      <c r="H296" cm="1">
        <f t="array" ref="H296">_xlfn.XLOOKUP(_xlfn.ANCHORARRAY(A296), TBL_Limiti_CDA[Data], TBL_Limiti_CDA[Etica Obiettivo Sociale], , -1)</f>
        <v>9.99</v>
      </c>
      <c r="I296" cm="1">
        <f t="array" ref="I296">_xlfn.XLOOKUP(_xlfn.ANCHORARRAY(A296), TBL_Limiti_CDA[Data], TBL_Limiti_CDA[Etica Conservative Allocation], , -1)</f>
        <v>1</v>
      </c>
      <c r="J296" cm="1">
        <f t="array" ref="J296">_xlfn.XLOOKUP(_xlfn.ANCHORARRAY(A296), TBL_Limiti_CDA[Data], TBL_Limiti_CDA[Etica Dynamic Allocation], , -1)</f>
        <v>3</v>
      </c>
      <c r="K296" cm="1">
        <f t="array" ref="K296">_xlfn.XLOOKUP(_xlfn.ANCHORARRAY(A296), TBL_Limiti_CDA[Data], TBL_Limiti_CDA[Etica Global Equity], , -1)</f>
        <v>4.5</v>
      </c>
      <c r="L296" cm="1">
        <f t="array" ref="L296">_xlfn.ANCHORARRAY(B296)+0.15</f>
        <v>1.9</v>
      </c>
      <c r="M296" cm="1">
        <f t="array" ref="M296">_xlfn.ANCHORARRAY(C296)+0.1</f>
        <v>0.6</v>
      </c>
      <c r="N296" cm="1">
        <f t="array" ref="N296">_xlfn.ANCHORARRAY(D296)+0.15</f>
        <v>1.1499999999999999</v>
      </c>
      <c r="O296" cm="1">
        <f t="array" ref="O296">_xlfn.ANCHORARRAY(E296)+0.15</f>
        <v>3.15</v>
      </c>
      <c r="P296" cm="1">
        <f t="array" ref="P296">_xlfn.ANCHORARRAY(F296)+0.15</f>
        <v>4.6500000000000004</v>
      </c>
      <c r="Q296" cm="1">
        <f t="array" ref="Q296">_xlfn.ANCHORARRAY(G296)+0.15</f>
        <v>2.9</v>
      </c>
      <c r="R296" cm="1">
        <f t="array" ref="R296">_xlfn.ANCHORARRAY(H296)</f>
        <v>9.99</v>
      </c>
      <c r="S296" cm="1">
        <f t="array" ref="S296">_xlfn.ANCHORARRAY(R296)+0.15</f>
        <v>10.14</v>
      </c>
      <c r="T296" cm="1">
        <f t="array" ref="T296">_xlfn.ANCHORARRAY(I296)+0.15</f>
        <v>1.1499999999999999</v>
      </c>
      <c r="U296" cm="1">
        <f t="array" ref="U296">_xlfn.ANCHORARRAY(J296)+0.15</f>
        <v>3.15</v>
      </c>
      <c r="V296" cm="1">
        <f t="array" ref="V296">_xlfn.ANCHORARRAY(K296)+0.15</f>
        <v>4.6500000000000004</v>
      </c>
      <c r="W296">
        <f>TBL_TEV[[#This Row],[Etica Rendita Bilanciata]]</f>
        <v>1.5479229999999999</v>
      </c>
      <c r="X296">
        <f>TBL_TEV[[#This Row],[Etica Obbligazionario Breve Termine]]</f>
        <v>0.36686000000000002</v>
      </c>
      <c r="Y296">
        <f>TBL_TEV[[#This Row],[Etica Obbligazionario Misto]]</f>
        <v>0.76038899999999998</v>
      </c>
      <c r="Z296">
        <f>TBL_TEV[[#This Row],[Etica Bilanciato]]</f>
        <v>2.4878529999999999</v>
      </c>
      <c r="AA296">
        <f>TBL_TEV[[#This Row],[Etica Azionario]]</f>
        <v>3.5327130000000002</v>
      </c>
      <c r="AB296">
        <f>TBL_TEV[[#This Row],[Etica Transizione Climatica]]</f>
        <v>2.3145030000000002</v>
      </c>
      <c r="AC296">
        <f>TBL_TEV[[#This Row],[Etica Obiettivo Sociale]]</f>
        <v>7.4414247791712187</v>
      </c>
      <c r="AD296">
        <f>TBL_TEV[[#This Row],[Etica Conservative Allocation]]</f>
        <v>0.58640400000000004</v>
      </c>
      <c r="AE296">
        <f>TBL_TEV[[#This Row],[Etica Dynamic Allocation]]</f>
        <v>2.257673</v>
      </c>
      <c r="AF296">
        <f>TBL_TEV[[#This Row],[Etica Global Equity]]</f>
        <v>3.2472889999999999</v>
      </c>
      <c r="AL296">
        <f ca="1"/>
        <v>1.534589</v>
      </c>
      <c r="AM296">
        <f ca="1"/>
        <v>0.36590699999999998</v>
      </c>
      <c r="AN296">
        <f ca="1"/>
        <v>0.76102400000000003</v>
      </c>
      <c r="AO296">
        <f ca="1"/>
        <v>2.4607070000000002</v>
      </c>
      <c r="AP296">
        <f ca="1"/>
        <v>3.493185</v>
      </c>
      <c r="AQ296">
        <f ca="1"/>
        <v>2.3089469999999999</v>
      </c>
      <c r="AR296">
        <f ca="1"/>
        <v>7.4089966059973067</v>
      </c>
      <c r="AS296">
        <f ca="1"/>
        <v>0.58132399999999995</v>
      </c>
      <c r="AT296">
        <f ca="1"/>
        <v>2.2408459999999999</v>
      </c>
      <c r="AU296">
        <f ca="1"/>
        <v>3.237606</v>
      </c>
    </row>
    <row r="297" spans="1:47">
      <c r="A297" s="43">
        <f>TBL_TEV[[#This Row],[Data2]]</f>
        <v>45712</v>
      </c>
      <c r="B297" cm="1">
        <f t="array" ref="B297">_xlfn.XLOOKUP(_xlfn.ANCHORARRAY(A297), TBL_Limiti_CDA[Data], TBL_Limiti_CDA[Etica Rendita Bilanciata], , -1)</f>
        <v>1.75</v>
      </c>
      <c r="C297" cm="1">
        <f t="array" ref="C297">_xlfn.XLOOKUP(_xlfn.ANCHORARRAY(A297), TBL_Limiti_CDA[Data], TBL_Limiti_CDA[Etica Obbligazionario Breve Termine], , -1)</f>
        <v>0.5</v>
      </c>
      <c r="D297" cm="1">
        <f t="array" ref="D297">_xlfn.XLOOKUP(_xlfn.ANCHORARRAY(A297), TBL_Limiti_CDA[Data], TBL_Limiti_CDA[Etica Obbligazionario Misto], , -1)</f>
        <v>1</v>
      </c>
      <c r="E297" cm="1">
        <f t="array" ref="E297">_xlfn.XLOOKUP(_xlfn.ANCHORARRAY(A297), TBL_Limiti_CDA[Data], TBL_Limiti_CDA[Etica Bilanciato], , -1)</f>
        <v>3</v>
      </c>
      <c r="F297" cm="1">
        <f t="array" ref="F297">_xlfn.XLOOKUP(_xlfn.ANCHORARRAY(A297), TBL_Limiti_CDA[Data], TBL_Limiti_CDA[Etica Azionario], , -1)</f>
        <v>4.5</v>
      </c>
      <c r="G297" cm="1">
        <f t="array" ref="G297">_xlfn.XLOOKUP(_xlfn.ANCHORARRAY(A297), TBL_Limiti_CDA[Data], TBL_Limiti_CDA[Etica Transizione Climatica], , -1)</f>
        <v>2.75</v>
      </c>
      <c r="H297" cm="1">
        <f t="array" ref="H297">_xlfn.XLOOKUP(_xlfn.ANCHORARRAY(A297), TBL_Limiti_CDA[Data], TBL_Limiti_CDA[Etica Obiettivo Sociale], , -1)</f>
        <v>9.99</v>
      </c>
      <c r="I297" cm="1">
        <f t="array" ref="I297">_xlfn.XLOOKUP(_xlfn.ANCHORARRAY(A297), TBL_Limiti_CDA[Data], TBL_Limiti_CDA[Etica Conservative Allocation], , -1)</f>
        <v>1</v>
      </c>
      <c r="J297" cm="1">
        <f t="array" ref="J297">_xlfn.XLOOKUP(_xlfn.ANCHORARRAY(A297), TBL_Limiti_CDA[Data], TBL_Limiti_CDA[Etica Dynamic Allocation], , -1)</f>
        <v>3</v>
      </c>
      <c r="K297" cm="1">
        <f t="array" ref="K297">_xlfn.XLOOKUP(_xlfn.ANCHORARRAY(A297), TBL_Limiti_CDA[Data], TBL_Limiti_CDA[Etica Global Equity], , -1)</f>
        <v>4.5</v>
      </c>
      <c r="L297" cm="1">
        <f t="array" ref="L297">_xlfn.ANCHORARRAY(B297)+0.15</f>
        <v>1.9</v>
      </c>
      <c r="M297" cm="1">
        <f t="array" ref="M297">_xlfn.ANCHORARRAY(C297)+0.1</f>
        <v>0.6</v>
      </c>
      <c r="N297" cm="1">
        <f t="array" ref="N297">_xlfn.ANCHORARRAY(D297)+0.15</f>
        <v>1.1499999999999999</v>
      </c>
      <c r="O297" cm="1">
        <f t="array" ref="O297">_xlfn.ANCHORARRAY(E297)+0.15</f>
        <v>3.15</v>
      </c>
      <c r="P297" cm="1">
        <f t="array" ref="P297">_xlfn.ANCHORARRAY(F297)+0.15</f>
        <v>4.6500000000000004</v>
      </c>
      <c r="Q297" cm="1">
        <f t="array" ref="Q297">_xlfn.ANCHORARRAY(G297)+0.15</f>
        <v>2.9</v>
      </c>
      <c r="R297" cm="1">
        <f t="array" ref="R297">_xlfn.ANCHORARRAY(H297)</f>
        <v>9.99</v>
      </c>
      <c r="S297" cm="1">
        <f t="array" ref="S297">_xlfn.ANCHORARRAY(R297)+0.15</f>
        <v>10.14</v>
      </c>
      <c r="T297" cm="1">
        <f t="array" ref="T297">_xlfn.ANCHORARRAY(I297)+0.15</f>
        <v>1.1499999999999999</v>
      </c>
      <c r="U297" cm="1">
        <f t="array" ref="U297">_xlfn.ANCHORARRAY(J297)+0.15</f>
        <v>3.15</v>
      </c>
      <c r="V297" cm="1">
        <f t="array" ref="V297">_xlfn.ANCHORARRAY(K297)+0.15</f>
        <v>4.6500000000000004</v>
      </c>
      <c r="W297">
        <f>TBL_TEV[[#This Row],[Etica Rendita Bilanciata]]</f>
        <v>1.534589</v>
      </c>
      <c r="X297">
        <f>TBL_TEV[[#This Row],[Etica Obbligazionario Breve Termine]]</f>
        <v>0.36590699999999998</v>
      </c>
      <c r="Y297">
        <f>TBL_TEV[[#This Row],[Etica Obbligazionario Misto]]</f>
        <v>0.76102400000000003</v>
      </c>
      <c r="Z297">
        <f>TBL_TEV[[#This Row],[Etica Bilanciato]]</f>
        <v>2.4607070000000002</v>
      </c>
      <c r="AA297">
        <f>TBL_TEV[[#This Row],[Etica Azionario]]</f>
        <v>3.493185</v>
      </c>
      <c r="AB297">
        <f>TBL_TEV[[#This Row],[Etica Transizione Climatica]]</f>
        <v>2.3089469999999999</v>
      </c>
      <c r="AC297">
        <f>TBL_TEV[[#This Row],[Etica Obiettivo Sociale]]</f>
        <v>7.4089966059973067</v>
      </c>
      <c r="AD297">
        <f>TBL_TEV[[#This Row],[Etica Conservative Allocation]]</f>
        <v>0.58132399999999995</v>
      </c>
      <c r="AE297">
        <f>TBL_TEV[[#This Row],[Etica Dynamic Allocation]]</f>
        <v>2.2408459999999999</v>
      </c>
      <c r="AF297">
        <f>TBL_TEV[[#This Row],[Etica Global Equity]]</f>
        <v>3.237606</v>
      </c>
      <c r="AL297">
        <f ca="1"/>
        <v>1.5110939999999999</v>
      </c>
      <c r="AM297">
        <f ca="1"/>
        <v>0.36559000000000003</v>
      </c>
      <c r="AN297">
        <f ca="1"/>
        <v>0.75959500000000002</v>
      </c>
      <c r="AO297">
        <f ca="1"/>
        <v>2.4219740000000001</v>
      </c>
      <c r="AP297">
        <f ca="1"/>
        <v>3.438895</v>
      </c>
      <c r="AQ297">
        <f ca="1"/>
        <v>2.2748170000000001</v>
      </c>
      <c r="AR297">
        <f ca="1"/>
        <v>7.4506998642294571</v>
      </c>
      <c r="AS297">
        <f ca="1"/>
        <v>0.87595500000000004</v>
      </c>
      <c r="AT297">
        <f ca="1"/>
        <v>2.1906819999999998</v>
      </c>
      <c r="AU297">
        <f ca="1"/>
        <v>3.1688689999999999</v>
      </c>
    </row>
    <row r="298" spans="1:47">
      <c r="A298" s="43">
        <f>TBL_TEV[[#This Row],[Data2]]</f>
        <v>45713</v>
      </c>
      <c r="B298" cm="1">
        <f t="array" ref="B298">_xlfn.XLOOKUP(_xlfn.ANCHORARRAY(A298), TBL_Limiti_CDA[Data], TBL_Limiti_CDA[Etica Rendita Bilanciata], , -1)</f>
        <v>1.75</v>
      </c>
      <c r="C298" cm="1">
        <f t="array" ref="C298">_xlfn.XLOOKUP(_xlfn.ANCHORARRAY(A298), TBL_Limiti_CDA[Data], TBL_Limiti_CDA[Etica Obbligazionario Breve Termine], , -1)</f>
        <v>0.5</v>
      </c>
      <c r="D298" cm="1">
        <f t="array" ref="D298">_xlfn.XLOOKUP(_xlfn.ANCHORARRAY(A298), TBL_Limiti_CDA[Data], TBL_Limiti_CDA[Etica Obbligazionario Misto], , -1)</f>
        <v>1</v>
      </c>
      <c r="E298" cm="1">
        <f t="array" ref="E298">_xlfn.XLOOKUP(_xlfn.ANCHORARRAY(A298), TBL_Limiti_CDA[Data], TBL_Limiti_CDA[Etica Bilanciato], , -1)</f>
        <v>3</v>
      </c>
      <c r="F298" cm="1">
        <f t="array" ref="F298">_xlfn.XLOOKUP(_xlfn.ANCHORARRAY(A298), TBL_Limiti_CDA[Data], TBL_Limiti_CDA[Etica Azionario], , -1)</f>
        <v>4.5</v>
      </c>
      <c r="G298" cm="1">
        <f t="array" ref="G298">_xlfn.XLOOKUP(_xlfn.ANCHORARRAY(A298), TBL_Limiti_CDA[Data], TBL_Limiti_CDA[Etica Transizione Climatica], , -1)</f>
        <v>2.75</v>
      </c>
      <c r="H298" cm="1">
        <f t="array" ref="H298">_xlfn.XLOOKUP(_xlfn.ANCHORARRAY(A298), TBL_Limiti_CDA[Data], TBL_Limiti_CDA[Etica Obiettivo Sociale], , -1)</f>
        <v>9.99</v>
      </c>
      <c r="I298" cm="1">
        <f t="array" ref="I298">_xlfn.XLOOKUP(_xlfn.ANCHORARRAY(A298), TBL_Limiti_CDA[Data], TBL_Limiti_CDA[Etica Conservative Allocation], , -1)</f>
        <v>1</v>
      </c>
      <c r="J298" cm="1">
        <f t="array" ref="J298">_xlfn.XLOOKUP(_xlfn.ANCHORARRAY(A298), TBL_Limiti_CDA[Data], TBL_Limiti_CDA[Etica Dynamic Allocation], , -1)</f>
        <v>3</v>
      </c>
      <c r="K298" cm="1">
        <f t="array" ref="K298">_xlfn.XLOOKUP(_xlfn.ANCHORARRAY(A298), TBL_Limiti_CDA[Data], TBL_Limiti_CDA[Etica Global Equity], , -1)</f>
        <v>4.5</v>
      </c>
      <c r="L298" cm="1">
        <f t="array" ref="L298">_xlfn.ANCHORARRAY(B298)+0.15</f>
        <v>1.9</v>
      </c>
      <c r="M298" cm="1">
        <f t="array" ref="M298">_xlfn.ANCHORARRAY(C298)+0.1</f>
        <v>0.6</v>
      </c>
      <c r="N298" cm="1">
        <f t="array" ref="N298">_xlfn.ANCHORARRAY(D298)+0.15</f>
        <v>1.1499999999999999</v>
      </c>
      <c r="O298" cm="1">
        <f t="array" ref="O298">_xlfn.ANCHORARRAY(E298)+0.15</f>
        <v>3.15</v>
      </c>
      <c r="P298" cm="1">
        <f t="array" ref="P298">_xlfn.ANCHORARRAY(F298)+0.15</f>
        <v>4.6500000000000004</v>
      </c>
      <c r="Q298" cm="1">
        <f t="array" ref="Q298">_xlfn.ANCHORARRAY(G298)+0.15</f>
        <v>2.9</v>
      </c>
      <c r="R298" cm="1">
        <f t="array" ref="R298">_xlfn.ANCHORARRAY(H298)</f>
        <v>9.99</v>
      </c>
      <c r="S298" cm="1">
        <f t="array" ref="S298">_xlfn.ANCHORARRAY(R298)+0.15</f>
        <v>10.14</v>
      </c>
      <c r="T298" cm="1">
        <f t="array" ref="T298">_xlfn.ANCHORARRAY(I298)+0.15</f>
        <v>1.1499999999999999</v>
      </c>
      <c r="U298" cm="1">
        <f t="array" ref="U298">_xlfn.ANCHORARRAY(J298)+0.15</f>
        <v>3.15</v>
      </c>
      <c r="V298" cm="1">
        <f t="array" ref="V298">_xlfn.ANCHORARRAY(K298)+0.15</f>
        <v>4.6500000000000004</v>
      </c>
      <c r="W298">
        <f>TBL_TEV[[#This Row],[Etica Rendita Bilanciata]]</f>
        <v>1.5110939999999999</v>
      </c>
      <c r="X298">
        <f>TBL_TEV[[#This Row],[Etica Obbligazionario Breve Termine]]</f>
        <v>0.36559000000000003</v>
      </c>
      <c r="Y298">
        <f>TBL_TEV[[#This Row],[Etica Obbligazionario Misto]]</f>
        <v>0.75959500000000002</v>
      </c>
      <c r="Z298">
        <f>TBL_TEV[[#This Row],[Etica Bilanciato]]</f>
        <v>2.4219740000000001</v>
      </c>
      <c r="AA298">
        <f>TBL_TEV[[#This Row],[Etica Azionario]]</f>
        <v>3.438895</v>
      </c>
      <c r="AB298">
        <f>TBL_TEV[[#This Row],[Etica Transizione Climatica]]</f>
        <v>2.2748170000000001</v>
      </c>
      <c r="AC298">
        <f>TBL_TEV[[#This Row],[Etica Obiettivo Sociale]]</f>
        <v>7.4506998642294571</v>
      </c>
      <c r="AD298">
        <f>TBL_TEV[[#This Row],[Etica Conservative Allocation]]</f>
        <v>0.87595500000000004</v>
      </c>
      <c r="AE298">
        <f>TBL_TEV[[#This Row],[Etica Dynamic Allocation]]</f>
        <v>2.1906819999999998</v>
      </c>
      <c r="AF298">
        <f>TBL_TEV[[#This Row],[Etica Global Equity]]</f>
        <v>3.1688689999999999</v>
      </c>
      <c r="AL298">
        <f ca="1"/>
        <v>1.5215719999999999</v>
      </c>
      <c r="AM298">
        <f ca="1"/>
        <v>0.36701899999999998</v>
      </c>
      <c r="AN298">
        <f ca="1"/>
        <v>0.76959599999999995</v>
      </c>
      <c r="AO298">
        <f ca="1"/>
        <v>2.4662639999999998</v>
      </c>
      <c r="AP298">
        <f ca="1"/>
        <v>3.4684210000000002</v>
      </c>
      <c r="AQ298">
        <f ca="1"/>
        <v>2.2864049999999998</v>
      </c>
      <c r="AR298">
        <f ca="1"/>
        <v>7.3562218455797845</v>
      </c>
      <c r="AS298">
        <f ca="1"/>
        <v>0.57878499999999999</v>
      </c>
      <c r="AT298">
        <f ca="1"/>
        <v>2.201953</v>
      </c>
      <c r="AU298">
        <f ca="1"/>
        <v>3.1714090000000001</v>
      </c>
    </row>
    <row r="299" spans="1:47">
      <c r="A299" s="43">
        <f>TBL_TEV[[#This Row],[Data2]]</f>
        <v>45714</v>
      </c>
      <c r="B299" cm="1">
        <f t="array" ref="B299">_xlfn.XLOOKUP(_xlfn.ANCHORARRAY(A299), TBL_Limiti_CDA[Data], TBL_Limiti_CDA[Etica Rendita Bilanciata], , -1)</f>
        <v>1.75</v>
      </c>
      <c r="C299" cm="1">
        <f t="array" ref="C299">_xlfn.XLOOKUP(_xlfn.ANCHORARRAY(A299), TBL_Limiti_CDA[Data], TBL_Limiti_CDA[Etica Obbligazionario Breve Termine], , -1)</f>
        <v>0.5</v>
      </c>
      <c r="D299" cm="1">
        <f t="array" ref="D299">_xlfn.XLOOKUP(_xlfn.ANCHORARRAY(A299), TBL_Limiti_CDA[Data], TBL_Limiti_CDA[Etica Obbligazionario Misto], , -1)</f>
        <v>1</v>
      </c>
      <c r="E299" cm="1">
        <f t="array" ref="E299">_xlfn.XLOOKUP(_xlfn.ANCHORARRAY(A299), TBL_Limiti_CDA[Data], TBL_Limiti_CDA[Etica Bilanciato], , -1)</f>
        <v>3</v>
      </c>
      <c r="F299" cm="1">
        <f t="array" ref="F299">_xlfn.XLOOKUP(_xlfn.ANCHORARRAY(A299), TBL_Limiti_CDA[Data], TBL_Limiti_CDA[Etica Azionario], , -1)</f>
        <v>4.5</v>
      </c>
      <c r="G299" cm="1">
        <f t="array" ref="G299">_xlfn.XLOOKUP(_xlfn.ANCHORARRAY(A299), TBL_Limiti_CDA[Data], TBL_Limiti_CDA[Etica Transizione Climatica], , -1)</f>
        <v>2.75</v>
      </c>
      <c r="H299" cm="1">
        <f t="array" ref="H299">_xlfn.XLOOKUP(_xlfn.ANCHORARRAY(A299), TBL_Limiti_CDA[Data], TBL_Limiti_CDA[Etica Obiettivo Sociale], , -1)</f>
        <v>9.99</v>
      </c>
      <c r="I299" cm="1">
        <f t="array" ref="I299">_xlfn.XLOOKUP(_xlfn.ANCHORARRAY(A299), TBL_Limiti_CDA[Data], TBL_Limiti_CDA[Etica Conservative Allocation], , -1)</f>
        <v>1</v>
      </c>
      <c r="J299" cm="1">
        <f t="array" ref="J299">_xlfn.XLOOKUP(_xlfn.ANCHORARRAY(A299), TBL_Limiti_CDA[Data], TBL_Limiti_CDA[Etica Dynamic Allocation], , -1)</f>
        <v>3</v>
      </c>
      <c r="K299" cm="1">
        <f t="array" ref="K299">_xlfn.XLOOKUP(_xlfn.ANCHORARRAY(A299), TBL_Limiti_CDA[Data], TBL_Limiti_CDA[Etica Global Equity], , -1)</f>
        <v>4.5</v>
      </c>
      <c r="L299" cm="1">
        <f t="array" ref="L299">_xlfn.ANCHORARRAY(B299)+0.15</f>
        <v>1.9</v>
      </c>
      <c r="M299" cm="1">
        <f t="array" ref="M299">_xlfn.ANCHORARRAY(C299)+0.1</f>
        <v>0.6</v>
      </c>
      <c r="N299" cm="1">
        <f t="array" ref="N299">_xlfn.ANCHORARRAY(D299)+0.15</f>
        <v>1.1499999999999999</v>
      </c>
      <c r="O299" cm="1">
        <f t="array" ref="O299">_xlfn.ANCHORARRAY(E299)+0.15</f>
        <v>3.15</v>
      </c>
      <c r="P299" cm="1">
        <f t="array" ref="P299">_xlfn.ANCHORARRAY(F299)+0.15</f>
        <v>4.6500000000000004</v>
      </c>
      <c r="Q299" cm="1">
        <f t="array" ref="Q299">_xlfn.ANCHORARRAY(G299)+0.15</f>
        <v>2.9</v>
      </c>
      <c r="R299" cm="1">
        <f t="array" ref="R299">_xlfn.ANCHORARRAY(H299)</f>
        <v>9.99</v>
      </c>
      <c r="S299" cm="1">
        <f t="array" ref="S299">_xlfn.ANCHORARRAY(R299)+0.15</f>
        <v>10.14</v>
      </c>
      <c r="T299" cm="1">
        <f t="array" ref="T299">_xlfn.ANCHORARRAY(I299)+0.15</f>
        <v>1.1499999999999999</v>
      </c>
      <c r="U299" cm="1">
        <f t="array" ref="U299">_xlfn.ANCHORARRAY(J299)+0.15</f>
        <v>3.15</v>
      </c>
      <c r="V299" cm="1">
        <f t="array" ref="V299">_xlfn.ANCHORARRAY(K299)+0.15</f>
        <v>4.6500000000000004</v>
      </c>
      <c r="W299">
        <f>TBL_TEV[[#This Row],[Etica Rendita Bilanciata]]</f>
        <v>1.5215719999999999</v>
      </c>
      <c r="X299">
        <f>TBL_TEV[[#This Row],[Etica Obbligazionario Breve Termine]]</f>
        <v>0.36701899999999998</v>
      </c>
      <c r="Y299">
        <f>TBL_TEV[[#This Row],[Etica Obbligazionario Misto]]</f>
        <v>0.76959599999999995</v>
      </c>
      <c r="Z299">
        <f>TBL_TEV[[#This Row],[Etica Bilanciato]]</f>
        <v>2.4662639999999998</v>
      </c>
      <c r="AA299">
        <f>TBL_TEV[[#This Row],[Etica Azionario]]</f>
        <v>3.4684210000000002</v>
      </c>
      <c r="AB299">
        <f>TBL_TEV[[#This Row],[Etica Transizione Climatica]]</f>
        <v>2.2864049999999998</v>
      </c>
      <c r="AC299">
        <f>TBL_TEV[[#This Row],[Etica Obiettivo Sociale]]</f>
        <v>7.3562218455797845</v>
      </c>
      <c r="AD299">
        <f>TBL_TEV[[#This Row],[Etica Conservative Allocation]]</f>
        <v>0.57878499999999999</v>
      </c>
      <c r="AE299">
        <f>TBL_TEV[[#This Row],[Etica Dynamic Allocation]]</f>
        <v>2.201953</v>
      </c>
      <c r="AF299">
        <f>TBL_TEV[[#This Row],[Etica Global Equity]]</f>
        <v>3.1714090000000001</v>
      </c>
      <c r="AL299">
        <f ca="1"/>
        <v>1.50665</v>
      </c>
      <c r="AM299">
        <f ca="1"/>
        <v>0.367336</v>
      </c>
      <c r="AN299">
        <f ca="1"/>
        <v>0.76594499999999999</v>
      </c>
      <c r="AO299">
        <f ca="1"/>
        <v>2.4410229999999999</v>
      </c>
      <c r="AP299">
        <f ca="1"/>
        <v>3.4501659999999998</v>
      </c>
      <c r="AQ299">
        <f ca="1"/>
        <v>2.2484649999999999</v>
      </c>
      <c r="AR299">
        <f ca="1"/>
        <v>7.3796952730608432</v>
      </c>
      <c r="AS299">
        <f ca="1"/>
        <v>0.57370500000000002</v>
      </c>
      <c r="AT299">
        <f ca="1"/>
        <v>2.1675049999999998</v>
      </c>
      <c r="AU299">
        <f ca="1"/>
        <v>3.1475970000000002</v>
      </c>
    </row>
    <row r="300" spans="1:47">
      <c r="A300" s="43">
        <f>TBL_TEV[[#This Row],[Data2]]</f>
        <v>45715</v>
      </c>
      <c r="B300" cm="1">
        <f t="array" ref="B300">_xlfn.XLOOKUP(_xlfn.ANCHORARRAY(A300), TBL_Limiti_CDA[Data], TBL_Limiti_CDA[Etica Rendita Bilanciata], , -1)</f>
        <v>1.75</v>
      </c>
      <c r="C300" cm="1">
        <f t="array" ref="C300">_xlfn.XLOOKUP(_xlfn.ANCHORARRAY(A300), TBL_Limiti_CDA[Data], TBL_Limiti_CDA[Etica Obbligazionario Breve Termine], , -1)</f>
        <v>0.5</v>
      </c>
      <c r="D300" cm="1">
        <f t="array" ref="D300">_xlfn.XLOOKUP(_xlfn.ANCHORARRAY(A300), TBL_Limiti_CDA[Data], TBL_Limiti_CDA[Etica Obbligazionario Misto], , -1)</f>
        <v>1</v>
      </c>
      <c r="E300" cm="1">
        <f t="array" ref="E300">_xlfn.XLOOKUP(_xlfn.ANCHORARRAY(A300), TBL_Limiti_CDA[Data], TBL_Limiti_CDA[Etica Bilanciato], , -1)</f>
        <v>3</v>
      </c>
      <c r="F300" cm="1">
        <f t="array" ref="F300">_xlfn.XLOOKUP(_xlfn.ANCHORARRAY(A300), TBL_Limiti_CDA[Data], TBL_Limiti_CDA[Etica Azionario], , -1)</f>
        <v>4.5</v>
      </c>
      <c r="G300" cm="1">
        <f t="array" ref="G300">_xlfn.XLOOKUP(_xlfn.ANCHORARRAY(A300), TBL_Limiti_CDA[Data], TBL_Limiti_CDA[Etica Transizione Climatica], , -1)</f>
        <v>2.75</v>
      </c>
      <c r="H300" cm="1">
        <f t="array" ref="H300">_xlfn.XLOOKUP(_xlfn.ANCHORARRAY(A300), TBL_Limiti_CDA[Data], TBL_Limiti_CDA[Etica Obiettivo Sociale], , -1)</f>
        <v>9.99</v>
      </c>
      <c r="I300" cm="1">
        <f t="array" ref="I300">_xlfn.XLOOKUP(_xlfn.ANCHORARRAY(A300), TBL_Limiti_CDA[Data], TBL_Limiti_CDA[Etica Conservative Allocation], , -1)</f>
        <v>1</v>
      </c>
      <c r="J300" cm="1">
        <f t="array" ref="J300">_xlfn.XLOOKUP(_xlfn.ANCHORARRAY(A300), TBL_Limiti_CDA[Data], TBL_Limiti_CDA[Etica Dynamic Allocation], , -1)</f>
        <v>3</v>
      </c>
      <c r="K300" cm="1">
        <f t="array" ref="K300">_xlfn.XLOOKUP(_xlfn.ANCHORARRAY(A300), TBL_Limiti_CDA[Data], TBL_Limiti_CDA[Etica Global Equity], , -1)</f>
        <v>4.5</v>
      </c>
      <c r="L300" cm="1">
        <f t="array" ref="L300">_xlfn.ANCHORARRAY(B300)+0.15</f>
        <v>1.9</v>
      </c>
      <c r="M300" cm="1">
        <f t="array" ref="M300">_xlfn.ANCHORARRAY(C300)+0.1</f>
        <v>0.6</v>
      </c>
      <c r="N300" cm="1">
        <f t="array" ref="N300">_xlfn.ANCHORARRAY(D300)+0.15</f>
        <v>1.1499999999999999</v>
      </c>
      <c r="O300" cm="1">
        <f t="array" ref="O300">_xlfn.ANCHORARRAY(E300)+0.15</f>
        <v>3.15</v>
      </c>
      <c r="P300" cm="1">
        <f t="array" ref="P300">_xlfn.ANCHORARRAY(F300)+0.15</f>
        <v>4.6500000000000004</v>
      </c>
      <c r="Q300" cm="1">
        <f t="array" ref="Q300">_xlfn.ANCHORARRAY(G300)+0.15</f>
        <v>2.9</v>
      </c>
      <c r="R300" cm="1">
        <f t="array" ref="R300">_xlfn.ANCHORARRAY(H300)</f>
        <v>9.99</v>
      </c>
      <c r="S300" cm="1">
        <f t="array" ref="S300">_xlfn.ANCHORARRAY(R300)+0.15</f>
        <v>10.14</v>
      </c>
      <c r="T300" cm="1">
        <f t="array" ref="T300">_xlfn.ANCHORARRAY(I300)+0.15</f>
        <v>1.1499999999999999</v>
      </c>
      <c r="U300" cm="1">
        <f t="array" ref="U300">_xlfn.ANCHORARRAY(J300)+0.15</f>
        <v>3.15</v>
      </c>
      <c r="V300" cm="1">
        <f t="array" ref="V300">_xlfn.ANCHORARRAY(K300)+0.15</f>
        <v>4.6500000000000004</v>
      </c>
      <c r="W300">
        <f>TBL_TEV[[#This Row],[Etica Rendita Bilanciata]]</f>
        <v>1.50665</v>
      </c>
      <c r="X300">
        <f>TBL_TEV[[#This Row],[Etica Obbligazionario Breve Termine]]</f>
        <v>0.367336</v>
      </c>
      <c r="Y300">
        <f>TBL_TEV[[#This Row],[Etica Obbligazionario Misto]]</f>
        <v>0.76594499999999999</v>
      </c>
      <c r="Z300">
        <f>TBL_TEV[[#This Row],[Etica Bilanciato]]</f>
        <v>2.4410229999999999</v>
      </c>
      <c r="AA300">
        <f>TBL_TEV[[#This Row],[Etica Azionario]]</f>
        <v>3.4501659999999998</v>
      </c>
      <c r="AB300">
        <f>TBL_TEV[[#This Row],[Etica Transizione Climatica]]</f>
        <v>2.2484649999999999</v>
      </c>
      <c r="AC300">
        <f>TBL_TEV[[#This Row],[Etica Obiettivo Sociale]]</f>
        <v>7.3796952730608432</v>
      </c>
      <c r="AD300">
        <f>TBL_TEV[[#This Row],[Etica Conservative Allocation]]</f>
        <v>0.57370500000000002</v>
      </c>
      <c r="AE300">
        <f>TBL_TEV[[#This Row],[Etica Dynamic Allocation]]</f>
        <v>2.1675049999999998</v>
      </c>
      <c r="AF300">
        <f>TBL_TEV[[#This Row],[Etica Global Equity]]</f>
        <v>3.1475970000000002</v>
      </c>
      <c r="AL300">
        <f ca="1"/>
        <v>1.5441130000000001</v>
      </c>
      <c r="AM300">
        <f ca="1"/>
        <v>0.33368199999999998</v>
      </c>
      <c r="AN300">
        <f ca="1"/>
        <v>0.74054600000000004</v>
      </c>
      <c r="AO300">
        <f ca="1"/>
        <v>2.4919799999999999</v>
      </c>
      <c r="AP300">
        <f ca="1"/>
        <v>3.5062030000000002</v>
      </c>
      <c r="AQ300">
        <f ca="1"/>
        <v>2.2945009999999999</v>
      </c>
      <c r="AR300">
        <f ca="1"/>
        <v>7.495661270799217</v>
      </c>
      <c r="AS300">
        <f ca="1"/>
        <v>0.57116500000000003</v>
      </c>
      <c r="AT300">
        <f ca="1"/>
        <v>2.2316379999999998</v>
      </c>
      <c r="AU300">
        <f ca="1"/>
        <v>3.3023739999999999</v>
      </c>
    </row>
    <row r="301" spans="1:47">
      <c r="A301" s="43">
        <f>TBL_TEV[[#This Row],[Data2]]</f>
        <v>45716</v>
      </c>
      <c r="B301" cm="1">
        <f t="array" ref="B301">_xlfn.XLOOKUP(_xlfn.ANCHORARRAY(A301), TBL_Limiti_CDA[Data], TBL_Limiti_CDA[Etica Rendita Bilanciata], , -1)</f>
        <v>1.75</v>
      </c>
      <c r="C301" cm="1">
        <f t="array" ref="C301">_xlfn.XLOOKUP(_xlfn.ANCHORARRAY(A301), TBL_Limiti_CDA[Data], TBL_Limiti_CDA[Etica Obbligazionario Breve Termine], , -1)</f>
        <v>0.5</v>
      </c>
      <c r="D301" cm="1">
        <f t="array" ref="D301">_xlfn.XLOOKUP(_xlfn.ANCHORARRAY(A301), TBL_Limiti_CDA[Data], TBL_Limiti_CDA[Etica Obbligazionario Misto], , -1)</f>
        <v>1</v>
      </c>
      <c r="E301" cm="1">
        <f t="array" ref="E301">_xlfn.XLOOKUP(_xlfn.ANCHORARRAY(A301), TBL_Limiti_CDA[Data], TBL_Limiti_CDA[Etica Bilanciato], , -1)</f>
        <v>3</v>
      </c>
      <c r="F301" cm="1">
        <f t="array" ref="F301">_xlfn.XLOOKUP(_xlfn.ANCHORARRAY(A301), TBL_Limiti_CDA[Data], TBL_Limiti_CDA[Etica Azionario], , -1)</f>
        <v>4.5</v>
      </c>
      <c r="G301" cm="1">
        <f t="array" ref="G301">_xlfn.XLOOKUP(_xlfn.ANCHORARRAY(A301), TBL_Limiti_CDA[Data], TBL_Limiti_CDA[Etica Transizione Climatica], , -1)</f>
        <v>2.75</v>
      </c>
      <c r="H301" cm="1">
        <f t="array" ref="H301">_xlfn.XLOOKUP(_xlfn.ANCHORARRAY(A301), TBL_Limiti_CDA[Data], TBL_Limiti_CDA[Etica Obiettivo Sociale], , -1)</f>
        <v>9.99</v>
      </c>
      <c r="I301" cm="1">
        <f t="array" ref="I301">_xlfn.XLOOKUP(_xlfn.ANCHORARRAY(A301), TBL_Limiti_CDA[Data], TBL_Limiti_CDA[Etica Conservative Allocation], , -1)</f>
        <v>1</v>
      </c>
      <c r="J301" cm="1">
        <f t="array" ref="J301">_xlfn.XLOOKUP(_xlfn.ANCHORARRAY(A301), TBL_Limiti_CDA[Data], TBL_Limiti_CDA[Etica Dynamic Allocation], , -1)</f>
        <v>3</v>
      </c>
      <c r="K301" cm="1">
        <f t="array" ref="K301">_xlfn.XLOOKUP(_xlfn.ANCHORARRAY(A301), TBL_Limiti_CDA[Data], TBL_Limiti_CDA[Etica Global Equity], , -1)</f>
        <v>4.5</v>
      </c>
      <c r="L301" cm="1">
        <f t="array" ref="L301">_xlfn.ANCHORARRAY(B301)+0.15</f>
        <v>1.9</v>
      </c>
      <c r="M301" cm="1">
        <f t="array" ref="M301">_xlfn.ANCHORARRAY(C301)+0.1</f>
        <v>0.6</v>
      </c>
      <c r="N301" cm="1">
        <f t="array" ref="N301">_xlfn.ANCHORARRAY(D301)+0.15</f>
        <v>1.1499999999999999</v>
      </c>
      <c r="O301" cm="1">
        <f t="array" ref="O301">_xlfn.ANCHORARRAY(E301)+0.15</f>
        <v>3.15</v>
      </c>
      <c r="P301" cm="1">
        <f t="array" ref="P301">_xlfn.ANCHORARRAY(F301)+0.15</f>
        <v>4.6500000000000004</v>
      </c>
      <c r="Q301" cm="1">
        <f t="array" ref="Q301">_xlfn.ANCHORARRAY(G301)+0.15</f>
        <v>2.9</v>
      </c>
      <c r="R301" cm="1">
        <f t="array" ref="R301">_xlfn.ANCHORARRAY(H301)</f>
        <v>9.99</v>
      </c>
      <c r="S301" cm="1">
        <f t="array" ref="S301">_xlfn.ANCHORARRAY(R301)+0.15</f>
        <v>10.14</v>
      </c>
      <c r="T301" cm="1">
        <f t="array" ref="T301">_xlfn.ANCHORARRAY(I301)+0.15</f>
        <v>1.1499999999999999</v>
      </c>
      <c r="U301" cm="1">
        <f t="array" ref="U301">_xlfn.ANCHORARRAY(J301)+0.15</f>
        <v>3.15</v>
      </c>
      <c r="V301" cm="1">
        <f t="array" ref="V301">_xlfn.ANCHORARRAY(K301)+0.15</f>
        <v>4.6500000000000004</v>
      </c>
      <c r="W301">
        <f>TBL_TEV[[#This Row],[Etica Rendita Bilanciata]]</f>
        <v>1.5441130000000001</v>
      </c>
      <c r="X301">
        <f>TBL_TEV[[#This Row],[Etica Obbligazionario Breve Termine]]</f>
        <v>0.33368199999999998</v>
      </c>
      <c r="Y301">
        <f>TBL_TEV[[#This Row],[Etica Obbligazionario Misto]]</f>
        <v>0.74054600000000004</v>
      </c>
      <c r="Z301">
        <f>TBL_TEV[[#This Row],[Etica Bilanciato]]</f>
        <v>2.4919799999999999</v>
      </c>
      <c r="AA301">
        <f>TBL_TEV[[#This Row],[Etica Azionario]]</f>
        <v>3.5062030000000002</v>
      </c>
      <c r="AB301">
        <f>TBL_TEV[[#This Row],[Etica Transizione Climatica]]</f>
        <v>2.2945009999999999</v>
      </c>
      <c r="AC301">
        <f>TBL_TEV[[#This Row],[Etica Obiettivo Sociale]]</f>
        <v>7.495661270799217</v>
      </c>
      <c r="AD301">
        <f>TBL_TEV[[#This Row],[Etica Conservative Allocation]]</f>
        <v>0.57116500000000003</v>
      </c>
      <c r="AE301">
        <f>TBL_TEV[[#This Row],[Etica Dynamic Allocation]]</f>
        <v>2.2316379999999998</v>
      </c>
      <c r="AF301">
        <f>TBL_TEV[[#This Row],[Etica Global Equity]]</f>
        <v>3.3023739999999999</v>
      </c>
      <c r="AL301">
        <f ca="1"/>
        <v>1.52173</v>
      </c>
      <c r="AM301">
        <f ca="1"/>
        <v>0.33082499999999998</v>
      </c>
      <c r="AN301">
        <f ca="1"/>
        <v>0.73657700000000004</v>
      </c>
      <c r="AO301">
        <f ca="1"/>
        <v>2.3272029999999999</v>
      </c>
      <c r="AP301">
        <f ca="1"/>
        <v>3.4366720000000002</v>
      </c>
      <c r="AQ301">
        <f ca="1"/>
        <v>2.2722769999999999</v>
      </c>
      <c r="AR301">
        <f ca="1"/>
        <v>7.3773728453819283</v>
      </c>
      <c r="AS301">
        <f ca="1"/>
        <v>0.55957599999999996</v>
      </c>
      <c r="AT301">
        <f ca="1"/>
        <v>2.1779820000000001</v>
      </c>
      <c r="AU301">
        <f ca="1"/>
        <v>3.2455430000000001</v>
      </c>
    </row>
    <row r="302" spans="1:47">
      <c r="A302" s="43">
        <f>TBL_TEV[[#This Row],[Data2]]</f>
        <v>45719</v>
      </c>
      <c r="B302" cm="1">
        <f t="array" ref="B302">_xlfn.XLOOKUP(_xlfn.ANCHORARRAY(A302), TBL_Limiti_CDA[Data], TBL_Limiti_CDA[Etica Rendita Bilanciata], , -1)</f>
        <v>1.75</v>
      </c>
      <c r="C302" cm="1">
        <f t="array" ref="C302">_xlfn.XLOOKUP(_xlfn.ANCHORARRAY(A302), TBL_Limiti_CDA[Data], TBL_Limiti_CDA[Etica Obbligazionario Breve Termine], , -1)</f>
        <v>0.5</v>
      </c>
      <c r="D302" cm="1">
        <f t="array" ref="D302">_xlfn.XLOOKUP(_xlfn.ANCHORARRAY(A302), TBL_Limiti_CDA[Data], TBL_Limiti_CDA[Etica Obbligazionario Misto], , -1)</f>
        <v>1</v>
      </c>
      <c r="E302" cm="1">
        <f t="array" ref="E302">_xlfn.XLOOKUP(_xlfn.ANCHORARRAY(A302), TBL_Limiti_CDA[Data], TBL_Limiti_CDA[Etica Bilanciato], , -1)</f>
        <v>3</v>
      </c>
      <c r="F302" cm="1">
        <f t="array" ref="F302">_xlfn.XLOOKUP(_xlfn.ANCHORARRAY(A302), TBL_Limiti_CDA[Data], TBL_Limiti_CDA[Etica Azionario], , -1)</f>
        <v>4.5</v>
      </c>
      <c r="G302" cm="1">
        <f t="array" ref="G302">_xlfn.XLOOKUP(_xlfn.ANCHORARRAY(A302), TBL_Limiti_CDA[Data], TBL_Limiti_CDA[Etica Transizione Climatica], , -1)</f>
        <v>2.75</v>
      </c>
      <c r="H302" cm="1">
        <f t="array" ref="H302">_xlfn.XLOOKUP(_xlfn.ANCHORARRAY(A302), TBL_Limiti_CDA[Data], TBL_Limiti_CDA[Etica Obiettivo Sociale], , -1)</f>
        <v>9.99</v>
      </c>
      <c r="I302" cm="1">
        <f t="array" ref="I302">_xlfn.XLOOKUP(_xlfn.ANCHORARRAY(A302), TBL_Limiti_CDA[Data], TBL_Limiti_CDA[Etica Conservative Allocation], , -1)</f>
        <v>1</v>
      </c>
      <c r="J302" cm="1">
        <f t="array" ref="J302">_xlfn.XLOOKUP(_xlfn.ANCHORARRAY(A302), TBL_Limiti_CDA[Data], TBL_Limiti_CDA[Etica Dynamic Allocation], , -1)</f>
        <v>3</v>
      </c>
      <c r="K302" cm="1">
        <f t="array" ref="K302">_xlfn.XLOOKUP(_xlfn.ANCHORARRAY(A302), TBL_Limiti_CDA[Data], TBL_Limiti_CDA[Etica Global Equity], , -1)</f>
        <v>4.5</v>
      </c>
      <c r="L302" cm="1">
        <f t="array" ref="L302">_xlfn.ANCHORARRAY(B302)+0.15</f>
        <v>1.9</v>
      </c>
      <c r="M302" cm="1">
        <f t="array" ref="M302">_xlfn.ANCHORARRAY(C302)+0.1</f>
        <v>0.6</v>
      </c>
      <c r="N302" cm="1">
        <f t="array" ref="N302">_xlfn.ANCHORARRAY(D302)+0.15</f>
        <v>1.1499999999999999</v>
      </c>
      <c r="O302" cm="1">
        <f t="array" ref="O302">_xlfn.ANCHORARRAY(E302)+0.15</f>
        <v>3.15</v>
      </c>
      <c r="P302" cm="1">
        <f t="array" ref="P302">_xlfn.ANCHORARRAY(F302)+0.15</f>
        <v>4.6500000000000004</v>
      </c>
      <c r="Q302" cm="1">
        <f t="array" ref="Q302">_xlfn.ANCHORARRAY(G302)+0.15</f>
        <v>2.9</v>
      </c>
      <c r="R302" cm="1">
        <f t="array" ref="R302">_xlfn.ANCHORARRAY(H302)</f>
        <v>9.99</v>
      </c>
      <c r="S302" cm="1">
        <f t="array" ref="S302">_xlfn.ANCHORARRAY(R302)+0.15</f>
        <v>10.14</v>
      </c>
      <c r="T302" cm="1">
        <f t="array" ref="T302">_xlfn.ANCHORARRAY(I302)+0.15</f>
        <v>1.1499999999999999</v>
      </c>
      <c r="U302" cm="1">
        <f t="array" ref="U302">_xlfn.ANCHORARRAY(J302)+0.15</f>
        <v>3.15</v>
      </c>
      <c r="V302" cm="1">
        <f t="array" ref="V302">_xlfn.ANCHORARRAY(K302)+0.15</f>
        <v>4.6500000000000004</v>
      </c>
      <c r="W302">
        <f>TBL_TEV[[#This Row],[Etica Rendita Bilanciata]]</f>
        <v>1.52173</v>
      </c>
      <c r="X302">
        <f>TBL_TEV[[#This Row],[Etica Obbligazionario Breve Termine]]</f>
        <v>0.33082499999999998</v>
      </c>
      <c r="Y302">
        <f>TBL_TEV[[#This Row],[Etica Obbligazionario Misto]]</f>
        <v>0.73657700000000004</v>
      </c>
      <c r="Z302">
        <f>TBL_TEV[[#This Row],[Etica Bilanciato]]</f>
        <v>2.3272029999999999</v>
      </c>
      <c r="AA302">
        <f>TBL_TEV[[#This Row],[Etica Azionario]]</f>
        <v>3.4366720000000002</v>
      </c>
      <c r="AB302">
        <f>TBL_TEV[[#This Row],[Etica Transizione Climatica]]</f>
        <v>2.2722769999999999</v>
      </c>
      <c r="AC302">
        <f>TBL_TEV[[#This Row],[Etica Obiettivo Sociale]]</f>
        <v>7.3773728453819283</v>
      </c>
      <c r="AD302">
        <f>TBL_TEV[[#This Row],[Etica Conservative Allocation]]</f>
        <v>0.55957599999999996</v>
      </c>
      <c r="AE302">
        <f>TBL_TEV[[#This Row],[Etica Dynamic Allocation]]</f>
        <v>2.1779820000000001</v>
      </c>
      <c r="AF302">
        <f>TBL_TEV[[#This Row],[Etica Global Equity]]</f>
        <v>3.2455430000000001</v>
      </c>
      <c r="AL302">
        <f ca="1"/>
        <v>1.504586</v>
      </c>
      <c r="AM302">
        <f ca="1"/>
        <v>0.330507</v>
      </c>
      <c r="AN302">
        <f ca="1"/>
        <v>0.73070400000000002</v>
      </c>
      <c r="AO302">
        <f ca="1"/>
        <v>2.3032319999999999</v>
      </c>
      <c r="AP302">
        <f ca="1"/>
        <v>3.4109560000000001</v>
      </c>
      <c r="AQ302">
        <f ca="1"/>
        <v>2.2732299999999999</v>
      </c>
      <c r="AR302">
        <f ca="1"/>
        <v>7.3903948119928282</v>
      </c>
      <c r="AS302">
        <f ca="1"/>
        <v>0.55259199999999997</v>
      </c>
      <c r="AT302">
        <f ca="1"/>
        <v>2.1490909999999999</v>
      </c>
      <c r="AU302">
        <f ca="1"/>
        <v>3.205857</v>
      </c>
    </row>
    <row r="303" spans="1:47">
      <c r="A303" s="43">
        <f>TBL_TEV[[#This Row],[Data2]]</f>
        <v>45720</v>
      </c>
      <c r="B303" cm="1">
        <f t="array" ref="B303">_xlfn.XLOOKUP(_xlfn.ANCHORARRAY(A303), TBL_Limiti_CDA[Data], TBL_Limiti_CDA[Etica Rendita Bilanciata], , -1)</f>
        <v>1.75</v>
      </c>
      <c r="C303" cm="1">
        <f t="array" ref="C303">_xlfn.XLOOKUP(_xlfn.ANCHORARRAY(A303), TBL_Limiti_CDA[Data], TBL_Limiti_CDA[Etica Obbligazionario Breve Termine], , -1)</f>
        <v>0.5</v>
      </c>
      <c r="D303" cm="1">
        <f t="array" ref="D303">_xlfn.XLOOKUP(_xlfn.ANCHORARRAY(A303), TBL_Limiti_CDA[Data], TBL_Limiti_CDA[Etica Obbligazionario Misto], , -1)</f>
        <v>1</v>
      </c>
      <c r="E303" cm="1">
        <f t="array" ref="E303">_xlfn.XLOOKUP(_xlfn.ANCHORARRAY(A303), TBL_Limiti_CDA[Data], TBL_Limiti_CDA[Etica Bilanciato], , -1)</f>
        <v>3</v>
      </c>
      <c r="F303" cm="1">
        <f t="array" ref="F303">_xlfn.XLOOKUP(_xlfn.ANCHORARRAY(A303), TBL_Limiti_CDA[Data], TBL_Limiti_CDA[Etica Azionario], , -1)</f>
        <v>4.5</v>
      </c>
      <c r="G303" cm="1">
        <f t="array" ref="G303">_xlfn.XLOOKUP(_xlfn.ANCHORARRAY(A303), TBL_Limiti_CDA[Data], TBL_Limiti_CDA[Etica Transizione Climatica], , -1)</f>
        <v>2.75</v>
      </c>
      <c r="H303" cm="1">
        <f t="array" ref="H303">_xlfn.XLOOKUP(_xlfn.ANCHORARRAY(A303), TBL_Limiti_CDA[Data], TBL_Limiti_CDA[Etica Obiettivo Sociale], , -1)</f>
        <v>9.99</v>
      </c>
      <c r="I303" cm="1">
        <f t="array" ref="I303">_xlfn.XLOOKUP(_xlfn.ANCHORARRAY(A303), TBL_Limiti_CDA[Data], TBL_Limiti_CDA[Etica Conservative Allocation], , -1)</f>
        <v>1</v>
      </c>
      <c r="J303" cm="1">
        <f t="array" ref="J303">_xlfn.XLOOKUP(_xlfn.ANCHORARRAY(A303), TBL_Limiti_CDA[Data], TBL_Limiti_CDA[Etica Dynamic Allocation], , -1)</f>
        <v>3</v>
      </c>
      <c r="K303" cm="1">
        <f t="array" ref="K303">_xlfn.XLOOKUP(_xlfn.ANCHORARRAY(A303), TBL_Limiti_CDA[Data], TBL_Limiti_CDA[Etica Global Equity], , -1)</f>
        <v>4.5</v>
      </c>
      <c r="L303" cm="1">
        <f t="array" ref="L303">_xlfn.ANCHORARRAY(B303)+0.15</f>
        <v>1.9</v>
      </c>
      <c r="M303" cm="1">
        <f t="array" ref="M303">_xlfn.ANCHORARRAY(C303)+0.1</f>
        <v>0.6</v>
      </c>
      <c r="N303" cm="1">
        <f t="array" ref="N303">_xlfn.ANCHORARRAY(D303)+0.15</f>
        <v>1.1499999999999999</v>
      </c>
      <c r="O303" cm="1">
        <f t="array" ref="O303">_xlfn.ANCHORARRAY(E303)+0.15</f>
        <v>3.15</v>
      </c>
      <c r="P303" cm="1">
        <f t="array" ref="P303">_xlfn.ANCHORARRAY(F303)+0.15</f>
        <v>4.6500000000000004</v>
      </c>
      <c r="Q303" cm="1">
        <f t="array" ref="Q303">_xlfn.ANCHORARRAY(G303)+0.15</f>
        <v>2.9</v>
      </c>
      <c r="R303" cm="1">
        <f t="array" ref="R303">_xlfn.ANCHORARRAY(H303)</f>
        <v>9.99</v>
      </c>
      <c r="S303" cm="1">
        <f t="array" ref="S303">_xlfn.ANCHORARRAY(R303)+0.15</f>
        <v>10.14</v>
      </c>
      <c r="T303" cm="1">
        <f t="array" ref="T303">_xlfn.ANCHORARRAY(I303)+0.15</f>
        <v>1.1499999999999999</v>
      </c>
      <c r="U303" cm="1">
        <f t="array" ref="U303">_xlfn.ANCHORARRAY(J303)+0.15</f>
        <v>3.15</v>
      </c>
      <c r="V303" cm="1">
        <f t="array" ref="V303">_xlfn.ANCHORARRAY(K303)+0.15</f>
        <v>4.6500000000000004</v>
      </c>
      <c r="W303">
        <f>TBL_TEV[[#This Row],[Etica Rendita Bilanciata]]</f>
        <v>1.504586</v>
      </c>
      <c r="X303">
        <f>TBL_TEV[[#This Row],[Etica Obbligazionario Breve Termine]]</f>
        <v>0.330507</v>
      </c>
      <c r="Y303">
        <f>TBL_TEV[[#This Row],[Etica Obbligazionario Misto]]</f>
        <v>0.73070400000000002</v>
      </c>
      <c r="Z303">
        <f>TBL_TEV[[#This Row],[Etica Bilanciato]]</f>
        <v>2.3032319999999999</v>
      </c>
      <c r="AA303">
        <f>TBL_TEV[[#This Row],[Etica Azionario]]</f>
        <v>3.4109560000000001</v>
      </c>
      <c r="AB303">
        <f>TBL_TEV[[#This Row],[Etica Transizione Climatica]]</f>
        <v>2.2732299999999999</v>
      </c>
      <c r="AC303">
        <f>TBL_TEV[[#This Row],[Etica Obiettivo Sociale]]</f>
        <v>7.3903948119928282</v>
      </c>
      <c r="AD303">
        <f>TBL_TEV[[#This Row],[Etica Conservative Allocation]]</f>
        <v>0.55259199999999997</v>
      </c>
      <c r="AE303">
        <f>TBL_TEV[[#This Row],[Etica Dynamic Allocation]]</f>
        <v>2.1490909999999999</v>
      </c>
      <c r="AF303">
        <f>TBL_TEV[[#This Row],[Etica Global Equity]]</f>
        <v>3.205857</v>
      </c>
      <c r="AL303">
        <f ca="1"/>
        <v>1.541415</v>
      </c>
      <c r="AM303">
        <f ca="1"/>
        <v>0.37559100000000001</v>
      </c>
      <c r="AN303">
        <f ca="1"/>
        <v>0.77896200000000004</v>
      </c>
      <c r="AO303">
        <f ca="1"/>
        <v>2.2916439999999998</v>
      </c>
      <c r="AP303">
        <f ca="1"/>
        <v>3.375238</v>
      </c>
      <c r="AQ303">
        <f ca="1"/>
        <v>2.265927</v>
      </c>
      <c r="AR303">
        <f ca="1"/>
        <v>7.512018204814372</v>
      </c>
      <c r="AS303">
        <f ca="1"/>
        <v>0.63974299999999995</v>
      </c>
      <c r="AT303">
        <f ca="1"/>
        <v>2.1854429999999998</v>
      </c>
      <c r="AU303">
        <f ca="1"/>
        <v>3.1977609999999999</v>
      </c>
    </row>
    <row r="304" spans="1:47">
      <c r="A304" s="43">
        <f>TBL_TEV[[#This Row],[Data2]]</f>
        <v>45721</v>
      </c>
      <c r="B304" cm="1">
        <f t="array" ref="B304">_xlfn.XLOOKUP(_xlfn.ANCHORARRAY(A304), TBL_Limiti_CDA[Data], TBL_Limiti_CDA[Etica Rendita Bilanciata], , -1)</f>
        <v>1.75</v>
      </c>
      <c r="C304" cm="1">
        <f t="array" ref="C304">_xlfn.XLOOKUP(_xlfn.ANCHORARRAY(A304), TBL_Limiti_CDA[Data], TBL_Limiti_CDA[Etica Obbligazionario Breve Termine], , -1)</f>
        <v>0.5</v>
      </c>
      <c r="D304" cm="1">
        <f t="array" ref="D304">_xlfn.XLOOKUP(_xlfn.ANCHORARRAY(A304), TBL_Limiti_CDA[Data], TBL_Limiti_CDA[Etica Obbligazionario Misto], , -1)</f>
        <v>1</v>
      </c>
      <c r="E304" cm="1">
        <f t="array" ref="E304">_xlfn.XLOOKUP(_xlfn.ANCHORARRAY(A304), TBL_Limiti_CDA[Data], TBL_Limiti_CDA[Etica Bilanciato], , -1)</f>
        <v>3</v>
      </c>
      <c r="F304" cm="1">
        <f t="array" ref="F304">_xlfn.XLOOKUP(_xlfn.ANCHORARRAY(A304), TBL_Limiti_CDA[Data], TBL_Limiti_CDA[Etica Azionario], , -1)</f>
        <v>4.5</v>
      </c>
      <c r="G304" cm="1">
        <f t="array" ref="G304">_xlfn.XLOOKUP(_xlfn.ANCHORARRAY(A304), TBL_Limiti_CDA[Data], TBL_Limiti_CDA[Etica Transizione Climatica], , -1)</f>
        <v>2.75</v>
      </c>
      <c r="H304" cm="1">
        <f t="array" ref="H304">_xlfn.XLOOKUP(_xlfn.ANCHORARRAY(A304), TBL_Limiti_CDA[Data], TBL_Limiti_CDA[Etica Obiettivo Sociale], , -1)</f>
        <v>9.99</v>
      </c>
      <c r="I304" cm="1">
        <f t="array" ref="I304">_xlfn.XLOOKUP(_xlfn.ANCHORARRAY(A304), TBL_Limiti_CDA[Data], TBL_Limiti_CDA[Etica Conservative Allocation], , -1)</f>
        <v>1</v>
      </c>
      <c r="J304" cm="1">
        <f t="array" ref="J304">_xlfn.XLOOKUP(_xlfn.ANCHORARRAY(A304), TBL_Limiti_CDA[Data], TBL_Limiti_CDA[Etica Dynamic Allocation], , -1)</f>
        <v>3</v>
      </c>
      <c r="K304" cm="1">
        <f t="array" ref="K304">_xlfn.XLOOKUP(_xlfn.ANCHORARRAY(A304), TBL_Limiti_CDA[Data], TBL_Limiti_CDA[Etica Global Equity], , -1)</f>
        <v>4.5</v>
      </c>
      <c r="L304" cm="1">
        <f t="array" ref="L304">_xlfn.ANCHORARRAY(B304)+0.15</f>
        <v>1.9</v>
      </c>
      <c r="M304" cm="1">
        <f t="array" ref="M304">_xlfn.ANCHORARRAY(C304)+0.1</f>
        <v>0.6</v>
      </c>
      <c r="N304" cm="1">
        <f t="array" ref="N304">_xlfn.ANCHORARRAY(D304)+0.15</f>
        <v>1.1499999999999999</v>
      </c>
      <c r="O304" cm="1">
        <f t="array" ref="O304">_xlfn.ANCHORARRAY(E304)+0.15</f>
        <v>3.15</v>
      </c>
      <c r="P304" cm="1">
        <f t="array" ref="P304">_xlfn.ANCHORARRAY(F304)+0.15</f>
        <v>4.6500000000000004</v>
      </c>
      <c r="Q304" cm="1">
        <f t="array" ref="Q304">_xlfn.ANCHORARRAY(G304)+0.15</f>
        <v>2.9</v>
      </c>
      <c r="R304" cm="1">
        <f t="array" ref="R304">_xlfn.ANCHORARRAY(H304)</f>
        <v>9.99</v>
      </c>
      <c r="S304" cm="1">
        <f t="array" ref="S304">_xlfn.ANCHORARRAY(R304)+0.15</f>
        <v>10.14</v>
      </c>
      <c r="T304" cm="1">
        <f t="array" ref="T304">_xlfn.ANCHORARRAY(I304)+0.15</f>
        <v>1.1499999999999999</v>
      </c>
      <c r="U304" cm="1">
        <f t="array" ref="U304">_xlfn.ANCHORARRAY(J304)+0.15</f>
        <v>3.15</v>
      </c>
      <c r="V304" cm="1">
        <f t="array" ref="V304">_xlfn.ANCHORARRAY(K304)+0.15</f>
        <v>4.6500000000000004</v>
      </c>
      <c r="W304">
        <f>TBL_TEV[[#This Row],[Etica Rendita Bilanciata]]</f>
        <v>1.541415</v>
      </c>
      <c r="X304">
        <f>TBL_TEV[[#This Row],[Etica Obbligazionario Breve Termine]]</f>
        <v>0.37559100000000001</v>
      </c>
      <c r="Y304">
        <f>TBL_TEV[[#This Row],[Etica Obbligazionario Misto]]</f>
        <v>0.77896200000000004</v>
      </c>
      <c r="Z304">
        <f>TBL_TEV[[#This Row],[Etica Bilanciato]]</f>
        <v>2.2916439999999998</v>
      </c>
      <c r="AA304">
        <f>TBL_TEV[[#This Row],[Etica Azionario]]</f>
        <v>3.375238</v>
      </c>
      <c r="AB304">
        <f>TBL_TEV[[#This Row],[Etica Transizione Climatica]]</f>
        <v>2.265927</v>
      </c>
      <c r="AC304">
        <f>TBL_TEV[[#This Row],[Etica Obiettivo Sociale]]</f>
        <v>7.512018204814372</v>
      </c>
      <c r="AD304">
        <f>TBL_TEV[[#This Row],[Etica Conservative Allocation]]</f>
        <v>0.63974299999999995</v>
      </c>
      <c r="AE304">
        <f>TBL_TEV[[#This Row],[Etica Dynamic Allocation]]</f>
        <v>2.1854429999999998</v>
      </c>
      <c r="AF304">
        <f>TBL_TEV[[#This Row],[Etica Global Equity]]</f>
        <v>3.1977609999999999</v>
      </c>
      <c r="AL304">
        <f ca="1"/>
        <v>1.57491</v>
      </c>
      <c r="AM304">
        <f ca="1"/>
        <v>0.38130599999999998</v>
      </c>
      <c r="AN304">
        <f ca="1"/>
        <v>0.79499500000000001</v>
      </c>
      <c r="AO304">
        <f ca="1"/>
        <v>2.2694200000000002</v>
      </c>
      <c r="AP304">
        <f ca="1"/>
        <v>3.3590460000000002</v>
      </c>
      <c r="AQ304">
        <f ca="1"/>
        <v>2.2602120000000001</v>
      </c>
      <c r="AR304">
        <f ca="1"/>
        <v>7.5801251017474547</v>
      </c>
      <c r="AS304">
        <f ca="1"/>
        <v>0.64863199999999999</v>
      </c>
      <c r="AT304">
        <f ca="1"/>
        <v>2.1586159999999999</v>
      </c>
      <c r="AU304">
        <f ca="1"/>
        <v>3.191411</v>
      </c>
    </row>
    <row r="305" spans="1:47">
      <c r="A305" s="43">
        <f>TBL_TEV[[#This Row],[Data2]]</f>
        <v>45722</v>
      </c>
      <c r="B305" cm="1">
        <f t="array" ref="B305">_xlfn.XLOOKUP(_xlfn.ANCHORARRAY(A305), TBL_Limiti_CDA[Data], TBL_Limiti_CDA[Etica Rendita Bilanciata], , -1)</f>
        <v>1.75</v>
      </c>
      <c r="C305" cm="1">
        <f t="array" ref="C305">_xlfn.XLOOKUP(_xlfn.ANCHORARRAY(A305), TBL_Limiti_CDA[Data], TBL_Limiti_CDA[Etica Obbligazionario Breve Termine], , -1)</f>
        <v>0.5</v>
      </c>
      <c r="D305" cm="1">
        <f t="array" ref="D305">_xlfn.XLOOKUP(_xlfn.ANCHORARRAY(A305), TBL_Limiti_CDA[Data], TBL_Limiti_CDA[Etica Obbligazionario Misto], , -1)</f>
        <v>1</v>
      </c>
      <c r="E305" cm="1">
        <f t="array" ref="E305">_xlfn.XLOOKUP(_xlfn.ANCHORARRAY(A305), TBL_Limiti_CDA[Data], TBL_Limiti_CDA[Etica Bilanciato], , -1)</f>
        <v>3</v>
      </c>
      <c r="F305" cm="1">
        <f t="array" ref="F305">_xlfn.XLOOKUP(_xlfn.ANCHORARRAY(A305), TBL_Limiti_CDA[Data], TBL_Limiti_CDA[Etica Azionario], , -1)</f>
        <v>4.5</v>
      </c>
      <c r="G305" cm="1">
        <f t="array" ref="G305">_xlfn.XLOOKUP(_xlfn.ANCHORARRAY(A305), TBL_Limiti_CDA[Data], TBL_Limiti_CDA[Etica Transizione Climatica], , -1)</f>
        <v>2.75</v>
      </c>
      <c r="H305" cm="1">
        <f t="array" ref="H305">_xlfn.XLOOKUP(_xlfn.ANCHORARRAY(A305), TBL_Limiti_CDA[Data], TBL_Limiti_CDA[Etica Obiettivo Sociale], , -1)</f>
        <v>9.99</v>
      </c>
      <c r="I305" cm="1">
        <f t="array" ref="I305">_xlfn.XLOOKUP(_xlfn.ANCHORARRAY(A305), TBL_Limiti_CDA[Data], TBL_Limiti_CDA[Etica Conservative Allocation], , -1)</f>
        <v>1</v>
      </c>
      <c r="J305" cm="1">
        <f t="array" ref="J305">_xlfn.XLOOKUP(_xlfn.ANCHORARRAY(A305), TBL_Limiti_CDA[Data], TBL_Limiti_CDA[Etica Dynamic Allocation], , -1)</f>
        <v>3</v>
      </c>
      <c r="K305" cm="1">
        <f t="array" ref="K305">_xlfn.XLOOKUP(_xlfn.ANCHORARRAY(A305), TBL_Limiti_CDA[Data], TBL_Limiti_CDA[Etica Global Equity], , -1)</f>
        <v>4.5</v>
      </c>
      <c r="L305" cm="1">
        <f t="array" ref="L305">_xlfn.ANCHORARRAY(B305)+0.15</f>
        <v>1.9</v>
      </c>
      <c r="M305" cm="1">
        <f t="array" ref="M305">_xlfn.ANCHORARRAY(C305)+0.1</f>
        <v>0.6</v>
      </c>
      <c r="N305" cm="1">
        <f t="array" ref="N305">_xlfn.ANCHORARRAY(D305)+0.15</f>
        <v>1.1499999999999999</v>
      </c>
      <c r="O305" cm="1">
        <f t="array" ref="O305">_xlfn.ANCHORARRAY(E305)+0.15</f>
        <v>3.15</v>
      </c>
      <c r="P305" cm="1">
        <f t="array" ref="P305">_xlfn.ANCHORARRAY(F305)+0.15</f>
        <v>4.6500000000000004</v>
      </c>
      <c r="Q305" cm="1">
        <f t="array" ref="Q305">_xlfn.ANCHORARRAY(G305)+0.15</f>
        <v>2.9</v>
      </c>
      <c r="R305" cm="1">
        <f t="array" ref="R305">_xlfn.ANCHORARRAY(H305)</f>
        <v>9.99</v>
      </c>
      <c r="S305" cm="1">
        <f t="array" ref="S305">_xlfn.ANCHORARRAY(R305)+0.15</f>
        <v>10.14</v>
      </c>
      <c r="T305" cm="1">
        <f t="array" ref="T305">_xlfn.ANCHORARRAY(I305)+0.15</f>
        <v>1.1499999999999999</v>
      </c>
      <c r="U305" cm="1">
        <f t="array" ref="U305">_xlfn.ANCHORARRAY(J305)+0.15</f>
        <v>3.15</v>
      </c>
      <c r="V305" cm="1">
        <f t="array" ref="V305">_xlfn.ANCHORARRAY(K305)+0.15</f>
        <v>4.6500000000000004</v>
      </c>
      <c r="W305">
        <f>TBL_TEV[[#This Row],[Etica Rendita Bilanciata]]</f>
        <v>1.57491</v>
      </c>
      <c r="X305">
        <f>TBL_TEV[[#This Row],[Etica Obbligazionario Breve Termine]]</f>
        <v>0.38130599999999998</v>
      </c>
      <c r="Y305">
        <f>TBL_TEV[[#This Row],[Etica Obbligazionario Misto]]</f>
        <v>0.79499500000000001</v>
      </c>
      <c r="Z305">
        <f>TBL_TEV[[#This Row],[Etica Bilanciato]]</f>
        <v>2.2694200000000002</v>
      </c>
      <c r="AA305">
        <f>TBL_TEV[[#This Row],[Etica Azionario]]</f>
        <v>3.3590460000000002</v>
      </c>
      <c r="AB305">
        <f>TBL_TEV[[#This Row],[Etica Transizione Climatica]]</f>
        <v>2.2602120000000001</v>
      </c>
      <c r="AC305">
        <f>TBL_TEV[[#This Row],[Etica Obiettivo Sociale]]</f>
        <v>7.5801251017474547</v>
      </c>
      <c r="AD305">
        <f>TBL_TEV[[#This Row],[Etica Conservative Allocation]]</f>
        <v>0.64863199999999999</v>
      </c>
      <c r="AE305">
        <f>TBL_TEV[[#This Row],[Etica Dynamic Allocation]]</f>
        <v>2.1586159999999999</v>
      </c>
      <c r="AF305">
        <f>TBL_TEV[[#This Row],[Etica Global Equity]]</f>
        <v>3.191411</v>
      </c>
      <c r="AL305">
        <f ca="1"/>
        <v>1.565544</v>
      </c>
      <c r="AM305">
        <f ca="1"/>
        <v>0.38575100000000001</v>
      </c>
      <c r="AN305">
        <f ca="1"/>
        <v>0.79785300000000003</v>
      </c>
      <c r="AO305">
        <f ca="1"/>
        <v>2.3054549999999998</v>
      </c>
      <c r="AP305">
        <f ca="1"/>
        <v>3.3987319999999999</v>
      </c>
      <c r="AQ305">
        <f ca="1"/>
        <v>2.2792620000000001</v>
      </c>
      <c r="AR305">
        <f ca="1"/>
        <v>7.5869073117988242</v>
      </c>
      <c r="AS305">
        <f ca="1"/>
        <v>0.65609300000000004</v>
      </c>
      <c r="AT305">
        <f ca="1"/>
        <v>2.1946509999999999</v>
      </c>
      <c r="AU305">
        <f ca="1"/>
        <v>3.2344309999999998</v>
      </c>
    </row>
    <row r="306" spans="1:47">
      <c r="A306" s="43">
        <f>TBL_TEV[[#This Row],[Data2]]</f>
        <v>45723</v>
      </c>
      <c r="B306" cm="1">
        <f t="array" ref="B306">_xlfn.XLOOKUP(_xlfn.ANCHORARRAY(A306), TBL_Limiti_CDA[Data], TBL_Limiti_CDA[Etica Rendita Bilanciata], , -1)</f>
        <v>1.75</v>
      </c>
      <c r="C306" cm="1">
        <f t="array" ref="C306">_xlfn.XLOOKUP(_xlfn.ANCHORARRAY(A306), TBL_Limiti_CDA[Data], TBL_Limiti_CDA[Etica Obbligazionario Breve Termine], , -1)</f>
        <v>0.5</v>
      </c>
      <c r="D306" cm="1">
        <f t="array" ref="D306">_xlfn.XLOOKUP(_xlfn.ANCHORARRAY(A306), TBL_Limiti_CDA[Data], TBL_Limiti_CDA[Etica Obbligazionario Misto], , -1)</f>
        <v>1</v>
      </c>
      <c r="E306" cm="1">
        <f t="array" ref="E306">_xlfn.XLOOKUP(_xlfn.ANCHORARRAY(A306), TBL_Limiti_CDA[Data], TBL_Limiti_CDA[Etica Bilanciato], , -1)</f>
        <v>3</v>
      </c>
      <c r="F306" cm="1">
        <f t="array" ref="F306">_xlfn.XLOOKUP(_xlfn.ANCHORARRAY(A306), TBL_Limiti_CDA[Data], TBL_Limiti_CDA[Etica Azionario], , -1)</f>
        <v>4.5</v>
      </c>
      <c r="G306" cm="1">
        <f t="array" ref="G306">_xlfn.XLOOKUP(_xlfn.ANCHORARRAY(A306), TBL_Limiti_CDA[Data], TBL_Limiti_CDA[Etica Transizione Climatica], , -1)</f>
        <v>2.75</v>
      </c>
      <c r="H306" cm="1">
        <f t="array" ref="H306">_xlfn.XLOOKUP(_xlfn.ANCHORARRAY(A306), TBL_Limiti_CDA[Data], TBL_Limiti_CDA[Etica Obiettivo Sociale], , -1)</f>
        <v>9.99</v>
      </c>
      <c r="I306" cm="1">
        <f t="array" ref="I306">_xlfn.XLOOKUP(_xlfn.ANCHORARRAY(A306), TBL_Limiti_CDA[Data], TBL_Limiti_CDA[Etica Conservative Allocation], , -1)</f>
        <v>1</v>
      </c>
      <c r="J306" cm="1">
        <f t="array" ref="J306">_xlfn.XLOOKUP(_xlfn.ANCHORARRAY(A306), TBL_Limiti_CDA[Data], TBL_Limiti_CDA[Etica Dynamic Allocation], , -1)</f>
        <v>3</v>
      </c>
      <c r="K306" cm="1">
        <f t="array" ref="K306">_xlfn.XLOOKUP(_xlfn.ANCHORARRAY(A306), TBL_Limiti_CDA[Data], TBL_Limiti_CDA[Etica Global Equity], , -1)</f>
        <v>4.5</v>
      </c>
      <c r="L306" cm="1">
        <f t="array" ref="L306">_xlfn.ANCHORARRAY(B306)+0.15</f>
        <v>1.9</v>
      </c>
      <c r="M306" cm="1">
        <f t="array" ref="M306">_xlfn.ANCHORARRAY(C306)+0.1</f>
        <v>0.6</v>
      </c>
      <c r="N306" cm="1">
        <f t="array" ref="N306">_xlfn.ANCHORARRAY(D306)+0.15</f>
        <v>1.1499999999999999</v>
      </c>
      <c r="O306" cm="1">
        <f t="array" ref="O306">_xlfn.ANCHORARRAY(E306)+0.15</f>
        <v>3.15</v>
      </c>
      <c r="P306" cm="1">
        <f t="array" ref="P306">_xlfn.ANCHORARRAY(F306)+0.15</f>
        <v>4.6500000000000004</v>
      </c>
      <c r="Q306" cm="1">
        <f t="array" ref="Q306">_xlfn.ANCHORARRAY(G306)+0.15</f>
        <v>2.9</v>
      </c>
      <c r="R306" cm="1">
        <f t="array" ref="R306">_xlfn.ANCHORARRAY(H306)</f>
        <v>9.99</v>
      </c>
      <c r="S306" cm="1">
        <f t="array" ref="S306">_xlfn.ANCHORARRAY(R306)+0.15</f>
        <v>10.14</v>
      </c>
      <c r="T306" cm="1">
        <f t="array" ref="T306">_xlfn.ANCHORARRAY(I306)+0.15</f>
        <v>1.1499999999999999</v>
      </c>
      <c r="U306" cm="1">
        <f t="array" ref="U306">_xlfn.ANCHORARRAY(J306)+0.15</f>
        <v>3.15</v>
      </c>
      <c r="V306" cm="1">
        <f t="array" ref="V306">_xlfn.ANCHORARRAY(K306)+0.15</f>
        <v>4.6500000000000004</v>
      </c>
      <c r="W306">
        <f>TBL_TEV[[#This Row],[Etica Rendita Bilanciata]]</f>
        <v>1.565544</v>
      </c>
      <c r="X306">
        <f>TBL_TEV[[#This Row],[Etica Obbligazionario Breve Termine]]</f>
        <v>0.38575100000000001</v>
      </c>
      <c r="Y306">
        <f>TBL_TEV[[#This Row],[Etica Obbligazionario Misto]]</f>
        <v>0.79785300000000003</v>
      </c>
      <c r="Z306">
        <f>TBL_TEV[[#This Row],[Etica Bilanciato]]</f>
        <v>2.3054549999999998</v>
      </c>
      <c r="AA306">
        <f>TBL_TEV[[#This Row],[Etica Azionario]]</f>
        <v>3.3987319999999999</v>
      </c>
      <c r="AB306">
        <f>TBL_TEV[[#This Row],[Etica Transizione Climatica]]</f>
        <v>2.2792620000000001</v>
      </c>
      <c r="AC306">
        <f>TBL_TEV[[#This Row],[Etica Obiettivo Sociale]]</f>
        <v>7.5869073117988242</v>
      </c>
      <c r="AD306">
        <f>TBL_TEV[[#This Row],[Etica Conservative Allocation]]</f>
        <v>0.65609300000000004</v>
      </c>
      <c r="AE306">
        <f>TBL_TEV[[#This Row],[Etica Dynamic Allocation]]</f>
        <v>2.1946509999999999</v>
      </c>
      <c r="AF306">
        <f>TBL_TEV[[#This Row],[Etica Global Equity]]</f>
        <v>3.2344309999999998</v>
      </c>
      <c r="AL306">
        <f ca="1"/>
        <v>1.578244</v>
      </c>
      <c r="AM306">
        <f ca="1"/>
        <v>0.38829000000000002</v>
      </c>
      <c r="AN306">
        <f ca="1"/>
        <v>0.80356799999999995</v>
      </c>
      <c r="AO306">
        <f ca="1"/>
        <v>2.289898</v>
      </c>
      <c r="AP306">
        <f ca="1"/>
        <v>3.3790480000000001</v>
      </c>
      <c r="AQ306">
        <f ca="1"/>
        <v>2.2564030000000002</v>
      </c>
      <c r="AR306">
        <f ca="1"/>
        <v>7.7174082099507153</v>
      </c>
      <c r="AS306">
        <f ca="1"/>
        <v>0.66355399999999998</v>
      </c>
      <c r="AT306">
        <f ca="1"/>
        <v>2.1970320000000001</v>
      </c>
      <c r="AU306">
        <f ca="1"/>
        <v>3.2468129999999999</v>
      </c>
    </row>
    <row r="307" spans="1:47">
      <c r="A307" s="43">
        <f>TBL_TEV[[#This Row],[Data2]]</f>
        <v>45726</v>
      </c>
      <c r="B307" cm="1">
        <f t="array" ref="B307">_xlfn.XLOOKUP(_xlfn.ANCHORARRAY(A307), TBL_Limiti_CDA[Data], TBL_Limiti_CDA[Etica Rendita Bilanciata], , -1)</f>
        <v>1.75</v>
      </c>
      <c r="C307" cm="1">
        <f t="array" ref="C307">_xlfn.XLOOKUP(_xlfn.ANCHORARRAY(A307), TBL_Limiti_CDA[Data], TBL_Limiti_CDA[Etica Obbligazionario Breve Termine], , -1)</f>
        <v>0.5</v>
      </c>
      <c r="D307" cm="1">
        <f t="array" ref="D307">_xlfn.XLOOKUP(_xlfn.ANCHORARRAY(A307), TBL_Limiti_CDA[Data], TBL_Limiti_CDA[Etica Obbligazionario Misto], , -1)</f>
        <v>1</v>
      </c>
      <c r="E307" cm="1">
        <f t="array" ref="E307">_xlfn.XLOOKUP(_xlfn.ANCHORARRAY(A307), TBL_Limiti_CDA[Data], TBL_Limiti_CDA[Etica Bilanciato], , -1)</f>
        <v>3</v>
      </c>
      <c r="F307" cm="1">
        <f t="array" ref="F307">_xlfn.XLOOKUP(_xlfn.ANCHORARRAY(A307), TBL_Limiti_CDA[Data], TBL_Limiti_CDA[Etica Azionario], , -1)</f>
        <v>4.5</v>
      </c>
      <c r="G307" cm="1">
        <f t="array" ref="G307">_xlfn.XLOOKUP(_xlfn.ANCHORARRAY(A307), TBL_Limiti_CDA[Data], TBL_Limiti_CDA[Etica Transizione Climatica], , -1)</f>
        <v>2.75</v>
      </c>
      <c r="H307" cm="1">
        <f t="array" ref="H307">_xlfn.XLOOKUP(_xlfn.ANCHORARRAY(A307), TBL_Limiti_CDA[Data], TBL_Limiti_CDA[Etica Obiettivo Sociale], , -1)</f>
        <v>9.99</v>
      </c>
      <c r="I307" cm="1">
        <f t="array" ref="I307">_xlfn.XLOOKUP(_xlfn.ANCHORARRAY(A307), TBL_Limiti_CDA[Data], TBL_Limiti_CDA[Etica Conservative Allocation], , -1)</f>
        <v>1</v>
      </c>
      <c r="J307" cm="1">
        <f t="array" ref="J307">_xlfn.XLOOKUP(_xlfn.ANCHORARRAY(A307), TBL_Limiti_CDA[Data], TBL_Limiti_CDA[Etica Dynamic Allocation], , -1)</f>
        <v>3</v>
      </c>
      <c r="K307" cm="1">
        <f t="array" ref="K307">_xlfn.XLOOKUP(_xlfn.ANCHORARRAY(A307), TBL_Limiti_CDA[Data], TBL_Limiti_CDA[Etica Global Equity], , -1)</f>
        <v>4.5</v>
      </c>
      <c r="L307" cm="1">
        <f t="array" ref="L307">_xlfn.ANCHORARRAY(B307)+0.15</f>
        <v>1.9</v>
      </c>
      <c r="M307" cm="1">
        <f t="array" ref="M307">_xlfn.ANCHORARRAY(C307)+0.1</f>
        <v>0.6</v>
      </c>
      <c r="N307" cm="1">
        <f t="array" ref="N307">_xlfn.ANCHORARRAY(D307)+0.15</f>
        <v>1.1499999999999999</v>
      </c>
      <c r="O307" cm="1">
        <f t="array" ref="O307">_xlfn.ANCHORARRAY(E307)+0.15</f>
        <v>3.15</v>
      </c>
      <c r="P307" cm="1">
        <f t="array" ref="P307">_xlfn.ANCHORARRAY(F307)+0.15</f>
        <v>4.6500000000000004</v>
      </c>
      <c r="Q307" cm="1">
        <f t="array" ref="Q307">_xlfn.ANCHORARRAY(G307)+0.15</f>
        <v>2.9</v>
      </c>
      <c r="R307" cm="1">
        <f t="array" ref="R307">_xlfn.ANCHORARRAY(H307)</f>
        <v>9.99</v>
      </c>
      <c r="S307" cm="1">
        <f t="array" ref="S307">_xlfn.ANCHORARRAY(R307)+0.15</f>
        <v>10.14</v>
      </c>
      <c r="T307" cm="1">
        <f t="array" ref="T307">_xlfn.ANCHORARRAY(I307)+0.15</f>
        <v>1.1499999999999999</v>
      </c>
      <c r="U307" cm="1">
        <f t="array" ref="U307">_xlfn.ANCHORARRAY(J307)+0.15</f>
        <v>3.15</v>
      </c>
      <c r="V307" cm="1">
        <f t="array" ref="V307">_xlfn.ANCHORARRAY(K307)+0.15</f>
        <v>4.6500000000000004</v>
      </c>
      <c r="W307">
        <f>TBL_TEV[[#This Row],[Etica Rendita Bilanciata]]</f>
        <v>1.578244</v>
      </c>
      <c r="X307">
        <f>TBL_TEV[[#This Row],[Etica Obbligazionario Breve Termine]]</f>
        <v>0.38829000000000002</v>
      </c>
      <c r="Y307">
        <f>TBL_TEV[[#This Row],[Etica Obbligazionario Misto]]</f>
        <v>0.80356799999999995</v>
      </c>
      <c r="Z307">
        <f>TBL_TEV[[#This Row],[Etica Bilanciato]]</f>
        <v>2.289898</v>
      </c>
      <c r="AA307">
        <f>TBL_TEV[[#This Row],[Etica Azionario]]</f>
        <v>3.3790480000000001</v>
      </c>
      <c r="AB307">
        <f>TBL_TEV[[#This Row],[Etica Transizione Climatica]]</f>
        <v>2.2564030000000002</v>
      </c>
      <c r="AC307">
        <f>TBL_TEV[[#This Row],[Etica Obiettivo Sociale]]</f>
        <v>7.7174082099507153</v>
      </c>
      <c r="AD307">
        <f>TBL_TEV[[#This Row],[Etica Conservative Allocation]]</f>
        <v>0.66355399999999998</v>
      </c>
      <c r="AE307">
        <f>TBL_TEV[[#This Row],[Etica Dynamic Allocation]]</f>
        <v>2.1970320000000001</v>
      </c>
      <c r="AF307">
        <f>TBL_TEV[[#This Row],[Etica Global Equity]]</f>
        <v>3.2468129999999999</v>
      </c>
      <c r="AL307">
        <f ca="1"/>
        <v>1.6033249999999999</v>
      </c>
      <c r="AM307">
        <f ca="1"/>
        <v>0.385909</v>
      </c>
      <c r="AN307">
        <f ca="1"/>
        <v>0.81721999999999995</v>
      </c>
      <c r="AO307">
        <f ca="1"/>
        <v>2.3013270000000001</v>
      </c>
      <c r="AP307">
        <f ca="1"/>
        <v>3.3963510000000001</v>
      </c>
      <c r="AQ307">
        <f ca="1"/>
        <v>2.3002159999999998</v>
      </c>
      <c r="AR307">
        <f ca="1"/>
        <v>7.6621744601918431</v>
      </c>
      <c r="AS307">
        <f ca="1"/>
        <v>0.67101500000000003</v>
      </c>
      <c r="AT307">
        <f ca="1"/>
        <v>2.2441789999999999</v>
      </c>
      <c r="AU307">
        <f ca="1"/>
        <v>3.268402</v>
      </c>
    </row>
    <row r="308" spans="1:47">
      <c r="A308" s="43">
        <f>TBL_TEV[[#This Row],[Data2]]</f>
        <v>45727</v>
      </c>
      <c r="B308" cm="1">
        <f t="array" ref="B308">_xlfn.XLOOKUP(_xlfn.ANCHORARRAY(A308), TBL_Limiti_CDA[Data], TBL_Limiti_CDA[Etica Rendita Bilanciata], , -1)</f>
        <v>1.75</v>
      </c>
      <c r="C308" cm="1">
        <f t="array" ref="C308">_xlfn.XLOOKUP(_xlfn.ANCHORARRAY(A308), TBL_Limiti_CDA[Data], TBL_Limiti_CDA[Etica Obbligazionario Breve Termine], , -1)</f>
        <v>0.5</v>
      </c>
      <c r="D308" cm="1">
        <f t="array" ref="D308">_xlfn.XLOOKUP(_xlfn.ANCHORARRAY(A308), TBL_Limiti_CDA[Data], TBL_Limiti_CDA[Etica Obbligazionario Misto], , -1)</f>
        <v>1</v>
      </c>
      <c r="E308" cm="1">
        <f t="array" ref="E308">_xlfn.XLOOKUP(_xlfn.ANCHORARRAY(A308), TBL_Limiti_CDA[Data], TBL_Limiti_CDA[Etica Bilanciato], , -1)</f>
        <v>3</v>
      </c>
      <c r="F308" cm="1">
        <f t="array" ref="F308">_xlfn.XLOOKUP(_xlfn.ANCHORARRAY(A308), TBL_Limiti_CDA[Data], TBL_Limiti_CDA[Etica Azionario], , -1)</f>
        <v>4.5</v>
      </c>
      <c r="G308" cm="1">
        <f t="array" ref="G308">_xlfn.XLOOKUP(_xlfn.ANCHORARRAY(A308), TBL_Limiti_CDA[Data], TBL_Limiti_CDA[Etica Transizione Climatica], , -1)</f>
        <v>2.75</v>
      </c>
      <c r="H308" cm="1">
        <f t="array" ref="H308">_xlfn.XLOOKUP(_xlfn.ANCHORARRAY(A308), TBL_Limiti_CDA[Data], TBL_Limiti_CDA[Etica Obiettivo Sociale], , -1)</f>
        <v>9.99</v>
      </c>
      <c r="I308" cm="1">
        <f t="array" ref="I308">_xlfn.XLOOKUP(_xlfn.ANCHORARRAY(A308), TBL_Limiti_CDA[Data], TBL_Limiti_CDA[Etica Conservative Allocation], , -1)</f>
        <v>1</v>
      </c>
      <c r="J308" cm="1">
        <f t="array" ref="J308">_xlfn.XLOOKUP(_xlfn.ANCHORARRAY(A308), TBL_Limiti_CDA[Data], TBL_Limiti_CDA[Etica Dynamic Allocation], , -1)</f>
        <v>3</v>
      </c>
      <c r="K308" cm="1">
        <f t="array" ref="K308">_xlfn.XLOOKUP(_xlfn.ANCHORARRAY(A308), TBL_Limiti_CDA[Data], TBL_Limiti_CDA[Etica Global Equity], , -1)</f>
        <v>4.5</v>
      </c>
      <c r="L308" cm="1">
        <f t="array" ref="L308">_xlfn.ANCHORARRAY(B308)+0.15</f>
        <v>1.9</v>
      </c>
      <c r="M308" cm="1">
        <f t="array" ref="M308">_xlfn.ANCHORARRAY(C308)+0.1</f>
        <v>0.6</v>
      </c>
      <c r="N308" cm="1">
        <f t="array" ref="N308">_xlfn.ANCHORARRAY(D308)+0.15</f>
        <v>1.1499999999999999</v>
      </c>
      <c r="O308" cm="1">
        <f t="array" ref="O308">_xlfn.ANCHORARRAY(E308)+0.15</f>
        <v>3.15</v>
      </c>
      <c r="P308" cm="1">
        <f t="array" ref="P308">_xlfn.ANCHORARRAY(F308)+0.15</f>
        <v>4.6500000000000004</v>
      </c>
      <c r="Q308" cm="1">
        <f t="array" ref="Q308">_xlfn.ANCHORARRAY(G308)+0.15</f>
        <v>2.9</v>
      </c>
      <c r="R308" cm="1">
        <f t="array" ref="R308">_xlfn.ANCHORARRAY(H308)</f>
        <v>9.99</v>
      </c>
      <c r="S308" cm="1">
        <f t="array" ref="S308">_xlfn.ANCHORARRAY(R308)+0.15</f>
        <v>10.14</v>
      </c>
      <c r="T308" cm="1">
        <f t="array" ref="T308">_xlfn.ANCHORARRAY(I308)+0.15</f>
        <v>1.1499999999999999</v>
      </c>
      <c r="U308" cm="1">
        <f t="array" ref="U308">_xlfn.ANCHORARRAY(J308)+0.15</f>
        <v>3.15</v>
      </c>
      <c r="V308" cm="1">
        <f t="array" ref="V308">_xlfn.ANCHORARRAY(K308)+0.15</f>
        <v>4.6500000000000004</v>
      </c>
      <c r="W308">
        <f>TBL_TEV[[#This Row],[Etica Rendita Bilanciata]]</f>
        <v>1.6033249999999999</v>
      </c>
      <c r="X308">
        <f>TBL_TEV[[#This Row],[Etica Obbligazionario Breve Termine]]</f>
        <v>0.385909</v>
      </c>
      <c r="Y308">
        <f>TBL_TEV[[#This Row],[Etica Obbligazionario Misto]]</f>
        <v>0.81721999999999995</v>
      </c>
      <c r="Z308">
        <f>TBL_TEV[[#This Row],[Etica Bilanciato]]</f>
        <v>2.3013270000000001</v>
      </c>
      <c r="AA308">
        <f>TBL_TEV[[#This Row],[Etica Azionario]]</f>
        <v>3.3963510000000001</v>
      </c>
      <c r="AB308">
        <f>TBL_TEV[[#This Row],[Etica Transizione Climatica]]</f>
        <v>2.3002159999999998</v>
      </c>
      <c r="AC308">
        <f>TBL_TEV[[#This Row],[Etica Obiettivo Sociale]]</f>
        <v>7.6621744601918431</v>
      </c>
      <c r="AD308">
        <f>TBL_TEV[[#This Row],[Etica Conservative Allocation]]</f>
        <v>0.67101500000000003</v>
      </c>
      <c r="AE308">
        <f>TBL_TEV[[#This Row],[Etica Dynamic Allocation]]</f>
        <v>2.2441789999999999</v>
      </c>
      <c r="AF308">
        <f>TBL_TEV[[#This Row],[Etica Global Equity]]</f>
        <v>3.268402</v>
      </c>
      <c r="AL308">
        <f ca="1"/>
        <v>1.606976</v>
      </c>
      <c r="AM308">
        <f ca="1"/>
        <v>0.384322</v>
      </c>
      <c r="AN308">
        <f ca="1"/>
        <v>0.82261700000000004</v>
      </c>
      <c r="AO308">
        <f ca="1"/>
        <v>2.3097409999999998</v>
      </c>
      <c r="AP308">
        <f ca="1"/>
        <v>3.4049230000000001</v>
      </c>
      <c r="AQ308">
        <f ca="1"/>
        <v>2.3478400000000001</v>
      </c>
      <c r="AR308">
        <f ca="1"/>
        <v>7.7531930049474189</v>
      </c>
      <c r="AS308">
        <f ca="1"/>
        <v>0.69498599999999999</v>
      </c>
      <c r="AT308">
        <f ca="1"/>
        <v>2.2857699999999999</v>
      </c>
      <c r="AU308">
        <f ca="1"/>
        <v>3.2766570000000002</v>
      </c>
    </row>
    <row r="309" spans="1:47">
      <c r="A309" s="43">
        <f>TBL_TEV[[#This Row],[Data2]]</f>
        <v>45728</v>
      </c>
      <c r="B309" cm="1">
        <f t="array" ref="B309">_xlfn.XLOOKUP(_xlfn.ANCHORARRAY(A309), TBL_Limiti_CDA[Data], TBL_Limiti_CDA[Etica Rendita Bilanciata], , -1)</f>
        <v>1.75</v>
      </c>
      <c r="C309" cm="1">
        <f t="array" ref="C309">_xlfn.XLOOKUP(_xlfn.ANCHORARRAY(A309), TBL_Limiti_CDA[Data], TBL_Limiti_CDA[Etica Obbligazionario Breve Termine], , -1)</f>
        <v>0.5</v>
      </c>
      <c r="D309" cm="1">
        <f t="array" ref="D309">_xlfn.XLOOKUP(_xlfn.ANCHORARRAY(A309), TBL_Limiti_CDA[Data], TBL_Limiti_CDA[Etica Obbligazionario Misto], , -1)</f>
        <v>1</v>
      </c>
      <c r="E309" cm="1">
        <f t="array" ref="E309">_xlfn.XLOOKUP(_xlfn.ANCHORARRAY(A309), TBL_Limiti_CDA[Data], TBL_Limiti_CDA[Etica Bilanciato], , -1)</f>
        <v>3</v>
      </c>
      <c r="F309" cm="1">
        <f t="array" ref="F309">_xlfn.XLOOKUP(_xlfn.ANCHORARRAY(A309), TBL_Limiti_CDA[Data], TBL_Limiti_CDA[Etica Azionario], , -1)</f>
        <v>4.5</v>
      </c>
      <c r="G309" cm="1">
        <f t="array" ref="G309">_xlfn.XLOOKUP(_xlfn.ANCHORARRAY(A309), TBL_Limiti_CDA[Data], TBL_Limiti_CDA[Etica Transizione Climatica], , -1)</f>
        <v>2.75</v>
      </c>
      <c r="H309" cm="1">
        <f t="array" ref="H309">_xlfn.XLOOKUP(_xlfn.ANCHORARRAY(A309), TBL_Limiti_CDA[Data], TBL_Limiti_CDA[Etica Obiettivo Sociale], , -1)</f>
        <v>9.99</v>
      </c>
      <c r="I309" cm="1">
        <f t="array" ref="I309">_xlfn.XLOOKUP(_xlfn.ANCHORARRAY(A309), TBL_Limiti_CDA[Data], TBL_Limiti_CDA[Etica Conservative Allocation], , -1)</f>
        <v>1</v>
      </c>
      <c r="J309" cm="1">
        <f t="array" ref="J309">_xlfn.XLOOKUP(_xlfn.ANCHORARRAY(A309), TBL_Limiti_CDA[Data], TBL_Limiti_CDA[Etica Dynamic Allocation], , -1)</f>
        <v>3</v>
      </c>
      <c r="K309" cm="1">
        <f t="array" ref="K309">_xlfn.XLOOKUP(_xlfn.ANCHORARRAY(A309), TBL_Limiti_CDA[Data], TBL_Limiti_CDA[Etica Global Equity], , -1)</f>
        <v>4.5</v>
      </c>
      <c r="L309" cm="1">
        <f t="array" ref="L309">_xlfn.ANCHORARRAY(B309)+0.15</f>
        <v>1.9</v>
      </c>
      <c r="M309" cm="1">
        <f t="array" ref="M309">_xlfn.ANCHORARRAY(C309)+0.1</f>
        <v>0.6</v>
      </c>
      <c r="N309" cm="1">
        <f t="array" ref="N309">_xlfn.ANCHORARRAY(D309)+0.15</f>
        <v>1.1499999999999999</v>
      </c>
      <c r="O309" cm="1">
        <f t="array" ref="O309">_xlfn.ANCHORARRAY(E309)+0.15</f>
        <v>3.15</v>
      </c>
      <c r="P309" cm="1">
        <f t="array" ref="P309">_xlfn.ANCHORARRAY(F309)+0.15</f>
        <v>4.6500000000000004</v>
      </c>
      <c r="Q309" cm="1">
        <f t="array" ref="Q309">_xlfn.ANCHORARRAY(G309)+0.15</f>
        <v>2.9</v>
      </c>
      <c r="R309" cm="1">
        <f t="array" ref="R309">_xlfn.ANCHORARRAY(H309)</f>
        <v>9.99</v>
      </c>
      <c r="S309" cm="1">
        <f t="array" ref="S309">_xlfn.ANCHORARRAY(R309)+0.15</f>
        <v>10.14</v>
      </c>
      <c r="T309" cm="1">
        <f t="array" ref="T309">_xlfn.ANCHORARRAY(I309)+0.15</f>
        <v>1.1499999999999999</v>
      </c>
      <c r="U309" cm="1">
        <f t="array" ref="U309">_xlfn.ANCHORARRAY(J309)+0.15</f>
        <v>3.15</v>
      </c>
      <c r="V309" cm="1">
        <f t="array" ref="V309">_xlfn.ANCHORARRAY(K309)+0.15</f>
        <v>4.6500000000000004</v>
      </c>
      <c r="W309">
        <f>TBL_TEV[[#This Row],[Etica Rendita Bilanciata]]</f>
        <v>1.606976</v>
      </c>
      <c r="X309">
        <f>TBL_TEV[[#This Row],[Etica Obbligazionario Breve Termine]]</f>
        <v>0.384322</v>
      </c>
      <c r="Y309">
        <f>TBL_TEV[[#This Row],[Etica Obbligazionario Misto]]</f>
        <v>0.82261700000000004</v>
      </c>
      <c r="Z309">
        <f>TBL_TEV[[#This Row],[Etica Bilanciato]]</f>
        <v>2.3097409999999998</v>
      </c>
      <c r="AA309">
        <f>TBL_TEV[[#This Row],[Etica Azionario]]</f>
        <v>3.4049230000000001</v>
      </c>
      <c r="AB309">
        <f>TBL_TEV[[#This Row],[Etica Transizione Climatica]]</f>
        <v>2.3478400000000001</v>
      </c>
      <c r="AC309">
        <f>TBL_TEV[[#This Row],[Etica Obiettivo Sociale]]</f>
        <v>7.7531930049474189</v>
      </c>
      <c r="AD309">
        <f>TBL_TEV[[#This Row],[Etica Conservative Allocation]]</f>
        <v>0.69498599999999999</v>
      </c>
      <c r="AE309">
        <f>TBL_TEV[[#This Row],[Etica Dynamic Allocation]]</f>
        <v>2.2857699999999999</v>
      </c>
      <c r="AF309">
        <f>TBL_TEV[[#This Row],[Etica Global Equity]]</f>
        <v>3.2766570000000002</v>
      </c>
      <c r="AL309">
        <f ca="1"/>
        <v>1.6360269999999999</v>
      </c>
      <c r="AM309">
        <f ca="1"/>
        <v>0.38321100000000002</v>
      </c>
      <c r="AN309">
        <f ca="1"/>
        <v>0.94373899999999999</v>
      </c>
      <c r="AO309">
        <f ca="1"/>
        <v>2.3106930000000001</v>
      </c>
      <c r="AP309">
        <f ca="1"/>
        <v>3.4082569999999999</v>
      </c>
      <c r="AQ309">
        <f ca="1"/>
        <v>2.3472050000000002</v>
      </c>
      <c r="AR309">
        <f ca="1"/>
        <v>7.6198486149070881</v>
      </c>
      <c r="AS309">
        <f ca="1"/>
        <v>0.69387500000000002</v>
      </c>
      <c r="AT309">
        <f ca="1"/>
        <v>2.2819609999999999</v>
      </c>
      <c r="AU309">
        <f ca="1"/>
        <v>3.269037</v>
      </c>
    </row>
    <row r="310" spans="1:47">
      <c r="A310" s="43">
        <f>TBL_TEV[[#This Row],[Data2]]</f>
        <v>45729</v>
      </c>
      <c r="B310" cm="1">
        <f t="array" ref="B310">_xlfn.XLOOKUP(_xlfn.ANCHORARRAY(A310), TBL_Limiti_CDA[Data], TBL_Limiti_CDA[Etica Rendita Bilanciata], , -1)</f>
        <v>1.75</v>
      </c>
      <c r="C310" cm="1">
        <f t="array" ref="C310">_xlfn.XLOOKUP(_xlfn.ANCHORARRAY(A310), TBL_Limiti_CDA[Data], TBL_Limiti_CDA[Etica Obbligazionario Breve Termine], , -1)</f>
        <v>0.5</v>
      </c>
      <c r="D310" cm="1">
        <f t="array" ref="D310">_xlfn.XLOOKUP(_xlfn.ANCHORARRAY(A310), TBL_Limiti_CDA[Data], TBL_Limiti_CDA[Etica Obbligazionario Misto], , -1)</f>
        <v>1</v>
      </c>
      <c r="E310" cm="1">
        <f t="array" ref="E310">_xlfn.XLOOKUP(_xlfn.ANCHORARRAY(A310), TBL_Limiti_CDA[Data], TBL_Limiti_CDA[Etica Bilanciato], , -1)</f>
        <v>3</v>
      </c>
      <c r="F310" cm="1">
        <f t="array" ref="F310">_xlfn.XLOOKUP(_xlfn.ANCHORARRAY(A310), TBL_Limiti_CDA[Data], TBL_Limiti_CDA[Etica Azionario], , -1)</f>
        <v>4.5</v>
      </c>
      <c r="G310" cm="1">
        <f t="array" ref="G310">_xlfn.XLOOKUP(_xlfn.ANCHORARRAY(A310), TBL_Limiti_CDA[Data], TBL_Limiti_CDA[Etica Transizione Climatica], , -1)</f>
        <v>2.75</v>
      </c>
      <c r="H310" cm="1">
        <f t="array" ref="H310">_xlfn.XLOOKUP(_xlfn.ANCHORARRAY(A310), TBL_Limiti_CDA[Data], TBL_Limiti_CDA[Etica Obiettivo Sociale], , -1)</f>
        <v>9.99</v>
      </c>
      <c r="I310" cm="1">
        <f t="array" ref="I310">_xlfn.XLOOKUP(_xlfn.ANCHORARRAY(A310), TBL_Limiti_CDA[Data], TBL_Limiti_CDA[Etica Conservative Allocation], , -1)</f>
        <v>1</v>
      </c>
      <c r="J310" cm="1">
        <f t="array" ref="J310">_xlfn.XLOOKUP(_xlfn.ANCHORARRAY(A310), TBL_Limiti_CDA[Data], TBL_Limiti_CDA[Etica Dynamic Allocation], , -1)</f>
        <v>3</v>
      </c>
      <c r="K310" cm="1">
        <f t="array" ref="K310">_xlfn.XLOOKUP(_xlfn.ANCHORARRAY(A310), TBL_Limiti_CDA[Data], TBL_Limiti_CDA[Etica Global Equity], , -1)</f>
        <v>4.5</v>
      </c>
      <c r="L310" cm="1">
        <f t="array" ref="L310">_xlfn.ANCHORARRAY(B310)+0.15</f>
        <v>1.9</v>
      </c>
      <c r="M310" cm="1">
        <f t="array" ref="M310">_xlfn.ANCHORARRAY(C310)+0.1</f>
        <v>0.6</v>
      </c>
      <c r="N310" cm="1">
        <f t="array" ref="N310">_xlfn.ANCHORARRAY(D310)+0.15</f>
        <v>1.1499999999999999</v>
      </c>
      <c r="O310" cm="1">
        <f t="array" ref="O310">_xlfn.ANCHORARRAY(E310)+0.15</f>
        <v>3.15</v>
      </c>
      <c r="P310" cm="1">
        <f t="array" ref="P310">_xlfn.ANCHORARRAY(F310)+0.15</f>
        <v>4.6500000000000004</v>
      </c>
      <c r="Q310" cm="1">
        <f t="array" ref="Q310">_xlfn.ANCHORARRAY(G310)+0.15</f>
        <v>2.9</v>
      </c>
      <c r="R310" cm="1">
        <f t="array" ref="R310">_xlfn.ANCHORARRAY(H310)</f>
        <v>9.99</v>
      </c>
      <c r="S310" cm="1">
        <f t="array" ref="S310">_xlfn.ANCHORARRAY(R310)+0.15</f>
        <v>10.14</v>
      </c>
      <c r="T310" cm="1">
        <f t="array" ref="T310">_xlfn.ANCHORARRAY(I310)+0.15</f>
        <v>1.1499999999999999</v>
      </c>
      <c r="U310" cm="1">
        <f t="array" ref="U310">_xlfn.ANCHORARRAY(J310)+0.15</f>
        <v>3.15</v>
      </c>
      <c r="V310" cm="1">
        <f t="array" ref="V310">_xlfn.ANCHORARRAY(K310)+0.15</f>
        <v>4.6500000000000004</v>
      </c>
      <c r="W310">
        <f>TBL_TEV[[#This Row],[Etica Rendita Bilanciata]]</f>
        <v>1.6360269999999999</v>
      </c>
      <c r="X310">
        <f>TBL_TEV[[#This Row],[Etica Obbligazionario Breve Termine]]</f>
        <v>0.38321100000000002</v>
      </c>
      <c r="Y310">
        <f>TBL_TEV[[#This Row],[Etica Obbligazionario Misto]]</f>
        <v>0.94373899999999999</v>
      </c>
      <c r="Z310">
        <f>TBL_TEV[[#This Row],[Etica Bilanciato]]</f>
        <v>2.3106930000000001</v>
      </c>
      <c r="AA310">
        <f>TBL_TEV[[#This Row],[Etica Azionario]]</f>
        <v>3.4082569999999999</v>
      </c>
      <c r="AB310">
        <f>TBL_TEV[[#This Row],[Etica Transizione Climatica]]</f>
        <v>2.3472050000000002</v>
      </c>
      <c r="AC310">
        <f>TBL_TEV[[#This Row],[Etica Obiettivo Sociale]]</f>
        <v>7.6198486149070881</v>
      </c>
      <c r="AD310">
        <f>TBL_TEV[[#This Row],[Etica Conservative Allocation]]</f>
        <v>0.69387500000000002</v>
      </c>
      <c r="AE310">
        <f>TBL_TEV[[#This Row],[Etica Dynamic Allocation]]</f>
        <v>2.2819609999999999</v>
      </c>
      <c r="AF310">
        <f>TBL_TEV[[#This Row],[Etica Global Equity]]</f>
        <v>3.269037</v>
      </c>
      <c r="AL310">
        <f ca="1"/>
        <v>1.629677</v>
      </c>
      <c r="AM310">
        <f ca="1"/>
        <v>0.38194099999999997</v>
      </c>
      <c r="AN310">
        <f ca="1"/>
        <v>0.94500899999999999</v>
      </c>
      <c r="AO310">
        <f ca="1"/>
        <v>2.2924380000000002</v>
      </c>
      <c r="AP310">
        <f ca="1"/>
        <v>3.3585699999999998</v>
      </c>
      <c r="AQ310">
        <f ca="1"/>
        <v>2.3695879999999998</v>
      </c>
      <c r="AR310">
        <f ca="1"/>
        <v>7.8219860364202418</v>
      </c>
      <c r="AS310">
        <f ca="1"/>
        <v>0.70514600000000005</v>
      </c>
      <c r="AT310">
        <f ca="1"/>
        <v>2.3018040000000002</v>
      </c>
      <c r="AU310">
        <f ca="1"/>
        <v>3.2885629999999999</v>
      </c>
    </row>
    <row r="311" spans="1:47">
      <c r="A311" s="43">
        <f>TBL_TEV[[#This Row],[Data2]]</f>
        <v>45730</v>
      </c>
      <c r="B311" cm="1">
        <f t="array" ref="B311">_xlfn.XLOOKUP(_xlfn.ANCHORARRAY(A311), TBL_Limiti_CDA[Data], TBL_Limiti_CDA[Etica Rendita Bilanciata], , -1)</f>
        <v>1.75</v>
      </c>
      <c r="C311" cm="1">
        <f t="array" ref="C311">_xlfn.XLOOKUP(_xlfn.ANCHORARRAY(A311), TBL_Limiti_CDA[Data], TBL_Limiti_CDA[Etica Obbligazionario Breve Termine], , -1)</f>
        <v>0.5</v>
      </c>
      <c r="D311" cm="1">
        <f t="array" ref="D311">_xlfn.XLOOKUP(_xlfn.ANCHORARRAY(A311), TBL_Limiti_CDA[Data], TBL_Limiti_CDA[Etica Obbligazionario Misto], , -1)</f>
        <v>1</v>
      </c>
      <c r="E311" cm="1">
        <f t="array" ref="E311">_xlfn.XLOOKUP(_xlfn.ANCHORARRAY(A311), TBL_Limiti_CDA[Data], TBL_Limiti_CDA[Etica Bilanciato], , -1)</f>
        <v>3</v>
      </c>
      <c r="F311" cm="1">
        <f t="array" ref="F311">_xlfn.XLOOKUP(_xlfn.ANCHORARRAY(A311), TBL_Limiti_CDA[Data], TBL_Limiti_CDA[Etica Azionario], , -1)</f>
        <v>4.5</v>
      </c>
      <c r="G311" cm="1">
        <f t="array" ref="G311">_xlfn.XLOOKUP(_xlfn.ANCHORARRAY(A311), TBL_Limiti_CDA[Data], TBL_Limiti_CDA[Etica Transizione Climatica], , -1)</f>
        <v>2.75</v>
      </c>
      <c r="H311" cm="1">
        <f t="array" ref="H311">_xlfn.XLOOKUP(_xlfn.ANCHORARRAY(A311), TBL_Limiti_CDA[Data], TBL_Limiti_CDA[Etica Obiettivo Sociale], , -1)</f>
        <v>9.99</v>
      </c>
      <c r="I311" cm="1">
        <f t="array" ref="I311">_xlfn.XLOOKUP(_xlfn.ANCHORARRAY(A311), TBL_Limiti_CDA[Data], TBL_Limiti_CDA[Etica Conservative Allocation], , -1)</f>
        <v>1</v>
      </c>
      <c r="J311" cm="1">
        <f t="array" ref="J311">_xlfn.XLOOKUP(_xlfn.ANCHORARRAY(A311), TBL_Limiti_CDA[Data], TBL_Limiti_CDA[Etica Dynamic Allocation], , -1)</f>
        <v>3</v>
      </c>
      <c r="K311" cm="1">
        <f t="array" ref="K311">_xlfn.XLOOKUP(_xlfn.ANCHORARRAY(A311), TBL_Limiti_CDA[Data], TBL_Limiti_CDA[Etica Global Equity], , -1)</f>
        <v>4.5</v>
      </c>
      <c r="L311" cm="1">
        <f t="array" ref="L311">_xlfn.ANCHORARRAY(B311)+0.15</f>
        <v>1.9</v>
      </c>
      <c r="M311" cm="1">
        <f t="array" ref="M311">_xlfn.ANCHORARRAY(C311)+0.1</f>
        <v>0.6</v>
      </c>
      <c r="N311" cm="1">
        <f t="array" ref="N311">_xlfn.ANCHORARRAY(D311)+0.15</f>
        <v>1.1499999999999999</v>
      </c>
      <c r="O311" cm="1">
        <f t="array" ref="O311">_xlfn.ANCHORARRAY(E311)+0.15</f>
        <v>3.15</v>
      </c>
      <c r="P311" cm="1">
        <f t="array" ref="P311">_xlfn.ANCHORARRAY(F311)+0.15</f>
        <v>4.6500000000000004</v>
      </c>
      <c r="Q311" cm="1">
        <f t="array" ref="Q311">_xlfn.ANCHORARRAY(G311)+0.15</f>
        <v>2.9</v>
      </c>
      <c r="R311" cm="1">
        <f t="array" ref="R311">_xlfn.ANCHORARRAY(H311)</f>
        <v>9.99</v>
      </c>
      <c r="S311" cm="1">
        <f t="array" ref="S311">_xlfn.ANCHORARRAY(R311)+0.15</f>
        <v>10.14</v>
      </c>
      <c r="T311" cm="1">
        <f t="array" ref="T311">_xlfn.ANCHORARRAY(I311)+0.15</f>
        <v>1.1499999999999999</v>
      </c>
      <c r="U311" cm="1">
        <f t="array" ref="U311">_xlfn.ANCHORARRAY(J311)+0.15</f>
        <v>3.15</v>
      </c>
      <c r="V311" cm="1">
        <f t="array" ref="V311">_xlfn.ANCHORARRAY(K311)+0.15</f>
        <v>4.6500000000000004</v>
      </c>
      <c r="W311">
        <f>TBL_TEV[[#This Row],[Etica Rendita Bilanciata]]</f>
        <v>1.629677</v>
      </c>
      <c r="X311">
        <f>TBL_TEV[[#This Row],[Etica Obbligazionario Breve Termine]]</f>
        <v>0.38194099999999997</v>
      </c>
      <c r="Y311">
        <f>TBL_TEV[[#This Row],[Etica Obbligazionario Misto]]</f>
        <v>0.94500899999999999</v>
      </c>
      <c r="Z311">
        <f>TBL_TEV[[#This Row],[Etica Bilanciato]]</f>
        <v>2.2924380000000002</v>
      </c>
      <c r="AA311">
        <f>TBL_TEV[[#This Row],[Etica Azionario]]</f>
        <v>3.3585699999999998</v>
      </c>
      <c r="AB311">
        <f>TBL_TEV[[#This Row],[Etica Transizione Climatica]]</f>
        <v>2.3695879999999998</v>
      </c>
      <c r="AC311">
        <f>TBL_TEV[[#This Row],[Etica Obiettivo Sociale]]</f>
        <v>7.8219860364202418</v>
      </c>
      <c r="AD311">
        <f>TBL_TEV[[#This Row],[Etica Conservative Allocation]]</f>
        <v>0.70514600000000005</v>
      </c>
      <c r="AE311">
        <f>TBL_TEV[[#This Row],[Etica Dynamic Allocation]]</f>
        <v>2.3018040000000002</v>
      </c>
      <c r="AF311">
        <f>TBL_TEV[[#This Row],[Etica Global Equity]]</f>
        <v>3.2885629999999999</v>
      </c>
      <c r="AL311">
        <f ca="1"/>
        <v>1.634757</v>
      </c>
      <c r="AM311">
        <f ca="1"/>
        <v>0.38463900000000001</v>
      </c>
      <c r="AN311">
        <f ca="1"/>
        <v>0.95770900000000003</v>
      </c>
      <c r="AO311">
        <f ca="1"/>
        <v>2.2921200000000002</v>
      </c>
      <c r="AP311">
        <f ca="1"/>
        <v>3.3380920000000001</v>
      </c>
      <c r="AQ311">
        <f ca="1"/>
        <v>2.3892720000000001</v>
      </c>
      <c r="AR311">
        <f ca="1"/>
        <v>7.8400368301231866</v>
      </c>
      <c r="AS311">
        <f ca="1"/>
        <v>0.70165299999999997</v>
      </c>
      <c r="AT311">
        <f ca="1"/>
        <v>2.2686259999999998</v>
      </c>
      <c r="AU311">
        <f ca="1"/>
        <v>3.2357010000000002</v>
      </c>
    </row>
    <row r="312" spans="1:47">
      <c r="A312" s="43">
        <f>TBL_TEV[[#This Row],[Data2]]</f>
        <v>45733</v>
      </c>
      <c r="B312" cm="1">
        <f t="array" ref="B312">_xlfn.XLOOKUP(_xlfn.ANCHORARRAY(A312), TBL_Limiti_CDA[Data], TBL_Limiti_CDA[Etica Rendita Bilanciata], , -1)</f>
        <v>1.75</v>
      </c>
      <c r="C312" cm="1">
        <f t="array" ref="C312">_xlfn.XLOOKUP(_xlfn.ANCHORARRAY(A312), TBL_Limiti_CDA[Data], TBL_Limiti_CDA[Etica Obbligazionario Breve Termine], , -1)</f>
        <v>0.5</v>
      </c>
      <c r="D312" cm="1">
        <f t="array" ref="D312">_xlfn.XLOOKUP(_xlfn.ANCHORARRAY(A312), TBL_Limiti_CDA[Data], TBL_Limiti_CDA[Etica Obbligazionario Misto], , -1)</f>
        <v>1</v>
      </c>
      <c r="E312" cm="1">
        <f t="array" ref="E312">_xlfn.XLOOKUP(_xlfn.ANCHORARRAY(A312), TBL_Limiti_CDA[Data], TBL_Limiti_CDA[Etica Bilanciato], , -1)</f>
        <v>3</v>
      </c>
      <c r="F312" cm="1">
        <f t="array" ref="F312">_xlfn.XLOOKUP(_xlfn.ANCHORARRAY(A312), TBL_Limiti_CDA[Data], TBL_Limiti_CDA[Etica Azionario], , -1)</f>
        <v>4.5</v>
      </c>
      <c r="G312" cm="1">
        <f t="array" ref="G312">_xlfn.XLOOKUP(_xlfn.ANCHORARRAY(A312), TBL_Limiti_CDA[Data], TBL_Limiti_CDA[Etica Transizione Climatica], , -1)</f>
        <v>2.75</v>
      </c>
      <c r="H312" cm="1">
        <f t="array" ref="H312">_xlfn.XLOOKUP(_xlfn.ANCHORARRAY(A312), TBL_Limiti_CDA[Data], TBL_Limiti_CDA[Etica Obiettivo Sociale], , -1)</f>
        <v>9.99</v>
      </c>
      <c r="I312" cm="1">
        <f t="array" ref="I312">_xlfn.XLOOKUP(_xlfn.ANCHORARRAY(A312), TBL_Limiti_CDA[Data], TBL_Limiti_CDA[Etica Conservative Allocation], , -1)</f>
        <v>1</v>
      </c>
      <c r="J312" cm="1">
        <f t="array" ref="J312">_xlfn.XLOOKUP(_xlfn.ANCHORARRAY(A312), TBL_Limiti_CDA[Data], TBL_Limiti_CDA[Etica Dynamic Allocation], , -1)</f>
        <v>3</v>
      </c>
      <c r="K312" cm="1">
        <f t="array" ref="K312">_xlfn.XLOOKUP(_xlfn.ANCHORARRAY(A312), TBL_Limiti_CDA[Data], TBL_Limiti_CDA[Etica Global Equity], , -1)</f>
        <v>4.5</v>
      </c>
      <c r="L312" cm="1">
        <f t="array" ref="L312">_xlfn.ANCHORARRAY(B312)+0.15</f>
        <v>1.9</v>
      </c>
      <c r="M312" cm="1">
        <f t="array" ref="M312">_xlfn.ANCHORARRAY(C312)+0.1</f>
        <v>0.6</v>
      </c>
      <c r="N312" cm="1">
        <f t="array" ref="N312">_xlfn.ANCHORARRAY(D312)+0.15</f>
        <v>1.1499999999999999</v>
      </c>
      <c r="O312" cm="1">
        <f t="array" ref="O312">_xlfn.ANCHORARRAY(E312)+0.15</f>
        <v>3.15</v>
      </c>
      <c r="P312" cm="1">
        <f t="array" ref="P312">_xlfn.ANCHORARRAY(F312)+0.15</f>
        <v>4.6500000000000004</v>
      </c>
      <c r="Q312" cm="1">
        <f t="array" ref="Q312">_xlfn.ANCHORARRAY(G312)+0.15</f>
        <v>2.9</v>
      </c>
      <c r="R312" cm="1">
        <f t="array" ref="R312">_xlfn.ANCHORARRAY(H312)</f>
        <v>9.99</v>
      </c>
      <c r="S312" cm="1">
        <f t="array" ref="S312">_xlfn.ANCHORARRAY(R312)+0.15</f>
        <v>10.14</v>
      </c>
      <c r="T312" cm="1">
        <f t="array" ref="T312">_xlfn.ANCHORARRAY(I312)+0.15</f>
        <v>1.1499999999999999</v>
      </c>
      <c r="U312" cm="1">
        <f t="array" ref="U312">_xlfn.ANCHORARRAY(J312)+0.15</f>
        <v>3.15</v>
      </c>
      <c r="V312" cm="1">
        <f t="array" ref="V312">_xlfn.ANCHORARRAY(K312)+0.15</f>
        <v>4.6500000000000004</v>
      </c>
      <c r="W312">
        <f>TBL_TEV[[#This Row],[Etica Rendita Bilanciata]]</f>
        <v>1.634757</v>
      </c>
      <c r="X312">
        <f>TBL_TEV[[#This Row],[Etica Obbligazionario Breve Termine]]</f>
        <v>0.38463900000000001</v>
      </c>
      <c r="Y312">
        <f>TBL_TEV[[#This Row],[Etica Obbligazionario Misto]]</f>
        <v>0.95770900000000003</v>
      </c>
      <c r="Z312">
        <f>TBL_TEV[[#This Row],[Etica Bilanciato]]</f>
        <v>2.2921200000000002</v>
      </c>
      <c r="AA312">
        <f>TBL_TEV[[#This Row],[Etica Azionario]]</f>
        <v>3.3380920000000001</v>
      </c>
      <c r="AB312">
        <f>TBL_TEV[[#This Row],[Etica Transizione Climatica]]</f>
        <v>2.3892720000000001</v>
      </c>
      <c r="AC312">
        <f>TBL_TEV[[#This Row],[Etica Obiettivo Sociale]]</f>
        <v>7.8400368301231866</v>
      </c>
      <c r="AD312">
        <f>TBL_TEV[[#This Row],[Etica Conservative Allocation]]</f>
        <v>0.70165299999999997</v>
      </c>
      <c r="AE312">
        <f>TBL_TEV[[#This Row],[Etica Dynamic Allocation]]</f>
        <v>2.2686259999999998</v>
      </c>
      <c r="AF312">
        <f>TBL_TEV[[#This Row],[Etica Global Equity]]</f>
        <v>3.2357010000000002</v>
      </c>
      <c r="AL312">
        <f ca="1"/>
        <v>1.613961</v>
      </c>
      <c r="AM312">
        <f ca="1"/>
        <v>0.383687</v>
      </c>
      <c r="AN312">
        <f ca="1"/>
        <v>0.953264</v>
      </c>
      <c r="AO312">
        <f ca="1"/>
        <v>2.2630699999999999</v>
      </c>
      <c r="AP312">
        <f ca="1"/>
        <v>3.296977</v>
      </c>
      <c r="AQ312">
        <f ca="1"/>
        <v>2.3243450000000001</v>
      </c>
      <c r="AR312">
        <f ca="1"/>
        <v>7.9218481129408396</v>
      </c>
      <c r="AS312">
        <f ca="1"/>
        <v>0.69704999999999995</v>
      </c>
      <c r="AT312">
        <f ca="1"/>
        <v>2.2410040000000002</v>
      </c>
      <c r="AU312">
        <f ca="1"/>
        <v>3.1998250000000001</v>
      </c>
    </row>
    <row r="313" spans="1:47">
      <c r="A313" s="43">
        <f>TBL_TEV[[#This Row],[Data2]]</f>
        <v>45734</v>
      </c>
      <c r="B313" cm="1">
        <f t="array" ref="B313">_xlfn.XLOOKUP(_xlfn.ANCHORARRAY(A313), TBL_Limiti_CDA[Data], TBL_Limiti_CDA[Etica Rendita Bilanciata], , -1)</f>
        <v>1.75</v>
      </c>
      <c r="C313" cm="1">
        <f t="array" ref="C313">_xlfn.XLOOKUP(_xlfn.ANCHORARRAY(A313), TBL_Limiti_CDA[Data], TBL_Limiti_CDA[Etica Obbligazionario Breve Termine], , -1)</f>
        <v>0.5</v>
      </c>
      <c r="D313" cm="1">
        <f t="array" ref="D313">_xlfn.XLOOKUP(_xlfn.ANCHORARRAY(A313), TBL_Limiti_CDA[Data], TBL_Limiti_CDA[Etica Obbligazionario Misto], , -1)</f>
        <v>1</v>
      </c>
      <c r="E313" cm="1">
        <f t="array" ref="E313">_xlfn.XLOOKUP(_xlfn.ANCHORARRAY(A313), TBL_Limiti_CDA[Data], TBL_Limiti_CDA[Etica Bilanciato], , -1)</f>
        <v>3</v>
      </c>
      <c r="F313" cm="1">
        <f t="array" ref="F313">_xlfn.XLOOKUP(_xlfn.ANCHORARRAY(A313), TBL_Limiti_CDA[Data], TBL_Limiti_CDA[Etica Azionario], , -1)</f>
        <v>4.5</v>
      </c>
      <c r="G313" cm="1">
        <f t="array" ref="G313">_xlfn.XLOOKUP(_xlfn.ANCHORARRAY(A313), TBL_Limiti_CDA[Data], TBL_Limiti_CDA[Etica Transizione Climatica], , -1)</f>
        <v>2.75</v>
      </c>
      <c r="H313" cm="1">
        <f t="array" ref="H313">_xlfn.XLOOKUP(_xlfn.ANCHORARRAY(A313), TBL_Limiti_CDA[Data], TBL_Limiti_CDA[Etica Obiettivo Sociale], , -1)</f>
        <v>9.99</v>
      </c>
      <c r="I313" cm="1">
        <f t="array" ref="I313">_xlfn.XLOOKUP(_xlfn.ANCHORARRAY(A313), TBL_Limiti_CDA[Data], TBL_Limiti_CDA[Etica Conservative Allocation], , -1)</f>
        <v>1</v>
      </c>
      <c r="J313" cm="1">
        <f t="array" ref="J313">_xlfn.XLOOKUP(_xlfn.ANCHORARRAY(A313), TBL_Limiti_CDA[Data], TBL_Limiti_CDA[Etica Dynamic Allocation], , -1)</f>
        <v>3</v>
      </c>
      <c r="K313" cm="1">
        <f t="array" ref="K313">_xlfn.XLOOKUP(_xlfn.ANCHORARRAY(A313), TBL_Limiti_CDA[Data], TBL_Limiti_CDA[Etica Global Equity], , -1)</f>
        <v>4.5</v>
      </c>
      <c r="L313" cm="1">
        <f t="array" ref="L313">_xlfn.ANCHORARRAY(B313)+0.15</f>
        <v>1.9</v>
      </c>
      <c r="M313" cm="1">
        <f t="array" ref="M313">_xlfn.ANCHORARRAY(C313)+0.1</f>
        <v>0.6</v>
      </c>
      <c r="N313" cm="1">
        <f t="array" ref="N313">_xlfn.ANCHORARRAY(D313)+0.15</f>
        <v>1.1499999999999999</v>
      </c>
      <c r="O313" cm="1">
        <f t="array" ref="O313">_xlfn.ANCHORARRAY(E313)+0.15</f>
        <v>3.15</v>
      </c>
      <c r="P313" cm="1">
        <f t="array" ref="P313">_xlfn.ANCHORARRAY(F313)+0.15</f>
        <v>4.6500000000000004</v>
      </c>
      <c r="Q313" cm="1">
        <f t="array" ref="Q313">_xlfn.ANCHORARRAY(G313)+0.15</f>
        <v>2.9</v>
      </c>
      <c r="R313" cm="1">
        <f t="array" ref="R313">_xlfn.ANCHORARRAY(H313)</f>
        <v>9.99</v>
      </c>
      <c r="S313" cm="1">
        <f t="array" ref="S313">_xlfn.ANCHORARRAY(R313)+0.15</f>
        <v>10.14</v>
      </c>
      <c r="T313" cm="1">
        <f t="array" ref="T313">_xlfn.ANCHORARRAY(I313)+0.15</f>
        <v>1.1499999999999999</v>
      </c>
      <c r="U313" cm="1">
        <f t="array" ref="U313">_xlfn.ANCHORARRAY(J313)+0.15</f>
        <v>3.15</v>
      </c>
      <c r="V313" cm="1">
        <f t="array" ref="V313">_xlfn.ANCHORARRAY(K313)+0.15</f>
        <v>4.6500000000000004</v>
      </c>
      <c r="W313">
        <f>TBL_TEV[[#This Row],[Etica Rendita Bilanciata]]</f>
        <v>1.613961</v>
      </c>
      <c r="X313">
        <f>TBL_TEV[[#This Row],[Etica Obbligazionario Breve Termine]]</f>
        <v>0.383687</v>
      </c>
      <c r="Y313">
        <f>TBL_TEV[[#This Row],[Etica Obbligazionario Misto]]</f>
        <v>0.953264</v>
      </c>
      <c r="Z313">
        <f>TBL_TEV[[#This Row],[Etica Bilanciato]]</f>
        <v>2.2630699999999999</v>
      </c>
      <c r="AA313">
        <f>TBL_TEV[[#This Row],[Etica Azionario]]</f>
        <v>3.296977</v>
      </c>
      <c r="AB313">
        <f>TBL_TEV[[#This Row],[Etica Transizione Climatica]]</f>
        <v>2.3243450000000001</v>
      </c>
      <c r="AC313">
        <f>TBL_TEV[[#This Row],[Etica Obiettivo Sociale]]</f>
        <v>7.9218481129408396</v>
      </c>
      <c r="AD313">
        <f>TBL_TEV[[#This Row],[Etica Conservative Allocation]]</f>
        <v>0.69704999999999995</v>
      </c>
      <c r="AE313">
        <f>TBL_TEV[[#This Row],[Etica Dynamic Allocation]]</f>
        <v>2.2410040000000002</v>
      </c>
      <c r="AF313">
        <f>TBL_TEV[[#This Row],[Etica Global Equity]]</f>
        <v>3.1998250000000001</v>
      </c>
      <c r="AL313">
        <f ca="1"/>
        <v>1.582212</v>
      </c>
      <c r="AM313">
        <f ca="1"/>
        <v>0.38543300000000003</v>
      </c>
      <c r="AN313">
        <f ca="1"/>
        <v>0.94516800000000001</v>
      </c>
      <c r="AO313">
        <f ca="1"/>
        <v>2.24275</v>
      </c>
      <c r="AP313">
        <f ca="1"/>
        <v>3.2891979999999998</v>
      </c>
      <c r="AQ313">
        <f ca="1"/>
        <v>2.2976760000000001</v>
      </c>
      <c r="AR313">
        <f ca="1"/>
        <v>7.7372537528634435</v>
      </c>
      <c r="AS313">
        <f ca="1"/>
        <v>0.695303</v>
      </c>
      <c r="AT313">
        <f ca="1"/>
        <v>2.258149</v>
      </c>
      <c r="AU313">
        <f ca="1"/>
        <v>3.241733</v>
      </c>
    </row>
    <row r="314" spans="1:47">
      <c r="A314" s="43">
        <f>TBL_TEV[[#This Row],[Data2]]</f>
        <v>45735</v>
      </c>
      <c r="B314" cm="1">
        <f t="array" ref="B314">_xlfn.XLOOKUP(_xlfn.ANCHORARRAY(A314), TBL_Limiti_CDA[Data], TBL_Limiti_CDA[Etica Rendita Bilanciata], , -1)</f>
        <v>1.75</v>
      </c>
      <c r="C314" cm="1">
        <f t="array" ref="C314">_xlfn.XLOOKUP(_xlfn.ANCHORARRAY(A314), TBL_Limiti_CDA[Data], TBL_Limiti_CDA[Etica Obbligazionario Breve Termine], , -1)</f>
        <v>0.5</v>
      </c>
      <c r="D314" cm="1">
        <f t="array" ref="D314">_xlfn.XLOOKUP(_xlfn.ANCHORARRAY(A314), TBL_Limiti_CDA[Data], TBL_Limiti_CDA[Etica Obbligazionario Misto], , -1)</f>
        <v>1</v>
      </c>
      <c r="E314" cm="1">
        <f t="array" ref="E314">_xlfn.XLOOKUP(_xlfn.ANCHORARRAY(A314), TBL_Limiti_CDA[Data], TBL_Limiti_CDA[Etica Bilanciato], , -1)</f>
        <v>3</v>
      </c>
      <c r="F314" cm="1">
        <f t="array" ref="F314">_xlfn.XLOOKUP(_xlfn.ANCHORARRAY(A314), TBL_Limiti_CDA[Data], TBL_Limiti_CDA[Etica Azionario], , -1)</f>
        <v>4.5</v>
      </c>
      <c r="G314" cm="1">
        <f t="array" ref="G314">_xlfn.XLOOKUP(_xlfn.ANCHORARRAY(A314), TBL_Limiti_CDA[Data], TBL_Limiti_CDA[Etica Transizione Climatica], , -1)</f>
        <v>2.75</v>
      </c>
      <c r="H314" cm="1">
        <f t="array" ref="H314">_xlfn.XLOOKUP(_xlfn.ANCHORARRAY(A314), TBL_Limiti_CDA[Data], TBL_Limiti_CDA[Etica Obiettivo Sociale], , -1)</f>
        <v>9.99</v>
      </c>
      <c r="I314" cm="1">
        <f t="array" ref="I314">_xlfn.XLOOKUP(_xlfn.ANCHORARRAY(A314), TBL_Limiti_CDA[Data], TBL_Limiti_CDA[Etica Conservative Allocation], , -1)</f>
        <v>1</v>
      </c>
      <c r="J314" cm="1">
        <f t="array" ref="J314">_xlfn.XLOOKUP(_xlfn.ANCHORARRAY(A314), TBL_Limiti_CDA[Data], TBL_Limiti_CDA[Etica Dynamic Allocation], , -1)</f>
        <v>3</v>
      </c>
      <c r="K314" cm="1">
        <f t="array" ref="K314">_xlfn.XLOOKUP(_xlfn.ANCHORARRAY(A314), TBL_Limiti_CDA[Data], TBL_Limiti_CDA[Etica Global Equity], , -1)</f>
        <v>4.5</v>
      </c>
      <c r="L314" cm="1">
        <f t="array" ref="L314">_xlfn.ANCHORARRAY(B314)+0.15</f>
        <v>1.9</v>
      </c>
      <c r="M314" cm="1">
        <f t="array" ref="M314">_xlfn.ANCHORARRAY(C314)+0.1</f>
        <v>0.6</v>
      </c>
      <c r="N314" cm="1">
        <f t="array" ref="N314">_xlfn.ANCHORARRAY(D314)+0.15</f>
        <v>1.1499999999999999</v>
      </c>
      <c r="O314" cm="1">
        <f t="array" ref="O314">_xlfn.ANCHORARRAY(E314)+0.15</f>
        <v>3.15</v>
      </c>
      <c r="P314" cm="1">
        <f t="array" ref="P314">_xlfn.ANCHORARRAY(F314)+0.15</f>
        <v>4.6500000000000004</v>
      </c>
      <c r="Q314" cm="1">
        <f t="array" ref="Q314">_xlfn.ANCHORARRAY(G314)+0.15</f>
        <v>2.9</v>
      </c>
      <c r="R314" cm="1">
        <f t="array" ref="R314">_xlfn.ANCHORARRAY(H314)</f>
        <v>9.99</v>
      </c>
      <c r="S314" cm="1">
        <f t="array" ref="S314">_xlfn.ANCHORARRAY(R314)+0.15</f>
        <v>10.14</v>
      </c>
      <c r="T314" cm="1">
        <f t="array" ref="T314">_xlfn.ANCHORARRAY(I314)+0.15</f>
        <v>1.1499999999999999</v>
      </c>
      <c r="U314" cm="1">
        <f t="array" ref="U314">_xlfn.ANCHORARRAY(J314)+0.15</f>
        <v>3.15</v>
      </c>
      <c r="V314" cm="1">
        <f t="array" ref="V314">_xlfn.ANCHORARRAY(K314)+0.15</f>
        <v>4.6500000000000004</v>
      </c>
      <c r="W314">
        <f>TBL_TEV[[#This Row],[Etica Rendita Bilanciata]]</f>
        <v>1.582212</v>
      </c>
      <c r="X314">
        <f>TBL_TEV[[#This Row],[Etica Obbligazionario Breve Termine]]</f>
        <v>0.38543300000000003</v>
      </c>
      <c r="Y314">
        <f>TBL_TEV[[#This Row],[Etica Obbligazionario Misto]]</f>
        <v>0.94516800000000001</v>
      </c>
      <c r="Z314">
        <f>TBL_TEV[[#This Row],[Etica Bilanciato]]</f>
        <v>2.24275</v>
      </c>
      <c r="AA314">
        <f>TBL_TEV[[#This Row],[Etica Azionario]]</f>
        <v>3.2891979999999998</v>
      </c>
      <c r="AB314">
        <f>TBL_TEV[[#This Row],[Etica Transizione Climatica]]</f>
        <v>2.2976760000000001</v>
      </c>
      <c r="AC314">
        <f>TBL_TEV[[#This Row],[Etica Obiettivo Sociale]]</f>
        <v>7.7372537528634435</v>
      </c>
      <c r="AD314">
        <f>TBL_TEV[[#This Row],[Etica Conservative Allocation]]</f>
        <v>0.695303</v>
      </c>
      <c r="AE314">
        <f>TBL_TEV[[#This Row],[Etica Dynamic Allocation]]</f>
        <v>2.258149</v>
      </c>
      <c r="AF314">
        <f>TBL_TEV[[#This Row],[Etica Global Equity]]</f>
        <v>3.241733</v>
      </c>
      <c r="AL314">
        <f ca="1"/>
        <v>1.5736399999999999</v>
      </c>
      <c r="AM314">
        <f ca="1"/>
        <v>0.38622699999999999</v>
      </c>
      <c r="AN314">
        <f ca="1"/>
        <v>0.94564400000000004</v>
      </c>
      <c r="AO314">
        <f ca="1"/>
        <v>2.216399</v>
      </c>
      <c r="AP314">
        <f ca="1"/>
        <v>3.2391930000000002</v>
      </c>
      <c r="AQ314">
        <f ca="1"/>
        <v>2.2090969999999999</v>
      </c>
      <c r="AR314">
        <f ca="1"/>
        <v>7.6894913445915547</v>
      </c>
      <c r="AS314">
        <f ca="1"/>
        <v>0.67895300000000003</v>
      </c>
      <c r="AT314">
        <f ca="1"/>
        <v>2.248148</v>
      </c>
      <c r="AU314">
        <f ca="1"/>
        <v>3.2163339999999998</v>
      </c>
    </row>
    <row r="315" spans="1:47">
      <c r="A315" s="43">
        <f>TBL_TEV[[#This Row],[Data2]]</f>
        <v>45736</v>
      </c>
      <c r="B315" cm="1">
        <f t="array" ref="B315">_xlfn.XLOOKUP(_xlfn.ANCHORARRAY(A315), TBL_Limiti_CDA[Data], TBL_Limiti_CDA[Etica Rendita Bilanciata], , -1)</f>
        <v>1.75</v>
      </c>
      <c r="C315" cm="1">
        <f t="array" ref="C315">_xlfn.XLOOKUP(_xlfn.ANCHORARRAY(A315), TBL_Limiti_CDA[Data], TBL_Limiti_CDA[Etica Obbligazionario Breve Termine], , -1)</f>
        <v>0.5</v>
      </c>
      <c r="D315" cm="1">
        <f t="array" ref="D315">_xlfn.XLOOKUP(_xlfn.ANCHORARRAY(A315), TBL_Limiti_CDA[Data], TBL_Limiti_CDA[Etica Obbligazionario Misto], , -1)</f>
        <v>1</v>
      </c>
      <c r="E315" cm="1">
        <f t="array" ref="E315">_xlfn.XLOOKUP(_xlfn.ANCHORARRAY(A315), TBL_Limiti_CDA[Data], TBL_Limiti_CDA[Etica Bilanciato], , -1)</f>
        <v>3</v>
      </c>
      <c r="F315" cm="1">
        <f t="array" ref="F315">_xlfn.XLOOKUP(_xlfn.ANCHORARRAY(A315), TBL_Limiti_CDA[Data], TBL_Limiti_CDA[Etica Azionario], , -1)</f>
        <v>4.5</v>
      </c>
      <c r="G315" cm="1">
        <f t="array" ref="G315">_xlfn.XLOOKUP(_xlfn.ANCHORARRAY(A315), TBL_Limiti_CDA[Data], TBL_Limiti_CDA[Etica Transizione Climatica], , -1)</f>
        <v>2.75</v>
      </c>
      <c r="H315" cm="1">
        <f t="array" ref="H315">_xlfn.XLOOKUP(_xlfn.ANCHORARRAY(A315), TBL_Limiti_CDA[Data], TBL_Limiti_CDA[Etica Obiettivo Sociale], , -1)</f>
        <v>9.99</v>
      </c>
      <c r="I315" cm="1">
        <f t="array" ref="I315">_xlfn.XLOOKUP(_xlfn.ANCHORARRAY(A315), TBL_Limiti_CDA[Data], TBL_Limiti_CDA[Etica Conservative Allocation], , -1)</f>
        <v>1</v>
      </c>
      <c r="J315" cm="1">
        <f t="array" ref="J315">_xlfn.XLOOKUP(_xlfn.ANCHORARRAY(A315), TBL_Limiti_CDA[Data], TBL_Limiti_CDA[Etica Dynamic Allocation], , -1)</f>
        <v>3</v>
      </c>
      <c r="K315" cm="1">
        <f t="array" ref="K315">_xlfn.XLOOKUP(_xlfn.ANCHORARRAY(A315), TBL_Limiti_CDA[Data], TBL_Limiti_CDA[Etica Global Equity], , -1)</f>
        <v>4.5</v>
      </c>
      <c r="L315" cm="1">
        <f t="array" ref="L315">_xlfn.ANCHORARRAY(B315)+0.15</f>
        <v>1.9</v>
      </c>
      <c r="M315" cm="1">
        <f t="array" ref="M315">_xlfn.ANCHORARRAY(C315)+0.1</f>
        <v>0.6</v>
      </c>
      <c r="N315" cm="1">
        <f t="array" ref="N315">_xlfn.ANCHORARRAY(D315)+0.15</f>
        <v>1.1499999999999999</v>
      </c>
      <c r="O315" cm="1">
        <f t="array" ref="O315">_xlfn.ANCHORARRAY(E315)+0.15</f>
        <v>3.15</v>
      </c>
      <c r="P315" cm="1">
        <f t="array" ref="P315">_xlfn.ANCHORARRAY(F315)+0.15</f>
        <v>4.6500000000000004</v>
      </c>
      <c r="Q315" cm="1">
        <f t="array" ref="Q315">_xlfn.ANCHORARRAY(G315)+0.15</f>
        <v>2.9</v>
      </c>
      <c r="R315" cm="1">
        <f t="array" ref="R315">_xlfn.ANCHORARRAY(H315)</f>
        <v>9.99</v>
      </c>
      <c r="S315" cm="1">
        <f t="array" ref="S315">_xlfn.ANCHORARRAY(R315)+0.15</f>
        <v>10.14</v>
      </c>
      <c r="T315" cm="1">
        <f t="array" ref="T315">_xlfn.ANCHORARRAY(I315)+0.15</f>
        <v>1.1499999999999999</v>
      </c>
      <c r="U315" cm="1">
        <f t="array" ref="U315">_xlfn.ANCHORARRAY(J315)+0.15</f>
        <v>3.15</v>
      </c>
      <c r="V315" cm="1">
        <f t="array" ref="V315">_xlfn.ANCHORARRAY(K315)+0.15</f>
        <v>4.6500000000000004</v>
      </c>
      <c r="W315">
        <f>TBL_TEV[[#This Row],[Etica Rendita Bilanciata]]</f>
        <v>1.5736399999999999</v>
      </c>
      <c r="X315">
        <f>TBL_TEV[[#This Row],[Etica Obbligazionario Breve Termine]]</f>
        <v>0.38622699999999999</v>
      </c>
      <c r="Y315">
        <f>TBL_TEV[[#This Row],[Etica Obbligazionario Misto]]</f>
        <v>0.94564400000000004</v>
      </c>
      <c r="Z315">
        <f>TBL_TEV[[#This Row],[Etica Bilanciato]]</f>
        <v>2.216399</v>
      </c>
      <c r="AA315">
        <f>TBL_TEV[[#This Row],[Etica Azionario]]</f>
        <v>3.2391930000000002</v>
      </c>
      <c r="AB315">
        <f>TBL_TEV[[#This Row],[Etica Transizione Climatica]]</f>
        <v>2.2090969999999999</v>
      </c>
      <c r="AC315">
        <f>TBL_TEV[[#This Row],[Etica Obiettivo Sociale]]</f>
        <v>7.6894913445915547</v>
      </c>
      <c r="AD315">
        <f>TBL_TEV[[#This Row],[Etica Conservative Allocation]]</f>
        <v>0.67895300000000003</v>
      </c>
      <c r="AE315">
        <f>TBL_TEV[[#This Row],[Etica Dynamic Allocation]]</f>
        <v>2.248148</v>
      </c>
      <c r="AF315">
        <f>TBL_TEV[[#This Row],[Etica Global Equity]]</f>
        <v>3.2163339999999998</v>
      </c>
      <c r="AL315">
        <f ca="1"/>
        <v>1.5914189999999999</v>
      </c>
      <c r="AM315">
        <f ca="1"/>
        <v>0.38749699999999998</v>
      </c>
      <c r="AN315">
        <f ca="1"/>
        <v>0.94881899999999997</v>
      </c>
      <c r="AO315">
        <f ca="1"/>
        <v>2.2471950000000001</v>
      </c>
      <c r="AP315">
        <f ca="1"/>
        <v>3.2709419999999998</v>
      </c>
      <c r="AQ315">
        <f ca="1"/>
        <v>2.2265579999999998</v>
      </c>
      <c r="AR315">
        <f ca="1"/>
        <v>7.4842955691604542</v>
      </c>
      <c r="AS315">
        <f ca="1"/>
        <v>0.67911100000000002</v>
      </c>
      <c r="AT315">
        <f ca="1"/>
        <v>2.2700550000000002</v>
      </c>
      <c r="AU315">
        <f ca="1"/>
        <v>3.2674500000000002</v>
      </c>
    </row>
    <row r="316" spans="1:47">
      <c r="A316" s="43">
        <f>TBL_TEV[[#This Row],[Data2]]</f>
        <v>45737</v>
      </c>
      <c r="B316" cm="1">
        <f t="array" ref="B316">_xlfn.XLOOKUP(_xlfn.ANCHORARRAY(A316), TBL_Limiti_CDA[Data], TBL_Limiti_CDA[Etica Rendita Bilanciata], , -1)</f>
        <v>1.75</v>
      </c>
      <c r="C316" cm="1">
        <f t="array" ref="C316">_xlfn.XLOOKUP(_xlfn.ANCHORARRAY(A316), TBL_Limiti_CDA[Data], TBL_Limiti_CDA[Etica Obbligazionario Breve Termine], , -1)</f>
        <v>0.5</v>
      </c>
      <c r="D316" cm="1">
        <f t="array" ref="D316">_xlfn.XLOOKUP(_xlfn.ANCHORARRAY(A316), TBL_Limiti_CDA[Data], TBL_Limiti_CDA[Etica Obbligazionario Misto], , -1)</f>
        <v>1</v>
      </c>
      <c r="E316" cm="1">
        <f t="array" ref="E316">_xlfn.XLOOKUP(_xlfn.ANCHORARRAY(A316), TBL_Limiti_CDA[Data], TBL_Limiti_CDA[Etica Bilanciato], , -1)</f>
        <v>3</v>
      </c>
      <c r="F316" cm="1">
        <f t="array" ref="F316">_xlfn.XLOOKUP(_xlfn.ANCHORARRAY(A316), TBL_Limiti_CDA[Data], TBL_Limiti_CDA[Etica Azionario], , -1)</f>
        <v>4.5</v>
      </c>
      <c r="G316" cm="1">
        <f t="array" ref="G316">_xlfn.XLOOKUP(_xlfn.ANCHORARRAY(A316), TBL_Limiti_CDA[Data], TBL_Limiti_CDA[Etica Transizione Climatica], , -1)</f>
        <v>2.75</v>
      </c>
      <c r="H316" cm="1">
        <f t="array" ref="H316">_xlfn.XLOOKUP(_xlfn.ANCHORARRAY(A316), TBL_Limiti_CDA[Data], TBL_Limiti_CDA[Etica Obiettivo Sociale], , -1)</f>
        <v>9.99</v>
      </c>
      <c r="I316" cm="1">
        <f t="array" ref="I316">_xlfn.XLOOKUP(_xlfn.ANCHORARRAY(A316), TBL_Limiti_CDA[Data], TBL_Limiti_CDA[Etica Conservative Allocation], , -1)</f>
        <v>1</v>
      </c>
      <c r="J316" cm="1">
        <f t="array" ref="J316">_xlfn.XLOOKUP(_xlfn.ANCHORARRAY(A316), TBL_Limiti_CDA[Data], TBL_Limiti_CDA[Etica Dynamic Allocation], , -1)</f>
        <v>3</v>
      </c>
      <c r="K316" cm="1">
        <f t="array" ref="K316">_xlfn.XLOOKUP(_xlfn.ANCHORARRAY(A316), TBL_Limiti_CDA[Data], TBL_Limiti_CDA[Etica Global Equity], , -1)</f>
        <v>4.5</v>
      </c>
      <c r="L316" cm="1">
        <f t="array" ref="L316">_xlfn.ANCHORARRAY(B316)+0.15</f>
        <v>1.9</v>
      </c>
      <c r="M316" cm="1">
        <f t="array" ref="M316">_xlfn.ANCHORARRAY(C316)+0.1</f>
        <v>0.6</v>
      </c>
      <c r="N316" cm="1">
        <f t="array" ref="N316">_xlfn.ANCHORARRAY(D316)+0.15</f>
        <v>1.1499999999999999</v>
      </c>
      <c r="O316" cm="1">
        <f t="array" ref="O316">_xlfn.ANCHORARRAY(E316)+0.15</f>
        <v>3.15</v>
      </c>
      <c r="P316" cm="1">
        <f t="array" ref="P316">_xlfn.ANCHORARRAY(F316)+0.15</f>
        <v>4.6500000000000004</v>
      </c>
      <c r="Q316" cm="1">
        <f t="array" ref="Q316">_xlfn.ANCHORARRAY(G316)+0.15</f>
        <v>2.9</v>
      </c>
      <c r="R316" cm="1">
        <f t="array" ref="R316">_xlfn.ANCHORARRAY(H316)</f>
        <v>9.99</v>
      </c>
      <c r="S316" cm="1">
        <f t="array" ref="S316">_xlfn.ANCHORARRAY(R316)+0.15</f>
        <v>10.14</v>
      </c>
      <c r="T316" cm="1">
        <f t="array" ref="T316">_xlfn.ANCHORARRAY(I316)+0.15</f>
        <v>1.1499999999999999</v>
      </c>
      <c r="U316" cm="1">
        <f t="array" ref="U316">_xlfn.ANCHORARRAY(J316)+0.15</f>
        <v>3.15</v>
      </c>
      <c r="V316" cm="1">
        <f t="array" ref="V316">_xlfn.ANCHORARRAY(K316)+0.15</f>
        <v>4.6500000000000004</v>
      </c>
      <c r="W316">
        <f>TBL_TEV[[#This Row],[Etica Rendita Bilanciata]]</f>
        <v>1.5914189999999999</v>
      </c>
      <c r="X316">
        <f>TBL_TEV[[#This Row],[Etica Obbligazionario Breve Termine]]</f>
        <v>0.38749699999999998</v>
      </c>
      <c r="Y316">
        <f>TBL_TEV[[#This Row],[Etica Obbligazionario Misto]]</f>
        <v>0.94881899999999997</v>
      </c>
      <c r="Z316">
        <f>TBL_TEV[[#This Row],[Etica Bilanciato]]</f>
        <v>2.2471950000000001</v>
      </c>
      <c r="AA316">
        <f>TBL_TEV[[#This Row],[Etica Azionario]]</f>
        <v>3.2709419999999998</v>
      </c>
      <c r="AB316">
        <f>TBL_TEV[[#This Row],[Etica Transizione Climatica]]</f>
        <v>2.2265579999999998</v>
      </c>
      <c r="AC316">
        <f>TBL_TEV[[#This Row],[Etica Obiettivo Sociale]]</f>
        <v>7.4842955691604542</v>
      </c>
      <c r="AD316">
        <f>TBL_TEV[[#This Row],[Etica Conservative Allocation]]</f>
        <v>0.67911100000000002</v>
      </c>
      <c r="AE316">
        <f>TBL_TEV[[#This Row],[Etica Dynamic Allocation]]</f>
        <v>2.2700550000000002</v>
      </c>
      <c r="AF316">
        <f>TBL_TEV[[#This Row],[Etica Global Equity]]</f>
        <v>3.2674500000000002</v>
      </c>
      <c r="AL316">
        <f ca="1"/>
        <v>1.5949120000000001</v>
      </c>
      <c r="AM316">
        <f ca="1"/>
        <v>0.393847</v>
      </c>
      <c r="AN316">
        <f ca="1"/>
        <v>0.95802699999999996</v>
      </c>
      <c r="AO316">
        <f ca="1"/>
        <v>2.2648160000000002</v>
      </c>
      <c r="AP316">
        <f ca="1"/>
        <v>3.287928</v>
      </c>
      <c r="AQ316">
        <f ca="1"/>
        <v>2.2278280000000001</v>
      </c>
      <c r="AR316">
        <f ca="1"/>
        <v>7.4942011768814671</v>
      </c>
      <c r="AS316">
        <f ca="1"/>
        <v>0.67942899999999995</v>
      </c>
      <c r="AT316">
        <f ca="1"/>
        <v>2.2552910000000002</v>
      </c>
      <c r="AU316">
        <f ca="1"/>
        <v>3.2414160000000001</v>
      </c>
    </row>
    <row r="317" spans="1:47">
      <c r="A317" s="43">
        <f>TBL_TEV[[#This Row],[Data2]]</f>
        <v>45740</v>
      </c>
      <c r="B317" cm="1">
        <f t="array" ref="B317">_xlfn.XLOOKUP(_xlfn.ANCHORARRAY(A317), TBL_Limiti_CDA[Data], TBL_Limiti_CDA[Etica Rendita Bilanciata], , -1)</f>
        <v>1.75</v>
      </c>
      <c r="C317" cm="1">
        <f t="array" ref="C317">_xlfn.XLOOKUP(_xlfn.ANCHORARRAY(A317), TBL_Limiti_CDA[Data], TBL_Limiti_CDA[Etica Obbligazionario Breve Termine], , -1)</f>
        <v>0.5</v>
      </c>
      <c r="D317" cm="1">
        <f t="array" ref="D317">_xlfn.XLOOKUP(_xlfn.ANCHORARRAY(A317), TBL_Limiti_CDA[Data], TBL_Limiti_CDA[Etica Obbligazionario Misto], , -1)</f>
        <v>1</v>
      </c>
      <c r="E317" cm="1">
        <f t="array" ref="E317">_xlfn.XLOOKUP(_xlfn.ANCHORARRAY(A317), TBL_Limiti_CDA[Data], TBL_Limiti_CDA[Etica Bilanciato], , -1)</f>
        <v>3</v>
      </c>
      <c r="F317" cm="1">
        <f t="array" ref="F317">_xlfn.XLOOKUP(_xlfn.ANCHORARRAY(A317), TBL_Limiti_CDA[Data], TBL_Limiti_CDA[Etica Azionario], , -1)</f>
        <v>4.5</v>
      </c>
      <c r="G317" cm="1">
        <f t="array" ref="G317">_xlfn.XLOOKUP(_xlfn.ANCHORARRAY(A317), TBL_Limiti_CDA[Data], TBL_Limiti_CDA[Etica Transizione Climatica], , -1)</f>
        <v>2.75</v>
      </c>
      <c r="H317" cm="1">
        <f t="array" ref="H317">_xlfn.XLOOKUP(_xlfn.ANCHORARRAY(A317), TBL_Limiti_CDA[Data], TBL_Limiti_CDA[Etica Obiettivo Sociale], , -1)</f>
        <v>9.99</v>
      </c>
      <c r="I317" cm="1">
        <f t="array" ref="I317">_xlfn.XLOOKUP(_xlfn.ANCHORARRAY(A317), TBL_Limiti_CDA[Data], TBL_Limiti_CDA[Etica Conservative Allocation], , -1)</f>
        <v>1</v>
      </c>
      <c r="J317" cm="1">
        <f t="array" ref="J317">_xlfn.XLOOKUP(_xlfn.ANCHORARRAY(A317), TBL_Limiti_CDA[Data], TBL_Limiti_CDA[Etica Dynamic Allocation], , -1)</f>
        <v>3</v>
      </c>
      <c r="K317" cm="1">
        <f t="array" ref="K317">_xlfn.XLOOKUP(_xlfn.ANCHORARRAY(A317), TBL_Limiti_CDA[Data], TBL_Limiti_CDA[Etica Global Equity], , -1)</f>
        <v>4.5</v>
      </c>
      <c r="L317" cm="1">
        <f t="array" ref="L317">_xlfn.ANCHORARRAY(B317)+0.15</f>
        <v>1.9</v>
      </c>
      <c r="M317" cm="1">
        <f t="array" ref="M317">_xlfn.ANCHORARRAY(C317)+0.1</f>
        <v>0.6</v>
      </c>
      <c r="N317" cm="1">
        <f t="array" ref="N317">_xlfn.ANCHORARRAY(D317)+0.15</f>
        <v>1.1499999999999999</v>
      </c>
      <c r="O317" cm="1">
        <f t="array" ref="O317">_xlfn.ANCHORARRAY(E317)+0.15</f>
        <v>3.15</v>
      </c>
      <c r="P317" cm="1">
        <f t="array" ref="P317">_xlfn.ANCHORARRAY(F317)+0.15</f>
        <v>4.6500000000000004</v>
      </c>
      <c r="Q317" cm="1">
        <f t="array" ref="Q317">_xlfn.ANCHORARRAY(G317)+0.15</f>
        <v>2.9</v>
      </c>
      <c r="R317" cm="1">
        <f t="array" ref="R317">_xlfn.ANCHORARRAY(H317)</f>
        <v>9.99</v>
      </c>
      <c r="S317" cm="1">
        <f t="array" ref="S317">_xlfn.ANCHORARRAY(R317)+0.15</f>
        <v>10.14</v>
      </c>
      <c r="T317" cm="1">
        <f t="array" ref="T317">_xlfn.ANCHORARRAY(I317)+0.15</f>
        <v>1.1499999999999999</v>
      </c>
      <c r="U317" cm="1">
        <f t="array" ref="U317">_xlfn.ANCHORARRAY(J317)+0.15</f>
        <v>3.15</v>
      </c>
      <c r="V317" cm="1">
        <f t="array" ref="V317">_xlfn.ANCHORARRAY(K317)+0.15</f>
        <v>4.6500000000000004</v>
      </c>
      <c r="W317">
        <f>TBL_TEV[[#This Row],[Etica Rendita Bilanciata]]</f>
        <v>1.5949120000000001</v>
      </c>
      <c r="X317">
        <f>TBL_TEV[[#This Row],[Etica Obbligazionario Breve Termine]]</f>
        <v>0.393847</v>
      </c>
      <c r="Y317">
        <f>TBL_TEV[[#This Row],[Etica Obbligazionario Misto]]</f>
        <v>0.95802699999999996</v>
      </c>
      <c r="Z317">
        <f>TBL_TEV[[#This Row],[Etica Bilanciato]]</f>
        <v>2.2648160000000002</v>
      </c>
      <c r="AA317">
        <f>TBL_TEV[[#This Row],[Etica Azionario]]</f>
        <v>3.287928</v>
      </c>
      <c r="AB317">
        <f>TBL_TEV[[#This Row],[Etica Transizione Climatica]]</f>
        <v>2.2278280000000001</v>
      </c>
      <c r="AC317">
        <f>TBL_TEV[[#This Row],[Etica Obiettivo Sociale]]</f>
        <v>7.4942011768814671</v>
      </c>
      <c r="AD317">
        <f>TBL_TEV[[#This Row],[Etica Conservative Allocation]]</f>
        <v>0.67942899999999995</v>
      </c>
      <c r="AE317">
        <f>TBL_TEV[[#This Row],[Etica Dynamic Allocation]]</f>
        <v>2.2552910000000002</v>
      </c>
      <c r="AF317">
        <f>TBL_TEV[[#This Row],[Etica Global Equity]]</f>
        <v>3.2414160000000001</v>
      </c>
      <c r="AL317">
        <f ca="1"/>
        <v>1.6085640000000001</v>
      </c>
      <c r="AM317">
        <f ca="1"/>
        <v>0.40114899999999998</v>
      </c>
      <c r="AN317">
        <f ca="1"/>
        <v>0.96326500000000004</v>
      </c>
      <c r="AO317">
        <f ca="1"/>
        <v>2.2894220000000001</v>
      </c>
      <c r="AP317">
        <f ca="1"/>
        <v>3.3044380000000002</v>
      </c>
      <c r="AQ317">
        <f ca="1"/>
        <v>2.207668</v>
      </c>
      <c r="AR317">
        <f ca="1"/>
        <v>7.3968360905732506</v>
      </c>
      <c r="AS317">
        <f ca="1"/>
        <v>0.91040299999999996</v>
      </c>
      <c r="AT317">
        <f ca="1"/>
        <v>2.2735470000000002</v>
      </c>
      <c r="AU317">
        <f ca="1"/>
        <v>3.2712599999999998</v>
      </c>
    </row>
    <row r="318" spans="1:47">
      <c r="A318" s="43">
        <f>TBL_TEV[[#This Row],[Data2]]</f>
        <v>45741</v>
      </c>
      <c r="B318" cm="1">
        <f t="array" ref="B318">_xlfn.XLOOKUP(_xlfn.ANCHORARRAY(A318), TBL_Limiti_CDA[Data], TBL_Limiti_CDA[Etica Rendita Bilanciata], , -1)</f>
        <v>1.75</v>
      </c>
      <c r="C318" cm="1">
        <f t="array" ref="C318">_xlfn.XLOOKUP(_xlfn.ANCHORARRAY(A318), TBL_Limiti_CDA[Data], TBL_Limiti_CDA[Etica Obbligazionario Breve Termine], , -1)</f>
        <v>0.5</v>
      </c>
      <c r="D318" cm="1">
        <f t="array" ref="D318">_xlfn.XLOOKUP(_xlfn.ANCHORARRAY(A318), TBL_Limiti_CDA[Data], TBL_Limiti_CDA[Etica Obbligazionario Misto], , -1)</f>
        <v>1</v>
      </c>
      <c r="E318" cm="1">
        <f t="array" ref="E318">_xlfn.XLOOKUP(_xlfn.ANCHORARRAY(A318), TBL_Limiti_CDA[Data], TBL_Limiti_CDA[Etica Bilanciato], , -1)</f>
        <v>3</v>
      </c>
      <c r="F318" cm="1">
        <f t="array" ref="F318">_xlfn.XLOOKUP(_xlfn.ANCHORARRAY(A318), TBL_Limiti_CDA[Data], TBL_Limiti_CDA[Etica Azionario], , -1)</f>
        <v>4.5</v>
      </c>
      <c r="G318" cm="1">
        <f t="array" ref="G318">_xlfn.XLOOKUP(_xlfn.ANCHORARRAY(A318), TBL_Limiti_CDA[Data], TBL_Limiti_CDA[Etica Transizione Climatica], , -1)</f>
        <v>2.75</v>
      </c>
      <c r="H318" cm="1">
        <f t="array" ref="H318">_xlfn.XLOOKUP(_xlfn.ANCHORARRAY(A318), TBL_Limiti_CDA[Data], TBL_Limiti_CDA[Etica Obiettivo Sociale], , -1)</f>
        <v>9.99</v>
      </c>
      <c r="I318" cm="1">
        <f t="array" ref="I318">_xlfn.XLOOKUP(_xlfn.ANCHORARRAY(A318), TBL_Limiti_CDA[Data], TBL_Limiti_CDA[Etica Conservative Allocation], , -1)</f>
        <v>1</v>
      </c>
      <c r="J318" cm="1">
        <f t="array" ref="J318">_xlfn.XLOOKUP(_xlfn.ANCHORARRAY(A318), TBL_Limiti_CDA[Data], TBL_Limiti_CDA[Etica Dynamic Allocation], , -1)</f>
        <v>3</v>
      </c>
      <c r="K318" cm="1">
        <f t="array" ref="K318">_xlfn.XLOOKUP(_xlfn.ANCHORARRAY(A318), TBL_Limiti_CDA[Data], TBL_Limiti_CDA[Etica Global Equity], , -1)</f>
        <v>4.5</v>
      </c>
      <c r="L318" cm="1">
        <f t="array" ref="L318">_xlfn.ANCHORARRAY(B318)+0.15</f>
        <v>1.9</v>
      </c>
      <c r="M318" cm="1">
        <f t="array" ref="M318">_xlfn.ANCHORARRAY(C318)+0.1</f>
        <v>0.6</v>
      </c>
      <c r="N318" cm="1">
        <f t="array" ref="N318">_xlfn.ANCHORARRAY(D318)+0.15</f>
        <v>1.1499999999999999</v>
      </c>
      <c r="O318" cm="1">
        <f t="array" ref="O318">_xlfn.ANCHORARRAY(E318)+0.15</f>
        <v>3.15</v>
      </c>
      <c r="P318" cm="1">
        <f t="array" ref="P318">_xlfn.ANCHORARRAY(F318)+0.15</f>
        <v>4.6500000000000004</v>
      </c>
      <c r="Q318" cm="1">
        <f t="array" ref="Q318">_xlfn.ANCHORARRAY(G318)+0.15</f>
        <v>2.9</v>
      </c>
      <c r="R318" cm="1">
        <f t="array" ref="R318">_xlfn.ANCHORARRAY(H318)</f>
        <v>9.99</v>
      </c>
      <c r="S318" cm="1">
        <f t="array" ref="S318">_xlfn.ANCHORARRAY(R318)+0.15</f>
        <v>10.14</v>
      </c>
      <c r="T318" cm="1">
        <f t="array" ref="T318">_xlfn.ANCHORARRAY(I318)+0.15</f>
        <v>1.1499999999999999</v>
      </c>
      <c r="U318" cm="1">
        <f t="array" ref="U318">_xlfn.ANCHORARRAY(J318)+0.15</f>
        <v>3.15</v>
      </c>
      <c r="V318" cm="1">
        <f t="array" ref="V318">_xlfn.ANCHORARRAY(K318)+0.15</f>
        <v>4.6500000000000004</v>
      </c>
      <c r="W318">
        <f>TBL_TEV[[#This Row],[Etica Rendita Bilanciata]]</f>
        <v>1.6085640000000001</v>
      </c>
      <c r="X318">
        <f>TBL_TEV[[#This Row],[Etica Obbligazionario Breve Termine]]</f>
        <v>0.40114899999999998</v>
      </c>
      <c r="Y318">
        <f>TBL_TEV[[#This Row],[Etica Obbligazionario Misto]]</f>
        <v>0.96326500000000004</v>
      </c>
      <c r="Z318">
        <f>TBL_TEV[[#This Row],[Etica Bilanciato]]</f>
        <v>2.2894220000000001</v>
      </c>
      <c r="AA318">
        <f>TBL_TEV[[#This Row],[Etica Azionario]]</f>
        <v>3.3044380000000002</v>
      </c>
      <c r="AB318">
        <f>TBL_TEV[[#This Row],[Etica Transizione Climatica]]</f>
        <v>2.207668</v>
      </c>
      <c r="AC318">
        <f>TBL_TEV[[#This Row],[Etica Obiettivo Sociale]]</f>
        <v>7.3968360905732506</v>
      </c>
      <c r="AD318">
        <f>TBL_TEV[[#This Row],[Etica Conservative Allocation]]</f>
        <v>0.91040299999999996</v>
      </c>
      <c r="AE318">
        <f>TBL_TEV[[#This Row],[Etica Dynamic Allocation]]</f>
        <v>2.2735470000000002</v>
      </c>
      <c r="AF318">
        <f>TBL_TEV[[#This Row],[Etica Global Equity]]</f>
        <v>3.2712599999999998</v>
      </c>
      <c r="AL318">
        <f ca="1"/>
        <v>1.5906260000000001</v>
      </c>
      <c r="AM318">
        <f ca="1"/>
        <v>0.40035500000000002</v>
      </c>
      <c r="AN318">
        <f ca="1"/>
        <v>0.96247099999999997</v>
      </c>
      <c r="AO318">
        <f ca="1"/>
        <v>2.24783</v>
      </c>
      <c r="AP318">
        <f ca="1"/>
        <v>3.2399870000000002</v>
      </c>
      <c r="AQ318">
        <f ca="1"/>
        <v>2.1775060000000002</v>
      </c>
      <c r="AR318">
        <f ca="1"/>
        <v>7.2494628474767318</v>
      </c>
      <c r="AS318">
        <f ca="1"/>
        <v>0.902783</v>
      </c>
      <c r="AT318">
        <f ca="1"/>
        <v>2.225606</v>
      </c>
      <c r="AU318">
        <f ca="1"/>
        <v>3.2098249999999999</v>
      </c>
    </row>
    <row r="319" spans="1:47">
      <c r="A319" s="43">
        <f>TBL_TEV[[#This Row],[Data2]]</f>
        <v>45742</v>
      </c>
      <c r="B319" cm="1">
        <f t="array" ref="B319">_xlfn.XLOOKUP(_xlfn.ANCHORARRAY(A319), TBL_Limiti_CDA[Data], TBL_Limiti_CDA[Etica Rendita Bilanciata], , -1)</f>
        <v>1.75</v>
      </c>
      <c r="C319" cm="1">
        <f t="array" ref="C319">_xlfn.XLOOKUP(_xlfn.ANCHORARRAY(A319), TBL_Limiti_CDA[Data], TBL_Limiti_CDA[Etica Obbligazionario Breve Termine], , -1)</f>
        <v>0.5</v>
      </c>
      <c r="D319" cm="1">
        <f t="array" ref="D319">_xlfn.XLOOKUP(_xlfn.ANCHORARRAY(A319), TBL_Limiti_CDA[Data], TBL_Limiti_CDA[Etica Obbligazionario Misto], , -1)</f>
        <v>1</v>
      </c>
      <c r="E319" cm="1">
        <f t="array" ref="E319">_xlfn.XLOOKUP(_xlfn.ANCHORARRAY(A319), TBL_Limiti_CDA[Data], TBL_Limiti_CDA[Etica Bilanciato], , -1)</f>
        <v>3</v>
      </c>
      <c r="F319" cm="1">
        <f t="array" ref="F319">_xlfn.XLOOKUP(_xlfn.ANCHORARRAY(A319), TBL_Limiti_CDA[Data], TBL_Limiti_CDA[Etica Azionario], , -1)</f>
        <v>4.5</v>
      </c>
      <c r="G319" cm="1">
        <f t="array" ref="G319">_xlfn.XLOOKUP(_xlfn.ANCHORARRAY(A319), TBL_Limiti_CDA[Data], TBL_Limiti_CDA[Etica Transizione Climatica], , -1)</f>
        <v>2.75</v>
      </c>
      <c r="H319" cm="1">
        <f t="array" ref="H319">_xlfn.XLOOKUP(_xlfn.ANCHORARRAY(A319), TBL_Limiti_CDA[Data], TBL_Limiti_CDA[Etica Obiettivo Sociale], , -1)</f>
        <v>9.99</v>
      </c>
      <c r="I319" cm="1">
        <f t="array" ref="I319">_xlfn.XLOOKUP(_xlfn.ANCHORARRAY(A319), TBL_Limiti_CDA[Data], TBL_Limiti_CDA[Etica Conservative Allocation], , -1)</f>
        <v>1</v>
      </c>
      <c r="J319" cm="1">
        <f t="array" ref="J319">_xlfn.XLOOKUP(_xlfn.ANCHORARRAY(A319), TBL_Limiti_CDA[Data], TBL_Limiti_CDA[Etica Dynamic Allocation], , -1)</f>
        <v>3</v>
      </c>
      <c r="K319" cm="1">
        <f t="array" ref="K319">_xlfn.XLOOKUP(_xlfn.ANCHORARRAY(A319), TBL_Limiti_CDA[Data], TBL_Limiti_CDA[Etica Global Equity], , -1)</f>
        <v>4.5</v>
      </c>
      <c r="L319" cm="1">
        <f t="array" ref="L319">_xlfn.ANCHORARRAY(B319)+0.15</f>
        <v>1.9</v>
      </c>
      <c r="M319" cm="1">
        <f t="array" ref="M319">_xlfn.ANCHORARRAY(C319)+0.1</f>
        <v>0.6</v>
      </c>
      <c r="N319" cm="1">
        <f t="array" ref="N319">_xlfn.ANCHORARRAY(D319)+0.15</f>
        <v>1.1499999999999999</v>
      </c>
      <c r="O319" cm="1">
        <f t="array" ref="O319">_xlfn.ANCHORARRAY(E319)+0.15</f>
        <v>3.15</v>
      </c>
      <c r="P319" cm="1">
        <f t="array" ref="P319">_xlfn.ANCHORARRAY(F319)+0.15</f>
        <v>4.6500000000000004</v>
      </c>
      <c r="Q319" cm="1">
        <f t="array" ref="Q319">_xlfn.ANCHORARRAY(G319)+0.15</f>
        <v>2.9</v>
      </c>
      <c r="R319" cm="1">
        <f t="array" ref="R319">_xlfn.ANCHORARRAY(H319)</f>
        <v>9.99</v>
      </c>
      <c r="S319" cm="1">
        <f t="array" ref="S319">_xlfn.ANCHORARRAY(R319)+0.15</f>
        <v>10.14</v>
      </c>
      <c r="T319" cm="1">
        <f t="array" ref="T319">_xlfn.ANCHORARRAY(I319)+0.15</f>
        <v>1.1499999999999999</v>
      </c>
      <c r="U319" cm="1">
        <f t="array" ref="U319">_xlfn.ANCHORARRAY(J319)+0.15</f>
        <v>3.15</v>
      </c>
      <c r="V319" cm="1">
        <f t="array" ref="V319">_xlfn.ANCHORARRAY(K319)+0.15</f>
        <v>4.6500000000000004</v>
      </c>
      <c r="W319">
        <f>TBL_TEV[[#This Row],[Etica Rendita Bilanciata]]</f>
        <v>1.5906260000000001</v>
      </c>
      <c r="X319">
        <f>TBL_TEV[[#This Row],[Etica Obbligazionario Breve Termine]]</f>
        <v>0.40035500000000002</v>
      </c>
      <c r="Y319">
        <f>TBL_TEV[[#This Row],[Etica Obbligazionario Misto]]</f>
        <v>0.96247099999999997</v>
      </c>
      <c r="Z319">
        <f>TBL_TEV[[#This Row],[Etica Bilanciato]]</f>
        <v>2.24783</v>
      </c>
      <c r="AA319">
        <f>TBL_TEV[[#This Row],[Etica Azionario]]</f>
        <v>3.2399870000000002</v>
      </c>
      <c r="AB319">
        <f>TBL_TEV[[#This Row],[Etica Transizione Climatica]]</f>
        <v>2.1775060000000002</v>
      </c>
      <c r="AC319">
        <f>TBL_TEV[[#This Row],[Etica Obiettivo Sociale]]</f>
        <v>7.2494628474767318</v>
      </c>
      <c r="AD319">
        <f>TBL_TEV[[#This Row],[Etica Conservative Allocation]]</f>
        <v>0.902783</v>
      </c>
      <c r="AE319">
        <f>TBL_TEV[[#This Row],[Etica Dynamic Allocation]]</f>
        <v>2.225606</v>
      </c>
      <c r="AF319">
        <f>TBL_TEV[[#This Row],[Etica Global Equity]]</f>
        <v>3.2098249999999999</v>
      </c>
      <c r="AL319">
        <f ca="1"/>
        <v>1.581736</v>
      </c>
      <c r="AM319">
        <f ca="1"/>
        <v>0.39987899999999998</v>
      </c>
      <c r="AN319">
        <f ca="1"/>
        <v>0.96310600000000002</v>
      </c>
      <c r="AO319">
        <f ca="1"/>
        <v>2.216081</v>
      </c>
      <c r="AP319">
        <f ca="1"/>
        <v>3.191252</v>
      </c>
      <c r="AQ319">
        <f ca="1"/>
        <v>2.1675049999999998</v>
      </c>
      <c r="AR319">
        <f ca="1"/>
        <v>7.3276771266031488</v>
      </c>
      <c r="AS319">
        <f ca="1"/>
        <v>0.90071999999999997</v>
      </c>
      <c r="AT319">
        <f ca="1"/>
        <v>2.201635</v>
      </c>
      <c r="AU319">
        <f ca="1"/>
        <v>3.1758540000000002</v>
      </c>
    </row>
    <row r="320" spans="1:47">
      <c r="A320" s="43">
        <f>TBL_TEV[[#This Row],[Data2]]</f>
        <v>45743</v>
      </c>
      <c r="B320" cm="1">
        <f t="array" ref="B320">_xlfn.XLOOKUP(_xlfn.ANCHORARRAY(A320), TBL_Limiti_CDA[Data], TBL_Limiti_CDA[Etica Rendita Bilanciata], , -1)</f>
        <v>1.75</v>
      </c>
      <c r="C320" cm="1">
        <f t="array" ref="C320">_xlfn.XLOOKUP(_xlfn.ANCHORARRAY(A320), TBL_Limiti_CDA[Data], TBL_Limiti_CDA[Etica Obbligazionario Breve Termine], , -1)</f>
        <v>0.5</v>
      </c>
      <c r="D320" cm="1">
        <f t="array" ref="D320">_xlfn.XLOOKUP(_xlfn.ANCHORARRAY(A320), TBL_Limiti_CDA[Data], TBL_Limiti_CDA[Etica Obbligazionario Misto], , -1)</f>
        <v>1</v>
      </c>
      <c r="E320" cm="1">
        <f t="array" ref="E320">_xlfn.XLOOKUP(_xlfn.ANCHORARRAY(A320), TBL_Limiti_CDA[Data], TBL_Limiti_CDA[Etica Bilanciato], , -1)</f>
        <v>3</v>
      </c>
      <c r="F320" cm="1">
        <f t="array" ref="F320">_xlfn.XLOOKUP(_xlfn.ANCHORARRAY(A320), TBL_Limiti_CDA[Data], TBL_Limiti_CDA[Etica Azionario], , -1)</f>
        <v>4.5</v>
      </c>
      <c r="G320" cm="1">
        <f t="array" ref="G320">_xlfn.XLOOKUP(_xlfn.ANCHORARRAY(A320), TBL_Limiti_CDA[Data], TBL_Limiti_CDA[Etica Transizione Climatica], , -1)</f>
        <v>2.75</v>
      </c>
      <c r="H320" cm="1">
        <f t="array" ref="H320">_xlfn.XLOOKUP(_xlfn.ANCHORARRAY(A320), TBL_Limiti_CDA[Data], TBL_Limiti_CDA[Etica Obiettivo Sociale], , -1)</f>
        <v>9.99</v>
      </c>
      <c r="I320" cm="1">
        <f t="array" ref="I320">_xlfn.XLOOKUP(_xlfn.ANCHORARRAY(A320), TBL_Limiti_CDA[Data], TBL_Limiti_CDA[Etica Conservative Allocation], , -1)</f>
        <v>1</v>
      </c>
      <c r="J320" cm="1">
        <f t="array" ref="J320">_xlfn.XLOOKUP(_xlfn.ANCHORARRAY(A320), TBL_Limiti_CDA[Data], TBL_Limiti_CDA[Etica Dynamic Allocation], , -1)</f>
        <v>3</v>
      </c>
      <c r="K320" cm="1">
        <f t="array" ref="K320">_xlfn.XLOOKUP(_xlfn.ANCHORARRAY(A320), TBL_Limiti_CDA[Data], TBL_Limiti_CDA[Etica Global Equity], , -1)</f>
        <v>4.5</v>
      </c>
      <c r="L320" cm="1">
        <f t="array" ref="L320">_xlfn.ANCHORARRAY(B320)+0.15</f>
        <v>1.9</v>
      </c>
      <c r="M320" cm="1">
        <f t="array" ref="M320">_xlfn.ANCHORARRAY(C320)+0.1</f>
        <v>0.6</v>
      </c>
      <c r="N320" cm="1">
        <f t="array" ref="N320">_xlfn.ANCHORARRAY(D320)+0.15</f>
        <v>1.1499999999999999</v>
      </c>
      <c r="O320" cm="1">
        <f t="array" ref="O320">_xlfn.ANCHORARRAY(E320)+0.15</f>
        <v>3.15</v>
      </c>
      <c r="P320" cm="1">
        <f t="array" ref="P320">_xlfn.ANCHORARRAY(F320)+0.15</f>
        <v>4.6500000000000004</v>
      </c>
      <c r="Q320" cm="1">
        <f t="array" ref="Q320">_xlfn.ANCHORARRAY(G320)+0.15</f>
        <v>2.9</v>
      </c>
      <c r="R320" cm="1">
        <f t="array" ref="R320">_xlfn.ANCHORARRAY(H320)</f>
        <v>9.99</v>
      </c>
      <c r="S320" cm="1">
        <f t="array" ref="S320">_xlfn.ANCHORARRAY(R320)+0.15</f>
        <v>10.14</v>
      </c>
      <c r="T320" cm="1">
        <f t="array" ref="T320">_xlfn.ANCHORARRAY(I320)+0.15</f>
        <v>1.1499999999999999</v>
      </c>
      <c r="U320" cm="1">
        <f t="array" ref="U320">_xlfn.ANCHORARRAY(J320)+0.15</f>
        <v>3.15</v>
      </c>
      <c r="V320" cm="1">
        <f t="array" ref="V320">_xlfn.ANCHORARRAY(K320)+0.15</f>
        <v>4.6500000000000004</v>
      </c>
      <c r="W320">
        <f>TBL_TEV[[#This Row],[Etica Rendita Bilanciata]]</f>
        <v>1.581736</v>
      </c>
      <c r="X320">
        <f>TBL_TEV[[#This Row],[Etica Obbligazionario Breve Termine]]</f>
        <v>0.39987899999999998</v>
      </c>
      <c r="Y320">
        <f>TBL_TEV[[#This Row],[Etica Obbligazionario Misto]]</f>
        <v>0.96310600000000002</v>
      </c>
      <c r="Z320">
        <f>TBL_TEV[[#This Row],[Etica Bilanciato]]</f>
        <v>2.216081</v>
      </c>
      <c r="AA320">
        <f>TBL_TEV[[#This Row],[Etica Azionario]]</f>
        <v>3.191252</v>
      </c>
      <c r="AB320">
        <f>TBL_TEV[[#This Row],[Etica Transizione Climatica]]</f>
        <v>2.1675049999999998</v>
      </c>
      <c r="AC320">
        <f>TBL_TEV[[#This Row],[Etica Obiettivo Sociale]]</f>
        <v>7.3276771266031488</v>
      </c>
      <c r="AD320">
        <f>TBL_TEV[[#This Row],[Etica Conservative Allocation]]</f>
        <v>0.90071999999999997</v>
      </c>
      <c r="AE320">
        <f>TBL_TEV[[#This Row],[Etica Dynamic Allocation]]</f>
        <v>2.201635</v>
      </c>
      <c r="AF320">
        <f>TBL_TEV[[#This Row],[Etica Global Equity]]</f>
        <v>3.1758540000000002</v>
      </c>
      <c r="AL320">
        <f ca="1"/>
        <v>1.582212</v>
      </c>
      <c r="AM320">
        <f ca="1"/>
        <v>0.400038</v>
      </c>
      <c r="AN320">
        <f ca="1"/>
        <v>0.96818599999999999</v>
      </c>
      <c r="AO320">
        <f ca="1"/>
        <v>2.2008420000000002</v>
      </c>
      <c r="AP320">
        <f ca="1"/>
        <v>3.1650589999999998</v>
      </c>
      <c r="AQ320">
        <f ca="1"/>
        <v>2.1630600000000002</v>
      </c>
      <c r="AR320">
        <f ca="1"/>
        <v>7.31768199546406</v>
      </c>
      <c r="AS320">
        <f ca="1"/>
        <v>0.89341700000000002</v>
      </c>
      <c r="AT320">
        <f ca="1"/>
        <v>2.1587740000000002</v>
      </c>
      <c r="AU320">
        <f ca="1"/>
        <v>3.117912</v>
      </c>
    </row>
    <row r="321" spans="1:47">
      <c r="A321" s="43">
        <f>TBL_TEV[[#This Row],[Data2]]</f>
        <v>45744</v>
      </c>
      <c r="B321" cm="1">
        <f t="array" ref="B321">_xlfn.XLOOKUP(_xlfn.ANCHORARRAY(A321), TBL_Limiti_CDA[Data], TBL_Limiti_CDA[Etica Rendita Bilanciata], , -1)</f>
        <v>1.75</v>
      </c>
      <c r="C321" cm="1">
        <f t="array" ref="C321">_xlfn.XLOOKUP(_xlfn.ANCHORARRAY(A321), TBL_Limiti_CDA[Data], TBL_Limiti_CDA[Etica Obbligazionario Breve Termine], , -1)</f>
        <v>0.5</v>
      </c>
      <c r="D321" cm="1">
        <f t="array" ref="D321">_xlfn.XLOOKUP(_xlfn.ANCHORARRAY(A321), TBL_Limiti_CDA[Data], TBL_Limiti_CDA[Etica Obbligazionario Misto], , -1)</f>
        <v>1</v>
      </c>
      <c r="E321" cm="1">
        <f t="array" ref="E321">_xlfn.XLOOKUP(_xlfn.ANCHORARRAY(A321), TBL_Limiti_CDA[Data], TBL_Limiti_CDA[Etica Bilanciato], , -1)</f>
        <v>3</v>
      </c>
      <c r="F321" cm="1">
        <f t="array" ref="F321">_xlfn.XLOOKUP(_xlfn.ANCHORARRAY(A321), TBL_Limiti_CDA[Data], TBL_Limiti_CDA[Etica Azionario], , -1)</f>
        <v>4.5</v>
      </c>
      <c r="G321" cm="1">
        <f t="array" ref="G321">_xlfn.XLOOKUP(_xlfn.ANCHORARRAY(A321), TBL_Limiti_CDA[Data], TBL_Limiti_CDA[Etica Transizione Climatica], , -1)</f>
        <v>2.75</v>
      </c>
      <c r="H321" cm="1">
        <f t="array" ref="H321">_xlfn.XLOOKUP(_xlfn.ANCHORARRAY(A321), TBL_Limiti_CDA[Data], TBL_Limiti_CDA[Etica Obiettivo Sociale], , -1)</f>
        <v>9.99</v>
      </c>
      <c r="I321" cm="1">
        <f t="array" ref="I321">_xlfn.XLOOKUP(_xlfn.ANCHORARRAY(A321), TBL_Limiti_CDA[Data], TBL_Limiti_CDA[Etica Conservative Allocation], , -1)</f>
        <v>1</v>
      </c>
      <c r="J321" cm="1">
        <f t="array" ref="J321">_xlfn.XLOOKUP(_xlfn.ANCHORARRAY(A321), TBL_Limiti_CDA[Data], TBL_Limiti_CDA[Etica Dynamic Allocation], , -1)</f>
        <v>3</v>
      </c>
      <c r="K321" cm="1">
        <f t="array" ref="K321">_xlfn.XLOOKUP(_xlfn.ANCHORARRAY(A321), TBL_Limiti_CDA[Data], TBL_Limiti_CDA[Etica Global Equity], , -1)</f>
        <v>4.5</v>
      </c>
      <c r="L321" cm="1">
        <f t="array" ref="L321">_xlfn.ANCHORARRAY(B321)+0.15</f>
        <v>1.9</v>
      </c>
      <c r="M321" cm="1">
        <f t="array" ref="M321">_xlfn.ANCHORARRAY(C321)+0.1</f>
        <v>0.6</v>
      </c>
      <c r="N321" cm="1">
        <f t="array" ref="N321">_xlfn.ANCHORARRAY(D321)+0.15</f>
        <v>1.1499999999999999</v>
      </c>
      <c r="O321" cm="1">
        <f t="array" ref="O321">_xlfn.ANCHORARRAY(E321)+0.15</f>
        <v>3.15</v>
      </c>
      <c r="P321" cm="1">
        <f t="array" ref="P321">_xlfn.ANCHORARRAY(F321)+0.15</f>
        <v>4.6500000000000004</v>
      </c>
      <c r="Q321" cm="1">
        <f t="array" ref="Q321">_xlfn.ANCHORARRAY(G321)+0.15</f>
        <v>2.9</v>
      </c>
      <c r="R321" cm="1">
        <f t="array" ref="R321">_xlfn.ANCHORARRAY(H321)</f>
        <v>9.99</v>
      </c>
      <c r="S321" cm="1">
        <f t="array" ref="S321">_xlfn.ANCHORARRAY(R321)+0.15</f>
        <v>10.14</v>
      </c>
      <c r="T321" cm="1">
        <f t="array" ref="T321">_xlfn.ANCHORARRAY(I321)+0.15</f>
        <v>1.1499999999999999</v>
      </c>
      <c r="U321" cm="1">
        <f t="array" ref="U321">_xlfn.ANCHORARRAY(J321)+0.15</f>
        <v>3.15</v>
      </c>
      <c r="V321" cm="1">
        <f t="array" ref="V321">_xlfn.ANCHORARRAY(K321)+0.15</f>
        <v>4.6500000000000004</v>
      </c>
      <c r="W321">
        <f>TBL_TEV[[#This Row],[Etica Rendita Bilanciata]]</f>
        <v>1.582212</v>
      </c>
      <c r="X321">
        <f>TBL_TEV[[#This Row],[Etica Obbligazionario Breve Termine]]</f>
        <v>0.400038</v>
      </c>
      <c r="Y321">
        <f>TBL_TEV[[#This Row],[Etica Obbligazionario Misto]]</f>
        <v>0.96818599999999999</v>
      </c>
      <c r="Z321">
        <f>TBL_TEV[[#This Row],[Etica Bilanciato]]</f>
        <v>2.2008420000000002</v>
      </c>
      <c r="AA321">
        <f>TBL_TEV[[#This Row],[Etica Azionario]]</f>
        <v>3.1650589999999998</v>
      </c>
      <c r="AB321">
        <f>TBL_TEV[[#This Row],[Etica Transizione Climatica]]</f>
        <v>2.1630600000000002</v>
      </c>
      <c r="AC321">
        <f>TBL_TEV[[#This Row],[Etica Obiettivo Sociale]]</f>
        <v>7.31768199546406</v>
      </c>
      <c r="AD321">
        <f>TBL_TEV[[#This Row],[Etica Conservative Allocation]]</f>
        <v>0.89341700000000002</v>
      </c>
      <c r="AE321">
        <f>TBL_TEV[[#This Row],[Etica Dynamic Allocation]]</f>
        <v>2.1587740000000002</v>
      </c>
      <c r="AF321">
        <f>TBL_TEV[[#This Row],[Etica Global Equity]]</f>
        <v>3.117912</v>
      </c>
      <c r="AL321">
        <f ca="1"/>
        <v>1.51919</v>
      </c>
      <c r="AM321">
        <f ca="1"/>
        <v>0.33527000000000001</v>
      </c>
      <c r="AN321">
        <f ca="1"/>
        <v>0.88230500000000001</v>
      </c>
      <c r="AO321">
        <f ca="1"/>
        <v>2.1694100000000001</v>
      </c>
      <c r="AP321">
        <f ca="1"/>
        <v>3.1385489999999998</v>
      </c>
      <c r="AQ321">
        <f ca="1"/>
        <v>2.1224219999999998</v>
      </c>
      <c r="AR321">
        <f ca="1"/>
        <v>7.2497634355052742</v>
      </c>
      <c r="AS321">
        <f ca="1"/>
        <v>0.83960299999999999</v>
      </c>
      <c r="AT321">
        <f ca="1"/>
        <v>2.1362329999999998</v>
      </c>
      <c r="AU321">
        <f ca="1"/>
        <v>3.095529</v>
      </c>
    </row>
    <row r="322" spans="1:47">
      <c r="A322" s="43">
        <f>TBL_TEV[[#This Row],[Data2]]</f>
        <v>45747</v>
      </c>
      <c r="B322" cm="1">
        <f t="array" ref="B322">_xlfn.XLOOKUP(_xlfn.ANCHORARRAY(A322), TBL_Limiti_CDA[Data], TBL_Limiti_CDA[Etica Rendita Bilanciata], , -1)</f>
        <v>1.75</v>
      </c>
      <c r="C322" cm="1">
        <f t="array" ref="C322">_xlfn.XLOOKUP(_xlfn.ANCHORARRAY(A322), TBL_Limiti_CDA[Data], TBL_Limiti_CDA[Etica Obbligazionario Breve Termine], , -1)</f>
        <v>0.5</v>
      </c>
      <c r="D322" cm="1">
        <f t="array" ref="D322">_xlfn.XLOOKUP(_xlfn.ANCHORARRAY(A322), TBL_Limiti_CDA[Data], TBL_Limiti_CDA[Etica Obbligazionario Misto], , -1)</f>
        <v>1</v>
      </c>
      <c r="E322" cm="1">
        <f t="array" ref="E322">_xlfn.XLOOKUP(_xlfn.ANCHORARRAY(A322), TBL_Limiti_CDA[Data], TBL_Limiti_CDA[Etica Bilanciato], , -1)</f>
        <v>3</v>
      </c>
      <c r="F322" cm="1">
        <f t="array" ref="F322">_xlfn.XLOOKUP(_xlfn.ANCHORARRAY(A322), TBL_Limiti_CDA[Data], TBL_Limiti_CDA[Etica Azionario], , -1)</f>
        <v>4.5</v>
      </c>
      <c r="G322" cm="1">
        <f t="array" ref="G322">_xlfn.XLOOKUP(_xlfn.ANCHORARRAY(A322), TBL_Limiti_CDA[Data], TBL_Limiti_CDA[Etica Transizione Climatica], , -1)</f>
        <v>2.75</v>
      </c>
      <c r="H322" cm="1">
        <f t="array" ref="H322">_xlfn.XLOOKUP(_xlfn.ANCHORARRAY(A322), TBL_Limiti_CDA[Data], TBL_Limiti_CDA[Etica Obiettivo Sociale], , -1)</f>
        <v>9.99</v>
      </c>
      <c r="I322" cm="1">
        <f t="array" ref="I322">_xlfn.XLOOKUP(_xlfn.ANCHORARRAY(A322), TBL_Limiti_CDA[Data], TBL_Limiti_CDA[Etica Conservative Allocation], , -1)</f>
        <v>1</v>
      </c>
      <c r="J322" cm="1">
        <f t="array" ref="J322">_xlfn.XLOOKUP(_xlfn.ANCHORARRAY(A322), TBL_Limiti_CDA[Data], TBL_Limiti_CDA[Etica Dynamic Allocation], , -1)</f>
        <v>3</v>
      </c>
      <c r="K322" cm="1">
        <f t="array" ref="K322">_xlfn.XLOOKUP(_xlfn.ANCHORARRAY(A322), TBL_Limiti_CDA[Data], TBL_Limiti_CDA[Etica Global Equity], , -1)</f>
        <v>4.5</v>
      </c>
      <c r="L322" cm="1">
        <f t="array" ref="L322">_xlfn.ANCHORARRAY(B322)+0.15</f>
        <v>1.9</v>
      </c>
      <c r="M322" cm="1">
        <f t="array" ref="M322">_xlfn.ANCHORARRAY(C322)+0.1</f>
        <v>0.6</v>
      </c>
      <c r="N322" cm="1">
        <f t="array" ref="N322">_xlfn.ANCHORARRAY(D322)+0.15</f>
        <v>1.1499999999999999</v>
      </c>
      <c r="O322" cm="1">
        <f t="array" ref="O322">_xlfn.ANCHORARRAY(E322)+0.15</f>
        <v>3.15</v>
      </c>
      <c r="P322" cm="1">
        <f t="array" ref="P322">_xlfn.ANCHORARRAY(F322)+0.15</f>
        <v>4.6500000000000004</v>
      </c>
      <c r="Q322" cm="1">
        <f t="array" ref="Q322">_xlfn.ANCHORARRAY(G322)+0.15</f>
        <v>2.9</v>
      </c>
      <c r="R322" cm="1">
        <f t="array" ref="R322">_xlfn.ANCHORARRAY(H322)</f>
        <v>9.99</v>
      </c>
      <c r="S322" cm="1">
        <f t="array" ref="S322">_xlfn.ANCHORARRAY(R322)+0.15</f>
        <v>10.14</v>
      </c>
      <c r="T322" cm="1">
        <f t="array" ref="T322">_xlfn.ANCHORARRAY(I322)+0.15</f>
        <v>1.1499999999999999</v>
      </c>
      <c r="U322" cm="1">
        <f t="array" ref="U322">_xlfn.ANCHORARRAY(J322)+0.15</f>
        <v>3.15</v>
      </c>
      <c r="V322" cm="1">
        <f t="array" ref="V322">_xlfn.ANCHORARRAY(K322)+0.15</f>
        <v>4.6500000000000004</v>
      </c>
      <c r="W322">
        <f>TBL_TEV[[#This Row],[Etica Rendita Bilanciata]]</f>
        <v>1.51919</v>
      </c>
      <c r="X322">
        <f>TBL_TEV[[#This Row],[Etica Obbligazionario Breve Termine]]</f>
        <v>0.33527000000000001</v>
      </c>
      <c r="Y322">
        <f>TBL_TEV[[#This Row],[Etica Obbligazionario Misto]]</f>
        <v>0.88230500000000001</v>
      </c>
      <c r="Z322">
        <f>TBL_TEV[[#This Row],[Etica Bilanciato]]</f>
        <v>2.1694100000000001</v>
      </c>
      <c r="AA322">
        <f>TBL_TEV[[#This Row],[Etica Azionario]]</f>
        <v>3.1385489999999998</v>
      </c>
      <c r="AB322">
        <f>TBL_TEV[[#This Row],[Etica Transizione Climatica]]</f>
        <v>2.1224219999999998</v>
      </c>
      <c r="AC322">
        <f>TBL_TEV[[#This Row],[Etica Obiettivo Sociale]]</f>
        <v>7.2497634355052742</v>
      </c>
      <c r="AD322">
        <f>TBL_TEV[[#This Row],[Etica Conservative Allocation]]</f>
        <v>0.83960299999999999</v>
      </c>
      <c r="AE322">
        <f>TBL_TEV[[#This Row],[Etica Dynamic Allocation]]</f>
        <v>2.1362329999999998</v>
      </c>
      <c r="AF322">
        <f>TBL_TEV[[#This Row],[Etica Global Equity]]</f>
        <v>3.095529</v>
      </c>
      <c r="AL322">
        <f ca="1"/>
        <v>1.5236350000000001</v>
      </c>
      <c r="AM322">
        <f ca="1"/>
        <v>0.32590400000000003</v>
      </c>
      <c r="AN322">
        <f ca="1"/>
        <v>0.88690899999999995</v>
      </c>
      <c r="AO322">
        <f ca="1"/>
        <v>2.202429</v>
      </c>
      <c r="AP322">
        <f ca="1"/>
        <v>3.1874419999999999</v>
      </c>
      <c r="AQ322">
        <f ca="1"/>
        <v>2.1525829999999999</v>
      </c>
      <c r="AR322">
        <f ca="1"/>
        <v>7.1686841251688866</v>
      </c>
      <c r="AS322">
        <f ca="1"/>
        <v>0.84198399999999995</v>
      </c>
      <c r="AT322">
        <f ca="1"/>
        <v>2.1648070000000001</v>
      </c>
      <c r="AU322">
        <f ca="1"/>
        <v>3.1420409999999999</v>
      </c>
    </row>
    <row r="323" spans="1:47">
      <c r="A323" s="43">
        <f>TBL_TEV[[#This Row],[Data2]]</f>
        <v>45748</v>
      </c>
      <c r="B323" cm="1">
        <f t="array" ref="B323">_xlfn.XLOOKUP(_xlfn.ANCHORARRAY(A323), TBL_Limiti_CDA[Data], TBL_Limiti_CDA[Etica Rendita Bilanciata], , -1)</f>
        <v>1.75</v>
      </c>
      <c r="C323" cm="1">
        <f t="array" ref="C323">_xlfn.XLOOKUP(_xlfn.ANCHORARRAY(A323), TBL_Limiti_CDA[Data], TBL_Limiti_CDA[Etica Obbligazionario Breve Termine], , -1)</f>
        <v>0.5</v>
      </c>
      <c r="D323" cm="1">
        <f t="array" ref="D323">_xlfn.XLOOKUP(_xlfn.ANCHORARRAY(A323), TBL_Limiti_CDA[Data], TBL_Limiti_CDA[Etica Obbligazionario Misto], , -1)</f>
        <v>1</v>
      </c>
      <c r="E323" cm="1">
        <f t="array" ref="E323">_xlfn.XLOOKUP(_xlfn.ANCHORARRAY(A323), TBL_Limiti_CDA[Data], TBL_Limiti_CDA[Etica Bilanciato], , -1)</f>
        <v>3</v>
      </c>
      <c r="F323" cm="1">
        <f t="array" ref="F323">_xlfn.XLOOKUP(_xlfn.ANCHORARRAY(A323), TBL_Limiti_CDA[Data], TBL_Limiti_CDA[Etica Azionario], , -1)</f>
        <v>4.5</v>
      </c>
      <c r="G323" cm="1">
        <f t="array" ref="G323">_xlfn.XLOOKUP(_xlfn.ANCHORARRAY(A323), TBL_Limiti_CDA[Data], TBL_Limiti_CDA[Etica Transizione Climatica], , -1)</f>
        <v>2.75</v>
      </c>
      <c r="H323" cm="1">
        <f t="array" ref="H323">_xlfn.XLOOKUP(_xlfn.ANCHORARRAY(A323), TBL_Limiti_CDA[Data], TBL_Limiti_CDA[Etica Obiettivo Sociale], , -1)</f>
        <v>9.99</v>
      </c>
      <c r="I323" cm="1">
        <f t="array" ref="I323">_xlfn.XLOOKUP(_xlfn.ANCHORARRAY(A323), TBL_Limiti_CDA[Data], TBL_Limiti_CDA[Etica Conservative Allocation], , -1)</f>
        <v>1</v>
      </c>
      <c r="J323" cm="1">
        <f t="array" ref="J323">_xlfn.XLOOKUP(_xlfn.ANCHORARRAY(A323), TBL_Limiti_CDA[Data], TBL_Limiti_CDA[Etica Dynamic Allocation], , -1)</f>
        <v>3</v>
      </c>
      <c r="K323" cm="1">
        <f t="array" ref="K323">_xlfn.XLOOKUP(_xlfn.ANCHORARRAY(A323), TBL_Limiti_CDA[Data], TBL_Limiti_CDA[Etica Global Equity], , -1)</f>
        <v>4.5</v>
      </c>
      <c r="L323" cm="1">
        <f t="array" ref="L323">_xlfn.ANCHORARRAY(B323)+0.15</f>
        <v>1.9</v>
      </c>
      <c r="M323" cm="1">
        <f t="array" ref="M323">_xlfn.ANCHORARRAY(C323)+0.1</f>
        <v>0.6</v>
      </c>
      <c r="N323" cm="1">
        <f t="array" ref="N323">_xlfn.ANCHORARRAY(D323)+0.15</f>
        <v>1.1499999999999999</v>
      </c>
      <c r="O323" cm="1">
        <f t="array" ref="O323">_xlfn.ANCHORARRAY(E323)+0.15</f>
        <v>3.15</v>
      </c>
      <c r="P323" cm="1">
        <f t="array" ref="P323">_xlfn.ANCHORARRAY(F323)+0.15</f>
        <v>4.6500000000000004</v>
      </c>
      <c r="Q323" cm="1">
        <f t="array" ref="Q323">_xlfn.ANCHORARRAY(G323)+0.15</f>
        <v>2.9</v>
      </c>
      <c r="R323" cm="1">
        <f t="array" ref="R323">_xlfn.ANCHORARRAY(H323)</f>
        <v>9.99</v>
      </c>
      <c r="S323" cm="1">
        <f t="array" ref="S323">_xlfn.ANCHORARRAY(R323)+0.15</f>
        <v>10.14</v>
      </c>
      <c r="T323" cm="1">
        <f t="array" ref="T323">_xlfn.ANCHORARRAY(I323)+0.15</f>
        <v>1.1499999999999999</v>
      </c>
      <c r="U323" cm="1">
        <f t="array" ref="U323">_xlfn.ANCHORARRAY(J323)+0.15</f>
        <v>3.15</v>
      </c>
      <c r="V323" cm="1">
        <f t="array" ref="V323">_xlfn.ANCHORARRAY(K323)+0.15</f>
        <v>4.6500000000000004</v>
      </c>
      <c r="W323">
        <f>TBL_TEV[[#This Row],[Etica Rendita Bilanciata]]</f>
        <v>1.5236350000000001</v>
      </c>
      <c r="X323">
        <f>TBL_TEV[[#This Row],[Etica Obbligazionario Breve Termine]]</f>
        <v>0.32590400000000003</v>
      </c>
      <c r="Y323">
        <f>TBL_TEV[[#This Row],[Etica Obbligazionario Misto]]</f>
        <v>0.88690899999999995</v>
      </c>
      <c r="Z323">
        <f>TBL_TEV[[#This Row],[Etica Bilanciato]]</f>
        <v>2.202429</v>
      </c>
      <c r="AA323">
        <f>TBL_TEV[[#This Row],[Etica Azionario]]</f>
        <v>3.1874419999999999</v>
      </c>
      <c r="AB323">
        <f>TBL_TEV[[#This Row],[Etica Transizione Climatica]]</f>
        <v>2.1525829999999999</v>
      </c>
      <c r="AC323">
        <f>TBL_TEV[[#This Row],[Etica Obiettivo Sociale]]</f>
        <v>7.1686841251688866</v>
      </c>
      <c r="AD323">
        <f>TBL_TEV[[#This Row],[Etica Conservative Allocation]]</f>
        <v>0.84198399999999995</v>
      </c>
      <c r="AE323">
        <f>TBL_TEV[[#This Row],[Etica Dynamic Allocation]]</f>
        <v>2.1648070000000001</v>
      </c>
      <c r="AF323">
        <f>TBL_TEV[[#This Row],[Etica Global Equity]]</f>
        <v>3.1420409999999999</v>
      </c>
      <c r="AL323">
        <f ca="1"/>
        <v>1.5307789999999999</v>
      </c>
      <c r="AM323">
        <f ca="1"/>
        <v>0.32447500000000001</v>
      </c>
      <c r="AN323">
        <f ca="1"/>
        <v>0.88516300000000003</v>
      </c>
      <c r="AO323">
        <f ca="1"/>
        <v>2.2148110000000001</v>
      </c>
      <c r="AP323">
        <f ca="1"/>
        <v>3.2022059999999999</v>
      </c>
      <c r="AQ323">
        <f ca="1"/>
        <v>2.1502020000000002</v>
      </c>
      <c r="AR323">
        <f ca="1"/>
        <v>7.1553475372925348</v>
      </c>
      <c r="AS323">
        <f ca="1"/>
        <v>0.83690399999999998</v>
      </c>
      <c r="AT323">
        <f ca="1"/>
        <v>2.176078</v>
      </c>
      <c r="AU323">
        <f ca="1"/>
        <v>3.2133180000000001</v>
      </c>
    </row>
    <row r="324" spans="1:47">
      <c r="A324" s="43">
        <f>TBL_TEV[[#This Row],[Data2]]</f>
        <v>45749</v>
      </c>
      <c r="B324" cm="1">
        <f t="array" ref="B324">_xlfn.XLOOKUP(_xlfn.ANCHORARRAY(A324), TBL_Limiti_CDA[Data], TBL_Limiti_CDA[Etica Rendita Bilanciata], , -1)</f>
        <v>1.75</v>
      </c>
      <c r="C324" cm="1">
        <f t="array" ref="C324">_xlfn.XLOOKUP(_xlfn.ANCHORARRAY(A324), TBL_Limiti_CDA[Data], TBL_Limiti_CDA[Etica Obbligazionario Breve Termine], , -1)</f>
        <v>0.5</v>
      </c>
      <c r="D324" cm="1">
        <f t="array" ref="D324">_xlfn.XLOOKUP(_xlfn.ANCHORARRAY(A324), TBL_Limiti_CDA[Data], TBL_Limiti_CDA[Etica Obbligazionario Misto], , -1)</f>
        <v>1</v>
      </c>
      <c r="E324" cm="1">
        <f t="array" ref="E324">_xlfn.XLOOKUP(_xlfn.ANCHORARRAY(A324), TBL_Limiti_CDA[Data], TBL_Limiti_CDA[Etica Bilanciato], , -1)</f>
        <v>3</v>
      </c>
      <c r="F324" cm="1">
        <f t="array" ref="F324">_xlfn.XLOOKUP(_xlfn.ANCHORARRAY(A324), TBL_Limiti_CDA[Data], TBL_Limiti_CDA[Etica Azionario], , -1)</f>
        <v>4.5</v>
      </c>
      <c r="G324" cm="1">
        <f t="array" ref="G324">_xlfn.XLOOKUP(_xlfn.ANCHORARRAY(A324), TBL_Limiti_CDA[Data], TBL_Limiti_CDA[Etica Transizione Climatica], , -1)</f>
        <v>2.75</v>
      </c>
      <c r="H324" cm="1">
        <f t="array" ref="H324">_xlfn.XLOOKUP(_xlfn.ANCHORARRAY(A324), TBL_Limiti_CDA[Data], TBL_Limiti_CDA[Etica Obiettivo Sociale], , -1)</f>
        <v>9.99</v>
      </c>
      <c r="I324" cm="1">
        <f t="array" ref="I324">_xlfn.XLOOKUP(_xlfn.ANCHORARRAY(A324), TBL_Limiti_CDA[Data], TBL_Limiti_CDA[Etica Conservative Allocation], , -1)</f>
        <v>1</v>
      </c>
      <c r="J324" cm="1">
        <f t="array" ref="J324">_xlfn.XLOOKUP(_xlfn.ANCHORARRAY(A324), TBL_Limiti_CDA[Data], TBL_Limiti_CDA[Etica Dynamic Allocation], , -1)</f>
        <v>3</v>
      </c>
      <c r="K324" cm="1">
        <f t="array" ref="K324">_xlfn.XLOOKUP(_xlfn.ANCHORARRAY(A324), TBL_Limiti_CDA[Data], TBL_Limiti_CDA[Etica Global Equity], , -1)</f>
        <v>4.5</v>
      </c>
      <c r="L324" cm="1">
        <f t="array" ref="L324">_xlfn.ANCHORARRAY(B324)+0.15</f>
        <v>1.9</v>
      </c>
      <c r="M324" cm="1">
        <f t="array" ref="M324">_xlfn.ANCHORARRAY(C324)+0.1</f>
        <v>0.6</v>
      </c>
      <c r="N324" cm="1">
        <f t="array" ref="N324">_xlfn.ANCHORARRAY(D324)+0.15</f>
        <v>1.1499999999999999</v>
      </c>
      <c r="O324" cm="1">
        <f t="array" ref="O324">_xlfn.ANCHORARRAY(E324)+0.15</f>
        <v>3.15</v>
      </c>
      <c r="P324" cm="1">
        <f t="array" ref="P324">_xlfn.ANCHORARRAY(F324)+0.15</f>
        <v>4.6500000000000004</v>
      </c>
      <c r="Q324" cm="1">
        <f t="array" ref="Q324">_xlfn.ANCHORARRAY(G324)+0.15</f>
        <v>2.9</v>
      </c>
      <c r="R324" cm="1">
        <f t="array" ref="R324">_xlfn.ANCHORARRAY(H324)</f>
        <v>9.99</v>
      </c>
      <c r="S324" cm="1">
        <f t="array" ref="S324">_xlfn.ANCHORARRAY(R324)+0.15</f>
        <v>10.14</v>
      </c>
      <c r="T324" cm="1">
        <f t="array" ref="T324">_xlfn.ANCHORARRAY(I324)+0.15</f>
        <v>1.1499999999999999</v>
      </c>
      <c r="U324" cm="1">
        <f t="array" ref="U324">_xlfn.ANCHORARRAY(J324)+0.15</f>
        <v>3.15</v>
      </c>
      <c r="V324" cm="1">
        <f t="array" ref="V324">_xlfn.ANCHORARRAY(K324)+0.15</f>
        <v>4.6500000000000004</v>
      </c>
      <c r="W324">
        <f>TBL_TEV[[#This Row],[Etica Rendita Bilanciata]]</f>
        <v>1.5307789999999999</v>
      </c>
      <c r="X324">
        <f>TBL_TEV[[#This Row],[Etica Obbligazionario Breve Termine]]</f>
        <v>0.32447500000000001</v>
      </c>
      <c r="Y324">
        <f>TBL_TEV[[#This Row],[Etica Obbligazionario Misto]]</f>
        <v>0.88516300000000003</v>
      </c>
      <c r="Z324">
        <f>TBL_TEV[[#This Row],[Etica Bilanciato]]</f>
        <v>2.2148110000000001</v>
      </c>
      <c r="AA324">
        <f>TBL_TEV[[#This Row],[Etica Azionario]]</f>
        <v>3.2022059999999999</v>
      </c>
      <c r="AB324">
        <f>TBL_TEV[[#This Row],[Etica Transizione Climatica]]</f>
        <v>2.1502020000000002</v>
      </c>
      <c r="AC324">
        <f>TBL_TEV[[#This Row],[Etica Obiettivo Sociale]]</f>
        <v>7.1553475372925348</v>
      </c>
      <c r="AD324">
        <f>TBL_TEV[[#This Row],[Etica Conservative Allocation]]</f>
        <v>0.83690399999999998</v>
      </c>
      <c r="AE324">
        <f>TBL_TEV[[#This Row],[Etica Dynamic Allocation]]</f>
        <v>2.176078</v>
      </c>
      <c r="AF324">
        <f>TBL_TEV[[#This Row],[Etica Global Equity]]</f>
        <v>3.2133180000000001</v>
      </c>
      <c r="AL324">
        <f ca="1"/>
        <v>1.551733</v>
      </c>
      <c r="AM324">
        <f ca="1"/>
        <v>0.32590400000000003</v>
      </c>
      <c r="AN324">
        <f ca="1"/>
        <v>0.72800500000000001</v>
      </c>
      <c r="AO324">
        <f ca="1"/>
        <v>2.1173419999999998</v>
      </c>
      <c r="AP324">
        <f ca="1"/>
        <v>3.1075940000000002</v>
      </c>
      <c r="AQ324">
        <f ca="1"/>
        <v>2.2656100000000001</v>
      </c>
      <c r="AR324">
        <f ca="1"/>
        <v>7.4315006091545266</v>
      </c>
      <c r="AS324">
        <f ca="1"/>
        <v>0.84261900000000001</v>
      </c>
      <c r="AT324">
        <f ca="1"/>
        <v>2.1325810000000001</v>
      </c>
      <c r="AU324">
        <f ca="1"/>
        <v>3.118547</v>
      </c>
    </row>
    <row r="325" spans="1:47">
      <c r="A325" s="43">
        <f>TBL_TEV[[#This Row],[Data2]]</f>
        <v>45750</v>
      </c>
      <c r="B325" cm="1">
        <f t="array" ref="B325">_xlfn.XLOOKUP(_xlfn.ANCHORARRAY(A325), TBL_Limiti_CDA[Data], TBL_Limiti_CDA[Etica Rendita Bilanciata], , -1)</f>
        <v>1.75</v>
      </c>
      <c r="C325" cm="1">
        <f t="array" ref="C325">_xlfn.XLOOKUP(_xlfn.ANCHORARRAY(A325), TBL_Limiti_CDA[Data], TBL_Limiti_CDA[Etica Obbligazionario Breve Termine], , -1)</f>
        <v>0.5</v>
      </c>
      <c r="D325" cm="1">
        <f t="array" ref="D325">_xlfn.XLOOKUP(_xlfn.ANCHORARRAY(A325), TBL_Limiti_CDA[Data], TBL_Limiti_CDA[Etica Obbligazionario Misto], , -1)</f>
        <v>1</v>
      </c>
      <c r="E325" cm="1">
        <f t="array" ref="E325">_xlfn.XLOOKUP(_xlfn.ANCHORARRAY(A325), TBL_Limiti_CDA[Data], TBL_Limiti_CDA[Etica Bilanciato], , -1)</f>
        <v>3</v>
      </c>
      <c r="F325" cm="1">
        <f t="array" ref="F325">_xlfn.XLOOKUP(_xlfn.ANCHORARRAY(A325), TBL_Limiti_CDA[Data], TBL_Limiti_CDA[Etica Azionario], , -1)</f>
        <v>4.5</v>
      </c>
      <c r="G325" cm="1">
        <f t="array" ref="G325">_xlfn.XLOOKUP(_xlfn.ANCHORARRAY(A325), TBL_Limiti_CDA[Data], TBL_Limiti_CDA[Etica Transizione Climatica], , -1)</f>
        <v>2.75</v>
      </c>
      <c r="H325" cm="1">
        <f t="array" ref="H325">_xlfn.XLOOKUP(_xlfn.ANCHORARRAY(A325), TBL_Limiti_CDA[Data], TBL_Limiti_CDA[Etica Obiettivo Sociale], , -1)</f>
        <v>9.99</v>
      </c>
      <c r="I325" cm="1">
        <f t="array" ref="I325">_xlfn.XLOOKUP(_xlfn.ANCHORARRAY(A325), TBL_Limiti_CDA[Data], TBL_Limiti_CDA[Etica Conservative Allocation], , -1)</f>
        <v>1</v>
      </c>
      <c r="J325" cm="1">
        <f t="array" ref="J325">_xlfn.XLOOKUP(_xlfn.ANCHORARRAY(A325), TBL_Limiti_CDA[Data], TBL_Limiti_CDA[Etica Dynamic Allocation], , -1)</f>
        <v>3</v>
      </c>
      <c r="K325" cm="1">
        <f t="array" ref="K325">_xlfn.XLOOKUP(_xlfn.ANCHORARRAY(A325), TBL_Limiti_CDA[Data], TBL_Limiti_CDA[Etica Global Equity], , -1)</f>
        <v>4.5</v>
      </c>
      <c r="L325" cm="1">
        <f t="array" ref="L325">_xlfn.ANCHORARRAY(B325)+0.15</f>
        <v>1.9</v>
      </c>
      <c r="M325" cm="1">
        <f t="array" ref="M325">_xlfn.ANCHORARRAY(C325)+0.1</f>
        <v>0.6</v>
      </c>
      <c r="N325" cm="1">
        <f t="array" ref="N325">_xlfn.ANCHORARRAY(D325)+0.15</f>
        <v>1.1499999999999999</v>
      </c>
      <c r="O325" cm="1">
        <f t="array" ref="O325">_xlfn.ANCHORARRAY(E325)+0.15</f>
        <v>3.15</v>
      </c>
      <c r="P325" cm="1">
        <f t="array" ref="P325">_xlfn.ANCHORARRAY(F325)+0.15</f>
        <v>4.6500000000000004</v>
      </c>
      <c r="Q325" cm="1">
        <f t="array" ref="Q325">_xlfn.ANCHORARRAY(G325)+0.15</f>
        <v>2.9</v>
      </c>
      <c r="R325" cm="1">
        <f t="array" ref="R325">_xlfn.ANCHORARRAY(H325)</f>
        <v>9.99</v>
      </c>
      <c r="S325" cm="1">
        <f t="array" ref="S325">_xlfn.ANCHORARRAY(R325)+0.15</f>
        <v>10.14</v>
      </c>
      <c r="T325" cm="1">
        <f t="array" ref="T325">_xlfn.ANCHORARRAY(I325)+0.15</f>
        <v>1.1499999999999999</v>
      </c>
      <c r="U325" cm="1">
        <f t="array" ref="U325">_xlfn.ANCHORARRAY(J325)+0.15</f>
        <v>3.15</v>
      </c>
      <c r="V325" cm="1">
        <f t="array" ref="V325">_xlfn.ANCHORARRAY(K325)+0.15</f>
        <v>4.6500000000000004</v>
      </c>
      <c r="W325">
        <f>TBL_TEV[[#This Row],[Etica Rendita Bilanciata]]</f>
        <v>1.551733</v>
      </c>
      <c r="X325">
        <f>TBL_TEV[[#This Row],[Etica Obbligazionario Breve Termine]]</f>
        <v>0.32590400000000003</v>
      </c>
      <c r="Y325">
        <f>TBL_TEV[[#This Row],[Etica Obbligazionario Misto]]</f>
        <v>0.72800500000000001</v>
      </c>
      <c r="Z325">
        <f>TBL_TEV[[#This Row],[Etica Bilanciato]]</f>
        <v>2.1173419999999998</v>
      </c>
      <c r="AA325">
        <f>TBL_TEV[[#This Row],[Etica Azionario]]</f>
        <v>3.1075940000000002</v>
      </c>
      <c r="AB325">
        <f>TBL_TEV[[#This Row],[Etica Transizione Climatica]]</f>
        <v>2.2656100000000001</v>
      </c>
      <c r="AC325">
        <f>TBL_TEV[[#This Row],[Etica Obiettivo Sociale]]</f>
        <v>7.4315006091545266</v>
      </c>
      <c r="AD325">
        <f>TBL_TEV[[#This Row],[Etica Conservative Allocation]]</f>
        <v>0.84261900000000001</v>
      </c>
      <c r="AE325">
        <f>TBL_TEV[[#This Row],[Etica Dynamic Allocation]]</f>
        <v>2.1325810000000001</v>
      </c>
      <c r="AF325">
        <f>TBL_TEV[[#This Row],[Etica Global Equity]]</f>
        <v>3.118547</v>
      </c>
      <c r="AL325">
        <f ca="1"/>
        <v>1.639043</v>
      </c>
      <c r="AM325">
        <f ca="1"/>
        <v>0.32606200000000002</v>
      </c>
      <c r="AN325">
        <f ca="1"/>
        <v>0.75197499999999995</v>
      </c>
      <c r="AO325">
        <f ca="1"/>
        <v>2.152901</v>
      </c>
      <c r="AP325">
        <f ca="1"/>
        <v>3.099815</v>
      </c>
      <c r="AQ325">
        <f ca="1"/>
        <v>2.3097409999999998</v>
      </c>
      <c r="AR325">
        <f ca="1"/>
        <v>7.462037200877325</v>
      </c>
      <c r="AS325">
        <f ca="1"/>
        <v>0.85246100000000002</v>
      </c>
      <c r="AT325">
        <f ca="1"/>
        <v>2.2192560000000001</v>
      </c>
      <c r="AU325">
        <f ca="1"/>
        <v>3.1256910000000002</v>
      </c>
    </row>
    <row r="326" spans="1:47">
      <c r="A326" s="43">
        <f>TBL_TEV[[#This Row],[Data2]]</f>
        <v>45751</v>
      </c>
      <c r="B326" cm="1">
        <f t="array" ref="B326">_xlfn.XLOOKUP(_xlfn.ANCHORARRAY(A326), TBL_Limiti_CDA[Data], TBL_Limiti_CDA[Etica Rendita Bilanciata], , -1)</f>
        <v>1.75</v>
      </c>
      <c r="C326" cm="1">
        <f t="array" ref="C326">_xlfn.XLOOKUP(_xlfn.ANCHORARRAY(A326), TBL_Limiti_CDA[Data], TBL_Limiti_CDA[Etica Obbligazionario Breve Termine], , -1)</f>
        <v>0.5</v>
      </c>
      <c r="D326" cm="1">
        <f t="array" ref="D326">_xlfn.XLOOKUP(_xlfn.ANCHORARRAY(A326), TBL_Limiti_CDA[Data], TBL_Limiti_CDA[Etica Obbligazionario Misto], , -1)</f>
        <v>1</v>
      </c>
      <c r="E326" cm="1">
        <f t="array" ref="E326">_xlfn.XLOOKUP(_xlfn.ANCHORARRAY(A326), TBL_Limiti_CDA[Data], TBL_Limiti_CDA[Etica Bilanciato], , -1)</f>
        <v>3</v>
      </c>
      <c r="F326" cm="1">
        <f t="array" ref="F326">_xlfn.XLOOKUP(_xlfn.ANCHORARRAY(A326), TBL_Limiti_CDA[Data], TBL_Limiti_CDA[Etica Azionario], , -1)</f>
        <v>4.5</v>
      </c>
      <c r="G326" cm="1">
        <f t="array" ref="G326">_xlfn.XLOOKUP(_xlfn.ANCHORARRAY(A326), TBL_Limiti_CDA[Data], TBL_Limiti_CDA[Etica Transizione Climatica], , -1)</f>
        <v>2.75</v>
      </c>
      <c r="H326" cm="1">
        <f t="array" ref="H326">_xlfn.XLOOKUP(_xlfn.ANCHORARRAY(A326), TBL_Limiti_CDA[Data], TBL_Limiti_CDA[Etica Obiettivo Sociale], , -1)</f>
        <v>9.99</v>
      </c>
      <c r="I326" cm="1">
        <f t="array" ref="I326">_xlfn.XLOOKUP(_xlfn.ANCHORARRAY(A326), TBL_Limiti_CDA[Data], TBL_Limiti_CDA[Etica Conservative Allocation], , -1)</f>
        <v>1</v>
      </c>
      <c r="J326" cm="1">
        <f t="array" ref="J326">_xlfn.XLOOKUP(_xlfn.ANCHORARRAY(A326), TBL_Limiti_CDA[Data], TBL_Limiti_CDA[Etica Dynamic Allocation], , -1)</f>
        <v>3</v>
      </c>
      <c r="K326" cm="1">
        <f t="array" ref="K326">_xlfn.XLOOKUP(_xlfn.ANCHORARRAY(A326), TBL_Limiti_CDA[Data], TBL_Limiti_CDA[Etica Global Equity], , -1)</f>
        <v>4.5</v>
      </c>
      <c r="L326" cm="1">
        <f t="array" ref="L326">_xlfn.ANCHORARRAY(B326)+0.15</f>
        <v>1.9</v>
      </c>
      <c r="M326" cm="1">
        <f t="array" ref="M326">_xlfn.ANCHORARRAY(C326)+0.1</f>
        <v>0.6</v>
      </c>
      <c r="N326" cm="1">
        <f t="array" ref="N326">_xlfn.ANCHORARRAY(D326)+0.15</f>
        <v>1.1499999999999999</v>
      </c>
      <c r="O326" cm="1">
        <f t="array" ref="O326">_xlfn.ANCHORARRAY(E326)+0.15</f>
        <v>3.15</v>
      </c>
      <c r="P326" cm="1">
        <f t="array" ref="P326">_xlfn.ANCHORARRAY(F326)+0.15</f>
        <v>4.6500000000000004</v>
      </c>
      <c r="Q326" cm="1">
        <f t="array" ref="Q326">_xlfn.ANCHORARRAY(G326)+0.15</f>
        <v>2.9</v>
      </c>
      <c r="R326" cm="1">
        <f t="array" ref="R326">_xlfn.ANCHORARRAY(H326)</f>
        <v>9.99</v>
      </c>
      <c r="S326" cm="1">
        <f t="array" ref="S326">_xlfn.ANCHORARRAY(R326)+0.15</f>
        <v>10.14</v>
      </c>
      <c r="T326" cm="1">
        <f t="array" ref="T326">_xlfn.ANCHORARRAY(I326)+0.15</f>
        <v>1.1499999999999999</v>
      </c>
      <c r="U326" cm="1">
        <f t="array" ref="U326">_xlfn.ANCHORARRAY(J326)+0.15</f>
        <v>3.15</v>
      </c>
      <c r="V326" cm="1">
        <f t="array" ref="V326">_xlfn.ANCHORARRAY(K326)+0.15</f>
        <v>4.6500000000000004</v>
      </c>
      <c r="W326">
        <f>TBL_TEV[[#This Row],[Etica Rendita Bilanciata]]</f>
        <v>1.639043</v>
      </c>
      <c r="X326">
        <f>TBL_TEV[[#This Row],[Etica Obbligazionario Breve Termine]]</f>
        <v>0.32606200000000002</v>
      </c>
      <c r="Y326">
        <f>TBL_TEV[[#This Row],[Etica Obbligazionario Misto]]</f>
        <v>0.75197499999999995</v>
      </c>
      <c r="Z326">
        <f>TBL_TEV[[#This Row],[Etica Bilanciato]]</f>
        <v>2.152901</v>
      </c>
      <c r="AA326">
        <f>TBL_TEV[[#This Row],[Etica Azionario]]</f>
        <v>3.099815</v>
      </c>
      <c r="AB326">
        <f>TBL_TEV[[#This Row],[Etica Transizione Climatica]]</f>
        <v>2.3097409999999998</v>
      </c>
      <c r="AC326">
        <f>TBL_TEV[[#This Row],[Etica Obiettivo Sociale]]</f>
        <v>7.462037200877325</v>
      </c>
      <c r="AD326">
        <f>TBL_TEV[[#This Row],[Etica Conservative Allocation]]</f>
        <v>0.85246100000000002</v>
      </c>
      <c r="AE326">
        <f>TBL_TEV[[#This Row],[Etica Dynamic Allocation]]</f>
        <v>2.2192560000000001</v>
      </c>
      <c r="AF326">
        <f>TBL_TEV[[#This Row],[Etica Global Equity]]</f>
        <v>3.1256910000000002</v>
      </c>
      <c r="AL326">
        <f ca="1"/>
        <v>1.728575</v>
      </c>
      <c r="AM326">
        <f ca="1"/>
        <v>0.33066600000000002</v>
      </c>
      <c r="AN326">
        <f ca="1"/>
        <v>0.78737599999999996</v>
      </c>
      <c r="AO326">
        <f ca="1"/>
        <v>2.225765</v>
      </c>
      <c r="AP326">
        <f ca="1"/>
        <v>3.1660119999999998</v>
      </c>
      <c r="AQ326">
        <f ca="1"/>
        <v>2.4494370000000001</v>
      </c>
      <c r="AR326">
        <f ca="1"/>
        <v>7.6106980085581277</v>
      </c>
      <c r="AS326">
        <f ca="1"/>
        <v>0.88865499999999997</v>
      </c>
      <c r="AT326">
        <f ca="1"/>
        <v>2.3008510000000002</v>
      </c>
      <c r="AU326">
        <f ca="1"/>
        <v>3.1987130000000001</v>
      </c>
    </row>
    <row r="327" spans="1:47">
      <c r="A327" s="43">
        <f>TBL_TEV[[#This Row],[Data2]]</f>
        <v>45754</v>
      </c>
      <c r="B327" cm="1">
        <f t="array" ref="B327">_xlfn.XLOOKUP(_xlfn.ANCHORARRAY(A327), TBL_Limiti_CDA[Data], TBL_Limiti_CDA[Etica Rendita Bilanciata], , -1)</f>
        <v>1.75</v>
      </c>
      <c r="C327" cm="1">
        <f t="array" ref="C327">_xlfn.XLOOKUP(_xlfn.ANCHORARRAY(A327), TBL_Limiti_CDA[Data], TBL_Limiti_CDA[Etica Obbligazionario Breve Termine], , -1)</f>
        <v>0.5</v>
      </c>
      <c r="D327" cm="1">
        <f t="array" ref="D327">_xlfn.XLOOKUP(_xlfn.ANCHORARRAY(A327), TBL_Limiti_CDA[Data], TBL_Limiti_CDA[Etica Obbligazionario Misto], , -1)</f>
        <v>1</v>
      </c>
      <c r="E327" cm="1">
        <f t="array" ref="E327">_xlfn.XLOOKUP(_xlfn.ANCHORARRAY(A327), TBL_Limiti_CDA[Data], TBL_Limiti_CDA[Etica Bilanciato], , -1)</f>
        <v>3</v>
      </c>
      <c r="F327" cm="1">
        <f t="array" ref="F327">_xlfn.XLOOKUP(_xlfn.ANCHORARRAY(A327), TBL_Limiti_CDA[Data], TBL_Limiti_CDA[Etica Azionario], , -1)</f>
        <v>4.5</v>
      </c>
      <c r="G327" cm="1">
        <f t="array" ref="G327">_xlfn.XLOOKUP(_xlfn.ANCHORARRAY(A327), TBL_Limiti_CDA[Data], TBL_Limiti_CDA[Etica Transizione Climatica], , -1)</f>
        <v>2.75</v>
      </c>
      <c r="H327" cm="1">
        <f t="array" ref="H327">_xlfn.XLOOKUP(_xlfn.ANCHORARRAY(A327), TBL_Limiti_CDA[Data], TBL_Limiti_CDA[Etica Obiettivo Sociale], , -1)</f>
        <v>9.99</v>
      </c>
      <c r="I327" cm="1">
        <f t="array" ref="I327">_xlfn.XLOOKUP(_xlfn.ANCHORARRAY(A327), TBL_Limiti_CDA[Data], TBL_Limiti_CDA[Etica Conservative Allocation], , -1)</f>
        <v>1</v>
      </c>
      <c r="J327" cm="1">
        <f t="array" ref="J327">_xlfn.XLOOKUP(_xlfn.ANCHORARRAY(A327), TBL_Limiti_CDA[Data], TBL_Limiti_CDA[Etica Dynamic Allocation], , -1)</f>
        <v>3</v>
      </c>
      <c r="K327" cm="1">
        <f t="array" ref="K327">_xlfn.XLOOKUP(_xlfn.ANCHORARRAY(A327), TBL_Limiti_CDA[Data], TBL_Limiti_CDA[Etica Global Equity], , -1)</f>
        <v>4.5</v>
      </c>
      <c r="L327" cm="1">
        <f t="array" ref="L327">_xlfn.ANCHORARRAY(B327)+0.15</f>
        <v>1.9</v>
      </c>
      <c r="M327" cm="1">
        <f t="array" ref="M327">_xlfn.ANCHORARRAY(C327)+0.1</f>
        <v>0.6</v>
      </c>
      <c r="N327" cm="1">
        <f t="array" ref="N327">_xlfn.ANCHORARRAY(D327)+0.15</f>
        <v>1.1499999999999999</v>
      </c>
      <c r="O327" cm="1">
        <f t="array" ref="O327">_xlfn.ANCHORARRAY(E327)+0.15</f>
        <v>3.15</v>
      </c>
      <c r="P327" cm="1">
        <f t="array" ref="P327">_xlfn.ANCHORARRAY(F327)+0.15</f>
        <v>4.6500000000000004</v>
      </c>
      <c r="Q327" cm="1">
        <f t="array" ref="Q327">_xlfn.ANCHORARRAY(G327)+0.15</f>
        <v>2.9</v>
      </c>
      <c r="R327" cm="1">
        <f t="array" ref="R327">_xlfn.ANCHORARRAY(H327)</f>
        <v>9.99</v>
      </c>
      <c r="S327" cm="1">
        <f t="array" ref="S327">_xlfn.ANCHORARRAY(R327)+0.15</f>
        <v>10.14</v>
      </c>
      <c r="T327" cm="1">
        <f t="array" ref="T327">_xlfn.ANCHORARRAY(I327)+0.15</f>
        <v>1.1499999999999999</v>
      </c>
      <c r="U327" cm="1">
        <f t="array" ref="U327">_xlfn.ANCHORARRAY(J327)+0.15</f>
        <v>3.15</v>
      </c>
      <c r="V327" cm="1">
        <f t="array" ref="V327">_xlfn.ANCHORARRAY(K327)+0.15</f>
        <v>4.6500000000000004</v>
      </c>
      <c r="W327">
        <f>TBL_TEV[[#This Row],[Etica Rendita Bilanciata]]</f>
        <v>1.728575</v>
      </c>
      <c r="X327">
        <f>TBL_TEV[[#This Row],[Etica Obbligazionario Breve Termine]]</f>
        <v>0.33066600000000002</v>
      </c>
      <c r="Y327">
        <f>TBL_TEV[[#This Row],[Etica Obbligazionario Misto]]</f>
        <v>0.78737599999999996</v>
      </c>
      <c r="Z327">
        <f>TBL_TEV[[#This Row],[Etica Bilanciato]]</f>
        <v>2.225765</v>
      </c>
      <c r="AA327">
        <f>TBL_TEV[[#This Row],[Etica Azionario]]</f>
        <v>3.1660119999999998</v>
      </c>
      <c r="AB327">
        <f>TBL_TEV[[#This Row],[Etica Transizione Climatica]]</f>
        <v>2.4494370000000001</v>
      </c>
      <c r="AC327">
        <f>TBL_TEV[[#This Row],[Etica Obiettivo Sociale]]</f>
        <v>7.6106980085581277</v>
      </c>
      <c r="AD327">
        <f>TBL_TEV[[#This Row],[Etica Conservative Allocation]]</f>
        <v>0.88865499999999997</v>
      </c>
      <c r="AE327">
        <f>TBL_TEV[[#This Row],[Etica Dynamic Allocation]]</f>
        <v>2.3008510000000002</v>
      </c>
      <c r="AF327">
        <f>TBL_TEV[[#This Row],[Etica Global Equity]]</f>
        <v>3.1987130000000001</v>
      </c>
      <c r="AL327">
        <f ca="1"/>
        <v>1.7139709999999999</v>
      </c>
      <c r="AM327">
        <f ca="1"/>
        <v>0.32780900000000002</v>
      </c>
      <c r="AN327">
        <f ca="1"/>
        <v>0.78213699999999997</v>
      </c>
      <c r="AO327">
        <f ca="1"/>
        <v>2.2049690000000002</v>
      </c>
      <c r="AP327">
        <f ca="1"/>
        <v>3.1355330000000001</v>
      </c>
      <c r="AQ327">
        <f ca="1"/>
        <v>2.4280059999999999</v>
      </c>
      <c r="AR327">
        <f ca="1"/>
        <v>7.8052518340757944</v>
      </c>
      <c r="AS327">
        <f ca="1"/>
        <v>0.88611499999999999</v>
      </c>
      <c r="AT327">
        <f ca="1"/>
        <v>2.280214</v>
      </c>
      <c r="AU327">
        <f ca="1"/>
        <v>3.168393</v>
      </c>
    </row>
    <row r="328" spans="1:47">
      <c r="A328" s="43">
        <f>TBL_TEV[[#This Row],[Data2]]</f>
        <v>45755</v>
      </c>
      <c r="B328" cm="1">
        <f t="array" ref="B328">_xlfn.XLOOKUP(_xlfn.ANCHORARRAY(A328), TBL_Limiti_CDA[Data], TBL_Limiti_CDA[Etica Rendita Bilanciata], , -1)</f>
        <v>1.75</v>
      </c>
      <c r="C328" cm="1">
        <f t="array" ref="C328">_xlfn.XLOOKUP(_xlfn.ANCHORARRAY(A328), TBL_Limiti_CDA[Data], TBL_Limiti_CDA[Etica Obbligazionario Breve Termine], , -1)</f>
        <v>0.5</v>
      </c>
      <c r="D328" cm="1">
        <f t="array" ref="D328">_xlfn.XLOOKUP(_xlfn.ANCHORARRAY(A328), TBL_Limiti_CDA[Data], TBL_Limiti_CDA[Etica Obbligazionario Misto], , -1)</f>
        <v>1</v>
      </c>
      <c r="E328" cm="1">
        <f t="array" ref="E328">_xlfn.XLOOKUP(_xlfn.ANCHORARRAY(A328), TBL_Limiti_CDA[Data], TBL_Limiti_CDA[Etica Bilanciato], , -1)</f>
        <v>3</v>
      </c>
      <c r="F328" cm="1">
        <f t="array" ref="F328">_xlfn.XLOOKUP(_xlfn.ANCHORARRAY(A328), TBL_Limiti_CDA[Data], TBL_Limiti_CDA[Etica Azionario], , -1)</f>
        <v>4.5</v>
      </c>
      <c r="G328" cm="1">
        <f t="array" ref="G328">_xlfn.XLOOKUP(_xlfn.ANCHORARRAY(A328), TBL_Limiti_CDA[Data], TBL_Limiti_CDA[Etica Transizione Climatica], , -1)</f>
        <v>2.75</v>
      </c>
      <c r="H328" cm="1">
        <f t="array" ref="H328">_xlfn.XLOOKUP(_xlfn.ANCHORARRAY(A328), TBL_Limiti_CDA[Data], TBL_Limiti_CDA[Etica Obiettivo Sociale], , -1)</f>
        <v>9.99</v>
      </c>
      <c r="I328" cm="1">
        <f t="array" ref="I328">_xlfn.XLOOKUP(_xlfn.ANCHORARRAY(A328), TBL_Limiti_CDA[Data], TBL_Limiti_CDA[Etica Conservative Allocation], , -1)</f>
        <v>1</v>
      </c>
      <c r="J328" cm="1">
        <f t="array" ref="J328">_xlfn.XLOOKUP(_xlfn.ANCHORARRAY(A328), TBL_Limiti_CDA[Data], TBL_Limiti_CDA[Etica Dynamic Allocation], , -1)</f>
        <v>3</v>
      </c>
      <c r="K328" cm="1">
        <f t="array" ref="K328">_xlfn.XLOOKUP(_xlfn.ANCHORARRAY(A328), TBL_Limiti_CDA[Data], TBL_Limiti_CDA[Etica Global Equity], , -1)</f>
        <v>4.5</v>
      </c>
      <c r="L328" cm="1">
        <f t="array" ref="L328">_xlfn.ANCHORARRAY(B328)+0.15</f>
        <v>1.9</v>
      </c>
      <c r="M328" cm="1">
        <f t="array" ref="M328">_xlfn.ANCHORARRAY(C328)+0.1</f>
        <v>0.6</v>
      </c>
      <c r="N328" cm="1">
        <f t="array" ref="N328">_xlfn.ANCHORARRAY(D328)+0.15</f>
        <v>1.1499999999999999</v>
      </c>
      <c r="O328" cm="1">
        <f t="array" ref="O328">_xlfn.ANCHORARRAY(E328)+0.15</f>
        <v>3.15</v>
      </c>
      <c r="P328" cm="1">
        <f t="array" ref="P328">_xlfn.ANCHORARRAY(F328)+0.15</f>
        <v>4.6500000000000004</v>
      </c>
      <c r="Q328" cm="1">
        <f t="array" ref="Q328">_xlfn.ANCHORARRAY(G328)+0.15</f>
        <v>2.9</v>
      </c>
      <c r="R328" cm="1">
        <f t="array" ref="R328">_xlfn.ANCHORARRAY(H328)</f>
        <v>9.99</v>
      </c>
      <c r="S328" cm="1">
        <f t="array" ref="S328">_xlfn.ANCHORARRAY(R328)+0.15</f>
        <v>10.14</v>
      </c>
      <c r="T328" cm="1">
        <f t="array" ref="T328">_xlfn.ANCHORARRAY(I328)+0.15</f>
        <v>1.1499999999999999</v>
      </c>
      <c r="U328" cm="1">
        <f t="array" ref="U328">_xlfn.ANCHORARRAY(J328)+0.15</f>
        <v>3.15</v>
      </c>
      <c r="V328" cm="1">
        <f t="array" ref="V328">_xlfn.ANCHORARRAY(K328)+0.15</f>
        <v>4.6500000000000004</v>
      </c>
      <c r="W328">
        <f>TBL_TEV[[#This Row],[Etica Rendita Bilanciata]]</f>
        <v>1.7139709999999999</v>
      </c>
      <c r="X328">
        <f>TBL_TEV[[#This Row],[Etica Obbligazionario Breve Termine]]</f>
        <v>0.32780900000000002</v>
      </c>
      <c r="Y328">
        <f>TBL_TEV[[#This Row],[Etica Obbligazionario Misto]]</f>
        <v>0.78213699999999997</v>
      </c>
      <c r="Z328">
        <f>TBL_TEV[[#This Row],[Etica Bilanciato]]</f>
        <v>2.2049690000000002</v>
      </c>
      <c r="AA328">
        <f>TBL_TEV[[#This Row],[Etica Azionario]]</f>
        <v>3.1355330000000001</v>
      </c>
      <c r="AB328">
        <f>TBL_TEV[[#This Row],[Etica Transizione Climatica]]</f>
        <v>2.4280059999999999</v>
      </c>
      <c r="AC328">
        <f>TBL_TEV[[#This Row],[Etica Obiettivo Sociale]]</f>
        <v>7.8052518340757944</v>
      </c>
      <c r="AD328">
        <f>TBL_TEV[[#This Row],[Etica Conservative Allocation]]</f>
        <v>0.88611499999999999</v>
      </c>
      <c r="AE328">
        <f>TBL_TEV[[#This Row],[Etica Dynamic Allocation]]</f>
        <v>2.280214</v>
      </c>
      <c r="AF328">
        <f>TBL_TEV[[#This Row],[Etica Global Equity]]</f>
        <v>3.168393</v>
      </c>
      <c r="AL328">
        <f ca="1"/>
        <v>1.902242</v>
      </c>
      <c r="AM328">
        <f ca="1"/>
        <v>0.32384000000000002</v>
      </c>
      <c r="AN328">
        <f ca="1"/>
        <v>0.84277800000000003</v>
      </c>
      <c r="AO328">
        <f ca="1"/>
        <v>2.294184</v>
      </c>
      <c r="AP328">
        <f ca="1"/>
        <v>3.2942779999999998</v>
      </c>
      <c r="AQ328">
        <f ca="1"/>
        <v>2.606277</v>
      </c>
      <c r="AR328">
        <f ca="1"/>
        <v>9.1259998211888806</v>
      </c>
      <c r="AS328">
        <f ca="1"/>
        <v>0.92135599999999995</v>
      </c>
      <c r="AT328">
        <f ca="1"/>
        <v>2.3186309999999999</v>
      </c>
      <c r="AU328">
        <f ca="1"/>
        <v>3.3542839999999998</v>
      </c>
    </row>
    <row r="329" spans="1:47">
      <c r="A329" s="43">
        <f>TBL_TEV[[#This Row],[Data2]]</f>
        <v>45756</v>
      </c>
      <c r="B329" cm="1">
        <f t="array" ref="B329">_xlfn.XLOOKUP(_xlfn.ANCHORARRAY(A329), TBL_Limiti_CDA[Data], TBL_Limiti_CDA[Etica Rendita Bilanciata], , -1)</f>
        <v>1.75</v>
      </c>
      <c r="C329" cm="1">
        <f t="array" ref="C329">_xlfn.XLOOKUP(_xlfn.ANCHORARRAY(A329), TBL_Limiti_CDA[Data], TBL_Limiti_CDA[Etica Obbligazionario Breve Termine], , -1)</f>
        <v>0.5</v>
      </c>
      <c r="D329" cm="1">
        <f t="array" ref="D329">_xlfn.XLOOKUP(_xlfn.ANCHORARRAY(A329), TBL_Limiti_CDA[Data], TBL_Limiti_CDA[Etica Obbligazionario Misto], , -1)</f>
        <v>1</v>
      </c>
      <c r="E329" cm="1">
        <f t="array" ref="E329">_xlfn.XLOOKUP(_xlfn.ANCHORARRAY(A329), TBL_Limiti_CDA[Data], TBL_Limiti_CDA[Etica Bilanciato], , -1)</f>
        <v>3</v>
      </c>
      <c r="F329" cm="1">
        <f t="array" ref="F329">_xlfn.XLOOKUP(_xlfn.ANCHORARRAY(A329), TBL_Limiti_CDA[Data], TBL_Limiti_CDA[Etica Azionario], , -1)</f>
        <v>4.5</v>
      </c>
      <c r="G329" cm="1">
        <f t="array" ref="G329">_xlfn.XLOOKUP(_xlfn.ANCHORARRAY(A329), TBL_Limiti_CDA[Data], TBL_Limiti_CDA[Etica Transizione Climatica], , -1)</f>
        <v>2.75</v>
      </c>
      <c r="H329" cm="1">
        <f t="array" ref="H329">_xlfn.XLOOKUP(_xlfn.ANCHORARRAY(A329), TBL_Limiti_CDA[Data], TBL_Limiti_CDA[Etica Obiettivo Sociale], , -1)</f>
        <v>9.99</v>
      </c>
      <c r="I329" cm="1">
        <f t="array" ref="I329">_xlfn.XLOOKUP(_xlfn.ANCHORARRAY(A329), TBL_Limiti_CDA[Data], TBL_Limiti_CDA[Etica Conservative Allocation], , -1)</f>
        <v>1</v>
      </c>
      <c r="J329" cm="1">
        <f t="array" ref="J329">_xlfn.XLOOKUP(_xlfn.ANCHORARRAY(A329), TBL_Limiti_CDA[Data], TBL_Limiti_CDA[Etica Dynamic Allocation], , -1)</f>
        <v>3</v>
      </c>
      <c r="K329" cm="1">
        <f t="array" ref="K329">_xlfn.XLOOKUP(_xlfn.ANCHORARRAY(A329), TBL_Limiti_CDA[Data], TBL_Limiti_CDA[Etica Global Equity], , -1)</f>
        <v>4.5</v>
      </c>
      <c r="L329" cm="1">
        <f t="array" ref="L329">_xlfn.ANCHORARRAY(B329)+0.15</f>
        <v>1.9</v>
      </c>
      <c r="M329" cm="1">
        <f t="array" ref="M329">_xlfn.ANCHORARRAY(C329)+0.1</f>
        <v>0.6</v>
      </c>
      <c r="N329" cm="1">
        <f t="array" ref="N329">_xlfn.ANCHORARRAY(D329)+0.15</f>
        <v>1.1499999999999999</v>
      </c>
      <c r="O329" cm="1">
        <f t="array" ref="O329">_xlfn.ANCHORARRAY(E329)+0.15</f>
        <v>3.15</v>
      </c>
      <c r="P329" cm="1">
        <f t="array" ref="P329">_xlfn.ANCHORARRAY(F329)+0.15</f>
        <v>4.6500000000000004</v>
      </c>
      <c r="Q329" cm="1">
        <f t="array" ref="Q329">_xlfn.ANCHORARRAY(G329)+0.15</f>
        <v>2.9</v>
      </c>
      <c r="R329" cm="1">
        <f t="array" ref="R329">_xlfn.ANCHORARRAY(H329)</f>
        <v>9.99</v>
      </c>
      <c r="S329" cm="1">
        <f t="array" ref="S329">_xlfn.ANCHORARRAY(R329)+0.15</f>
        <v>10.14</v>
      </c>
      <c r="T329" cm="1">
        <f t="array" ref="T329">_xlfn.ANCHORARRAY(I329)+0.15</f>
        <v>1.1499999999999999</v>
      </c>
      <c r="U329" cm="1">
        <f t="array" ref="U329">_xlfn.ANCHORARRAY(J329)+0.15</f>
        <v>3.15</v>
      </c>
      <c r="V329" cm="1">
        <f t="array" ref="V329">_xlfn.ANCHORARRAY(K329)+0.15</f>
        <v>4.6500000000000004</v>
      </c>
      <c r="W329">
        <f>TBL_TEV[[#This Row],[Etica Rendita Bilanciata]]</f>
        <v>1.902242</v>
      </c>
      <c r="X329">
        <f>TBL_TEV[[#This Row],[Etica Obbligazionario Breve Termine]]</f>
        <v>0.32384000000000002</v>
      </c>
      <c r="Y329">
        <f>TBL_TEV[[#This Row],[Etica Obbligazionario Misto]]</f>
        <v>0.84277800000000003</v>
      </c>
      <c r="Z329">
        <f>TBL_TEV[[#This Row],[Etica Bilanciato]]</f>
        <v>2.294184</v>
      </c>
      <c r="AA329">
        <f>TBL_TEV[[#This Row],[Etica Azionario]]</f>
        <v>3.2942779999999998</v>
      </c>
      <c r="AB329">
        <f>TBL_TEV[[#This Row],[Etica Transizione Climatica]]</f>
        <v>2.606277</v>
      </c>
      <c r="AC329">
        <f>TBL_TEV[[#This Row],[Etica Obiettivo Sociale]]</f>
        <v>9.1259998211888806</v>
      </c>
      <c r="AD329">
        <f>TBL_TEV[[#This Row],[Etica Conservative Allocation]]</f>
        <v>0.92135599999999995</v>
      </c>
      <c r="AE329">
        <f>TBL_TEV[[#This Row],[Etica Dynamic Allocation]]</f>
        <v>2.3186309999999999</v>
      </c>
      <c r="AF329">
        <f>TBL_TEV[[#This Row],[Etica Global Equity]]</f>
        <v>3.3542839999999998</v>
      </c>
      <c r="AL329">
        <f ca="1"/>
        <v>1.9749479999999999</v>
      </c>
      <c r="AM329">
        <f ca="1"/>
        <v>0.322411</v>
      </c>
      <c r="AN329">
        <f ca="1"/>
        <v>0.87992400000000004</v>
      </c>
      <c r="AO329">
        <f ca="1"/>
        <v>2.2919610000000001</v>
      </c>
      <c r="AP329">
        <f ca="1"/>
        <v>3.2495120000000002</v>
      </c>
      <c r="AQ329">
        <f ca="1"/>
        <v>2.6173890000000002</v>
      </c>
      <c r="AR329">
        <f ca="1"/>
        <v>9.1148689913800958</v>
      </c>
      <c r="AS329">
        <f ca="1"/>
        <v>0.95501000000000003</v>
      </c>
      <c r="AT329">
        <f ca="1"/>
        <v>2.3011689999999998</v>
      </c>
      <c r="AU329">
        <f ca="1"/>
        <v>3.3233280000000001</v>
      </c>
    </row>
    <row r="330" spans="1:47">
      <c r="A330" s="43">
        <f>TBL_TEV[[#This Row],[Data2]]</f>
        <v>45757</v>
      </c>
      <c r="B330" cm="1">
        <f t="array" ref="B330">_xlfn.XLOOKUP(_xlfn.ANCHORARRAY(A330), TBL_Limiti_CDA[Data], TBL_Limiti_CDA[Etica Rendita Bilanciata], , -1)</f>
        <v>1.75</v>
      </c>
      <c r="C330" cm="1">
        <f t="array" ref="C330">_xlfn.XLOOKUP(_xlfn.ANCHORARRAY(A330), TBL_Limiti_CDA[Data], TBL_Limiti_CDA[Etica Obbligazionario Breve Termine], , -1)</f>
        <v>0.5</v>
      </c>
      <c r="D330" cm="1">
        <f t="array" ref="D330">_xlfn.XLOOKUP(_xlfn.ANCHORARRAY(A330), TBL_Limiti_CDA[Data], TBL_Limiti_CDA[Etica Obbligazionario Misto], , -1)</f>
        <v>1</v>
      </c>
      <c r="E330" cm="1">
        <f t="array" ref="E330">_xlfn.XLOOKUP(_xlfn.ANCHORARRAY(A330), TBL_Limiti_CDA[Data], TBL_Limiti_CDA[Etica Bilanciato], , -1)</f>
        <v>3</v>
      </c>
      <c r="F330" cm="1">
        <f t="array" ref="F330">_xlfn.XLOOKUP(_xlfn.ANCHORARRAY(A330), TBL_Limiti_CDA[Data], TBL_Limiti_CDA[Etica Azionario], , -1)</f>
        <v>4.5</v>
      </c>
      <c r="G330" cm="1">
        <f t="array" ref="G330">_xlfn.XLOOKUP(_xlfn.ANCHORARRAY(A330), TBL_Limiti_CDA[Data], TBL_Limiti_CDA[Etica Transizione Climatica], , -1)</f>
        <v>2.75</v>
      </c>
      <c r="H330" cm="1">
        <f t="array" ref="H330">_xlfn.XLOOKUP(_xlfn.ANCHORARRAY(A330), TBL_Limiti_CDA[Data], TBL_Limiti_CDA[Etica Obiettivo Sociale], , -1)</f>
        <v>9.99</v>
      </c>
      <c r="I330" cm="1">
        <f t="array" ref="I330">_xlfn.XLOOKUP(_xlfn.ANCHORARRAY(A330), TBL_Limiti_CDA[Data], TBL_Limiti_CDA[Etica Conservative Allocation], , -1)</f>
        <v>1</v>
      </c>
      <c r="J330" cm="1">
        <f t="array" ref="J330">_xlfn.XLOOKUP(_xlfn.ANCHORARRAY(A330), TBL_Limiti_CDA[Data], TBL_Limiti_CDA[Etica Dynamic Allocation], , -1)</f>
        <v>3</v>
      </c>
      <c r="K330" cm="1">
        <f t="array" ref="K330">_xlfn.XLOOKUP(_xlfn.ANCHORARRAY(A330), TBL_Limiti_CDA[Data], TBL_Limiti_CDA[Etica Global Equity], , -1)</f>
        <v>4.5</v>
      </c>
      <c r="L330" cm="1">
        <f t="array" ref="L330">_xlfn.ANCHORARRAY(B330)+0.15</f>
        <v>1.9</v>
      </c>
      <c r="M330" cm="1">
        <f t="array" ref="M330">_xlfn.ANCHORARRAY(C330)+0.1</f>
        <v>0.6</v>
      </c>
      <c r="N330" cm="1">
        <f t="array" ref="N330">_xlfn.ANCHORARRAY(D330)+0.15</f>
        <v>1.1499999999999999</v>
      </c>
      <c r="O330" cm="1">
        <f t="array" ref="O330">_xlfn.ANCHORARRAY(E330)+0.15</f>
        <v>3.15</v>
      </c>
      <c r="P330" cm="1">
        <f t="array" ref="P330">_xlfn.ANCHORARRAY(F330)+0.15</f>
        <v>4.6500000000000004</v>
      </c>
      <c r="Q330" cm="1">
        <f t="array" ref="Q330">_xlfn.ANCHORARRAY(G330)+0.15</f>
        <v>2.9</v>
      </c>
      <c r="R330" cm="1">
        <f t="array" ref="R330">_xlfn.ANCHORARRAY(H330)</f>
        <v>9.99</v>
      </c>
      <c r="S330" cm="1">
        <f t="array" ref="S330">_xlfn.ANCHORARRAY(R330)+0.15</f>
        <v>10.14</v>
      </c>
      <c r="T330" cm="1">
        <f t="array" ref="T330">_xlfn.ANCHORARRAY(I330)+0.15</f>
        <v>1.1499999999999999</v>
      </c>
      <c r="U330" cm="1">
        <f t="array" ref="U330">_xlfn.ANCHORARRAY(J330)+0.15</f>
        <v>3.15</v>
      </c>
      <c r="V330" cm="1">
        <f t="array" ref="V330">_xlfn.ANCHORARRAY(K330)+0.15</f>
        <v>4.6500000000000004</v>
      </c>
      <c r="W330">
        <f>TBL_TEV[[#This Row],[Etica Rendita Bilanciata]]</f>
        <v>1.9749479999999999</v>
      </c>
      <c r="X330">
        <f>TBL_TEV[[#This Row],[Etica Obbligazionario Breve Termine]]</f>
        <v>0.322411</v>
      </c>
      <c r="Y330">
        <f>TBL_TEV[[#This Row],[Etica Obbligazionario Misto]]</f>
        <v>0.87992400000000004</v>
      </c>
      <c r="Z330">
        <f>TBL_TEV[[#This Row],[Etica Bilanciato]]</f>
        <v>2.2919610000000001</v>
      </c>
      <c r="AA330">
        <f>TBL_TEV[[#This Row],[Etica Azionario]]</f>
        <v>3.2495120000000002</v>
      </c>
      <c r="AB330">
        <f>TBL_TEV[[#This Row],[Etica Transizione Climatica]]</f>
        <v>2.6173890000000002</v>
      </c>
      <c r="AC330">
        <f>TBL_TEV[[#This Row],[Etica Obiettivo Sociale]]</f>
        <v>9.1148689913800958</v>
      </c>
      <c r="AD330">
        <f>TBL_TEV[[#This Row],[Etica Conservative Allocation]]</f>
        <v>0.95501000000000003</v>
      </c>
      <c r="AE330">
        <f>TBL_TEV[[#This Row],[Etica Dynamic Allocation]]</f>
        <v>2.3011689999999998</v>
      </c>
      <c r="AF330">
        <f>TBL_TEV[[#This Row],[Etica Global Equity]]</f>
        <v>3.3233280000000001</v>
      </c>
      <c r="AL330">
        <f ca="1"/>
        <v>1.9251020000000001</v>
      </c>
      <c r="AM330">
        <f ca="1"/>
        <v>0.32050600000000001</v>
      </c>
      <c r="AN330">
        <f ca="1"/>
        <v>0.89865600000000001</v>
      </c>
      <c r="AO330">
        <f ca="1"/>
        <v>2.3433950000000001</v>
      </c>
      <c r="AP330">
        <f ca="1"/>
        <v>3.3163429999999998</v>
      </c>
      <c r="AQ330">
        <f ca="1"/>
        <v>2.7175569999999998</v>
      </c>
      <c r="AR330">
        <f ca="1"/>
        <v>9.0753718350715467</v>
      </c>
      <c r="AS330">
        <f ca="1"/>
        <v>0.96612299999999995</v>
      </c>
      <c r="AT330">
        <f ca="1"/>
        <v>2.3435540000000001</v>
      </c>
      <c r="AU330">
        <f ca="1"/>
        <v>3.4160349999999999</v>
      </c>
    </row>
    <row r="331" spans="1:47">
      <c r="A331" s="43">
        <f>TBL_TEV[[#This Row],[Data2]]</f>
        <v>45758</v>
      </c>
      <c r="B331" cm="1">
        <f t="array" ref="B331">_xlfn.XLOOKUP(_xlfn.ANCHORARRAY(A331), TBL_Limiti_CDA[Data], TBL_Limiti_CDA[Etica Rendita Bilanciata], , -1)</f>
        <v>1.75</v>
      </c>
      <c r="C331" cm="1">
        <f t="array" ref="C331">_xlfn.XLOOKUP(_xlfn.ANCHORARRAY(A331), TBL_Limiti_CDA[Data], TBL_Limiti_CDA[Etica Obbligazionario Breve Termine], , -1)</f>
        <v>0.5</v>
      </c>
      <c r="D331" cm="1">
        <f t="array" ref="D331">_xlfn.XLOOKUP(_xlfn.ANCHORARRAY(A331), TBL_Limiti_CDA[Data], TBL_Limiti_CDA[Etica Obbligazionario Misto], , -1)</f>
        <v>1</v>
      </c>
      <c r="E331" cm="1">
        <f t="array" ref="E331">_xlfn.XLOOKUP(_xlfn.ANCHORARRAY(A331), TBL_Limiti_CDA[Data], TBL_Limiti_CDA[Etica Bilanciato], , -1)</f>
        <v>3</v>
      </c>
      <c r="F331" cm="1">
        <f t="array" ref="F331">_xlfn.XLOOKUP(_xlfn.ANCHORARRAY(A331), TBL_Limiti_CDA[Data], TBL_Limiti_CDA[Etica Azionario], , -1)</f>
        <v>4.5</v>
      </c>
      <c r="G331" cm="1">
        <f t="array" ref="G331">_xlfn.XLOOKUP(_xlfn.ANCHORARRAY(A331), TBL_Limiti_CDA[Data], TBL_Limiti_CDA[Etica Transizione Climatica], , -1)</f>
        <v>2.75</v>
      </c>
      <c r="H331" cm="1">
        <f t="array" ref="H331">_xlfn.XLOOKUP(_xlfn.ANCHORARRAY(A331), TBL_Limiti_CDA[Data], TBL_Limiti_CDA[Etica Obiettivo Sociale], , -1)</f>
        <v>9.99</v>
      </c>
      <c r="I331" cm="1">
        <f t="array" ref="I331">_xlfn.XLOOKUP(_xlfn.ANCHORARRAY(A331), TBL_Limiti_CDA[Data], TBL_Limiti_CDA[Etica Conservative Allocation], , -1)</f>
        <v>1</v>
      </c>
      <c r="J331" cm="1">
        <f t="array" ref="J331">_xlfn.XLOOKUP(_xlfn.ANCHORARRAY(A331), TBL_Limiti_CDA[Data], TBL_Limiti_CDA[Etica Dynamic Allocation], , -1)</f>
        <v>3</v>
      </c>
      <c r="K331" cm="1">
        <f t="array" ref="K331">_xlfn.XLOOKUP(_xlfn.ANCHORARRAY(A331), TBL_Limiti_CDA[Data], TBL_Limiti_CDA[Etica Global Equity], , -1)</f>
        <v>4.5</v>
      </c>
      <c r="L331" cm="1">
        <f t="array" ref="L331">_xlfn.ANCHORARRAY(B331)+0.15</f>
        <v>1.9</v>
      </c>
      <c r="M331" cm="1">
        <f t="array" ref="M331">_xlfn.ANCHORARRAY(C331)+0.1</f>
        <v>0.6</v>
      </c>
      <c r="N331" cm="1">
        <f t="array" ref="N331">_xlfn.ANCHORARRAY(D331)+0.15</f>
        <v>1.1499999999999999</v>
      </c>
      <c r="O331" cm="1">
        <f t="array" ref="O331">_xlfn.ANCHORARRAY(E331)+0.15</f>
        <v>3.15</v>
      </c>
      <c r="P331" cm="1">
        <f t="array" ref="P331">_xlfn.ANCHORARRAY(F331)+0.15</f>
        <v>4.6500000000000004</v>
      </c>
      <c r="Q331" cm="1">
        <f t="array" ref="Q331">_xlfn.ANCHORARRAY(G331)+0.15</f>
        <v>2.9</v>
      </c>
      <c r="R331" cm="1">
        <f t="array" ref="R331">_xlfn.ANCHORARRAY(H331)</f>
        <v>9.99</v>
      </c>
      <c r="S331" cm="1">
        <f t="array" ref="S331">_xlfn.ANCHORARRAY(R331)+0.15</f>
        <v>10.14</v>
      </c>
      <c r="T331" cm="1">
        <f t="array" ref="T331">_xlfn.ANCHORARRAY(I331)+0.15</f>
        <v>1.1499999999999999</v>
      </c>
      <c r="U331" cm="1">
        <f t="array" ref="U331">_xlfn.ANCHORARRAY(J331)+0.15</f>
        <v>3.15</v>
      </c>
      <c r="V331" cm="1">
        <f t="array" ref="V331">_xlfn.ANCHORARRAY(K331)+0.15</f>
        <v>4.6500000000000004</v>
      </c>
      <c r="W331">
        <f>TBL_TEV[[#This Row],[Etica Rendita Bilanciata]]</f>
        <v>1.9251020000000001</v>
      </c>
      <c r="X331">
        <f>TBL_TEV[[#This Row],[Etica Obbligazionario Breve Termine]]</f>
        <v>0.32050600000000001</v>
      </c>
      <c r="Y331">
        <f>TBL_TEV[[#This Row],[Etica Obbligazionario Misto]]</f>
        <v>0.89865600000000001</v>
      </c>
      <c r="Z331">
        <f>TBL_TEV[[#This Row],[Etica Bilanciato]]</f>
        <v>2.3433950000000001</v>
      </c>
      <c r="AA331">
        <f>TBL_TEV[[#This Row],[Etica Azionario]]</f>
        <v>3.3163429999999998</v>
      </c>
      <c r="AB331">
        <f>TBL_TEV[[#This Row],[Etica Transizione Climatica]]</f>
        <v>2.7175569999999998</v>
      </c>
      <c r="AC331">
        <f>TBL_TEV[[#This Row],[Etica Obiettivo Sociale]]</f>
        <v>9.0753718350715467</v>
      </c>
      <c r="AD331">
        <f>TBL_TEV[[#This Row],[Etica Conservative Allocation]]</f>
        <v>0.96612299999999995</v>
      </c>
      <c r="AE331">
        <f>TBL_TEV[[#This Row],[Etica Dynamic Allocation]]</f>
        <v>2.3435540000000001</v>
      </c>
      <c r="AF331">
        <f>TBL_TEV[[#This Row],[Etica Global Equity]]</f>
        <v>3.4160349999999999</v>
      </c>
      <c r="AL331">
        <f ca="1"/>
        <v>1.8496980000000001</v>
      </c>
      <c r="AM331">
        <f ca="1"/>
        <v>0.33828599999999998</v>
      </c>
      <c r="AN331">
        <f ca="1"/>
        <v>0.90310100000000004</v>
      </c>
      <c r="AO331">
        <f ca="1"/>
        <v>2.325933</v>
      </c>
      <c r="AP331">
        <f ca="1"/>
        <v>3.2936429999999999</v>
      </c>
      <c r="AQ331">
        <f ca="1"/>
        <v>2.6691400000000001</v>
      </c>
      <c r="AR331">
        <f ca="1"/>
        <v>8.9912283823524692</v>
      </c>
      <c r="AS331">
        <f ca="1"/>
        <v>0.97152000000000005</v>
      </c>
      <c r="AT331">
        <f ca="1"/>
        <v>2.325615</v>
      </c>
      <c r="AU331">
        <f ca="1"/>
        <v>3.384128</v>
      </c>
    </row>
    <row r="332" spans="1:47">
      <c r="A332" s="43">
        <f>TBL_TEV[[#This Row],[Data2]]</f>
        <v>45761</v>
      </c>
      <c r="B332" cm="1">
        <f t="array" ref="B332">_xlfn.XLOOKUP(_xlfn.ANCHORARRAY(A332), TBL_Limiti_CDA[Data], TBL_Limiti_CDA[Etica Rendita Bilanciata], , -1)</f>
        <v>1.75</v>
      </c>
      <c r="C332" cm="1">
        <f t="array" ref="C332">_xlfn.XLOOKUP(_xlfn.ANCHORARRAY(A332), TBL_Limiti_CDA[Data], TBL_Limiti_CDA[Etica Obbligazionario Breve Termine], , -1)</f>
        <v>0.5</v>
      </c>
      <c r="D332" cm="1">
        <f t="array" ref="D332">_xlfn.XLOOKUP(_xlfn.ANCHORARRAY(A332), TBL_Limiti_CDA[Data], TBL_Limiti_CDA[Etica Obbligazionario Misto], , -1)</f>
        <v>1</v>
      </c>
      <c r="E332" cm="1">
        <f t="array" ref="E332">_xlfn.XLOOKUP(_xlfn.ANCHORARRAY(A332), TBL_Limiti_CDA[Data], TBL_Limiti_CDA[Etica Bilanciato], , -1)</f>
        <v>3</v>
      </c>
      <c r="F332" cm="1">
        <f t="array" ref="F332">_xlfn.XLOOKUP(_xlfn.ANCHORARRAY(A332), TBL_Limiti_CDA[Data], TBL_Limiti_CDA[Etica Azionario], , -1)</f>
        <v>4.5</v>
      </c>
      <c r="G332" cm="1">
        <f t="array" ref="G332">_xlfn.XLOOKUP(_xlfn.ANCHORARRAY(A332), TBL_Limiti_CDA[Data], TBL_Limiti_CDA[Etica Transizione Climatica], , -1)</f>
        <v>2.75</v>
      </c>
      <c r="H332" cm="1">
        <f t="array" ref="H332">_xlfn.XLOOKUP(_xlfn.ANCHORARRAY(A332), TBL_Limiti_CDA[Data], TBL_Limiti_CDA[Etica Obiettivo Sociale], , -1)</f>
        <v>9.99</v>
      </c>
      <c r="I332" cm="1">
        <f t="array" ref="I332">_xlfn.XLOOKUP(_xlfn.ANCHORARRAY(A332), TBL_Limiti_CDA[Data], TBL_Limiti_CDA[Etica Conservative Allocation], , -1)</f>
        <v>1</v>
      </c>
      <c r="J332" cm="1">
        <f t="array" ref="J332">_xlfn.XLOOKUP(_xlfn.ANCHORARRAY(A332), TBL_Limiti_CDA[Data], TBL_Limiti_CDA[Etica Dynamic Allocation], , -1)</f>
        <v>3</v>
      </c>
      <c r="K332" cm="1">
        <f t="array" ref="K332">_xlfn.XLOOKUP(_xlfn.ANCHORARRAY(A332), TBL_Limiti_CDA[Data], TBL_Limiti_CDA[Etica Global Equity], , -1)</f>
        <v>4.5</v>
      </c>
      <c r="L332" cm="1">
        <f t="array" ref="L332">_xlfn.ANCHORARRAY(B332)+0.15</f>
        <v>1.9</v>
      </c>
      <c r="M332" cm="1">
        <f t="array" ref="M332">_xlfn.ANCHORARRAY(C332)+0.1</f>
        <v>0.6</v>
      </c>
      <c r="N332" cm="1">
        <f t="array" ref="N332">_xlfn.ANCHORARRAY(D332)+0.15</f>
        <v>1.1499999999999999</v>
      </c>
      <c r="O332" cm="1">
        <f t="array" ref="O332">_xlfn.ANCHORARRAY(E332)+0.15</f>
        <v>3.15</v>
      </c>
      <c r="P332" cm="1">
        <f t="array" ref="P332">_xlfn.ANCHORARRAY(F332)+0.15</f>
        <v>4.6500000000000004</v>
      </c>
      <c r="Q332" cm="1">
        <f t="array" ref="Q332">_xlfn.ANCHORARRAY(G332)+0.15</f>
        <v>2.9</v>
      </c>
      <c r="R332" cm="1">
        <f t="array" ref="R332">_xlfn.ANCHORARRAY(H332)</f>
        <v>9.99</v>
      </c>
      <c r="S332" cm="1">
        <f t="array" ref="S332">_xlfn.ANCHORARRAY(R332)+0.15</f>
        <v>10.14</v>
      </c>
      <c r="T332" cm="1">
        <f t="array" ref="T332">_xlfn.ANCHORARRAY(I332)+0.15</f>
        <v>1.1499999999999999</v>
      </c>
      <c r="U332" cm="1">
        <f t="array" ref="U332">_xlfn.ANCHORARRAY(J332)+0.15</f>
        <v>3.15</v>
      </c>
      <c r="V332" cm="1">
        <f t="array" ref="V332">_xlfn.ANCHORARRAY(K332)+0.15</f>
        <v>4.6500000000000004</v>
      </c>
      <c r="W332">
        <f>TBL_TEV[[#This Row],[Etica Rendita Bilanciata]]</f>
        <v>1.8496980000000001</v>
      </c>
      <c r="X332">
        <f>TBL_TEV[[#This Row],[Etica Obbligazionario Breve Termine]]</f>
        <v>0.33828599999999998</v>
      </c>
      <c r="Y332">
        <f>TBL_TEV[[#This Row],[Etica Obbligazionario Misto]]</f>
        <v>0.90310100000000004</v>
      </c>
      <c r="Z332">
        <f>TBL_TEV[[#This Row],[Etica Bilanciato]]</f>
        <v>2.325933</v>
      </c>
      <c r="AA332">
        <f>TBL_TEV[[#This Row],[Etica Azionario]]</f>
        <v>3.2936429999999999</v>
      </c>
      <c r="AB332">
        <f>TBL_TEV[[#This Row],[Etica Transizione Climatica]]</f>
        <v>2.6691400000000001</v>
      </c>
      <c r="AC332">
        <f>TBL_TEV[[#This Row],[Etica Obiettivo Sociale]]</f>
        <v>8.9912283823524692</v>
      </c>
      <c r="AD332">
        <f>TBL_TEV[[#This Row],[Etica Conservative Allocation]]</f>
        <v>0.97152000000000005</v>
      </c>
      <c r="AE332">
        <f>TBL_TEV[[#This Row],[Etica Dynamic Allocation]]</f>
        <v>2.325615</v>
      </c>
      <c r="AF332">
        <f>TBL_TEV[[#This Row],[Etica Global Equity]]</f>
        <v>3.384128</v>
      </c>
      <c r="AL332">
        <f ca="1"/>
        <v>1.835569</v>
      </c>
      <c r="AM332">
        <f ca="1"/>
        <v>0.33685700000000002</v>
      </c>
      <c r="AN332">
        <f ca="1"/>
        <v>0.90103699999999998</v>
      </c>
      <c r="AO332">
        <f ca="1"/>
        <v>2.3065660000000001</v>
      </c>
      <c r="AP332">
        <f ca="1"/>
        <v>3.2774510000000001</v>
      </c>
      <c r="AQ332">
        <f ca="1"/>
        <v>2.655011</v>
      </c>
      <c r="AR332">
        <f ca="1"/>
        <v>8.9704813615047705</v>
      </c>
      <c r="AS332">
        <f ca="1"/>
        <v>0.96342399999999995</v>
      </c>
      <c r="AT332">
        <f ca="1"/>
        <v>2.3132329999999999</v>
      </c>
      <c r="AU332">
        <f ca="1"/>
        <v>3.370317</v>
      </c>
    </row>
    <row r="333" spans="1:47">
      <c r="A333" s="43">
        <f>TBL_TEV[[#This Row],[Data2]]</f>
        <v>45762</v>
      </c>
      <c r="B333" cm="1">
        <f t="array" ref="B333">_xlfn.XLOOKUP(_xlfn.ANCHORARRAY(A333), TBL_Limiti_CDA[Data], TBL_Limiti_CDA[Etica Rendita Bilanciata], , -1)</f>
        <v>1.75</v>
      </c>
      <c r="C333" cm="1">
        <f t="array" ref="C333">_xlfn.XLOOKUP(_xlfn.ANCHORARRAY(A333), TBL_Limiti_CDA[Data], TBL_Limiti_CDA[Etica Obbligazionario Breve Termine], , -1)</f>
        <v>0.5</v>
      </c>
      <c r="D333" cm="1">
        <f t="array" ref="D333">_xlfn.XLOOKUP(_xlfn.ANCHORARRAY(A333), TBL_Limiti_CDA[Data], TBL_Limiti_CDA[Etica Obbligazionario Misto], , -1)</f>
        <v>1</v>
      </c>
      <c r="E333" cm="1">
        <f t="array" ref="E333">_xlfn.XLOOKUP(_xlfn.ANCHORARRAY(A333), TBL_Limiti_CDA[Data], TBL_Limiti_CDA[Etica Bilanciato], , -1)</f>
        <v>3</v>
      </c>
      <c r="F333" cm="1">
        <f t="array" ref="F333">_xlfn.XLOOKUP(_xlfn.ANCHORARRAY(A333), TBL_Limiti_CDA[Data], TBL_Limiti_CDA[Etica Azionario], , -1)</f>
        <v>4.5</v>
      </c>
      <c r="G333" cm="1">
        <f t="array" ref="G333">_xlfn.XLOOKUP(_xlfn.ANCHORARRAY(A333), TBL_Limiti_CDA[Data], TBL_Limiti_CDA[Etica Transizione Climatica], , -1)</f>
        <v>2.75</v>
      </c>
      <c r="H333" cm="1">
        <f t="array" ref="H333">_xlfn.XLOOKUP(_xlfn.ANCHORARRAY(A333), TBL_Limiti_CDA[Data], TBL_Limiti_CDA[Etica Obiettivo Sociale], , -1)</f>
        <v>9.99</v>
      </c>
      <c r="I333" cm="1">
        <f t="array" ref="I333">_xlfn.XLOOKUP(_xlfn.ANCHORARRAY(A333), TBL_Limiti_CDA[Data], TBL_Limiti_CDA[Etica Conservative Allocation], , -1)</f>
        <v>1</v>
      </c>
      <c r="J333" cm="1">
        <f t="array" ref="J333">_xlfn.XLOOKUP(_xlfn.ANCHORARRAY(A333), TBL_Limiti_CDA[Data], TBL_Limiti_CDA[Etica Dynamic Allocation], , -1)</f>
        <v>3</v>
      </c>
      <c r="K333" cm="1">
        <f t="array" ref="K333">_xlfn.XLOOKUP(_xlfn.ANCHORARRAY(A333), TBL_Limiti_CDA[Data], TBL_Limiti_CDA[Etica Global Equity], , -1)</f>
        <v>4.5</v>
      </c>
      <c r="L333" cm="1">
        <f t="array" ref="L333">_xlfn.ANCHORARRAY(B333)+0.15</f>
        <v>1.9</v>
      </c>
      <c r="M333" cm="1">
        <f t="array" ref="M333">_xlfn.ANCHORARRAY(C333)+0.1</f>
        <v>0.6</v>
      </c>
      <c r="N333" cm="1">
        <f t="array" ref="N333">_xlfn.ANCHORARRAY(D333)+0.15</f>
        <v>1.1499999999999999</v>
      </c>
      <c r="O333" cm="1">
        <f t="array" ref="O333">_xlfn.ANCHORARRAY(E333)+0.15</f>
        <v>3.15</v>
      </c>
      <c r="P333" cm="1">
        <f t="array" ref="P333">_xlfn.ANCHORARRAY(F333)+0.15</f>
        <v>4.6500000000000004</v>
      </c>
      <c r="Q333" cm="1">
        <f t="array" ref="Q333">_xlfn.ANCHORARRAY(G333)+0.15</f>
        <v>2.9</v>
      </c>
      <c r="R333" cm="1">
        <f t="array" ref="R333">_xlfn.ANCHORARRAY(H333)</f>
        <v>9.99</v>
      </c>
      <c r="S333" cm="1">
        <f t="array" ref="S333">_xlfn.ANCHORARRAY(R333)+0.15</f>
        <v>10.14</v>
      </c>
      <c r="T333" cm="1">
        <f t="array" ref="T333">_xlfn.ANCHORARRAY(I333)+0.15</f>
        <v>1.1499999999999999</v>
      </c>
      <c r="U333" cm="1">
        <f t="array" ref="U333">_xlfn.ANCHORARRAY(J333)+0.15</f>
        <v>3.15</v>
      </c>
      <c r="V333" cm="1">
        <f t="array" ref="V333">_xlfn.ANCHORARRAY(K333)+0.15</f>
        <v>4.6500000000000004</v>
      </c>
      <c r="W333">
        <f>TBL_TEV[[#This Row],[Etica Rendita Bilanciata]]</f>
        <v>1.835569</v>
      </c>
      <c r="X333">
        <f>TBL_TEV[[#This Row],[Etica Obbligazionario Breve Termine]]</f>
        <v>0.33685700000000002</v>
      </c>
      <c r="Y333">
        <f>TBL_TEV[[#This Row],[Etica Obbligazionario Misto]]</f>
        <v>0.90103699999999998</v>
      </c>
      <c r="Z333">
        <f>TBL_TEV[[#This Row],[Etica Bilanciato]]</f>
        <v>2.3065660000000001</v>
      </c>
      <c r="AA333">
        <f>TBL_TEV[[#This Row],[Etica Azionario]]</f>
        <v>3.2774510000000001</v>
      </c>
      <c r="AB333">
        <f>TBL_TEV[[#This Row],[Etica Transizione Climatica]]</f>
        <v>2.655011</v>
      </c>
      <c r="AC333">
        <f>TBL_TEV[[#This Row],[Etica Obiettivo Sociale]]</f>
        <v>8.9704813615047705</v>
      </c>
      <c r="AD333">
        <f>TBL_TEV[[#This Row],[Etica Conservative Allocation]]</f>
        <v>0.96342399999999995</v>
      </c>
      <c r="AE333">
        <f>TBL_TEV[[#This Row],[Etica Dynamic Allocation]]</f>
        <v>2.3132329999999999</v>
      </c>
      <c r="AF333">
        <f>TBL_TEV[[#This Row],[Etica Global Equity]]</f>
        <v>3.370317</v>
      </c>
      <c r="AL333">
        <f ca="1"/>
        <v>1.8087409999999999</v>
      </c>
      <c r="AM333">
        <f ca="1"/>
        <v>0.29526599999999997</v>
      </c>
      <c r="AN333">
        <f ca="1"/>
        <v>0.82214100000000001</v>
      </c>
      <c r="AO333">
        <f ca="1"/>
        <v>2.2883100000000001</v>
      </c>
      <c r="AP333">
        <f ca="1"/>
        <v>3.2491940000000001</v>
      </c>
      <c r="AQ333">
        <f ca="1"/>
        <v>2.536905</v>
      </c>
      <c r="AR333">
        <f ca="1"/>
        <v>8.7927394108789247</v>
      </c>
      <c r="AS333">
        <f ca="1"/>
        <v>0.96310600000000002</v>
      </c>
      <c r="AT333">
        <f ca="1"/>
        <v>2.2864049999999998</v>
      </c>
      <c r="AU333">
        <f ca="1"/>
        <v>3.2549090000000001</v>
      </c>
    </row>
    <row r="334" spans="1:47">
      <c r="A334" s="43">
        <f>TBL_TEV[[#This Row],[Data2]]</f>
        <v>45763</v>
      </c>
      <c r="B334" cm="1">
        <f t="array" ref="B334">_xlfn.XLOOKUP(_xlfn.ANCHORARRAY(A334), TBL_Limiti_CDA[Data], TBL_Limiti_CDA[Etica Rendita Bilanciata], , -1)</f>
        <v>1.75</v>
      </c>
      <c r="C334" cm="1">
        <f t="array" ref="C334">_xlfn.XLOOKUP(_xlfn.ANCHORARRAY(A334), TBL_Limiti_CDA[Data], TBL_Limiti_CDA[Etica Obbligazionario Breve Termine], , -1)</f>
        <v>0.5</v>
      </c>
      <c r="D334" cm="1">
        <f t="array" ref="D334">_xlfn.XLOOKUP(_xlfn.ANCHORARRAY(A334), TBL_Limiti_CDA[Data], TBL_Limiti_CDA[Etica Obbligazionario Misto], , -1)</f>
        <v>1</v>
      </c>
      <c r="E334" cm="1">
        <f t="array" ref="E334">_xlfn.XLOOKUP(_xlfn.ANCHORARRAY(A334), TBL_Limiti_CDA[Data], TBL_Limiti_CDA[Etica Bilanciato], , -1)</f>
        <v>3</v>
      </c>
      <c r="F334" cm="1">
        <f t="array" ref="F334">_xlfn.XLOOKUP(_xlfn.ANCHORARRAY(A334), TBL_Limiti_CDA[Data], TBL_Limiti_CDA[Etica Azionario], , -1)</f>
        <v>4.5</v>
      </c>
      <c r="G334" cm="1">
        <f t="array" ref="G334">_xlfn.XLOOKUP(_xlfn.ANCHORARRAY(A334), TBL_Limiti_CDA[Data], TBL_Limiti_CDA[Etica Transizione Climatica], , -1)</f>
        <v>2.75</v>
      </c>
      <c r="H334" cm="1">
        <f t="array" ref="H334">_xlfn.XLOOKUP(_xlfn.ANCHORARRAY(A334), TBL_Limiti_CDA[Data], TBL_Limiti_CDA[Etica Obiettivo Sociale], , -1)</f>
        <v>9.99</v>
      </c>
      <c r="I334" cm="1">
        <f t="array" ref="I334">_xlfn.XLOOKUP(_xlfn.ANCHORARRAY(A334), TBL_Limiti_CDA[Data], TBL_Limiti_CDA[Etica Conservative Allocation], , -1)</f>
        <v>1</v>
      </c>
      <c r="J334" cm="1">
        <f t="array" ref="J334">_xlfn.XLOOKUP(_xlfn.ANCHORARRAY(A334), TBL_Limiti_CDA[Data], TBL_Limiti_CDA[Etica Dynamic Allocation], , -1)</f>
        <v>3</v>
      </c>
      <c r="K334" cm="1">
        <f t="array" ref="K334">_xlfn.XLOOKUP(_xlfn.ANCHORARRAY(A334), TBL_Limiti_CDA[Data], TBL_Limiti_CDA[Etica Global Equity], , -1)</f>
        <v>4.5</v>
      </c>
      <c r="L334" cm="1">
        <f t="array" ref="L334">_xlfn.ANCHORARRAY(B334)+0.15</f>
        <v>1.9</v>
      </c>
      <c r="M334" cm="1">
        <f t="array" ref="M334">_xlfn.ANCHORARRAY(C334)+0.1</f>
        <v>0.6</v>
      </c>
      <c r="N334" cm="1">
        <f t="array" ref="N334">_xlfn.ANCHORARRAY(D334)+0.15</f>
        <v>1.1499999999999999</v>
      </c>
      <c r="O334" cm="1">
        <f t="array" ref="O334">_xlfn.ANCHORARRAY(E334)+0.15</f>
        <v>3.15</v>
      </c>
      <c r="P334" cm="1">
        <f t="array" ref="P334">_xlfn.ANCHORARRAY(F334)+0.15</f>
        <v>4.6500000000000004</v>
      </c>
      <c r="Q334" cm="1">
        <f t="array" ref="Q334">_xlfn.ANCHORARRAY(G334)+0.15</f>
        <v>2.9</v>
      </c>
      <c r="R334" cm="1">
        <f t="array" ref="R334">_xlfn.ANCHORARRAY(H334)</f>
        <v>9.99</v>
      </c>
      <c r="S334" cm="1">
        <f t="array" ref="S334">_xlfn.ANCHORARRAY(R334)+0.15</f>
        <v>10.14</v>
      </c>
      <c r="T334" cm="1">
        <f t="array" ref="T334">_xlfn.ANCHORARRAY(I334)+0.15</f>
        <v>1.1499999999999999</v>
      </c>
      <c r="U334" cm="1">
        <f t="array" ref="U334">_xlfn.ANCHORARRAY(J334)+0.15</f>
        <v>3.15</v>
      </c>
      <c r="V334" cm="1">
        <f t="array" ref="V334">_xlfn.ANCHORARRAY(K334)+0.15</f>
        <v>4.6500000000000004</v>
      </c>
      <c r="W334">
        <f>TBL_TEV[[#This Row],[Etica Rendita Bilanciata]]</f>
        <v>1.8087409999999999</v>
      </c>
      <c r="X334">
        <f>TBL_TEV[[#This Row],[Etica Obbligazionario Breve Termine]]</f>
        <v>0.29526599999999997</v>
      </c>
      <c r="Y334">
        <f>TBL_TEV[[#This Row],[Etica Obbligazionario Misto]]</f>
        <v>0.82214100000000001</v>
      </c>
      <c r="Z334">
        <f>TBL_TEV[[#This Row],[Etica Bilanciato]]</f>
        <v>2.2883100000000001</v>
      </c>
      <c r="AA334">
        <f>TBL_TEV[[#This Row],[Etica Azionario]]</f>
        <v>3.2491940000000001</v>
      </c>
      <c r="AB334">
        <f>TBL_TEV[[#This Row],[Etica Transizione Climatica]]</f>
        <v>2.536905</v>
      </c>
      <c r="AC334">
        <f>TBL_TEV[[#This Row],[Etica Obiettivo Sociale]]</f>
        <v>8.7927394108789247</v>
      </c>
      <c r="AD334">
        <f>TBL_TEV[[#This Row],[Etica Conservative Allocation]]</f>
        <v>0.96310600000000002</v>
      </c>
      <c r="AE334">
        <f>TBL_TEV[[#This Row],[Etica Dynamic Allocation]]</f>
        <v>2.2864049999999998</v>
      </c>
      <c r="AF334">
        <f>TBL_TEV[[#This Row],[Etica Global Equity]]</f>
        <v>3.2549090000000001</v>
      </c>
      <c r="AL334">
        <f ca="1"/>
        <v>1.7755639999999999</v>
      </c>
      <c r="AM334">
        <f ca="1"/>
        <v>0.29558299999999998</v>
      </c>
      <c r="AN334">
        <f ca="1"/>
        <v>0.77531099999999997</v>
      </c>
      <c r="AO334">
        <f ca="1"/>
        <v>2.2965650000000002</v>
      </c>
      <c r="AP334">
        <f ca="1"/>
        <v>3.3096760000000001</v>
      </c>
      <c r="AQ334">
        <f ca="1"/>
        <v>2.4641999999999999</v>
      </c>
      <c r="AR334">
        <f ca="1"/>
        <v>8.7155681340746796</v>
      </c>
      <c r="AS334">
        <f ca="1"/>
        <v>0.964059</v>
      </c>
      <c r="AT334">
        <f ca="1"/>
        <v>2.2714829999999999</v>
      </c>
      <c r="AU334">
        <f ca="1"/>
        <v>3.2355420000000001</v>
      </c>
    </row>
    <row r="335" spans="1:47">
      <c r="A335" s="43">
        <f>TBL_TEV[[#This Row],[Data2]]</f>
        <v>45764</v>
      </c>
      <c r="B335" cm="1">
        <f t="array" ref="B335">_xlfn.XLOOKUP(_xlfn.ANCHORARRAY(A335), TBL_Limiti_CDA[Data], TBL_Limiti_CDA[Etica Rendita Bilanciata], , -1)</f>
        <v>1.75</v>
      </c>
      <c r="C335" cm="1">
        <f t="array" ref="C335">_xlfn.XLOOKUP(_xlfn.ANCHORARRAY(A335), TBL_Limiti_CDA[Data], TBL_Limiti_CDA[Etica Obbligazionario Breve Termine], , -1)</f>
        <v>0.5</v>
      </c>
      <c r="D335" cm="1">
        <f t="array" ref="D335">_xlfn.XLOOKUP(_xlfn.ANCHORARRAY(A335), TBL_Limiti_CDA[Data], TBL_Limiti_CDA[Etica Obbligazionario Misto], , -1)</f>
        <v>1</v>
      </c>
      <c r="E335" cm="1">
        <f t="array" ref="E335">_xlfn.XLOOKUP(_xlfn.ANCHORARRAY(A335), TBL_Limiti_CDA[Data], TBL_Limiti_CDA[Etica Bilanciato], , -1)</f>
        <v>3</v>
      </c>
      <c r="F335" cm="1">
        <f t="array" ref="F335">_xlfn.XLOOKUP(_xlfn.ANCHORARRAY(A335), TBL_Limiti_CDA[Data], TBL_Limiti_CDA[Etica Azionario], , -1)</f>
        <v>4.5</v>
      </c>
      <c r="G335" cm="1">
        <f t="array" ref="G335">_xlfn.XLOOKUP(_xlfn.ANCHORARRAY(A335), TBL_Limiti_CDA[Data], TBL_Limiti_CDA[Etica Transizione Climatica], , -1)</f>
        <v>2.75</v>
      </c>
      <c r="H335" cm="1">
        <f t="array" ref="H335">_xlfn.XLOOKUP(_xlfn.ANCHORARRAY(A335), TBL_Limiti_CDA[Data], TBL_Limiti_CDA[Etica Obiettivo Sociale], , -1)</f>
        <v>9.99</v>
      </c>
      <c r="I335" cm="1">
        <f t="array" ref="I335">_xlfn.XLOOKUP(_xlfn.ANCHORARRAY(A335), TBL_Limiti_CDA[Data], TBL_Limiti_CDA[Etica Conservative Allocation], , -1)</f>
        <v>1</v>
      </c>
      <c r="J335" cm="1">
        <f t="array" ref="J335">_xlfn.XLOOKUP(_xlfn.ANCHORARRAY(A335), TBL_Limiti_CDA[Data], TBL_Limiti_CDA[Etica Dynamic Allocation], , -1)</f>
        <v>3</v>
      </c>
      <c r="K335" cm="1">
        <f t="array" ref="K335">_xlfn.XLOOKUP(_xlfn.ANCHORARRAY(A335), TBL_Limiti_CDA[Data], TBL_Limiti_CDA[Etica Global Equity], , -1)</f>
        <v>4.5</v>
      </c>
      <c r="L335" cm="1">
        <f t="array" ref="L335">_xlfn.ANCHORARRAY(B335)+0.15</f>
        <v>1.9</v>
      </c>
      <c r="M335" cm="1">
        <f t="array" ref="M335">_xlfn.ANCHORARRAY(C335)+0.1</f>
        <v>0.6</v>
      </c>
      <c r="N335" cm="1">
        <f t="array" ref="N335">_xlfn.ANCHORARRAY(D335)+0.15</f>
        <v>1.1499999999999999</v>
      </c>
      <c r="O335" cm="1">
        <f t="array" ref="O335">_xlfn.ANCHORARRAY(E335)+0.15</f>
        <v>3.15</v>
      </c>
      <c r="P335" cm="1">
        <f t="array" ref="P335">_xlfn.ANCHORARRAY(F335)+0.15</f>
        <v>4.6500000000000004</v>
      </c>
      <c r="Q335" cm="1">
        <f t="array" ref="Q335">_xlfn.ANCHORARRAY(G335)+0.15</f>
        <v>2.9</v>
      </c>
      <c r="R335" cm="1">
        <f t="array" ref="R335">_xlfn.ANCHORARRAY(H335)</f>
        <v>9.99</v>
      </c>
      <c r="S335" cm="1">
        <f t="array" ref="S335">_xlfn.ANCHORARRAY(R335)+0.15</f>
        <v>10.14</v>
      </c>
      <c r="T335" cm="1">
        <f t="array" ref="T335">_xlfn.ANCHORARRAY(I335)+0.15</f>
        <v>1.1499999999999999</v>
      </c>
      <c r="U335" cm="1">
        <f t="array" ref="U335">_xlfn.ANCHORARRAY(J335)+0.15</f>
        <v>3.15</v>
      </c>
      <c r="V335" cm="1">
        <f t="array" ref="V335">_xlfn.ANCHORARRAY(K335)+0.15</f>
        <v>4.6500000000000004</v>
      </c>
      <c r="W335">
        <f>TBL_TEV[[#This Row],[Etica Rendita Bilanciata]]</f>
        <v>1.7755639999999999</v>
      </c>
      <c r="X335">
        <f>TBL_TEV[[#This Row],[Etica Obbligazionario Breve Termine]]</f>
        <v>0.29558299999999998</v>
      </c>
      <c r="Y335">
        <f>TBL_TEV[[#This Row],[Etica Obbligazionario Misto]]</f>
        <v>0.77531099999999997</v>
      </c>
      <c r="Z335">
        <f>TBL_TEV[[#This Row],[Etica Bilanciato]]</f>
        <v>2.2965650000000002</v>
      </c>
      <c r="AA335">
        <f>TBL_TEV[[#This Row],[Etica Azionario]]</f>
        <v>3.3096760000000001</v>
      </c>
      <c r="AB335">
        <f>TBL_TEV[[#This Row],[Etica Transizione Climatica]]</f>
        <v>2.4641999999999999</v>
      </c>
      <c r="AC335">
        <f>TBL_TEV[[#This Row],[Etica Obiettivo Sociale]]</f>
        <v>8.7155681340746796</v>
      </c>
      <c r="AD335">
        <f>TBL_TEV[[#This Row],[Etica Conservative Allocation]]</f>
        <v>0.964059</v>
      </c>
      <c r="AE335">
        <f>TBL_TEV[[#This Row],[Etica Dynamic Allocation]]</f>
        <v>2.2714829999999999</v>
      </c>
      <c r="AF335">
        <f>TBL_TEV[[#This Row],[Etica Global Equity]]</f>
        <v>3.2355420000000001</v>
      </c>
      <c r="AL335">
        <f ca="1"/>
        <v>1.7888980000000001</v>
      </c>
      <c r="AM335">
        <f ca="1"/>
        <v>0.29336099999999998</v>
      </c>
      <c r="AN335">
        <f ca="1"/>
        <v>0.77054900000000004</v>
      </c>
      <c r="AO335">
        <f ca="1"/>
        <v>2.2859289999999999</v>
      </c>
      <c r="AP335">
        <f ca="1"/>
        <v>3.2982459999999998</v>
      </c>
      <c r="AQ335">
        <f ca="1"/>
        <v>2.4108619999999998</v>
      </c>
      <c r="AR335">
        <f ca="1"/>
        <v>8.6446932421470049</v>
      </c>
      <c r="AS335">
        <f ca="1"/>
        <v>0.96262999999999999</v>
      </c>
      <c r="AT335">
        <f ca="1"/>
        <v>2.266086</v>
      </c>
      <c r="AU335">
        <f ca="1"/>
        <v>3.2285569999999999</v>
      </c>
    </row>
    <row r="336" spans="1:47">
      <c r="A336" s="43">
        <f>TBL_TEV[[#This Row],[Data2]]</f>
        <v>45769</v>
      </c>
      <c r="B336" cm="1">
        <f t="array" ref="B336">_xlfn.XLOOKUP(_xlfn.ANCHORARRAY(A336), TBL_Limiti_CDA[Data], TBL_Limiti_CDA[Etica Rendita Bilanciata], , -1)</f>
        <v>1.75</v>
      </c>
      <c r="C336" cm="1">
        <f t="array" ref="C336">_xlfn.XLOOKUP(_xlfn.ANCHORARRAY(A336), TBL_Limiti_CDA[Data], TBL_Limiti_CDA[Etica Obbligazionario Breve Termine], , -1)</f>
        <v>0.5</v>
      </c>
      <c r="D336" cm="1">
        <f t="array" ref="D336">_xlfn.XLOOKUP(_xlfn.ANCHORARRAY(A336), TBL_Limiti_CDA[Data], TBL_Limiti_CDA[Etica Obbligazionario Misto], , -1)</f>
        <v>1</v>
      </c>
      <c r="E336" cm="1">
        <f t="array" ref="E336">_xlfn.XLOOKUP(_xlfn.ANCHORARRAY(A336), TBL_Limiti_CDA[Data], TBL_Limiti_CDA[Etica Bilanciato], , -1)</f>
        <v>3</v>
      </c>
      <c r="F336" cm="1">
        <f t="array" ref="F336">_xlfn.XLOOKUP(_xlfn.ANCHORARRAY(A336), TBL_Limiti_CDA[Data], TBL_Limiti_CDA[Etica Azionario], , -1)</f>
        <v>4.5</v>
      </c>
      <c r="G336" cm="1">
        <f t="array" ref="G336">_xlfn.XLOOKUP(_xlfn.ANCHORARRAY(A336), TBL_Limiti_CDA[Data], TBL_Limiti_CDA[Etica Transizione Climatica], , -1)</f>
        <v>2.75</v>
      </c>
      <c r="H336" cm="1">
        <f t="array" ref="H336">_xlfn.XLOOKUP(_xlfn.ANCHORARRAY(A336), TBL_Limiti_CDA[Data], TBL_Limiti_CDA[Etica Obiettivo Sociale], , -1)</f>
        <v>9.99</v>
      </c>
      <c r="I336" cm="1">
        <f t="array" ref="I336">_xlfn.XLOOKUP(_xlfn.ANCHORARRAY(A336), TBL_Limiti_CDA[Data], TBL_Limiti_CDA[Etica Conservative Allocation], , -1)</f>
        <v>1</v>
      </c>
      <c r="J336" cm="1">
        <f t="array" ref="J336">_xlfn.XLOOKUP(_xlfn.ANCHORARRAY(A336), TBL_Limiti_CDA[Data], TBL_Limiti_CDA[Etica Dynamic Allocation], , -1)</f>
        <v>3</v>
      </c>
      <c r="K336" cm="1">
        <f t="array" ref="K336">_xlfn.XLOOKUP(_xlfn.ANCHORARRAY(A336), TBL_Limiti_CDA[Data], TBL_Limiti_CDA[Etica Global Equity], , -1)</f>
        <v>4.5</v>
      </c>
      <c r="L336" cm="1">
        <f t="array" ref="L336">_xlfn.ANCHORARRAY(B336)+0.15</f>
        <v>1.9</v>
      </c>
      <c r="M336" cm="1">
        <f t="array" ref="M336">_xlfn.ANCHORARRAY(C336)+0.1</f>
        <v>0.6</v>
      </c>
      <c r="N336" cm="1">
        <f t="array" ref="N336">_xlfn.ANCHORARRAY(D336)+0.15</f>
        <v>1.1499999999999999</v>
      </c>
      <c r="O336" cm="1">
        <f t="array" ref="O336">_xlfn.ANCHORARRAY(E336)+0.15</f>
        <v>3.15</v>
      </c>
      <c r="P336" cm="1">
        <f t="array" ref="P336">_xlfn.ANCHORARRAY(F336)+0.15</f>
        <v>4.6500000000000004</v>
      </c>
      <c r="Q336" cm="1">
        <f t="array" ref="Q336">_xlfn.ANCHORARRAY(G336)+0.15</f>
        <v>2.9</v>
      </c>
      <c r="R336" cm="1">
        <f t="array" ref="R336">_xlfn.ANCHORARRAY(H336)</f>
        <v>9.99</v>
      </c>
      <c r="S336" cm="1">
        <f t="array" ref="S336">_xlfn.ANCHORARRAY(R336)+0.15</f>
        <v>10.14</v>
      </c>
      <c r="T336" cm="1">
        <f t="array" ref="T336">_xlfn.ANCHORARRAY(I336)+0.15</f>
        <v>1.1499999999999999</v>
      </c>
      <c r="U336" cm="1">
        <f t="array" ref="U336">_xlfn.ANCHORARRAY(J336)+0.15</f>
        <v>3.15</v>
      </c>
      <c r="V336" cm="1">
        <f t="array" ref="V336">_xlfn.ANCHORARRAY(K336)+0.15</f>
        <v>4.6500000000000004</v>
      </c>
      <c r="W336">
        <f>TBL_TEV[[#This Row],[Etica Rendita Bilanciata]]</f>
        <v>1.7888980000000001</v>
      </c>
      <c r="X336">
        <f>TBL_TEV[[#This Row],[Etica Obbligazionario Breve Termine]]</f>
        <v>0.29336099999999998</v>
      </c>
      <c r="Y336">
        <f>TBL_TEV[[#This Row],[Etica Obbligazionario Misto]]</f>
        <v>0.77054900000000004</v>
      </c>
      <c r="Z336">
        <f>TBL_TEV[[#This Row],[Etica Bilanciato]]</f>
        <v>2.2859289999999999</v>
      </c>
      <c r="AA336">
        <f>TBL_TEV[[#This Row],[Etica Azionario]]</f>
        <v>3.2982459999999998</v>
      </c>
      <c r="AB336">
        <f>TBL_TEV[[#This Row],[Etica Transizione Climatica]]</f>
        <v>2.4108619999999998</v>
      </c>
      <c r="AC336">
        <f>TBL_TEV[[#This Row],[Etica Obiettivo Sociale]]</f>
        <v>8.6446932421470049</v>
      </c>
      <c r="AD336">
        <f>TBL_TEV[[#This Row],[Etica Conservative Allocation]]</f>
        <v>0.96262999999999999</v>
      </c>
      <c r="AE336">
        <f>TBL_TEV[[#This Row],[Etica Dynamic Allocation]]</f>
        <v>2.266086</v>
      </c>
      <c r="AF336">
        <f>TBL_TEV[[#This Row],[Etica Global Equity]]</f>
        <v>3.2285569999999999</v>
      </c>
      <c r="AL336">
        <f ca="1"/>
        <v>1.7619119999999999</v>
      </c>
      <c r="AM336">
        <f ca="1"/>
        <v>0.29272599999999999</v>
      </c>
      <c r="AN336">
        <f ca="1"/>
        <v>0.76562799999999998</v>
      </c>
      <c r="AO336">
        <f ca="1"/>
        <v>2.2687849999999998</v>
      </c>
      <c r="AP336">
        <f ca="1"/>
        <v>3.3055490000000001</v>
      </c>
      <c r="AQ336">
        <f ca="1"/>
        <v>2.4159410000000001</v>
      </c>
      <c r="AR336">
        <f ca="1"/>
        <v>8.5555319181109066</v>
      </c>
      <c r="AS336">
        <f ca="1"/>
        <v>0.84960400000000003</v>
      </c>
      <c r="AT336">
        <f ca="1"/>
        <v>2.2646570000000001</v>
      </c>
      <c r="AU336">
        <f ca="1"/>
        <v>3.2582429999999998</v>
      </c>
    </row>
    <row r="337" spans="1:47">
      <c r="A337" s="43">
        <f>TBL_TEV[[#This Row],[Data2]]</f>
        <v>45770</v>
      </c>
      <c r="B337" cm="1">
        <f t="array" ref="B337">_xlfn.XLOOKUP(_xlfn.ANCHORARRAY(A337), TBL_Limiti_CDA[Data], TBL_Limiti_CDA[Etica Rendita Bilanciata], , -1)</f>
        <v>2.5</v>
      </c>
      <c r="C337" cm="1">
        <f t="array" ref="C337">_xlfn.XLOOKUP(_xlfn.ANCHORARRAY(A337), TBL_Limiti_CDA[Data], TBL_Limiti_CDA[Etica Obbligazionario Breve Termine], , -1)</f>
        <v>0.5</v>
      </c>
      <c r="D337" cm="1">
        <f t="array" ref="D337">_xlfn.XLOOKUP(_xlfn.ANCHORARRAY(A337), TBL_Limiti_CDA[Data], TBL_Limiti_CDA[Etica Obbligazionario Misto], , -1)</f>
        <v>1</v>
      </c>
      <c r="E337" cm="1">
        <f t="array" ref="E337">_xlfn.XLOOKUP(_xlfn.ANCHORARRAY(A337), TBL_Limiti_CDA[Data], TBL_Limiti_CDA[Etica Bilanciato], , -1)</f>
        <v>3</v>
      </c>
      <c r="F337" cm="1">
        <f t="array" ref="F337">_xlfn.XLOOKUP(_xlfn.ANCHORARRAY(A337), TBL_Limiti_CDA[Data], TBL_Limiti_CDA[Etica Azionario], , -1)</f>
        <v>4.5</v>
      </c>
      <c r="G337" cm="1">
        <f t="array" ref="G337">_xlfn.XLOOKUP(_xlfn.ANCHORARRAY(A337), TBL_Limiti_CDA[Data], TBL_Limiti_CDA[Etica Transizione Climatica], , -1)</f>
        <v>3.5</v>
      </c>
      <c r="H337" cm="1">
        <f t="array" ref="H337">_xlfn.XLOOKUP(_xlfn.ANCHORARRAY(A337), TBL_Limiti_CDA[Data], TBL_Limiti_CDA[Etica Obiettivo Sociale], , -1)</f>
        <v>9.99</v>
      </c>
      <c r="I337" cm="1">
        <f t="array" ref="I337">_xlfn.XLOOKUP(_xlfn.ANCHORARRAY(A337), TBL_Limiti_CDA[Data], TBL_Limiti_CDA[Etica Conservative Allocation], , -1)</f>
        <v>1</v>
      </c>
      <c r="J337" cm="1">
        <f t="array" ref="J337">_xlfn.XLOOKUP(_xlfn.ANCHORARRAY(A337), TBL_Limiti_CDA[Data], TBL_Limiti_CDA[Etica Dynamic Allocation], , -1)</f>
        <v>3</v>
      </c>
      <c r="K337" cm="1">
        <f t="array" ref="K337">_xlfn.XLOOKUP(_xlfn.ANCHORARRAY(A337), TBL_Limiti_CDA[Data], TBL_Limiti_CDA[Etica Global Equity], , -1)</f>
        <v>4.5</v>
      </c>
      <c r="L337" cm="1">
        <f t="array" ref="L337">_xlfn.ANCHORARRAY(B337)+0.15</f>
        <v>2.65</v>
      </c>
      <c r="M337" cm="1">
        <f t="array" ref="M337">_xlfn.ANCHORARRAY(C337)+0.1</f>
        <v>0.6</v>
      </c>
      <c r="N337" cm="1">
        <f t="array" ref="N337">_xlfn.ANCHORARRAY(D337)+0.15</f>
        <v>1.1499999999999999</v>
      </c>
      <c r="O337" cm="1">
        <f t="array" ref="O337">_xlfn.ANCHORARRAY(E337)+0.15</f>
        <v>3.15</v>
      </c>
      <c r="P337" cm="1">
        <f t="array" ref="P337">_xlfn.ANCHORARRAY(F337)+0.15</f>
        <v>4.6500000000000004</v>
      </c>
      <c r="Q337" cm="1">
        <f t="array" ref="Q337">_xlfn.ANCHORARRAY(G337)+0.15</f>
        <v>3.65</v>
      </c>
      <c r="R337" cm="1">
        <f t="array" ref="R337">_xlfn.ANCHORARRAY(H337)</f>
        <v>9.99</v>
      </c>
      <c r="S337" cm="1">
        <f t="array" ref="S337">_xlfn.ANCHORARRAY(R337)+0.15</f>
        <v>10.14</v>
      </c>
      <c r="T337" cm="1">
        <f t="array" ref="T337">_xlfn.ANCHORARRAY(I337)+0.15</f>
        <v>1.1499999999999999</v>
      </c>
      <c r="U337" cm="1">
        <f t="array" ref="U337">_xlfn.ANCHORARRAY(J337)+0.15</f>
        <v>3.15</v>
      </c>
      <c r="V337" cm="1">
        <f t="array" ref="V337">_xlfn.ANCHORARRAY(K337)+0.15</f>
        <v>4.6500000000000004</v>
      </c>
      <c r="W337">
        <f>TBL_TEV[[#This Row],[Etica Rendita Bilanciata]]</f>
        <v>1.7619119999999999</v>
      </c>
      <c r="X337">
        <f>TBL_TEV[[#This Row],[Etica Obbligazionario Breve Termine]]</f>
        <v>0.29272599999999999</v>
      </c>
      <c r="Y337">
        <f>TBL_TEV[[#This Row],[Etica Obbligazionario Misto]]</f>
        <v>0.76562799999999998</v>
      </c>
      <c r="Z337">
        <f>TBL_TEV[[#This Row],[Etica Bilanciato]]</f>
        <v>2.2687849999999998</v>
      </c>
      <c r="AA337">
        <f>TBL_TEV[[#This Row],[Etica Azionario]]</f>
        <v>3.3055490000000001</v>
      </c>
      <c r="AB337">
        <f>TBL_TEV[[#This Row],[Etica Transizione Climatica]]</f>
        <v>2.4159410000000001</v>
      </c>
      <c r="AC337">
        <f>TBL_TEV[[#This Row],[Etica Obiettivo Sociale]]</f>
        <v>8.5555319181109066</v>
      </c>
      <c r="AD337">
        <f>TBL_TEV[[#This Row],[Etica Conservative Allocation]]</f>
        <v>0.84960400000000003</v>
      </c>
      <c r="AE337">
        <f>TBL_TEV[[#This Row],[Etica Dynamic Allocation]]</f>
        <v>2.2646570000000001</v>
      </c>
      <c r="AF337">
        <f>TBL_TEV[[#This Row],[Etica Global Equity]]</f>
        <v>3.2582429999999998</v>
      </c>
      <c r="AL337">
        <f ca="1"/>
        <v>1.7433380000000001</v>
      </c>
      <c r="AM337">
        <f ca="1"/>
        <v>0.29558299999999998</v>
      </c>
      <c r="AN337">
        <f ca="1"/>
        <v>0.76785000000000003</v>
      </c>
      <c r="AO337">
        <f ca="1"/>
        <v>2.2579899999999999</v>
      </c>
      <c r="AP337">
        <f ca="1"/>
        <v>3.2961830000000001</v>
      </c>
      <c r="AQ337">
        <f ca="1"/>
        <v>2.4151479999999999</v>
      </c>
      <c r="AR337">
        <f ca="1"/>
        <v>8.9614647575654747</v>
      </c>
      <c r="AS337">
        <f ca="1"/>
        <v>0.84563500000000003</v>
      </c>
      <c r="AT337">
        <f ca="1"/>
        <v>2.2594189999999998</v>
      </c>
      <c r="AU337">
        <f ca="1"/>
        <v>3.2361770000000001</v>
      </c>
    </row>
    <row r="338" spans="1:47">
      <c r="A338" s="43">
        <f>TBL_TEV[[#This Row],[Data2]]</f>
        <v>45771</v>
      </c>
      <c r="B338" cm="1">
        <f t="array" ref="B338">_xlfn.XLOOKUP(_xlfn.ANCHORARRAY(A338), TBL_Limiti_CDA[Data], TBL_Limiti_CDA[Etica Rendita Bilanciata], , -1)</f>
        <v>2.5</v>
      </c>
      <c r="C338" cm="1">
        <f t="array" ref="C338">_xlfn.XLOOKUP(_xlfn.ANCHORARRAY(A338), TBL_Limiti_CDA[Data], TBL_Limiti_CDA[Etica Obbligazionario Breve Termine], , -1)</f>
        <v>0.5</v>
      </c>
      <c r="D338" cm="1">
        <f t="array" ref="D338">_xlfn.XLOOKUP(_xlfn.ANCHORARRAY(A338), TBL_Limiti_CDA[Data], TBL_Limiti_CDA[Etica Obbligazionario Misto], , -1)</f>
        <v>1</v>
      </c>
      <c r="E338" cm="1">
        <f t="array" ref="E338">_xlfn.XLOOKUP(_xlfn.ANCHORARRAY(A338), TBL_Limiti_CDA[Data], TBL_Limiti_CDA[Etica Bilanciato], , -1)</f>
        <v>3</v>
      </c>
      <c r="F338" cm="1">
        <f t="array" ref="F338">_xlfn.XLOOKUP(_xlfn.ANCHORARRAY(A338), TBL_Limiti_CDA[Data], TBL_Limiti_CDA[Etica Azionario], , -1)</f>
        <v>4.5</v>
      </c>
      <c r="G338" cm="1">
        <f t="array" ref="G338">_xlfn.XLOOKUP(_xlfn.ANCHORARRAY(A338), TBL_Limiti_CDA[Data], TBL_Limiti_CDA[Etica Transizione Climatica], , -1)</f>
        <v>3.5</v>
      </c>
      <c r="H338" cm="1">
        <f t="array" ref="H338">_xlfn.XLOOKUP(_xlfn.ANCHORARRAY(A338), TBL_Limiti_CDA[Data], TBL_Limiti_CDA[Etica Obiettivo Sociale], , -1)</f>
        <v>9.99</v>
      </c>
      <c r="I338" cm="1">
        <f t="array" ref="I338">_xlfn.XLOOKUP(_xlfn.ANCHORARRAY(A338), TBL_Limiti_CDA[Data], TBL_Limiti_CDA[Etica Conservative Allocation], , -1)</f>
        <v>1</v>
      </c>
      <c r="J338" cm="1">
        <f t="array" ref="J338">_xlfn.XLOOKUP(_xlfn.ANCHORARRAY(A338), TBL_Limiti_CDA[Data], TBL_Limiti_CDA[Etica Dynamic Allocation], , -1)</f>
        <v>3</v>
      </c>
      <c r="K338" cm="1">
        <f t="array" ref="K338">_xlfn.XLOOKUP(_xlfn.ANCHORARRAY(A338), TBL_Limiti_CDA[Data], TBL_Limiti_CDA[Etica Global Equity], , -1)</f>
        <v>4.5</v>
      </c>
      <c r="L338" cm="1">
        <f t="array" ref="L338">_xlfn.ANCHORARRAY(B338)+0.15</f>
        <v>2.65</v>
      </c>
      <c r="M338" cm="1">
        <f t="array" ref="M338">_xlfn.ANCHORARRAY(C338)+0.1</f>
        <v>0.6</v>
      </c>
      <c r="N338" cm="1">
        <f t="array" ref="N338">_xlfn.ANCHORARRAY(D338)+0.15</f>
        <v>1.1499999999999999</v>
      </c>
      <c r="O338" cm="1">
        <f t="array" ref="O338">_xlfn.ANCHORARRAY(E338)+0.15</f>
        <v>3.15</v>
      </c>
      <c r="P338" cm="1">
        <f t="array" ref="P338">_xlfn.ANCHORARRAY(F338)+0.15</f>
        <v>4.6500000000000004</v>
      </c>
      <c r="Q338" cm="1">
        <f t="array" ref="Q338">_xlfn.ANCHORARRAY(G338)+0.15</f>
        <v>3.65</v>
      </c>
      <c r="R338" cm="1">
        <f t="array" ref="R338">_xlfn.ANCHORARRAY(H338)</f>
        <v>9.99</v>
      </c>
      <c r="S338" cm="1">
        <f t="array" ref="S338">_xlfn.ANCHORARRAY(R338)+0.15</f>
        <v>10.14</v>
      </c>
      <c r="T338" cm="1">
        <f t="array" ref="T338">_xlfn.ANCHORARRAY(I338)+0.15</f>
        <v>1.1499999999999999</v>
      </c>
      <c r="U338" cm="1">
        <f t="array" ref="U338">_xlfn.ANCHORARRAY(J338)+0.15</f>
        <v>3.15</v>
      </c>
      <c r="V338" cm="1">
        <f t="array" ref="V338">_xlfn.ANCHORARRAY(K338)+0.15</f>
        <v>4.6500000000000004</v>
      </c>
      <c r="W338">
        <f>TBL_TEV[[#This Row],[Etica Rendita Bilanciata]]</f>
        <v>1.7433380000000001</v>
      </c>
      <c r="X338">
        <f>TBL_TEV[[#This Row],[Etica Obbligazionario Breve Termine]]</f>
        <v>0.29558299999999998</v>
      </c>
      <c r="Y338">
        <f>TBL_TEV[[#This Row],[Etica Obbligazionario Misto]]</f>
        <v>0.76785000000000003</v>
      </c>
      <c r="Z338">
        <f>TBL_TEV[[#This Row],[Etica Bilanciato]]</f>
        <v>2.2579899999999999</v>
      </c>
      <c r="AA338">
        <f>TBL_TEV[[#This Row],[Etica Azionario]]</f>
        <v>3.2961830000000001</v>
      </c>
      <c r="AB338">
        <f>TBL_TEV[[#This Row],[Etica Transizione Climatica]]</f>
        <v>2.4151479999999999</v>
      </c>
      <c r="AC338">
        <f>TBL_TEV[[#This Row],[Etica Obiettivo Sociale]]</f>
        <v>8.9614647575654747</v>
      </c>
      <c r="AD338">
        <f>TBL_TEV[[#This Row],[Etica Conservative Allocation]]</f>
        <v>0.84563500000000003</v>
      </c>
      <c r="AE338">
        <f>TBL_TEV[[#This Row],[Etica Dynamic Allocation]]</f>
        <v>2.2594189999999998</v>
      </c>
      <c r="AF338">
        <f>TBL_TEV[[#This Row],[Etica Global Equity]]</f>
        <v>3.2361770000000001</v>
      </c>
      <c r="AL338">
        <f ca="1"/>
        <v>1.724289</v>
      </c>
      <c r="AM338">
        <f ca="1"/>
        <v>0.29526599999999997</v>
      </c>
      <c r="AN338">
        <f ca="1"/>
        <v>0.75753199999999998</v>
      </c>
      <c r="AO338">
        <f ca="1"/>
        <v>2.242909</v>
      </c>
      <c r="AP338">
        <f ca="1"/>
        <v>3.301104</v>
      </c>
      <c r="AQ338">
        <f ca="1"/>
        <v>2.4241959999999998</v>
      </c>
      <c r="AR338">
        <f ca="1"/>
        <v>8.7739984821563866</v>
      </c>
      <c r="AS338">
        <f ca="1"/>
        <v>0.830237</v>
      </c>
      <c r="AT338">
        <f ca="1"/>
        <v>2.2459250000000002</v>
      </c>
      <c r="AU338">
        <f ca="1"/>
        <v>3.2337959999999999</v>
      </c>
    </row>
    <row r="339" spans="1:47">
      <c r="A339" s="43">
        <f>TBL_TEV[[#This Row],[Data2]]</f>
        <v>45775</v>
      </c>
      <c r="B339" cm="1">
        <f t="array" ref="B339">_xlfn.XLOOKUP(_xlfn.ANCHORARRAY(A339), TBL_Limiti_CDA[Data], TBL_Limiti_CDA[Etica Rendita Bilanciata], , -1)</f>
        <v>2.5</v>
      </c>
      <c r="C339" cm="1">
        <f t="array" ref="C339">_xlfn.XLOOKUP(_xlfn.ANCHORARRAY(A339), TBL_Limiti_CDA[Data], TBL_Limiti_CDA[Etica Obbligazionario Breve Termine], , -1)</f>
        <v>0.5</v>
      </c>
      <c r="D339" cm="1">
        <f t="array" ref="D339">_xlfn.XLOOKUP(_xlfn.ANCHORARRAY(A339), TBL_Limiti_CDA[Data], TBL_Limiti_CDA[Etica Obbligazionario Misto], , -1)</f>
        <v>1</v>
      </c>
      <c r="E339" cm="1">
        <f t="array" ref="E339">_xlfn.XLOOKUP(_xlfn.ANCHORARRAY(A339), TBL_Limiti_CDA[Data], TBL_Limiti_CDA[Etica Bilanciato], , -1)</f>
        <v>3</v>
      </c>
      <c r="F339" cm="1">
        <f t="array" ref="F339">_xlfn.XLOOKUP(_xlfn.ANCHORARRAY(A339), TBL_Limiti_CDA[Data], TBL_Limiti_CDA[Etica Azionario], , -1)</f>
        <v>4.5</v>
      </c>
      <c r="G339" cm="1">
        <f t="array" ref="G339">_xlfn.XLOOKUP(_xlfn.ANCHORARRAY(A339), TBL_Limiti_CDA[Data], TBL_Limiti_CDA[Etica Transizione Climatica], , -1)</f>
        <v>3.5</v>
      </c>
      <c r="H339" cm="1">
        <f t="array" ref="H339">_xlfn.XLOOKUP(_xlfn.ANCHORARRAY(A339), TBL_Limiti_CDA[Data], TBL_Limiti_CDA[Etica Obiettivo Sociale], , -1)</f>
        <v>9.99</v>
      </c>
      <c r="I339" cm="1">
        <f t="array" ref="I339">_xlfn.XLOOKUP(_xlfn.ANCHORARRAY(A339), TBL_Limiti_CDA[Data], TBL_Limiti_CDA[Etica Conservative Allocation], , -1)</f>
        <v>1</v>
      </c>
      <c r="J339" cm="1">
        <f t="array" ref="J339">_xlfn.XLOOKUP(_xlfn.ANCHORARRAY(A339), TBL_Limiti_CDA[Data], TBL_Limiti_CDA[Etica Dynamic Allocation], , -1)</f>
        <v>3</v>
      </c>
      <c r="K339" cm="1">
        <f t="array" ref="K339">_xlfn.XLOOKUP(_xlfn.ANCHORARRAY(A339), TBL_Limiti_CDA[Data], TBL_Limiti_CDA[Etica Global Equity], , -1)</f>
        <v>4.5</v>
      </c>
      <c r="L339" cm="1">
        <f t="array" ref="L339">_xlfn.ANCHORARRAY(B339)+0.15</f>
        <v>2.65</v>
      </c>
      <c r="M339" cm="1">
        <f t="array" ref="M339">_xlfn.ANCHORARRAY(C339)+0.1</f>
        <v>0.6</v>
      </c>
      <c r="N339" cm="1">
        <f t="array" ref="N339">_xlfn.ANCHORARRAY(D339)+0.15</f>
        <v>1.1499999999999999</v>
      </c>
      <c r="O339" cm="1">
        <f t="array" ref="O339">_xlfn.ANCHORARRAY(E339)+0.15</f>
        <v>3.15</v>
      </c>
      <c r="P339" cm="1">
        <f t="array" ref="P339">_xlfn.ANCHORARRAY(F339)+0.15</f>
        <v>4.6500000000000004</v>
      </c>
      <c r="Q339" cm="1">
        <f t="array" ref="Q339">_xlfn.ANCHORARRAY(G339)+0.15</f>
        <v>3.65</v>
      </c>
      <c r="R339" cm="1">
        <f t="array" ref="R339">_xlfn.ANCHORARRAY(H339)</f>
        <v>9.99</v>
      </c>
      <c r="S339" cm="1">
        <f t="array" ref="S339">_xlfn.ANCHORARRAY(R339)+0.15</f>
        <v>10.14</v>
      </c>
      <c r="T339" cm="1">
        <f t="array" ref="T339">_xlfn.ANCHORARRAY(I339)+0.15</f>
        <v>1.1499999999999999</v>
      </c>
      <c r="U339" cm="1">
        <f t="array" ref="U339">_xlfn.ANCHORARRAY(J339)+0.15</f>
        <v>3.15</v>
      </c>
      <c r="V339" cm="1">
        <f t="array" ref="V339">_xlfn.ANCHORARRAY(K339)+0.15</f>
        <v>4.6500000000000004</v>
      </c>
      <c r="W339">
        <f>TBL_TEV[[#This Row],[Etica Rendita Bilanciata]]</f>
        <v>1.724289</v>
      </c>
      <c r="X339">
        <f>TBL_TEV[[#This Row],[Etica Obbligazionario Breve Termine]]</f>
        <v>0.29526599999999997</v>
      </c>
      <c r="Y339">
        <f>TBL_TEV[[#This Row],[Etica Obbligazionario Misto]]</f>
        <v>0.75753199999999998</v>
      </c>
      <c r="Z339">
        <f>TBL_TEV[[#This Row],[Etica Bilanciato]]</f>
        <v>2.242909</v>
      </c>
      <c r="AA339">
        <f>TBL_TEV[[#This Row],[Etica Azionario]]</f>
        <v>3.301104</v>
      </c>
      <c r="AB339">
        <f>TBL_TEV[[#This Row],[Etica Transizione Climatica]]</f>
        <v>2.4241959999999998</v>
      </c>
      <c r="AC339">
        <f>TBL_TEV[[#This Row],[Etica Obiettivo Sociale]]</f>
        <v>8.7739984821563866</v>
      </c>
      <c r="AD339">
        <f>TBL_TEV[[#This Row],[Etica Conservative Allocation]]</f>
        <v>0.830237</v>
      </c>
      <c r="AE339">
        <f>TBL_TEV[[#This Row],[Etica Dynamic Allocation]]</f>
        <v>2.2459250000000002</v>
      </c>
      <c r="AF339">
        <f>TBL_TEV[[#This Row],[Etica Global Equity]]</f>
        <v>3.2337959999999999</v>
      </c>
      <c r="AL339">
        <f ca="1"/>
        <v>1.77477</v>
      </c>
      <c r="AM339">
        <f ca="1"/>
        <v>0.430199</v>
      </c>
      <c r="AN339">
        <f ca="1"/>
        <v>0.83865000000000001</v>
      </c>
      <c r="AO339">
        <f ca="1"/>
        <v>2.239099</v>
      </c>
      <c r="AP339">
        <f ca="1"/>
        <v>3.278403</v>
      </c>
      <c r="AQ339">
        <f ca="1"/>
        <v>2.413243</v>
      </c>
      <c r="AR339">
        <f ca="1"/>
        <v>8.6991213242216396</v>
      </c>
      <c r="AS339">
        <f ca="1"/>
        <v>0.87452700000000005</v>
      </c>
      <c r="AT339">
        <f ca="1"/>
        <v>2.229733</v>
      </c>
      <c r="AU339">
        <f ca="1"/>
        <v>3.2131590000000001</v>
      </c>
    </row>
    <row r="340" spans="1:47">
      <c r="A340" s="43">
        <f>TBL_TEV[[#This Row],[Data2]]</f>
        <v>45776</v>
      </c>
      <c r="B340" cm="1">
        <f t="array" ref="B340">_xlfn.XLOOKUP(_xlfn.ANCHORARRAY(A340), TBL_Limiti_CDA[Data], TBL_Limiti_CDA[Etica Rendita Bilanciata], , -1)</f>
        <v>2.5</v>
      </c>
      <c r="C340" cm="1">
        <f t="array" ref="C340">_xlfn.XLOOKUP(_xlfn.ANCHORARRAY(A340), TBL_Limiti_CDA[Data], TBL_Limiti_CDA[Etica Obbligazionario Breve Termine], , -1)</f>
        <v>0.5</v>
      </c>
      <c r="D340" cm="1">
        <f t="array" ref="D340">_xlfn.XLOOKUP(_xlfn.ANCHORARRAY(A340), TBL_Limiti_CDA[Data], TBL_Limiti_CDA[Etica Obbligazionario Misto], , -1)</f>
        <v>1</v>
      </c>
      <c r="E340" cm="1">
        <f t="array" ref="E340">_xlfn.XLOOKUP(_xlfn.ANCHORARRAY(A340), TBL_Limiti_CDA[Data], TBL_Limiti_CDA[Etica Bilanciato], , -1)</f>
        <v>3</v>
      </c>
      <c r="F340" cm="1">
        <f t="array" ref="F340">_xlfn.XLOOKUP(_xlfn.ANCHORARRAY(A340), TBL_Limiti_CDA[Data], TBL_Limiti_CDA[Etica Azionario], , -1)</f>
        <v>4.5</v>
      </c>
      <c r="G340" cm="1">
        <f t="array" ref="G340">_xlfn.XLOOKUP(_xlfn.ANCHORARRAY(A340), TBL_Limiti_CDA[Data], TBL_Limiti_CDA[Etica Transizione Climatica], , -1)</f>
        <v>3.5</v>
      </c>
      <c r="H340" cm="1">
        <f t="array" ref="H340">_xlfn.XLOOKUP(_xlfn.ANCHORARRAY(A340), TBL_Limiti_CDA[Data], TBL_Limiti_CDA[Etica Obiettivo Sociale], , -1)</f>
        <v>9.99</v>
      </c>
      <c r="I340" cm="1">
        <f t="array" ref="I340">_xlfn.XLOOKUP(_xlfn.ANCHORARRAY(A340), TBL_Limiti_CDA[Data], TBL_Limiti_CDA[Etica Conservative Allocation], , -1)</f>
        <v>1</v>
      </c>
      <c r="J340" cm="1">
        <f t="array" ref="J340">_xlfn.XLOOKUP(_xlfn.ANCHORARRAY(A340), TBL_Limiti_CDA[Data], TBL_Limiti_CDA[Etica Dynamic Allocation], , -1)</f>
        <v>3</v>
      </c>
      <c r="K340" cm="1">
        <f t="array" ref="K340">_xlfn.XLOOKUP(_xlfn.ANCHORARRAY(A340), TBL_Limiti_CDA[Data], TBL_Limiti_CDA[Etica Global Equity], , -1)</f>
        <v>4.5</v>
      </c>
      <c r="L340" cm="1">
        <f t="array" ref="L340">_xlfn.ANCHORARRAY(B340)+0.15</f>
        <v>2.65</v>
      </c>
      <c r="M340" cm="1">
        <f t="array" ref="M340">_xlfn.ANCHORARRAY(C340)+0.1</f>
        <v>0.6</v>
      </c>
      <c r="N340" cm="1">
        <f t="array" ref="N340">_xlfn.ANCHORARRAY(D340)+0.15</f>
        <v>1.1499999999999999</v>
      </c>
      <c r="O340" cm="1">
        <f t="array" ref="O340">_xlfn.ANCHORARRAY(E340)+0.15</f>
        <v>3.15</v>
      </c>
      <c r="P340" cm="1">
        <f t="array" ref="P340">_xlfn.ANCHORARRAY(F340)+0.15</f>
        <v>4.6500000000000004</v>
      </c>
      <c r="Q340" cm="1">
        <f t="array" ref="Q340">_xlfn.ANCHORARRAY(G340)+0.15</f>
        <v>3.65</v>
      </c>
      <c r="R340" cm="1">
        <f t="array" ref="R340">_xlfn.ANCHORARRAY(H340)</f>
        <v>9.99</v>
      </c>
      <c r="S340" cm="1">
        <f t="array" ref="S340">_xlfn.ANCHORARRAY(R340)+0.15</f>
        <v>10.14</v>
      </c>
      <c r="T340" cm="1">
        <f t="array" ref="T340">_xlfn.ANCHORARRAY(I340)+0.15</f>
        <v>1.1499999999999999</v>
      </c>
      <c r="U340" cm="1">
        <f t="array" ref="U340">_xlfn.ANCHORARRAY(J340)+0.15</f>
        <v>3.15</v>
      </c>
      <c r="V340" cm="1">
        <f t="array" ref="V340">_xlfn.ANCHORARRAY(K340)+0.15</f>
        <v>4.6500000000000004</v>
      </c>
      <c r="W340">
        <f>TBL_TEV[[#This Row],[Etica Rendita Bilanciata]]</f>
        <v>1.77477</v>
      </c>
      <c r="X340">
        <f>TBL_TEV[[#This Row],[Etica Obbligazionario Breve Termine]]</f>
        <v>0.430199</v>
      </c>
      <c r="Y340">
        <f>TBL_TEV[[#This Row],[Etica Obbligazionario Misto]]</f>
        <v>0.83865000000000001</v>
      </c>
      <c r="Z340">
        <f>TBL_TEV[[#This Row],[Etica Bilanciato]]</f>
        <v>2.239099</v>
      </c>
      <c r="AA340">
        <f>TBL_TEV[[#This Row],[Etica Azionario]]</f>
        <v>3.278403</v>
      </c>
      <c r="AB340">
        <f>TBL_TEV[[#This Row],[Etica Transizione Climatica]]</f>
        <v>2.413243</v>
      </c>
      <c r="AC340">
        <f>TBL_TEV[[#This Row],[Etica Obiettivo Sociale]]</f>
        <v>8.6991213242216396</v>
      </c>
      <c r="AD340">
        <f>TBL_TEV[[#This Row],[Etica Conservative Allocation]]</f>
        <v>0.87452700000000005</v>
      </c>
      <c r="AE340">
        <f>TBL_TEV[[#This Row],[Etica Dynamic Allocation]]</f>
        <v>2.229733</v>
      </c>
      <c r="AF340">
        <f>TBL_TEV[[#This Row],[Etica Global Equity]]</f>
        <v>3.2131590000000001</v>
      </c>
      <c r="AL340">
        <f ca="1"/>
        <v>1.6982550000000001</v>
      </c>
      <c r="AM340">
        <f ca="1"/>
        <v>0.40194299999999999</v>
      </c>
      <c r="AN340">
        <f ca="1"/>
        <v>0.74959399999999998</v>
      </c>
      <c r="AO340">
        <f ca="1"/>
        <v>2.2362419999999998</v>
      </c>
      <c r="AP340">
        <f ca="1"/>
        <v>3.2906270000000002</v>
      </c>
      <c r="AQ340">
        <f ca="1"/>
        <v>2.36673</v>
      </c>
      <c r="AR340">
        <f ca="1"/>
        <v>8.5767286201059356</v>
      </c>
      <c r="AS340">
        <f ca="1"/>
        <v>0.910721</v>
      </c>
      <c r="AT340">
        <f ca="1"/>
        <v>2.238782</v>
      </c>
      <c r="AU340">
        <f ca="1"/>
        <v>3.2271290000000001</v>
      </c>
    </row>
    <row r="341" spans="1:47">
      <c r="A341" s="43">
        <f>TBL_TEV[[#This Row],[Data2]]</f>
        <v>45777</v>
      </c>
      <c r="B341" cm="1">
        <f t="array" ref="B341">_xlfn.XLOOKUP(_xlfn.ANCHORARRAY(A341), TBL_Limiti_CDA[Data], TBL_Limiti_CDA[Etica Rendita Bilanciata], , -1)</f>
        <v>2.5</v>
      </c>
      <c r="C341" cm="1">
        <f t="array" ref="C341">_xlfn.XLOOKUP(_xlfn.ANCHORARRAY(A341), TBL_Limiti_CDA[Data], TBL_Limiti_CDA[Etica Obbligazionario Breve Termine], , -1)</f>
        <v>0.5</v>
      </c>
      <c r="D341" cm="1">
        <f t="array" ref="D341">_xlfn.XLOOKUP(_xlfn.ANCHORARRAY(A341), TBL_Limiti_CDA[Data], TBL_Limiti_CDA[Etica Obbligazionario Misto], , -1)</f>
        <v>1</v>
      </c>
      <c r="E341" cm="1">
        <f t="array" ref="E341">_xlfn.XLOOKUP(_xlfn.ANCHORARRAY(A341), TBL_Limiti_CDA[Data], TBL_Limiti_CDA[Etica Bilanciato], , -1)</f>
        <v>3</v>
      </c>
      <c r="F341" cm="1">
        <f t="array" ref="F341">_xlfn.XLOOKUP(_xlfn.ANCHORARRAY(A341), TBL_Limiti_CDA[Data], TBL_Limiti_CDA[Etica Azionario], , -1)</f>
        <v>4.5</v>
      </c>
      <c r="G341" cm="1">
        <f t="array" ref="G341">_xlfn.XLOOKUP(_xlfn.ANCHORARRAY(A341), TBL_Limiti_CDA[Data], TBL_Limiti_CDA[Etica Transizione Climatica], , -1)</f>
        <v>3.5</v>
      </c>
      <c r="H341" cm="1">
        <f t="array" ref="H341">_xlfn.XLOOKUP(_xlfn.ANCHORARRAY(A341), TBL_Limiti_CDA[Data], TBL_Limiti_CDA[Etica Obiettivo Sociale], , -1)</f>
        <v>9.99</v>
      </c>
      <c r="I341" cm="1">
        <f t="array" ref="I341">_xlfn.XLOOKUP(_xlfn.ANCHORARRAY(A341), TBL_Limiti_CDA[Data], TBL_Limiti_CDA[Etica Conservative Allocation], , -1)</f>
        <v>1</v>
      </c>
      <c r="J341" cm="1">
        <f t="array" ref="J341">_xlfn.XLOOKUP(_xlfn.ANCHORARRAY(A341), TBL_Limiti_CDA[Data], TBL_Limiti_CDA[Etica Dynamic Allocation], , -1)</f>
        <v>3</v>
      </c>
      <c r="K341" cm="1">
        <f t="array" ref="K341">_xlfn.XLOOKUP(_xlfn.ANCHORARRAY(A341), TBL_Limiti_CDA[Data], TBL_Limiti_CDA[Etica Global Equity], , -1)</f>
        <v>4.5</v>
      </c>
      <c r="L341" cm="1">
        <f t="array" ref="L341">_xlfn.ANCHORARRAY(B341)+0.15</f>
        <v>2.65</v>
      </c>
      <c r="M341" cm="1">
        <f t="array" ref="M341">_xlfn.ANCHORARRAY(C341)+0.1</f>
        <v>0.6</v>
      </c>
      <c r="N341" cm="1">
        <f t="array" ref="N341">_xlfn.ANCHORARRAY(D341)+0.15</f>
        <v>1.1499999999999999</v>
      </c>
      <c r="O341" cm="1">
        <f t="array" ref="O341">_xlfn.ANCHORARRAY(E341)+0.15</f>
        <v>3.15</v>
      </c>
      <c r="P341" cm="1">
        <f t="array" ref="P341">_xlfn.ANCHORARRAY(F341)+0.15</f>
        <v>4.6500000000000004</v>
      </c>
      <c r="Q341" cm="1">
        <f t="array" ref="Q341">_xlfn.ANCHORARRAY(G341)+0.15</f>
        <v>3.65</v>
      </c>
      <c r="R341" cm="1">
        <f t="array" ref="R341">_xlfn.ANCHORARRAY(H341)</f>
        <v>9.99</v>
      </c>
      <c r="S341" cm="1">
        <f t="array" ref="S341">_xlfn.ANCHORARRAY(R341)+0.15</f>
        <v>10.14</v>
      </c>
      <c r="T341" cm="1">
        <f t="array" ref="T341">_xlfn.ANCHORARRAY(I341)+0.15</f>
        <v>1.1499999999999999</v>
      </c>
      <c r="U341" cm="1">
        <f t="array" ref="U341">_xlfn.ANCHORARRAY(J341)+0.15</f>
        <v>3.15</v>
      </c>
      <c r="V341" cm="1">
        <f t="array" ref="V341">_xlfn.ANCHORARRAY(K341)+0.15</f>
        <v>4.6500000000000004</v>
      </c>
      <c r="W341">
        <f>TBL_TEV[[#This Row],[Etica Rendita Bilanciata]]</f>
        <v>1.6982550000000001</v>
      </c>
      <c r="X341">
        <f>TBL_TEV[[#This Row],[Etica Obbligazionario Breve Termine]]</f>
        <v>0.40194299999999999</v>
      </c>
      <c r="Y341">
        <f>TBL_TEV[[#This Row],[Etica Obbligazionario Misto]]</f>
        <v>0.74959399999999998</v>
      </c>
      <c r="Z341">
        <f>TBL_TEV[[#This Row],[Etica Bilanciato]]</f>
        <v>2.2362419999999998</v>
      </c>
      <c r="AA341">
        <f>TBL_TEV[[#This Row],[Etica Azionario]]</f>
        <v>3.2906270000000002</v>
      </c>
      <c r="AB341">
        <f>TBL_TEV[[#This Row],[Etica Transizione Climatica]]</f>
        <v>2.36673</v>
      </c>
      <c r="AC341">
        <f>TBL_TEV[[#This Row],[Etica Obiettivo Sociale]]</f>
        <v>8.5767286201059356</v>
      </c>
      <c r="AD341">
        <f>TBL_TEV[[#This Row],[Etica Conservative Allocation]]</f>
        <v>0.910721</v>
      </c>
      <c r="AE341">
        <f>TBL_TEV[[#This Row],[Etica Dynamic Allocation]]</f>
        <v>2.238782</v>
      </c>
      <c r="AF341">
        <f>TBL_TEV[[#This Row],[Etica Global Equity]]</f>
        <v>3.2271290000000001</v>
      </c>
      <c r="AL341">
        <f ca="1"/>
        <v>1.692064</v>
      </c>
      <c r="AM341">
        <f ca="1"/>
        <v>0.39432299999999998</v>
      </c>
      <c r="AN341">
        <f ca="1"/>
        <v>0.74657799999999996</v>
      </c>
      <c r="AO341">
        <f ca="1"/>
        <v>2.2845</v>
      </c>
      <c r="AP341">
        <f ca="1"/>
        <v>3.3903189999999999</v>
      </c>
      <c r="AQ341">
        <f ca="1"/>
        <v>2.4032420000000001</v>
      </c>
      <c r="AR341">
        <f ca="1"/>
        <v>8.6557736631461726</v>
      </c>
      <c r="AS341">
        <f ca="1"/>
        <v>0.79848799999999998</v>
      </c>
      <c r="AT341">
        <f ca="1"/>
        <v>2.2895799999999999</v>
      </c>
      <c r="AU341">
        <f ca="1"/>
        <v>3.3207879999999999</v>
      </c>
    </row>
    <row r="342" spans="1:47">
      <c r="A342" s="43">
        <f>TBL_TEV[[#This Row],[Data2]]</f>
        <v>45779</v>
      </c>
      <c r="B342" cm="1">
        <f t="array" ref="B342">_xlfn.XLOOKUP(_xlfn.ANCHORARRAY(A342), TBL_Limiti_CDA[Data], TBL_Limiti_CDA[Etica Rendita Bilanciata], , -1)</f>
        <v>2.5</v>
      </c>
      <c r="C342" cm="1">
        <f t="array" ref="C342">_xlfn.XLOOKUP(_xlfn.ANCHORARRAY(A342), TBL_Limiti_CDA[Data], TBL_Limiti_CDA[Etica Obbligazionario Breve Termine], , -1)</f>
        <v>0.5</v>
      </c>
      <c r="D342" cm="1">
        <f t="array" ref="D342">_xlfn.XLOOKUP(_xlfn.ANCHORARRAY(A342), TBL_Limiti_CDA[Data], TBL_Limiti_CDA[Etica Obbligazionario Misto], , -1)</f>
        <v>1</v>
      </c>
      <c r="E342" cm="1">
        <f t="array" ref="E342">_xlfn.XLOOKUP(_xlfn.ANCHORARRAY(A342), TBL_Limiti_CDA[Data], TBL_Limiti_CDA[Etica Bilanciato], , -1)</f>
        <v>3</v>
      </c>
      <c r="F342" cm="1">
        <f t="array" ref="F342">_xlfn.XLOOKUP(_xlfn.ANCHORARRAY(A342), TBL_Limiti_CDA[Data], TBL_Limiti_CDA[Etica Azionario], , -1)</f>
        <v>4.5</v>
      </c>
      <c r="G342" cm="1">
        <f t="array" ref="G342">_xlfn.XLOOKUP(_xlfn.ANCHORARRAY(A342), TBL_Limiti_CDA[Data], TBL_Limiti_CDA[Etica Transizione Climatica], , -1)</f>
        <v>3.5</v>
      </c>
      <c r="H342" cm="1">
        <f t="array" ref="H342">_xlfn.XLOOKUP(_xlfn.ANCHORARRAY(A342), TBL_Limiti_CDA[Data], TBL_Limiti_CDA[Etica Obiettivo Sociale], , -1)</f>
        <v>9.99</v>
      </c>
      <c r="I342" cm="1">
        <f t="array" ref="I342">_xlfn.XLOOKUP(_xlfn.ANCHORARRAY(A342), TBL_Limiti_CDA[Data], TBL_Limiti_CDA[Etica Conservative Allocation], , -1)</f>
        <v>1</v>
      </c>
      <c r="J342" cm="1">
        <f t="array" ref="J342">_xlfn.XLOOKUP(_xlfn.ANCHORARRAY(A342), TBL_Limiti_CDA[Data], TBL_Limiti_CDA[Etica Dynamic Allocation], , -1)</f>
        <v>3</v>
      </c>
      <c r="K342" cm="1">
        <f t="array" ref="K342">_xlfn.XLOOKUP(_xlfn.ANCHORARRAY(A342), TBL_Limiti_CDA[Data], TBL_Limiti_CDA[Etica Global Equity], , -1)</f>
        <v>4.5</v>
      </c>
      <c r="L342" cm="1">
        <f t="array" ref="L342">_xlfn.ANCHORARRAY(B342)+0.15</f>
        <v>2.65</v>
      </c>
      <c r="M342" cm="1">
        <f t="array" ref="M342">_xlfn.ANCHORARRAY(C342)+0.1</f>
        <v>0.6</v>
      </c>
      <c r="N342" cm="1">
        <f t="array" ref="N342">_xlfn.ANCHORARRAY(D342)+0.15</f>
        <v>1.1499999999999999</v>
      </c>
      <c r="O342" cm="1">
        <f t="array" ref="O342">_xlfn.ANCHORARRAY(E342)+0.15</f>
        <v>3.15</v>
      </c>
      <c r="P342" cm="1">
        <f t="array" ref="P342">_xlfn.ANCHORARRAY(F342)+0.15</f>
        <v>4.6500000000000004</v>
      </c>
      <c r="Q342" cm="1">
        <f t="array" ref="Q342">_xlfn.ANCHORARRAY(G342)+0.15</f>
        <v>3.65</v>
      </c>
      <c r="R342" cm="1">
        <f t="array" ref="R342">_xlfn.ANCHORARRAY(H342)</f>
        <v>9.99</v>
      </c>
      <c r="S342" cm="1">
        <f t="array" ref="S342">_xlfn.ANCHORARRAY(R342)+0.15</f>
        <v>10.14</v>
      </c>
      <c r="T342" cm="1">
        <f t="array" ref="T342">_xlfn.ANCHORARRAY(I342)+0.15</f>
        <v>1.1499999999999999</v>
      </c>
      <c r="U342" cm="1">
        <f t="array" ref="U342">_xlfn.ANCHORARRAY(J342)+0.15</f>
        <v>3.15</v>
      </c>
      <c r="V342" cm="1">
        <f t="array" ref="V342">_xlfn.ANCHORARRAY(K342)+0.15</f>
        <v>4.6500000000000004</v>
      </c>
      <c r="W342">
        <f>TBL_TEV[[#This Row],[Etica Rendita Bilanciata]]</f>
        <v>1.692064</v>
      </c>
      <c r="X342">
        <f>TBL_TEV[[#This Row],[Etica Obbligazionario Breve Termine]]</f>
        <v>0.39432299999999998</v>
      </c>
      <c r="Y342">
        <f>TBL_TEV[[#This Row],[Etica Obbligazionario Misto]]</f>
        <v>0.74657799999999996</v>
      </c>
      <c r="Z342">
        <f>TBL_TEV[[#This Row],[Etica Bilanciato]]</f>
        <v>2.2845</v>
      </c>
      <c r="AA342">
        <f>TBL_TEV[[#This Row],[Etica Azionario]]</f>
        <v>3.3903189999999999</v>
      </c>
      <c r="AB342">
        <f>TBL_TEV[[#This Row],[Etica Transizione Climatica]]</f>
        <v>2.4032420000000001</v>
      </c>
      <c r="AC342">
        <f>TBL_TEV[[#This Row],[Etica Obiettivo Sociale]]</f>
        <v>8.6557736631461726</v>
      </c>
      <c r="AD342">
        <f>TBL_TEV[[#This Row],[Etica Conservative Allocation]]</f>
        <v>0.79848799999999998</v>
      </c>
      <c r="AE342">
        <f>TBL_TEV[[#This Row],[Etica Dynamic Allocation]]</f>
        <v>2.2895799999999999</v>
      </c>
      <c r="AF342">
        <f>TBL_TEV[[#This Row],[Etica Global Equity]]</f>
        <v>3.3207879999999999</v>
      </c>
      <c r="AL342">
        <f ca="1"/>
        <v>1.676666</v>
      </c>
      <c r="AM342">
        <f ca="1"/>
        <v>0.39162400000000003</v>
      </c>
      <c r="AN342">
        <f ca="1"/>
        <v>0.74086300000000005</v>
      </c>
      <c r="AO342">
        <f ca="1"/>
        <v>2.261482</v>
      </c>
      <c r="AP342">
        <f ca="1"/>
        <v>3.3561879999999999</v>
      </c>
      <c r="AQ342">
        <f ca="1"/>
        <v>2.380382</v>
      </c>
      <c r="AR342">
        <f ca="1"/>
        <v>8.6065391676688101</v>
      </c>
      <c r="AS342">
        <f ca="1"/>
        <v>0.79547199999999996</v>
      </c>
      <c r="AT342">
        <f ca="1"/>
        <v>2.2738649999999998</v>
      </c>
      <c r="AU342">
        <f ca="1"/>
        <v>3.2972939999999999</v>
      </c>
    </row>
    <row r="343" spans="1:47">
      <c r="A343" s="43">
        <f>TBL_TEV[[#This Row],[Data2]]</f>
        <v>45782</v>
      </c>
      <c r="B343" cm="1">
        <f t="array" ref="B343">_xlfn.XLOOKUP(_xlfn.ANCHORARRAY(A343), TBL_Limiti_CDA[Data], TBL_Limiti_CDA[Etica Rendita Bilanciata], , -1)</f>
        <v>2.5</v>
      </c>
      <c r="C343" cm="1">
        <f t="array" ref="C343">_xlfn.XLOOKUP(_xlfn.ANCHORARRAY(A343), TBL_Limiti_CDA[Data], TBL_Limiti_CDA[Etica Obbligazionario Breve Termine], , -1)</f>
        <v>0.5</v>
      </c>
      <c r="D343" cm="1">
        <f t="array" ref="D343">_xlfn.XLOOKUP(_xlfn.ANCHORARRAY(A343), TBL_Limiti_CDA[Data], TBL_Limiti_CDA[Etica Obbligazionario Misto], , -1)</f>
        <v>1</v>
      </c>
      <c r="E343" cm="1">
        <f t="array" ref="E343">_xlfn.XLOOKUP(_xlfn.ANCHORARRAY(A343), TBL_Limiti_CDA[Data], TBL_Limiti_CDA[Etica Bilanciato], , -1)</f>
        <v>3</v>
      </c>
      <c r="F343" cm="1">
        <f t="array" ref="F343">_xlfn.XLOOKUP(_xlfn.ANCHORARRAY(A343), TBL_Limiti_CDA[Data], TBL_Limiti_CDA[Etica Azionario], , -1)</f>
        <v>4.5</v>
      </c>
      <c r="G343" cm="1">
        <f t="array" ref="G343">_xlfn.XLOOKUP(_xlfn.ANCHORARRAY(A343), TBL_Limiti_CDA[Data], TBL_Limiti_CDA[Etica Transizione Climatica], , -1)</f>
        <v>3.5</v>
      </c>
      <c r="H343" cm="1">
        <f t="array" ref="H343">_xlfn.XLOOKUP(_xlfn.ANCHORARRAY(A343), TBL_Limiti_CDA[Data], TBL_Limiti_CDA[Etica Obiettivo Sociale], , -1)</f>
        <v>9.99</v>
      </c>
      <c r="I343" cm="1">
        <f t="array" ref="I343">_xlfn.XLOOKUP(_xlfn.ANCHORARRAY(A343), TBL_Limiti_CDA[Data], TBL_Limiti_CDA[Etica Conservative Allocation], , -1)</f>
        <v>1</v>
      </c>
      <c r="J343" cm="1">
        <f t="array" ref="J343">_xlfn.XLOOKUP(_xlfn.ANCHORARRAY(A343), TBL_Limiti_CDA[Data], TBL_Limiti_CDA[Etica Dynamic Allocation], , -1)</f>
        <v>3</v>
      </c>
      <c r="K343" cm="1">
        <f t="array" ref="K343">_xlfn.XLOOKUP(_xlfn.ANCHORARRAY(A343), TBL_Limiti_CDA[Data], TBL_Limiti_CDA[Etica Global Equity], , -1)</f>
        <v>4.5</v>
      </c>
      <c r="L343" cm="1">
        <f t="array" ref="L343">_xlfn.ANCHORARRAY(B343)+0.15</f>
        <v>2.65</v>
      </c>
      <c r="M343" cm="1">
        <f t="array" ref="M343">_xlfn.ANCHORARRAY(C343)+0.1</f>
        <v>0.6</v>
      </c>
      <c r="N343" cm="1">
        <f t="array" ref="N343">_xlfn.ANCHORARRAY(D343)+0.15</f>
        <v>1.1499999999999999</v>
      </c>
      <c r="O343" cm="1">
        <f t="array" ref="O343">_xlfn.ANCHORARRAY(E343)+0.15</f>
        <v>3.15</v>
      </c>
      <c r="P343" cm="1">
        <f t="array" ref="P343">_xlfn.ANCHORARRAY(F343)+0.15</f>
        <v>4.6500000000000004</v>
      </c>
      <c r="Q343" cm="1">
        <f t="array" ref="Q343">_xlfn.ANCHORARRAY(G343)+0.15</f>
        <v>3.65</v>
      </c>
      <c r="R343" cm="1">
        <f t="array" ref="R343">_xlfn.ANCHORARRAY(H343)</f>
        <v>9.99</v>
      </c>
      <c r="S343" cm="1">
        <f t="array" ref="S343">_xlfn.ANCHORARRAY(R343)+0.15</f>
        <v>10.14</v>
      </c>
      <c r="T343" cm="1">
        <f t="array" ref="T343">_xlfn.ANCHORARRAY(I343)+0.15</f>
        <v>1.1499999999999999</v>
      </c>
      <c r="U343" cm="1">
        <f t="array" ref="U343">_xlfn.ANCHORARRAY(J343)+0.15</f>
        <v>3.15</v>
      </c>
      <c r="V343" cm="1">
        <f t="array" ref="V343">_xlfn.ANCHORARRAY(K343)+0.15</f>
        <v>4.6500000000000004</v>
      </c>
      <c r="W343">
        <f>TBL_TEV[[#This Row],[Etica Rendita Bilanciata]]</f>
        <v>1.676666</v>
      </c>
      <c r="X343">
        <f>TBL_TEV[[#This Row],[Etica Obbligazionario Breve Termine]]</f>
        <v>0.39162400000000003</v>
      </c>
      <c r="Y343">
        <f>TBL_TEV[[#This Row],[Etica Obbligazionario Misto]]</f>
        <v>0.74086300000000005</v>
      </c>
      <c r="Z343">
        <f>TBL_TEV[[#This Row],[Etica Bilanciato]]</f>
        <v>2.261482</v>
      </c>
      <c r="AA343">
        <f>TBL_TEV[[#This Row],[Etica Azionario]]</f>
        <v>3.3561879999999999</v>
      </c>
      <c r="AB343">
        <f>TBL_TEV[[#This Row],[Etica Transizione Climatica]]</f>
        <v>2.380382</v>
      </c>
      <c r="AC343">
        <f>TBL_TEV[[#This Row],[Etica Obiettivo Sociale]]</f>
        <v>8.6065391676688101</v>
      </c>
      <c r="AD343">
        <f>TBL_TEV[[#This Row],[Etica Conservative Allocation]]</f>
        <v>0.79547199999999996</v>
      </c>
      <c r="AE343">
        <f>TBL_TEV[[#This Row],[Etica Dynamic Allocation]]</f>
        <v>2.2738649999999998</v>
      </c>
      <c r="AF343">
        <f>TBL_TEV[[#This Row],[Etica Global Equity]]</f>
        <v>3.2972939999999999</v>
      </c>
      <c r="AL343">
        <f ca="1"/>
        <v>1.6674580000000001</v>
      </c>
      <c r="AM343">
        <f ca="1"/>
        <v>0.39083000000000001</v>
      </c>
      <c r="AN343">
        <f ca="1"/>
        <v>0.73832299999999995</v>
      </c>
      <c r="AO343">
        <f ca="1"/>
        <v>2.2464019999999998</v>
      </c>
      <c r="AP343">
        <f ca="1"/>
        <v>3.3222170000000002</v>
      </c>
      <c r="AQ343">
        <f ca="1"/>
        <v>2.3746679999999998</v>
      </c>
      <c r="AR343">
        <f ca="1"/>
        <v>8.4420330746134269</v>
      </c>
      <c r="AS343">
        <f ca="1"/>
        <v>0.79023299999999996</v>
      </c>
      <c r="AT343">
        <f ca="1"/>
        <v>2.2586249999999999</v>
      </c>
      <c r="AU343">
        <f ca="1"/>
        <v>3.2755459999999998</v>
      </c>
    </row>
    <row r="344" spans="1:47">
      <c r="A344" s="43">
        <f>TBL_TEV[[#This Row],[Data2]]</f>
        <v>45783</v>
      </c>
      <c r="B344" cm="1">
        <f t="array" ref="B344">_xlfn.XLOOKUP(_xlfn.ANCHORARRAY(A344), TBL_Limiti_CDA[Data], TBL_Limiti_CDA[Etica Rendita Bilanciata], , -1)</f>
        <v>2.5</v>
      </c>
      <c r="C344" cm="1">
        <f t="array" ref="C344">_xlfn.XLOOKUP(_xlfn.ANCHORARRAY(A344), TBL_Limiti_CDA[Data], TBL_Limiti_CDA[Etica Obbligazionario Breve Termine], , -1)</f>
        <v>0.5</v>
      </c>
      <c r="D344" cm="1">
        <f t="array" ref="D344">_xlfn.XLOOKUP(_xlfn.ANCHORARRAY(A344), TBL_Limiti_CDA[Data], TBL_Limiti_CDA[Etica Obbligazionario Misto], , -1)</f>
        <v>1</v>
      </c>
      <c r="E344" cm="1">
        <f t="array" ref="E344">_xlfn.XLOOKUP(_xlfn.ANCHORARRAY(A344), TBL_Limiti_CDA[Data], TBL_Limiti_CDA[Etica Bilanciato], , -1)</f>
        <v>3</v>
      </c>
      <c r="F344" cm="1">
        <f t="array" ref="F344">_xlfn.XLOOKUP(_xlfn.ANCHORARRAY(A344), TBL_Limiti_CDA[Data], TBL_Limiti_CDA[Etica Azionario], , -1)</f>
        <v>4.5</v>
      </c>
      <c r="G344" cm="1">
        <f t="array" ref="G344">_xlfn.XLOOKUP(_xlfn.ANCHORARRAY(A344), TBL_Limiti_CDA[Data], TBL_Limiti_CDA[Etica Transizione Climatica], , -1)</f>
        <v>3.5</v>
      </c>
      <c r="H344" cm="1">
        <f t="array" ref="H344">_xlfn.XLOOKUP(_xlfn.ANCHORARRAY(A344), TBL_Limiti_CDA[Data], TBL_Limiti_CDA[Etica Obiettivo Sociale], , -1)</f>
        <v>9.99</v>
      </c>
      <c r="I344" cm="1">
        <f t="array" ref="I344">_xlfn.XLOOKUP(_xlfn.ANCHORARRAY(A344), TBL_Limiti_CDA[Data], TBL_Limiti_CDA[Etica Conservative Allocation], , -1)</f>
        <v>1</v>
      </c>
      <c r="J344" cm="1">
        <f t="array" ref="J344">_xlfn.XLOOKUP(_xlfn.ANCHORARRAY(A344), TBL_Limiti_CDA[Data], TBL_Limiti_CDA[Etica Dynamic Allocation], , -1)</f>
        <v>3</v>
      </c>
      <c r="K344" cm="1">
        <f t="array" ref="K344">_xlfn.XLOOKUP(_xlfn.ANCHORARRAY(A344), TBL_Limiti_CDA[Data], TBL_Limiti_CDA[Etica Global Equity], , -1)</f>
        <v>4.5</v>
      </c>
      <c r="L344" cm="1">
        <f t="array" ref="L344">_xlfn.ANCHORARRAY(B344)+0.15</f>
        <v>2.65</v>
      </c>
      <c r="M344" cm="1">
        <f t="array" ref="M344">_xlfn.ANCHORARRAY(C344)+0.1</f>
        <v>0.6</v>
      </c>
      <c r="N344" cm="1">
        <f t="array" ref="N344">_xlfn.ANCHORARRAY(D344)+0.15</f>
        <v>1.1499999999999999</v>
      </c>
      <c r="O344" cm="1">
        <f t="array" ref="O344">_xlfn.ANCHORARRAY(E344)+0.15</f>
        <v>3.15</v>
      </c>
      <c r="P344" cm="1">
        <f t="array" ref="P344">_xlfn.ANCHORARRAY(F344)+0.15</f>
        <v>4.6500000000000004</v>
      </c>
      <c r="Q344" cm="1">
        <f t="array" ref="Q344">_xlfn.ANCHORARRAY(G344)+0.15</f>
        <v>3.65</v>
      </c>
      <c r="R344" cm="1">
        <f t="array" ref="R344">_xlfn.ANCHORARRAY(H344)</f>
        <v>9.99</v>
      </c>
      <c r="S344" cm="1">
        <f t="array" ref="S344">_xlfn.ANCHORARRAY(R344)+0.15</f>
        <v>10.14</v>
      </c>
      <c r="T344" cm="1">
        <f t="array" ref="T344">_xlfn.ANCHORARRAY(I344)+0.15</f>
        <v>1.1499999999999999</v>
      </c>
      <c r="U344" cm="1">
        <f t="array" ref="U344">_xlfn.ANCHORARRAY(J344)+0.15</f>
        <v>3.15</v>
      </c>
      <c r="V344" cm="1">
        <f t="array" ref="V344">_xlfn.ANCHORARRAY(K344)+0.15</f>
        <v>4.6500000000000004</v>
      </c>
      <c r="W344">
        <f>TBL_TEV[[#This Row],[Etica Rendita Bilanciata]]</f>
        <v>1.6674580000000001</v>
      </c>
      <c r="X344">
        <f>TBL_TEV[[#This Row],[Etica Obbligazionario Breve Termine]]</f>
        <v>0.39083000000000001</v>
      </c>
      <c r="Y344">
        <f>TBL_TEV[[#This Row],[Etica Obbligazionario Misto]]</f>
        <v>0.73832299999999995</v>
      </c>
      <c r="Z344">
        <f>TBL_TEV[[#This Row],[Etica Bilanciato]]</f>
        <v>2.2464019999999998</v>
      </c>
      <c r="AA344">
        <f>TBL_TEV[[#This Row],[Etica Azionario]]</f>
        <v>3.3222170000000002</v>
      </c>
      <c r="AB344">
        <f>TBL_TEV[[#This Row],[Etica Transizione Climatica]]</f>
        <v>2.3746679999999998</v>
      </c>
      <c r="AC344">
        <f>TBL_TEV[[#This Row],[Etica Obiettivo Sociale]]</f>
        <v>8.4420330746134269</v>
      </c>
      <c r="AD344">
        <f>TBL_TEV[[#This Row],[Etica Conservative Allocation]]</f>
        <v>0.79023299999999996</v>
      </c>
      <c r="AE344">
        <f>TBL_TEV[[#This Row],[Etica Dynamic Allocation]]</f>
        <v>2.2586249999999999</v>
      </c>
      <c r="AF344">
        <f>TBL_TEV[[#This Row],[Etica Global Equity]]</f>
        <v>3.2755459999999998</v>
      </c>
      <c r="AL344">
        <f ca="1"/>
        <v>1.6263430000000001</v>
      </c>
      <c r="AM344">
        <f ca="1"/>
        <v>0.39067200000000002</v>
      </c>
      <c r="AN344">
        <f ca="1"/>
        <v>0.738958</v>
      </c>
      <c r="AO344">
        <f ca="1"/>
        <v>2.2321149999999998</v>
      </c>
      <c r="AP344">
        <f ca="1"/>
        <v>3.273482</v>
      </c>
      <c r="AQ344">
        <f ca="1"/>
        <v>2.36673</v>
      </c>
      <c r="AR344">
        <f ca="1"/>
        <v>8.5229801546531654</v>
      </c>
      <c r="AS344">
        <f ca="1"/>
        <v>0.78435900000000003</v>
      </c>
      <c r="AT344">
        <f ca="1"/>
        <v>2.2356069999999999</v>
      </c>
      <c r="AU344">
        <f ca="1"/>
        <v>3.233479</v>
      </c>
    </row>
    <row r="345" spans="1:47">
      <c r="A345" s="43">
        <f>TBL_TEV[[#This Row],[Data2]]</f>
        <v>45784</v>
      </c>
      <c r="B345" cm="1">
        <f t="array" ref="B345">_xlfn.XLOOKUP(_xlfn.ANCHORARRAY(A345), TBL_Limiti_CDA[Data], TBL_Limiti_CDA[Etica Rendita Bilanciata], , -1)</f>
        <v>2.5</v>
      </c>
      <c r="C345" cm="1">
        <f t="array" ref="C345">_xlfn.XLOOKUP(_xlfn.ANCHORARRAY(A345), TBL_Limiti_CDA[Data], TBL_Limiti_CDA[Etica Obbligazionario Breve Termine], , -1)</f>
        <v>0.5</v>
      </c>
      <c r="D345" cm="1">
        <f t="array" ref="D345">_xlfn.XLOOKUP(_xlfn.ANCHORARRAY(A345), TBL_Limiti_CDA[Data], TBL_Limiti_CDA[Etica Obbligazionario Misto], , -1)</f>
        <v>1</v>
      </c>
      <c r="E345" cm="1">
        <f t="array" ref="E345">_xlfn.XLOOKUP(_xlfn.ANCHORARRAY(A345), TBL_Limiti_CDA[Data], TBL_Limiti_CDA[Etica Bilanciato], , -1)</f>
        <v>3</v>
      </c>
      <c r="F345" cm="1">
        <f t="array" ref="F345">_xlfn.XLOOKUP(_xlfn.ANCHORARRAY(A345), TBL_Limiti_CDA[Data], TBL_Limiti_CDA[Etica Azionario], , -1)</f>
        <v>4.5</v>
      </c>
      <c r="G345" cm="1">
        <f t="array" ref="G345">_xlfn.XLOOKUP(_xlfn.ANCHORARRAY(A345), TBL_Limiti_CDA[Data], TBL_Limiti_CDA[Etica Transizione Climatica], , -1)</f>
        <v>3.5</v>
      </c>
      <c r="H345" cm="1">
        <f t="array" ref="H345">_xlfn.XLOOKUP(_xlfn.ANCHORARRAY(A345), TBL_Limiti_CDA[Data], TBL_Limiti_CDA[Etica Obiettivo Sociale], , -1)</f>
        <v>9.99</v>
      </c>
      <c r="I345" cm="1">
        <f t="array" ref="I345">_xlfn.XLOOKUP(_xlfn.ANCHORARRAY(A345), TBL_Limiti_CDA[Data], TBL_Limiti_CDA[Etica Conservative Allocation], , -1)</f>
        <v>1</v>
      </c>
      <c r="J345" cm="1">
        <f t="array" ref="J345">_xlfn.XLOOKUP(_xlfn.ANCHORARRAY(A345), TBL_Limiti_CDA[Data], TBL_Limiti_CDA[Etica Dynamic Allocation], , -1)</f>
        <v>3</v>
      </c>
      <c r="K345" cm="1">
        <f t="array" ref="K345">_xlfn.XLOOKUP(_xlfn.ANCHORARRAY(A345), TBL_Limiti_CDA[Data], TBL_Limiti_CDA[Etica Global Equity], , -1)</f>
        <v>4.5</v>
      </c>
      <c r="L345" cm="1">
        <f t="array" ref="L345">_xlfn.ANCHORARRAY(B345)+0.15</f>
        <v>2.65</v>
      </c>
      <c r="M345" cm="1">
        <f t="array" ref="M345">_xlfn.ANCHORARRAY(C345)+0.1</f>
        <v>0.6</v>
      </c>
      <c r="N345" cm="1">
        <f t="array" ref="N345">_xlfn.ANCHORARRAY(D345)+0.15</f>
        <v>1.1499999999999999</v>
      </c>
      <c r="O345" cm="1">
        <f t="array" ref="O345">_xlfn.ANCHORARRAY(E345)+0.15</f>
        <v>3.15</v>
      </c>
      <c r="P345" cm="1">
        <f t="array" ref="P345">_xlfn.ANCHORARRAY(F345)+0.15</f>
        <v>4.6500000000000004</v>
      </c>
      <c r="Q345" cm="1">
        <f t="array" ref="Q345">_xlfn.ANCHORARRAY(G345)+0.15</f>
        <v>3.65</v>
      </c>
      <c r="R345" cm="1">
        <f t="array" ref="R345">_xlfn.ANCHORARRAY(H345)</f>
        <v>9.99</v>
      </c>
      <c r="S345" cm="1">
        <f t="array" ref="S345">_xlfn.ANCHORARRAY(R345)+0.15</f>
        <v>10.14</v>
      </c>
      <c r="T345" cm="1">
        <f t="array" ref="T345">_xlfn.ANCHORARRAY(I345)+0.15</f>
        <v>1.1499999999999999</v>
      </c>
      <c r="U345" cm="1">
        <f t="array" ref="U345">_xlfn.ANCHORARRAY(J345)+0.15</f>
        <v>3.15</v>
      </c>
      <c r="V345" cm="1">
        <f t="array" ref="V345">_xlfn.ANCHORARRAY(K345)+0.15</f>
        <v>4.6500000000000004</v>
      </c>
      <c r="W345">
        <f>TBL_TEV[[#This Row],[Etica Rendita Bilanciata]]</f>
        <v>1.6263430000000001</v>
      </c>
      <c r="X345">
        <f>TBL_TEV[[#This Row],[Etica Obbligazionario Breve Termine]]</f>
        <v>0.39067200000000002</v>
      </c>
      <c r="Y345">
        <f>TBL_TEV[[#This Row],[Etica Obbligazionario Misto]]</f>
        <v>0.738958</v>
      </c>
      <c r="Z345">
        <f>TBL_TEV[[#This Row],[Etica Bilanciato]]</f>
        <v>2.2321149999999998</v>
      </c>
      <c r="AA345">
        <f>TBL_TEV[[#This Row],[Etica Azionario]]</f>
        <v>3.273482</v>
      </c>
      <c r="AB345">
        <f>TBL_TEV[[#This Row],[Etica Transizione Climatica]]</f>
        <v>2.36673</v>
      </c>
      <c r="AC345">
        <f>TBL_TEV[[#This Row],[Etica Obiettivo Sociale]]</f>
        <v>8.5229801546531654</v>
      </c>
      <c r="AD345">
        <f>TBL_TEV[[#This Row],[Etica Conservative Allocation]]</f>
        <v>0.78435900000000003</v>
      </c>
      <c r="AE345">
        <f>TBL_TEV[[#This Row],[Etica Dynamic Allocation]]</f>
        <v>2.2356069999999999</v>
      </c>
      <c r="AF345">
        <f>TBL_TEV[[#This Row],[Etica Global Equity]]</f>
        <v>3.233479</v>
      </c>
      <c r="AL345">
        <f ca="1"/>
        <v>1.6290420000000001</v>
      </c>
      <c r="AM345">
        <f ca="1"/>
        <v>0.39003700000000002</v>
      </c>
      <c r="AN345">
        <f ca="1"/>
        <v>0.74134</v>
      </c>
      <c r="AO345">
        <f ca="1"/>
        <v>2.248148</v>
      </c>
      <c r="AP345">
        <f ca="1"/>
        <v>3.300786</v>
      </c>
      <c r="AQ345">
        <f ca="1"/>
        <v>2.3700640000000002</v>
      </c>
      <c r="AR345">
        <f ca="1"/>
        <v>8.6318044969298438</v>
      </c>
      <c r="AS345">
        <f ca="1"/>
        <v>0.77848600000000001</v>
      </c>
      <c r="AT345">
        <f ca="1"/>
        <v>2.24783</v>
      </c>
      <c r="AU345">
        <f ca="1"/>
        <v>3.2579250000000002</v>
      </c>
    </row>
    <row r="346" spans="1:47">
      <c r="A346" s="43">
        <f>TBL_TEV[[#This Row],[Data2]]</f>
        <v>45785</v>
      </c>
      <c r="B346" cm="1">
        <f t="array" ref="B346">_xlfn.XLOOKUP(_xlfn.ANCHORARRAY(A346), TBL_Limiti_CDA[Data], TBL_Limiti_CDA[Etica Rendita Bilanciata], , -1)</f>
        <v>2.5</v>
      </c>
      <c r="C346" cm="1">
        <f t="array" ref="C346">_xlfn.XLOOKUP(_xlfn.ANCHORARRAY(A346), TBL_Limiti_CDA[Data], TBL_Limiti_CDA[Etica Obbligazionario Breve Termine], , -1)</f>
        <v>0.5</v>
      </c>
      <c r="D346" cm="1">
        <f t="array" ref="D346">_xlfn.XLOOKUP(_xlfn.ANCHORARRAY(A346), TBL_Limiti_CDA[Data], TBL_Limiti_CDA[Etica Obbligazionario Misto], , -1)</f>
        <v>1</v>
      </c>
      <c r="E346" cm="1">
        <f t="array" ref="E346">_xlfn.XLOOKUP(_xlfn.ANCHORARRAY(A346), TBL_Limiti_CDA[Data], TBL_Limiti_CDA[Etica Bilanciato], , -1)</f>
        <v>3</v>
      </c>
      <c r="F346" cm="1">
        <f t="array" ref="F346">_xlfn.XLOOKUP(_xlfn.ANCHORARRAY(A346), TBL_Limiti_CDA[Data], TBL_Limiti_CDA[Etica Azionario], , -1)</f>
        <v>4.5</v>
      </c>
      <c r="G346" cm="1">
        <f t="array" ref="G346">_xlfn.XLOOKUP(_xlfn.ANCHORARRAY(A346), TBL_Limiti_CDA[Data], TBL_Limiti_CDA[Etica Transizione Climatica], , -1)</f>
        <v>3.5</v>
      </c>
      <c r="H346" cm="1">
        <f t="array" ref="H346">_xlfn.XLOOKUP(_xlfn.ANCHORARRAY(A346), TBL_Limiti_CDA[Data], TBL_Limiti_CDA[Etica Obiettivo Sociale], , -1)</f>
        <v>9.99</v>
      </c>
      <c r="I346" cm="1">
        <f t="array" ref="I346">_xlfn.XLOOKUP(_xlfn.ANCHORARRAY(A346), TBL_Limiti_CDA[Data], TBL_Limiti_CDA[Etica Conservative Allocation], , -1)</f>
        <v>1</v>
      </c>
      <c r="J346" cm="1">
        <f t="array" ref="J346">_xlfn.XLOOKUP(_xlfn.ANCHORARRAY(A346), TBL_Limiti_CDA[Data], TBL_Limiti_CDA[Etica Dynamic Allocation], , -1)</f>
        <v>3</v>
      </c>
      <c r="K346" cm="1">
        <f t="array" ref="K346">_xlfn.XLOOKUP(_xlfn.ANCHORARRAY(A346), TBL_Limiti_CDA[Data], TBL_Limiti_CDA[Etica Global Equity], , -1)</f>
        <v>4.5</v>
      </c>
      <c r="L346" cm="1">
        <f t="array" ref="L346">_xlfn.ANCHORARRAY(B346)+0.15</f>
        <v>2.65</v>
      </c>
      <c r="M346" cm="1">
        <f t="array" ref="M346">_xlfn.ANCHORARRAY(C346)+0.1</f>
        <v>0.6</v>
      </c>
      <c r="N346" cm="1">
        <f t="array" ref="N346">_xlfn.ANCHORARRAY(D346)+0.15</f>
        <v>1.1499999999999999</v>
      </c>
      <c r="O346" cm="1">
        <f t="array" ref="O346">_xlfn.ANCHORARRAY(E346)+0.15</f>
        <v>3.15</v>
      </c>
      <c r="P346" cm="1">
        <f t="array" ref="P346">_xlfn.ANCHORARRAY(F346)+0.15</f>
        <v>4.6500000000000004</v>
      </c>
      <c r="Q346" cm="1">
        <f t="array" ref="Q346">_xlfn.ANCHORARRAY(G346)+0.15</f>
        <v>3.65</v>
      </c>
      <c r="R346" cm="1">
        <f t="array" ref="R346">_xlfn.ANCHORARRAY(H346)</f>
        <v>9.99</v>
      </c>
      <c r="S346" cm="1">
        <f t="array" ref="S346">_xlfn.ANCHORARRAY(R346)+0.15</f>
        <v>10.14</v>
      </c>
      <c r="T346" cm="1">
        <f t="array" ref="T346">_xlfn.ANCHORARRAY(I346)+0.15</f>
        <v>1.1499999999999999</v>
      </c>
      <c r="U346" cm="1">
        <f t="array" ref="U346">_xlfn.ANCHORARRAY(J346)+0.15</f>
        <v>3.15</v>
      </c>
      <c r="V346" cm="1">
        <f t="array" ref="V346">_xlfn.ANCHORARRAY(K346)+0.15</f>
        <v>4.6500000000000004</v>
      </c>
      <c r="W346">
        <f>TBL_TEV[[#This Row],[Etica Rendita Bilanciata]]</f>
        <v>1.6290420000000001</v>
      </c>
      <c r="X346">
        <f>TBL_TEV[[#This Row],[Etica Obbligazionario Breve Termine]]</f>
        <v>0.39003700000000002</v>
      </c>
      <c r="Y346">
        <f>TBL_TEV[[#This Row],[Etica Obbligazionario Misto]]</f>
        <v>0.74134</v>
      </c>
      <c r="Z346">
        <f>TBL_TEV[[#This Row],[Etica Bilanciato]]</f>
        <v>2.248148</v>
      </c>
      <c r="AA346">
        <f>TBL_TEV[[#This Row],[Etica Azionario]]</f>
        <v>3.300786</v>
      </c>
      <c r="AB346">
        <f>TBL_TEV[[#This Row],[Etica Transizione Climatica]]</f>
        <v>2.3700640000000002</v>
      </c>
      <c r="AC346">
        <f>TBL_TEV[[#This Row],[Etica Obiettivo Sociale]]</f>
        <v>8.6318044969298438</v>
      </c>
      <c r="AD346">
        <f>TBL_TEV[[#This Row],[Etica Conservative Allocation]]</f>
        <v>0.77848600000000001</v>
      </c>
      <c r="AE346">
        <f>TBL_TEV[[#This Row],[Etica Dynamic Allocation]]</f>
        <v>2.24783</v>
      </c>
      <c r="AF346">
        <f>TBL_TEV[[#This Row],[Etica Global Equity]]</f>
        <v>3.2579250000000002</v>
      </c>
      <c r="AL346">
        <f ca="1"/>
        <v>1.642218</v>
      </c>
      <c r="AM346">
        <f ca="1"/>
        <v>0.38892500000000002</v>
      </c>
      <c r="AN346">
        <f ca="1"/>
        <v>0.74451400000000001</v>
      </c>
      <c r="AO346">
        <f ca="1"/>
        <v>2.2697370000000001</v>
      </c>
      <c r="AP346">
        <f ca="1"/>
        <v>3.3417430000000001</v>
      </c>
      <c r="AQ346">
        <f ca="1"/>
        <v>2.3605390000000002</v>
      </c>
      <c r="AR346">
        <f ca="1"/>
        <v>8.4183946649003776</v>
      </c>
      <c r="AS346">
        <f ca="1"/>
        <v>0.78086699999999998</v>
      </c>
      <c r="AT346">
        <f ca="1"/>
        <v>2.2749760000000001</v>
      </c>
      <c r="AU346">
        <f ca="1"/>
        <v>3.3050730000000001</v>
      </c>
    </row>
    <row r="347" spans="1:47">
      <c r="A347" s="43">
        <f>TBL_TEV[[#This Row],[Data2]]</f>
        <v>45786</v>
      </c>
      <c r="B347" cm="1">
        <f t="array" ref="B347">_xlfn.XLOOKUP(_xlfn.ANCHORARRAY(A347), TBL_Limiti_CDA[Data], TBL_Limiti_CDA[Etica Rendita Bilanciata], , -1)</f>
        <v>2.5</v>
      </c>
      <c r="C347" cm="1">
        <f t="array" ref="C347">_xlfn.XLOOKUP(_xlfn.ANCHORARRAY(A347), TBL_Limiti_CDA[Data], TBL_Limiti_CDA[Etica Obbligazionario Breve Termine], , -1)</f>
        <v>0.5</v>
      </c>
      <c r="D347" cm="1">
        <f t="array" ref="D347">_xlfn.XLOOKUP(_xlfn.ANCHORARRAY(A347), TBL_Limiti_CDA[Data], TBL_Limiti_CDA[Etica Obbligazionario Misto], , -1)</f>
        <v>1</v>
      </c>
      <c r="E347" cm="1">
        <f t="array" ref="E347">_xlfn.XLOOKUP(_xlfn.ANCHORARRAY(A347), TBL_Limiti_CDA[Data], TBL_Limiti_CDA[Etica Bilanciato], , -1)</f>
        <v>3</v>
      </c>
      <c r="F347" cm="1">
        <f t="array" ref="F347">_xlfn.XLOOKUP(_xlfn.ANCHORARRAY(A347), TBL_Limiti_CDA[Data], TBL_Limiti_CDA[Etica Azionario], , -1)</f>
        <v>4.5</v>
      </c>
      <c r="G347" cm="1">
        <f t="array" ref="G347">_xlfn.XLOOKUP(_xlfn.ANCHORARRAY(A347), TBL_Limiti_CDA[Data], TBL_Limiti_CDA[Etica Transizione Climatica], , -1)</f>
        <v>3.5</v>
      </c>
      <c r="H347" cm="1">
        <f t="array" ref="H347">_xlfn.XLOOKUP(_xlfn.ANCHORARRAY(A347), TBL_Limiti_CDA[Data], TBL_Limiti_CDA[Etica Obiettivo Sociale], , -1)</f>
        <v>9.99</v>
      </c>
      <c r="I347" cm="1">
        <f t="array" ref="I347">_xlfn.XLOOKUP(_xlfn.ANCHORARRAY(A347), TBL_Limiti_CDA[Data], TBL_Limiti_CDA[Etica Conservative Allocation], , -1)</f>
        <v>1</v>
      </c>
      <c r="J347" cm="1">
        <f t="array" ref="J347">_xlfn.XLOOKUP(_xlfn.ANCHORARRAY(A347), TBL_Limiti_CDA[Data], TBL_Limiti_CDA[Etica Dynamic Allocation], , -1)</f>
        <v>3</v>
      </c>
      <c r="K347" cm="1">
        <f t="array" ref="K347">_xlfn.XLOOKUP(_xlfn.ANCHORARRAY(A347), TBL_Limiti_CDA[Data], TBL_Limiti_CDA[Etica Global Equity], , -1)</f>
        <v>4.5</v>
      </c>
      <c r="L347" cm="1">
        <f t="array" ref="L347">_xlfn.ANCHORARRAY(B347)+0.15</f>
        <v>2.65</v>
      </c>
      <c r="M347" cm="1">
        <f t="array" ref="M347">_xlfn.ANCHORARRAY(C347)+0.1</f>
        <v>0.6</v>
      </c>
      <c r="N347" cm="1">
        <f t="array" ref="N347">_xlfn.ANCHORARRAY(D347)+0.15</f>
        <v>1.1499999999999999</v>
      </c>
      <c r="O347" cm="1">
        <f t="array" ref="O347">_xlfn.ANCHORARRAY(E347)+0.15</f>
        <v>3.15</v>
      </c>
      <c r="P347" cm="1">
        <f t="array" ref="P347">_xlfn.ANCHORARRAY(F347)+0.15</f>
        <v>4.6500000000000004</v>
      </c>
      <c r="Q347" cm="1">
        <f t="array" ref="Q347">_xlfn.ANCHORARRAY(G347)+0.15</f>
        <v>3.65</v>
      </c>
      <c r="R347" cm="1">
        <f t="array" ref="R347">_xlfn.ANCHORARRAY(H347)</f>
        <v>9.99</v>
      </c>
      <c r="S347" cm="1">
        <f t="array" ref="S347">_xlfn.ANCHORARRAY(R347)+0.15</f>
        <v>10.14</v>
      </c>
      <c r="T347" cm="1">
        <f t="array" ref="T347">_xlfn.ANCHORARRAY(I347)+0.15</f>
        <v>1.1499999999999999</v>
      </c>
      <c r="U347" cm="1">
        <f t="array" ref="U347">_xlfn.ANCHORARRAY(J347)+0.15</f>
        <v>3.15</v>
      </c>
      <c r="V347" cm="1">
        <f t="array" ref="V347">_xlfn.ANCHORARRAY(K347)+0.15</f>
        <v>4.6500000000000004</v>
      </c>
      <c r="W347">
        <f>TBL_TEV[[#This Row],[Etica Rendita Bilanciata]]</f>
        <v>1.642218</v>
      </c>
      <c r="X347">
        <f>TBL_TEV[[#This Row],[Etica Obbligazionario Breve Termine]]</f>
        <v>0.38892500000000002</v>
      </c>
      <c r="Y347">
        <f>TBL_TEV[[#This Row],[Etica Obbligazionario Misto]]</f>
        <v>0.74451400000000001</v>
      </c>
      <c r="Z347">
        <f>TBL_TEV[[#This Row],[Etica Bilanciato]]</f>
        <v>2.2697370000000001</v>
      </c>
      <c r="AA347">
        <f>TBL_TEV[[#This Row],[Etica Azionario]]</f>
        <v>3.3417430000000001</v>
      </c>
      <c r="AB347">
        <f>TBL_TEV[[#This Row],[Etica Transizione Climatica]]</f>
        <v>2.3605390000000002</v>
      </c>
      <c r="AC347">
        <f>TBL_TEV[[#This Row],[Etica Obiettivo Sociale]]</f>
        <v>8.4183946649003776</v>
      </c>
      <c r="AD347">
        <f>TBL_TEV[[#This Row],[Etica Conservative Allocation]]</f>
        <v>0.78086699999999998</v>
      </c>
      <c r="AE347">
        <f>TBL_TEV[[#This Row],[Etica Dynamic Allocation]]</f>
        <v>2.2749760000000001</v>
      </c>
      <c r="AF347">
        <f>TBL_TEV[[#This Row],[Etica Global Equity]]</f>
        <v>3.3050730000000001</v>
      </c>
      <c r="AL347">
        <f ca="1"/>
        <v>1.6488849999999999</v>
      </c>
      <c r="AM347">
        <f ca="1"/>
        <v>0.385909</v>
      </c>
      <c r="AN347">
        <f ca="1"/>
        <v>0.811029</v>
      </c>
      <c r="AO347">
        <f ca="1"/>
        <v>2.331013</v>
      </c>
      <c r="AP347">
        <f ca="1"/>
        <v>3.360633</v>
      </c>
      <c r="AQ347">
        <f ca="1"/>
        <v>2.3645079999999998</v>
      </c>
      <c r="AR347">
        <f ca="1"/>
        <v>8.7314213763732855</v>
      </c>
      <c r="AS347">
        <f ca="1"/>
        <v>0.77039000000000002</v>
      </c>
      <c r="AT347">
        <f ca="1"/>
        <v>2.3275199999999998</v>
      </c>
      <c r="AU347">
        <f ca="1"/>
        <v>3.3639670000000002</v>
      </c>
    </row>
    <row r="348" spans="1:47">
      <c r="A348" s="43">
        <f>TBL_TEV[[#This Row],[Data2]]</f>
        <v>45789</v>
      </c>
      <c r="B348" cm="1">
        <f t="array" ref="B348">_xlfn.XLOOKUP(_xlfn.ANCHORARRAY(A348), TBL_Limiti_CDA[Data], TBL_Limiti_CDA[Etica Rendita Bilanciata], , -1)</f>
        <v>2.5</v>
      </c>
      <c r="C348" cm="1">
        <f t="array" ref="C348">_xlfn.XLOOKUP(_xlfn.ANCHORARRAY(A348), TBL_Limiti_CDA[Data], TBL_Limiti_CDA[Etica Obbligazionario Breve Termine], , -1)</f>
        <v>0.5</v>
      </c>
      <c r="D348" cm="1">
        <f t="array" ref="D348">_xlfn.XLOOKUP(_xlfn.ANCHORARRAY(A348), TBL_Limiti_CDA[Data], TBL_Limiti_CDA[Etica Obbligazionario Misto], , -1)</f>
        <v>1</v>
      </c>
      <c r="E348" cm="1">
        <f t="array" ref="E348">_xlfn.XLOOKUP(_xlfn.ANCHORARRAY(A348), TBL_Limiti_CDA[Data], TBL_Limiti_CDA[Etica Bilanciato], , -1)</f>
        <v>3</v>
      </c>
      <c r="F348" cm="1">
        <f t="array" ref="F348">_xlfn.XLOOKUP(_xlfn.ANCHORARRAY(A348), TBL_Limiti_CDA[Data], TBL_Limiti_CDA[Etica Azionario], , -1)</f>
        <v>4.5</v>
      </c>
      <c r="G348" cm="1">
        <f t="array" ref="G348">_xlfn.XLOOKUP(_xlfn.ANCHORARRAY(A348), TBL_Limiti_CDA[Data], TBL_Limiti_CDA[Etica Transizione Climatica], , -1)</f>
        <v>3.5</v>
      </c>
      <c r="H348" cm="1">
        <f t="array" ref="H348">_xlfn.XLOOKUP(_xlfn.ANCHORARRAY(A348), TBL_Limiti_CDA[Data], TBL_Limiti_CDA[Etica Obiettivo Sociale], , -1)</f>
        <v>9.99</v>
      </c>
      <c r="I348" cm="1">
        <f t="array" ref="I348">_xlfn.XLOOKUP(_xlfn.ANCHORARRAY(A348), TBL_Limiti_CDA[Data], TBL_Limiti_CDA[Etica Conservative Allocation], , -1)</f>
        <v>1</v>
      </c>
      <c r="J348" cm="1">
        <f t="array" ref="J348">_xlfn.XLOOKUP(_xlfn.ANCHORARRAY(A348), TBL_Limiti_CDA[Data], TBL_Limiti_CDA[Etica Dynamic Allocation], , -1)</f>
        <v>3</v>
      </c>
      <c r="K348" cm="1">
        <f t="array" ref="K348">_xlfn.XLOOKUP(_xlfn.ANCHORARRAY(A348), TBL_Limiti_CDA[Data], TBL_Limiti_CDA[Etica Global Equity], , -1)</f>
        <v>4.5</v>
      </c>
      <c r="L348" cm="1">
        <f t="array" ref="L348">_xlfn.ANCHORARRAY(B348)+0.15</f>
        <v>2.65</v>
      </c>
      <c r="M348" cm="1">
        <f t="array" ref="M348">_xlfn.ANCHORARRAY(C348)+0.1</f>
        <v>0.6</v>
      </c>
      <c r="N348" cm="1">
        <f t="array" ref="N348">_xlfn.ANCHORARRAY(D348)+0.15</f>
        <v>1.1499999999999999</v>
      </c>
      <c r="O348" cm="1">
        <f t="array" ref="O348">_xlfn.ANCHORARRAY(E348)+0.15</f>
        <v>3.15</v>
      </c>
      <c r="P348" cm="1">
        <f t="array" ref="P348">_xlfn.ANCHORARRAY(F348)+0.15</f>
        <v>4.6500000000000004</v>
      </c>
      <c r="Q348" cm="1">
        <f t="array" ref="Q348">_xlfn.ANCHORARRAY(G348)+0.15</f>
        <v>3.65</v>
      </c>
      <c r="R348" cm="1">
        <f t="array" ref="R348">_xlfn.ANCHORARRAY(H348)</f>
        <v>9.99</v>
      </c>
      <c r="S348" cm="1">
        <f t="array" ref="S348">_xlfn.ANCHORARRAY(R348)+0.15</f>
        <v>10.14</v>
      </c>
      <c r="T348" cm="1">
        <f t="array" ref="T348">_xlfn.ANCHORARRAY(I348)+0.15</f>
        <v>1.1499999999999999</v>
      </c>
      <c r="U348" cm="1">
        <f t="array" ref="U348">_xlfn.ANCHORARRAY(J348)+0.15</f>
        <v>3.15</v>
      </c>
      <c r="V348" cm="1">
        <f t="array" ref="V348">_xlfn.ANCHORARRAY(K348)+0.15</f>
        <v>4.6500000000000004</v>
      </c>
      <c r="W348">
        <f>TBL_TEV[[#This Row],[Etica Rendita Bilanciata]]</f>
        <v>1.6488849999999999</v>
      </c>
      <c r="X348">
        <f>TBL_TEV[[#This Row],[Etica Obbligazionario Breve Termine]]</f>
        <v>0.385909</v>
      </c>
      <c r="Y348">
        <f>TBL_TEV[[#This Row],[Etica Obbligazionario Misto]]</f>
        <v>0.811029</v>
      </c>
      <c r="Z348">
        <f>TBL_TEV[[#This Row],[Etica Bilanciato]]</f>
        <v>2.331013</v>
      </c>
      <c r="AA348">
        <f>TBL_TEV[[#This Row],[Etica Azionario]]</f>
        <v>3.360633</v>
      </c>
      <c r="AB348">
        <f>TBL_TEV[[#This Row],[Etica Transizione Climatica]]</f>
        <v>2.3645079999999998</v>
      </c>
      <c r="AC348">
        <f>TBL_TEV[[#This Row],[Etica Obiettivo Sociale]]</f>
        <v>8.7314213763732855</v>
      </c>
      <c r="AD348">
        <f>TBL_TEV[[#This Row],[Etica Conservative Allocation]]</f>
        <v>0.77039000000000002</v>
      </c>
      <c r="AE348">
        <f>TBL_TEV[[#This Row],[Etica Dynamic Allocation]]</f>
        <v>2.3275199999999998</v>
      </c>
      <c r="AF348">
        <f>TBL_TEV[[#This Row],[Etica Global Equity]]</f>
        <v>3.3639670000000002</v>
      </c>
      <c r="AL348">
        <f ca="1"/>
        <v>1.6811100000000001</v>
      </c>
      <c r="AM348">
        <f ca="1"/>
        <v>0.38384600000000002</v>
      </c>
      <c r="AN348">
        <f ca="1"/>
        <v>0.84595299999999995</v>
      </c>
      <c r="AO348">
        <f ca="1"/>
        <v>2.3316479999999999</v>
      </c>
      <c r="AP348">
        <f ca="1"/>
        <v>3.333488</v>
      </c>
      <c r="AQ348">
        <f ca="1"/>
        <v>2.4278469999999999</v>
      </c>
      <c r="AR348">
        <f ca="1"/>
        <v>8.7804578421962187</v>
      </c>
      <c r="AS348">
        <f ca="1"/>
        <v>0.76324599999999998</v>
      </c>
      <c r="AT348">
        <f ca="1"/>
        <v>2.3545069999999999</v>
      </c>
      <c r="AU348">
        <f ca="1"/>
        <v>3.3655539999999999</v>
      </c>
    </row>
    <row r="349" spans="1:47">
      <c r="A349" s="43">
        <f>TBL_TEV[[#This Row],[Data2]]</f>
        <v>45790</v>
      </c>
      <c r="B349" cm="1">
        <f t="array" ref="B349">_xlfn.XLOOKUP(_xlfn.ANCHORARRAY(A349), TBL_Limiti_CDA[Data], TBL_Limiti_CDA[Etica Rendita Bilanciata], , -1)</f>
        <v>2.5</v>
      </c>
      <c r="C349" cm="1">
        <f t="array" ref="C349">_xlfn.XLOOKUP(_xlfn.ANCHORARRAY(A349), TBL_Limiti_CDA[Data], TBL_Limiti_CDA[Etica Obbligazionario Breve Termine], , -1)</f>
        <v>0.5</v>
      </c>
      <c r="D349" cm="1">
        <f t="array" ref="D349">_xlfn.XLOOKUP(_xlfn.ANCHORARRAY(A349), TBL_Limiti_CDA[Data], TBL_Limiti_CDA[Etica Obbligazionario Misto], , -1)</f>
        <v>1</v>
      </c>
      <c r="E349" cm="1">
        <f t="array" ref="E349">_xlfn.XLOOKUP(_xlfn.ANCHORARRAY(A349), TBL_Limiti_CDA[Data], TBL_Limiti_CDA[Etica Bilanciato], , -1)</f>
        <v>3</v>
      </c>
      <c r="F349" cm="1">
        <f t="array" ref="F349">_xlfn.XLOOKUP(_xlfn.ANCHORARRAY(A349), TBL_Limiti_CDA[Data], TBL_Limiti_CDA[Etica Azionario], , -1)</f>
        <v>4.5</v>
      </c>
      <c r="G349" cm="1">
        <f t="array" ref="G349">_xlfn.XLOOKUP(_xlfn.ANCHORARRAY(A349), TBL_Limiti_CDA[Data], TBL_Limiti_CDA[Etica Transizione Climatica], , -1)</f>
        <v>3.5</v>
      </c>
      <c r="H349" cm="1">
        <f t="array" ref="H349">_xlfn.XLOOKUP(_xlfn.ANCHORARRAY(A349), TBL_Limiti_CDA[Data], TBL_Limiti_CDA[Etica Obiettivo Sociale], , -1)</f>
        <v>9.99</v>
      </c>
      <c r="I349" cm="1">
        <f t="array" ref="I349">_xlfn.XLOOKUP(_xlfn.ANCHORARRAY(A349), TBL_Limiti_CDA[Data], TBL_Limiti_CDA[Etica Conservative Allocation], , -1)</f>
        <v>1</v>
      </c>
      <c r="J349" cm="1">
        <f t="array" ref="J349">_xlfn.XLOOKUP(_xlfn.ANCHORARRAY(A349), TBL_Limiti_CDA[Data], TBL_Limiti_CDA[Etica Dynamic Allocation], , -1)</f>
        <v>3</v>
      </c>
      <c r="K349" cm="1">
        <f t="array" ref="K349">_xlfn.XLOOKUP(_xlfn.ANCHORARRAY(A349), TBL_Limiti_CDA[Data], TBL_Limiti_CDA[Etica Global Equity], , -1)</f>
        <v>4.5</v>
      </c>
      <c r="L349" cm="1">
        <f t="array" ref="L349">_xlfn.ANCHORARRAY(B349)+0.15</f>
        <v>2.65</v>
      </c>
      <c r="M349" cm="1">
        <f t="array" ref="M349">_xlfn.ANCHORARRAY(C349)+0.1</f>
        <v>0.6</v>
      </c>
      <c r="N349" cm="1">
        <f t="array" ref="N349">_xlfn.ANCHORARRAY(D349)+0.15</f>
        <v>1.1499999999999999</v>
      </c>
      <c r="O349" cm="1">
        <f t="array" ref="O349">_xlfn.ANCHORARRAY(E349)+0.15</f>
        <v>3.15</v>
      </c>
      <c r="P349" cm="1">
        <f t="array" ref="P349">_xlfn.ANCHORARRAY(F349)+0.15</f>
        <v>4.6500000000000004</v>
      </c>
      <c r="Q349" cm="1">
        <f t="array" ref="Q349">_xlfn.ANCHORARRAY(G349)+0.15</f>
        <v>3.65</v>
      </c>
      <c r="R349" cm="1">
        <f t="array" ref="R349">_xlfn.ANCHORARRAY(H349)</f>
        <v>9.99</v>
      </c>
      <c r="S349" cm="1">
        <f t="array" ref="S349">_xlfn.ANCHORARRAY(R349)+0.15</f>
        <v>10.14</v>
      </c>
      <c r="T349" cm="1">
        <f t="array" ref="T349">_xlfn.ANCHORARRAY(I349)+0.15</f>
        <v>1.1499999999999999</v>
      </c>
      <c r="U349" cm="1">
        <f t="array" ref="U349">_xlfn.ANCHORARRAY(J349)+0.15</f>
        <v>3.15</v>
      </c>
      <c r="V349" cm="1">
        <f t="array" ref="V349">_xlfn.ANCHORARRAY(K349)+0.15</f>
        <v>4.6500000000000004</v>
      </c>
      <c r="W349">
        <f>TBL_TEV[[#This Row],[Etica Rendita Bilanciata]]</f>
        <v>1.6811100000000001</v>
      </c>
      <c r="X349">
        <f>TBL_TEV[[#This Row],[Etica Obbligazionario Breve Termine]]</f>
        <v>0.38384600000000002</v>
      </c>
      <c r="Y349">
        <f>TBL_TEV[[#This Row],[Etica Obbligazionario Misto]]</f>
        <v>0.84595299999999995</v>
      </c>
      <c r="Z349">
        <f>TBL_TEV[[#This Row],[Etica Bilanciato]]</f>
        <v>2.3316479999999999</v>
      </c>
      <c r="AA349">
        <f>TBL_TEV[[#This Row],[Etica Azionario]]</f>
        <v>3.333488</v>
      </c>
      <c r="AB349">
        <f>TBL_TEV[[#This Row],[Etica Transizione Climatica]]</f>
        <v>2.4278469999999999</v>
      </c>
      <c r="AC349">
        <f>TBL_TEV[[#This Row],[Etica Obiettivo Sociale]]</f>
        <v>8.7804578421962187</v>
      </c>
      <c r="AD349">
        <f>TBL_TEV[[#This Row],[Etica Conservative Allocation]]</f>
        <v>0.76324599999999998</v>
      </c>
      <c r="AE349">
        <f>TBL_TEV[[#This Row],[Etica Dynamic Allocation]]</f>
        <v>2.3545069999999999</v>
      </c>
      <c r="AF349">
        <f>TBL_TEV[[#This Row],[Etica Global Equity]]</f>
        <v>3.3655539999999999</v>
      </c>
      <c r="AL349">
        <f ca="1"/>
        <v>1.682857</v>
      </c>
      <c r="AM349">
        <f ca="1"/>
        <v>0.38098799999999999</v>
      </c>
      <c r="AN349">
        <f ca="1"/>
        <v>0.84595299999999995</v>
      </c>
      <c r="AO349">
        <f ca="1"/>
        <v>2.3294250000000001</v>
      </c>
      <c r="AP349">
        <f ca="1"/>
        <v>3.333647</v>
      </c>
      <c r="AQ349">
        <f ca="1"/>
        <v>2.49579</v>
      </c>
      <c r="AR349">
        <f ca="1"/>
        <v>8.9492559781120651</v>
      </c>
      <c r="AS349">
        <f ca="1"/>
        <v>0.75419800000000004</v>
      </c>
      <c r="AT349">
        <f ca="1"/>
        <v>2.32498</v>
      </c>
      <c r="AU349">
        <f ca="1"/>
        <v>3.3369800000000001</v>
      </c>
    </row>
    <row r="350" spans="1:47">
      <c r="A350" s="43">
        <f>TBL_TEV[[#This Row],[Data2]]</f>
        <v>45791</v>
      </c>
      <c r="B350" cm="1">
        <f t="array" ref="B350">_xlfn.XLOOKUP(_xlfn.ANCHORARRAY(A350), TBL_Limiti_CDA[Data], TBL_Limiti_CDA[Etica Rendita Bilanciata], , -1)</f>
        <v>2.5</v>
      </c>
      <c r="C350" cm="1">
        <f t="array" ref="C350">_xlfn.XLOOKUP(_xlfn.ANCHORARRAY(A350), TBL_Limiti_CDA[Data], TBL_Limiti_CDA[Etica Obbligazionario Breve Termine], , -1)</f>
        <v>0.5</v>
      </c>
      <c r="D350" cm="1">
        <f t="array" ref="D350">_xlfn.XLOOKUP(_xlfn.ANCHORARRAY(A350), TBL_Limiti_CDA[Data], TBL_Limiti_CDA[Etica Obbligazionario Misto], , -1)</f>
        <v>1</v>
      </c>
      <c r="E350" cm="1">
        <f t="array" ref="E350">_xlfn.XLOOKUP(_xlfn.ANCHORARRAY(A350), TBL_Limiti_CDA[Data], TBL_Limiti_CDA[Etica Bilanciato], , -1)</f>
        <v>3</v>
      </c>
      <c r="F350" cm="1">
        <f t="array" ref="F350">_xlfn.XLOOKUP(_xlfn.ANCHORARRAY(A350), TBL_Limiti_CDA[Data], TBL_Limiti_CDA[Etica Azionario], , -1)</f>
        <v>4.5</v>
      </c>
      <c r="G350" cm="1">
        <f t="array" ref="G350">_xlfn.XLOOKUP(_xlfn.ANCHORARRAY(A350), TBL_Limiti_CDA[Data], TBL_Limiti_CDA[Etica Transizione Climatica], , -1)</f>
        <v>3.5</v>
      </c>
      <c r="H350" cm="1">
        <f t="array" ref="H350">_xlfn.XLOOKUP(_xlfn.ANCHORARRAY(A350), TBL_Limiti_CDA[Data], TBL_Limiti_CDA[Etica Obiettivo Sociale], , -1)</f>
        <v>9.99</v>
      </c>
      <c r="I350" cm="1">
        <f t="array" ref="I350">_xlfn.XLOOKUP(_xlfn.ANCHORARRAY(A350), TBL_Limiti_CDA[Data], TBL_Limiti_CDA[Etica Conservative Allocation], , -1)</f>
        <v>1</v>
      </c>
      <c r="J350" cm="1">
        <f t="array" ref="J350">_xlfn.XLOOKUP(_xlfn.ANCHORARRAY(A350), TBL_Limiti_CDA[Data], TBL_Limiti_CDA[Etica Dynamic Allocation], , -1)</f>
        <v>3</v>
      </c>
      <c r="K350" cm="1">
        <f t="array" ref="K350">_xlfn.XLOOKUP(_xlfn.ANCHORARRAY(A350), TBL_Limiti_CDA[Data], TBL_Limiti_CDA[Etica Global Equity], , -1)</f>
        <v>4.5</v>
      </c>
      <c r="L350" cm="1">
        <f t="array" ref="L350">_xlfn.ANCHORARRAY(B350)+0.15</f>
        <v>2.65</v>
      </c>
      <c r="M350" cm="1">
        <f t="array" ref="M350">_xlfn.ANCHORARRAY(C350)+0.1</f>
        <v>0.6</v>
      </c>
      <c r="N350" cm="1">
        <f t="array" ref="N350">_xlfn.ANCHORARRAY(D350)+0.15</f>
        <v>1.1499999999999999</v>
      </c>
      <c r="O350" cm="1">
        <f t="array" ref="O350">_xlfn.ANCHORARRAY(E350)+0.15</f>
        <v>3.15</v>
      </c>
      <c r="P350" cm="1">
        <f t="array" ref="P350">_xlfn.ANCHORARRAY(F350)+0.15</f>
        <v>4.6500000000000004</v>
      </c>
      <c r="Q350" cm="1">
        <f t="array" ref="Q350">_xlfn.ANCHORARRAY(G350)+0.15</f>
        <v>3.65</v>
      </c>
      <c r="R350" cm="1">
        <f t="array" ref="R350">_xlfn.ANCHORARRAY(H350)</f>
        <v>9.99</v>
      </c>
      <c r="S350" cm="1">
        <f t="array" ref="S350">_xlfn.ANCHORARRAY(R350)+0.15</f>
        <v>10.14</v>
      </c>
      <c r="T350" cm="1">
        <f t="array" ref="T350">_xlfn.ANCHORARRAY(I350)+0.15</f>
        <v>1.1499999999999999</v>
      </c>
      <c r="U350" cm="1">
        <f t="array" ref="U350">_xlfn.ANCHORARRAY(J350)+0.15</f>
        <v>3.15</v>
      </c>
      <c r="V350" cm="1">
        <f t="array" ref="V350">_xlfn.ANCHORARRAY(K350)+0.15</f>
        <v>4.6500000000000004</v>
      </c>
      <c r="W350">
        <f>TBL_TEV[[#This Row],[Etica Rendita Bilanciata]]</f>
        <v>1.682857</v>
      </c>
      <c r="X350">
        <f>TBL_TEV[[#This Row],[Etica Obbligazionario Breve Termine]]</f>
        <v>0.38098799999999999</v>
      </c>
      <c r="Y350">
        <f>TBL_TEV[[#This Row],[Etica Obbligazionario Misto]]</f>
        <v>0.84595299999999995</v>
      </c>
      <c r="Z350">
        <f>TBL_TEV[[#This Row],[Etica Bilanciato]]</f>
        <v>2.3294250000000001</v>
      </c>
      <c r="AA350">
        <f>TBL_TEV[[#This Row],[Etica Azionario]]</f>
        <v>3.333647</v>
      </c>
      <c r="AB350">
        <f>TBL_TEV[[#This Row],[Etica Transizione Climatica]]</f>
        <v>2.49579</v>
      </c>
      <c r="AC350">
        <f>TBL_TEV[[#This Row],[Etica Obiettivo Sociale]]</f>
        <v>8.9492559781120651</v>
      </c>
      <c r="AD350">
        <f>TBL_TEV[[#This Row],[Etica Conservative Allocation]]</f>
        <v>0.75419800000000004</v>
      </c>
      <c r="AE350">
        <f>TBL_TEV[[#This Row],[Etica Dynamic Allocation]]</f>
        <v>2.32498</v>
      </c>
      <c r="AF350">
        <f>TBL_TEV[[#This Row],[Etica Global Equity]]</f>
        <v>3.3369800000000001</v>
      </c>
      <c r="AL350">
        <f ca="1"/>
        <v>1.6461859999999999</v>
      </c>
      <c r="AM350">
        <f ca="1"/>
        <v>0.38241700000000001</v>
      </c>
      <c r="AN350">
        <f ca="1"/>
        <v>0.85007999999999995</v>
      </c>
      <c r="AO350">
        <f ca="1"/>
        <v>2.3105349999999998</v>
      </c>
      <c r="AP350">
        <f ca="1"/>
        <v>3.2868170000000001</v>
      </c>
      <c r="AQ350">
        <f ca="1"/>
        <v>2.4513419999999999</v>
      </c>
      <c r="AR350">
        <f ca="1"/>
        <v>8.8076535691367912</v>
      </c>
      <c r="AS350">
        <f ca="1"/>
        <v>0.75118200000000002</v>
      </c>
      <c r="AT350">
        <f ca="1"/>
        <v>2.2973590000000002</v>
      </c>
      <c r="AU350">
        <f ca="1"/>
        <v>3.2864990000000001</v>
      </c>
    </row>
    <row r="351" spans="1:47">
      <c r="A351" s="43">
        <f>TBL_TEV[[#This Row],[Data2]]</f>
        <v>45792</v>
      </c>
      <c r="B351" cm="1">
        <f t="array" ref="B351">_xlfn.XLOOKUP(_xlfn.ANCHORARRAY(A351), TBL_Limiti_CDA[Data], TBL_Limiti_CDA[Etica Rendita Bilanciata], , -1)</f>
        <v>2.5</v>
      </c>
      <c r="C351" cm="1">
        <f t="array" ref="C351">_xlfn.XLOOKUP(_xlfn.ANCHORARRAY(A351), TBL_Limiti_CDA[Data], TBL_Limiti_CDA[Etica Obbligazionario Breve Termine], , -1)</f>
        <v>0.5</v>
      </c>
      <c r="D351" cm="1">
        <f t="array" ref="D351">_xlfn.XLOOKUP(_xlfn.ANCHORARRAY(A351), TBL_Limiti_CDA[Data], TBL_Limiti_CDA[Etica Obbligazionario Misto], , -1)</f>
        <v>1</v>
      </c>
      <c r="E351" cm="1">
        <f t="array" ref="E351">_xlfn.XLOOKUP(_xlfn.ANCHORARRAY(A351), TBL_Limiti_CDA[Data], TBL_Limiti_CDA[Etica Bilanciato], , -1)</f>
        <v>3</v>
      </c>
      <c r="F351" cm="1">
        <f t="array" ref="F351">_xlfn.XLOOKUP(_xlfn.ANCHORARRAY(A351), TBL_Limiti_CDA[Data], TBL_Limiti_CDA[Etica Azionario], , -1)</f>
        <v>4.5</v>
      </c>
      <c r="G351" cm="1">
        <f t="array" ref="G351">_xlfn.XLOOKUP(_xlfn.ANCHORARRAY(A351), TBL_Limiti_CDA[Data], TBL_Limiti_CDA[Etica Transizione Climatica], , -1)</f>
        <v>3.5</v>
      </c>
      <c r="H351" cm="1">
        <f t="array" ref="H351">_xlfn.XLOOKUP(_xlfn.ANCHORARRAY(A351), TBL_Limiti_CDA[Data], TBL_Limiti_CDA[Etica Obiettivo Sociale], , -1)</f>
        <v>9.99</v>
      </c>
      <c r="I351" cm="1">
        <f t="array" ref="I351">_xlfn.XLOOKUP(_xlfn.ANCHORARRAY(A351), TBL_Limiti_CDA[Data], TBL_Limiti_CDA[Etica Conservative Allocation], , -1)</f>
        <v>1</v>
      </c>
      <c r="J351" cm="1">
        <f t="array" ref="J351">_xlfn.XLOOKUP(_xlfn.ANCHORARRAY(A351), TBL_Limiti_CDA[Data], TBL_Limiti_CDA[Etica Dynamic Allocation], , -1)</f>
        <v>3</v>
      </c>
      <c r="K351" cm="1">
        <f t="array" ref="K351">_xlfn.XLOOKUP(_xlfn.ANCHORARRAY(A351), TBL_Limiti_CDA[Data], TBL_Limiti_CDA[Etica Global Equity], , -1)</f>
        <v>4.5</v>
      </c>
      <c r="L351" cm="1">
        <f t="array" ref="L351">_xlfn.ANCHORARRAY(B351)+0.15</f>
        <v>2.65</v>
      </c>
      <c r="M351" cm="1">
        <f t="array" ref="M351">_xlfn.ANCHORARRAY(C351)+0.1</f>
        <v>0.6</v>
      </c>
      <c r="N351" cm="1">
        <f t="array" ref="N351">_xlfn.ANCHORARRAY(D351)+0.15</f>
        <v>1.1499999999999999</v>
      </c>
      <c r="O351" cm="1">
        <f t="array" ref="O351">_xlfn.ANCHORARRAY(E351)+0.15</f>
        <v>3.15</v>
      </c>
      <c r="P351" cm="1">
        <f t="array" ref="P351">_xlfn.ANCHORARRAY(F351)+0.15</f>
        <v>4.6500000000000004</v>
      </c>
      <c r="Q351" cm="1">
        <f t="array" ref="Q351">_xlfn.ANCHORARRAY(G351)+0.15</f>
        <v>3.65</v>
      </c>
      <c r="R351" cm="1">
        <f t="array" ref="R351">_xlfn.ANCHORARRAY(H351)</f>
        <v>9.99</v>
      </c>
      <c r="S351" cm="1">
        <f t="array" ref="S351">_xlfn.ANCHORARRAY(R351)+0.15</f>
        <v>10.14</v>
      </c>
      <c r="T351" cm="1">
        <f t="array" ref="T351">_xlfn.ANCHORARRAY(I351)+0.15</f>
        <v>1.1499999999999999</v>
      </c>
      <c r="U351" cm="1">
        <f t="array" ref="U351">_xlfn.ANCHORARRAY(J351)+0.15</f>
        <v>3.15</v>
      </c>
      <c r="V351" cm="1">
        <f t="array" ref="V351">_xlfn.ANCHORARRAY(K351)+0.15</f>
        <v>4.6500000000000004</v>
      </c>
      <c r="W351">
        <f>TBL_TEV[[#This Row],[Etica Rendita Bilanciata]]</f>
        <v>1.6461859999999999</v>
      </c>
      <c r="X351">
        <f>TBL_TEV[[#This Row],[Etica Obbligazionario Breve Termine]]</f>
        <v>0.38241700000000001</v>
      </c>
      <c r="Y351">
        <f>TBL_TEV[[#This Row],[Etica Obbligazionario Misto]]</f>
        <v>0.85007999999999995</v>
      </c>
      <c r="Z351">
        <f>TBL_TEV[[#This Row],[Etica Bilanciato]]</f>
        <v>2.3105349999999998</v>
      </c>
      <c r="AA351">
        <f>TBL_TEV[[#This Row],[Etica Azionario]]</f>
        <v>3.2868170000000001</v>
      </c>
      <c r="AB351">
        <f>TBL_TEV[[#This Row],[Etica Transizione Climatica]]</f>
        <v>2.4513419999999999</v>
      </c>
      <c r="AC351">
        <f>TBL_TEV[[#This Row],[Etica Obiettivo Sociale]]</f>
        <v>8.8076535691367912</v>
      </c>
      <c r="AD351">
        <f>TBL_TEV[[#This Row],[Etica Conservative Allocation]]</f>
        <v>0.75118200000000002</v>
      </c>
      <c r="AE351">
        <f>TBL_TEV[[#This Row],[Etica Dynamic Allocation]]</f>
        <v>2.2973590000000002</v>
      </c>
      <c r="AF351">
        <f>TBL_TEV[[#This Row],[Etica Global Equity]]</f>
        <v>3.2864990000000001</v>
      </c>
      <c r="AL351">
        <f ca="1"/>
        <v>1.634439</v>
      </c>
      <c r="AM351">
        <f ca="1"/>
        <v>0.38225799999999999</v>
      </c>
      <c r="AN351">
        <f ca="1"/>
        <v>0.85373100000000002</v>
      </c>
      <c r="AO351">
        <f ca="1"/>
        <v>2.3010100000000002</v>
      </c>
      <c r="AP351">
        <f ca="1"/>
        <v>3.2531629999999998</v>
      </c>
      <c r="AQ351">
        <f ca="1"/>
        <v>2.4357839999999999</v>
      </c>
      <c r="AR351">
        <f ca="1"/>
        <v>8.7545187385335339</v>
      </c>
      <c r="AS351">
        <f ca="1"/>
        <v>0.74721300000000002</v>
      </c>
      <c r="AT351">
        <f ca="1"/>
        <v>2.2808489999999999</v>
      </c>
      <c r="AU351">
        <f ca="1"/>
        <v>3.2520519999999999</v>
      </c>
    </row>
    <row r="352" spans="1:47">
      <c r="A352" s="43">
        <f>TBL_TEV[[#This Row],[Data2]]</f>
        <v>45793</v>
      </c>
      <c r="B352" cm="1">
        <f t="array" ref="B352">_xlfn.XLOOKUP(_xlfn.ANCHORARRAY(A352), TBL_Limiti_CDA[Data], TBL_Limiti_CDA[Etica Rendita Bilanciata], , -1)</f>
        <v>2.5</v>
      </c>
      <c r="C352" cm="1">
        <f t="array" ref="C352">_xlfn.XLOOKUP(_xlfn.ANCHORARRAY(A352), TBL_Limiti_CDA[Data], TBL_Limiti_CDA[Etica Obbligazionario Breve Termine], , -1)</f>
        <v>0.5</v>
      </c>
      <c r="D352" cm="1">
        <f t="array" ref="D352">_xlfn.XLOOKUP(_xlfn.ANCHORARRAY(A352), TBL_Limiti_CDA[Data], TBL_Limiti_CDA[Etica Obbligazionario Misto], , -1)</f>
        <v>1</v>
      </c>
      <c r="E352" cm="1">
        <f t="array" ref="E352">_xlfn.XLOOKUP(_xlfn.ANCHORARRAY(A352), TBL_Limiti_CDA[Data], TBL_Limiti_CDA[Etica Bilanciato], , -1)</f>
        <v>3</v>
      </c>
      <c r="F352" cm="1">
        <f t="array" ref="F352">_xlfn.XLOOKUP(_xlfn.ANCHORARRAY(A352), TBL_Limiti_CDA[Data], TBL_Limiti_CDA[Etica Azionario], , -1)</f>
        <v>4.5</v>
      </c>
      <c r="G352" cm="1">
        <f t="array" ref="G352">_xlfn.XLOOKUP(_xlfn.ANCHORARRAY(A352), TBL_Limiti_CDA[Data], TBL_Limiti_CDA[Etica Transizione Climatica], , -1)</f>
        <v>3.5</v>
      </c>
      <c r="H352" cm="1">
        <f t="array" ref="H352">_xlfn.XLOOKUP(_xlfn.ANCHORARRAY(A352), TBL_Limiti_CDA[Data], TBL_Limiti_CDA[Etica Obiettivo Sociale], , -1)</f>
        <v>9.99</v>
      </c>
      <c r="I352" cm="1">
        <f t="array" ref="I352">_xlfn.XLOOKUP(_xlfn.ANCHORARRAY(A352), TBL_Limiti_CDA[Data], TBL_Limiti_CDA[Etica Conservative Allocation], , -1)</f>
        <v>1</v>
      </c>
      <c r="J352" cm="1">
        <f t="array" ref="J352">_xlfn.XLOOKUP(_xlfn.ANCHORARRAY(A352), TBL_Limiti_CDA[Data], TBL_Limiti_CDA[Etica Dynamic Allocation], , -1)</f>
        <v>3</v>
      </c>
      <c r="K352" cm="1">
        <f t="array" ref="K352">_xlfn.XLOOKUP(_xlfn.ANCHORARRAY(A352), TBL_Limiti_CDA[Data], TBL_Limiti_CDA[Etica Global Equity], , -1)</f>
        <v>4.5</v>
      </c>
      <c r="L352" cm="1">
        <f t="array" ref="L352">_xlfn.ANCHORARRAY(B352)+0.15</f>
        <v>2.65</v>
      </c>
      <c r="M352" cm="1">
        <f t="array" ref="M352">_xlfn.ANCHORARRAY(C352)+0.1</f>
        <v>0.6</v>
      </c>
      <c r="N352" cm="1">
        <f t="array" ref="N352">_xlfn.ANCHORARRAY(D352)+0.15</f>
        <v>1.1499999999999999</v>
      </c>
      <c r="O352" cm="1">
        <f t="array" ref="O352">_xlfn.ANCHORARRAY(E352)+0.15</f>
        <v>3.15</v>
      </c>
      <c r="P352" cm="1">
        <f t="array" ref="P352">_xlfn.ANCHORARRAY(F352)+0.15</f>
        <v>4.6500000000000004</v>
      </c>
      <c r="Q352" cm="1">
        <f t="array" ref="Q352">_xlfn.ANCHORARRAY(G352)+0.15</f>
        <v>3.65</v>
      </c>
      <c r="R352" cm="1">
        <f t="array" ref="R352">_xlfn.ANCHORARRAY(H352)</f>
        <v>9.99</v>
      </c>
      <c r="S352" cm="1">
        <f t="array" ref="S352">_xlfn.ANCHORARRAY(R352)+0.15</f>
        <v>10.14</v>
      </c>
      <c r="T352" cm="1">
        <f t="array" ref="T352">_xlfn.ANCHORARRAY(I352)+0.15</f>
        <v>1.1499999999999999</v>
      </c>
      <c r="U352" cm="1">
        <f t="array" ref="U352">_xlfn.ANCHORARRAY(J352)+0.15</f>
        <v>3.15</v>
      </c>
      <c r="V352" cm="1">
        <f t="array" ref="V352">_xlfn.ANCHORARRAY(K352)+0.15</f>
        <v>4.6500000000000004</v>
      </c>
      <c r="W352">
        <f>TBL_TEV[[#This Row],[Etica Rendita Bilanciata]]</f>
        <v>1.634439</v>
      </c>
      <c r="X352">
        <f>TBL_TEV[[#This Row],[Etica Obbligazionario Breve Termine]]</f>
        <v>0.38225799999999999</v>
      </c>
      <c r="Y352">
        <f>TBL_TEV[[#This Row],[Etica Obbligazionario Misto]]</f>
        <v>0.85373100000000002</v>
      </c>
      <c r="Z352">
        <f>TBL_TEV[[#This Row],[Etica Bilanciato]]</f>
        <v>2.3010100000000002</v>
      </c>
      <c r="AA352">
        <f>TBL_TEV[[#This Row],[Etica Azionario]]</f>
        <v>3.2531629999999998</v>
      </c>
      <c r="AB352">
        <f>TBL_TEV[[#This Row],[Etica Transizione Climatica]]</f>
        <v>2.4357839999999999</v>
      </c>
      <c r="AC352">
        <f>TBL_TEV[[#This Row],[Etica Obiettivo Sociale]]</f>
        <v>8.7545187385335339</v>
      </c>
      <c r="AD352">
        <f>TBL_TEV[[#This Row],[Etica Conservative Allocation]]</f>
        <v>0.74721300000000002</v>
      </c>
      <c r="AE352">
        <f>TBL_TEV[[#This Row],[Etica Dynamic Allocation]]</f>
        <v>2.2808489999999999</v>
      </c>
      <c r="AF352">
        <f>TBL_TEV[[#This Row],[Etica Global Equity]]</f>
        <v>3.2520519999999999</v>
      </c>
      <c r="AL352">
        <f ca="1"/>
        <v>1.626978</v>
      </c>
      <c r="AM352">
        <f ca="1"/>
        <v>0.383052</v>
      </c>
      <c r="AN352">
        <f ca="1"/>
        <v>0.85023899999999997</v>
      </c>
      <c r="AO352">
        <f ca="1"/>
        <v>2.2865639999999998</v>
      </c>
      <c r="AP352">
        <f ca="1"/>
        <v>3.2371300000000001</v>
      </c>
      <c r="AQ352">
        <f ca="1"/>
        <v>2.4335619999999998</v>
      </c>
      <c r="AR352">
        <f ca="1"/>
        <v>8.7938785631353298</v>
      </c>
      <c r="AS352">
        <f ca="1"/>
        <v>0.74308600000000002</v>
      </c>
      <c r="AT352">
        <f ca="1"/>
        <v>2.2618</v>
      </c>
      <c r="AU352">
        <f ca="1"/>
        <v>3.2382409999999999</v>
      </c>
    </row>
    <row r="353" spans="1:47">
      <c r="A353" s="43">
        <f>TBL_TEV[[#This Row],[Data2]]</f>
        <v>45796</v>
      </c>
      <c r="B353" cm="1">
        <f t="array" ref="B353">_xlfn.XLOOKUP(_xlfn.ANCHORARRAY(A353), TBL_Limiti_CDA[Data], TBL_Limiti_CDA[Etica Rendita Bilanciata], , -1)</f>
        <v>2.5</v>
      </c>
      <c r="C353" cm="1">
        <f t="array" ref="C353">_xlfn.XLOOKUP(_xlfn.ANCHORARRAY(A353), TBL_Limiti_CDA[Data], TBL_Limiti_CDA[Etica Obbligazionario Breve Termine], , -1)</f>
        <v>0.5</v>
      </c>
      <c r="D353" cm="1">
        <f t="array" ref="D353">_xlfn.XLOOKUP(_xlfn.ANCHORARRAY(A353), TBL_Limiti_CDA[Data], TBL_Limiti_CDA[Etica Obbligazionario Misto], , -1)</f>
        <v>1</v>
      </c>
      <c r="E353" cm="1">
        <f t="array" ref="E353">_xlfn.XLOOKUP(_xlfn.ANCHORARRAY(A353), TBL_Limiti_CDA[Data], TBL_Limiti_CDA[Etica Bilanciato], , -1)</f>
        <v>3</v>
      </c>
      <c r="F353" cm="1">
        <f t="array" ref="F353">_xlfn.XLOOKUP(_xlfn.ANCHORARRAY(A353), TBL_Limiti_CDA[Data], TBL_Limiti_CDA[Etica Azionario], , -1)</f>
        <v>4.5</v>
      </c>
      <c r="G353" cm="1">
        <f t="array" ref="G353">_xlfn.XLOOKUP(_xlfn.ANCHORARRAY(A353), TBL_Limiti_CDA[Data], TBL_Limiti_CDA[Etica Transizione Climatica], , -1)</f>
        <v>3.5</v>
      </c>
      <c r="H353" cm="1">
        <f t="array" ref="H353">_xlfn.XLOOKUP(_xlfn.ANCHORARRAY(A353), TBL_Limiti_CDA[Data], TBL_Limiti_CDA[Etica Obiettivo Sociale], , -1)</f>
        <v>9.99</v>
      </c>
      <c r="I353" cm="1">
        <f t="array" ref="I353">_xlfn.XLOOKUP(_xlfn.ANCHORARRAY(A353), TBL_Limiti_CDA[Data], TBL_Limiti_CDA[Etica Conservative Allocation], , -1)</f>
        <v>1</v>
      </c>
      <c r="J353" cm="1">
        <f t="array" ref="J353">_xlfn.XLOOKUP(_xlfn.ANCHORARRAY(A353), TBL_Limiti_CDA[Data], TBL_Limiti_CDA[Etica Dynamic Allocation], , -1)</f>
        <v>3</v>
      </c>
      <c r="K353" cm="1">
        <f t="array" ref="K353">_xlfn.XLOOKUP(_xlfn.ANCHORARRAY(A353), TBL_Limiti_CDA[Data], TBL_Limiti_CDA[Etica Global Equity], , -1)</f>
        <v>4.5</v>
      </c>
      <c r="L353" cm="1">
        <f t="array" ref="L353">_xlfn.ANCHORARRAY(B353)+0.15</f>
        <v>2.65</v>
      </c>
      <c r="M353" cm="1">
        <f t="array" ref="M353">_xlfn.ANCHORARRAY(C353)+0.1</f>
        <v>0.6</v>
      </c>
      <c r="N353" cm="1">
        <f t="array" ref="N353">_xlfn.ANCHORARRAY(D353)+0.15</f>
        <v>1.1499999999999999</v>
      </c>
      <c r="O353" cm="1">
        <f t="array" ref="O353">_xlfn.ANCHORARRAY(E353)+0.15</f>
        <v>3.15</v>
      </c>
      <c r="P353" cm="1">
        <f t="array" ref="P353">_xlfn.ANCHORARRAY(F353)+0.15</f>
        <v>4.6500000000000004</v>
      </c>
      <c r="Q353" cm="1">
        <f t="array" ref="Q353">_xlfn.ANCHORARRAY(G353)+0.15</f>
        <v>3.65</v>
      </c>
      <c r="R353" cm="1">
        <f t="array" ref="R353">_xlfn.ANCHORARRAY(H353)</f>
        <v>9.99</v>
      </c>
      <c r="S353" cm="1">
        <f t="array" ref="S353">_xlfn.ANCHORARRAY(R353)+0.15</f>
        <v>10.14</v>
      </c>
      <c r="T353" cm="1">
        <f t="array" ref="T353">_xlfn.ANCHORARRAY(I353)+0.15</f>
        <v>1.1499999999999999</v>
      </c>
      <c r="U353" cm="1">
        <f t="array" ref="U353">_xlfn.ANCHORARRAY(J353)+0.15</f>
        <v>3.15</v>
      </c>
      <c r="V353" cm="1">
        <f t="array" ref="V353">_xlfn.ANCHORARRAY(K353)+0.15</f>
        <v>4.6500000000000004</v>
      </c>
      <c r="W353">
        <f>TBL_TEV[[#This Row],[Etica Rendita Bilanciata]]</f>
        <v>1.626978</v>
      </c>
      <c r="X353">
        <f>TBL_TEV[[#This Row],[Etica Obbligazionario Breve Termine]]</f>
        <v>0.383052</v>
      </c>
      <c r="Y353">
        <f>TBL_TEV[[#This Row],[Etica Obbligazionario Misto]]</f>
        <v>0.85023899999999997</v>
      </c>
      <c r="Z353">
        <f>TBL_TEV[[#This Row],[Etica Bilanciato]]</f>
        <v>2.2865639999999998</v>
      </c>
      <c r="AA353">
        <f>TBL_TEV[[#This Row],[Etica Azionario]]</f>
        <v>3.2371300000000001</v>
      </c>
      <c r="AB353">
        <f>TBL_TEV[[#This Row],[Etica Transizione Climatica]]</f>
        <v>2.4335619999999998</v>
      </c>
      <c r="AC353">
        <f>TBL_TEV[[#This Row],[Etica Obiettivo Sociale]]</f>
        <v>8.7938785631353298</v>
      </c>
      <c r="AD353">
        <f>TBL_TEV[[#This Row],[Etica Conservative Allocation]]</f>
        <v>0.74308600000000002</v>
      </c>
      <c r="AE353">
        <f>TBL_TEV[[#This Row],[Etica Dynamic Allocation]]</f>
        <v>2.2618</v>
      </c>
      <c r="AF353">
        <f>TBL_TEV[[#This Row],[Etica Global Equity]]</f>
        <v>3.2382409999999999</v>
      </c>
      <c r="AL353">
        <f ca="1"/>
        <v>1.631264</v>
      </c>
      <c r="AM353">
        <f ca="1"/>
        <v>0.38289299999999998</v>
      </c>
      <c r="AN353">
        <f ca="1"/>
        <v>0.82912600000000003</v>
      </c>
      <c r="AO353">
        <f ca="1"/>
        <v>2.2273520000000002</v>
      </c>
      <c r="AP353">
        <f ca="1"/>
        <v>3.205381</v>
      </c>
      <c r="AQ353">
        <f ca="1"/>
        <v>2.4065750000000001</v>
      </c>
      <c r="AR353">
        <f ca="1"/>
        <v>8.6872629781733455</v>
      </c>
      <c r="AS353">
        <f ca="1"/>
        <v>0.738958</v>
      </c>
      <c r="AT353">
        <f ca="1"/>
        <v>2.2417980000000002</v>
      </c>
      <c r="AU353">
        <f ca="1"/>
        <v>3.2088730000000001</v>
      </c>
    </row>
    <row r="354" spans="1:47">
      <c r="A354" s="43">
        <f>TBL_TEV[[#This Row],[Data2]]</f>
        <v>45797</v>
      </c>
      <c r="B354" cm="1">
        <f t="array" ref="B354">_xlfn.XLOOKUP(_xlfn.ANCHORARRAY(A354), TBL_Limiti_CDA[Data], TBL_Limiti_CDA[Etica Rendita Bilanciata], , -1)</f>
        <v>2.5</v>
      </c>
      <c r="C354" cm="1">
        <f t="array" ref="C354">_xlfn.XLOOKUP(_xlfn.ANCHORARRAY(A354), TBL_Limiti_CDA[Data], TBL_Limiti_CDA[Etica Obbligazionario Breve Termine], , -1)</f>
        <v>0.5</v>
      </c>
      <c r="D354" cm="1">
        <f t="array" ref="D354">_xlfn.XLOOKUP(_xlfn.ANCHORARRAY(A354), TBL_Limiti_CDA[Data], TBL_Limiti_CDA[Etica Obbligazionario Misto], , -1)</f>
        <v>1</v>
      </c>
      <c r="E354" cm="1">
        <f t="array" ref="E354">_xlfn.XLOOKUP(_xlfn.ANCHORARRAY(A354), TBL_Limiti_CDA[Data], TBL_Limiti_CDA[Etica Bilanciato], , -1)</f>
        <v>3</v>
      </c>
      <c r="F354" cm="1">
        <f t="array" ref="F354">_xlfn.XLOOKUP(_xlfn.ANCHORARRAY(A354), TBL_Limiti_CDA[Data], TBL_Limiti_CDA[Etica Azionario], , -1)</f>
        <v>4.5</v>
      </c>
      <c r="G354" cm="1">
        <f t="array" ref="G354">_xlfn.XLOOKUP(_xlfn.ANCHORARRAY(A354), TBL_Limiti_CDA[Data], TBL_Limiti_CDA[Etica Transizione Climatica], , -1)</f>
        <v>3.5</v>
      </c>
      <c r="H354" cm="1">
        <f t="array" ref="H354">_xlfn.XLOOKUP(_xlfn.ANCHORARRAY(A354), TBL_Limiti_CDA[Data], TBL_Limiti_CDA[Etica Obiettivo Sociale], , -1)</f>
        <v>9.99</v>
      </c>
      <c r="I354" cm="1">
        <f t="array" ref="I354">_xlfn.XLOOKUP(_xlfn.ANCHORARRAY(A354), TBL_Limiti_CDA[Data], TBL_Limiti_CDA[Etica Conservative Allocation], , -1)</f>
        <v>1</v>
      </c>
      <c r="J354" cm="1">
        <f t="array" ref="J354">_xlfn.XLOOKUP(_xlfn.ANCHORARRAY(A354), TBL_Limiti_CDA[Data], TBL_Limiti_CDA[Etica Dynamic Allocation], , -1)</f>
        <v>3</v>
      </c>
      <c r="K354" cm="1">
        <f t="array" ref="K354">_xlfn.XLOOKUP(_xlfn.ANCHORARRAY(A354), TBL_Limiti_CDA[Data], TBL_Limiti_CDA[Etica Global Equity], , -1)</f>
        <v>4.5</v>
      </c>
      <c r="L354" cm="1">
        <f t="array" ref="L354">_xlfn.ANCHORARRAY(B354)+0.15</f>
        <v>2.65</v>
      </c>
      <c r="M354" cm="1">
        <f t="array" ref="M354">_xlfn.ANCHORARRAY(C354)+0.1</f>
        <v>0.6</v>
      </c>
      <c r="N354" cm="1">
        <f t="array" ref="N354">_xlfn.ANCHORARRAY(D354)+0.15</f>
        <v>1.1499999999999999</v>
      </c>
      <c r="O354" cm="1">
        <f t="array" ref="O354">_xlfn.ANCHORARRAY(E354)+0.15</f>
        <v>3.15</v>
      </c>
      <c r="P354" cm="1">
        <f t="array" ref="P354">_xlfn.ANCHORARRAY(F354)+0.15</f>
        <v>4.6500000000000004</v>
      </c>
      <c r="Q354" cm="1">
        <f t="array" ref="Q354">_xlfn.ANCHORARRAY(G354)+0.15</f>
        <v>3.65</v>
      </c>
      <c r="R354" cm="1">
        <f t="array" ref="R354">_xlfn.ANCHORARRAY(H354)</f>
        <v>9.99</v>
      </c>
      <c r="S354" cm="1">
        <f t="array" ref="S354">_xlfn.ANCHORARRAY(R354)+0.15</f>
        <v>10.14</v>
      </c>
      <c r="T354" cm="1">
        <f t="array" ref="T354">_xlfn.ANCHORARRAY(I354)+0.15</f>
        <v>1.1499999999999999</v>
      </c>
      <c r="U354" cm="1">
        <f t="array" ref="U354">_xlfn.ANCHORARRAY(J354)+0.15</f>
        <v>3.15</v>
      </c>
      <c r="V354" cm="1">
        <f t="array" ref="V354">_xlfn.ANCHORARRAY(K354)+0.15</f>
        <v>4.6500000000000004</v>
      </c>
      <c r="W354">
        <f>TBL_TEV[[#This Row],[Etica Rendita Bilanciata]]</f>
        <v>1.631264</v>
      </c>
      <c r="X354">
        <f>TBL_TEV[[#This Row],[Etica Obbligazionario Breve Termine]]</f>
        <v>0.38289299999999998</v>
      </c>
      <c r="Y354">
        <f>TBL_TEV[[#This Row],[Etica Obbligazionario Misto]]</f>
        <v>0.82912600000000003</v>
      </c>
      <c r="Z354">
        <f>TBL_TEV[[#This Row],[Etica Bilanciato]]</f>
        <v>2.2273520000000002</v>
      </c>
      <c r="AA354">
        <f>TBL_TEV[[#This Row],[Etica Azionario]]</f>
        <v>3.205381</v>
      </c>
      <c r="AB354">
        <f>TBL_TEV[[#This Row],[Etica Transizione Climatica]]</f>
        <v>2.4065750000000001</v>
      </c>
      <c r="AC354">
        <f>TBL_TEV[[#This Row],[Etica Obiettivo Sociale]]</f>
        <v>8.6872629781733455</v>
      </c>
      <c r="AD354">
        <f>TBL_TEV[[#This Row],[Etica Conservative Allocation]]</f>
        <v>0.738958</v>
      </c>
      <c r="AE354">
        <f>TBL_TEV[[#This Row],[Etica Dynamic Allocation]]</f>
        <v>2.2417980000000002</v>
      </c>
      <c r="AF354">
        <f>TBL_TEV[[#This Row],[Etica Global Equity]]</f>
        <v>3.2088730000000001</v>
      </c>
      <c r="AL354">
        <f ca="1"/>
        <v>1.6265019999999999</v>
      </c>
      <c r="AM354">
        <f ca="1"/>
        <v>0.38273400000000002</v>
      </c>
      <c r="AN354">
        <f ca="1"/>
        <v>0.82499800000000001</v>
      </c>
      <c r="AO354">
        <f ca="1"/>
        <v>2.2041750000000002</v>
      </c>
      <c r="AP354">
        <f ca="1"/>
        <v>3.1904590000000002</v>
      </c>
      <c r="AQ354">
        <f ca="1"/>
        <v>2.376573</v>
      </c>
      <c r="AR354">
        <f ca="1"/>
        <v>8.359763238845078</v>
      </c>
      <c r="AS354">
        <f ca="1"/>
        <v>0.73657700000000004</v>
      </c>
      <c r="AT354">
        <f ca="1"/>
        <v>2.2186210000000002</v>
      </c>
      <c r="AU354">
        <f ca="1"/>
        <v>3.2015709999999999</v>
      </c>
    </row>
    <row r="355" spans="1:47">
      <c r="A355" s="43">
        <f>TBL_TEV[[#This Row],[Data2]]</f>
        <v>45798</v>
      </c>
      <c r="B355" cm="1">
        <f t="array" ref="B355">_xlfn.XLOOKUP(_xlfn.ANCHORARRAY(A355), TBL_Limiti_CDA[Data], TBL_Limiti_CDA[Etica Rendita Bilanciata], , -1)</f>
        <v>2.5</v>
      </c>
      <c r="C355" cm="1">
        <f t="array" ref="C355">_xlfn.XLOOKUP(_xlfn.ANCHORARRAY(A355), TBL_Limiti_CDA[Data], TBL_Limiti_CDA[Etica Obbligazionario Breve Termine], , -1)</f>
        <v>0.5</v>
      </c>
      <c r="D355" cm="1">
        <f t="array" ref="D355">_xlfn.XLOOKUP(_xlfn.ANCHORARRAY(A355), TBL_Limiti_CDA[Data], TBL_Limiti_CDA[Etica Obbligazionario Misto], , -1)</f>
        <v>1</v>
      </c>
      <c r="E355" cm="1">
        <f t="array" ref="E355">_xlfn.XLOOKUP(_xlfn.ANCHORARRAY(A355), TBL_Limiti_CDA[Data], TBL_Limiti_CDA[Etica Bilanciato], , -1)</f>
        <v>3</v>
      </c>
      <c r="F355" cm="1">
        <f t="array" ref="F355">_xlfn.XLOOKUP(_xlfn.ANCHORARRAY(A355), TBL_Limiti_CDA[Data], TBL_Limiti_CDA[Etica Azionario], , -1)</f>
        <v>4.5</v>
      </c>
      <c r="G355" cm="1">
        <f t="array" ref="G355">_xlfn.XLOOKUP(_xlfn.ANCHORARRAY(A355), TBL_Limiti_CDA[Data], TBL_Limiti_CDA[Etica Transizione Climatica], , -1)</f>
        <v>3.5</v>
      </c>
      <c r="H355" cm="1">
        <f t="array" ref="H355">_xlfn.XLOOKUP(_xlfn.ANCHORARRAY(A355), TBL_Limiti_CDA[Data], TBL_Limiti_CDA[Etica Obiettivo Sociale], , -1)</f>
        <v>9.99</v>
      </c>
      <c r="I355" cm="1">
        <f t="array" ref="I355">_xlfn.XLOOKUP(_xlfn.ANCHORARRAY(A355), TBL_Limiti_CDA[Data], TBL_Limiti_CDA[Etica Conservative Allocation], , -1)</f>
        <v>1</v>
      </c>
      <c r="J355" cm="1">
        <f t="array" ref="J355">_xlfn.XLOOKUP(_xlfn.ANCHORARRAY(A355), TBL_Limiti_CDA[Data], TBL_Limiti_CDA[Etica Dynamic Allocation], , -1)</f>
        <v>3</v>
      </c>
      <c r="K355" cm="1">
        <f t="array" ref="K355">_xlfn.XLOOKUP(_xlfn.ANCHORARRAY(A355), TBL_Limiti_CDA[Data], TBL_Limiti_CDA[Etica Global Equity], , -1)</f>
        <v>4.5</v>
      </c>
      <c r="L355" cm="1">
        <f t="array" ref="L355">_xlfn.ANCHORARRAY(B355)+0.15</f>
        <v>2.65</v>
      </c>
      <c r="M355" cm="1">
        <f t="array" ref="M355">_xlfn.ANCHORARRAY(C355)+0.1</f>
        <v>0.6</v>
      </c>
      <c r="N355" cm="1">
        <f t="array" ref="N355">_xlfn.ANCHORARRAY(D355)+0.15</f>
        <v>1.1499999999999999</v>
      </c>
      <c r="O355" cm="1">
        <f t="array" ref="O355">_xlfn.ANCHORARRAY(E355)+0.15</f>
        <v>3.15</v>
      </c>
      <c r="P355" cm="1">
        <f t="array" ref="P355">_xlfn.ANCHORARRAY(F355)+0.15</f>
        <v>4.6500000000000004</v>
      </c>
      <c r="Q355" cm="1">
        <f t="array" ref="Q355">_xlfn.ANCHORARRAY(G355)+0.15</f>
        <v>3.65</v>
      </c>
      <c r="R355" cm="1">
        <f t="array" ref="R355">_xlfn.ANCHORARRAY(H355)</f>
        <v>9.99</v>
      </c>
      <c r="S355" cm="1">
        <f t="array" ref="S355">_xlfn.ANCHORARRAY(R355)+0.15</f>
        <v>10.14</v>
      </c>
      <c r="T355" cm="1">
        <f t="array" ref="T355">_xlfn.ANCHORARRAY(I355)+0.15</f>
        <v>1.1499999999999999</v>
      </c>
      <c r="U355" cm="1">
        <f t="array" ref="U355">_xlfn.ANCHORARRAY(J355)+0.15</f>
        <v>3.15</v>
      </c>
      <c r="V355" cm="1">
        <f t="array" ref="V355">_xlfn.ANCHORARRAY(K355)+0.15</f>
        <v>4.6500000000000004</v>
      </c>
      <c r="W355">
        <f>TBL_TEV[[#This Row],[Etica Rendita Bilanciata]]</f>
        <v>1.6265019999999999</v>
      </c>
      <c r="X355">
        <f>TBL_TEV[[#This Row],[Etica Obbligazionario Breve Termine]]</f>
        <v>0.38273400000000002</v>
      </c>
      <c r="Y355">
        <f>TBL_TEV[[#This Row],[Etica Obbligazionario Misto]]</f>
        <v>0.82499800000000001</v>
      </c>
      <c r="Z355">
        <f>TBL_TEV[[#This Row],[Etica Bilanciato]]</f>
        <v>2.2041750000000002</v>
      </c>
      <c r="AA355">
        <f>TBL_TEV[[#This Row],[Etica Azionario]]</f>
        <v>3.1904590000000002</v>
      </c>
      <c r="AB355">
        <f>TBL_TEV[[#This Row],[Etica Transizione Climatica]]</f>
        <v>2.376573</v>
      </c>
      <c r="AC355">
        <f>TBL_TEV[[#This Row],[Etica Obiettivo Sociale]]</f>
        <v>8.359763238845078</v>
      </c>
      <c r="AD355">
        <f>TBL_TEV[[#This Row],[Etica Conservative Allocation]]</f>
        <v>0.73657700000000004</v>
      </c>
      <c r="AE355">
        <f>TBL_TEV[[#This Row],[Etica Dynamic Allocation]]</f>
        <v>2.2186210000000002</v>
      </c>
      <c r="AF355">
        <f>TBL_TEV[[#This Row],[Etica Global Equity]]</f>
        <v>3.2015709999999999</v>
      </c>
      <c r="AL355">
        <f ca="1"/>
        <v>1.62809</v>
      </c>
      <c r="AM355">
        <f ca="1"/>
        <v>0.38321100000000002</v>
      </c>
      <c r="AN355">
        <f ca="1"/>
        <v>0.83071300000000003</v>
      </c>
      <c r="AO355">
        <f ca="1"/>
        <v>2.2000479999999998</v>
      </c>
      <c r="AP355">
        <f ca="1"/>
        <v>3.18649</v>
      </c>
      <c r="AQ355">
        <f ca="1"/>
        <v>2.403559</v>
      </c>
      <c r="AR355">
        <f ca="1"/>
        <v>8.2956761499423468</v>
      </c>
      <c r="AS355">
        <f ca="1"/>
        <v>0.73880000000000001</v>
      </c>
      <c r="AT355">
        <f ca="1"/>
        <v>2.2259229999999999</v>
      </c>
      <c r="AU355">
        <f ca="1"/>
        <v>3.210302</v>
      </c>
    </row>
    <row r="356" spans="1:47">
      <c r="A356" s="43">
        <f>TBL_TEV[[#This Row],[Data2]]</f>
        <v>45799</v>
      </c>
      <c r="B356" cm="1">
        <f t="array" ref="B356">_xlfn.XLOOKUP(_xlfn.ANCHORARRAY(A356), TBL_Limiti_CDA[Data], TBL_Limiti_CDA[Etica Rendita Bilanciata], , -1)</f>
        <v>2.5</v>
      </c>
      <c r="C356" cm="1">
        <f t="array" ref="C356">_xlfn.XLOOKUP(_xlfn.ANCHORARRAY(A356), TBL_Limiti_CDA[Data], TBL_Limiti_CDA[Etica Obbligazionario Breve Termine], , -1)</f>
        <v>0.5</v>
      </c>
      <c r="D356" cm="1">
        <f t="array" ref="D356">_xlfn.XLOOKUP(_xlfn.ANCHORARRAY(A356), TBL_Limiti_CDA[Data], TBL_Limiti_CDA[Etica Obbligazionario Misto], , -1)</f>
        <v>1</v>
      </c>
      <c r="E356" cm="1">
        <f t="array" ref="E356">_xlfn.XLOOKUP(_xlfn.ANCHORARRAY(A356), TBL_Limiti_CDA[Data], TBL_Limiti_CDA[Etica Bilanciato], , -1)</f>
        <v>3</v>
      </c>
      <c r="F356" cm="1">
        <f t="array" ref="F356">_xlfn.XLOOKUP(_xlfn.ANCHORARRAY(A356), TBL_Limiti_CDA[Data], TBL_Limiti_CDA[Etica Azionario], , -1)</f>
        <v>4.5</v>
      </c>
      <c r="G356" cm="1">
        <f t="array" ref="G356">_xlfn.XLOOKUP(_xlfn.ANCHORARRAY(A356), TBL_Limiti_CDA[Data], TBL_Limiti_CDA[Etica Transizione Climatica], , -1)</f>
        <v>3.5</v>
      </c>
      <c r="H356" cm="1">
        <f t="array" ref="H356">_xlfn.XLOOKUP(_xlfn.ANCHORARRAY(A356), TBL_Limiti_CDA[Data], TBL_Limiti_CDA[Etica Obiettivo Sociale], , -1)</f>
        <v>9.99</v>
      </c>
      <c r="I356" cm="1">
        <f t="array" ref="I356">_xlfn.XLOOKUP(_xlfn.ANCHORARRAY(A356), TBL_Limiti_CDA[Data], TBL_Limiti_CDA[Etica Conservative Allocation], , -1)</f>
        <v>1</v>
      </c>
      <c r="J356" cm="1">
        <f t="array" ref="J356">_xlfn.XLOOKUP(_xlfn.ANCHORARRAY(A356), TBL_Limiti_CDA[Data], TBL_Limiti_CDA[Etica Dynamic Allocation], , -1)</f>
        <v>3</v>
      </c>
      <c r="K356" cm="1">
        <f t="array" ref="K356">_xlfn.XLOOKUP(_xlfn.ANCHORARRAY(A356), TBL_Limiti_CDA[Data], TBL_Limiti_CDA[Etica Global Equity], , -1)</f>
        <v>4.5</v>
      </c>
      <c r="L356" cm="1">
        <f t="array" ref="L356">_xlfn.ANCHORARRAY(B356)+0.15</f>
        <v>2.65</v>
      </c>
      <c r="M356" cm="1">
        <f t="array" ref="M356">_xlfn.ANCHORARRAY(C356)+0.1</f>
        <v>0.6</v>
      </c>
      <c r="N356" cm="1">
        <f t="array" ref="N356">_xlfn.ANCHORARRAY(D356)+0.15</f>
        <v>1.1499999999999999</v>
      </c>
      <c r="O356" cm="1">
        <f t="array" ref="O356">_xlfn.ANCHORARRAY(E356)+0.15</f>
        <v>3.15</v>
      </c>
      <c r="P356" cm="1">
        <f t="array" ref="P356">_xlfn.ANCHORARRAY(F356)+0.15</f>
        <v>4.6500000000000004</v>
      </c>
      <c r="Q356" cm="1">
        <f t="array" ref="Q356">_xlfn.ANCHORARRAY(G356)+0.15</f>
        <v>3.65</v>
      </c>
      <c r="R356" cm="1">
        <f t="array" ref="R356">_xlfn.ANCHORARRAY(H356)</f>
        <v>9.99</v>
      </c>
      <c r="S356" cm="1">
        <f t="array" ref="S356">_xlfn.ANCHORARRAY(R356)+0.15</f>
        <v>10.14</v>
      </c>
      <c r="T356" cm="1">
        <f t="array" ref="T356">_xlfn.ANCHORARRAY(I356)+0.15</f>
        <v>1.1499999999999999</v>
      </c>
      <c r="U356" cm="1">
        <f t="array" ref="U356">_xlfn.ANCHORARRAY(J356)+0.15</f>
        <v>3.15</v>
      </c>
      <c r="V356" cm="1">
        <f t="array" ref="V356">_xlfn.ANCHORARRAY(K356)+0.15</f>
        <v>4.6500000000000004</v>
      </c>
      <c r="W356">
        <f>TBL_TEV[[#This Row],[Etica Rendita Bilanciata]]</f>
        <v>1.62809</v>
      </c>
      <c r="X356">
        <f>TBL_TEV[[#This Row],[Etica Obbligazionario Breve Termine]]</f>
        <v>0.38321100000000002</v>
      </c>
      <c r="Y356">
        <f>TBL_TEV[[#This Row],[Etica Obbligazionario Misto]]</f>
        <v>0.83071300000000003</v>
      </c>
      <c r="Z356">
        <f>TBL_TEV[[#This Row],[Etica Bilanciato]]</f>
        <v>2.2000479999999998</v>
      </c>
      <c r="AA356">
        <f>TBL_TEV[[#This Row],[Etica Azionario]]</f>
        <v>3.18649</v>
      </c>
      <c r="AB356">
        <f>TBL_TEV[[#This Row],[Etica Transizione Climatica]]</f>
        <v>2.403559</v>
      </c>
      <c r="AC356">
        <f>TBL_TEV[[#This Row],[Etica Obiettivo Sociale]]</f>
        <v>8.2956761499423468</v>
      </c>
      <c r="AD356">
        <f>TBL_TEV[[#This Row],[Etica Conservative Allocation]]</f>
        <v>0.73880000000000001</v>
      </c>
      <c r="AE356">
        <f>TBL_TEV[[#This Row],[Etica Dynamic Allocation]]</f>
        <v>2.2259229999999999</v>
      </c>
      <c r="AF356">
        <f>TBL_TEV[[#This Row],[Etica Global Equity]]</f>
        <v>3.210302</v>
      </c>
      <c r="AL356">
        <f ca="1"/>
        <v>1.6298360000000001</v>
      </c>
      <c r="AM356">
        <f ca="1"/>
        <v>0.38416299999999998</v>
      </c>
      <c r="AN356">
        <f ca="1"/>
        <v>0.82039499999999999</v>
      </c>
      <c r="AO356">
        <f ca="1"/>
        <v>2.1821100000000002</v>
      </c>
      <c r="AP356">
        <f ca="1"/>
        <v>3.1704569999999999</v>
      </c>
      <c r="AQ356">
        <f ca="1"/>
        <v>2.3606980000000002</v>
      </c>
      <c r="AR356">
        <f ca="1"/>
        <v>8.306969077571221</v>
      </c>
      <c r="AS356">
        <f ca="1"/>
        <v>0.74038700000000002</v>
      </c>
      <c r="AT356">
        <f ca="1"/>
        <v>2.1824270000000001</v>
      </c>
      <c r="AU356">
        <f ca="1"/>
        <v>3.1664880000000002</v>
      </c>
    </row>
    <row r="357" spans="1:47">
      <c r="A357" s="43">
        <f>TBL_TEV[[#This Row],[Data2]]</f>
        <v>45800</v>
      </c>
      <c r="B357" cm="1">
        <f t="array" ref="B357">_xlfn.XLOOKUP(_xlfn.ANCHORARRAY(A357), TBL_Limiti_CDA[Data], TBL_Limiti_CDA[Etica Rendita Bilanciata], , -1)</f>
        <v>2.5</v>
      </c>
      <c r="C357" cm="1">
        <f t="array" ref="C357">_xlfn.XLOOKUP(_xlfn.ANCHORARRAY(A357), TBL_Limiti_CDA[Data], TBL_Limiti_CDA[Etica Obbligazionario Breve Termine], , -1)</f>
        <v>0.5</v>
      </c>
      <c r="D357" cm="1">
        <f t="array" ref="D357">_xlfn.XLOOKUP(_xlfn.ANCHORARRAY(A357), TBL_Limiti_CDA[Data], TBL_Limiti_CDA[Etica Obbligazionario Misto], , -1)</f>
        <v>1</v>
      </c>
      <c r="E357" cm="1">
        <f t="array" ref="E357">_xlfn.XLOOKUP(_xlfn.ANCHORARRAY(A357), TBL_Limiti_CDA[Data], TBL_Limiti_CDA[Etica Bilanciato], , -1)</f>
        <v>3</v>
      </c>
      <c r="F357" cm="1">
        <f t="array" ref="F357">_xlfn.XLOOKUP(_xlfn.ANCHORARRAY(A357), TBL_Limiti_CDA[Data], TBL_Limiti_CDA[Etica Azionario], , -1)</f>
        <v>4.5</v>
      </c>
      <c r="G357" cm="1">
        <f t="array" ref="G357">_xlfn.XLOOKUP(_xlfn.ANCHORARRAY(A357), TBL_Limiti_CDA[Data], TBL_Limiti_CDA[Etica Transizione Climatica], , -1)</f>
        <v>3.5</v>
      </c>
      <c r="H357" cm="1">
        <f t="array" ref="H357">_xlfn.XLOOKUP(_xlfn.ANCHORARRAY(A357), TBL_Limiti_CDA[Data], TBL_Limiti_CDA[Etica Obiettivo Sociale], , -1)</f>
        <v>9.99</v>
      </c>
      <c r="I357" cm="1">
        <f t="array" ref="I357">_xlfn.XLOOKUP(_xlfn.ANCHORARRAY(A357), TBL_Limiti_CDA[Data], TBL_Limiti_CDA[Etica Conservative Allocation], , -1)</f>
        <v>1</v>
      </c>
      <c r="J357" cm="1">
        <f t="array" ref="J357">_xlfn.XLOOKUP(_xlfn.ANCHORARRAY(A357), TBL_Limiti_CDA[Data], TBL_Limiti_CDA[Etica Dynamic Allocation], , -1)</f>
        <v>3</v>
      </c>
      <c r="K357" cm="1">
        <f t="array" ref="K357">_xlfn.XLOOKUP(_xlfn.ANCHORARRAY(A357), TBL_Limiti_CDA[Data], TBL_Limiti_CDA[Etica Global Equity], , -1)</f>
        <v>4.5</v>
      </c>
      <c r="L357" cm="1">
        <f t="array" ref="L357">_xlfn.ANCHORARRAY(B357)+0.15</f>
        <v>2.65</v>
      </c>
      <c r="M357" cm="1">
        <f t="array" ref="M357">_xlfn.ANCHORARRAY(C357)+0.1</f>
        <v>0.6</v>
      </c>
      <c r="N357" cm="1">
        <f t="array" ref="N357">_xlfn.ANCHORARRAY(D357)+0.15</f>
        <v>1.1499999999999999</v>
      </c>
      <c r="O357" cm="1">
        <f t="array" ref="O357">_xlfn.ANCHORARRAY(E357)+0.15</f>
        <v>3.15</v>
      </c>
      <c r="P357" cm="1">
        <f t="array" ref="P357">_xlfn.ANCHORARRAY(F357)+0.15</f>
        <v>4.6500000000000004</v>
      </c>
      <c r="Q357" cm="1">
        <f t="array" ref="Q357">_xlfn.ANCHORARRAY(G357)+0.15</f>
        <v>3.65</v>
      </c>
      <c r="R357" cm="1">
        <f t="array" ref="R357">_xlfn.ANCHORARRAY(H357)</f>
        <v>9.99</v>
      </c>
      <c r="S357" cm="1">
        <f t="array" ref="S357">_xlfn.ANCHORARRAY(R357)+0.15</f>
        <v>10.14</v>
      </c>
      <c r="T357" cm="1">
        <f t="array" ref="T357">_xlfn.ANCHORARRAY(I357)+0.15</f>
        <v>1.1499999999999999</v>
      </c>
      <c r="U357" cm="1">
        <f t="array" ref="U357">_xlfn.ANCHORARRAY(J357)+0.15</f>
        <v>3.15</v>
      </c>
      <c r="V357" cm="1">
        <f t="array" ref="V357">_xlfn.ANCHORARRAY(K357)+0.15</f>
        <v>4.6500000000000004</v>
      </c>
      <c r="W357">
        <f>TBL_TEV[[#This Row],[Etica Rendita Bilanciata]]</f>
        <v>1.6298360000000001</v>
      </c>
      <c r="X357">
        <f>TBL_TEV[[#This Row],[Etica Obbligazionario Breve Termine]]</f>
        <v>0.38416299999999998</v>
      </c>
      <c r="Y357">
        <f>TBL_TEV[[#This Row],[Etica Obbligazionario Misto]]</f>
        <v>0.82039499999999999</v>
      </c>
      <c r="Z357">
        <f>TBL_TEV[[#This Row],[Etica Bilanciato]]</f>
        <v>2.1821100000000002</v>
      </c>
      <c r="AA357">
        <f>TBL_TEV[[#This Row],[Etica Azionario]]</f>
        <v>3.1704569999999999</v>
      </c>
      <c r="AB357">
        <f>TBL_TEV[[#This Row],[Etica Transizione Climatica]]</f>
        <v>2.3606980000000002</v>
      </c>
      <c r="AC357">
        <f>TBL_TEV[[#This Row],[Etica Obiettivo Sociale]]</f>
        <v>8.306969077571221</v>
      </c>
      <c r="AD357">
        <f>TBL_TEV[[#This Row],[Etica Conservative Allocation]]</f>
        <v>0.74038700000000002</v>
      </c>
      <c r="AE357">
        <f>TBL_TEV[[#This Row],[Etica Dynamic Allocation]]</f>
        <v>2.1824270000000001</v>
      </c>
      <c r="AF357">
        <f>TBL_TEV[[#This Row],[Etica Global Equity]]</f>
        <v>3.1664880000000002</v>
      </c>
      <c r="AL357">
        <f ca="1"/>
        <v>1.607135</v>
      </c>
      <c r="AM357">
        <f ca="1"/>
        <v>0.38289299999999998</v>
      </c>
      <c r="AN357">
        <f ca="1"/>
        <v>0.81610799999999994</v>
      </c>
      <c r="AO357">
        <f ca="1"/>
        <v>2.1630600000000002</v>
      </c>
      <c r="AP357">
        <f ca="1"/>
        <v>3.1431529999999999</v>
      </c>
      <c r="AQ357">
        <f ca="1"/>
        <v>2.3464109999999998</v>
      </c>
      <c r="AR357">
        <f ca="1"/>
        <v>8.1601882160589323</v>
      </c>
      <c r="AS357">
        <f ca="1"/>
        <v>0.73530700000000004</v>
      </c>
      <c r="AT357">
        <f ca="1"/>
        <v>2.1570279999999999</v>
      </c>
      <c r="AU357">
        <f ca="1"/>
        <v>3.1488670000000001</v>
      </c>
    </row>
    <row r="358" spans="1:47">
      <c r="A358" s="43">
        <f>TBL_TEV[[#This Row],[Data2]]</f>
        <v>45803</v>
      </c>
      <c r="B358" cm="1">
        <f t="array" ref="B358">_xlfn.XLOOKUP(_xlfn.ANCHORARRAY(A358), TBL_Limiti_CDA[Data], TBL_Limiti_CDA[Etica Rendita Bilanciata], , -1)</f>
        <v>2.5</v>
      </c>
      <c r="C358" cm="1">
        <f t="array" ref="C358">_xlfn.XLOOKUP(_xlfn.ANCHORARRAY(A358), TBL_Limiti_CDA[Data], TBL_Limiti_CDA[Etica Obbligazionario Breve Termine], , -1)</f>
        <v>0.5</v>
      </c>
      <c r="D358" cm="1">
        <f t="array" ref="D358">_xlfn.XLOOKUP(_xlfn.ANCHORARRAY(A358), TBL_Limiti_CDA[Data], TBL_Limiti_CDA[Etica Obbligazionario Misto], , -1)</f>
        <v>1</v>
      </c>
      <c r="E358" cm="1">
        <f t="array" ref="E358">_xlfn.XLOOKUP(_xlfn.ANCHORARRAY(A358), TBL_Limiti_CDA[Data], TBL_Limiti_CDA[Etica Bilanciato], , -1)</f>
        <v>3</v>
      </c>
      <c r="F358" cm="1">
        <f t="array" ref="F358">_xlfn.XLOOKUP(_xlfn.ANCHORARRAY(A358), TBL_Limiti_CDA[Data], TBL_Limiti_CDA[Etica Azionario], , -1)</f>
        <v>4.5</v>
      </c>
      <c r="G358" cm="1">
        <f t="array" ref="G358">_xlfn.XLOOKUP(_xlfn.ANCHORARRAY(A358), TBL_Limiti_CDA[Data], TBL_Limiti_CDA[Etica Transizione Climatica], , -1)</f>
        <v>3.5</v>
      </c>
      <c r="H358" cm="1">
        <f t="array" ref="H358">_xlfn.XLOOKUP(_xlfn.ANCHORARRAY(A358), TBL_Limiti_CDA[Data], TBL_Limiti_CDA[Etica Obiettivo Sociale], , -1)</f>
        <v>9.99</v>
      </c>
      <c r="I358" cm="1">
        <f t="array" ref="I358">_xlfn.XLOOKUP(_xlfn.ANCHORARRAY(A358), TBL_Limiti_CDA[Data], TBL_Limiti_CDA[Etica Conservative Allocation], , -1)</f>
        <v>1</v>
      </c>
      <c r="J358" cm="1">
        <f t="array" ref="J358">_xlfn.XLOOKUP(_xlfn.ANCHORARRAY(A358), TBL_Limiti_CDA[Data], TBL_Limiti_CDA[Etica Dynamic Allocation], , -1)</f>
        <v>3</v>
      </c>
      <c r="K358" cm="1">
        <f t="array" ref="K358">_xlfn.XLOOKUP(_xlfn.ANCHORARRAY(A358), TBL_Limiti_CDA[Data], TBL_Limiti_CDA[Etica Global Equity], , -1)</f>
        <v>4.5</v>
      </c>
      <c r="L358" cm="1">
        <f t="array" ref="L358">_xlfn.ANCHORARRAY(B358)+0.15</f>
        <v>2.65</v>
      </c>
      <c r="M358" cm="1">
        <f t="array" ref="M358">_xlfn.ANCHORARRAY(C358)+0.1</f>
        <v>0.6</v>
      </c>
      <c r="N358" cm="1">
        <f t="array" ref="N358">_xlfn.ANCHORARRAY(D358)+0.15</f>
        <v>1.1499999999999999</v>
      </c>
      <c r="O358" cm="1">
        <f t="array" ref="O358">_xlfn.ANCHORARRAY(E358)+0.15</f>
        <v>3.15</v>
      </c>
      <c r="P358" cm="1">
        <f t="array" ref="P358">_xlfn.ANCHORARRAY(F358)+0.15</f>
        <v>4.6500000000000004</v>
      </c>
      <c r="Q358" cm="1">
        <f t="array" ref="Q358">_xlfn.ANCHORARRAY(G358)+0.15</f>
        <v>3.65</v>
      </c>
      <c r="R358" cm="1">
        <f t="array" ref="R358">_xlfn.ANCHORARRAY(H358)</f>
        <v>9.99</v>
      </c>
      <c r="S358" cm="1">
        <f t="array" ref="S358">_xlfn.ANCHORARRAY(R358)+0.15</f>
        <v>10.14</v>
      </c>
      <c r="T358" cm="1">
        <f t="array" ref="T358">_xlfn.ANCHORARRAY(I358)+0.15</f>
        <v>1.1499999999999999</v>
      </c>
      <c r="U358" cm="1">
        <f t="array" ref="U358">_xlfn.ANCHORARRAY(J358)+0.15</f>
        <v>3.15</v>
      </c>
      <c r="V358" cm="1">
        <f t="array" ref="V358">_xlfn.ANCHORARRAY(K358)+0.15</f>
        <v>4.6500000000000004</v>
      </c>
      <c r="W358">
        <f>TBL_TEV[[#This Row],[Etica Rendita Bilanciata]]</f>
        <v>1.607135</v>
      </c>
      <c r="X358">
        <f>TBL_TEV[[#This Row],[Etica Obbligazionario Breve Termine]]</f>
        <v>0.38289299999999998</v>
      </c>
      <c r="Y358">
        <f>TBL_TEV[[#This Row],[Etica Obbligazionario Misto]]</f>
        <v>0.81610799999999994</v>
      </c>
      <c r="Z358">
        <f>TBL_TEV[[#This Row],[Etica Bilanciato]]</f>
        <v>2.1630600000000002</v>
      </c>
      <c r="AA358">
        <f>TBL_TEV[[#This Row],[Etica Azionario]]</f>
        <v>3.1431529999999999</v>
      </c>
      <c r="AB358">
        <f>TBL_TEV[[#This Row],[Etica Transizione Climatica]]</f>
        <v>2.3464109999999998</v>
      </c>
      <c r="AC358">
        <f>TBL_TEV[[#This Row],[Etica Obiettivo Sociale]]</f>
        <v>8.1601882160589323</v>
      </c>
      <c r="AD358">
        <f>TBL_TEV[[#This Row],[Etica Conservative Allocation]]</f>
        <v>0.73530700000000004</v>
      </c>
      <c r="AE358">
        <f>TBL_TEV[[#This Row],[Etica Dynamic Allocation]]</f>
        <v>2.1570279999999999</v>
      </c>
      <c r="AF358">
        <f>TBL_TEV[[#This Row],[Etica Global Equity]]</f>
        <v>3.1488670000000001</v>
      </c>
      <c r="AL358">
        <f ca="1"/>
        <v>1.5520510000000001</v>
      </c>
      <c r="AM358">
        <f ca="1"/>
        <v>0.38051200000000002</v>
      </c>
      <c r="AN358">
        <f ca="1"/>
        <v>0.75483299999999998</v>
      </c>
      <c r="AO358">
        <f ca="1"/>
        <v>2.1576629999999999</v>
      </c>
      <c r="AP358">
        <f ca="1"/>
        <v>3.1493440000000001</v>
      </c>
      <c r="AQ358">
        <f ca="1"/>
        <v>2.3262499999999999</v>
      </c>
      <c r="AR358">
        <f ca="1"/>
        <v>8.354831119801025</v>
      </c>
      <c r="AS358">
        <f ca="1"/>
        <v>0.73038599999999998</v>
      </c>
      <c r="AT358">
        <f ca="1"/>
        <v>2.170204</v>
      </c>
      <c r="AU358">
        <f ca="1"/>
        <v>3.1568049999999999</v>
      </c>
    </row>
    <row r="359" spans="1:47">
      <c r="A359" s="43">
        <f>TBL_TEV[[#This Row],[Data2]]</f>
        <v>45804</v>
      </c>
      <c r="B359" cm="1">
        <f t="array" ref="B359">_xlfn.XLOOKUP(_xlfn.ANCHORARRAY(A359), TBL_Limiti_CDA[Data], TBL_Limiti_CDA[Etica Rendita Bilanciata], , -1)</f>
        <v>2.5</v>
      </c>
      <c r="C359" cm="1">
        <f t="array" ref="C359">_xlfn.XLOOKUP(_xlfn.ANCHORARRAY(A359), TBL_Limiti_CDA[Data], TBL_Limiti_CDA[Etica Obbligazionario Breve Termine], , -1)</f>
        <v>0.5</v>
      </c>
      <c r="D359" cm="1">
        <f t="array" ref="D359">_xlfn.XLOOKUP(_xlfn.ANCHORARRAY(A359), TBL_Limiti_CDA[Data], TBL_Limiti_CDA[Etica Obbligazionario Misto], , -1)</f>
        <v>1</v>
      </c>
      <c r="E359" cm="1">
        <f t="array" ref="E359">_xlfn.XLOOKUP(_xlfn.ANCHORARRAY(A359), TBL_Limiti_CDA[Data], TBL_Limiti_CDA[Etica Bilanciato], , -1)</f>
        <v>3</v>
      </c>
      <c r="F359" cm="1">
        <f t="array" ref="F359">_xlfn.XLOOKUP(_xlfn.ANCHORARRAY(A359), TBL_Limiti_CDA[Data], TBL_Limiti_CDA[Etica Azionario], , -1)</f>
        <v>4.5</v>
      </c>
      <c r="G359" cm="1">
        <f t="array" ref="G359">_xlfn.XLOOKUP(_xlfn.ANCHORARRAY(A359), TBL_Limiti_CDA[Data], TBL_Limiti_CDA[Etica Transizione Climatica], , -1)</f>
        <v>3.5</v>
      </c>
      <c r="H359" cm="1">
        <f t="array" ref="H359">_xlfn.XLOOKUP(_xlfn.ANCHORARRAY(A359), TBL_Limiti_CDA[Data], TBL_Limiti_CDA[Etica Obiettivo Sociale], , -1)</f>
        <v>9.99</v>
      </c>
      <c r="I359" cm="1">
        <f t="array" ref="I359">_xlfn.XLOOKUP(_xlfn.ANCHORARRAY(A359), TBL_Limiti_CDA[Data], TBL_Limiti_CDA[Etica Conservative Allocation], , -1)</f>
        <v>1</v>
      </c>
      <c r="J359" cm="1">
        <f t="array" ref="J359">_xlfn.XLOOKUP(_xlfn.ANCHORARRAY(A359), TBL_Limiti_CDA[Data], TBL_Limiti_CDA[Etica Dynamic Allocation], , -1)</f>
        <v>3</v>
      </c>
      <c r="K359" cm="1">
        <f t="array" ref="K359">_xlfn.XLOOKUP(_xlfn.ANCHORARRAY(A359), TBL_Limiti_CDA[Data], TBL_Limiti_CDA[Etica Global Equity], , -1)</f>
        <v>4.5</v>
      </c>
      <c r="L359" cm="1">
        <f t="array" ref="L359">_xlfn.ANCHORARRAY(B359)+0.15</f>
        <v>2.65</v>
      </c>
      <c r="M359" cm="1">
        <f t="array" ref="M359">_xlfn.ANCHORARRAY(C359)+0.1</f>
        <v>0.6</v>
      </c>
      <c r="N359" cm="1">
        <f t="array" ref="N359">_xlfn.ANCHORARRAY(D359)+0.15</f>
        <v>1.1499999999999999</v>
      </c>
      <c r="O359" cm="1">
        <f t="array" ref="O359">_xlfn.ANCHORARRAY(E359)+0.15</f>
        <v>3.15</v>
      </c>
      <c r="P359" cm="1">
        <f t="array" ref="P359">_xlfn.ANCHORARRAY(F359)+0.15</f>
        <v>4.6500000000000004</v>
      </c>
      <c r="Q359" cm="1">
        <f t="array" ref="Q359">_xlfn.ANCHORARRAY(G359)+0.15</f>
        <v>3.65</v>
      </c>
      <c r="R359" cm="1">
        <f t="array" ref="R359">_xlfn.ANCHORARRAY(H359)</f>
        <v>9.99</v>
      </c>
      <c r="S359" cm="1">
        <f t="array" ref="S359">_xlfn.ANCHORARRAY(R359)+0.15</f>
        <v>10.14</v>
      </c>
      <c r="T359" cm="1">
        <f t="array" ref="T359">_xlfn.ANCHORARRAY(I359)+0.15</f>
        <v>1.1499999999999999</v>
      </c>
      <c r="U359" cm="1">
        <f t="array" ref="U359">_xlfn.ANCHORARRAY(J359)+0.15</f>
        <v>3.15</v>
      </c>
      <c r="V359" cm="1">
        <f t="array" ref="V359">_xlfn.ANCHORARRAY(K359)+0.15</f>
        <v>4.6500000000000004</v>
      </c>
      <c r="W359">
        <f>TBL_TEV[[#This Row],[Etica Rendita Bilanciata]]</f>
        <v>1.5520510000000001</v>
      </c>
      <c r="X359">
        <f>TBL_TEV[[#This Row],[Etica Obbligazionario Breve Termine]]</f>
        <v>0.38051200000000002</v>
      </c>
      <c r="Y359">
        <f>TBL_TEV[[#This Row],[Etica Obbligazionario Misto]]</f>
        <v>0.75483299999999998</v>
      </c>
      <c r="Z359">
        <f>TBL_TEV[[#This Row],[Etica Bilanciato]]</f>
        <v>2.1576629999999999</v>
      </c>
      <c r="AA359">
        <f>TBL_TEV[[#This Row],[Etica Azionario]]</f>
        <v>3.1493440000000001</v>
      </c>
      <c r="AB359">
        <f>TBL_TEV[[#This Row],[Etica Transizione Climatica]]</f>
        <v>2.3262499999999999</v>
      </c>
      <c r="AC359">
        <f>TBL_TEV[[#This Row],[Etica Obiettivo Sociale]]</f>
        <v>8.354831119801025</v>
      </c>
      <c r="AD359">
        <f>TBL_TEV[[#This Row],[Etica Conservative Allocation]]</f>
        <v>0.73038599999999998</v>
      </c>
      <c r="AE359">
        <f>TBL_TEV[[#This Row],[Etica Dynamic Allocation]]</f>
        <v>2.170204</v>
      </c>
      <c r="AF359">
        <f>TBL_TEV[[#This Row],[Etica Global Equity]]</f>
        <v>3.1568049999999999</v>
      </c>
      <c r="AL359">
        <f ca="1"/>
        <v>1.554273</v>
      </c>
      <c r="AM359">
        <f ca="1"/>
        <v>0.37876599999999999</v>
      </c>
      <c r="AN359">
        <f ca="1"/>
        <v>0.763405</v>
      </c>
      <c r="AO359">
        <f ca="1"/>
        <v>2.1327400000000001</v>
      </c>
      <c r="AP359">
        <f ca="1"/>
        <v>3.1225160000000001</v>
      </c>
      <c r="AQ359">
        <f ca="1"/>
        <v>2.3292670000000002</v>
      </c>
      <c r="AR359">
        <f ca="1"/>
        <v>8.4566635955396077</v>
      </c>
      <c r="AS359">
        <f ca="1"/>
        <v>0.72705200000000003</v>
      </c>
      <c r="AT359">
        <f ca="1"/>
        <v>2.1622669999999999</v>
      </c>
      <c r="AU359">
        <f ca="1"/>
        <v>3.1522009999999998</v>
      </c>
    </row>
    <row r="360" spans="1:47">
      <c r="A360" s="43">
        <f>TBL_TEV[[#This Row],[Data2]]</f>
        <v>45805</v>
      </c>
      <c r="B360" cm="1">
        <f t="array" ref="B360">_xlfn.XLOOKUP(_xlfn.ANCHORARRAY(A360), TBL_Limiti_CDA[Data], TBL_Limiti_CDA[Etica Rendita Bilanciata], , -1)</f>
        <v>2.5</v>
      </c>
      <c r="C360" cm="1">
        <f t="array" ref="C360">_xlfn.XLOOKUP(_xlfn.ANCHORARRAY(A360), TBL_Limiti_CDA[Data], TBL_Limiti_CDA[Etica Obbligazionario Breve Termine], , -1)</f>
        <v>0.5</v>
      </c>
      <c r="D360" cm="1">
        <f t="array" ref="D360">_xlfn.XLOOKUP(_xlfn.ANCHORARRAY(A360), TBL_Limiti_CDA[Data], TBL_Limiti_CDA[Etica Obbligazionario Misto], , -1)</f>
        <v>1</v>
      </c>
      <c r="E360" cm="1">
        <f t="array" ref="E360">_xlfn.XLOOKUP(_xlfn.ANCHORARRAY(A360), TBL_Limiti_CDA[Data], TBL_Limiti_CDA[Etica Bilanciato], , -1)</f>
        <v>3</v>
      </c>
      <c r="F360" cm="1">
        <f t="array" ref="F360">_xlfn.XLOOKUP(_xlfn.ANCHORARRAY(A360), TBL_Limiti_CDA[Data], TBL_Limiti_CDA[Etica Azionario], , -1)</f>
        <v>4.5</v>
      </c>
      <c r="G360" cm="1">
        <f t="array" ref="G360">_xlfn.XLOOKUP(_xlfn.ANCHORARRAY(A360), TBL_Limiti_CDA[Data], TBL_Limiti_CDA[Etica Transizione Climatica], , -1)</f>
        <v>3.5</v>
      </c>
      <c r="H360" cm="1">
        <f t="array" ref="H360">_xlfn.XLOOKUP(_xlfn.ANCHORARRAY(A360), TBL_Limiti_CDA[Data], TBL_Limiti_CDA[Etica Obiettivo Sociale], , -1)</f>
        <v>9.99</v>
      </c>
      <c r="I360" cm="1">
        <f t="array" ref="I360">_xlfn.XLOOKUP(_xlfn.ANCHORARRAY(A360), TBL_Limiti_CDA[Data], TBL_Limiti_CDA[Etica Conservative Allocation], , -1)</f>
        <v>1</v>
      </c>
      <c r="J360" cm="1">
        <f t="array" ref="J360">_xlfn.XLOOKUP(_xlfn.ANCHORARRAY(A360), TBL_Limiti_CDA[Data], TBL_Limiti_CDA[Etica Dynamic Allocation], , -1)</f>
        <v>3</v>
      </c>
      <c r="K360" cm="1">
        <f t="array" ref="K360">_xlfn.XLOOKUP(_xlfn.ANCHORARRAY(A360), TBL_Limiti_CDA[Data], TBL_Limiti_CDA[Etica Global Equity], , -1)</f>
        <v>4.5</v>
      </c>
      <c r="L360" cm="1">
        <f t="array" ref="L360">_xlfn.ANCHORARRAY(B360)+0.15</f>
        <v>2.65</v>
      </c>
      <c r="M360" cm="1">
        <f t="array" ref="M360">_xlfn.ANCHORARRAY(C360)+0.1</f>
        <v>0.6</v>
      </c>
      <c r="N360" cm="1">
        <f t="array" ref="N360">_xlfn.ANCHORARRAY(D360)+0.15</f>
        <v>1.1499999999999999</v>
      </c>
      <c r="O360" cm="1">
        <f t="array" ref="O360">_xlfn.ANCHORARRAY(E360)+0.15</f>
        <v>3.15</v>
      </c>
      <c r="P360" cm="1">
        <f t="array" ref="P360">_xlfn.ANCHORARRAY(F360)+0.15</f>
        <v>4.6500000000000004</v>
      </c>
      <c r="Q360" cm="1">
        <f t="array" ref="Q360">_xlfn.ANCHORARRAY(G360)+0.15</f>
        <v>3.65</v>
      </c>
      <c r="R360" cm="1">
        <f t="array" ref="R360">_xlfn.ANCHORARRAY(H360)</f>
        <v>9.99</v>
      </c>
      <c r="S360" cm="1">
        <f t="array" ref="S360">_xlfn.ANCHORARRAY(R360)+0.15</f>
        <v>10.14</v>
      </c>
      <c r="T360" cm="1">
        <f t="array" ref="T360">_xlfn.ANCHORARRAY(I360)+0.15</f>
        <v>1.1499999999999999</v>
      </c>
      <c r="U360" cm="1">
        <f t="array" ref="U360">_xlfn.ANCHORARRAY(J360)+0.15</f>
        <v>3.15</v>
      </c>
      <c r="V360" cm="1">
        <f t="array" ref="V360">_xlfn.ANCHORARRAY(K360)+0.15</f>
        <v>4.6500000000000004</v>
      </c>
      <c r="W360">
        <f>TBL_TEV[[#This Row],[Etica Rendita Bilanciata]]</f>
        <v>1.554273</v>
      </c>
      <c r="X360">
        <f>TBL_TEV[[#This Row],[Etica Obbligazionario Breve Termine]]</f>
        <v>0.37876599999999999</v>
      </c>
      <c r="Y360">
        <f>TBL_TEV[[#This Row],[Etica Obbligazionario Misto]]</f>
        <v>0.763405</v>
      </c>
      <c r="Z360">
        <f>TBL_TEV[[#This Row],[Etica Bilanciato]]</f>
        <v>2.1327400000000001</v>
      </c>
      <c r="AA360">
        <f>TBL_TEV[[#This Row],[Etica Azionario]]</f>
        <v>3.1225160000000001</v>
      </c>
      <c r="AB360">
        <f>TBL_TEV[[#This Row],[Etica Transizione Climatica]]</f>
        <v>2.3292670000000002</v>
      </c>
      <c r="AC360">
        <f>TBL_TEV[[#This Row],[Etica Obiettivo Sociale]]</f>
        <v>8.4566635955396077</v>
      </c>
      <c r="AD360">
        <f>TBL_TEV[[#This Row],[Etica Conservative Allocation]]</f>
        <v>0.72705200000000003</v>
      </c>
      <c r="AE360">
        <f>TBL_TEV[[#This Row],[Etica Dynamic Allocation]]</f>
        <v>2.1622669999999999</v>
      </c>
      <c r="AF360">
        <f>TBL_TEV[[#This Row],[Etica Global Equity]]</f>
        <v>3.1522009999999998</v>
      </c>
      <c r="AL360">
        <f ca="1"/>
        <v>1.591102</v>
      </c>
      <c r="AM360">
        <f ca="1"/>
        <v>0.380353</v>
      </c>
      <c r="AN360">
        <f ca="1"/>
        <v>0.80404399999999998</v>
      </c>
      <c r="AO360">
        <f ca="1"/>
        <v>2.1548060000000002</v>
      </c>
      <c r="AP360">
        <f ca="1"/>
        <v>3.1406130000000001</v>
      </c>
      <c r="AQ360">
        <f ca="1"/>
        <v>2.3602219999999998</v>
      </c>
      <c r="AR360">
        <f ca="1"/>
        <v>8.1748017958183592</v>
      </c>
      <c r="AS360">
        <f ca="1"/>
        <v>0.73149699999999995</v>
      </c>
      <c r="AT360">
        <f ca="1"/>
        <v>2.1829040000000002</v>
      </c>
      <c r="AU360">
        <f ca="1"/>
        <v>3.1722030000000001</v>
      </c>
    </row>
    <row r="361" spans="1:47">
      <c r="A361" s="43">
        <f>TBL_TEV[[#This Row],[Data2]]</f>
        <v>45806</v>
      </c>
      <c r="B361" cm="1">
        <f t="array" ref="B361">_xlfn.XLOOKUP(_xlfn.ANCHORARRAY(A361), TBL_Limiti_CDA[Data], TBL_Limiti_CDA[Etica Rendita Bilanciata], , -1)</f>
        <v>2.5</v>
      </c>
      <c r="C361" cm="1">
        <f t="array" ref="C361">_xlfn.XLOOKUP(_xlfn.ANCHORARRAY(A361), TBL_Limiti_CDA[Data], TBL_Limiti_CDA[Etica Obbligazionario Breve Termine], , -1)</f>
        <v>0.5</v>
      </c>
      <c r="D361" cm="1">
        <f t="array" ref="D361">_xlfn.XLOOKUP(_xlfn.ANCHORARRAY(A361), TBL_Limiti_CDA[Data], TBL_Limiti_CDA[Etica Obbligazionario Misto], , -1)</f>
        <v>1</v>
      </c>
      <c r="E361" cm="1">
        <f t="array" ref="E361">_xlfn.XLOOKUP(_xlfn.ANCHORARRAY(A361), TBL_Limiti_CDA[Data], TBL_Limiti_CDA[Etica Bilanciato], , -1)</f>
        <v>3</v>
      </c>
      <c r="F361" cm="1">
        <f t="array" ref="F361">_xlfn.XLOOKUP(_xlfn.ANCHORARRAY(A361), TBL_Limiti_CDA[Data], TBL_Limiti_CDA[Etica Azionario], , -1)</f>
        <v>4.5</v>
      </c>
      <c r="G361" cm="1">
        <f t="array" ref="G361">_xlfn.XLOOKUP(_xlfn.ANCHORARRAY(A361), TBL_Limiti_CDA[Data], TBL_Limiti_CDA[Etica Transizione Climatica], , -1)</f>
        <v>3.5</v>
      </c>
      <c r="H361" cm="1">
        <f t="array" ref="H361">_xlfn.XLOOKUP(_xlfn.ANCHORARRAY(A361), TBL_Limiti_CDA[Data], TBL_Limiti_CDA[Etica Obiettivo Sociale], , -1)</f>
        <v>9.99</v>
      </c>
      <c r="I361" cm="1">
        <f t="array" ref="I361">_xlfn.XLOOKUP(_xlfn.ANCHORARRAY(A361), TBL_Limiti_CDA[Data], TBL_Limiti_CDA[Etica Conservative Allocation], , -1)</f>
        <v>1</v>
      </c>
      <c r="J361" cm="1">
        <f t="array" ref="J361">_xlfn.XLOOKUP(_xlfn.ANCHORARRAY(A361), TBL_Limiti_CDA[Data], TBL_Limiti_CDA[Etica Dynamic Allocation], , -1)</f>
        <v>3</v>
      </c>
      <c r="K361" cm="1">
        <f t="array" ref="K361">_xlfn.XLOOKUP(_xlfn.ANCHORARRAY(A361), TBL_Limiti_CDA[Data], TBL_Limiti_CDA[Etica Global Equity], , -1)</f>
        <v>4.5</v>
      </c>
      <c r="L361" cm="1">
        <f t="array" ref="L361">_xlfn.ANCHORARRAY(B361)+0.15</f>
        <v>2.65</v>
      </c>
      <c r="M361" cm="1">
        <f t="array" ref="M361">_xlfn.ANCHORARRAY(C361)+0.1</f>
        <v>0.6</v>
      </c>
      <c r="N361" cm="1">
        <f t="array" ref="N361">_xlfn.ANCHORARRAY(D361)+0.15</f>
        <v>1.1499999999999999</v>
      </c>
      <c r="O361" cm="1">
        <f t="array" ref="O361">_xlfn.ANCHORARRAY(E361)+0.15</f>
        <v>3.15</v>
      </c>
      <c r="P361" cm="1">
        <f t="array" ref="P361">_xlfn.ANCHORARRAY(F361)+0.15</f>
        <v>4.6500000000000004</v>
      </c>
      <c r="Q361" cm="1">
        <f t="array" ref="Q361">_xlfn.ANCHORARRAY(G361)+0.15</f>
        <v>3.65</v>
      </c>
      <c r="R361" cm="1">
        <f t="array" ref="R361">_xlfn.ANCHORARRAY(H361)</f>
        <v>9.99</v>
      </c>
      <c r="S361" cm="1">
        <f t="array" ref="S361">_xlfn.ANCHORARRAY(R361)+0.15</f>
        <v>10.14</v>
      </c>
      <c r="T361" cm="1">
        <f t="array" ref="T361">_xlfn.ANCHORARRAY(I361)+0.15</f>
        <v>1.1499999999999999</v>
      </c>
      <c r="U361" cm="1">
        <f t="array" ref="U361">_xlfn.ANCHORARRAY(J361)+0.15</f>
        <v>3.15</v>
      </c>
      <c r="V361" cm="1">
        <f t="array" ref="V361">_xlfn.ANCHORARRAY(K361)+0.15</f>
        <v>4.6500000000000004</v>
      </c>
      <c r="W361">
        <f>TBL_TEV[[#This Row],[Etica Rendita Bilanciata]]</f>
        <v>1.591102</v>
      </c>
      <c r="X361">
        <f>TBL_TEV[[#This Row],[Etica Obbligazionario Breve Termine]]</f>
        <v>0.380353</v>
      </c>
      <c r="Y361">
        <f>TBL_TEV[[#This Row],[Etica Obbligazionario Misto]]</f>
        <v>0.80404399999999998</v>
      </c>
      <c r="Z361">
        <f>TBL_TEV[[#This Row],[Etica Bilanciato]]</f>
        <v>2.1548060000000002</v>
      </c>
      <c r="AA361">
        <f>TBL_TEV[[#This Row],[Etica Azionario]]</f>
        <v>3.1406130000000001</v>
      </c>
      <c r="AB361">
        <f>TBL_TEV[[#This Row],[Etica Transizione Climatica]]</f>
        <v>2.3602219999999998</v>
      </c>
      <c r="AC361">
        <f>TBL_TEV[[#This Row],[Etica Obiettivo Sociale]]</f>
        <v>8.1748017958183592</v>
      </c>
      <c r="AD361">
        <f>TBL_TEV[[#This Row],[Etica Conservative Allocation]]</f>
        <v>0.73149699999999995</v>
      </c>
      <c r="AE361">
        <f>TBL_TEV[[#This Row],[Etica Dynamic Allocation]]</f>
        <v>2.1829040000000002</v>
      </c>
      <c r="AF361">
        <f>TBL_TEV[[#This Row],[Etica Global Equity]]</f>
        <v>3.1722030000000001</v>
      </c>
      <c r="AL361">
        <f ca="1"/>
        <v>1.5904670000000001</v>
      </c>
      <c r="AM361">
        <f ca="1"/>
        <v>0.35066799999999998</v>
      </c>
      <c r="AN361">
        <f ca="1"/>
        <v>0.79293199999999997</v>
      </c>
      <c r="AO361">
        <f ca="1"/>
        <v>2.156552</v>
      </c>
      <c r="AP361">
        <f ca="1"/>
        <v>3.1507719999999999</v>
      </c>
      <c r="AQ361">
        <f ca="1"/>
        <v>2.3043439999999999</v>
      </c>
      <c r="AR361">
        <f ca="1"/>
        <v>8.0027069671422399</v>
      </c>
      <c r="AS361">
        <f ca="1"/>
        <v>0.71911499999999995</v>
      </c>
      <c r="AT361">
        <f ca="1"/>
        <v>2.1832210000000001</v>
      </c>
      <c r="AU361">
        <f ca="1"/>
        <v>3.1844260000000002</v>
      </c>
    </row>
    <row r="362" spans="1:47">
      <c r="A362" s="43">
        <f>TBL_TEV[[#This Row],[Data2]]</f>
        <v>45807</v>
      </c>
      <c r="B362" cm="1">
        <f t="array" ref="B362">_xlfn.XLOOKUP(_xlfn.ANCHORARRAY(A362), TBL_Limiti_CDA[Data], TBL_Limiti_CDA[Etica Rendita Bilanciata], , -1)</f>
        <v>2.5</v>
      </c>
      <c r="C362" cm="1">
        <f t="array" ref="C362">_xlfn.XLOOKUP(_xlfn.ANCHORARRAY(A362), TBL_Limiti_CDA[Data], TBL_Limiti_CDA[Etica Obbligazionario Breve Termine], , -1)</f>
        <v>0.5</v>
      </c>
      <c r="D362" cm="1">
        <f t="array" ref="D362">_xlfn.XLOOKUP(_xlfn.ANCHORARRAY(A362), TBL_Limiti_CDA[Data], TBL_Limiti_CDA[Etica Obbligazionario Misto], , -1)</f>
        <v>1</v>
      </c>
      <c r="E362" cm="1">
        <f t="array" ref="E362">_xlfn.XLOOKUP(_xlfn.ANCHORARRAY(A362), TBL_Limiti_CDA[Data], TBL_Limiti_CDA[Etica Bilanciato], , -1)</f>
        <v>3</v>
      </c>
      <c r="F362" cm="1">
        <f t="array" ref="F362">_xlfn.XLOOKUP(_xlfn.ANCHORARRAY(A362), TBL_Limiti_CDA[Data], TBL_Limiti_CDA[Etica Azionario], , -1)</f>
        <v>4.5</v>
      </c>
      <c r="G362" cm="1">
        <f t="array" ref="G362">_xlfn.XLOOKUP(_xlfn.ANCHORARRAY(A362), TBL_Limiti_CDA[Data], TBL_Limiti_CDA[Etica Transizione Climatica], , -1)</f>
        <v>3.5</v>
      </c>
      <c r="H362" cm="1">
        <f t="array" ref="H362">_xlfn.XLOOKUP(_xlfn.ANCHORARRAY(A362), TBL_Limiti_CDA[Data], TBL_Limiti_CDA[Etica Obiettivo Sociale], , -1)</f>
        <v>9.99</v>
      </c>
      <c r="I362" cm="1">
        <f t="array" ref="I362">_xlfn.XLOOKUP(_xlfn.ANCHORARRAY(A362), TBL_Limiti_CDA[Data], TBL_Limiti_CDA[Etica Conservative Allocation], , -1)</f>
        <v>1</v>
      </c>
      <c r="J362" cm="1">
        <f t="array" ref="J362">_xlfn.XLOOKUP(_xlfn.ANCHORARRAY(A362), TBL_Limiti_CDA[Data], TBL_Limiti_CDA[Etica Dynamic Allocation], , -1)</f>
        <v>3</v>
      </c>
      <c r="K362" cm="1">
        <f t="array" ref="K362">_xlfn.XLOOKUP(_xlfn.ANCHORARRAY(A362), TBL_Limiti_CDA[Data], TBL_Limiti_CDA[Etica Global Equity], , -1)</f>
        <v>4.5</v>
      </c>
      <c r="L362" cm="1">
        <f t="array" ref="L362">_xlfn.ANCHORARRAY(B362)+0.15</f>
        <v>2.65</v>
      </c>
      <c r="M362" cm="1">
        <f t="array" ref="M362">_xlfn.ANCHORARRAY(C362)+0.1</f>
        <v>0.6</v>
      </c>
      <c r="N362" cm="1">
        <f t="array" ref="N362">_xlfn.ANCHORARRAY(D362)+0.15</f>
        <v>1.1499999999999999</v>
      </c>
      <c r="O362" cm="1">
        <f t="array" ref="O362">_xlfn.ANCHORARRAY(E362)+0.15</f>
        <v>3.15</v>
      </c>
      <c r="P362" cm="1">
        <f t="array" ref="P362">_xlfn.ANCHORARRAY(F362)+0.15</f>
        <v>4.6500000000000004</v>
      </c>
      <c r="Q362" cm="1">
        <f t="array" ref="Q362">_xlfn.ANCHORARRAY(G362)+0.15</f>
        <v>3.65</v>
      </c>
      <c r="R362" cm="1">
        <f t="array" ref="R362">_xlfn.ANCHORARRAY(H362)</f>
        <v>9.99</v>
      </c>
      <c r="S362" cm="1">
        <f t="array" ref="S362">_xlfn.ANCHORARRAY(R362)+0.15</f>
        <v>10.14</v>
      </c>
      <c r="T362" cm="1">
        <f t="array" ref="T362">_xlfn.ANCHORARRAY(I362)+0.15</f>
        <v>1.1499999999999999</v>
      </c>
      <c r="U362" cm="1">
        <f t="array" ref="U362">_xlfn.ANCHORARRAY(J362)+0.15</f>
        <v>3.15</v>
      </c>
      <c r="V362" cm="1">
        <f t="array" ref="V362">_xlfn.ANCHORARRAY(K362)+0.15</f>
        <v>4.6500000000000004</v>
      </c>
      <c r="W362">
        <f>TBL_TEV[[#This Row],[Etica Rendita Bilanciata]]</f>
        <v>1.5904670000000001</v>
      </c>
      <c r="X362">
        <f>TBL_TEV[[#This Row],[Etica Obbligazionario Breve Termine]]</f>
        <v>0.35066799999999998</v>
      </c>
      <c r="Y362">
        <f>TBL_TEV[[#This Row],[Etica Obbligazionario Misto]]</f>
        <v>0.79293199999999997</v>
      </c>
      <c r="Z362">
        <f>TBL_TEV[[#This Row],[Etica Bilanciato]]</f>
        <v>2.156552</v>
      </c>
      <c r="AA362">
        <f>TBL_TEV[[#This Row],[Etica Azionario]]</f>
        <v>3.1507719999999999</v>
      </c>
      <c r="AB362">
        <f>TBL_TEV[[#This Row],[Etica Transizione Climatica]]</f>
        <v>2.3043439999999999</v>
      </c>
      <c r="AC362">
        <f>TBL_TEV[[#This Row],[Etica Obiettivo Sociale]]</f>
        <v>8.0027069671422399</v>
      </c>
      <c r="AD362">
        <f>TBL_TEV[[#This Row],[Etica Conservative Allocation]]</f>
        <v>0.71911499999999995</v>
      </c>
      <c r="AE362">
        <f>TBL_TEV[[#This Row],[Etica Dynamic Allocation]]</f>
        <v>2.1832210000000001</v>
      </c>
      <c r="AF362">
        <f>TBL_TEV[[#This Row],[Etica Global Equity]]</f>
        <v>3.1844260000000002</v>
      </c>
      <c r="AL362">
        <f ca="1"/>
        <v>1.515063</v>
      </c>
      <c r="AM362">
        <f ca="1"/>
        <v>0.34558800000000001</v>
      </c>
      <c r="AN362">
        <f ca="1"/>
        <v>0.72673500000000002</v>
      </c>
      <c r="AO362">
        <f ca="1"/>
        <v>2.1000390000000002</v>
      </c>
      <c r="AP362">
        <f ca="1"/>
        <v>3.0552079999999999</v>
      </c>
      <c r="AQ362">
        <f ca="1"/>
        <v>2.2602120000000001</v>
      </c>
      <c r="AR362">
        <f ca="1"/>
        <v>8.1842886986744432</v>
      </c>
      <c r="AS362">
        <f ca="1"/>
        <v>0.89563999999999999</v>
      </c>
      <c r="AT362">
        <f ca="1"/>
        <v>2.10242</v>
      </c>
      <c r="AU362">
        <f ca="1"/>
        <v>3.0679069999999999</v>
      </c>
    </row>
    <row r="363" spans="1:47">
      <c r="A363" s="43">
        <f>TBL_TEV[[#This Row],[Data2]]</f>
        <v>45811</v>
      </c>
      <c r="B363" cm="1">
        <f t="array" ref="B363">_xlfn.XLOOKUP(_xlfn.ANCHORARRAY(A363), TBL_Limiti_CDA[Data], TBL_Limiti_CDA[Etica Rendita Bilanciata], , -1)</f>
        <v>2.5</v>
      </c>
      <c r="C363" cm="1">
        <f t="array" ref="C363">_xlfn.XLOOKUP(_xlfn.ANCHORARRAY(A363), TBL_Limiti_CDA[Data], TBL_Limiti_CDA[Etica Obbligazionario Breve Termine], , -1)</f>
        <v>0.5</v>
      </c>
      <c r="D363" cm="1">
        <f t="array" ref="D363">_xlfn.XLOOKUP(_xlfn.ANCHORARRAY(A363), TBL_Limiti_CDA[Data], TBL_Limiti_CDA[Etica Obbligazionario Misto], , -1)</f>
        <v>1</v>
      </c>
      <c r="E363" cm="1">
        <f t="array" ref="E363">_xlfn.XLOOKUP(_xlfn.ANCHORARRAY(A363), TBL_Limiti_CDA[Data], TBL_Limiti_CDA[Etica Bilanciato], , -1)</f>
        <v>3</v>
      </c>
      <c r="F363" cm="1">
        <f t="array" ref="F363">_xlfn.XLOOKUP(_xlfn.ANCHORARRAY(A363), TBL_Limiti_CDA[Data], TBL_Limiti_CDA[Etica Azionario], , -1)</f>
        <v>4.5</v>
      </c>
      <c r="G363" cm="1">
        <f t="array" ref="G363">_xlfn.XLOOKUP(_xlfn.ANCHORARRAY(A363), TBL_Limiti_CDA[Data], TBL_Limiti_CDA[Etica Transizione Climatica], , -1)</f>
        <v>3.5</v>
      </c>
      <c r="H363" cm="1">
        <f t="array" ref="H363">_xlfn.XLOOKUP(_xlfn.ANCHORARRAY(A363), TBL_Limiti_CDA[Data], TBL_Limiti_CDA[Etica Obiettivo Sociale], , -1)</f>
        <v>9.99</v>
      </c>
      <c r="I363" cm="1">
        <f t="array" ref="I363">_xlfn.XLOOKUP(_xlfn.ANCHORARRAY(A363), TBL_Limiti_CDA[Data], TBL_Limiti_CDA[Etica Conservative Allocation], , -1)</f>
        <v>1</v>
      </c>
      <c r="J363" cm="1">
        <f t="array" ref="J363">_xlfn.XLOOKUP(_xlfn.ANCHORARRAY(A363), TBL_Limiti_CDA[Data], TBL_Limiti_CDA[Etica Dynamic Allocation], , -1)</f>
        <v>3</v>
      </c>
      <c r="K363" cm="1">
        <f t="array" ref="K363">_xlfn.XLOOKUP(_xlfn.ANCHORARRAY(A363), TBL_Limiti_CDA[Data], TBL_Limiti_CDA[Etica Global Equity], , -1)</f>
        <v>4.5</v>
      </c>
      <c r="L363" cm="1">
        <f t="array" ref="L363">_xlfn.ANCHORARRAY(B363)+0.15</f>
        <v>2.65</v>
      </c>
      <c r="M363" cm="1">
        <f t="array" ref="M363">_xlfn.ANCHORARRAY(C363)+0.1</f>
        <v>0.6</v>
      </c>
      <c r="N363" cm="1">
        <f t="array" ref="N363">_xlfn.ANCHORARRAY(D363)+0.15</f>
        <v>1.1499999999999999</v>
      </c>
      <c r="O363" cm="1">
        <f t="array" ref="O363">_xlfn.ANCHORARRAY(E363)+0.15</f>
        <v>3.15</v>
      </c>
      <c r="P363" cm="1">
        <f t="array" ref="P363">_xlfn.ANCHORARRAY(F363)+0.15</f>
        <v>4.6500000000000004</v>
      </c>
      <c r="Q363" cm="1">
        <f t="array" ref="Q363">_xlfn.ANCHORARRAY(G363)+0.15</f>
        <v>3.65</v>
      </c>
      <c r="R363" cm="1">
        <f t="array" ref="R363">_xlfn.ANCHORARRAY(H363)</f>
        <v>9.99</v>
      </c>
      <c r="S363" cm="1">
        <f t="array" ref="S363">_xlfn.ANCHORARRAY(R363)+0.15</f>
        <v>10.14</v>
      </c>
      <c r="T363" cm="1">
        <f t="array" ref="T363">_xlfn.ANCHORARRAY(I363)+0.15</f>
        <v>1.1499999999999999</v>
      </c>
      <c r="U363" cm="1">
        <f t="array" ref="U363">_xlfn.ANCHORARRAY(J363)+0.15</f>
        <v>3.15</v>
      </c>
      <c r="V363" cm="1">
        <f t="array" ref="V363">_xlfn.ANCHORARRAY(K363)+0.15</f>
        <v>4.6500000000000004</v>
      </c>
      <c r="W363">
        <f>TBL_TEV[[#This Row],[Etica Rendita Bilanciata]]</f>
        <v>1.515063</v>
      </c>
      <c r="X363">
        <f>TBL_TEV[[#This Row],[Etica Obbligazionario Breve Termine]]</f>
        <v>0.34558800000000001</v>
      </c>
      <c r="Y363">
        <f>TBL_TEV[[#This Row],[Etica Obbligazionario Misto]]</f>
        <v>0.72673500000000002</v>
      </c>
      <c r="Z363">
        <f>TBL_TEV[[#This Row],[Etica Bilanciato]]</f>
        <v>2.1000390000000002</v>
      </c>
      <c r="AA363">
        <f>TBL_TEV[[#This Row],[Etica Azionario]]</f>
        <v>3.0552079999999999</v>
      </c>
      <c r="AB363">
        <f>TBL_TEV[[#This Row],[Etica Transizione Climatica]]</f>
        <v>2.2602120000000001</v>
      </c>
      <c r="AC363">
        <f>TBL_TEV[[#This Row],[Etica Obiettivo Sociale]]</f>
        <v>8.1842886986744432</v>
      </c>
      <c r="AD363">
        <f>TBL_TEV[[#This Row],[Etica Conservative Allocation]]</f>
        <v>0.89563999999999999</v>
      </c>
      <c r="AE363">
        <f>TBL_TEV[[#This Row],[Etica Dynamic Allocation]]</f>
        <v>2.10242</v>
      </c>
      <c r="AF363">
        <f>TBL_TEV[[#This Row],[Etica Global Equity]]</f>
        <v>3.0679069999999999</v>
      </c>
      <c r="AL363">
        <f ca="1"/>
        <v>1.5076020000000001</v>
      </c>
      <c r="AM363">
        <f ca="1"/>
        <v>0.34177800000000003</v>
      </c>
      <c r="AN363">
        <f ca="1"/>
        <v>0.72673500000000002</v>
      </c>
      <c r="AO363">
        <f ca="1"/>
        <v>2.101626</v>
      </c>
      <c r="AP363">
        <f ca="1"/>
        <v>3.0461589999999998</v>
      </c>
      <c r="AQ363">
        <f ca="1"/>
        <v>2.2633869999999998</v>
      </c>
      <c r="AR363">
        <f ca="1"/>
        <v>8.1513579777540457</v>
      </c>
      <c r="AS363">
        <f ca="1"/>
        <v>0.70006599999999997</v>
      </c>
      <c r="AT363">
        <f ca="1"/>
        <v>2.0819420000000002</v>
      </c>
      <c r="AU363">
        <f ca="1"/>
        <v>3.0499689999999999</v>
      </c>
    </row>
    <row r="364" spans="1:47">
      <c r="A364" s="43">
        <f>TBL_TEV[[#This Row],[Data2]]</f>
        <v>45812</v>
      </c>
      <c r="B364" cm="1">
        <f t="array" ref="B364">_xlfn.XLOOKUP(_xlfn.ANCHORARRAY(A364), TBL_Limiti_CDA[Data], TBL_Limiti_CDA[Etica Rendita Bilanciata], , -1)</f>
        <v>2.5</v>
      </c>
      <c r="C364" cm="1">
        <f t="array" ref="C364">_xlfn.XLOOKUP(_xlfn.ANCHORARRAY(A364), TBL_Limiti_CDA[Data], TBL_Limiti_CDA[Etica Obbligazionario Breve Termine], , -1)</f>
        <v>0.5</v>
      </c>
      <c r="D364" cm="1">
        <f t="array" ref="D364">_xlfn.XLOOKUP(_xlfn.ANCHORARRAY(A364), TBL_Limiti_CDA[Data], TBL_Limiti_CDA[Etica Obbligazionario Misto], , -1)</f>
        <v>1</v>
      </c>
      <c r="E364" cm="1">
        <f t="array" ref="E364">_xlfn.XLOOKUP(_xlfn.ANCHORARRAY(A364), TBL_Limiti_CDA[Data], TBL_Limiti_CDA[Etica Bilanciato], , -1)</f>
        <v>3</v>
      </c>
      <c r="F364" cm="1">
        <f t="array" ref="F364">_xlfn.XLOOKUP(_xlfn.ANCHORARRAY(A364), TBL_Limiti_CDA[Data], TBL_Limiti_CDA[Etica Azionario], , -1)</f>
        <v>4.5</v>
      </c>
      <c r="G364" cm="1">
        <f t="array" ref="G364">_xlfn.XLOOKUP(_xlfn.ANCHORARRAY(A364), TBL_Limiti_CDA[Data], TBL_Limiti_CDA[Etica Transizione Climatica], , -1)</f>
        <v>3.5</v>
      </c>
      <c r="H364" cm="1">
        <f t="array" ref="H364">_xlfn.XLOOKUP(_xlfn.ANCHORARRAY(A364), TBL_Limiti_CDA[Data], TBL_Limiti_CDA[Etica Obiettivo Sociale], , -1)</f>
        <v>9.99</v>
      </c>
      <c r="I364" cm="1">
        <f t="array" ref="I364">_xlfn.XLOOKUP(_xlfn.ANCHORARRAY(A364), TBL_Limiti_CDA[Data], TBL_Limiti_CDA[Etica Conservative Allocation], , -1)</f>
        <v>1</v>
      </c>
      <c r="J364" cm="1">
        <f t="array" ref="J364">_xlfn.XLOOKUP(_xlfn.ANCHORARRAY(A364), TBL_Limiti_CDA[Data], TBL_Limiti_CDA[Etica Dynamic Allocation], , -1)</f>
        <v>3</v>
      </c>
      <c r="K364" cm="1">
        <f t="array" ref="K364">_xlfn.XLOOKUP(_xlfn.ANCHORARRAY(A364), TBL_Limiti_CDA[Data], TBL_Limiti_CDA[Etica Global Equity], , -1)</f>
        <v>4.5</v>
      </c>
      <c r="L364" cm="1">
        <f t="array" ref="L364">_xlfn.ANCHORARRAY(B364)+0.15</f>
        <v>2.65</v>
      </c>
      <c r="M364" cm="1">
        <f t="array" ref="M364">_xlfn.ANCHORARRAY(C364)+0.1</f>
        <v>0.6</v>
      </c>
      <c r="N364" cm="1">
        <f t="array" ref="N364">_xlfn.ANCHORARRAY(D364)+0.15</f>
        <v>1.1499999999999999</v>
      </c>
      <c r="O364" cm="1">
        <f t="array" ref="O364">_xlfn.ANCHORARRAY(E364)+0.15</f>
        <v>3.15</v>
      </c>
      <c r="P364" cm="1">
        <f t="array" ref="P364">_xlfn.ANCHORARRAY(F364)+0.15</f>
        <v>4.6500000000000004</v>
      </c>
      <c r="Q364" cm="1">
        <f t="array" ref="Q364">_xlfn.ANCHORARRAY(G364)+0.15</f>
        <v>3.65</v>
      </c>
      <c r="R364" cm="1">
        <f t="array" ref="R364">_xlfn.ANCHORARRAY(H364)</f>
        <v>9.99</v>
      </c>
      <c r="S364" cm="1">
        <f t="array" ref="S364">_xlfn.ANCHORARRAY(R364)+0.15</f>
        <v>10.14</v>
      </c>
      <c r="T364" cm="1">
        <f t="array" ref="T364">_xlfn.ANCHORARRAY(I364)+0.15</f>
        <v>1.1499999999999999</v>
      </c>
      <c r="U364" cm="1">
        <f t="array" ref="U364">_xlfn.ANCHORARRAY(J364)+0.15</f>
        <v>3.15</v>
      </c>
      <c r="V364" cm="1">
        <f t="array" ref="V364">_xlfn.ANCHORARRAY(K364)+0.15</f>
        <v>4.6500000000000004</v>
      </c>
      <c r="W364">
        <f>TBL_TEV[[#This Row],[Etica Rendita Bilanciata]]</f>
        <v>1.5076020000000001</v>
      </c>
      <c r="X364">
        <f>TBL_TEV[[#This Row],[Etica Obbligazionario Breve Termine]]</f>
        <v>0.34177800000000003</v>
      </c>
      <c r="Y364">
        <f>TBL_TEV[[#This Row],[Etica Obbligazionario Misto]]</f>
        <v>0.72673500000000002</v>
      </c>
      <c r="Z364">
        <f>TBL_TEV[[#This Row],[Etica Bilanciato]]</f>
        <v>2.101626</v>
      </c>
      <c r="AA364">
        <f>TBL_TEV[[#This Row],[Etica Azionario]]</f>
        <v>3.0461589999999998</v>
      </c>
      <c r="AB364">
        <f>TBL_TEV[[#This Row],[Etica Transizione Climatica]]</f>
        <v>2.2633869999999998</v>
      </c>
      <c r="AC364">
        <f>TBL_TEV[[#This Row],[Etica Obiettivo Sociale]]</f>
        <v>8.1513579777540457</v>
      </c>
      <c r="AD364">
        <f>TBL_TEV[[#This Row],[Etica Conservative Allocation]]</f>
        <v>0.70006599999999997</v>
      </c>
      <c r="AE364">
        <f>TBL_TEV[[#This Row],[Etica Dynamic Allocation]]</f>
        <v>2.0819420000000002</v>
      </c>
      <c r="AF364">
        <f>TBL_TEV[[#This Row],[Etica Global Equity]]</f>
        <v>3.0499689999999999</v>
      </c>
      <c r="AL364">
        <f ca="1"/>
        <v>1.4822029999999999</v>
      </c>
      <c r="AM364">
        <f ca="1"/>
        <v>0.33971400000000002</v>
      </c>
      <c r="AN364">
        <f ca="1"/>
        <v>0.716893</v>
      </c>
      <c r="AO364">
        <f ca="1"/>
        <v>2.0774970000000001</v>
      </c>
      <c r="AP364">
        <f ca="1"/>
        <v>3.00806</v>
      </c>
      <c r="AQ364">
        <f ca="1"/>
        <v>2.2178270000000002</v>
      </c>
      <c r="AR364">
        <f ca="1"/>
        <v>8.0687072051325028</v>
      </c>
      <c r="AS364">
        <f ca="1"/>
        <v>0.68815999999999999</v>
      </c>
      <c r="AT364">
        <f ca="1"/>
        <v>2.0767030000000002</v>
      </c>
      <c r="AU364">
        <f ca="1"/>
        <v>3.0115530000000001</v>
      </c>
    </row>
    <row r="365" spans="1:47">
      <c r="A365" s="43">
        <f>TBL_TEV[[#This Row],[Data2]]</f>
        <v>45813</v>
      </c>
      <c r="B365" cm="1">
        <f t="array" ref="B365">_xlfn.XLOOKUP(_xlfn.ANCHORARRAY(A365), TBL_Limiti_CDA[Data], TBL_Limiti_CDA[Etica Rendita Bilanciata], , -1)</f>
        <v>2.5</v>
      </c>
      <c r="C365" cm="1">
        <f t="array" ref="C365">_xlfn.XLOOKUP(_xlfn.ANCHORARRAY(A365), TBL_Limiti_CDA[Data], TBL_Limiti_CDA[Etica Obbligazionario Breve Termine], , -1)</f>
        <v>0.5</v>
      </c>
      <c r="D365" cm="1">
        <f t="array" ref="D365">_xlfn.XLOOKUP(_xlfn.ANCHORARRAY(A365), TBL_Limiti_CDA[Data], TBL_Limiti_CDA[Etica Obbligazionario Misto], , -1)</f>
        <v>1</v>
      </c>
      <c r="E365" cm="1">
        <f t="array" ref="E365">_xlfn.XLOOKUP(_xlfn.ANCHORARRAY(A365), TBL_Limiti_CDA[Data], TBL_Limiti_CDA[Etica Bilanciato], , -1)</f>
        <v>3</v>
      </c>
      <c r="F365" cm="1">
        <f t="array" ref="F365">_xlfn.XLOOKUP(_xlfn.ANCHORARRAY(A365), TBL_Limiti_CDA[Data], TBL_Limiti_CDA[Etica Azionario], , -1)</f>
        <v>4.5</v>
      </c>
      <c r="G365" cm="1">
        <f t="array" ref="G365">_xlfn.XLOOKUP(_xlfn.ANCHORARRAY(A365), TBL_Limiti_CDA[Data], TBL_Limiti_CDA[Etica Transizione Climatica], , -1)</f>
        <v>3.5</v>
      </c>
      <c r="H365" cm="1">
        <f t="array" ref="H365">_xlfn.XLOOKUP(_xlfn.ANCHORARRAY(A365), TBL_Limiti_CDA[Data], TBL_Limiti_CDA[Etica Obiettivo Sociale], , -1)</f>
        <v>9.99</v>
      </c>
      <c r="I365" cm="1">
        <f t="array" ref="I365">_xlfn.XLOOKUP(_xlfn.ANCHORARRAY(A365), TBL_Limiti_CDA[Data], TBL_Limiti_CDA[Etica Conservative Allocation], , -1)</f>
        <v>1</v>
      </c>
      <c r="J365" cm="1">
        <f t="array" ref="J365">_xlfn.XLOOKUP(_xlfn.ANCHORARRAY(A365), TBL_Limiti_CDA[Data], TBL_Limiti_CDA[Etica Dynamic Allocation], , -1)</f>
        <v>3</v>
      </c>
      <c r="K365" cm="1">
        <f t="array" ref="K365">_xlfn.XLOOKUP(_xlfn.ANCHORARRAY(A365), TBL_Limiti_CDA[Data], TBL_Limiti_CDA[Etica Global Equity], , -1)</f>
        <v>4.5</v>
      </c>
      <c r="L365" cm="1">
        <f t="array" ref="L365">_xlfn.ANCHORARRAY(B365)+0.15</f>
        <v>2.65</v>
      </c>
      <c r="M365" cm="1">
        <f t="array" ref="M365">_xlfn.ANCHORARRAY(C365)+0.1</f>
        <v>0.6</v>
      </c>
      <c r="N365" cm="1">
        <f t="array" ref="N365">_xlfn.ANCHORARRAY(D365)+0.15</f>
        <v>1.1499999999999999</v>
      </c>
      <c r="O365" cm="1">
        <f t="array" ref="O365">_xlfn.ANCHORARRAY(E365)+0.15</f>
        <v>3.15</v>
      </c>
      <c r="P365" cm="1">
        <f t="array" ref="P365">_xlfn.ANCHORARRAY(F365)+0.15</f>
        <v>4.6500000000000004</v>
      </c>
      <c r="Q365" cm="1">
        <f t="array" ref="Q365">_xlfn.ANCHORARRAY(G365)+0.15</f>
        <v>3.65</v>
      </c>
      <c r="R365" cm="1">
        <f t="array" ref="R365">_xlfn.ANCHORARRAY(H365)</f>
        <v>9.99</v>
      </c>
      <c r="S365" cm="1">
        <f t="array" ref="S365">_xlfn.ANCHORARRAY(R365)+0.15</f>
        <v>10.14</v>
      </c>
      <c r="T365" cm="1">
        <f t="array" ref="T365">_xlfn.ANCHORARRAY(I365)+0.15</f>
        <v>1.1499999999999999</v>
      </c>
      <c r="U365" cm="1">
        <f t="array" ref="U365">_xlfn.ANCHORARRAY(J365)+0.15</f>
        <v>3.15</v>
      </c>
      <c r="V365" cm="1">
        <f t="array" ref="V365">_xlfn.ANCHORARRAY(K365)+0.15</f>
        <v>4.6500000000000004</v>
      </c>
      <c r="W365">
        <f>TBL_TEV[[#This Row],[Etica Rendita Bilanciata]]</f>
        <v>1.4822029999999999</v>
      </c>
      <c r="X365">
        <f>TBL_TEV[[#This Row],[Etica Obbligazionario Breve Termine]]</f>
        <v>0.33971400000000002</v>
      </c>
      <c r="Y365">
        <f>TBL_TEV[[#This Row],[Etica Obbligazionario Misto]]</f>
        <v>0.716893</v>
      </c>
      <c r="Z365">
        <f>TBL_TEV[[#This Row],[Etica Bilanciato]]</f>
        <v>2.0774970000000001</v>
      </c>
      <c r="AA365">
        <f>TBL_TEV[[#This Row],[Etica Azionario]]</f>
        <v>3.00806</v>
      </c>
      <c r="AB365">
        <f>TBL_TEV[[#This Row],[Etica Transizione Climatica]]</f>
        <v>2.2178270000000002</v>
      </c>
      <c r="AC365">
        <f>TBL_TEV[[#This Row],[Etica Obiettivo Sociale]]</f>
        <v>8.0687072051325028</v>
      </c>
      <c r="AD365">
        <f>TBL_TEV[[#This Row],[Etica Conservative Allocation]]</f>
        <v>0.68815999999999999</v>
      </c>
      <c r="AE365">
        <f>TBL_TEV[[#This Row],[Etica Dynamic Allocation]]</f>
        <v>2.0767030000000002</v>
      </c>
      <c r="AF365">
        <f>TBL_TEV[[#This Row],[Etica Global Equity]]</f>
        <v>3.0115530000000001</v>
      </c>
      <c r="AL365">
        <f ca="1"/>
        <v>1.48125</v>
      </c>
      <c r="AM365">
        <f ca="1"/>
        <v>0.339397</v>
      </c>
      <c r="AN365">
        <f ca="1"/>
        <v>0.71752800000000005</v>
      </c>
      <c r="AO365">
        <f ca="1"/>
        <v>2.0832120000000001</v>
      </c>
      <c r="AP365">
        <f ca="1"/>
        <v>3.0110769999999998</v>
      </c>
      <c r="AQ365">
        <f ca="1"/>
        <v>2.2286220000000001</v>
      </c>
      <c r="AR365">
        <f ca="1"/>
        <v>8.1534395151529395</v>
      </c>
      <c r="AS365">
        <f ca="1"/>
        <v>0.684033</v>
      </c>
      <c r="AT365">
        <f ca="1"/>
        <v>2.0844819999999999</v>
      </c>
      <c r="AU365">
        <f ca="1"/>
        <v>3.0163150000000001</v>
      </c>
    </row>
    <row r="366" spans="1:47">
      <c r="A366" s="43">
        <f>TBL_TEV[[#This Row],[Data2]]</f>
        <v>45814</v>
      </c>
      <c r="B366" cm="1">
        <f t="array" ref="B366">_xlfn.XLOOKUP(_xlfn.ANCHORARRAY(A366), TBL_Limiti_CDA[Data], TBL_Limiti_CDA[Etica Rendita Bilanciata], , -1)</f>
        <v>2.5</v>
      </c>
      <c r="C366" cm="1">
        <f t="array" ref="C366">_xlfn.XLOOKUP(_xlfn.ANCHORARRAY(A366), TBL_Limiti_CDA[Data], TBL_Limiti_CDA[Etica Obbligazionario Breve Termine], , -1)</f>
        <v>0.5</v>
      </c>
      <c r="D366" cm="1">
        <f t="array" ref="D366">_xlfn.XLOOKUP(_xlfn.ANCHORARRAY(A366), TBL_Limiti_CDA[Data], TBL_Limiti_CDA[Etica Obbligazionario Misto], , -1)</f>
        <v>1</v>
      </c>
      <c r="E366" cm="1">
        <f t="array" ref="E366">_xlfn.XLOOKUP(_xlfn.ANCHORARRAY(A366), TBL_Limiti_CDA[Data], TBL_Limiti_CDA[Etica Bilanciato], , -1)</f>
        <v>3</v>
      </c>
      <c r="F366" cm="1">
        <f t="array" ref="F366">_xlfn.XLOOKUP(_xlfn.ANCHORARRAY(A366), TBL_Limiti_CDA[Data], TBL_Limiti_CDA[Etica Azionario], , -1)</f>
        <v>4.5</v>
      </c>
      <c r="G366" cm="1">
        <f t="array" ref="G366">_xlfn.XLOOKUP(_xlfn.ANCHORARRAY(A366), TBL_Limiti_CDA[Data], TBL_Limiti_CDA[Etica Transizione Climatica], , -1)</f>
        <v>3.5</v>
      </c>
      <c r="H366" cm="1">
        <f t="array" ref="H366">_xlfn.XLOOKUP(_xlfn.ANCHORARRAY(A366), TBL_Limiti_CDA[Data], TBL_Limiti_CDA[Etica Obiettivo Sociale], , -1)</f>
        <v>9.99</v>
      </c>
      <c r="I366" cm="1">
        <f t="array" ref="I366">_xlfn.XLOOKUP(_xlfn.ANCHORARRAY(A366), TBL_Limiti_CDA[Data], TBL_Limiti_CDA[Etica Conservative Allocation], , -1)</f>
        <v>1</v>
      </c>
      <c r="J366" cm="1">
        <f t="array" ref="J366">_xlfn.XLOOKUP(_xlfn.ANCHORARRAY(A366), TBL_Limiti_CDA[Data], TBL_Limiti_CDA[Etica Dynamic Allocation], , -1)</f>
        <v>3</v>
      </c>
      <c r="K366" cm="1">
        <f t="array" ref="K366">_xlfn.XLOOKUP(_xlfn.ANCHORARRAY(A366), TBL_Limiti_CDA[Data], TBL_Limiti_CDA[Etica Global Equity], , -1)</f>
        <v>4.5</v>
      </c>
      <c r="L366" cm="1">
        <f t="array" ref="L366">_xlfn.ANCHORARRAY(B366)+0.15</f>
        <v>2.65</v>
      </c>
      <c r="M366" cm="1">
        <f t="array" ref="M366">_xlfn.ANCHORARRAY(C366)+0.1</f>
        <v>0.6</v>
      </c>
      <c r="N366" cm="1">
        <f t="array" ref="N366">_xlfn.ANCHORARRAY(D366)+0.15</f>
        <v>1.1499999999999999</v>
      </c>
      <c r="O366" cm="1">
        <f t="array" ref="O366">_xlfn.ANCHORARRAY(E366)+0.15</f>
        <v>3.15</v>
      </c>
      <c r="P366" cm="1">
        <f t="array" ref="P366">_xlfn.ANCHORARRAY(F366)+0.15</f>
        <v>4.6500000000000004</v>
      </c>
      <c r="Q366" cm="1">
        <f t="array" ref="Q366">_xlfn.ANCHORARRAY(G366)+0.15</f>
        <v>3.65</v>
      </c>
      <c r="R366" cm="1">
        <f t="array" ref="R366">_xlfn.ANCHORARRAY(H366)</f>
        <v>9.99</v>
      </c>
      <c r="S366" cm="1">
        <f t="array" ref="S366">_xlfn.ANCHORARRAY(R366)+0.15</f>
        <v>10.14</v>
      </c>
      <c r="T366" cm="1">
        <f t="array" ref="T366">_xlfn.ANCHORARRAY(I366)+0.15</f>
        <v>1.1499999999999999</v>
      </c>
      <c r="U366" cm="1">
        <f t="array" ref="U366">_xlfn.ANCHORARRAY(J366)+0.15</f>
        <v>3.15</v>
      </c>
      <c r="V366" cm="1">
        <f t="array" ref="V366">_xlfn.ANCHORARRAY(K366)+0.15</f>
        <v>4.6500000000000004</v>
      </c>
      <c r="W366">
        <f>TBL_TEV[[#This Row],[Etica Rendita Bilanciata]]</f>
        <v>1.48125</v>
      </c>
      <c r="X366">
        <f>TBL_TEV[[#This Row],[Etica Obbligazionario Breve Termine]]</f>
        <v>0.339397</v>
      </c>
      <c r="Y366">
        <f>TBL_TEV[[#This Row],[Etica Obbligazionario Misto]]</f>
        <v>0.71752800000000005</v>
      </c>
      <c r="Z366">
        <f>TBL_TEV[[#This Row],[Etica Bilanciato]]</f>
        <v>2.0832120000000001</v>
      </c>
      <c r="AA366">
        <f>TBL_TEV[[#This Row],[Etica Azionario]]</f>
        <v>3.0110769999999998</v>
      </c>
      <c r="AB366">
        <f>TBL_TEV[[#This Row],[Etica Transizione Climatica]]</f>
        <v>2.2286220000000001</v>
      </c>
      <c r="AC366">
        <f>TBL_TEV[[#This Row],[Etica Obiettivo Sociale]]</f>
        <v>8.1534395151529395</v>
      </c>
      <c r="AD366">
        <f>TBL_TEV[[#This Row],[Etica Conservative Allocation]]</f>
        <v>0.684033</v>
      </c>
      <c r="AE366">
        <f>TBL_TEV[[#This Row],[Etica Dynamic Allocation]]</f>
        <v>2.0844819999999999</v>
      </c>
      <c r="AF366">
        <f>TBL_TEV[[#This Row],[Etica Global Equity]]</f>
        <v>3.0163150000000001</v>
      </c>
      <c r="AL366">
        <f ca="1"/>
        <v>1.474424</v>
      </c>
      <c r="AM366">
        <f ca="1"/>
        <v>0.33828599999999998</v>
      </c>
      <c r="AN366">
        <f ca="1"/>
        <v>0.71800399999999998</v>
      </c>
      <c r="AO366">
        <f ca="1"/>
        <v>2.0874980000000001</v>
      </c>
      <c r="AP366">
        <f ca="1"/>
        <v>3.0099649999999998</v>
      </c>
      <c r="AQ366">
        <f ca="1"/>
        <v>2.2224309999999998</v>
      </c>
      <c r="AR366">
        <f ca="1"/>
        <v>7.9436137757704692</v>
      </c>
      <c r="AS366">
        <f ca="1"/>
        <v>0.684033</v>
      </c>
      <c r="AT366">
        <f ca="1"/>
        <v>2.088768</v>
      </c>
      <c r="AU366">
        <f ca="1"/>
        <v>3.0180609999999999</v>
      </c>
    </row>
    <row r="367" spans="1:47">
      <c r="A367" s="43">
        <f>TBL_TEV[[#This Row],[Data2]]</f>
        <v>45817</v>
      </c>
      <c r="B367" cm="1">
        <f t="array" ref="B367">_xlfn.XLOOKUP(_xlfn.ANCHORARRAY(A367), TBL_Limiti_CDA[Data], TBL_Limiti_CDA[Etica Rendita Bilanciata], , -1)</f>
        <v>2.5</v>
      </c>
      <c r="C367" cm="1">
        <f t="array" ref="C367">_xlfn.XLOOKUP(_xlfn.ANCHORARRAY(A367), TBL_Limiti_CDA[Data], TBL_Limiti_CDA[Etica Obbligazionario Breve Termine], , -1)</f>
        <v>0.5</v>
      </c>
      <c r="D367" cm="1">
        <f t="array" ref="D367">_xlfn.XLOOKUP(_xlfn.ANCHORARRAY(A367), TBL_Limiti_CDA[Data], TBL_Limiti_CDA[Etica Obbligazionario Misto], , -1)</f>
        <v>1</v>
      </c>
      <c r="E367" cm="1">
        <f t="array" ref="E367">_xlfn.XLOOKUP(_xlfn.ANCHORARRAY(A367), TBL_Limiti_CDA[Data], TBL_Limiti_CDA[Etica Bilanciato], , -1)</f>
        <v>3</v>
      </c>
      <c r="F367" cm="1">
        <f t="array" ref="F367">_xlfn.XLOOKUP(_xlfn.ANCHORARRAY(A367), TBL_Limiti_CDA[Data], TBL_Limiti_CDA[Etica Azionario], , -1)</f>
        <v>4.5</v>
      </c>
      <c r="G367" cm="1">
        <f t="array" ref="G367">_xlfn.XLOOKUP(_xlfn.ANCHORARRAY(A367), TBL_Limiti_CDA[Data], TBL_Limiti_CDA[Etica Transizione Climatica], , -1)</f>
        <v>3.5</v>
      </c>
      <c r="H367" cm="1">
        <f t="array" ref="H367">_xlfn.XLOOKUP(_xlfn.ANCHORARRAY(A367), TBL_Limiti_CDA[Data], TBL_Limiti_CDA[Etica Obiettivo Sociale], , -1)</f>
        <v>9.99</v>
      </c>
      <c r="I367" cm="1">
        <f t="array" ref="I367">_xlfn.XLOOKUP(_xlfn.ANCHORARRAY(A367), TBL_Limiti_CDA[Data], TBL_Limiti_CDA[Etica Conservative Allocation], , -1)</f>
        <v>1</v>
      </c>
      <c r="J367" cm="1">
        <f t="array" ref="J367">_xlfn.XLOOKUP(_xlfn.ANCHORARRAY(A367), TBL_Limiti_CDA[Data], TBL_Limiti_CDA[Etica Dynamic Allocation], , -1)</f>
        <v>3</v>
      </c>
      <c r="K367" cm="1">
        <f t="array" ref="K367">_xlfn.XLOOKUP(_xlfn.ANCHORARRAY(A367), TBL_Limiti_CDA[Data], TBL_Limiti_CDA[Etica Global Equity], , -1)</f>
        <v>4.5</v>
      </c>
      <c r="L367" cm="1">
        <f t="array" ref="L367">_xlfn.ANCHORARRAY(B367)+0.15</f>
        <v>2.65</v>
      </c>
      <c r="M367" cm="1">
        <f t="array" ref="M367">_xlfn.ANCHORARRAY(C367)+0.1</f>
        <v>0.6</v>
      </c>
      <c r="N367" cm="1">
        <f t="array" ref="N367">_xlfn.ANCHORARRAY(D367)+0.15</f>
        <v>1.1499999999999999</v>
      </c>
      <c r="O367" cm="1">
        <f t="array" ref="O367">_xlfn.ANCHORARRAY(E367)+0.15</f>
        <v>3.15</v>
      </c>
      <c r="P367" cm="1">
        <f t="array" ref="P367">_xlfn.ANCHORARRAY(F367)+0.15</f>
        <v>4.6500000000000004</v>
      </c>
      <c r="Q367" cm="1">
        <f t="array" ref="Q367">_xlfn.ANCHORARRAY(G367)+0.15</f>
        <v>3.65</v>
      </c>
      <c r="R367" cm="1">
        <f t="array" ref="R367">_xlfn.ANCHORARRAY(H367)</f>
        <v>9.99</v>
      </c>
      <c r="S367" cm="1">
        <f t="array" ref="S367">_xlfn.ANCHORARRAY(R367)+0.15</f>
        <v>10.14</v>
      </c>
      <c r="T367" cm="1">
        <f t="array" ref="T367">_xlfn.ANCHORARRAY(I367)+0.15</f>
        <v>1.1499999999999999</v>
      </c>
      <c r="U367" cm="1">
        <f t="array" ref="U367">_xlfn.ANCHORARRAY(J367)+0.15</f>
        <v>3.15</v>
      </c>
      <c r="V367" cm="1">
        <f t="array" ref="V367">_xlfn.ANCHORARRAY(K367)+0.15</f>
        <v>4.6500000000000004</v>
      </c>
      <c r="W367">
        <f>TBL_TEV[[#This Row],[Etica Rendita Bilanciata]]</f>
        <v>1.474424</v>
      </c>
      <c r="X367">
        <f>TBL_TEV[[#This Row],[Etica Obbligazionario Breve Termine]]</f>
        <v>0.33828599999999998</v>
      </c>
      <c r="Y367">
        <f>TBL_TEV[[#This Row],[Etica Obbligazionario Misto]]</f>
        <v>0.71800399999999998</v>
      </c>
      <c r="Z367">
        <f>TBL_TEV[[#This Row],[Etica Bilanciato]]</f>
        <v>2.0874980000000001</v>
      </c>
      <c r="AA367">
        <f>TBL_TEV[[#This Row],[Etica Azionario]]</f>
        <v>3.0099649999999998</v>
      </c>
      <c r="AB367">
        <f>TBL_TEV[[#This Row],[Etica Transizione Climatica]]</f>
        <v>2.2224309999999998</v>
      </c>
      <c r="AC367">
        <f>TBL_TEV[[#This Row],[Etica Obiettivo Sociale]]</f>
        <v>7.9436137757704692</v>
      </c>
      <c r="AD367">
        <f>TBL_TEV[[#This Row],[Etica Conservative Allocation]]</f>
        <v>0.684033</v>
      </c>
      <c r="AE367">
        <f>TBL_TEV[[#This Row],[Etica Dynamic Allocation]]</f>
        <v>2.088768</v>
      </c>
      <c r="AF367">
        <f>TBL_TEV[[#This Row],[Etica Global Equity]]</f>
        <v>3.0180609999999999</v>
      </c>
      <c r="AL367">
        <f ca="1"/>
        <v>1.485695</v>
      </c>
      <c r="AM367">
        <f ca="1"/>
        <v>0.33812700000000001</v>
      </c>
      <c r="AN367">
        <f ca="1"/>
        <v>0.72498899999999999</v>
      </c>
      <c r="AO367">
        <f ca="1"/>
        <v>2.1148020000000001</v>
      </c>
      <c r="AP367">
        <f ca="1"/>
        <v>3.0377459999999998</v>
      </c>
      <c r="AQ367">
        <f ca="1"/>
        <v>2.2584659999999999</v>
      </c>
      <c r="AR367">
        <f ca="1"/>
        <v>7.9769769970323887</v>
      </c>
      <c r="AS367">
        <f ca="1"/>
        <v>0.68546099999999999</v>
      </c>
      <c r="AT367">
        <f ca="1"/>
        <v>2.106706</v>
      </c>
      <c r="AU367">
        <f ca="1"/>
        <v>3.090449</v>
      </c>
    </row>
    <row r="368" spans="1:47">
      <c r="A368" s="43">
        <f>TBL_TEV[[#This Row],[Data2]]</f>
        <v>45818</v>
      </c>
      <c r="B368" cm="1">
        <f t="array" ref="B368">_xlfn.XLOOKUP(_xlfn.ANCHORARRAY(A368), TBL_Limiti_CDA[Data], TBL_Limiti_CDA[Etica Rendita Bilanciata], , -1)</f>
        <v>2.5</v>
      </c>
      <c r="C368" cm="1">
        <f t="array" ref="C368">_xlfn.XLOOKUP(_xlfn.ANCHORARRAY(A368), TBL_Limiti_CDA[Data], TBL_Limiti_CDA[Etica Obbligazionario Breve Termine], , -1)</f>
        <v>0.5</v>
      </c>
      <c r="D368" cm="1">
        <f t="array" ref="D368">_xlfn.XLOOKUP(_xlfn.ANCHORARRAY(A368), TBL_Limiti_CDA[Data], TBL_Limiti_CDA[Etica Obbligazionario Misto], , -1)</f>
        <v>1</v>
      </c>
      <c r="E368" cm="1">
        <f t="array" ref="E368">_xlfn.XLOOKUP(_xlfn.ANCHORARRAY(A368), TBL_Limiti_CDA[Data], TBL_Limiti_CDA[Etica Bilanciato], , -1)</f>
        <v>3</v>
      </c>
      <c r="F368" cm="1">
        <f t="array" ref="F368">_xlfn.XLOOKUP(_xlfn.ANCHORARRAY(A368), TBL_Limiti_CDA[Data], TBL_Limiti_CDA[Etica Azionario], , -1)</f>
        <v>4.5</v>
      </c>
      <c r="G368" cm="1">
        <f t="array" ref="G368">_xlfn.XLOOKUP(_xlfn.ANCHORARRAY(A368), TBL_Limiti_CDA[Data], TBL_Limiti_CDA[Etica Transizione Climatica], , -1)</f>
        <v>3.5</v>
      </c>
      <c r="H368" cm="1">
        <f t="array" ref="H368">_xlfn.XLOOKUP(_xlfn.ANCHORARRAY(A368), TBL_Limiti_CDA[Data], TBL_Limiti_CDA[Etica Obiettivo Sociale], , -1)</f>
        <v>9.99</v>
      </c>
      <c r="I368" cm="1">
        <f t="array" ref="I368">_xlfn.XLOOKUP(_xlfn.ANCHORARRAY(A368), TBL_Limiti_CDA[Data], TBL_Limiti_CDA[Etica Conservative Allocation], , -1)</f>
        <v>1</v>
      </c>
      <c r="J368" cm="1">
        <f t="array" ref="J368">_xlfn.XLOOKUP(_xlfn.ANCHORARRAY(A368), TBL_Limiti_CDA[Data], TBL_Limiti_CDA[Etica Dynamic Allocation], , -1)</f>
        <v>3</v>
      </c>
      <c r="K368" cm="1">
        <f t="array" ref="K368">_xlfn.XLOOKUP(_xlfn.ANCHORARRAY(A368), TBL_Limiti_CDA[Data], TBL_Limiti_CDA[Etica Global Equity], , -1)</f>
        <v>4.5</v>
      </c>
      <c r="L368" cm="1">
        <f t="array" ref="L368">_xlfn.ANCHORARRAY(B368)+0.15</f>
        <v>2.65</v>
      </c>
      <c r="M368" cm="1">
        <f t="array" ref="M368">_xlfn.ANCHORARRAY(C368)+0.1</f>
        <v>0.6</v>
      </c>
      <c r="N368" cm="1">
        <f t="array" ref="N368">_xlfn.ANCHORARRAY(D368)+0.15</f>
        <v>1.1499999999999999</v>
      </c>
      <c r="O368" cm="1">
        <f t="array" ref="O368">_xlfn.ANCHORARRAY(E368)+0.15</f>
        <v>3.15</v>
      </c>
      <c r="P368" cm="1">
        <f t="array" ref="P368">_xlfn.ANCHORARRAY(F368)+0.15</f>
        <v>4.6500000000000004</v>
      </c>
      <c r="Q368" cm="1">
        <f t="array" ref="Q368">_xlfn.ANCHORARRAY(G368)+0.15</f>
        <v>3.65</v>
      </c>
      <c r="R368" cm="1">
        <f t="array" ref="R368">_xlfn.ANCHORARRAY(H368)</f>
        <v>9.99</v>
      </c>
      <c r="S368" cm="1">
        <f t="array" ref="S368">_xlfn.ANCHORARRAY(R368)+0.15</f>
        <v>10.14</v>
      </c>
      <c r="T368" cm="1">
        <f t="array" ref="T368">_xlfn.ANCHORARRAY(I368)+0.15</f>
        <v>1.1499999999999999</v>
      </c>
      <c r="U368" cm="1">
        <f t="array" ref="U368">_xlfn.ANCHORARRAY(J368)+0.15</f>
        <v>3.15</v>
      </c>
      <c r="V368" cm="1">
        <f t="array" ref="V368">_xlfn.ANCHORARRAY(K368)+0.15</f>
        <v>4.6500000000000004</v>
      </c>
      <c r="W368">
        <f>TBL_TEV[[#This Row],[Etica Rendita Bilanciata]]</f>
        <v>1.485695</v>
      </c>
      <c r="X368">
        <f>TBL_TEV[[#This Row],[Etica Obbligazionario Breve Termine]]</f>
        <v>0.33812700000000001</v>
      </c>
      <c r="Y368">
        <f>TBL_TEV[[#This Row],[Etica Obbligazionario Misto]]</f>
        <v>0.72498899999999999</v>
      </c>
      <c r="Z368">
        <f>TBL_TEV[[#This Row],[Etica Bilanciato]]</f>
        <v>2.1148020000000001</v>
      </c>
      <c r="AA368">
        <f>TBL_TEV[[#This Row],[Etica Azionario]]</f>
        <v>3.0377459999999998</v>
      </c>
      <c r="AB368">
        <f>TBL_TEV[[#This Row],[Etica Transizione Climatica]]</f>
        <v>2.2584659999999999</v>
      </c>
      <c r="AC368">
        <f>TBL_TEV[[#This Row],[Etica Obiettivo Sociale]]</f>
        <v>7.9769769970323887</v>
      </c>
      <c r="AD368">
        <f>TBL_TEV[[#This Row],[Etica Conservative Allocation]]</f>
        <v>0.68546099999999999</v>
      </c>
      <c r="AE368">
        <f>TBL_TEV[[#This Row],[Etica Dynamic Allocation]]</f>
        <v>2.106706</v>
      </c>
      <c r="AF368">
        <f>TBL_TEV[[#This Row],[Etica Global Equity]]</f>
        <v>3.090449</v>
      </c>
      <c r="AL368">
        <f ca="1"/>
        <v>1.4888699999999999</v>
      </c>
      <c r="AM368">
        <f ca="1"/>
        <v>0.33749200000000001</v>
      </c>
      <c r="AN368">
        <f ca="1"/>
        <v>0.72292500000000004</v>
      </c>
      <c r="AO368">
        <f ca="1"/>
        <v>2.1176590000000002</v>
      </c>
      <c r="AP368">
        <f ca="1"/>
        <v>3.0361579999999999</v>
      </c>
      <c r="AQ368">
        <f ca="1"/>
        <v>2.2773569999999999</v>
      </c>
      <c r="AR368">
        <f ca="1"/>
        <v>7.9613297901649798</v>
      </c>
      <c r="AS368">
        <f ca="1"/>
        <v>0.68498499999999996</v>
      </c>
      <c r="AT368">
        <f ca="1"/>
        <v>2.1030549999999999</v>
      </c>
      <c r="AU368">
        <f ca="1"/>
        <v>3.0875919999999999</v>
      </c>
    </row>
    <row r="369" spans="1:47">
      <c r="A369" s="43">
        <f>TBL_TEV[[#This Row],[Data2]]</f>
        <v>45819</v>
      </c>
      <c r="B369" cm="1">
        <f t="array" ref="B369">_xlfn.XLOOKUP(_xlfn.ANCHORARRAY(A369), TBL_Limiti_CDA[Data], TBL_Limiti_CDA[Etica Rendita Bilanciata], , -1)</f>
        <v>2.5</v>
      </c>
      <c r="C369" cm="1">
        <f t="array" ref="C369">_xlfn.XLOOKUP(_xlfn.ANCHORARRAY(A369), TBL_Limiti_CDA[Data], TBL_Limiti_CDA[Etica Obbligazionario Breve Termine], , -1)</f>
        <v>0.5</v>
      </c>
      <c r="D369" cm="1">
        <f t="array" ref="D369">_xlfn.XLOOKUP(_xlfn.ANCHORARRAY(A369), TBL_Limiti_CDA[Data], TBL_Limiti_CDA[Etica Obbligazionario Misto], , -1)</f>
        <v>1</v>
      </c>
      <c r="E369" cm="1">
        <f t="array" ref="E369">_xlfn.XLOOKUP(_xlfn.ANCHORARRAY(A369), TBL_Limiti_CDA[Data], TBL_Limiti_CDA[Etica Bilanciato], , -1)</f>
        <v>3</v>
      </c>
      <c r="F369" cm="1">
        <f t="array" ref="F369">_xlfn.XLOOKUP(_xlfn.ANCHORARRAY(A369), TBL_Limiti_CDA[Data], TBL_Limiti_CDA[Etica Azionario], , -1)</f>
        <v>4.5</v>
      </c>
      <c r="G369" cm="1">
        <f t="array" ref="G369">_xlfn.XLOOKUP(_xlfn.ANCHORARRAY(A369), TBL_Limiti_CDA[Data], TBL_Limiti_CDA[Etica Transizione Climatica], , -1)</f>
        <v>3.5</v>
      </c>
      <c r="H369" cm="1">
        <f t="array" ref="H369">_xlfn.XLOOKUP(_xlfn.ANCHORARRAY(A369), TBL_Limiti_CDA[Data], TBL_Limiti_CDA[Etica Obiettivo Sociale], , -1)</f>
        <v>9.99</v>
      </c>
      <c r="I369" cm="1">
        <f t="array" ref="I369">_xlfn.XLOOKUP(_xlfn.ANCHORARRAY(A369), TBL_Limiti_CDA[Data], TBL_Limiti_CDA[Etica Conservative Allocation], , -1)</f>
        <v>1</v>
      </c>
      <c r="J369" cm="1">
        <f t="array" ref="J369">_xlfn.XLOOKUP(_xlfn.ANCHORARRAY(A369), TBL_Limiti_CDA[Data], TBL_Limiti_CDA[Etica Dynamic Allocation], , -1)</f>
        <v>3</v>
      </c>
      <c r="K369" cm="1">
        <f t="array" ref="K369">_xlfn.XLOOKUP(_xlfn.ANCHORARRAY(A369), TBL_Limiti_CDA[Data], TBL_Limiti_CDA[Etica Global Equity], , -1)</f>
        <v>4.5</v>
      </c>
      <c r="L369" cm="1">
        <f t="array" ref="L369">_xlfn.ANCHORARRAY(B369)+0.15</f>
        <v>2.65</v>
      </c>
      <c r="M369" cm="1">
        <f t="array" ref="M369">_xlfn.ANCHORARRAY(C369)+0.1</f>
        <v>0.6</v>
      </c>
      <c r="N369" cm="1">
        <f t="array" ref="N369">_xlfn.ANCHORARRAY(D369)+0.15</f>
        <v>1.1499999999999999</v>
      </c>
      <c r="O369" cm="1">
        <f t="array" ref="O369">_xlfn.ANCHORARRAY(E369)+0.15</f>
        <v>3.15</v>
      </c>
      <c r="P369" cm="1">
        <f t="array" ref="P369">_xlfn.ANCHORARRAY(F369)+0.15</f>
        <v>4.6500000000000004</v>
      </c>
      <c r="Q369" cm="1">
        <f t="array" ref="Q369">_xlfn.ANCHORARRAY(G369)+0.15</f>
        <v>3.65</v>
      </c>
      <c r="R369" cm="1">
        <f t="array" ref="R369">_xlfn.ANCHORARRAY(H369)</f>
        <v>9.99</v>
      </c>
      <c r="S369" cm="1">
        <f t="array" ref="S369">_xlfn.ANCHORARRAY(R369)+0.15</f>
        <v>10.14</v>
      </c>
      <c r="T369" cm="1">
        <f t="array" ref="T369">_xlfn.ANCHORARRAY(I369)+0.15</f>
        <v>1.1499999999999999</v>
      </c>
      <c r="U369" cm="1">
        <f t="array" ref="U369">_xlfn.ANCHORARRAY(J369)+0.15</f>
        <v>3.15</v>
      </c>
      <c r="V369" cm="1">
        <f t="array" ref="V369">_xlfn.ANCHORARRAY(K369)+0.15</f>
        <v>4.6500000000000004</v>
      </c>
      <c r="W369">
        <f>TBL_TEV[[#This Row],[Etica Rendita Bilanciata]]</f>
        <v>1.4888699999999999</v>
      </c>
      <c r="X369">
        <f>TBL_TEV[[#This Row],[Etica Obbligazionario Breve Termine]]</f>
        <v>0.33749200000000001</v>
      </c>
      <c r="Y369">
        <f>TBL_TEV[[#This Row],[Etica Obbligazionario Misto]]</f>
        <v>0.72292500000000004</v>
      </c>
      <c r="Z369">
        <f>TBL_TEV[[#This Row],[Etica Bilanciato]]</f>
        <v>2.1176590000000002</v>
      </c>
      <c r="AA369">
        <f>TBL_TEV[[#This Row],[Etica Azionario]]</f>
        <v>3.0361579999999999</v>
      </c>
      <c r="AB369">
        <f>TBL_TEV[[#This Row],[Etica Transizione Climatica]]</f>
        <v>2.2773569999999999</v>
      </c>
      <c r="AC369">
        <f>TBL_TEV[[#This Row],[Etica Obiettivo Sociale]]</f>
        <v>7.9613297901649798</v>
      </c>
      <c r="AD369">
        <f>TBL_TEV[[#This Row],[Etica Conservative Allocation]]</f>
        <v>0.68498499999999996</v>
      </c>
      <c r="AE369">
        <f>TBL_TEV[[#This Row],[Etica Dynamic Allocation]]</f>
        <v>2.1030549999999999</v>
      </c>
      <c r="AF369">
        <f>TBL_TEV[[#This Row],[Etica Global Equity]]</f>
        <v>3.0875919999999999</v>
      </c>
      <c r="AL369">
        <f ca="1"/>
        <v>1.472996</v>
      </c>
      <c r="AM369">
        <f ca="1"/>
        <v>0.33654000000000001</v>
      </c>
      <c r="AN369">
        <f ca="1"/>
        <v>0.71562300000000001</v>
      </c>
      <c r="AO369">
        <f ca="1"/>
        <v>2.1117859999999999</v>
      </c>
      <c r="AP369">
        <f ca="1"/>
        <v>3.0345710000000001</v>
      </c>
      <c r="AQ369">
        <f ca="1"/>
        <v>2.2586249999999999</v>
      </c>
      <c r="AR369">
        <f ca="1"/>
        <v>7.9616143136355806</v>
      </c>
      <c r="AS369">
        <f ca="1"/>
        <v>0.68260399999999999</v>
      </c>
      <c r="AT369">
        <f ca="1"/>
        <v>2.0989270000000002</v>
      </c>
      <c r="AU369">
        <f ca="1"/>
        <v>3.0874329999999999</v>
      </c>
    </row>
    <row r="370" spans="1:47">
      <c r="A370" s="43">
        <f>TBL_TEV[[#This Row],[Data2]]</f>
        <v>45820</v>
      </c>
      <c r="B370" cm="1">
        <f t="array" ref="B370">_xlfn.XLOOKUP(_xlfn.ANCHORARRAY(A370), TBL_Limiti_CDA[Data], TBL_Limiti_CDA[Etica Rendita Bilanciata], , -1)</f>
        <v>2.5</v>
      </c>
      <c r="C370" cm="1">
        <f t="array" ref="C370">_xlfn.XLOOKUP(_xlfn.ANCHORARRAY(A370), TBL_Limiti_CDA[Data], TBL_Limiti_CDA[Etica Obbligazionario Breve Termine], , -1)</f>
        <v>0.5</v>
      </c>
      <c r="D370" cm="1">
        <f t="array" ref="D370">_xlfn.XLOOKUP(_xlfn.ANCHORARRAY(A370), TBL_Limiti_CDA[Data], TBL_Limiti_CDA[Etica Obbligazionario Misto], , -1)</f>
        <v>1</v>
      </c>
      <c r="E370" cm="1">
        <f t="array" ref="E370">_xlfn.XLOOKUP(_xlfn.ANCHORARRAY(A370), TBL_Limiti_CDA[Data], TBL_Limiti_CDA[Etica Bilanciato], , -1)</f>
        <v>3</v>
      </c>
      <c r="F370" cm="1">
        <f t="array" ref="F370">_xlfn.XLOOKUP(_xlfn.ANCHORARRAY(A370), TBL_Limiti_CDA[Data], TBL_Limiti_CDA[Etica Azionario], , -1)</f>
        <v>4.5</v>
      </c>
      <c r="G370" cm="1">
        <f t="array" ref="G370">_xlfn.XLOOKUP(_xlfn.ANCHORARRAY(A370), TBL_Limiti_CDA[Data], TBL_Limiti_CDA[Etica Transizione Climatica], , -1)</f>
        <v>3.5</v>
      </c>
      <c r="H370" cm="1">
        <f t="array" ref="H370">_xlfn.XLOOKUP(_xlfn.ANCHORARRAY(A370), TBL_Limiti_CDA[Data], TBL_Limiti_CDA[Etica Obiettivo Sociale], , -1)</f>
        <v>9.99</v>
      </c>
      <c r="I370" cm="1">
        <f t="array" ref="I370">_xlfn.XLOOKUP(_xlfn.ANCHORARRAY(A370), TBL_Limiti_CDA[Data], TBL_Limiti_CDA[Etica Conservative Allocation], , -1)</f>
        <v>1</v>
      </c>
      <c r="J370" cm="1">
        <f t="array" ref="J370">_xlfn.XLOOKUP(_xlfn.ANCHORARRAY(A370), TBL_Limiti_CDA[Data], TBL_Limiti_CDA[Etica Dynamic Allocation], , -1)</f>
        <v>3</v>
      </c>
      <c r="K370" cm="1">
        <f t="array" ref="K370">_xlfn.XLOOKUP(_xlfn.ANCHORARRAY(A370), TBL_Limiti_CDA[Data], TBL_Limiti_CDA[Etica Global Equity], , -1)</f>
        <v>4.5</v>
      </c>
      <c r="L370" cm="1">
        <f t="array" ref="L370">_xlfn.ANCHORARRAY(B370)+0.15</f>
        <v>2.65</v>
      </c>
      <c r="M370" cm="1">
        <f t="array" ref="M370">_xlfn.ANCHORARRAY(C370)+0.1</f>
        <v>0.6</v>
      </c>
      <c r="N370" cm="1">
        <f t="array" ref="N370">_xlfn.ANCHORARRAY(D370)+0.15</f>
        <v>1.1499999999999999</v>
      </c>
      <c r="O370" cm="1">
        <f t="array" ref="O370">_xlfn.ANCHORARRAY(E370)+0.15</f>
        <v>3.15</v>
      </c>
      <c r="P370" cm="1">
        <f t="array" ref="P370">_xlfn.ANCHORARRAY(F370)+0.15</f>
        <v>4.6500000000000004</v>
      </c>
      <c r="Q370" cm="1">
        <f t="array" ref="Q370">_xlfn.ANCHORARRAY(G370)+0.15</f>
        <v>3.65</v>
      </c>
      <c r="R370" cm="1">
        <f t="array" ref="R370">_xlfn.ANCHORARRAY(H370)</f>
        <v>9.99</v>
      </c>
      <c r="S370" cm="1">
        <f t="array" ref="S370">_xlfn.ANCHORARRAY(R370)+0.15</f>
        <v>10.14</v>
      </c>
      <c r="T370" cm="1">
        <f t="array" ref="T370">_xlfn.ANCHORARRAY(I370)+0.15</f>
        <v>1.1499999999999999</v>
      </c>
      <c r="U370" cm="1">
        <f t="array" ref="U370">_xlfn.ANCHORARRAY(J370)+0.15</f>
        <v>3.15</v>
      </c>
      <c r="V370" cm="1">
        <f t="array" ref="V370">_xlfn.ANCHORARRAY(K370)+0.15</f>
        <v>4.6500000000000004</v>
      </c>
      <c r="W370">
        <f>TBL_TEV[[#This Row],[Etica Rendita Bilanciata]]</f>
        <v>1.472996</v>
      </c>
      <c r="X370">
        <f>TBL_TEV[[#This Row],[Etica Obbligazionario Breve Termine]]</f>
        <v>0.33654000000000001</v>
      </c>
      <c r="Y370">
        <f>TBL_TEV[[#This Row],[Etica Obbligazionario Misto]]</f>
        <v>0.71562300000000001</v>
      </c>
      <c r="Z370">
        <f>TBL_TEV[[#This Row],[Etica Bilanciato]]</f>
        <v>2.1117859999999999</v>
      </c>
      <c r="AA370">
        <f>TBL_TEV[[#This Row],[Etica Azionario]]</f>
        <v>3.0345710000000001</v>
      </c>
      <c r="AB370">
        <f>TBL_TEV[[#This Row],[Etica Transizione Climatica]]</f>
        <v>2.2586249999999999</v>
      </c>
      <c r="AC370">
        <f>TBL_TEV[[#This Row],[Etica Obiettivo Sociale]]</f>
        <v>7.9616143136355806</v>
      </c>
      <c r="AD370">
        <f>TBL_TEV[[#This Row],[Etica Conservative Allocation]]</f>
        <v>0.68260399999999999</v>
      </c>
      <c r="AE370">
        <f>TBL_TEV[[#This Row],[Etica Dynamic Allocation]]</f>
        <v>2.0989270000000002</v>
      </c>
      <c r="AF370">
        <f>TBL_TEV[[#This Row],[Etica Global Equity]]</f>
        <v>3.0874329999999999</v>
      </c>
      <c r="AL370">
        <f ca="1"/>
        <v>1.5042679999999999</v>
      </c>
      <c r="AM370">
        <f ca="1"/>
        <v>0.340667</v>
      </c>
      <c r="AN370">
        <f ca="1"/>
        <v>0.73181499999999999</v>
      </c>
      <c r="AO370">
        <f ca="1"/>
        <v>2.1494080000000002</v>
      </c>
      <c r="AP370">
        <f ca="1"/>
        <v>3.0915599999999999</v>
      </c>
      <c r="AQ370">
        <f ca="1"/>
        <v>2.2554500000000002</v>
      </c>
      <c r="AR370">
        <f ca="1"/>
        <v>8.1155867372121229</v>
      </c>
      <c r="AS370">
        <f ca="1"/>
        <v>0.69101699999999999</v>
      </c>
      <c r="AT370">
        <f ca="1"/>
        <v>2.128295</v>
      </c>
      <c r="AU370">
        <f ca="1"/>
        <v>3.141089</v>
      </c>
    </row>
    <row r="371" spans="1:47">
      <c r="A371" s="43">
        <f>TBL_TEV[[#This Row],[Data2]]</f>
        <v>45821</v>
      </c>
      <c r="B371" cm="1">
        <f t="array" ref="B371">_xlfn.XLOOKUP(_xlfn.ANCHORARRAY(A371), TBL_Limiti_CDA[Data], TBL_Limiti_CDA[Etica Rendita Bilanciata], , -1)</f>
        <v>2.5</v>
      </c>
      <c r="C371" cm="1">
        <f t="array" ref="C371">_xlfn.XLOOKUP(_xlfn.ANCHORARRAY(A371), TBL_Limiti_CDA[Data], TBL_Limiti_CDA[Etica Obbligazionario Breve Termine], , -1)</f>
        <v>0.5</v>
      </c>
      <c r="D371" cm="1">
        <f t="array" ref="D371">_xlfn.XLOOKUP(_xlfn.ANCHORARRAY(A371), TBL_Limiti_CDA[Data], TBL_Limiti_CDA[Etica Obbligazionario Misto], , -1)</f>
        <v>1</v>
      </c>
      <c r="E371" cm="1">
        <f t="array" ref="E371">_xlfn.XLOOKUP(_xlfn.ANCHORARRAY(A371), TBL_Limiti_CDA[Data], TBL_Limiti_CDA[Etica Bilanciato], , -1)</f>
        <v>3</v>
      </c>
      <c r="F371" cm="1">
        <f t="array" ref="F371">_xlfn.XLOOKUP(_xlfn.ANCHORARRAY(A371), TBL_Limiti_CDA[Data], TBL_Limiti_CDA[Etica Azionario], , -1)</f>
        <v>4.5</v>
      </c>
      <c r="G371" cm="1">
        <f t="array" ref="G371">_xlfn.XLOOKUP(_xlfn.ANCHORARRAY(A371), TBL_Limiti_CDA[Data], TBL_Limiti_CDA[Etica Transizione Climatica], , -1)</f>
        <v>3.5</v>
      </c>
      <c r="H371" cm="1">
        <f t="array" ref="H371">_xlfn.XLOOKUP(_xlfn.ANCHORARRAY(A371), TBL_Limiti_CDA[Data], TBL_Limiti_CDA[Etica Obiettivo Sociale], , -1)</f>
        <v>9.99</v>
      </c>
      <c r="I371" cm="1">
        <f t="array" ref="I371">_xlfn.XLOOKUP(_xlfn.ANCHORARRAY(A371), TBL_Limiti_CDA[Data], TBL_Limiti_CDA[Etica Conservative Allocation], , -1)</f>
        <v>1</v>
      </c>
      <c r="J371" cm="1">
        <f t="array" ref="J371">_xlfn.XLOOKUP(_xlfn.ANCHORARRAY(A371), TBL_Limiti_CDA[Data], TBL_Limiti_CDA[Etica Dynamic Allocation], , -1)</f>
        <v>3</v>
      </c>
      <c r="K371" cm="1">
        <f t="array" ref="K371">_xlfn.XLOOKUP(_xlfn.ANCHORARRAY(A371), TBL_Limiti_CDA[Data], TBL_Limiti_CDA[Etica Global Equity], , -1)</f>
        <v>4.5</v>
      </c>
      <c r="L371" cm="1">
        <f t="array" ref="L371">_xlfn.ANCHORARRAY(B371)+0.15</f>
        <v>2.65</v>
      </c>
      <c r="M371" cm="1">
        <f t="array" ref="M371">_xlfn.ANCHORARRAY(C371)+0.1</f>
        <v>0.6</v>
      </c>
      <c r="N371" cm="1">
        <f t="array" ref="N371">_xlfn.ANCHORARRAY(D371)+0.15</f>
        <v>1.1499999999999999</v>
      </c>
      <c r="O371" cm="1">
        <f t="array" ref="O371">_xlfn.ANCHORARRAY(E371)+0.15</f>
        <v>3.15</v>
      </c>
      <c r="P371" cm="1">
        <f t="array" ref="P371">_xlfn.ANCHORARRAY(F371)+0.15</f>
        <v>4.6500000000000004</v>
      </c>
      <c r="Q371" cm="1">
        <f t="array" ref="Q371">_xlfn.ANCHORARRAY(G371)+0.15</f>
        <v>3.65</v>
      </c>
      <c r="R371" cm="1">
        <f t="array" ref="R371">_xlfn.ANCHORARRAY(H371)</f>
        <v>9.99</v>
      </c>
      <c r="S371" cm="1">
        <f t="array" ref="S371">_xlfn.ANCHORARRAY(R371)+0.15</f>
        <v>10.14</v>
      </c>
      <c r="T371" cm="1">
        <f t="array" ref="T371">_xlfn.ANCHORARRAY(I371)+0.15</f>
        <v>1.1499999999999999</v>
      </c>
      <c r="U371" cm="1">
        <f t="array" ref="U371">_xlfn.ANCHORARRAY(J371)+0.15</f>
        <v>3.15</v>
      </c>
      <c r="V371" cm="1">
        <f t="array" ref="V371">_xlfn.ANCHORARRAY(K371)+0.15</f>
        <v>4.6500000000000004</v>
      </c>
      <c r="W371">
        <f>TBL_TEV[[#This Row],[Etica Rendita Bilanciata]]</f>
        <v>1.5042679999999999</v>
      </c>
      <c r="X371">
        <f>TBL_TEV[[#This Row],[Etica Obbligazionario Breve Termine]]</f>
        <v>0.340667</v>
      </c>
      <c r="Y371">
        <f>TBL_TEV[[#This Row],[Etica Obbligazionario Misto]]</f>
        <v>0.73181499999999999</v>
      </c>
      <c r="Z371">
        <f>TBL_TEV[[#This Row],[Etica Bilanciato]]</f>
        <v>2.1494080000000002</v>
      </c>
      <c r="AA371">
        <f>TBL_TEV[[#This Row],[Etica Azionario]]</f>
        <v>3.0915599999999999</v>
      </c>
      <c r="AB371">
        <f>TBL_TEV[[#This Row],[Etica Transizione Climatica]]</f>
        <v>2.2554500000000002</v>
      </c>
      <c r="AC371">
        <f>TBL_TEV[[#This Row],[Etica Obiettivo Sociale]]</f>
        <v>8.1155867372121229</v>
      </c>
      <c r="AD371">
        <f>TBL_TEV[[#This Row],[Etica Conservative Allocation]]</f>
        <v>0.69101699999999999</v>
      </c>
      <c r="AE371">
        <f>TBL_TEV[[#This Row],[Etica Dynamic Allocation]]</f>
        <v>2.128295</v>
      </c>
      <c r="AF371">
        <f>TBL_TEV[[#This Row],[Etica Global Equity]]</f>
        <v>3.141089</v>
      </c>
      <c r="AL371">
        <f ca="1"/>
        <v>1.490934</v>
      </c>
      <c r="AM371">
        <f ca="1"/>
        <v>0.34209600000000001</v>
      </c>
      <c r="AN371">
        <f ca="1"/>
        <v>0.72863999999999995</v>
      </c>
      <c r="AO371">
        <f ca="1"/>
        <v>2.14798</v>
      </c>
      <c r="AP371">
        <f ca="1"/>
        <v>3.0833059999999999</v>
      </c>
      <c r="AQ371">
        <f ca="1"/>
        <v>2.2446549999999998</v>
      </c>
      <c r="AR371">
        <f ca="1"/>
        <v>7.9145599553664017</v>
      </c>
      <c r="AS371">
        <f ca="1"/>
        <v>0.68927099999999997</v>
      </c>
      <c r="AT371">
        <f ca="1"/>
        <v>2.1260729999999999</v>
      </c>
      <c r="AU371">
        <f ca="1"/>
        <v>3.1337869999999999</v>
      </c>
    </row>
    <row r="372" spans="1:47">
      <c r="A372" s="43">
        <f>TBL_TEV[[#This Row],[Data2]]</f>
        <v>45824</v>
      </c>
      <c r="B372" cm="1">
        <f t="array" ref="B372">_xlfn.XLOOKUP(_xlfn.ANCHORARRAY(A372), TBL_Limiti_CDA[Data], TBL_Limiti_CDA[Etica Rendita Bilanciata], , -1)</f>
        <v>2.5</v>
      </c>
      <c r="C372" cm="1">
        <f t="array" ref="C372">_xlfn.XLOOKUP(_xlfn.ANCHORARRAY(A372), TBL_Limiti_CDA[Data], TBL_Limiti_CDA[Etica Obbligazionario Breve Termine], , -1)</f>
        <v>0.5</v>
      </c>
      <c r="D372" cm="1">
        <f t="array" ref="D372">_xlfn.XLOOKUP(_xlfn.ANCHORARRAY(A372), TBL_Limiti_CDA[Data], TBL_Limiti_CDA[Etica Obbligazionario Misto], , -1)</f>
        <v>1</v>
      </c>
      <c r="E372" cm="1">
        <f t="array" ref="E372">_xlfn.XLOOKUP(_xlfn.ANCHORARRAY(A372), TBL_Limiti_CDA[Data], TBL_Limiti_CDA[Etica Bilanciato], , -1)</f>
        <v>3</v>
      </c>
      <c r="F372" cm="1">
        <f t="array" ref="F372">_xlfn.XLOOKUP(_xlfn.ANCHORARRAY(A372), TBL_Limiti_CDA[Data], TBL_Limiti_CDA[Etica Azionario], , -1)</f>
        <v>4.5</v>
      </c>
      <c r="G372" cm="1">
        <f t="array" ref="G372">_xlfn.XLOOKUP(_xlfn.ANCHORARRAY(A372), TBL_Limiti_CDA[Data], TBL_Limiti_CDA[Etica Transizione Climatica], , -1)</f>
        <v>3.5</v>
      </c>
      <c r="H372" cm="1">
        <f t="array" ref="H372">_xlfn.XLOOKUP(_xlfn.ANCHORARRAY(A372), TBL_Limiti_CDA[Data], TBL_Limiti_CDA[Etica Obiettivo Sociale], , -1)</f>
        <v>9.99</v>
      </c>
      <c r="I372" cm="1">
        <f t="array" ref="I372">_xlfn.XLOOKUP(_xlfn.ANCHORARRAY(A372), TBL_Limiti_CDA[Data], TBL_Limiti_CDA[Etica Conservative Allocation], , -1)</f>
        <v>1</v>
      </c>
      <c r="J372" cm="1">
        <f t="array" ref="J372">_xlfn.XLOOKUP(_xlfn.ANCHORARRAY(A372), TBL_Limiti_CDA[Data], TBL_Limiti_CDA[Etica Dynamic Allocation], , -1)</f>
        <v>3</v>
      </c>
      <c r="K372" cm="1">
        <f t="array" ref="K372">_xlfn.XLOOKUP(_xlfn.ANCHORARRAY(A372), TBL_Limiti_CDA[Data], TBL_Limiti_CDA[Etica Global Equity], , -1)</f>
        <v>4.5</v>
      </c>
      <c r="L372" cm="1">
        <f t="array" ref="L372">_xlfn.ANCHORARRAY(B372)+0.15</f>
        <v>2.65</v>
      </c>
      <c r="M372" cm="1">
        <f t="array" ref="M372">_xlfn.ANCHORARRAY(C372)+0.1</f>
        <v>0.6</v>
      </c>
      <c r="N372" cm="1">
        <f t="array" ref="N372">_xlfn.ANCHORARRAY(D372)+0.15</f>
        <v>1.1499999999999999</v>
      </c>
      <c r="O372" cm="1">
        <f t="array" ref="O372">_xlfn.ANCHORARRAY(E372)+0.15</f>
        <v>3.15</v>
      </c>
      <c r="P372" cm="1">
        <f t="array" ref="P372">_xlfn.ANCHORARRAY(F372)+0.15</f>
        <v>4.6500000000000004</v>
      </c>
      <c r="Q372" cm="1">
        <f t="array" ref="Q372">_xlfn.ANCHORARRAY(G372)+0.15</f>
        <v>3.65</v>
      </c>
      <c r="R372" cm="1">
        <f t="array" ref="R372">_xlfn.ANCHORARRAY(H372)</f>
        <v>9.99</v>
      </c>
      <c r="S372" cm="1">
        <f t="array" ref="S372">_xlfn.ANCHORARRAY(R372)+0.15</f>
        <v>10.14</v>
      </c>
      <c r="T372" cm="1">
        <f t="array" ref="T372">_xlfn.ANCHORARRAY(I372)+0.15</f>
        <v>1.1499999999999999</v>
      </c>
      <c r="U372" cm="1">
        <f t="array" ref="U372">_xlfn.ANCHORARRAY(J372)+0.15</f>
        <v>3.15</v>
      </c>
      <c r="V372" cm="1">
        <f t="array" ref="V372">_xlfn.ANCHORARRAY(K372)+0.15</f>
        <v>4.6500000000000004</v>
      </c>
      <c r="W372">
        <f>TBL_TEV[[#This Row],[Etica Rendita Bilanciata]]</f>
        <v>1.490934</v>
      </c>
      <c r="X372">
        <f>TBL_TEV[[#This Row],[Etica Obbligazionario Breve Termine]]</f>
        <v>0.34209600000000001</v>
      </c>
      <c r="Y372">
        <f>TBL_TEV[[#This Row],[Etica Obbligazionario Misto]]</f>
        <v>0.72863999999999995</v>
      </c>
      <c r="Z372">
        <f>TBL_TEV[[#This Row],[Etica Bilanciato]]</f>
        <v>2.14798</v>
      </c>
      <c r="AA372">
        <f>TBL_TEV[[#This Row],[Etica Azionario]]</f>
        <v>3.0833059999999999</v>
      </c>
      <c r="AB372">
        <f>TBL_TEV[[#This Row],[Etica Transizione Climatica]]</f>
        <v>2.2446549999999998</v>
      </c>
      <c r="AC372">
        <f>TBL_TEV[[#This Row],[Etica Obiettivo Sociale]]</f>
        <v>7.9145599553664017</v>
      </c>
      <c r="AD372">
        <f>TBL_TEV[[#This Row],[Etica Conservative Allocation]]</f>
        <v>0.68927099999999997</v>
      </c>
      <c r="AE372">
        <f>TBL_TEV[[#This Row],[Etica Dynamic Allocation]]</f>
        <v>2.1260729999999999</v>
      </c>
      <c r="AF372">
        <f>TBL_TEV[[#This Row],[Etica Global Equity]]</f>
        <v>3.1337869999999999</v>
      </c>
      <c r="AL372">
        <f ca="1"/>
        <v>1.4826790000000001</v>
      </c>
      <c r="AM372">
        <f ca="1"/>
        <v>0.344001</v>
      </c>
      <c r="AN372">
        <f ca="1"/>
        <v>0.72641699999999998</v>
      </c>
      <c r="AO372">
        <f ca="1"/>
        <v>2.138455</v>
      </c>
      <c r="AP372">
        <f ca="1"/>
        <v>3.06759</v>
      </c>
      <c r="AQ372">
        <f ca="1"/>
        <v>2.2284630000000001</v>
      </c>
      <c r="AR372">
        <f ca="1"/>
        <v>8.0153069579735714</v>
      </c>
      <c r="AS372">
        <f ca="1"/>
        <v>0.68276300000000001</v>
      </c>
      <c r="AT372">
        <f ca="1"/>
        <v>2.1082930000000002</v>
      </c>
      <c r="AU372">
        <f ca="1"/>
        <v>3.10934</v>
      </c>
    </row>
    <row r="373" spans="1:47">
      <c r="A373" s="43">
        <f>TBL_TEV[[#This Row],[Data2]]</f>
        <v>45825</v>
      </c>
      <c r="B373" cm="1">
        <f t="array" ref="B373">_xlfn.XLOOKUP(_xlfn.ANCHORARRAY(A373), TBL_Limiti_CDA[Data], TBL_Limiti_CDA[Etica Rendita Bilanciata], , -1)</f>
        <v>2.5</v>
      </c>
      <c r="C373" cm="1">
        <f t="array" ref="C373">_xlfn.XLOOKUP(_xlfn.ANCHORARRAY(A373), TBL_Limiti_CDA[Data], TBL_Limiti_CDA[Etica Obbligazionario Breve Termine], , -1)</f>
        <v>0.5</v>
      </c>
      <c r="D373" cm="1">
        <f t="array" ref="D373">_xlfn.XLOOKUP(_xlfn.ANCHORARRAY(A373), TBL_Limiti_CDA[Data], TBL_Limiti_CDA[Etica Obbligazionario Misto], , -1)</f>
        <v>1</v>
      </c>
      <c r="E373" cm="1">
        <f t="array" ref="E373">_xlfn.XLOOKUP(_xlfn.ANCHORARRAY(A373), TBL_Limiti_CDA[Data], TBL_Limiti_CDA[Etica Bilanciato], , -1)</f>
        <v>3</v>
      </c>
      <c r="F373" cm="1">
        <f t="array" ref="F373">_xlfn.XLOOKUP(_xlfn.ANCHORARRAY(A373), TBL_Limiti_CDA[Data], TBL_Limiti_CDA[Etica Azionario], , -1)</f>
        <v>4.5</v>
      </c>
      <c r="G373" cm="1">
        <f t="array" ref="G373">_xlfn.XLOOKUP(_xlfn.ANCHORARRAY(A373), TBL_Limiti_CDA[Data], TBL_Limiti_CDA[Etica Transizione Climatica], , -1)</f>
        <v>3.5</v>
      </c>
      <c r="H373" cm="1">
        <f t="array" ref="H373">_xlfn.XLOOKUP(_xlfn.ANCHORARRAY(A373), TBL_Limiti_CDA[Data], TBL_Limiti_CDA[Etica Obiettivo Sociale], , -1)</f>
        <v>9.99</v>
      </c>
      <c r="I373" cm="1">
        <f t="array" ref="I373">_xlfn.XLOOKUP(_xlfn.ANCHORARRAY(A373), TBL_Limiti_CDA[Data], TBL_Limiti_CDA[Etica Conservative Allocation], , -1)</f>
        <v>1</v>
      </c>
      <c r="J373" cm="1">
        <f t="array" ref="J373">_xlfn.XLOOKUP(_xlfn.ANCHORARRAY(A373), TBL_Limiti_CDA[Data], TBL_Limiti_CDA[Etica Dynamic Allocation], , -1)</f>
        <v>3</v>
      </c>
      <c r="K373" cm="1">
        <f t="array" ref="K373">_xlfn.XLOOKUP(_xlfn.ANCHORARRAY(A373), TBL_Limiti_CDA[Data], TBL_Limiti_CDA[Etica Global Equity], , -1)</f>
        <v>4.5</v>
      </c>
      <c r="L373" cm="1">
        <f t="array" ref="L373">_xlfn.ANCHORARRAY(B373)+0.15</f>
        <v>2.65</v>
      </c>
      <c r="M373" cm="1">
        <f t="array" ref="M373">_xlfn.ANCHORARRAY(C373)+0.1</f>
        <v>0.6</v>
      </c>
      <c r="N373" cm="1">
        <f t="array" ref="N373">_xlfn.ANCHORARRAY(D373)+0.15</f>
        <v>1.1499999999999999</v>
      </c>
      <c r="O373" cm="1">
        <f t="array" ref="O373">_xlfn.ANCHORARRAY(E373)+0.15</f>
        <v>3.15</v>
      </c>
      <c r="P373" cm="1">
        <f t="array" ref="P373">_xlfn.ANCHORARRAY(F373)+0.15</f>
        <v>4.6500000000000004</v>
      </c>
      <c r="Q373" cm="1">
        <f t="array" ref="Q373">_xlfn.ANCHORARRAY(G373)+0.15</f>
        <v>3.65</v>
      </c>
      <c r="R373" cm="1">
        <f t="array" ref="R373">_xlfn.ANCHORARRAY(H373)</f>
        <v>9.99</v>
      </c>
      <c r="S373" cm="1">
        <f t="array" ref="S373">_xlfn.ANCHORARRAY(R373)+0.15</f>
        <v>10.14</v>
      </c>
      <c r="T373" cm="1">
        <f t="array" ref="T373">_xlfn.ANCHORARRAY(I373)+0.15</f>
        <v>1.1499999999999999</v>
      </c>
      <c r="U373" cm="1">
        <f t="array" ref="U373">_xlfn.ANCHORARRAY(J373)+0.15</f>
        <v>3.15</v>
      </c>
      <c r="V373" cm="1">
        <f t="array" ref="V373">_xlfn.ANCHORARRAY(K373)+0.15</f>
        <v>4.6500000000000004</v>
      </c>
      <c r="W373">
        <f>TBL_TEV[[#This Row],[Etica Rendita Bilanciata]]</f>
        <v>1.4826790000000001</v>
      </c>
      <c r="X373">
        <f>TBL_TEV[[#This Row],[Etica Obbligazionario Breve Termine]]</f>
        <v>0.344001</v>
      </c>
      <c r="Y373">
        <f>TBL_TEV[[#This Row],[Etica Obbligazionario Misto]]</f>
        <v>0.72641699999999998</v>
      </c>
      <c r="Z373">
        <f>TBL_TEV[[#This Row],[Etica Bilanciato]]</f>
        <v>2.138455</v>
      </c>
      <c r="AA373">
        <f>TBL_TEV[[#This Row],[Etica Azionario]]</f>
        <v>3.06759</v>
      </c>
      <c r="AB373">
        <f>TBL_TEV[[#This Row],[Etica Transizione Climatica]]</f>
        <v>2.2284630000000001</v>
      </c>
      <c r="AC373">
        <f>TBL_TEV[[#This Row],[Etica Obiettivo Sociale]]</f>
        <v>8.0153069579735714</v>
      </c>
      <c r="AD373">
        <f>TBL_TEV[[#This Row],[Etica Conservative Allocation]]</f>
        <v>0.68276300000000001</v>
      </c>
      <c r="AE373">
        <f>TBL_TEV[[#This Row],[Etica Dynamic Allocation]]</f>
        <v>2.1082930000000002</v>
      </c>
      <c r="AF373">
        <f>TBL_TEV[[#This Row],[Etica Global Equity]]</f>
        <v>3.10934</v>
      </c>
      <c r="AL373">
        <f ca="1"/>
        <v>1.48506</v>
      </c>
      <c r="AM373">
        <f ca="1"/>
        <v>0.34558800000000001</v>
      </c>
      <c r="AN373">
        <f ca="1"/>
        <v>0.72879899999999997</v>
      </c>
      <c r="AO373">
        <f ca="1"/>
        <v>2.1409950000000002</v>
      </c>
      <c r="AP373">
        <f ca="1"/>
        <v>3.0755270000000001</v>
      </c>
      <c r="AQ373">
        <f ca="1"/>
        <v>2.2400519999999999</v>
      </c>
      <c r="AR373">
        <f ca="1"/>
        <v>8.1342653535021956</v>
      </c>
      <c r="AS373">
        <f ca="1"/>
        <v>0.682921</v>
      </c>
      <c r="AT373">
        <f ca="1"/>
        <v>2.1097220000000001</v>
      </c>
      <c r="AU373">
        <f ca="1"/>
        <v>3.1182300000000001</v>
      </c>
    </row>
    <row r="374" spans="1:47">
      <c r="A374" s="43">
        <f>TBL_TEV[[#This Row],[Data2]]</f>
        <v>45826</v>
      </c>
      <c r="B374" cm="1">
        <f t="array" ref="B374">_xlfn.XLOOKUP(_xlfn.ANCHORARRAY(A374), TBL_Limiti_CDA[Data], TBL_Limiti_CDA[Etica Rendita Bilanciata], , -1)</f>
        <v>2.5</v>
      </c>
      <c r="C374" cm="1">
        <f t="array" ref="C374">_xlfn.XLOOKUP(_xlfn.ANCHORARRAY(A374), TBL_Limiti_CDA[Data], TBL_Limiti_CDA[Etica Obbligazionario Breve Termine], , -1)</f>
        <v>0.5</v>
      </c>
      <c r="D374" cm="1">
        <f t="array" ref="D374">_xlfn.XLOOKUP(_xlfn.ANCHORARRAY(A374), TBL_Limiti_CDA[Data], TBL_Limiti_CDA[Etica Obbligazionario Misto], , -1)</f>
        <v>1</v>
      </c>
      <c r="E374" cm="1">
        <f t="array" ref="E374">_xlfn.XLOOKUP(_xlfn.ANCHORARRAY(A374), TBL_Limiti_CDA[Data], TBL_Limiti_CDA[Etica Bilanciato], , -1)</f>
        <v>3</v>
      </c>
      <c r="F374" cm="1">
        <f t="array" ref="F374">_xlfn.XLOOKUP(_xlfn.ANCHORARRAY(A374), TBL_Limiti_CDA[Data], TBL_Limiti_CDA[Etica Azionario], , -1)</f>
        <v>4.5</v>
      </c>
      <c r="G374" cm="1">
        <f t="array" ref="G374">_xlfn.XLOOKUP(_xlfn.ANCHORARRAY(A374), TBL_Limiti_CDA[Data], TBL_Limiti_CDA[Etica Transizione Climatica], , -1)</f>
        <v>3.5</v>
      </c>
      <c r="H374" cm="1">
        <f t="array" ref="H374">_xlfn.XLOOKUP(_xlfn.ANCHORARRAY(A374), TBL_Limiti_CDA[Data], TBL_Limiti_CDA[Etica Obiettivo Sociale], , -1)</f>
        <v>9.99</v>
      </c>
      <c r="I374" cm="1">
        <f t="array" ref="I374">_xlfn.XLOOKUP(_xlfn.ANCHORARRAY(A374), TBL_Limiti_CDA[Data], TBL_Limiti_CDA[Etica Conservative Allocation], , -1)</f>
        <v>1</v>
      </c>
      <c r="J374" cm="1">
        <f t="array" ref="J374">_xlfn.XLOOKUP(_xlfn.ANCHORARRAY(A374), TBL_Limiti_CDA[Data], TBL_Limiti_CDA[Etica Dynamic Allocation], , -1)</f>
        <v>3</v>
      </c>
      <c r="K374" cm="1">
        <f t="array" ref="K374">_xlfn.XLOOKUP(_xlfn.ANCHORARRAY(A374), TBL_Limiti_CDA[Data], TBL_Limiti_CDA[Etica Global Equity], , -1)</f>
        <v>4.5</v>
      </c>
      <c r="L374" cm="1">
        <f t="array" ref="L374">_xlfn.ANCHORARRAY(B374)+0.15</f>
        <v>2.65</v>
      </c>
      <c r="M374" cm="1">
        <f t="array" ref="M374">_xlfn.ANCHORARRAY(C374)+0.1</f>
        <v>0.6</v>
      </c>
      <c r="N374" cm="1">
        <f t="array" ref="N374">_xlfn.ANCHORARRAY(D374)+0.15</f>
        <v>1.1499999999999999</v>
      </c>
      <c r="O374" cm="1">
        <f t="array" ref="O374">_xlfn.ANCHORARRAY(E374)+0.15</f>
        <v>3.15</v>
      </c>
      <c r="P374" cm="1">
        <f t="array" ref="P374">_xlfn.ANCHORARRAY(F374)+0.15</f>
        <v>4.6500000000000004</v>
      </c>
      <c r="Q374" cm="1">
        <f t="array" ref="Q374">_xlfn.ANCHORARRAY(G374)+0.15</f>
        <v>3.65</v>
      </c>
      <c r="R374" cm="1">
        <f t="array" ref="R374">_xlfn.ANCHORARRAY(H374)</f>
        <v>9.99</v>
      </c>
      <c r="S374" cm="1">
        <f t="array" ref="S374">_xlfn.ANCHORARRAY(R374)+0.15</f>
        <v>10.14</v>
      </c>
      <c r="T374" cm="1">
        <f t="array" ref="T374">_xlfn.ANCHORARRAY(I374)+0.15</f>
        <v>1.1499999999999999</v>
      </c>
      <c r="U374" cm="1">
        <f t="array" ref="U374">_xlfn.ANCHORARRAY(J374)+0.15</f>
        <v>3.15</v>
      </c>
      <c r="V374" cm="1">
        <f t="array" ref="V374">_xlfn.ANCHORARRAY(K374)+0.15</f>
        <v>4.6500000000000004</v>
      </c>
      <c r="W374">
        <f>TBL_TEV[[#This Row],[Etica Rendita Bilanciata]]</f>
        <v>1.48506</v>
      </c>
      <c r="X374">
        <f>TBL_TEV[[#This Row],[Etica Obbligazionario Breve Termine]]</f>
        <v>0.34558800000000001</v>
      </c>
      <c r="Y374">
        <f>TBL_TEV[[#This Row],[Etica Obbligazionario Misto]]</f>
        <v>0.72879899999999997</v>
      </c>
      <c r="Z374">
        <f>TBL_TEV[[#This Row],[Etica Bilanciato]]</f>
        <v>2.1409950000000002</v>
      </c>
      <c r="AA374">
        <f>TBL_TEV[[#This Row],[Etica Azionario]]</f>
        <v>3.0755270000000001</v>
      </c>
      <c r="AB374">
        <f>TBL_TEV[[#This Row],[Etica Transizione Climatica]]</f>
        <v>2.2400519999999999</v>
      </c>
      <c r="AC374">
        <f>TBL_TEV[[#This Row],[Etica Obiettivo Sociale]]</f>
        <v>8.1342653535021956</v>
      </c>
      <c r="AD374">
        <f>TBL_TEV[[#This Row],[Etica Conservative Allocation]]</f>
        <v>0.682921</v>
      </c>
      <c r="AE374">
        <f>TBL_TEV[[#This Row],[Etica Dynamic Allocation]]</f>
        <v>2.1097220000000001</v>
      </c>
      <c r="AF374">
        <f>TBL_TEV[[#This Row],[Etica Global Equity]]</f>
        <v>3.1182300000000001</v>
      </c>
      <c r="AL374">
        <f ca="1"/>
        <v>1.5042679999999999</v>
      </c>
      <c r="AM374">
        <f ca="1"/>
        <v>0.34479399999999999</v>
      </c>
      <c r="AN374">
        <f ca="1"/>
        <v>0.75689700000000004</v>
      </c>
      <c r="AO374">
        <f ca="1"/>
        <v>2.1457570000000001</v>
      </c>
      <c r="AP374">
        <f ca="1"/>
        <v>3.0645739999999999</v>
      </c>
      <c r="AQ374">
        <f ca="1"/>
        <v>2.2483070000000001</v>
      </c>
      <c r="AR374">
        <f ca="1"/>
        <v>7.9244261192097749</v>
      </c>
      <c r="AS374">
        <f ca="1"/>
        <v>0.67879400000000001</v>
      </c>
      <c r="AT374">
        <f ca="1"/>
        <v>2.105912</v>
      </c>
      <c r="AU374">
        <f ca="1"/>
        <v>3.1099749999999999</v>
      </c>
    </row>
    <row r="375" spans="1:47">
      <c r="A375" s="43">
        <f>TBL_TEV[[#This Row],[Data2]]</f>
        <v>45827</v>
      </c>
      <c r="B375" cm="1">
        <f t="array" ref="B375">_xlfn.XLOOKUP(_xlfn.ANCHORARRAY(A375), TBL_Limiti_CDA[Data], TBL_Limiti_CDA[Etica Rendita Bilanciata], , -1)</f>
        <v>2.5</v>
      </c>
      <c r="C375" cm="1">
        <f t="array" ref="C375">_xlfn.XLOOKUP(_xlfn.ANCHORARRAY(A375), TBL_Limiti_CDA[Data], TBL_Limiti_CDA[Etica Obbligazionario Breve Termine], , -1)</f>
        <v>0.5</v>
      </c>
      <c r="D375" cm="1">
        <f t="array" ref="D375">_xlfn.XLOOKUP(_xlfn.ANCHORARRAY(A375), TBL_Limiti_CDA[Data], TBL_Limiti_CDA[Etica Obbligazionario Misto], , -1)</f>
        <v>1</v>
      </c>
      <c r="E375" cm="1">
        <f t="array" ref="E375">_xlfn.XLOOKUP(_xlfn.ANCHORARRAY(A375), TBL_Limiti_CDA[Data], TBL_Limiti_CDA[Etica Bilanciato], , -1)</f>
        <v>3</v>
      </c>
      <c r="F375" cm="1">
        <f t="array" ref="F375">_xlfn.XLOOKUP(_xlfn.ANCHORARRAY(A375), TBL_Limiti_CDA[Data], TBL_Limiti_CDA[Etica Azionario], , -1)</f>
        <v>4.5</v>
      </c>
      <c r="G375" cm="1">
        <f t="array" ref="G375">_xlfn.XLOOKUP(_xlfn.ANCHORARRAY(A375), TBL_Limiti_CDA[Data], TBL_Limiti_CDA[Etica Transizione Climatica], , -1)</f>
        <v>3.5</v>
      </c>
      <c r="H375" cm="1">
        <f t="array" ref="H375">_xlfn.XLOOKUP(_xlfn.ANCHORARRAY(A375), TBL_Limiti_CDA[Data], TBL_Limiti_CDA[Etica Obiettivo Sociale], , -1)</f>
        <v>9.99</v>
      </c>
      <c r="I375" cm="1">
        <f t="array" ref="I375">_xlfn.XLOOKUP(_xlfn.ANCHORARRAY(A375), TBL_Limiti_CDA[Data], TBL_Limiti_CDA[Etica Conservative Allocation], , -1)</f>
        <v>1</v>
      </c>
      <c r="J375" cm="1">
        <f t="array" ref="J375">_xlfn.XLOOKUP(_xlfn.ANCHORARRAY(A375), TBL_Limiti_CDA[Data], TBL_Limiti_CDA[Etica Dynamic Allocation], , -1)</f>
        <v>3</v>
      </c>
      <c r="K375" cm="1">
        <f t="array" ref="K375">_xlfn.XLOOKUP(_xlfn.ANCHORARRAY(A375), TBL_Limiti_CDA[Data], TBL_Limiti_CDA[Etica Global Equity], , -1)</f>
        <v>4.5</v>
      </c>
      <c r="L375" cm="1">
        <f t="array" ref="L375">_xlfn.ANCHORARRAY(B375)+0.15</f>
        <v>2.65</v>
      </c>
      <c r="M375" cm="1">
        <f t="array" ref="M375">_xlfn.ANCHORARRAY(C375)+0.1</f>
        <v>0.6</v>
      </c>
      <c r="N375" cm="1">
        <f t="array" ref="N375">_xlfn.ANCHORARRAY(D375)+0.15</f>
        <v>1.1499999999999999</v>
      </c>
      <c r="O375" cm="1">
        <f t="array" ref="O375">_xlfn.ANCHORARRAY(E375)+0.15</f>
        <v>3.15</v>
      </c>
      <c r="P375" cm="1">
        <f t="array" ref="P375">_xlfn.ANCHORARRAY(F375)+0.15</f>
        <v>4.6500000000000004</v>
      </c>
      <c r="Q375" cm="1">
        <f t="array" ref="Q375">_xlfn.ANCHORARRAY(G375)+0.15</f>
        <v>3.65</v>
      </c>
      <c r="R375" cm="1">
        <f t="array" ref="R375">_xlfn.ANCHORARRAY(H375)</f>
        <v>9.99</v>
      </c>
      <c r="S375" cm="1">
        <f t="array" ref="S375">_xlfn.ANCHORARRAY(R375)+0.15</f>
        <v>10.14</v>
      </c>
      <c r="T375" cm="1">
        <f t="array" ref="T375">_xlfn.ANCHORARRAY(I375)+0.15</f>
        <v>1.1499999999999999</v>
      </c>
      <c r="U375" cm="1">
        <f t="array" ref="U375">_xlfn.ANCHORARRAY(J375)+0.15</f>
        <v>3.15</v>
      </c>
      <c r="V375" cm="1">
        <f t="array" ref="V375">_xlfn.ANCHORARRAY(K375)+0.15</f>
        <v>4.6500000000000004</v>
      </c>
      <c r="W375">
        <f>TBL_TEV[[#This Row],[Etica Rendita Bilanciata]]</f>
        <v>1.5042679999999999</v>
      </c>
      <c r="X375">
        <f>TBL_TEV[[#This Row],[Etica Obbligazionario Breve Termine]]</f>
        <v>0.34479399999999999</v>
      </c>
      <c r="Y375">
        <f>TBL_TEV[[#This Row],[Etica Obbligazionario Misto]]</f>
        <v>0.75689700000000004</v>
      </c>
      <c r="Z375">
        <f>TBL_TEV[[#This Row],[Etica Bilanciato]]</f>
        <v>2.1457570000000001</v>
      </c>
      <c r="AA375">
        <f>TBL_TEV[[#This Row],[Etica Azionario]]</f>
        <v>3.0645739999999999</v>
      </c>
      <c r="AB375">
        <f>TBL_TEV[[#This Row],[Etica Transizione Climatica]]</f>
        <v>2.2483070000000001</v>
      </c>
      <c r="AC375">
        <f>TBL_TEV[[#This Row],[Etica Obiettivo Sociale]]</f>
        <v>7.9244261192097749</v>
      </c>
      <c r="AD375">
        <f>TBL_TEV[[#This Row],[Etica Conservative Allocation]]</f>
        <v>0.67879400000000001</v>
      </c>
      <c r="AE375">
        <f>TBL_TEV[[#This Row],[Etica Dynamic Allocation]]</f>
        <v>2.105912</v>
      </c>
      <c r="AF375">
        <f>TBL_TEV[[#This Row],[Etica Global Equity]]</f>
        <v>3.1099749999999999</v>
      </c>
      <c r="AL375">
        <f ca="1"/>
        <v>1.5003</v>
      </c>
      <c r="AM375">
        <f ca="1"/>
        <v>0.34273100000000001</v>
      </c>
      <c r="AN375">
        <f ca="1"/>
        <v>0.75768999999999997</v>
      </c>
      <c r="AO375">
        <f ca="1"/>
        <v>2.134169</v>
      </c>
      <c r="AP375">
        <f ca="1"/>
        <v>3.0515569999999999</v>
      </c>
      <c r="AQ375">
        <f ca="1"/>
        <v>2.23021</v>
      </c>
      <c r="AR375">
        <f ca="1"/>
        <v>7.9960313258430151</v>
      </c>
      <c r="AS375">
        <f ca="1"/>
        <v>0.67958799999999997</v>
      </c>
      <c r="AT375">
        <f ca="1"/>
        <v>2.0916250000000001</v>
      </c>
      <c r="AU375">
        <f ca="1"/>
        <v>3.0925129999999998</v>
      </c>
    </row>
    <row r="376" spans="1:47">
      <c r="A376" s="43">
        <f>TBL_TEV[[#This Row],[Data2]]</f>
        <v>45828</v>
      </c>
      <c r="B376" cm="1">
        <f t="array" ref="B376">_xlfn.XLOOKUP(_xlfn.ANCHORARRAY(A376), TBL_Limiti_CDA[Data], TBL_Limiti_CDA[Etica Rendita Bilanciata], , -1)</f>
        <v>2.5</v>
      </c>
      <c r="C376" cm="1">
        <f t="array" ref="C376">_xlfn.XLOOKUP(_xlfn.ANCHORARRAY(A376), TBL_Limiti_CDA[Data], TBL_Limiti_CDA[Etica Obbligazionario Breve Termine], , -1)</f>
        <v>0.5</v>
      </c>
      <c r="D376" cm="1">
        <f t="array" ref="D376">_xlfn.XLOOKUP(_xlfn.ANCHORARRAY(A376), TBL_Limiti_CDA[Data], TBL_Limiti_CDA[Etica Obbligazionario Misto], , -1)</f>
        <v>1</v>
      </c>
      <c r="E376" cm="1">
        <f t="array" ref="E376">_xlfn.XLOOKUP(_xlfn.ANCHORARRAY(A376), TBL_Limiti_CDA[Data], TBL_Limiti_CDA[Etica Bilanciato], , -1)</f>
        <v>3</v>
      </c>
      <c r="F376" cm="1">
        <f t="array" ref="F376">_xlfn.XLOOKUP(_xlfn.ANCHORARRAY(A376), TBL_Limiti_CDA[Data], TBL_Limiti_CDA[Etica Azionario], , -1)</f>
        <v>4.5</v>
      </c>
      <c r="G376" cm="1">
        <f t="array" ref="G376">_xlfn.XLOOKUP(_xlfn.ANCHORARRAY(A376), TBL_Limiti_CDA[Data], TBL_Limiti_CDA[Etica Transizione Climatica], , -1)</f>
        <v>3.5</v>
      </c>
      <c r="H376" cm="1">
        <f t="array" ref="H376">_xlfn.XLOOKUP(_xlfn.ANCHORARRAY(A376), TBL_Limiti_CDA[Data], TBL_Limiti_CDA[Etica Obiettivo Sociale], , -1)</f>
        <v>9.99</v>
      </c>
      <c r="I376" cm="1">
        <f t="array" ref="I376">_xlfn.XLOOKUP(_xlfn.ANCHORARRAY(A376), TBL_Limiti_CDA[Data], TBL_Limiti_CDA[Etica Conservative Allocation], , -1)</f>
        <v>1</v>
      </c>
      <c r="J376" cm="1">
        <f t="array" ref="J376">_xlfn.XLOOKUP(_xlfn.ANCHORARRAY(A376), TBL_Limiti_CDA[Data], TBL_Limiti_CDA[Etica Dynamic Allocation], , -1)</f>
        <v>3</v>
      </c>
      <c r="K376" cm="1">
        <f t="array" ref="K376">_xlfn.XLOOKUP(_xlfn.ANCHORARRAY(A376), TBL_Limiti_CDA[Data], TBL_Limiti_CDA[Etica Global Equity], , -1)</f>
        <v>4.5</v>
      </c>
      <c r="L376" cm="1">
        <f t="array" ref="L376">_xlfn.ANCHORARRAY(B376)+0.15</f>
        <v>2.65</v>
      </c>
      <c r="M376" cm="1">
        <f t="array" ref="M376">_xlfn.ANCHORARRAY(C376)+0.1</f>
        <v>0.6</v>
      </c>
      <c r="N376" cm="1">
        <f t="array" ref="N376">_xlfn.ANCHORARRAY(D376)+0.15</f>
        <v>1.1499999999999999</v>
      </c>
      <c r="O376" cm="1">
        <f t="array" ref="O376">_xlfn.ANCHORARRAY(E376)+0.15</f>
        <v>3.15</v>
      </c>
      <c r="P376" cm="1">
        <f t="array" ref="P376">_xlfn.ANCHORARRAY(F376)+0.15</f>
        <v>4.6500000000000004</v>
      </c>
      <c r="Q376" cm="1">
        <f t="array" ref="Q376">_xlfn.ANCHORARRAY(G376)+0.15</f>
        <v>3.65</v>
      </c>
      <c r="R376" cm="1">
        <f t="array" ref="R376">_xlfn.ANCHORARRAY(H376)</f>
        <v>9.99</v>
      </c>
      <c r="S376" cm="1">
        <f t="array" ref="S376">_xlfn.ANCHORARRAY(R376)+0.15</f>
        <v>10.14</v>
      </c>
      <c r="T376" cm="1">
        <f t="array" ref="T376">_xlfn.ANCHORARRAY(I376)+0.15</f>
        <v>1.1499999999999999</v>
      </c>
      <c r="U376" cm="1">
        <f t="array" ref="U376">_xlfn.ANCHORARRAY(J376)+0.15</f>
        <v>3.15</v>
      </c>
      <c r="V376" cm="1">
        <f t="array" ref="V376">_xlfn.ANCHORARRAY(K376)+0.15</f>
        <v>4.6500000000000004</v>
      </c>
      <c r="W376">
        <f>TBL_TEV[[#This Row],[Etica Rendita Bilanciata]]</f>
        <v>1.5003</v>
      </c>
      <c r="X376">
        <f>TBL_TEV[[#This Row],[Etica Obbligazionario Breve Termine]]</f>
        <v>0.34273100000000001</v>
      </c>
      <c r="Y376">
        <f>TBL_TEV[[#This Row],[Etica Obbligazionario Misto]]</f>
        <v>0.75768999999999997</v>
      </c>
      <c r="Z376">
        <f>TBL_TEV[[#This Row],[Etica Bilanciato]]</f>
        <v>2.134169</v>
      </c>
      <c r="AA376">
        <f>TBL_TEV[[#This Row],[Etica Azionario]]</f>
        <v>3.0515569999999999</v>
      </c>
      <c r="AB376">
        <f>TBL_TEV[[#This Row],[Etica Transizione Climatica]]</f>
        <v>2.23021</v>
      </c>
      <c r="AC376">
        <f>TBL_TEV[[#This Row],[Etica Obiettivo Sociale]]</f>
        <v>7.9960313258430151</v>
      </c>
      <c r="AD376">
        <f>TBL_TEV[[#This Row],[Etica Conservative Allocation]]</f>
        <v>0.67958799999999997</v>
      </c>
      <c r="AE376">
        <f>TBL_TEV[[#This Row],[Etica Dynamic Allocation]]</f>
        <v>2.0916250000000001</v>
      </c>
      <c r="AF376">
        <f>TBL_TEV[[#This Row],[Etica Global Equity]]</f>
        <v>3.0925129999999998</v>
      </c>
      <c r="AL376">
        <f ca="1"/>
        <v>1.501887</v>
      </c>
      <c r="AM376">
        <f ca="1"/>
        <v>0.34098400000000001</v>
      </c>
      <c r="AN376">
        <f ca="1"/>
        <v>0.75594399999999995</v>
      </c>
      <c r="AO376">
        <f ca="1"/>
        <v>2.1275019999999998</v>
      </c>
      <c r="AP376">
        <f ca="1"/>
        <v>3.0406029999999999</v>
      </c>
      <c r="AQ376">
        <f ca="1"/>
        <v>2.2357659999999999</v>
      </c>
      <c r="AR376">
        <f ca="1"/>
        <v>7.9671575882395347</v>
      </c>
      <c r="AS376">
        <f ca="1"/>
        <v>0.67514300000000005</v>
      </c>
      <c r="AT376">
        <f ca="1"/>
        <v>2.0814650000000001</v>
      </c>
      <c r="AU376">
        <f ca="1"/>
        <v>3.077591</v>
      </c>
    </row>
    <row r="377" spans="1:47">
      <c r="A377" s="43">
        <f>TBL_TEV[[#This Row],[Data2]]</f>
        <v>45831</v>
      </c>
      <c r="B377" cm="1">
        <f t="array" ref="B377">_xlfn.XLOOKUP(_xlfn.ANCHORARRAY(A377), TBL_Limiti_CDA[Data], TBL_Limiti_CDA[Etica Rendita Bilanciata], , -1)</f>
        <v>2.5</v>
      </c>
      <c r="C377" cm="1">
        <f t="array" ref="C377">_xlfn.XLOOKUP(_xlfn.ANCHORARRAY(A377), TBL_Limiti_CDA[Data], TBL_Limiti_CDA[Etica Obbligazionario Breve Termine], , -1)</f>
        <v>0.5</v>
      </c>
      <c r="D377" cm="1">
        <f t="array" ref="D377">_xlfn.XLOOKUP(_xlfn.ANCHORARRAY(A377), TBL_Limiti_CDA[Data], TBL_Limiti_CDA[Etica Obbligazionario Misto], , -1)</f>
        <v>1</v>
      </c>
      <c r="E377" cm="1">
        <f t="array" ref="E377">_xlfn.XLOOKUP(_xlfn.ANCHORARRAY(A377), TBL_Limiti_CDA[Data], TBL_Limiti_CDA[Etica Bilanciato], , -1)</f>
        <v>3</v>
      </c>
      <c r="F377" cm="1">
        <f t="array" ref="F377">_xlfn.XLOOKUP(_xlfn.ANCHORARRAY(A377), TBL_Limiti_CDA[Data], TBL_Limiti_CDA[Etica Azionario], , -1)</f>
        <v>4.5</v>
      </c>
      <c r="G377" cm="1">
        <f t="array" ref="G377">_xlfn.XLOOKUP(_xlfn.ANCHORARRAY(A377), TBL_Limiti_CDA[Data], TBL_Limiti_CDA[Etica Transizione Climatica], , -1)</f>
        <v>3.5</v>
      </c>
      <c r="H377" cm="1">
        <f t="array" ref="H377">_xlfn.XLOOKUP(_xlfn.ANCHORARRAY(A377), TBL_Limiti_CDA[Data], TBL_Limiti_CDA[Etica Obiettivo Sociale], , -1)</f>
        <v>9.99</v>
      </c>
      <c r="I377" cm="1">
        <f t="array" ref="I377">_xlfn.XLOOKUP(_xlfn.ANCHORARRAY(A377), TBL_Limiti_CDA[Data], TBL_Limiti_CDA[Etica Conservative Allocation], , -1)</f>
        <v>1</v>
      </c>
      <c r="J377" cm="1">
        <f t="array" ref="J377">_xlfn.XLOOKUP(_xlfn.ANCHORARRAY(A377), TBL_Limiti_CDA[Data], TBL_Limiti_CDA[Etica Dynamic Allocation], , -1)</f>
        <v>3</v>
      </c>
      <c r="K377" cm="1">
        <f t="array" ref="K377">_xlfn.XLOOKUP(_xlfn.ANCHORARRAY(A377), TBL_Limiti_CDA[Data], TBL_Limiti_CDA[Etica Global Equity], , -1)</f>
        <v>4.5</v>
      </c>
      <c r="L377" cm="1">
        <f t="array" ref="L377">_xlfn.ANCHORARRAY(B377)+0.15</f>
        <v>2.65</v>
      </c>
      <c r="M377" cm="1">
        <f t="array" ref="M377">_xlfn.ANCHORARRAY(C377)+0.1</f>
        <v>0.6</v>
      </c>
      <c r="N377" cm="1">
        <f t="array" ref="N377">_xlfn.ANCHORARRAY(D377)+0.15</f>
        <v>1.1499999999999999</v>
      </c>
      <c r="O377" cm="1">
        <f t="array" ref="O377">_xlfn.ANCHORARRAY(E377)+0.15</f>
        <v>3.15</v>
      </c>
      <c r="P377" cm="1">
        <f t="array" ref="P377">_xlfn.ANCHORARRAY(F377)+0.15</f>
        <v>4.6500000000000004</v>
      </c>
      <c r="Q377" cm="1">
        <f t="array" ref="Q377">_xlfn.ANCHORARRAY(G377)+0.15</f>
        <v>3.65</v>
      </c>
      <c r="R377" cm="1">
        <f t="array" ref="R377">_xlfn.ANCHORARRAY(H377)</f>
        <v>9.99</v>
      </c>
      <c r="S377" cm="1">
        <f t="array" ref="S377">_xlfn.ANCHORARRAY(R377)+0.15</f>
        <v>10.14</v>
      </c>
      <c r="T377" cm="1">
        <f t="array" ref="T377">_xlfn.ANCHORARRAY(I377)+0.15</f>
        <v>1.1499999999999999</v>
      </c>
      <c r="U377" cm="1">
        <f t="array" ref="U377">_xlfn.ANCHORARRAY(J377)+0.15</f>
        <v>3.15</v>
      </c>
      <c r="V377" cm="1">
        <f t="array" ref="V377">_xlfn.ANCHORARRAY(K377)+0.15</f>
        <v>4.6500000000000004</v>
      </c>
      <c r="W377">
        <f>TBL_TEV[[#This Row],[Etica Rendita Bilanciata]]</f>
        <v>1.501887</v>
      </c>
      <c r="X377">
        <f>TBL_TEV[[#This Row],[Etica Obbligazionario Breve Termine]]</f>
        <v>0.34098400000000001</v>
      </c>
      <c r="Y377">
        <f>TBL_TEV[[#This Row],[Etica Obbligazionario Misto]]</f>
        <v>0.75594399999999995</v>
      </c>
      <c r="Z377">
        <f>TBL_TEV[[#This Row],[Etica Bilanciato]]</f>
        <v>2.1275019999999998</v>
      </c>
      <c r="AA377">
        <f>TBL_TEV[[#This Row],[Etica Azionario]]</f>
        <v>3.0406029999999999</v>
      </c>
      <c r="AB377">
        <f>TBL_TEV[[#This Row],[Etica Transizione Climatica]]</f>
        <v>2.2357659999999999</v>
      </c>
      <c r="AC377">
        <f>TBL_TEV[[#This Row],[Etica Obiettivo Sociale]]</f>
        <v>7.9671575882395347</v>
      </c>
      <c r="AD377">
        <f>TBL_TEV[[#This Row],[Etica Conservative Allocation]]</f>
        <v>0.67514300000000005</v>
      </c>
      <c r="AE377">
        <f>TBL_TEV[[#This Row],[Etica Dynamic Allocation]]</f>
        <v>2.0814650000000001</v>
      </c>
      <c r="AF377">
        <f>TBL_TEV[[#This Row],[Etica Global Equity]]</f>
        <v>3.077591</v>
      </c>
      <c r="AL377">
        <f ca="1"/>
        <v>1.513952</v>
      </c>
      <c r="AM377">
        <f ca="1"/>
        <v>0.34050799999999998</v>
      </c>
      <c r="AN377">
        <f ca="1"/>
        <v>0.76229400000000003</v>
      </c>
      <c r="AO377">
        <f ca="1"/>
        <v>2.1636950000000001</v>
      </c>
      <c r="AP377">
        <f ca="1"/>
        <v>3.0660020000000001</v>
      </c>
      <c r="AQ377">
        <f ca="1"/>
        <v>2.2141760000000001</v>
      </c>
      <c r="AR377">
        <f ca="1"/>
        <v>8.0267599272448038</v>
      </c>
      <c r="AS377">
        <f ca="1"/>
        <v>0.670539</v>
      </c>
      <c r="AT377">
        <f ca="1"/>
        <v>2.0781320000000001</v>
      </c>
      <c r="AU377">
        <f ca="1"/>
        <v>3.0701299999999998</v>
      </c>
    </row>
    <row r="378" spans="1:47">
      <c r="A378" s="43">
        <f>TBL_TEV[[#This Row],[Data2]]</f>
        <v>45832</v>
      </c>
      <c r="B378" cm="1">
        <f t="array" ref="B378">_xlfn.XLOOKUP(_xlfn.ANCHORARRAY(A378), TBL_Limiti_CDA[Data], TBL_Limiti_CDA[Etica Rendita Bilanciata], , -1)</f>
        <v>2.5</v>
      </c>
      <c r="C378" cm="1">
        <f t="array" ref="C378">_xlfn.XLOOKUP(_xlfn.ANCHORARRAY(A378), TBL_Limiti_CDA[Data], TBL_Limiti_CDA[Etica Obbligazionario Breve Termine], , -1)</f>
        <v>0.5</v>
      </c>
      <c r="D378" cm="1">
        <f t="array" ref="D378">_xlfn.XLOOKUP(_xlfn.ANCHORARRAY(A378), TBL_Limiti_CDA[Data], TBL_Limiti_CDA[Etica Obbligazionario Misto], , -1)</f>
        <v>1</v>
      </c>
      <c r="E378" cm="1">
        <f t="array" ref="E378">_xlfn.XLOOKUP(_xlfn.ANCHORARRAY(A378), TBL_Limiti_CDA[Data], TBL_Limiti_CDA[Etica Bilanciato], , -1)</f>
        <v>3</v>
      </c>
      <c r="F378" cm="1">
        <f t="array" ref="F378">_xlfn.XLOOKUP(_xlfn.ANCHORARRAY(A378), TBL_Limiti_CDA[Data], TBL_Limiti_CDA[Etica Azionario], , -1)</f>
        <v>4.5</v>
      </c>
      <c r="G378" cm="1">
        <f t="array" ref="G378">_xlfn.XLOOKUP(_xlfn.ANCHORARRAY(A378), TBL_Limiti_CDA[Data], TBL_Limiti_CDA[Etica Transizione Climatica], , -1)</f>
        <v>3.5</v>
      </c>
      <c r="H378" cm="1">
        <f t="array" ref="H378">_xlfn.XLOOKUP(_xlfn.ANCHORARRAY(A378), TBL_Limiti_CDA[Data], TBL_Limiti_CDA[Etica Obiettivo Sociale], , -1)</f>
        <v>9.99</v>
      </c>
      <c r="I378" cm="1">
        <f t="array" ref="I378">_xlfn.XLOOKUP(_xlfn.ANCHORARRAY(A378), TBL_Limiti_CDA[Data], TBL_Limiti_CDA[Etica Conservative Allocation], , -1)</f>
        <v>1</v>
      </c>
      <c r="J378" cm="1">
        <f t="array" ref="J378">_xlfn.XLOOKUP(_xlfn.ANCHORARRAY(A378), TBL_Limiti_CDA[Data], TBL_Limiti_CDA[Etica Dynamic Allocation], , -1)</f>
        <v>3</v>
      </c>
      <c r="K378" cm="1">
        <f t="array" ref="K378">_xlfn.XLOOKUP(_xlfn.ANCHORARRAY(A378), TBL_Limiti_CDA[Data], TBL_Limiti_CDA[Etica Global Equity], , -1)</f>
        <v>4.5</v>
      </c>
      <c r="L378" cm="1">
        <f t="array" ref="L378">_xlfn.ANCHORARRAY(B378)+0.15</f>
        <v>2.65</v>
      </c>
      <c r="M378" cm="1">
        <f t="array" ref="M378">_xlfn.ANCHORARRAY(C378)+0.1</f>
        <v>0.6</v>
      </c>
      <c r="N378" cm="1">
        <f t="array" ref="N378">_xlfn.ANCHORARRAY(D378)+0.15</f>
        <v>1.1499999999999999</v>
      </c>
      <c r="O378" cm="1">
        <f t="array" ref="O378">_xlfn.ANCHORARRAY(E378)+0.15</f>
        <v>3.15</v>
      </c>
      <c r="P378" cm="1">
        <f t="array" ref="P378">_xlfn.ANCHORARRAY(F378)+0.15</f>
        <v>4.6500000000000004</v>
      </c>
      <c r="Q378" cm="1">
        <f t="array" ref="Q378">_xlfn.ANCHORARRAY(G378)+0.15</f>
        <v>3.65</v>
      </c>
      <c r="R378" cm="1">
        <f t="array" ref="R378">_xlfn.ANCHORARRAY(H378)</f>
        <v>9.99</v>
      </c>
      <c r="S378" cm="1">
        <f t="array" ref="S378">_xlfn.ANCHORARRAY(R378)+0.15</f>
        <v>10.14</v>
      </c>
      <c r="T378" cm="1">
        <f t="array" ref="T378">_xlfn.ANCHORARRAY(I378)+0.15</f>
        <v>1.1499999999999999</v>
      </c>
      <c r="U378" cm="1">
        <f t="array" ref="U378">_xlfn.ANCHORARRAY(J378)+0.15</f>
        <v>3.15</v>
      </c>
      <c r="V378" cm="1">
        <f t="array" ref="V378">_xlfn.ANCHORARRAY(K378)+0.15</f>
        <v>4.6500000000000004</v>
      </c>
      <c r="W378">
        <f>TBL_TEV[[#This Row],[Etica Rendita Bilanciata]]</f>
        <v>1.513952</v>
      </c>
      <c r="X378">
        <f>TBL_TEV[[#This Row],[Etica Obbligazionario Breve Termine]]</f>
        <v>0.34050799999999998</v>
      </c>
      <c r="Y378">
        <f>TBL_TEV[[#This Row],[Etica Obbligazionario Misto]]</f>
        <v>0.76229400000000003</v>
      </c>
      <c r="Z378">
        <f>TBL_TEV[[#This Row],[Etica Bilanciato]]</f>
        <v>2.1636950000000001</v>
      </c>
      <c r="AA378">
        <f>TBL_TEV[[#This Row],[Etica Azionario]]</f>
        <v>3.0660020000000001</v>
      </c>
      <c r="AB378">
        <f>TBL_TEV[[#This Row],[Etica Transizione Climatica]]</f>
        <v>2.2141760000000001</v>
      </c>
      <c r="AC378">
        <f>TBL_TEV[[#This Row],[Etica Obiettivo Sociale]]</f>
        <v>8.0267599272448038</v>
      </c>
      <c r="AD378">
        <f>TBL_TEV[[#This Row],[Etica Conservative Allocation]]</f>
        <v>0.670539</v>
      </c>
      <c r="AE378">
        <f>TBL_TEV[[#This Row],[Etica Dynamic Allocation]]</f>
        <v>2.0781320000000001</v>
      </c>
      <c r="AF378">
        <f>TBL_TEV[[#This Row],[Etica Global Equity]]</f>
        <v>3.0701299999999998</v>
      </c>
      <c r="AL378">
        <f ca="1"/>
        <v>1.501252</v>
      </c>
      <c r="AM378">
        <f ca="1"/>
        <v>0.33892099999999997</v>
      </c>
      <c r="AN378">
        <f ca="1"/>
        <v>0.747054</v>
      </c>
      <c r="AO378">
        <f ca="1"/>
        <v>2.1355979999999999</v>
      </c>
      <c r="AP378">
        <f ca="1"/>
        <v>3.05362</v>
      </c>
      <c r="AQ378">
        <f ca="1"/>
        <v>2.2303679999999999</v>
      </c>
      <c r="AR378">
        <f ca="1"/>
        <v>7.9521870512407231</v>
      </c>
      <c r="AS378">
        <f ca="1"/>
        <v>0.670539</v>
      </c>
      <c r="AT378">
        <f ca="1"/>
        <v>2.0765440000000002</v>
      </c>
      <c r="AU378">
        <f ca="1"/>
        <v>3.06759</v>
      </c>
    </row>
    <row r="379" spans="1:47">
      <c r="A379" s="43">
        <f>TBL_TEV[[#This Row],[Data2]]</f>
        <v>45833</v>
      </c>
      <c r="B379" cm="1">
        <f t="array" ref="B379">_xlfn.XLOOKUP(_xlfn.ANCHORARRAY(A379), TBL_Limiti_CDA[Data], TBL_Limiti_CDA[Etica Rendita Bilanciata], , -1)</f>
        <v>2.5</v>
      </c>
      <c r="C379" cm="1">
        <f t="array" ref="C379">_xlfn.XLOOKUP(_xlfn.ANCHORARRAY(A379), TBL_Limiti_CDA[Data], TBL_Limiti_CDA[Etica Obbligazionario Breve Termine], , -1)</f>
        <v>0.5</v>
      </c>
      <c r="D379" cm="1">
        <f t="array" ref="D379">_xlfn.XLOOKUP(_xlfn.ANCHORARRAY(A379), TBL_Limiti_CDA[Data], TBL_Limiti_CDA[Etica Obbligazionario Misto], , -1)</f>
        <v>1</v>
      </c>
      <c r="E379" cm="1">
        <f t="array" ref="E379">_xlfn.XLOOKUP(_xlfn.ANCHORARRAY(A379), TBL_Limiti_CDA[Data], TBL_Limiti_CDA[Etica Bilanciato], , -1)</f>
        <v>3</v>
      </c>
      <c r="F379" cm="1">
        <f t="array" ref="F379">_xlfn.XLOOKUP(_xlfn.ANCHORARRAY(A379), TBL_Limiti_CDA[Data], TBL_Limiti_CDA[Etica Azionario], , -1)</f>
        <v>4.5</v>
      </c>
      <c r="G379" cm="1">
        <f t="array" ref="G379">_xlfn.XLOOKUP(_xlfn.ANCHORARRAY(A379), TBL_Limiti_CDA[Data], TBL_Limiti_CDA[Etica Transizione Climatica], , -1)</f>
        <v>3.5</v>
      </c>
      <c r="H379" cm="1">
        <f t="array" ref="H379">_xlfn.XLOOKUP(_xlfn.ANCHORARRAY(A379), TBL_Limiti_CDA[Data], TBL_Limiti_CDA[Etica Obiettivo Sociale], , -1)</f>
        <v>9.99</v>
      </c>
      <c r="I379" cm="1">
        <f t="array" ref="I379">_xlfn.XLOOKUP(_xlfn.ANCHORARRAY(A379), TBL_Limiti_CDA[Data], TBL_Limiti_CDA[Etica Conservative Allocation], , -1)</f>
        <v>1</v>
      </c>
      <c r="J379" cm="1">
        <f t="array" ref="J379">_xlfn.XLOOKUP(_xlfn.ANCHORARRAY(A379), TBL_Limiti_CDA[Data], TBL_Limiti_CDA[Etica Dynamic Allocation], , -1)</f>
        <v>3</v>
      </c>
      <c r="K379" cm="1">
        <f t="array" ref="K379">_xlfn.XLOOKUP(_xlfn.ANCHORARRAY(A379), TBL_Limiti_CDA[Data], TBL_Limiti_CDA[Etica Global Equity], , -1)</f>
        <v>4.5</v>
      </c>
      <c r="L379" cm="1">
        <f t="array" ref="L379">_xlfn.ANCHORARRAY(B379)+0.15</f>
        <v>2.65</v>
      </c>
      <c r="M379" cm="1">
        <f t="array" ref="M379">_xlfn.ANCHORARRAY(C379)+0.1</f>
        <v>0.6</v>
      </c>
      <c r="N379" cm="1">
        <f t="array" ref="N379">_xlfn.ANCHORARRAY(D379)+0.15</f>
        <v>1.1499999999999999</v>
      </c>
      <c r="O379" cm="1">
        <f t="array" ref="O379">_xlfn.ANCHORARRAY(E379)+0.15</f>
        <v>3.15</v>
      </c>
      <c r="P379" cm="1">
        <f t="array" ref="P379">_xlfn.ANCHORARRAY(F379)+0.15</f>
        <v>4.6500000000000004</v>
      </c>
      <c r="Q379" cm="1">
        <f t="array" ref="Q379">_xlfn.ANCHORARRAY(G379)+0.15</f>
        <v>3.65</v>
      </c>
      <c r="R379" cm="1">
        <f t="array" ref="R379">_xlfn.ANCHORARRAY(H379)</f>
        <v>9.99</v>
      </c>
      <c r="S379" cm="1">
        <f t="array" ref="S379">_xlfn.ANCHORARRAY(R379)+0.15</f>
        <v>10.14</v>
      </c>
      <c r="T379" cm="1">
        <f t="array" ref="T379">_xlfn.ANCHORARRAY(I379)+0.15</f>
        <v>1.1499999999999999</v>
      </c>
      <c r="U379" cm="1">
        <f t="array" ref="U379">_xlfn.ANCHORARRAY(J379)+0.15</f>
        <v>3.15</v>
      </c>
      <c r="V379" cm="1">
        <f t="array" ref="V379">_xlfn.ANCHORARRAY(K379)+0.15</f>
        <v>4.6500000000000004</v>
      </c>
      <c r="W379">
        <f>TBL_TEV[[#This Row],[Etica Rendita Bilanciata]]</f>
        <v>1.501252</v>
      </c>
      <c r="X379">
        <f>TBL_TEV[[#This Row],[Etica Obbligazionario Breve Termine]]</f>
        <v>0.33892099999999997</v>
      </c>
      <c r="Y379">
        <f>TBL_TEV[[#This Row],[Etica Obbligazionario Misto]]</f>
        <v>0.747054</v>
      </c>
      <c r="Z379">
        <f>TBL_TEV[[#This Row],[Etica Bilanciato]]</f>
        <v>2.1355979999999999</v>
      </c>
      <c r="AA379">
        <f>TBL_TEV[[#This Row],[Etica Azionario]]</f>
        <v>3.05362</v>
      </c>
      <c r="AB379">
        <f>TBL_TEV[[#This Row],[Etica Transizione Climatica]]</f>
        <v>2.2303679999999999</v>
      </c>
      <c r="AC379">
        <f>TBL_TEV[[#This Row],[Etica Obiettivo Sociale]]</f>
        <v>7.9521870512407231</v>
      </c>
      <c r="AD379">
        <f>TBL_TEV[[#This Row],[Etica Conservative Allocation]]</f>
        <v>0.670539</v>
      </c>
      <c r="AE379">
        <f>TBL_TEV[[#This Row],[Etica Dynamic Allocation]]</f>
        <v>2.0765440000000002</v>
      </c>
      <c r="AF379">
        <f>TBL_TEV[[#This Row],[Etica Global Equity]]</f>
        <v>3.06759</v>
      </c>
      <c r="AL379">
        <f ca="1"/>
        <v>1.529191</v>
      </c>
      <c r="AM379">
        <f ca="1"/>
        <v>0.33749200000000001</v>
      </c>
      <c r="AN379">
        <f ca="1"/>
        <v>0.75324500000000005</v>
      </c>
      <c r="AO379">
        <f ca="1"/>
        <v>2.055749</v>
      </c>
      <c r="AP379">
        <f ca="1"/>
        <v>3.0298090000000002</v>
      </c>
      <c r="AQ379">
        <f ca="1"/>
        <v>2.2294160000000001</v>
      </c>
      <c r="AR379">
        <f ca="1"/>
        <v>7.9651719317409082</v>
      </c>
      <c r="AS379">
        <f ca="1"/>
        <v>0.67466700000000002</v>
      </c>
      <c r="AT379">
        <f ca="1"/>
        <v>2.010983</v>
      </c>
      <c r="AU379">
        <f ca="1"/>
        <v>3.0420319999999998</v>
      </c>
    </row>
    <row r="380" spans="1:47">
      <c r="A380" s="43">
        <f>TBL_TEV[[#This Row],[Data2]]</f>
        <v>45834</v>
      </c>
      <c r="B380" cm="1">
        <f t="array" ref="B380">_xlfn.XLOOKUP(_xlfn.ANCHORARRAY(A380), TBL_Limiti_CDA[Data], TBL_Limiti_CDA[Etica Rendita Bilanciata], , -1)</f>
        <v>2.5</v>
      </c>
      <c r="C380" cm="1">
        <f t="array" ref="C380">_xlfn.XLOOKUP(_xlfn.ANCHORARRAY(A380), TBL_Limiti_CDA[Data], TBL_Limiti_CDA[Etica Obbligazionario Breve Termine], , -1)</f>
        <v>0.5</v>
      </c>
      <c r="D380" cm="1">
        <f t="array" ref="D380">_xlfn.XLOOKUP(_xlfn.ANCHORARRAY(A380), TBL_Limiti_CDA[Data], TBL_Limiti_CDA[Etica Obbligazionario Misto], , -1)</f>
        <v>1</v>
      </c>
      <c r="E380" cm="1">
        <f t="array" ref="E380">_xlfn.XLOOKUP(_xlfn.ANCHORARRAY(A380), TBL_Limiti_CDA[Data], TBL_Limiti_CDA[Etica Bilanciato], , -1)</f>
        <v>3</v>
      </c>
      <c r="F380" cm="1">
        <f t="array" ref="F380">_xlfn.XLOOKUP(_xlfn.ANCHORARRAY(A380), TBL_Limiti_CDA[Data], TBL_Limiti_CDA[Etica Azionario], , -1)</f>
        <v>4.5</v>
      </c>
      <c r="G380" cm="1">
        <f t="array" ref="G380">_xlfn.XLOOKUP(_xlfn.ANCHORARRAY(A380), TBL_Limiti_CDA[Data], TBL_Limiti_CDA[Etica Transizione Climatica], , -1)</f>
        <v>3.5</v>
      </c>
      <c r="H380" cm="1">
        <f t="array" ref="H380">_xlfn.XLOOKUP(_xlfn.ANCHORARRAY(A380), TBL_Limiti_CDA[Data], TBL_Limiti_CDA[Etica Obiettivo Sociale], , -1)</f>
        <v>9.99</v>
      </c>
      <c r="I380" cm="1">
        <f t="array" ref="I380">_xlfn.XLOOKUP(_xlfn.ANCHORARRAY(A380), TBL_Limiti_CDA[Data], TBL_Limiti_CDA[Etica Conservative Allocation], , -1)</f>
        <v>1</v>
      </c>
      <c r="J380" cm="1">
        <f t="array" ref="J380">_xlfn.XLOOKUP(_xlfn.ANCHORARRAY(A380), TBL_Limiti_CDA[Data], TBL_Limiti_CDA[Etica Dynamic Allocation], , -1)</f>
        <v>3</v>
      </c>
      <c r="K380" cm="1">
        <f t="array" ref="K380">_xlfn.XLOOKUP(_xlfn.ANCHORARRAY(A380), TBL_Limiti_CDA[Data], TBL_Limiti_CDA[Etica Global Equity], , -1)</f>
        <v>4.5</v>
      </c>
      <c r="L380" cm="1">
        <f t="array" ref="L380">_xlfn.ANCHORARRAY(B380)+0.15</f>
        <v>2.65</v>
      </c>
      <c r="M380" cm="1">
        <f t="array" ref="M380">_xlfn.ANCHORARRAY(C380)+0.1</f>
        <v>0.6</v>
      </c>
      <c r="N380" cm="1">
        <f t="array" ref="N380">_xlfn.ANCHORARRAY(D380)+0.15</f>
        <v>1.1499999999999999</v>
      </c>
      <c r="O380" cm="1">
        <f t="array" ref="O380">_xlfn.ANCHORARRAY(E380)+0.15</f>
        <v>3.15</v>
      </c>
      <c r="P380" cm="1">
        <f t="array" ref="P380">_xlfn.ANCHORARRAY(F380)+0.15</f>
        <v>4.6500000000000004</v>
      </c>
      <c r="Q380" cm="1">
        <f t="array" ref="Q380">_xlfn.ANCHORARRAY(G380)+0.15</f>
        <v>3.65</v>
      </c>
      <c r="R380" cm="1">
        <f t="array" ref="R380">_xlfn.ANCHORARRAY(H380)</f>
        <v>9.99</v>
      </c>
      <c r="S380" cm="1">
        <f t="array" ref="S380">_xlfn.ANCHORARRAY(R380)+0.15</f>
        <v>10.14</v>
      </c>
      <c r="T380" cm="1">
        <f t="array" ref="T380">_xlfn.ANCHORARRAY(I380)+0.15</f>
        <v>1.1499999999999999</v>
      </c>
      <c r="U380" cm="1">
        <f t="array" ref="U380">_xlfn.ANCHORARRAY(J380)+0.15</f>
        <v>3.15</v>
      </c>
      <c r="V380" cm="1">
        <f t="array" ref="V380">_xlfn.ANCHORARRAY(K380)+0.15</f>
        <v>4.6500000000000004</v>
      </c>
      <c r="W380">
        <f>TBL_TEV[[#This Row],[Etica Rendita Bilanciata]]</f>
        <v>1.529191</v>
      </c>
      <c r="X380">
        <f>TBL_TEV[[#This Row],[Etica Obbligazionario Breve Termine]]</f>
        <v>0.33749200000000001</v>
      </c>
      <c r="Y380">
        <f>TBL_TEV[[#This Row],[Etica Obbligazionario Misto]]</f>
        <v>0.75324500000000005</v>
      </c>
      <c r="Z380">
        <f>TBL_TEV[[#This Row],[Etica Bilanciato]]</f>
        <v>2.055749</v>
      </c>
      <c r="AA380">
        <f>TBL_TEV[[#This Row],[Etica Azionario]]</f>
        <v>3.0298090000000002</v>
      </c>
      <c r="AB380">
        <f>TBL_TEV[[#This Row],[Etica Transizione Climatica]]</f>
        <v>2.2294160000000001</v>
      </c>
      <c r="AC380">
        <f>TBL_TEV[[#This Row],[Etica Obiettivo Sociale]]</f>
        <v>7.9651719317409082</v>
      </c>
      <c r="AD380">
        <f>TBL_TEV[[#This Row],[Etica Conservative Allocation]]</f>
        <v>0.67466700000000002</v>
      </c>
      <c r="AE380">
        <f>TBL_TEV[[#This Row],[Etica Dynamic Allocation]]</f>
        <v>2.010983</v>
      </c>
      <c r="AF380">
        <f>TBL_TEV[[#This Row],[Etica Global Equity]]</f>
        <v>3.0420319999999998</v>
      </c>
      <c r="AL380">
        <f ca="1"/>
        <v>1.520302</v>
      </c>
      <c r="AM380">
        <f ca="1"/>
        <v>0.33781</v>
      </c>
      <c r="AN380">
        <f ca="1"/>
        <v>0.75054699999999996</v>
      </c>
      <c r="AO380">
        <f ca="1"/>
        <v>2.0620989999999999</v>
      </c>
      <c r="AP380">
        <f ca="1"/>
        <v>3.030761</v>
      </c>
      <c r="AQ380">
        <f ca="1"/>
        <v>2.2483070000000001</v>
      </c>
      <c r="AR380">
        <f ca="1"/>
        <v>7.9669725653856789</v>
      </c>
      <c r="AS380">
        <f ca="1"/>
        <v>0.66815800000000003</v>
      </c>
      <c r="AT380">
        <f ca="1"/>
        <v>2.0012989999999999</v>
      </c>
      <c r="AU380">
        <f ca="1"/>
        <v>3.0367929999999999</v>
      </c>
    </row>
    <row r="381" spans="1:47">
      <c r="A381" s="43">
        <f>TBL_TEV[[#This Row],[Data2]]</f>
        <v>45835</v>
      </c>
      <c r="B381" cm="1">
        <f t="array" ref="B381">_xlfn.XLOOKUP(_xlfn.ANCHORARRAY(A381), TBL_Limiti_CDA[Data], TBL_Limiti_CDA[Etica Rendita Bilanciata], , -1)</f>
        <v>2.5</v>
      </c>
      <c r="C381" cm="1">
        <f t="array" ref="C381">_xlfn.XLOOKUP(_xlfn.ANCHORARRAY(A381), TBL_Limiti_CDA[Data], TBL_Limiti_CDA[Etica Obbligazionario Breve Termine], , -1)</f>
        <v>0.5</v>
      </c>
      <c r="D381" cm="1">
        <f t="array" ref="D381">_xlfn.XLOOKUP(_xlfn.ANCHORARRAY(A381), TBL_Limiti_CDA[Data], TBL_Limiti_CDA[Etica Obbligazionario Misto], , -1)</f>
        <v>1</v>
      </c>
      <c r="E381" cm="1">
        <f t="array" ref="E381">_xlfn.XLOOKUP(_xlfn.ANCHORARRAY(A381), TBL_Limiti_CDA[Data], TBL_Limiti_CDA[Etica Bilanciato], , -1)</f>
        <v>3</v>
      </c>
      <c r="F381" cm="1">
        <f t="array" ref="F381">_xlfn.XLOOKUP(_xlfn.ANCHORARRAY(A381), TBL_Limiti_CDA[Data], TBL_Limiti_CDA[Etica Azionario], , -1)</f>
        <v>4.5</v>
      </c>
      <c r="G381" cm="1">
        <f t="array" ref="G381">_xlfn.XLOOKUP(_xlfn.ANCHORARRAY(A381), TBL_Limiti_CDA[Data], TBL_Limiti_CDA[Etica Transizione Climatica], , -1)</f>
        <v>3.5</v>
      </c>
      <c r="H381" cm="1">
        <f t="array" ref="H381">_xlfn.XLOOKUP(_xlfn.ANCHORARRAY(A381), TBL_Limiti_CDA[Data], TBL_Limiti_CDA[Etica Obiettivo Sociale], , -1)</f>
        <v>9.99</v>
      </c>
      <c r="I381" cm="1">
        <f t="array" ref="I381">_xlfn.XLOOKUP(_xlfn.ANCHORARRAY(A381), TBL_Limiti_CDA[Data], TBL_Limiti_CDA[Etica Conservative Allocation], , -1)</f>
        <v>1</v>
      </c>
      <c r="J381" cm="1">
        <f t="array" ref="J381">_xlfn.XLOOKUP(_xlfn.ANCHORARRAY(A381), TBL_Limiti_CDA[Data], TBL_Limiti_CDA[Etica Dynamic Allocation], , -1)</f>
        <v>3</v>
      </c>
      <c r="K381" cm="1">
        <f t="array" ref="K381">_xlfn.XLOOKUP(_xlfn.ANCHORARRAY(A381), TBL_Limiti_CDA[Data], TBL_Limiti_CDA[Etica Global Equity], , -1)</f>
        <v>4.5</v>
      </c>
      <c r="L381" cm="1">
        <f t="array" ref="L381">_xlfn.ANCHORARRAY(B381)+0.15</f>
        <v>2.65</v>
      </c>
      <c r="M381" cm="1">
        <f t="array" ref="M381">_xlfn.ANCHORARRAY(C381)+0.1</f>
        <v>0.6</v>
      </c>
      <c r="N381" cm="1">
        <f t="array" ref="N381">_xlfn.ANCHORARRAY(D381)+0.15</f>
        <v>1.1499999999999999</v>
      </c>
      <c r="O381" cm="1">
        <f t="array" ref="O381">_xlfn.ANCHORARRAY(E381)+0.15</f>
        <v>3.15</v>
      </c>
      <c r="P381" cm="1">
        <f t="array" ref="P381">_xlfn.ANCHORARRAY(F381)+0.15</f>
        <v>4.6500000000000004</v>
      </c>
      <c r="Q381" cm="1">
        <f t="array" ref="Q381">_xlfn.ANCHORARRAY(G381)+0.15</f>
        <v>3.65</v>
      </c>
      <c r="R381" cm="1">
        <f t="array" ref="R381">_xlfn.ANCHORARRAY(H381)</f>
        <v>9.99</v>
      </c>
      <c r="S381" cm="1">
        <f t="array" ref="S381">_xlfn.ANCHORARRAY(R381)+0.15</f>
        <v>10.14</v>
      </c>
      <c r="T381" cm="1">
        <f t="array" ref="T381">_xlfn.ANCHORARRAY(I381)+0.15</f>
        <v>1.1499999999999999</v>
      </c>
      <c r="U381" cm="1">
        <f t="array" ref="U381">_xlfn.ANCHORARRAY(J381)+0.15</f>
        <v>3.15</v>
      </c>
      <c r="V381" cm="1">
        <f t="array" ref="V381">_xlfn.ANCHORARRAY(K381)+0.15</f>
        <v>4.6500000000000004</v>
      </c>
      <c r="W381">
        <f>TBL_TEV[[#This Row],[Etica Rendita Bilanciata]]</f>
        <v>1.520302</v>
      </c>
      <c r="X381">
        <f>TBL_TEV[[#This Row],[Etica Obbligazionario Breve Termine]]</f>
        <v>0.33781</v>
      </c>
      <c r="Y381">
        <f>TBL_TEV[[#This Row],[Etica Obbligazionario Misto]]</f>
        <v>0.75054699999999996</v>
      </c>
      <c r="Z381">
        <f>TBL_TEV[[#This Row],[Etica Bilanciato]]</f>
        <v>2.0620989999999999</v>
      </c>
      <c r="AA381">
        <f>TBL_TEV[[#This Row],[Etica Azionario]]</f>
        <v>3.030761</v>
      </c>
      <c r="AB381">
        <f>TBL_TEV[[#This Row],[Etica Transizione Climatica]]</f>
        <v>2.2483070000000001</v>
      </c>
      <c r="AC381">
        <f>TBL_TEV[[#This Row],[Etica Obiettivo Sociale]]</f>
        <v>7.9669725653856789</v>
      </c>
      <c r="AD381">
        <f>TBL_TEV[[#This Row],[Etica Conservative Allocation]]</f>
        <v>0.66815800000000003</v>
      </c>
      <c r="AE381">
        <f>TBL_TEV[[#This Row],[Etica Dynamic Allocation]]</f>
        <v>2.0012989999999999</v>
      </c>
      <c r="AF381">
        <f>TBL_TEV[[#This Row],[Etica Global Equity]]</f>
        <v>3.0367929999999999</v>
      </c>
      <c r="AL381">
        <f ca="1"/>
        <v>1.5053799999999999</v>
      </c>
      <c r="AM381">
        <f ca="1"/>
        <v>0.320824</v>
      </c>
      <c r="AN381">
        <f ca="1"/>
        <v>0.73165599999999997</v>
      </c>
      <c r="AO381">
        <f ca="1"/>
        <v>2.0505100000000001</v>
      </c>
      <c r="AP381">
        <f ca="1"/>
        <v>2.9869469999999998</v>
      </c>
      <c r="AQ381">
        <f ca="1"/>
        <v>2.2181449999999998</v>
      </c>
      <c r="AR381">
        <f ca="1"/>
        <v>8.0391439036008485</v>
      </c>
      <c r="AS381">
        <f ca="1"/>
        <v>0.64974399999999999</v>
      </c>
      <c r="AT381">
        <f ca="1"/>
        <v>1.9882820000000001</v>
      </c>
      <c r="AU381">
        <f ca="1"/>
        <v>3.0204430000000002</v>
      </c>
    </row>
    <row r="382" spans="1:47">
      <c r="A382" s="43">
        <f>TBL_TEV[[#This Row],[Data2]]</f>
        <v>45838</v>
      </c>
      <c r="B382" cm="1">
        <f t="array" ref="B382">_xlfn.XLOOKUP(_xlfn.ANCHORARRAY(A382), TBL_Limiti_CDA[Data], TBL_Limiti_CDA[Etica Rendita Bilanciata], , -1)</f>
        <v>2.5</v>
      </c>
      <c r="C382" cm="1">
        <f t="array" ref="C382">_xlfn.XLOOKUP(_xlfn.ANCHORARRAY(A382), TBL_Limiti_CDA[Data], TBL_Limiti_CDA[Etica Obbligazionario Breve Termine], , -1)</f>
        <v>0.5</v>
      </c>
      <c r="D382" cm="1">
        <f t="array" ref="D382">_xlfn.XLOOKUP(_xlfn.ANCHORARRAY(A382), TBL_Limiti_CDA[Data], TBL_Limiti_CDA[Etica Obbligazionario Misto], , -1)</f>
        <v>1</v>
      </c>
      <c r="E382" cm="1">
        <f t="array" ref="E382">_xlfn.XLOOKUP(_xlfn.ANCHORARRAY(A382), TBL_Limiti_CDA[Data], TBL_Limiti_CDA[Etica Bilanciato], , -1)</f>
        <v>3</v>
      </c>
      <c r="F382" cm="1">
        <f t="array" ref="F382">_xlfn.XLOOKUP(_xlfn.ANCHORARRAY(A382), TBL_Limiti_CDA[Data], TBL_Limiti_CDA[Etica Azionario], , -1)</f>
        <v>4.5</v>
      </c>
      <c r="G382" cm="1">
        <f t="array" ref="G382">_xlfn.XLOOKUP(_xlfn.ANCHORARRAY(A382), TBL_Limiti_CDA[Data], TBL_Limiti_CDA[Etica Transizione Climatica], , -1)</f>
        <v>3.5</v>
      </c>
      <c r="H382" cm="1">
        <f t="array" ref="H382">_xlfn.XLOOKUP(_xlfn.ANCHORARRAY(A382), TBL_Limiti_CDA[Data], TBL_Limiti_CDA[Etica Obiettivo Sociale], , -1)</f>
        <v>9.99</v>
      </c>
      <c r="I382" cm="1">
        <f t="array" ref="I382">_xlfn.XLOOKUP(_xlfn.ANCHORARRAY(A382), TBL_Limiti_CDA[Data], TBL_Limiti_CDA[Etica Conservative Allocation], , -1)</f>
        <v>1</v>
      </c>
      <c r="J382" cm="1">
        <f t="array" ref="J382">_xlfn.XLOOKUP(_xlfn.ANCHORARRAY(A382), TBL_Limiti_CDA[Data], TBL_Limiti_CDA[Etica Dynamic Allocation], , -1)</f>
        <v>3</v>
      </c>
      <c r="K382" cm="1">
        <f t="array" ref="K382">_xlfn.XLOOKUP(_xlfn.ANCHORARRAY(A382), TBL_Limiti_CDA[Data], TBL_Limiti_CDA[Etica Global Equity], , -1)</f>
        <v>4.5</v>
      </c>
      <c r="L382" cm="1">
        <f t="array" ref="L382">_xlfn.ANCHORARRAY(B382)+0.15</f>
        <v>2.65</v>
      </c>
      <c r="M382" cm="1">
        <f t="array" ref="M382">_xlfn.ANCHORARRAY(C382)+0.1</f>
        <v>0.6</v>
      </c>
      <c r="N382" cm="1">
        <f t="array" ref="N382">_xlfn.ANCHORARRAY(D382)+0.15</f>
        <v>1.1499999999999999</v>
      </c>
      <c r="O382" cm="1">
        <f t="array" ref="O382">_xlfn.ANCHORARRAY(E382)+0.15</f>
        <v>3.15</v>
      </c>
      <c r="P382" cm="1">
        <f t="array" ref="P382">_xlfn.ANCHORARRAY(F382)+0.15</f>
        <v>4.6500000000000004</v>
      </c>
      <c r="Q382" cm="1">
        <f t="array" ref="Q382">_xlfn.ANCHORARRAY(G382)+0.15</f>
        <v>3.65</v>
      </c>
      <c r="R382" cm="1">
        <f t="array" ref="R382">_xlfn.ANCHORARRAY(H382)</f>
        <v>9.99</v>
      </c>
      <c r="S382" cm="1">
        <f t="array" ref="S382">_xlfn.ANCHORARRAY(R382)+0.15</f>
        <v>10.14</v>
      </c>
      <c r="T382" cm="1">
        <f t="array" ref="T382">_xlfn.ANCHORARRAY(I382)+0.15</f>
        <v>1.1499999999999999</v>
      </c>
      <c r="U382" cm="1">
        <f t="array" ref="U382">_xlfn.ANCHORARRAY(J382)+0.15</f>
        <v>3.15</v>
      </c>
      <c r="V382" cm="1">
        <f t="array" ref="V382">_xlfn.ANCHORARRAY(K382)+0.15</f>
        <v>4.6500000000000004</v>
      </c>
      <c r="W382">
        <f>TBL_TEV[[#This Row],[Etica Rendita Bilanciata]]</f>
        <v>1.5053799999999999</v>
      </c>
      <c r="X382">
        <f>TBL_TEV[[#This Row],[Etica Obbligazionario Breve Termine]]</f>
        <v>0.320824</v>
      </c>
      <c r="Y382">
        <f>TBL_TEV[[#This Row],[Etica Obbligazionario Misto]]</f>
        <v>0.73165599999999997</v>
      </c>
      <c r="Z382">
        <f>TBL_TEV[[#This Row],[Etica Bilanciato]]</f>
        <v>2.0505100000000001</v>
      </c>
      <c r="AA382">
        <f>TBL_TEV[[#This Row],[Etica Azionario]]</f>
        <v>2.9869469999999998</v>
      </c>
      <c r="AB382">
        <f>TBL_TEV[[#This Row],[Etica Transizione Climatica]]</f>
        <v>2.2181449999999998</v>
      </c>
      <c r="AC382">
        <f>TBL_TEV[[#This Row],[Etica Obiettivo Sociale]]</f>
        <v>8.0391439036008485</v>
      </c>
      <c r="AD382">
        <f>TBL_TEV[[#This Row],[Etica Conservative Allocation]]</f>
        <v>0.64974399999999999</v>
      </c>
      <c r="AE382">
        <f>TBL_TEV[[#This Row],[Etica Dynamic Allocation]]</f>
        <v>1.9882820000000001</v>
      </c>
      <c r="AF382">
        <f>TBL_TEV[[#This Row],[Etica Global Equity]]</f>
        <v>3.0204430000000002</v>
      </c>
      <c r="AL382">
        <f ca="1"/>
        <v>1.499506</v>
      </c>
      <c r="AM382">
        <f ca="1"/>
        <v>0.31780799999999998</v>
      </c>
      <c r="AN382">
        <f ca="1"/>
        <v>0.726576</v>
      </c>
      <c r="AO382">
        <f ca="1"/>
        <v>2.0506690000000001</v>
      </c>
      <c r="AP382">
        <f ca="1"/>
        <v>2.9799630000000001</v>
      </c>
      <c r="AQ382">
        <f ca="1"/>
        <v>2.2159230000000001</v>
      </c>
      <c r="AR382">
        <f ca="1"/>
        <v>7.9312203161382842</v>
      </c>
      <c r="AS382">
        <f ca="1"/>
        <v>0.64752100000000001</v>
      </c>
      <c r="AT382">
        <f ca="1"/>
        <v>1.9841549999999999</v>
      </c>
      <c r="AU382">
        <f ca="1"/>
        <v>2.9574210000000001</v>
      </c>
    </row>
    <row r="383" spans="1:47">
      <c r="A383" s="43">
        <f>TBL_TEV[[#This Row],[Data2]]</f>
        <v>45839</v>
      </c>
      <c r="B383" cm="1">
        <f t="array" ref="B383">_xlfn.XLOOKUP(_xlfn.ANCHORARRAY(A383), TBL_Limiti_CDA[Data], TBL_Limiti_CDA[Etica Rendita Bilanciata], , -1)</f>
        <v>2.5</v>
      </c>
      <c r="C383" cm="1">
        <f t="array" ref="C383">_xlfn.XLOOKUP(_xlfn.ANCHORARRAY(A383), TBL_Limiti_CDA[Data], TBL_Limiti_CDA[Etica Obbligazionario Breve Termine], , -1)</f>
        <v>0.5</v>
      </c>
      <c r="D383" cm="1">
        <f t="array" ref="D383">_xlfn.XLOOKUP(_xlfn.ANCHORARRAY(A383), TBL_Limiti_CDA[Data], TBL_Limiti_CDA[Etica Obbligazionario Misto], , -1)</f>
        <v>1</v>
      </c>
      <c r="E383" cm="1">
        <f t="array" ref="E383">_xlfn.XLOOKUP(_xlfn.ANCHORARRAY(A383), TBL_Limiti_CDA[Data], TBL_Limiti_CDA[Etica Bilanciato], , -1)</f>
        <v>3</v>
      </c>
      <c r="F383" cm="1">
        <f t="array" ref="F383">_xlfn.XLOOKUP(_xlfn.ANCHORARRAY(A383), TBL_Limiti_CDA[Data], TBL_Limiti_CDA[Etica Azionario], , -1)</f>
        <v>4.5</v>
      </c>
      <c r="G383" cm="1">
        <f t="array" ref="G383">_xlfn.XLOOKUP(_xlfn.ANCHORARRAY(A383), TBL_Limiti_CDA[Data], TBL_Limiti_CDA[Etica Transizione Climatica], , -1)</f>
        <v>3.5</v>
      </c>
      <c r="H383" cm="1">
        <f t="array" ref="H383">_xlfn.XLOOKUP(_xlfn.ANCHORARRAY(A383), TBL_Limiti_CDA[Data], TBL_Limiti_CDA[Etica Obiettivo Sociale], , -1)</f>
        <v>9.99</v>
      </c>
      <c r="I383" cm="1">
        <f t="array" ref="I383">_xlfn.XLOOKUP(_xlfn.ANCHORARRAY(A383), TBL_Limiti_CDA[Data], TBL_Limiti_CDA[Etica Conservative Allocation], , -1)</f>
        <v>1</v>
      </c>
      <c r="J383" cm="1">
        <f t="array" ref="J383">_xlfn.XLOOKUP(_xlfn.ANCHORARRAY(A383), TBL_Limiti_CDA[Data], TBL_Limiti_CDA[Etica Dynamic Allocation], , -1)</f>
        <v>3</v>
      </c>
      <c r="K383" cm="1">
        <f t="array" ref="K383">_xlfn.XLOOKUP(_xlfn.ANCHORARRAY(A383), TBL_Limiti_CDA[Data], TBL_Limiti_CDA[Etica Global Equity], , -1)</f>
        <v>4.5</v>
      </c>
      <c r="L383" cm="1">
        <f t="array" ref="L383">_xlfn.ANCHORARRAY(B383)+0.15</f>
        <v>2.65</v>
      </c>
      <c r="M383" cm="1">
        <f t="array" ref="M383">_xlfn.ANCHORARRAY(C383)+0.1</f>
        <v>0.6</v>
      </c>
      <c r="N383" cm="1">
        <f t="array" ref="N383">_xlfn.ANCHORARRAY(D383)+0.15</f>
        <v>1.1499999999999999</v>
      </c>
      <c r="O383" cm="1">
        <f t="array" ref="O383">_xlfn.ANCHORARRAY(E383)+0.15</f>
        <v>3.15</v>
      </c>
      <c r="P383" cm="1">
        <f t="array" ref="P383">_xlfn.ANCHORARRAY(F383)+0.15</f>
        <v>4.6500000000000004</v>
      </c>
      <c r="Q383" cm="1">
        <f t="array" ref="Q383">_xlfn.ANCHORARRAY(G383)+0.15</f>
        <v>3.65</v>
      </c>
      <c r="R383" cm="1">
        <f t="array" ref="R383">_xlfn.ANCHORARRAY(H383)</f>
        <v>9.99</v>
      </c>
      <c r="S383" cm="1">
        <f t="array" ref="S383">_xlfn.ANCHORARRAY(R383)+0.15</f>
        <v>10.14</v>
      </c>
      <c r="T383" cm="1">
        <f t="array" ref="T383">_xlfn.ANCHORARRAY(I383)+0.15</f>
        <v>1.1499999999999999</v>
      </c>
      <c r="U383" cm="1">
        <f t="array" ref="U383">_xlfn.ANCHORARRAY(J383)+0.15</f>
        <v>3.15</v>
      </c>
      <c r="V383" cm="1">
        <f t="array" ref="V383">_xlfn.ANCHORARRAY(K383)+0.15</f>
        <v>4.6500000000000004</v>
      </c>
      <c r="W383">
        <f>TBL_TEV[[#This Row],[Etica Rendita Bilanciata]]</f>
        <v>1.499506</v>
      </c>
      <c r="X383">
        <f>TBL_TEV[[#This Row],[Etica Obbligazionario Breve Termine]]</f>
        <v>0.31780799999999998</v>
      </c>
      <c r="Y383">
        <f>TBL_TEV[[#This Row],[Etica Obbligazionario Misto]]</f>
        <v>0.726576</v>
      </c>
      <c r="Z383">
        <f>TBL_TEV[[#This Row],[Etica Bilanciato]]</f>
        <v>2.0506690000000001</v>
      </c>
      <c r="AA383">
        <f>TBL_TEV[[#This Row],[Etica Azionario]]</f>
        <v>2.9799630000000001</v>
      </c>
      <c r="AB383">
        <f>TBL_TEV[[#This Row],[Etica Transizione Climatica]]</f>
        <v>2.2159230000000001</v>
      </c>
      <c r="AC383">
        <f>TBL_TEV[[#This Row],[Etica Obiettivo Sociale]]</f>
        <v>7.9312203161382842</v>
      </c>
      <c r="AD383">
        <f>TBL_TEV[[#This Row],[Etica Conservative Allocation]]</f>
        <v>0.64752100000000001</v>
      </c>
      <c r="AE383">
        <f>TBL_TEV[[#This Row],[Etica Dynamic Allocation]]</f>
        <v>1.9841549999999999</v>
      </c>
      <c r="AF383">
        <f>TBL_TEV[[#This Row],[Etica Global Equity]]</f>
        <v>2.9574210000000001</v>
      </c>
      <c r="AL383">
        <f ca="1"/>
        <v>1.4922040000000001</v>
      </c>
      <c r="AM383">
        <f ca="1"/>
        <v>0.31717299999999998</v>
      </c>
      <c r="AN383">
        <f ca="1"/>
        <v>0.72308399999999995</v>
      </c>
      <c r="AO383">
        <f ca="1"/>
        <v>2.05559</v>
      </c>
      <c r="AP383">
        <f ca="1"/>
        <v>2.9885350000000002</v>
      </c>
      <c r="AQ383">
        <f ca="1"/>
        <v>2.220685</v>
      </c>
      <c r="AR383">
        <f ca="1"/>
        <v>7.8027972502025218</v>
      </c>
      <c r="AS383">
        <f ca="1"/>
        <v>0.64101300000000005</v>
      </c>
      <c r="AT383">
        <f ca="1"/>
        <v>1.9892350000000001</v>
      </c>
      <c r="AU383">
        <f ca="1"/>
        <v>2.9690089999999998</v>
      </c>
    </row>
    <row r="384" spans="1:47">
      <c r="A384" s="43">
        <f>TBL_TEV[[#This Row],[Data2]]</f>
        <v>45840</v>
      </c>
      <c r="B384" cm="1">
        <f t="array" ref="B384">_xlfn.XLOOKUP(_xlfn.ANCHORARRAY(A384), TBL_Limiti_CDA[Data], TBL_Limiti_CDA[Etica Rendita Bilanciata], , -1)</f>
        <v>2.5</v>
      </c>
      <c r="C384" cm="1">
        <f t="array" ref="C384">_xlfn.XLOOKUP(_xlfn.ANCHORARRAY(A384), TBL_Limiti_CDA[Data], TBL_Limiti_CDA[Etica Obbligazionario Breve Termine], , -1)</f>
        <v>0.5</v>
      </c>
      <c r="D384" cm="1">
        <f t="array" ref="D384">_xlfn.XLOOKUP(_xlfn.ANCHORARRAY(A384), TBL_Limiti_CDA[Data], TBL_Limiti_CDA[Etica Obbligazionario Misto], , -1)</f>
        <v>1</v>
      </c>
      <c r="E384" cm="1">
        <f t="array" ref="E384">_xlfn.XLOOKUP(_xlfn.ANCHORARRAY(A384), TBL_Limiti_CDA[Data], TBL_Limiti_CDA[Etica Bilanciato], , -1)</f>
        <v>3</v>
      </c>
      <c r="F384" cm="1">
        <f t="array" ref="F384">_xlfn.XLOOKUP(_xlfn.ANCHORARRAY(A384), TBL_Limiti_CDA[Data], TBL_Limiti_CDA[Etica Azionario], , -1)</f>
        <v>4.5</v>
      </c>
      <c r="G384" cm="1">
        <f t="array" ref="G384">_xlfn.XLOOKUP(_xlfn.ANCHORARRAY(A384), TBL_Limiti_CDA[Data], TBL_Limiti_CDA[Etica Transizione Climatica], , -1)</f>
        <v>3.5</v>
      </c>
      <c r="H384" cm="1">
        <f t="array" ref="H384">_xlfn.XLOOKUP(_xlfn.ANCHORARRAY(A384), TBL_Limiti_CDA[Data], TBL_Limiti_CDA[Etica Obiettivo Sociale], , -1)</f>
        <v>9.99</v>
      </c>
      <c r="I384" cm="1">
        <f t="array" ref="I384">_xlfn.XLOOKUP(_xlfn.ANCHORARRAY(A384), TBL_Limiti_CDA[Data], TBL_Limiti_CDA[Etica Conservative Allocation], , -1)</f>
        <v>1</v>
      </c>
      <c r="J384" cm="1">
        <f t="array" ref="J384">_xlfn.XLOOKUP(_xlfn.ANCHORARRAY(A384), TBL_Limiti_CDA[Data], TBL_Limiti_CDA[Etica Dynamic Allocation], , -1)</f>
        <v>3</v>
      </c>
      <c r="K384" cm="1">
        <f t="array" ref="K384">_xlfn.XLOOKUP(_xlfn.ANCHORARRAY(A384), TBL_Limiti_CDA[Data], TBL_Limiti_CDA[Etica Global Equity], , -1)</f>
        <v>4.5</v>
      </c>
      <c r="L384" cm="1">
        <f t="array" ref="L384">_xlfn.ANCHORARRAY(B384)+0.15</f>
        <v>2.65</v>
      </c>
      <c r="M384" cm="1">
        <f t="array" ref="M384">_xlfn.ANCHORARRAY(C384)+0.1</f>
        <v>0.6</v>
      </c>
      <c r="N384" cm="1">
        <f t="array" ref="N384">_xlfn.ANCHORARRAY(D384)+0.15</f>
        <v>1.1499999999999999</v>
      </c>
      <c r="O384" cm="1">
        <f t="array" ref="O384">_xlfn.ANCHORARRAY(E384)+0.15</f>
        <v>3.15</v>
      </c>
      <c r="P384" cm="1">
        <f t="array" ref="P384">_xlfn.ANCHORARRAY(F384)+0.15</f>
        <v>4.6500000000000004</v>
      </c>
      <c r="Q384" cm="1">
        <f t="array" ref="Q384">_xlfn.ANCHORARRAY(G384)+0.15</f>
        <v>3.65</v>
      </c>
      <c r="R384" cm="1">
        <f t="array" ref="R384">_xlfn.ANCHORARRAY(H384)</f>
        <v>9.99</v>
      </c>
      <c r="S384" cm="1">
        <f t="array" ref="S384">_xlfn.ANCHORARRAY(R384)+0.15</f>
        <v>10.14</v>
      </c>
      <c r="T384" cm="1">
        <f t="array" ref="T384">_xlfn.ANCHORARRAY(I384)+0.15</f>
        <v>1.1499999999999999</v>
      </c>
      <c r="U384" cm="1">
        <f t="array" ref="U384">_xlfn.ANCHORARRAY(J384)+0.15</f>
        <v>3.15</v>
      </c>
      <c r="V384" cm="1">
        <f t="array" ref="V384">_xlfn.ANCHORARRAY(K384)+0.15</f>
        <v>4.6500000000000004</v>
      </c>
      <c r="W384">
        <f>TBL_TEV[[#This Row],[Etica Rendita Bilanciata]]</f>
        <v>1.4922040000000001</v>
      </c>
      <c r="X384">
        <f>TBL_TEV[[#This Row],[Etica Obbligazionario Breve Termine]]</f>
        <v>0.31717299999999998</v>
      </c>
      <c r="Y384">
        <f>TBL_TEV[[#This Row],[Etica Obbligazionario Misto]]</f>
        <v>0.72308399999999995</v>
      </c>
      <c r="Z384">
        <f>TBL_TEV[[#This Row],[Etica Bilanciato]]</f>
        <v>2.05559</v>
      </c>
      <c r="AA384">
        <f>TBL_TEV[[#This Row],[Etica Azionario]]</f>
        <v>2.9885350000000002</v>
      </c>
      <c r="AB384">
        <f>TBL_TEV[[#This Row],[Etica Transizione Climatica]]</f>
        <v>2.220685</v>
      </c>
      <c r="AC384">
        <f>TBL_TEV[[#This Row],[Etica Obiettivo Sociale]]</f>
        <v>7.8027972502025218</v>
      </c>
      <c r="AD384">
        <f>TBL_TEV[[#This Row],[Etica Conservative Allocation]]</f>
        <v>0.64101300000000005</v>
      </c>
      <c r="AE384">
        <f>TBL_TEV[[#This Row],[Etica Dynamic Allocation]]</f>
        <v>1.9892350000000001</v>
      </c>
      <c r="AF384">
        <f>TBL_TEV[[#This Row],[Etica Global Equity]]</f>
        <v>2.9690089999999998</v>
      </c>
      <c r="AL384">
        <f ca="1"/>
        <v>1.4853780000000001</v>
      </c>
      <c r="AM384">
        <f ca="1"/>
        <v>0.31796600000000003</v>
      </c>
      <c r="AN384">
        <f ca="1"/>
        <v>0.72340099999999996</v>
      </c>
      <c r="AO384">
        <f ca="1"/>
        <v>2.0486049999999998</v>
      </c>
      <c r="AP384">
        <f ca="1"/>
        <v>2.9785339999999998</v>
      </c>
      <c r="AQ384">
        <f ca="1"/>
        <v>2.2200500000000001</v>
      </c>
      <c r="AR384">
        <f ca="1"/>
        <v>7.907239641046572</v>
      </c>
      <c r="AS384">
        <f ca="1"/>
        <v>0.64148899999999998</v>
      </c>
      <c r="AT384">
        <f ca="1"/>
        <v>1.9892350000000001</v>
      </c>
      <c r="AU384">
        <f ca="1"/>
        <v>2.9683739999999998</v>
      </c>
    </row>
    <row r="385" spans="1:47">
      <c r="A385" s="43">
        <f>TBL_TEV[[#This Row],[Data2]]</f>
        <v>45841</v>
      </c>
      <c r="B385" cm="1">
        <f t="array" ref="B385">_xlfn.XLOOKUP(_xlfn.ANCHORARRAY(A385), TBL_Limiti_CDA[Data], TBL_Limiti_CDA[Etica Rendita Bilanciata], , -1)</f>
        <v>2.5</v>
      </c>
      <c r="C385" cm="1">
        <f t="array" ref="C385">_xlfn.XLOOKUP(_xlfn.ANCHORARRAY(A385), TBL_Limiti_CDA[Data], TBL_Limiti_CDA[Etica Obbligazionario Breve Termine], , -1)</f>
        <v>0.5</v>
      </c>
      <c r="D385" cm="1">
        <f t="array" ref="D385">_xlfn.XLOOKUP(_xlfn.ANCHORARRAY(A385), TBL_Limiti_CDA[Data], TBL_Limiti_CDA[Etica Obbligazionario Misto], , -1)</f>
        <v>1</v>
      </c>
      <c r="E385" cm="1">
        <f t="array" ref="E385">_xlfn.XLOOKUP(_xlfn.ANCHORARRAY(A385), TBL_Limiti_CDA[Data], TBL_Limiti_CDA[Etica Bilanciato], , -1)</f>
        <v>3</v>
      </c>
      <c r="F385" cm="1">
        <f t="array" ref="F385">_xlfn.XLOOKUP(_xlfn.ANCHORARRAY(A385), TBL_Limiti_CDA[Data], TBL_Limiti_CDA[Etica Azionario], , -1)</f>
        <v>4.5</v>
      </c>
      <c r="G385" cm="1">
        <f t="array" ref="G385">_xlfn.XLOOKUP(_xlfn.ANCHORARRAY(A385), TBL_Limiti_CDA[Data], TBL_Limiti_CDA[Etica Transizione Climatica], , -1)</f>
        <v>3.5</v>
      </c>
      <c r="H385" cm="1">
        <f t="array" ref="H385">_xlfn.XLOOKUP(_xlfn.ANCHORARRAY(A385), TBL_Limiti_CDA[Data], TBL_Limiti_CDA[Etica Obiettivo Sociale], , -1)</f>
        <v>9.99</v>
      </c>
      <c r="I385" cm="1">
        <f t="array" ref="I385">_xlfn.XLOOKUP(_xlfn.ANCHORARRAY(A385), TBL_Limiti_CDA[Data], TBL_Limiti_CDA[Etica Conservative Allocation], , -1)</f>
        <v>1</v>
      </c>
      <c r="J385" cm="1">
        <f t="array" ref="J385">_xlfn.XLOOKUP(_xlfn.ANCHORARRAY(A385), TBL_Limiti_CDA[Data], TBL_Limiti_CDA[Etica Dynamic Allocation], , -1)</f>
        <v>3</v>
      </c>
      <c r="K385" cm="1">
        <f t="array" ref="K385">_xlfn.XLOOKUP(_xlfn.ANCHORARRAY(A385), TBL_Limiti_CDA[Data], TBL_Limiti_CDA[Etica Global Equity], , -1)</f>
        <v>4.5</v>
      </c>
      <c r="L385" cm="1">
        <f t="array" ref="L385">_xlfn.ANCHORARRAY(B385)+0.15</f>
        <v>2.65</v>
      </c>
      <c r="M385" cm="1">
        <f t="array" ref="M385">_xlfn.ANCHORARRAY(C385)+0.1</f>
        <v>0.6</v>
      </c>
      <c r="N385" cm="1">
        <f t="array" ref="N385">_xlfn.ANCHORARRAY(D385)+0.15</f>
        <v>1.1499999999999999</v>
      </c>
      <c r="O385" cm="1">
        <f t="array" ref="O385">_xlfn.ANCHORARRAY(E385)+0.15</f>
        <v>3.15</v>
      </c>
      <c r="P385" cm="1">
        <f t="array" ref="P385">_xlfn.ANCHORARRAY(F385)+0.15</f>
        <v>4.6500000000000004</v>
      </c>
      <c r="Q385" cm="1">
        <f t="array" ref="Q385">_xlfn.ANCHORARRAY(G385)+0.15</f>
        <v>3.65</v>
      </c>
      <c r="R385" cm="1">
        <f t="array" ref="R385">_xlfn.ANCHORARRAY(H385)</f>
        <v>9.99</v>
      </c>
      <c r="S385" cm="1">
        <f t="array" ref="S385">_xlfn.ANCHORARRAY(R385)+0.15</f>
        <v>10.14</v>
      </c>
      <c r="T385" cm="1">
        <f t="array" ref="T385">_xlfn.ANCHORARRAY(I385)+0.15</f>
        <v>1.1499999999999999</v>
      </c>
      <c r="U385" cm="1">
        <f t="array" ref="U385">_xlfn.ANCHORARRAY(J385)+0.15</f>
        <v>3.15</v>
      </c>
      <c r="V385" cm="1">
        <f t="array" ref="V385">_xlfn.ANCHORARRAY(K385)+0.15</f>
        <v>4.6500000000000004</v>
      </c>
      <c r="W385">
        <f>TBL_TEV[[#This Row],[Etica Rendita Bilanciata]]</f>
        <v>1.4853780000000001</v>
      </c>
      <c r="X385">
        <f>TBL_TEV[[#This Row],[Etica Obbligazionario Breve Termine]]</f>
        <v>0.31796600000000003</v>
      </c>
      <c r="Y385">
        <f>TBL_TEV[[#This Row],[Etica Obbligazionario Misto]]</f>
        <v>0.72340099999999996</v>
      </c>
      <c r="Z385">
        <f>TBL_TEV[[#This Row],[Etica Bilanciato]]</f>
        <v>2.0486049999999998</v>
      </c>
      <c r="AA385">
        <f>TBL_TEV[[#This Row],[Etica Azionario]]</f>
        <v>2.9785339999999998</v>
      </c>
      <c r="AB385">
        <f>TBL_TEV[[#This Row],[Etica Transizione Climatica]]</f>
        <v>2.2200500000000001</v>
      </c>
      <c r="AC385">
        <f>TBL_TEV[[#This Row],[Etica Obiettivo Sociale]]</f>
        <v>7.907239641046572</v>
      </c>
      <c r="AD385">
        <f>TBL_TEV[[#This Row],[Etica Conservative Allocation]]</f>
        <v>0.64148899999999998</v>
      </c>
      <c r="AE385">
        <f>TBL_TEV[[#This Row],[Etica Dynamic Allocation]]</f>
        <v>1.9892350000000001</v>
      </c>
      <c r="AF385">
        <f>TBL_TEV[[#This Row],[Etica Global Equity]]</f>
        <v>2.9683739999999998</v>
      </c>
      <c r="AL385">
        <f ca="1"/>
        <v>1.475536</v>
      </c>
      <c r="AM385">
        <f ca="1"/>
        <v>0.31637900000000002</v>
      </c>
      <c r="AN385">
        <f ca="1"/>
        <v>0.72038500000000005</v>
      </c>
      <c r="AO385">
        <f ca="1"/>
        <v>2.0393979999999998</v>
      </c>
      <c r="AP385">
        <f ca="1"/>
        <v>2.9625010000000001</v>
      </c>
      <c r="AQ385">
        <f ca="1"/>
        <v>2.1852849999999999</v>
      </c>
      <c r="AR385">
        <f ca="1"/>
        <v>7.7930059811085952</v>
      </c>
      <c r="AS385">
        <f ca="1"/>
        <v>0.63577399999999995</v>
      </c>
      <c r="AT385">
        <f ca="1"/>
        <v>1.973201</v>
      </c>
      <c r="AU385">
        <f ca="1"/>
        <v>2.9456739999999999</v>
      </c>
    </row>
    <row r="386" spans="1:47">
      <c r="A386" s="43">
        <f>TBL_TEV[[#This Row],[Data2]]</f>
        <v>45842</v>
      </c>
      <c r="B386" cm="1">
        <f t="array" ref="B386">_xlfn.XLOOKUP(_xlfn.ANCHORARRAY(A386), TBL_Limiti_CDA[Data], TBL_Limiti_CDA[Etica Rendita Bilanciata], , -1)</f>
        <v>2.5</v>
      </c>
      <c r="C386" cm="1">
        <f t="array" ref="C386">_xlfn.XLOOKUP(_xlfn.ANCHORARRAY(A386), TBL_Limiti_CDA[Data], TBL_Limiti_CDA[Etica Obbligazionario Breve Termine], , -1)</f>
        <v>0.5</v>
      </c>
      <c r="D386" cm="1">
        <f t="array" ref="D386">_xlfn.XLOOKUP(_xlfn.ANCHORARRAY(A386), TBL_Limiti_CDA[Data], TBL_Limiti_CDA[Etica Obbligazionario Misto], , -1)</f>
        <v>1</v>
      </c>
      <c r="E386" cm="1">
        <f t="array" ref="E386">_xlfn.XLOOKUP(_xlfn.ANCHORARRAY(A386), TBL_Limiti_CDA[Data], TBL_Limiti_CDA[Etica Bilanciato], , -1)</f>
        <v>3</v>
      </c>
      <c r="F386" cm="1">
        <f t="array" ref="F386">_xlfn.XLOOKUP(_xlfn.ANCHORARRAY(A386), TBL_Limiti_CDA[Data], TBL_Limiti_CDA[Etica Azionario], , -1)</f>
        <v>4.5</v>
      </c>
      <c r="G386" cm="1">
        <f t="array" ref="G386">_xlfn.XLOOKUP(_xlfn.ANCHORARRAY(A386), TBL_Limiti_CDA[Data], TBL_Limiti_CDA[Etica Transizione Climatica], , -1)</f>
        <v>3.5</v>
      </c>
      <c r="H386" cm="1">
        <f t="array" ref="H386">_xlfn.XLOOKUP(_xlfn.ANCHORARRAY(A386), TBL_Limiti_CDA[Data], TBL_Limiti_CDA[Etica Obiettivo Sociale], , -1)</f>
        <v>9.99</v>
      </c>
      <c r="I386" cm="1">
        <f t="array" ref="I386">_xlfn.XLOOKUP(_xlfn.ANCHORARRAY(A386), TBL_Limiti_CDA[Data], TBL_Limiti_CDA[Etica Conservative Allocation], , -1)</f>
        <v>1</v>
      </c>
      <c r="J386" cm="1">
        <f t="array" ref="J386">_xlfn.XLOOKUP(_xlfn.ANCHORARRAY(A386), TBL_Limiti_CDA[Data], TBL_Limiti_CDA[Etica Dynamic Allocation], , -1)</f>
        <v>3</v>
      </c>
      <c r="K386" cm="1">
        <f t="array" ref="K386">_xlfn.XLOOKUP(_xlfn.ANCHORARRAY(A386), TBL_Limiti_CDA[Data], TBL_Limiti_CDA[Etica Global Equity], , -1)</f>
        <v>4.5</v>
      </c>
      <c r="L386" cm="1">
        <f t="array" ref="L386">_xlfn.ANCHORARRAY(B386)+0.15</f>
        <v>2.65</v>
      </c>
      <c r="M386" cm="1">
        <f t="array" ref="M386">_xlfn.ANCHORARRAY(C386)+0.1</f>
        <v>0.6</v>
      </c>
      <c r="N386" cm="1">
        <f t="array" ref="N386">_xlfn.ANCHORARRAY(D386)+0.15</f>
        <v>1.1499999999999999</v>
      </c>
      <c r="O386" cm="1">
        <f t="array" ref="O386">_xlfn.ANCHORARRAY(E386)+0.15</f>
        <v>3.15</v>
      </c>
      <c r="P386" cm="1">
        <f t="array" ref="P386">_xlfn.ANCHORARRAY(F386)+0.15</f>
        <v>4.6500000000000004</v>
      </c>
      <c r="Q386" cm="1">
        <f t="array" ref="Q386">_xlfn.ANCHORARRAY(G386)+0.15</f>
        <v>3.65</v>
      </c>
      <c r="R386" cm="1">
        <f t="array" ref="R386">_xlfn.ANCHORARRAY(H386)</f>
        <v>9.99</v>
      </c>
      <c r="S386" cm="1">
        <f t="array" ref="S386">_xlfn.ANCHORARRAY(R386)+0.15</f>
        <v>10.14</v>
      </c>
      <c r="T386" cm="1">
        <f t="array" ref="T386">_xlfn.ANCHORARRAY(I386)+0.15</f>
        <v>1.1499999999999999</v>
      </c>
      <c r="U386" cm="1">
        <f t="array" ref="U386">_xlfn.ANCHORARRAY(J386)+0.15</f>
        <v>3.15</v>
      </c>
      <c r="V386" cm="1">
        <f t="array" ref="V386">_xlfn.ANCHORARRAY(K386)+0.15</f>
        <v>4.6500000000000004</v>
      </c>
      <c r="W386">
        <f>TBL_TEV[[#This Row],[Etica Rendita Bilanciata]]</f>
        <v>1.475536</v>
      </c>
      <c r="X386">
        <f>TBL_TEV[[#This Row],[Etica Obbligazionario Breve Termine]]</f>
        <v>0.31637900000000002</v>
      </c>
      <c r="Y386">
        <f>TBL_TEV[[#This Row],[Etica Obbligazionario Misto]]</f>
        <v>0.72038500000000005</v>
      </c>
      <c r="Z386">
        <f>TBL_TEV[[#This Row],[Etica Bilanciato]]</f>
        <v>2.0393979999999998</v>
      </c>
      <c r="AA386">
        <f>TBL_TEV[[#This Row],[Etica Azionario]]</f>
        <v>2.9625010000000001</v>
      </c>
      <c r="AB386">
        <f>TBL_TEV[[#This Row],[Etica Transizione Climatica]]</f>
        <v>2.1852849999999999</v>
      </c>
      <c r="AC386">
        <f>TBL_TEV[[#This Row],[Etica Obiettivo Sociale]]</f>
        <v>7.7930059811085952</v>
      </c>
      <c r="AD386">
        <f>TBL_TEV[[#This Row],[Etica Conservative Allocation]]</f>
        <v>0.63577399999999995</v>
      </c>
      <c r="AE386">
        <f>TBL_TEV[[#This Row],[Etica Dynamic Allocation]]</f>
        <v>1.973201</v>
      </c>
      <c r="AF386">
        <f>TBL_TEV[[#This Row],[Etica Global Equity]]</f>
        <v>2.9456739999999999</v>
      </c>
      <c r="AL386">
        <f ca="1"/>
        <v>1.4706140000000001</v>
      </c>
      <c r="AM386">
        <f ca="1"/>
        <v>0.315585</v>
      </c>
      <c r="AN386">
        <f ca="1"/>
        <v>0.71990900000000002</v>
      </c>
      <c r="AO386">
        <f ca="1"/>
        <v>2.0398740000000002</v>
      </c>
      <c r="AP386">
        <f ca="1"/>
        <v>2.9547219999999998</v>
      </c>
      <c r="AQ386">
        <f ca="1"/>
        <v>2.197667</v>
      </c>
      <c r="AR386">
        <f ca="1"/>
        <v>7.6552644262343099</v>
      </c>
      <c r="AS386">
        <f ca="1"/>
        <v>0.63228200000000001</v>
      </c>
      <c r="AT386">
        <f ca="1"/>
        <v>1.96574</v>
      </c>
      <c r="AU386">
        <f ca="1"/>
        <v>2.9378950000000001</v>
      </c>
    </row>
    <row r="387" spans="1:47">
      <c r="A387" s="43">
        <f>TBL_TEV[[#This Row],[Data2]]</f>
        <v>45845</v>
      </c>
      <c r="B387" cm="1">
        <f t="array" ref="B387">_xlfn.XLOOKUP(_xlfn.ANCHORARRAY(A387), TBL_Limiti_CDA[Data], TBL_Limiti_CDA[Etica Rendita Bilanciata], , -1)</f>
        <v>2.5</v>
      </c>
      <c r="C387" cm="1">
        <f t="array" ref="C387">_xlfn.XLOOKUP(_xlfn.ANCHORARRAY(A387), TBL_Limiti_CDA[Data], TBL_Limiti_CDA[Etica Obbligazionario Breve Termine], , -1)</f>
        <v>0.5</v>
      </c>
      <c r="D387" cm="1">
        <f t="array" ref="D387">_xlfn.XLOOKUP(_xlfn.ANCHORARRAY(A387), TBL_Limiti_CDA[Data], TBL_Limiti_CDA[Etica Obbligazionario Misto], , -1)</f>
        <v>1</v>
      </c>
      <c r="E387" cm="1">
        <f t="array" ref="E387">_xlfn.XLOOKUP(_xlfn.ANCHORARRAY(A387), TBL_Limiti_CDA[Data], TBL_Limiti_CDA[Etica Bilanciato], , -1)</f>
        <v>3</v>
      </c>
      <c r="F387" cm="1">
        <f t="array" ref="F387">_xlfn.XLOOKUP(_xlfn.ANCHORARRAY(A387), TBL_Limiti_CDA[Data], TBL_Limiti_CDA[Etica Azionario], , -1)</f>
        <v>4.5</v>
      </c>
      <c r="G387" cm="1">
        <f t="array" ref="G387">_xlfn.XLOOKUP(_xlfn.ANCHORARRAY(A387), TBL_Limiti_CDA[Data], TBL_Limiti_CDA[Etica Transizione Climatica], , -1)</f>
        <v>3.5</v>
      </c>
      <c r="H387" cm="1">
        <f t="array" ref="H387">_xlfn.XLOOKUP(_xlfn.ANCHORARRAY(A387), TBL_Limiti_CDA[Data], TBL_Limiti_CDA[Etica Obiettivo Sociale], , -1)</f>
        <v>9.99</v>
      </c>
      <c r="I387" cm="1">
        <f t="array" ref="I387">_xlfn.XLOOKUP(_xlfn.ANCHORARRAY(A387), TBL_Limiti_CDA[Data], TBL_Limiti_CDA[Etica Conservative Allocation], , -1)</f>
        <v>1</v>
      </c>
      <c r="J387" cm="1">
        <f t="array" ref="J387">_xlfn.XLOOKUP(_xlfn.ANCHORARRAY(A387), TBL_Limiti_CDA[Data], TBL_Limiti_CDA[Etica Dynamic Allocation], , -1)</f>
        <v>3</v>
      </c>
      <c r="K387" cm="1">
        <f t="array" ref="K387">_xlfn.XLOOKUP(_xlfn.ANCHORARRAY(A387), TBL_Limiti_CDA[Data], TBL_Limiti_CDA[Etica Global Equity], , -1)</f>
        <v>4.5</v>
      </c>
      <c r="L387" cm="1">
        <f t="array" ref="L387">_xlfn.ANCHORARRAY(B387)+0.15</f>
        <v>2.65</v>
      </c>
      <c r="M387" cm="1">
        <f t="array" ref="M387">_xlfn.ANCHORARRAY(C387)+0.1</f>
        <v>0.6</v>
      </c>
      <c r="N387" cm="1">
        <f t="array" ref="N387">_xlfn.ANCHORARRAY(D387)+0.15</f>
        <v>1.1499999999999999</v>
      </c>
      <c r="O387" cm="1">
        <f t="array" ref="O387">_xlfn.ANCHORARRAY(E387)+0.15</f>
        <v>3.15</v>
      </c>
      <c r="P387" cm="1">
        <f t="array" ref="P387">_xlfn.ANCHORARRAY(F387)+0.15</f>
        <v>4.6500000000000004</v>
      </c>
      <c r="Q387" cm="1">
        <f t="array" ref="Q387">_xlfn.ANCHORARRAY(G387)+0.15</f>
        <v>3.65</v>
      </c>
      <c r="R387" cm="1">
        <f t="array" ref="R387">_xlfn.ANCHORARRAY(H387)</f>
        <v>9.99</v>
      </c>
      <c r="S387" cm="1">
        <f t="array" ref="S387">_xlfn.ANCHORARRAY(R387)+0.15</f>
        <v>10.14</v>
      </c>
      <c r="T387" cm="1">
        <f t="array" ref="T387">_xlfn.ANCHORARRAY(I387)+0.15</f>
        <v>1.1499999999999999</v>
      </c>
      <c r="U387" cm="1">
        <f t="array" ref="U387">_xlfn.ANCHORARRAY(J387)+0.15</f>
        <v>3.15</v>
      </c>
      <c r="V387" cm="1">
        <f t="array" ref="V387">_xlfn.ANCHORARRAY(K387)+0.15</f>
        <v>4.6500000000000004</v>
      </c>
      <c r="W387">
        <f>TBL_TEV[[#This Row],[Etica Rendita Bilanciata]]</f>
        <v>1.4706140000000001</v>
      </c>
      <c r="X387">
        <f>TBL_TEV[[#This Row],[Etica Obbligazionario Breve Termine]]</f>
        <v>0.315585</v>
      </c>
      <c r="Y387">
        <f>TBL_TEV[[#This Row],[Etica Obbligazionario Misto]]</f>
        <v>0.71990900000000002</v>
      </c>
      <c r="Z387">
        <f>TBL_TEV[[#This Row],[Etica Bilanciato]]</f>
        <v>2.0398740000000002</v>
      </c>
      <c r="AA387">
        <f>TBL_TEV[[#This Row],[Etica Azionario]]</f>
        <v>2.9547219999999998</v>
      </c>
      <c r="AB387">
        <f>TBL_TEV[[#This Row],[Etica Transizione Climatica]]</f>
        <v>2.197667</v>
      </c>
      <c r="AC387">
        <f>TBL_TEV[[#This Row],[Etica Obiettivo Sociale]]</f>
        <v>7.6552644262343099</v>
      </c>
      <c r="AD387">
        <f>TBL_TEV[[#This Row],[Etica Conservative Allocation]]</f>
        <v>0.63228200000000001</v>
      </c>
      <c r="AE387">
        <f>TBL_TEV[[#This Row],[Etica Dynamic Allocation]]</f>
        <v>1.96574</v>
      </c>
      <c r="AF387">
        <f>TBL_TEV[[#This Row],[Etica Global Equity]]</f>
        <v>2.9378950000000001</v>
      </c>
      <c r="AL387">
        <f ca="1"/>
        <v>1.4620420000000001</v>
      </c>
      <c r="AM387">
        <f ca="1"/>
        <v>0.31431500000000001</v>
      </c>
      <c r="AN387">
        <f ca="1"/>
        <v>0.71467000000000003</v>
      </c>
      <c r="AO387">
        <f ca="1"/>
        <v>2.0459070000000001</v>
      </c>
      <c r="AP387">
        <f ca="1"/>
        <v>2.9691679999999998</v>
      </c>
      <c r="AQ387">
        <f ca="1"/>
        <v>2.2181449999999998</v>
      </c>
      <c r="AR387">
        <f ca="1"/>
        <v>7.650026392372852</v>
      </c>
      <c r="AS387">
        <f ca="1"/>
        <v>0.625614</v>
      </c>
      <c r="AT387">
        <f ca="1"/>
        <v>1.973519</v>
      </c>
      <c r="AU387">
        <f ca="1"/>
        <v>2.952976</v>
      </c>
    </row>
    <row r="388" spans="1:47">
      <c r="A388" s="43">
        <f>TBL_TEV[[#This Row],[Data2]]</f>
        <v>45846</v>
      </c>
      <c r="B388" cm="1">
        <f t="array" ref="B388">_xlfn.XLOOKUP(_xlfn.ANCHORARRAY(A388), TBL_Limiti_CDA[Data], TBL_Limiti_CDA[Etica Rendita Bilanciata], , -1)</f>
        <v>2.5</v>
      </c>
      <c r="C388" cm="1">
        <f t="array" ref="C388">_xlfn.XLOOKUP(_xlfn.ANCHORARRAY(A388), TBL_Limiti_CDA[Data], TBL_Limiti_CDA[Etica Obbligazionario Breve Termine], , -1)</f>
        <v>0.5</v>
      </c>
      <c r="D388" cm="1">
        <f t="array" ref="D388">_xlfn.XLOOKUP(_xlfn.ANCHORARRAY(A388), TBL_Limiti_CDA[Data], TBL_Limiti_CDA[Etica Obbligazionario Misto], , -1)</f>
        <v>1</v>
      </c>
      <c r="E388" cm="1">
        <f t="array" ref="E388">_xlfn.XLOOKUP(_xlfn.ANCHORARRAY(A388), TBL_Limiti_CDA[Data], TBL_Limiti_CDA[Etica Bilanciato], , -1)</f>
        <v>3</v>
      </c>
      <c r="F388" cm="1">
        <f t="array" ref="F388">_xlfn.XLOOKUP(_xlfn.ANCHORARRAY(A388), TBL_Limiti_CDA[Data], TBL_Limiti_CDA[Etica Azionario], , -1)</f>
        <v>4.5</v>
      </c>
      <c r="G388" cm="1">
        <f t="array" ref="G388">_xlfn.XLOOKUP(_xlfn.ANCHORARRAY(A388), TBL_Limiti_CDA[Data], TBL_Limiti_CDA[Etica Transizione Climatica], , -1)</f>
        <v>3.5</v>
      </c>
      <c r="H388" cm="1">
        <f t="array" ref="H388">_xlfn.XLOOKUP(_xlfn.ANCHORARRAY(A388), TBL_Limiti_CDA[Data], TBL_Limiti_CDA[Etica Obiettivo Sociale], , -1)</f>
        <v>9.99</v>
      </c>
      <c r="I388" cm="1">
        <f t="array" ref="I388">_xlfn.XLOOKUP(_xlfn.ANCHORARRAY(A388), TBL_Limiti_CDA[Data], TBL_Limiti_CDA[Etica Conservative Allocation], , -1)</f>
        <v>1</v>
      </c>
      <c r="J388" cm="1">
        <f t="array" ref="J388">_xlfn.XLOOKUP(_xlfn.ANCHORARRAY(A388), TBL_Limiti_CDA[Data], TBL_Limiti_CDA[Etica Dynamic Allocation], , -1)</f>
        <v>3</v>
      </c>
      <c r="K388" cm="1">
        <f t="array" ref="K388">_xlfn.XLOOKUP(_xlfn.ANCHORARRAY(A388), TBL_Limiti_CDA[Data], TBL_Limiti_CDA[Etica Global Equity], , -1)</f>
        <v>4.5</v>
      </c>
      <c r="L388" cm="1">
        <f t="array" ref="L388">_xlfn.ANCHORARRAY(B388)+0.15</f>
        <v>2.65</v>
      </c>
      <c r="M388" cm="1">
        <f t="array" ref="M388">_xlfn.ANCHORARRAY(C388)+0.1</f>
        <v>0.6</v>
      </c>
      <c r="N388" cm="1">
        <f t="array" ref="N388">_xlfn.ANCHORARRAY(D388)+0.15</f>
        <v>1.1499999999999999</v>
      </c>
      <c r="O388" cm="1">
        <f t="array" ref="O388">_xlfn.ANCHORARRAY(E388)+0.15</f>
        <v>3.15</v>
      </c>
      <c r="P388" cm="1">
        <f t="array" ref="P388">_xlfn.ANCHORARRAY(F388)+0.15</f>
        <v>4.6500000000000004</v>
      </c>
      <c r="Q388" cm="1">
        <f t="array" ref="Q388">_xlfn.ANCHORARRAY(G388)+0.15</f>
        <v>3.65</v>
      </c>
      <c r="R388" cm="1">
        <f t="array" ref="R388">_xlfn.ANCHORARRAY(H388)</f>
        <v>9.99</v>
      </c>
      <c r="S388" cm="1">
        <f t="array" ref="S388">_xlfn.ANCHORARRAY(R388)+0.15</f>
        <v>10.14</v>
      </c>
      <c r="T388" cm="1">
        <f t="array" ref="T388">_xlfn.ANCHORARRAY(I388)+0.15</f>
        <v>1.1499999999999999</v>
      </c>
      <c r="U388" cm="1">
        <f t="array" ref="U388">_xlfn.ANCHORARRAY(J388)+0.15</f>
        <v>3.15</v>
      </c>
      <c r="V388" cm="1">
        <f t="array" ref="V388">_xlfn.ANCHORARRAY(K388)+0.15</f>
        <v>4.6500000000000004</v>
      </c>
      <c r="W388">
        <f>TBL_TEV[[#This Row],[Etica Rendita Bilanciata]]</f>
        <v>1.4620420000000001</v>
      </c>
      <c r="X388">
        <f>TBL_TEV[[#This Row],[Etica Obbligazionario Breve Termine]]</f>
        <v>0.31431500000000001</v>
      </c>
      <c r="Y388">
        <f>TBL_TEV[[#This Row],[Etica Obbligazionario Misto]]</f>
        <v>0.71467000000000003</v>
      </c>
      <c r="Z388">
        <f>TBL_TEV[[#This Row],[Etica Bilanciato]]</f>
        <v>2.0459070000000001</v>
      </c>
      <c r="AA388">
        <f>TBL_TEV[[#This Row],[Etica Azionario]]</f>
        <v>2.9691679999999998</v>
      </c>
      <c r="AB388">
        <f>TBL_TEV[[#This Row],[Etica Transizione Climatica]]</f>
        <v>2.2181449999999998</v>
      </c>
      <c r="AC388">
        <f>TBL_TEV[[#This Row],[Etica Obiettivo Sociale]]</f>
        <v>7.650026392372852</v>
      </c>
      <c r="AD388">
        <f>TBL_TEV[[#This Row],[Etica Conservative Allocation]]</f>
        <v>0.625614</v>
      </c>
      <c r="AE388">
        <f>TBL_TEV[[#This Row],[Etica Dynamic Allocation]]</f>
        <v>1.973519</v>
      </c>
      <c r="AF388">
        <f>TBL_TEV[[#This Row],[Etica Global Equity]]</f>
        <v>2.952976</v>
      </c>
      <c r="AL388">
        <f ca="1"/>
        <v>1.46109</v>
      </c>
      <c r="AM388">
        <f ca="1"/>
        <v>0.31304500000000002</v>
      </c>
      <c r="AN388">
        <f ca="1"/>
        <v>0.710225</v>
      </c>
      <c r="AO388">
        <f ca="1"/>
        <v>2.0473349999999999</v>
      </c>
      <c r="AP388">
        <f ca="1"/>
        <v>2.962342</v>
      </c>
      <c r="AQ388">
        <f ca="1"/>
        <v>2.240211</v>
      </c>
      <c r="AR388">
        <f ca="1"/>
        <v>7.7524010934831917</v>
      </c>
      <c r="AS388">
        <f ca="1"/>
        <v>0.62307400000000002</v>
      </c>
      <c r="AT388">
        <f ca="1"/>
        <v>1.9617720000000001</v>
      </c>
      <c r="AU388">
        <f ca="1"/>
        <v>2.9345620000000001</v>
      </c>
    </row>
    <row r="389" spans="1:47">
      <c r="A389" s="43">
        <f>TBL_TEV[[#This Row],[Data2]]</f>
        <v>45847</v>
      </c>
      <c r="B389" cm="1">
        <f t="array" ref="B389">_xlfn.XLOOKUP(_xlfn.ANCHORARRAY(A389), TBL_Limiti_CDA[Data], TBL_Limiti_CDA[Etica Rendita Bilanciata], , -1)</f>
        <v>2.5</v>
      </c>
      <c r="C389" cm="1">
        <f t="array" ref="C389">_xlfn.XLOOKUP(_xlfn.ANCHORARRAY(A389), TBL_Limiti_CDA[Data], TBL_Limiti_CDA[Etica Obbligazionario Breve Termine], , -1)</f>
        <v>0.5</v>
      </c>
      <c r="D389" cm="1">
        <f t="array" ref="D389">_xlfn.XLOOKUP(_xlfn.ANCHORARRAY(A389), TBL_Limiti_CDA[Data], TBL_Limiti_CDA[Etica Obbligazionario Misto], , -1)</f>
        <v>1</v>
      </c>
      <c r="E389" cm="1">
        <f t="array" ref="E389">_xlfn.XLOOKUP(_xlfn.ANCHORARRAY(A389), TBL_Limiti_CDA[Data], TBL_Limiti_CDA[Etica Bilanciato], , -1)</f>
        <v>3</v>
      </c>
      <c r="F389" cm="1">
        <f t="array" ref="F389">_xlfn.XLOOKUP(_xlfn.ANCHORARRAY(A389), TBL_Limiti_CDA[Data], TBL_Limiti_CDA[Etica Azionario], , -1)</f>
        <v>4.5</v>
      </c>
      <c r="G389" cm="1">
        <f t="array" ref="G389">_xlfn.XLOOKUP(_xlfn.ANCHORARRAY(A389), TBL_Limiti_CDA[Data], TBL_Limiti_CDA[Etica Transizione Climatica], , -1)</f>
        <v>3.5</v>
      </c>
      <c r="H389" cm="1">
        <f t="array" ref="H389">_xlfn.XLOOKUP(_xlfn.ANCHORARRAY(A389), TBL_Limiti_CDA[Data], TBL_Limiti_CDA[Etica Obiettivo Sociale], , -1)</f>
        <v>9.99</v>
      </c>
      <c r="I389" cm="1">
        <f t="array" ref="I389">_xlfn.XLOOKUP(_xlfn.ANCHORARRAY(A389), TBL_Limiti_CDA[Data], TBL_Limiti_CDA[Etica Conservative Allocation], , -1)</f>
        <v>1</v>
      </c>
      <c r="J389" cm="1">
        <f t="array" ref="J389">_xlfn.XLOOKUP(_xlfn.ANCHORARRAY(A389), TBL_Limiti_CDA[Data], TBL_Limiti_CDA[Etica Dynamic Allocation], , -1)</f>
        <v>3</v>
      </c>
      <c r="K389" cm="1">
        <f t="array" ref="K389">_xlfn.XLOOKUP(_xlfn.ANCHORARRAY(A389), TBL_Limiti_CDA[Data], TBL_Limiti_CDA[Etica Global Equity], , -1)</f>
        <v>4.5</v>
      </c>
      <c r="L389" cm="1">
        <f t="array" ref="L389">_xlfn.ANCHORARRAY(B389)+0.15</f>
        <v>2.65</v>
      </c>
      <c r="M389" cm="1">
        <f t="array" ref="M389">_xlfn.ANCHORARRAY(C389)+0.1</f>
        <v>0.6</v>
      </c>
      <c r="N389" cm="1">
        <f t="array" ref="N389">_xlfn.ANCHORARRAY(D389)+0.15</f>
        <v>1.1499999999999999</v>
      </c>
      <c r="O389" cm="1">
        <f t="array" ref="O389">_xlfn.ANCHORARRAY(E389)+0.15</f>
        <v>3.15</v>
      </c>
      <c r="P389" cm="1">
        <f t="array" ref="P389">_xlfn.ANCHORARRAY(F389)+0.15</f>
        <v>4.6500000000000004</v>
      </c>
      <c r="Q389" cm="1">
        <f t="array" ref="Q389">_xlfn.ANCHORARRAY(G389)+0.15</f>
        <v>3.65</v>
      </c>
      <c r="R389" cm="1">
        <f t="array" ref="R389">_xlfn.ANCHORARRAY(H389)</f>
        <v>9.99</v>
      </c>
      <c r="S389" cm="1">
        <f t="array" ref="S389">_xlfn.ANCHORARRAY(R389)+0.15</f>
        <v>10.14</v>
      </c>
      <c r="T389" cm="1">
        <f t="array" ref="T389">_xlfn.ANCHORARRAY(I389)+0.15</f>
        <v>1.1499999999999999</v>
      </c>
      <c r="U389" cm="1">
        <f t="array" ref="U389">_xlfn.ANCHORARRAY(J389)+0.15</f>
        <v>3.15</v>
      </c>
      <c r="V389" cm="1">
        <f t="array" ref="V389">_xlfn.ANCHORARRAY(K389)+0.15</f>
        <v>4.6500000000000004</v>
      </c>
      <c r="W389">
        <f>TBL_TEV[[#This Row],[Etica Rendita Bilanciata]]</f>
        <v>1.46109</v>
      </c>
      <c r="X389">
        <f>TBL_TEV[[#This Row],[Etica Obbligazionario Breve Termine]]</f>
        <v>0.31304500000000002</v>
      </c>
      <c r="Y389">
        <f>TBL_TEV[[#This Row],[Etica Obbligazionario Misto]]</f>
        <v>0.710225</v>
      </c>
      <c r="Z389">
        <f>TBL_TEV[[#This Row],[Etica Bilanciato]]</f>
        <v>2.0473349999999999</v>
      </c>
      <c r="AA389">
        <f>TBL_TEV[[#This Row],[Etica Azionario]]</f>
        <v>2.962342</v>
      </c>
      <c r="AB389">
        <f>TBL_TEV[[#This Row],[Etica Transizione Climatica]]</f>
        <v>2.240211</v>
      </c>
      <c r="AC389">
        <f>TBL_TEV[[#This Row],[Etica Obiettivo Sociale]]</f>
        <v>7.7524010934831917</v>
      </c>
      <c r="AD389">
        <f>TBL_TEV[[#This Row],[Etica Conservative Allocation]]</f>
        <v>0.62307400000000002</v>
      </c>
      <c r="AE389">
        <f>TBL_TEV[[#This Row],[Etica Dynamic Allocation]]</f>
        <v>1.9617720000000001</v>
      </c>
      <c r="AF389">
        <f>TBL_TEV[[#This Row],[Etica Global Equity]]</f>
        <v>2.9345620000000001</v>
      </c>
      <c r="AL389">
        <f ca="1"/>
        <v>1.453311</v>
      </c>
      <c r="AM389">
        <f ca="1"/>
        <v>0.31129899999999999</v>
      </c>
      <c r="AN389">
        <f ca="1"/>
        <v>0.70689199999999996</v>
      </c>
      <c r="AO389">
        <f ca="1"/>
        <v>2.0441600000000002</v>
      </c>
      <c r="AP389">
        <f ca="1"/>
        <v>2.9548809999999999</v>
      </c>
      <c r="AQ389">
        <f ca="1"/>
        <v>2.2400519999999999</v>
      </c>
      <c r="AR389">
        <f ca="1"/>
        <v>7.6994355028319914</v>
      </c>
      <c r="AS389">
        <f ca="1"/>
        <v>0.61926499999999995</v>
      </c>
      <c r="AT389">
        <f ca="1"/>
        <v>1.9593910000000001</v>
      </c>
      <c r="AU389">
        <f ca="1"/>
        <v>2.9272589999999998</v>
      </c>
    </row>
    <row r="390" spans="1:47">
      <c r="A390" s="43">
        <f>TBL_TEV[[#This Row],[Data2]]</f>
        <v>45848</v>
      </c>
      <c r="B390" cm="1">
        <f t="array" ref="B390">_xlfn.XLOOKUP(_xlfn.ANCHORARRAY(A390), TBL_Limiti_CDA[Data], TBL_Limiti_CDA[Etica Rendita Bilanciata], , -1)</f>
        <v>2.5</v>
      </c>
      <c r="C390" cm="1">
        <f t="array" ref="C390">_xlfn.XLOOKUP(_xlfn.ANCHORARRAY(A390), TBL_Limiti_CDA[Data], TBL_Limiti_CDA[Etica Obbligazionario Breve Termine], , -1)</f>
        <v>0.5</v>
      </c>
      <c r="D390" cm="1">
        <f t="array" ref="D390">_xlfn.XLOOKUP(_xlfn.ANCHORARRAY(A390), TBL_Limiti_CDA[Data], TBL_Limiti_CDA[Etica Obbligazionario Misto], , -1)</f>
        <v>1</v>
      </c>
      <c r="E390" cm="1">
        <f t="array" ref="E390">_xlfn.XLOOKUP(_xlfn.ANCHORARRAY(A390), TBL_Limiti_CDA[Data], TBL_Limiti_CDA[Etica Bilanciato], , -1)</f>
        <v>3</v>
      </c>
      <c r="F390" cm="1">
        <f t="array" ref="F390">_xlfn.XLOOKUP(_xlfn.ANCHORARRAY(A390), TBL_Limiti_CDA[Data], TBL_Limiti_CDA[Etica Azionario], , -1)</f>
        <v>4.5</v>
      </c>
      <c r="G390" cm="1">
        <f t="array" ref="G390">_xlfn.XLOOKUP(_xlfn.ANCHORARRAY(A390), TBL_Limiti_CDA[Data], TBL_Limiti_CDA[Etica Transizione Climatica], , -1)</f>
        <v>3.5</v>
      </c>
      <c r="H390" cm="1">
        <f t="array" ref="H390">_xlfn.XLOOKUP(_xlfn.ANCHORARRAY(A390), TBL_Limiti_CDA[Data], TBL_Limiti_CDA[Etica Obiettivo Sociale], , -1)</f>
        <v>9.99</v>
      </c>
      <c r="I390" cm="1">
        <f t="array" ref="I390">_xlfn.XLOOKUP(_xlfn.ANCHORARRAY(A390), TBL_Limiti_CDA[Data], TBL_Limiti_CDA[Etica Conservative Allocation], , -1)</f>
        <v>1</v>
      </c>
      <c r="J390" cm="1">
        <f t="array" ref="J390">_xlfn.XLOOKUP(_xlfn.ANCHORARRAY(A390), TBL_Limiti_CDA[Data], TBL_Limiti_CDA[Etica Dynamic Allocation], , -1)</f>
        <v>3</v>
      </c>
      <c r="K390" cm="1">
        <f t="array" ref="K390">_xlfn.XLOOKUP(_xlfn.ANCHORARRAY(A390), TBL_Limiti_CDA[Data], TBL_Limiti_CDA[Etica Global Equity], , -1)</f>
        <v>4.5</v>
      </c>
      <c r="L390" cm="1">
        <f t="array" ref="L390">_xlfn.ANCHORARRAY(B390)+0.15</f>
        <v>2.65</v>
      </c>
      <c r="M390" cm="1">
        <f t="array" ref="M390">_xlfn.ANCHORARRAY(C390)+0.1</f>
        <v>0.6</v>
      </c>
      <c r="N390" cm="1">
        <f t="array" ref="N390">_xlfn.ANCHORARRAY(D390)+0.15</f>
        <v>1.1499999999999999</v>
      </c>
      <c r="O390" cm="1">
        <f t="array" ref="O390">_xlfn.ANCHORARRAY(E390)+0.15</f>
        <v>3.15</v>
      </c>
      <c r="P390" cm="1">
        <f t="array" ref="P390">_xlfn.ANCHORARRAY(F390)+0.15</f>
        <v>4.6500000000000004</v>
      </c>
      <c r="Q390" cm="1">
        <f t="array" ref="Q390">_xlfn.ANCHORARRAY(G390)+0.15</f>
        <v>3.65</v>
      </c>
      <c r="R390" cm="1">
        <f t="array" ref="R390">_xlfn.ANCHORARRAY(H390)</f>
        <v>9.99</v>
      </c>
      <c r="S390" cm="1">
        <f t="array" ref="S390">_xlfn.ANCHORARRAY(R390)+0.15</f>
        <v>10.14</v>
      </c>
      <c r="T390" cm="1">
        <f t="array" ref="T390">_xlfn.ANCHORARRAY(I390)+0.15</f>
        <v>1.1499999999999999</v>
      </c>
      <c r="U390" cm="1">
        <f t="array" ref="U390">_xlfn.ANCHORARRAY(J390)+0.15</f>
        <v>3.15</v>
      </c>
      <c r="V390" cm="1">
        <f t="array" ref="V390">_xlfn.ANCHORARRAY(K390)+0.15</f>
        <v>4.6500000000000004</v>
      </c>
      <c r="W390">
        <f>TBL_TEV[[#This Row],[Etica Rendita Bilanciata]]</f>
        <v>1.453311</v>
      </c>
      <c r="X390">
        <f>TBL_TEV[[#This Row],[Etica Obbligazionario Breve Termine]]</f>
        <v>0.31129899999999999</v>
      </c>
      <c r="Y390">
        <f>TBL_TEV[[#This Row],[Etica Obbligazionario Misto]]</f>
        <v>0.70689199999999996</v>
      </c>
      <c r="Z390">
        <f>TBL_TEV[[#This Row],[Etica Bilanciato]]</f>
        <v>2.0441600000000002</v>
      </c>
      <c r="AA390">
        <f>TBL_TEV[[#This Row],[Etica Azionario]]</f>
        <v>2.9548809999999999</v>
      </c>
      <c r="AB390">
        <f>TBL_TEV[[#This Row],[Etica Transizione Climatica]]</f>
        <v>2.2400519999999999</v>
      </c>
      <c r="AC390">
        <f>TBL_TEV[[#This Row],[Etica Obiettivo Sociale]]</f>
        <v>7.6994355028319914</v>
      </c>
      <c r="AD390">
        <f>TBL_TEV[[#This Row],[Etica Conservative Allocation]]</f>
        <v>0.61926499999999995</v>
      </c>
      <c r="AE390">
        <f>TBL_TEV[[#This Row],[Etica Dynamic Allocation]]</f>
        <v>1.9593910000000001</v>
      </c>
      <c r="AF390">
        <f>TBL_TEV[[#This Row],[Etica Global Equity]]</f>
        <v>2.9272589999999998</v>
      </c>
      <c r="AL390">
        <f ca="1"/>
        <v>1.486013</v>
      </c>
      <c r="AM390">
        <f ca="1"/>
        <v>0.30986999999999998</v>
      </c>
      <c r="AN390">
        <f ca="1"/>
        <v>0.72006800000000004</v>
      </c>
      <c r="AO390">
        <f ca="1"/>
        <v>2.0459070000000001</v>
      </c>
      <c r="AP390">
        <f ca="1"/>
        <v>2.9429750000000001</v>
      </c>
      <c r="AQ390">
        <f ca="1"/>
        <v>2.2706900000000001</v>
      </c>
      <c r="AR390">
        <f ca="1"/>
        <v>7.5205207970425825</v>
      </c>
      <c r="AS390">
        <f ca="1"/>
        <v>0.62466200000000005</v>
      </c>
      <c r="AT390">
        <f ca="1"/>
        <v>1.9724079999999999</v>
      </c>
      <c r="AU390">
        <f ca="1"/>
        <v>2.9467850000000002</v>
      </c>
    </row>
    <row r="391" spans="1:47">
      <c r="A391" s="43">
        <f>TBL_TEV[[#This Row],[Data2]]</f>
        <v>45849</v>
      </c>
      <c r="B391" cm="1">
        <f t="array" ref="B391">_xlfn.XLOOKUP(_xlfn.ANCHORARRAY(A391), TBL_Limiti_CDA[Data], TBL_Limiti_CDA[Etica Rendita Bilanciata], , -1)</f>
        <v>2.5</v>
      </c>
      <c r="C391" cm="1">
        <f t="array" ref="C391">_xlfn.XLOOKUP(_xlfn.ANCHORARRAY(A391), TBL_Limiti_CDA[Data], TBL_Limiti_CDA[Etica Obbligazionario Breve Termine], , -1)</f>
        <v>0.5</v>
      </c>
      <c r="D391" cm="1">
        <f t="array" ref="D391">_xlfn.XLOOKUP(_xlfn.ANCHORARRAY(A391), TBL_Limiti_CDA[Data], TBL_Limiti_CDA[Etica Obbligazionario Misto], , -1)</f>
        <v>1</v>
      </c>
      <c r="E391" cm="1">
        <f t="array" ref="E391">_xlfn.XLOOKUP(_xlfn.ANCHORARRAY(A391), TBL_Limiti_CDA[Data], TBL_Limiti_CDA[Etica Bilanciato], , -1)</f>
        <v>3</v>
      </c>
      <c r="F391" cm="1">
        <f t="array" ref="F391">_xlfn.XLOOKUP(_xlfn.ANCHORARRAY(A391), TBL_Limiti_CDA[Data], TBL_Limiti_CDA[Etica Azionario], , -1)</f>
        <v>4.5</v>
      </c>
      <c r="G391" cm="1">
        <f t="array" ref="G391">_xlfn.XLOOKUP(_xlfn.ANCHORARRAY(A391), TBL_Limiti_CDA[Data], TBL_Limiti_CDA[Etica Transizione Climatica], , -1)</f>
        <v>3.5</v>
      </c>
      <c r="H391" cm="1">
        <f t="array" ref="H391">_xlfn.XLOOKUP(_xlfn.ANCHORARRAY(A391), TBL_Limiti_CDA[Data], TBL_Limiti_CDA[Etica Obiettivo Sociale], , -1)</f>
        <v>9.99</v>
      </c>
      <c r="I391" cm="1">
        <f t="array" ref="I391">_xlfn.XLOOKUP(_xlfn.ANCHORARRAY(A391), TBL_Limiti_CDA[Data], TBL_Limiti_CDA[Etica Conservative Allocation], , -1)</f>
        <v>1</v>
      </c>
      <c r="J391" cm="1">
        <f t="array" ref="J391">_xlfn.XLOOKUP(_xlfn.ANCHORARRAY(A391), TBL_Limiti_CDA[Data], TBL_Limiti_CDA[Etica Dynamic Allocation], , -1)</f>
        <v>3</v>
      </c>
      <c r="K391" cm="1">
        <f t="array" ref="K391">_xlfn.XLOOKUP(_xlfn.ANCHORARRAY(A391), TBL_Limiti_CDA[Data], TBL_Limiti_CDA[Etica Global Equity], , -1)</f>
        <v>4.5</v>
      </c>
      <c r="L391" cm="1">
        <f t="array" ref="L391">_xlfn.ANCHORARRAY(B391)+0.15</f>
        <v>2.65</v>
      </c>
      <c r="M391" cm="1">
        <f t="array" ref="M391">_xlfn.ANCHORARRAY(C391)+0.1</f>
        <v>0.6</v>
      </c>
      <c r="N391" cm="1">
        <f t="array" ref="N391">_xlfn.ANCHORARRAY(D391)+0.15</f>
        <v>1.1499999999999999</v>
      </c>
      <c r="O391" cm="1">
        <f t="array" ref="O391">_xlfn.ANCHORARRAY(E391)+0.15</f>
        <v>3.15</v>
      </c>
      <c r="P391" cm="1">
        <f t="array" ref="P391">_xlfn.ANCHORARRAY(F391)+0.15</f>
        <v>4.6500000000000004</v>
      </c>
      <c r="Q391" cm="1">
        <f t="array" ref="Q391">_xlfn.ANCHORARRAY(G391)+0.15</f>
        <v>3.65</v>
      </c>
      <c r="R391" cm="1">
        <f t="array" ref="R391">_xlfn.ANCHORARRAY(H391)</f>
        <v>9.99</v>
      </c>
      <c r="S391" cm="1">
        <f t="array" ref="S391">_xlfn.ANCHORARRAY(R391)+0.15</f>
        <v>10.14</v>
      </c>
      <c r="T391" cm="1">
        <f t="array" ref="T391">_xlfn.ANCHORARRAY(I391)+0.15</f>
        <v>1.1499999999999999</v>
      </c>
      <c r="U391" cm="1">
        <f t="array" ref="U391">_xlfn.ANCHORARRAY(J391)+0.15</f>
        <v>3.15</v>
      </c>
      <c r="V391" cm="1">
        <f t="array" ref="V391">_xlfn.ANCHORARRAY(K391)+0.15</f>
        <v>4.6500000000000004</v>
      </c>
      <c r="W391">
        <f>TBL_TEV[[#This Row],[Etica Rendita Bilanciata]]</f>
        <v>1.486013</v>
      </c>
      <c r="X391">
        <f>TBL_TEV[[#This Row],[Etica Obbligazionario Breve Termine]]</f>
        <v>0.30986999999999998</v>
      </c>
      <c r="Y391">
        <f>TBL_TEV[[#This Row],[Etica Obbligazionario Misto]]</f>
        <v>0.72006800000000004</v>
      </c>
      <c r="Z391">
        <f>TBL_TEV[[#This Row],[Etica Bilanciato]]</f>
        <v>2.0459070000000001</v>
      </c>
      <c r="AA391">
        <f>TBL_TEV[[#This Row],[Etica Azionario]]</f>
        <v>2.9429750000000001</v>
      </c>
      <c r="AB391">
        <f>TBL_TEV[[#This Row],[Etica Transizione Climatica]]</f>
        <v>2.2706900000000001</v>
      </c>
      <c r="AC391">
        <f>TBL_TEV[[#This Row],[Etica Obiettivo Sociale]]</f>
        <v>7.5205207970425825</v>
      </c>
      <c r="AD391">
        <f>TBL_TEV[[#This Row],[Etica Conservative Allocation]]</f>
        <v>0.62466200000000005</v>
      </c>
      <c r="AE391">
        <f>TBL_TEV[[#This Row],[Etica Dynamic Allocation]]</f>
        <v>1.9724079999999999</v>
      </c>
      <c r="AF391">
        <f>TBL_TEV[[#This Row],[Etica Global Equity]]</f>
        <v>2.9467850000000002</v>
      </c>
      <c r="AL391">
        <f ca="1"/>
        <v>1.493474</v>
      </c>
      <c r="AM391">
        <f ca="1"/>
        <v>0.30828299999999997</v>
      </c>
      <c r="AN391">
        <f ca="1"/>
        <v>0.723719</v>
      </c>
      <c r="AO391">
        <f ca="1"/>
        <v>2.0732110000000001</v>
      </c>
      <c r="AP391">
        <f ca="1"/>
        <v>2.9763109999999999</v>
      </c>
      <c r="AQ391">
        <f ca="1"/>
        <v>2.2722769999999999</v>
      </c>
      <c r="AR391">
        <f ca="1"/>
        <v>7.5300301202480657</v>
      </c>
      <c r="AS391">
        <f ca="1"/>
        <v>0.63466299999999998</v>
      </c>
      <c r="AT391">
        <f ca="1"/>
        <v>1.994632</v>
      </c>
      <c r="AU391">
        <f ca="1"/>
        <v>2.9848840000000001</v>
      </c>
    </row>
    <row r="392" spans="1:47">
      <c r="A392" s="43">
        <f>TBL_TEV[[#This Row],[Data2]]</f>
        <v>45852</v>
      </c>
      <c r="B392" cm="1">
        <f t="array" ref="B392">_xlfn.XLOOKUP(_xlfn.ANCHORARRAY(A392), TBL_Limiti_CDA[Data], TBL_Limiti_CDA[Etica Rendita Bilanciata], , -1)</f>
        <v>2.5</v>
      </c>
      <c r="C392" cm="1">
        <f t="array" ref="C392">_xlfn.XLOOKUP(_xlfn.ANCHORARRAY(A392), TBL_Limiti_CDA[Data], TBL_Limiti_CDA[Etica Obbligazionario Breve Termine], , -1)</f>
        <v>0.5</v>
      </c>
      <c r="D392" cm="1">
        <f t="array" ref="D392">_xlfn.XLOOKUP(_xlfn.ANCHORARRAY(A392), TBL_Limiti_CDA[Data], TBL_Limiti_CDA[Etica Obbligazionario Misto], , -1)</f>
        <v>1</v>
      </c>
      <c r="E392" cm="1">
        <f t="array" ref="E392">_xlfn.XLOOKUP(_xlfn.ANCHORARRAY(A392), TBL_Limiti_CDA[Data], TBL_Limiti_CDA[Etica Bilanciato], , -1)</f>
        <v>3</v>
      </c>
      <c r="F392" cm="1">
        <f t="array" ref="F392">_xlfn.XLOOKUP(_xlfn.ANCHORARRAY(A392), TBL_Limiti_CDA[Data], TBL_Limiti_CDA[Etica Azionario], , -1)</f>
        <v>4.5</v>
      </c>
      <c r="G392" cm="1">
        <f t="array" ref="G392">_xlfn.XLOOKUP(_xlfn.ANCHORARRAY(A392), TBL_Limiti_CDA[Data], TBL_Limiti_CDA[Etica Transizione Climatica], , -1)</f>
        <v>3.5</v>
      </c>
      <c r="H392" cm="1">
        <f t="array" ref="H392">_xlfn.XLOOKUP(_xlfn.ANCHORARRAY(A392), TBL_Limiti_CDA[Data], TBL_Limiti_CDA[Etica Obiettivo Sociale], , -1)</f>
        <v>9.99</v>
      </c>
      <c r="I392" cm="1">
        <f t="array" ref="I392">_xlfn.XLOOKUP(_xlfn.ANCHORARRAY(A392), TBL_Limiti_CDA[Data], TBL_Limiti_CDA[Etica Conservative Allocation], , -1)</f>
        <v>1</v>
      </c>
      <c r="J392" cm="1">
        <f t="array" ref="J392">_xlfn.XLOOKUP(_xlfn.ANCHORARRAY(A392), TBL_Limiti_CDA[Data], TBL_Limiti_CDA[Etica Dynamic Allocation], , -1)</f>
        <v>3</v>
      </c>
      <c r="K392" cm="1">
        <f t="array" ref="K392">_xlfn.XLOOKUP(_xlfn.ANCHORARRAY(A392), TBL_Limiti_CDA[Data], TBL_Limiti_CDA[Etica Global Equity], , -1)</f>
        <v>4.5</v>
      </c>
      <c r="L392" cm="1">
        <f t="array" ref="L392">_xlfn.ANCHORARRAY(B392)+0.15</f>
        <v>2.65</v>
      </c>
      <c r="M392" cm="1">
        <f t="array" ref="M392">_xlfn.ANCHORARRAY(C392)+0.1</f>
        <v>0.6</v>
      </c>
      <c r="N392" cm="1">
        <f t="array" ref="N392">_xlfn.ANCHORARRAY(D392)+0.15</f>
        <v>1.1499999999999999</v>
      </c>
      <c r="O392" cm="1">
        <f t="array" ref="O392">_xlfn.ANCHORARRAY(E392)+0.15</f>
        <v>3.15</v>
      </c>
      <c r="P392" cm="1">
        <f t="array" ref="P392">_xlfn.ANCHORARRAY(F392)+0.15</f>
        <v>4.6500000000000004</v>
      </c>
      <c r="Q392" cm="1">
        <f t="array" ref="Q392">_xlfn.ANCHORARRAY(G392)+0.15</f>
        <v>3.65</v>
      </c>
      <c r="R392" cm="1">
        <f t="array" ref="R392">_xlfn.ANCHORARRAY(H392)</f>
        <v>9.99</v>
      </c>
      <c r="S392" cm="1">
        <f t="array" ref="S392">_xlfn.ANCHORARRAY(R392)+0.15</f>
        <v>10.14</v>
      </c>
      <c r="T392" cm="1">
        <f t="array" ref="T392">_xlfn.ANCHORARRAY(I392)+0.15</f>
        <v>1.1499999999999999</v>
      </c>
      <c r="U392" cm="1">
        <f t="array" ref="U392">_xlfn.ANCHORARRAY(J392)+0.15</f>
        <v>3.15</v>
      </c>
      <c r="V392" cm="1">
        <f t="array" ref="V392">_xlfn.ANCHORARRAY(K392)+0.15</f>
        <v>4.6500000000000004</v>
      </c>
      <c r="W392">
        <f>TBL_TEV[[#This Row],[Etica Rendita Bilanciata]]</f>
        <v>1.493474</v>
      </c>
      <c r="X392">
        <f>TBL_TEV[[#This Row],[Etica Obbligazionario Breve Termine]]</f>
        <v>0.30828299999999997</v>
      </c>
      <c r="Y392">
        <f>TBL_TEV[[#This Row],[Etica Obbligazionario Misto]]</f>
        <v>0.723719</v>
      </c>
      <c r="Z392">
        <f>TBL_TEV[[#This Row],[Etica Bilanciato]]</f>
        <v>2.0732110000000001</v>
      </c>
      <c r="AA392">
        <f>TBL_TEV[[#This Row],[Etica Azionario]]</f>
        <v>2.9763109999999999</v>
      </c>
      <c r="AB392">
        <f>TBL_TEV[[#This Row],[Etica Transizione Climatica]]</f>
        <v>2.2722769999999999</v>
      </c>
      <c r="AC392">
        <f>TBL_TEV[[#This Row],[Etica Obiettivo Sociale]]</f>
        <v>7.5300301202480657</v>
      </c>
      <c r="AD392">
        <f>TBL_TEV[[#This Row],[Etica Conservative Allocation]]</f>
        <v>0.63466299999999998</v>
      </c>
      <c r="AE392">
        <f>TBL_TEV[[#This Row],[Etica Dynamic Allocation]]</f>
        <v>1.994632</v>
      </c>
      <c r="AF392">
        <f>TBL_TEV[[#This Row],[Etica Global Equity]]</f>
        <v>2.9848840000000001</v>
      </c>
      <c r="AL392">
        <f ca="1"/>
        <v>1.503633</v>
      </c>
      <c r="AM392">
        <f ca="1"/>
        <v>0.30764799999999998</v>
      </c>
      <c r="AN392">
        <f ca="1"/>
        <v>0.72625899999999999</v>
      </c>
      <c r="AO392">
        <f ca="1"/>
        <v>2.0813069999999998</v>
      </c>
      <c r="AP392">
        <f ca="1"/>
        <v>2.9932970000000001</v>
      </c>
      <c r="AQ392">
        <f ca="1"/>
        <v>2.2913260000000002</v>
      </c>
      <c r="AR392">
        <f ca="1"/>
        <v>7.670032588217973</v>
      </c>
      <c r="AS392">
        <f ca="1"/>
        <v>0.63434500000000005</v>
      </c>
      <c r="AT392">
        <f ca="1"/>
        <v>2.0062199999999999</v>
      </c>
      <c r="AU392">
        <f ca="1"/>
        <v>2.99552</v>
      </c>
    </row>
    <row r="393" spans="1:47">
      <c r="A393" s="43">
        <f>TBL_TEV[[#This Row],[Data2]]</f>
        <v>45853</v>
      </c>
      <c r="B393" cm="1">
        <f t="array" ref="B393">_xlfn.XLOOKUP(_xlfn.ANCHORARRAY(A393), TBL_Limiti_CDA[Data], TBL_Limiti_CDA[Etica Rendita Bilanciata], , -1)</f>
        <v>2.5</v>
      </c>
      <c r="C393" cm="1">
        <f t="array" ref="C393">_xlfn.XLOOKUP(_xlfn.ANCHORARRAY(A393), TBL_Limiti_CDA[Data], TBL_Limiti_CDA[Etica Obbligazionario Breve Termine], , -1)</f>
        <v>0.5</v>
      </c>
      <c r="D393" cm="1">
        <f t="array" ref="D393">_xlfn.XLOOKUP(_xlfn.ANCHORARRAY(A393), TBL_Limiti_CDA[Data], TBL_Limiti_CDA[Etica Obbligazionario Misto], , -1)</f>
        <v>1</v>
      </c>
      <c r="E393" cm="1">
        <f t="array" ref="E393">_xlfn.XLOOKUP(_xlfn.ANCHORARRAY(A393), TBL_Limiti_CDA[Data], TBL_Limiti_CDA[Etica Bilanciato], , -1)</f>
        <v>3</v>
      </c>
      <c r="F393" cm="1">
        <f t="array" ref="F393">_xlfn.XLOOKUP(_xlfn.ANCHORARRAY(A393), TBL_Limiti_CDA[Data], TBL_Limiti_CDA[Etica Azionario], , -1)</f>
        <v>4.5</v>
      </c>
      <c r="G393" cm="1">
        <f t="array" ref="G393">_xlfn.XLOOKUP(_xlfn.ANCHORARRAY(A393), TBL_Limiti_CDA[Data], TBL_Limiti_CDA[Etica Transizione Climatica], , -1)</f>
        <v>3.5</v>
      </c>
      <c r="H393" cm="1">
        <f t="array" ref="H393">_xlfn.XLOOKUP(_xlfn.ANCHORARRAY(A393), TBL_Limiti_CDA[Data], TBL_Limiti_CDA[Etica Obiettivo Sociale], , -1)</f>
        <v>9.99</v>
      </c>
      <c r="I393" cm="1">
        <f t="array" ref="I393">_xlfn.XLOOKUP(_xlfn.ANCHORARRAY(A393), TBL_Limiti_CDA[Data], TBL_Limiti_CDA[Etica Conservative Allocation], , -1)</f>
        <v>1</v>
      </c>
      <c r="J393" cm="1">
        <f t="array" ref="J393">_xlfn.XLOOKUP(_xlfn.ANCHORARRAY(A393), TBL_Limiti_CDA[Data], TBL_Limiti_CDA[Etica Dynamic Allocation], , -1)</f>
        <v>3</v>
      </c>
      <c r="K393" cm="1">
        <f t="array" ref="K393">_xlfn.XLOOKUP(_xlfn.ANCHORARRAY(A393), TBL_Limiti_CDA[Data], TBL_Limiti_CDA[Etica Global Equity], , -1)</f>
        <v>4.5</v>
      </c>
      <c r="L393" cm="1">
        <f t="array" ref="L393">_xlfn.ANCHORARRAY(B393)+0.15</f>
        <v>2.65</v>
      </c>
      <c r="M393" cm="1">
        <f t="array" ref="M393">_xlfn.ANCHORARRAY(C393)+0.1</f>
        <v>0.6</v>
      </c>
      <c r="N393" cm="1">
        <f t="array" ref="N393">_xlfn.ANCHORARRAY(D393)+0.15</f>
        <v>1.1499999999999999</v>
      </c>
      <c r="O393" cm="1">
        <f t="array" ref="O393">_xlfn.ANCHORARRAY(E393)+0.15</f>
        <v>3.15</v>
      </c>
      <c r="P393" cm="1">
        <f t="array" ref="P393">_xlfn.ANCHORARRAY(F393)+0.15</f>
        <v>4.6500000000000004</v>
      </c>
      <c r="Q393" cm="1">
        <f t="array" ref="Q393">_xlfn.ANCHORARRAY(G393)+0.15</f>
        <v>3.65</v>
      </c>
      <c r="R393" cm="1">
        <f t="array" ref="R393">_xlfn.ANCHORARRAY(H393)</f>
        <v>9.99</v>
      </c>
      <c r="S393" cm="1">
        <f t="array" ref="S393">_xlfn.ANCHORARRAY(R393)+0.15</f>
        <v>10.14</v>
      </c>
      <c r="T393" cm="1">
        <f t="array" ref="T393">_xlfn.ANCHORARRAY(I393)+0.15</f>
        <v>1.1499999999999999</v>
      </c>
      <c r="U393" cm="1">
        <f t="array" ref="U393">_xlfn.ANCHORARRAY(J393)+0.15</f>
        <v>3.15</v>
      </c>
      <c r="V393" cm="1">
        <f t="array" ref="V393">_xlfn.ANCHORARRAY(K393)+0.15</f>
        <v>4.6500000000000004</v>
      </c>
      <c r="W393">
        <f>TBL_TEV[[#This Row],[Etica Rendita Bilanciata]]</f>
        <v>1.503633</v>
      </c>
      <c r="X393">
        <f>TBL_TEV[[#This Row],[Etica Obbligazionario Breve Termine]]</f>
        <v>0.30764799999999998</v>
      </c>
      <c r="Y393">
        <f>TBL_TEV[[#This Row],[Etica Obbligazionario Misto]]</f>
        <v>0.72625899999999999</v>
      </c>
      <c r="Z393">
        <f>TBL_TEV[[#This Row],[Etica Bilanciato]]</f>
        <v>2.0813069999999998</v>
      </c>
      <c r="AA393">
        <f>TBL_TEV[[#This Row],[Etica Azionario]]</f>
        <v>2.9932970000000001</v>
      </c>
      <c r="AB393">
        <f>TBL_TEV[[#This Row],[Etica Transizione Climatica]]</f>
        <v>2.2913260000000002</v>
      </c>
      <c r="AC393">
        <f>TBL_TEV[[#This Row],[Etica Obiettivo Sociale]]</f>
        <v>7.670032588217973</v>
      </c>
      <c r="AD393">
        <f>TBL_TEV[[#This Row],[Etica Conservative Allocation]]</f>
        <v>0.63434500000000005</v>
      </c>
      <c r="AE393">
        <f>TBL_TEV[[#This Row],[Etica Dynamic Allocation]]</f>
        <v>2.0062199999999999</v>
      </c>
      <c r="AF393">
        <f>TBL_TEV[[#This Row],[Etica Global Equity]]</f>
        <v>2.99552</v>
      </c>
      <c r="AL393">
        <f ca="1"/>
        <v>1.4853780000000001</v>
      </c>
      <c r="AM393">
        <f ca="1"/>
        <v>0.30177399999999999</v>
      </c>
      <c r="AN393">
        <f ca="1"/>
        <v>0.723719</v>
      </c>
      <c r="AO393">
        <f ca="1"/>
        <v>2.0538439999999998</v>
      </c>
      <c r="AP393">
        <f ca="1"/>
        <v>2.9596429999999998</v>
      </c>
      <c r="AQ393">
        <f ca="1"/>
        <v>2.2724359999999999</v>
      </c>
      <c r="AR393">
        <f ca="1"/>
        <v>7.3454005487441254</v>
      </c>
      <c r="AS393">
        <f ca="1"/>
        <v>0.636409</v>
      </c>
      <c r="AT393">
        <f ca="1"/>
        <v>2.0028869999999999</v>
      </c>
      <c r="AU393">
        <f ca="1"/>
        <v>2.9912339999999999</v>
      </c>
    </row>
    <row r="394" spans="1:47">
      <c r="A394" s="43">
        <f>TBL_TEV[[#This Row],[Data2]]</f>
        <v>45854</v>
      </c>
      <c r="B394" cm="1">
        <f t="array" ref="B394">_xlfn.XLOOKUP(_xlfn.ANCHORARRAY(A394), TBL_Limiti_CDA[Data], TBL_Limiti_CDA[Etica Rendita Bilanciata], , -1)</f>
        <v>2.5</v>
      </c>
      <c r="C394" cm="1">
        <f t="array" ref="C394">_xlfn.XLOOKUP(_xlfn.ANCHORARRAY(A394), TBL_Limiti_CDA[Data], TBL_Limiti_CDA[Etica Obbligazionario Breve Termine], , -1)</f>
        <v>0.5</v>
      </c>
      <c r="D394" cm="1">
        <f t="array" ref="D394">_xlfn.XLOOKUP(_xlfn.ANCHORARRAY(A394), TBL_Limiti_CDA[Data], TBL_Limiti_CDA[Etica Obbligazionario Misto], , -1)</f>
        <v>1</v>
      </c>
      <c r="E394" cm="1">
        <f t="array" ref="E394">_xlfn.XLOOKUP(_xlfn.ANCHORARRAY(A394), TBL_Limiti_CDA[Data], TBL_Limiti_CDA[Etica Bilanciato], , -1)</f>
        <v>3</v>
      </c>
      <c r="F394" cm="1">
        <f t="array" ref="F394">_xlfn.XLOOKUP(_xlfn.ANCHORARRAY(A394), TBL_Limiti_CDA[Data], TBL_Limiti_CDA[Etica Azionario], , -1)</f>
        <v>4.5</v>
      </c>
      <c r="G394" cm="1">
        <f t="array" ref="G394">_xlfn.XLOOKUP(_xlfn.ANCHORARRAY(A394), TBL_Limiti_CDA[Data], TBL_Limiti_CDA[Etica Transizione Climatica], , -1)</f>
        <v>3.5</v>
      </c>
      <c r="H394" cm="1">
        <f t="array" ref="H394">_xlfn.XLOOKUP(_xlfn.ANCHORARRAY(A394), TBL_Limiti_CDA[Data], TBL_Limiti_CDA[Etica Obiettivo Sociale], , -1)</f>
        <v>9.99</v>
      </c>
      <c r="I394" cm="1">
        <f t="array" ref="I394">_xlfn.XLOOKUP(_xlfn.ANCHORARRAY(A394), TBL_Limiti_CDA[Data], TBL_Limiti_CDA[Etica Conservative Allocation], , -1)</f>
        <v>1</v>
      </c>
      <c r="J394" cm="1">
        <f t="array" ref="J394">_xlfn.XLOOKUP(_xlfn.ANCHORARRAY(A394), TBL_Limiti_CDA[Data], TBL_Limiti_CDA[Etica Dynamic Allocation], , -1)</f>
        <v>3</v>
      </c>
      <c r="K394" cm="1">
        <f t="array" ref="K394">_xlfn.XLOOKUP(_xlfn.ANCHORARRAY(A394), TBL_Limiti_CDA[Data], TBL_Limiti_CDA[Etica Global Equity], , -1)</f>
        <v>4.5</v>
      </c>
      <c r="L394" cm="1">
        <f t="array" ref="L394">_xlfn.ANCHORARRAY(B394)+0.15</f>
        <v>2.65</v>
      </c>
      <c r="M394" cm="1">
        <f t="array" ref="M394">_xlfn.ANCHORARRAY(C394)+0.1</f>
        <v>0.6</v>
      </c>
      <c r="N394" cm="1">
        <f t="array" ref="N394">_xlfn.ANCHORARRAY(D394)+0.15</f>
        <v>1.1499999999999999</v>
      </c>
      <c r="O394" cm="1">
        <f t="array" ref="O394">_xlfn.ANCHORARRAY(E394)+0.15</f>
        <v>3.15</v>
      </c>
      <c r="P394" cm="1">
        <f t="array" ref="P394">_xlfn.ANCHORARRAY(F394)+0.15</f>
        <v>4.6500000000000004</v>
      </c>
      <c r="Q394" cm="1">
        <f t="array" ref="Q394">_xlfn.ANCHORARRAY(G394)+0.15</f>
        <v>3.65</v>
      </c>
      <c r="R394" cm="1">
        <f t="array" ref="R394">_xlfn.ANCHORARRAY(H394)</f>
        <v>9.99</v>
      </c>
      <c r="S394" cm="1">
        <f t="array" ref="S394">_xlfn.ANCHORARRAY(R394)+0.15</f>
        <v>10.14</v>
      </c>
      <c r="T394" cm="1">
        <f t="array" ref="T394">_xlfn.ANCHORARRAY(I394)+0.15</f>
        <v>1.1499999999999999</v>
      </c>
      <c r="U394" cm="1">
        <f t="array" ref="U394">_xlfn.ANCHORARRAY(J394)+0.15</f>
        <v>3.15</v>
      </c>
      <c r="V394" cm="1">
        <f t="array" ref="V394">_xlfn.ANCHORARRAY(K394)+0.15</f>
        <v>4.6500000000000004</v>
      </c>
      <c r="W394">
        <f>TBL_TEV[[#This Row],[Etica Rendita Bilanciata]]</f>
        <v>1.4853780000000001</v>
      </c>
      <c r="X394">
        <f>TBL_TEV[[#This Row],[Etica Obbligazionario Breve Termine]]</f>
        <v>0.30177399999999999</v>
      </c>
      <c r="Y394">
        <f>TBL_TEV[[#This Row],[Etica Obbligazionario Misto]]</f>
        <v>0.723719</v>
      </c>
      <c r="Z394">
        <f>TBL_TEV[[#This Row],[Etica Bilanciato]]</f>
        <v>2.0538439999999998</v>
      </c>
      <c r="AA394">
        <f>TBL_TEV[[#This Row],[Etica Azionario]]</f>
        <v>2.9596429999999998</v>
      </c>
      <c r="AB394">
        <f>TBL_TEV[[#This Row],[Etica Transizione Climatica]]</f>
        <v>2.2724359999999999</v>
      </c>
      <c r="AC394">
        <f>TBL_TEV[[#This Row],[Etica Obiettivo Sociale]]</f>
        <v>7.3454005487441254</v>
      </c>
      <c r="AD394">
        <f>TBL_TEV[[#This Row],[Etica Conservative Allocation]]</f>
        <v>0.636409</v>
      </c>
      <c r="AE394">
        <f>TBL_TEV[[#This Row],[Etica Dynamic Allocation]]</f>
        <v>2.0028869999999999</v>
      </c>
      <c r="AF394">
        <f>TBL_TEV[[#This Row],[Etica Global Equity]]</f>
        <v>2.9912339999999999</v>
      </c>
      <c r="AL394">
        <f ca="1"/>
        <v>1.476647</v>
      </c>
      <c r="AM394">
        <f ca="1"/>
        <v>0.295742</v>
      </c>
      <c r="AN394">
        <f ca="1"/>
        <v>0.72054399999999996</v>
      </c>
      <c r="AO394">
        <f ca="1"/>
        <v>2.0449540000000002</v>
      </c>
      <c r="AP394">
        <f ca="1"/>
        <v>2.9502769999999998</v>
      </c>
      <c r="AQ394">
        <f ca="1"/>
        <v>2.261641</v>
      </c>
      <c r="AR394">
        <f ca="1"/>
        <v>7.4215460120958037</v>
      </c>
      <c r="AS394">
        <f ca="1"/>
        <v>0.63228200000000001</v>
      </c>
      <c r="AT394">
        <f ca="1"/>
        <v>1.9995529999999999</v>
      </c>
      <c r="AU394">
        <f ca="1"/>
        <v>2.9872649999999998</v>
      </c>
    </row>
    <row r="395" spans="1:47">
      <c r="A395" s="43">
        <f>TBL_TEV[[#This Row],[Data2]]</f>
        <v>45855</v>
      </c>
      <c r="B395" cm="1">
        <f t="array" ref="B395">_xlfn.XLOOKUP(_xlfn.ANCHORARRAY(A395), TBL_Limiti_CDA[Data], TBL_Limiti_CDA[Etica Rendita Bilanciata], , -1)</f>
        <v>2.5</v>
      </c>
      <c r="C395" cm="1">
        <f t="array" ref="C395">_xlfn.XLOOKUP(_xlfn.ANCHORARRAY(A395), TBL_Limiti_CDA[Data], TBL_Limiti_CDA[Etica Obbligazionario Breve Termine], , -1)</f>
        <v>0.5</v>
      </c>
      <c r="D395" cm="1">
        <f t="array" ref="D395">_xlfn.XLOOKUP(_xlfn.ANCHORARRAY(A395), TBL_Limiti_CDA[Data], TBL_Limiti_CDA[Etica Obbligazionario Misto], , -1)</f>
        <v>1</v>
      </c>
      <c r="E395" cm="1">
        <f t="array" ref="E395">_xlfn.XLOOKUP(_xlfn.ANCHORARRAY(A395), TBL_Limiti_CDA[Data], TBL_Limiti_CDA[Etica Bilanciato], , -1)</f>
        <v>3</v>
      </c>
      <c r="F395" cm="1">
        <f t="array" ref="F395">_xlfn.XLOOKUP(_xlfn.ANCHORARRAY(A395), TBL_Limiti_CDA[Data], TBL_Limiti_CDA[Etica Azionario], , -1)</f>
        <v>4.5</v>
      </c>
      <c r="G395" cm="1">
        <f t="array" ref="G395">_xlfn.XLOOKUP(_xlfn.ANCHORARRAY(A395), TBL_Limiti_CDA[Data], TBL_Limiti_CDA[Etica Transizione Climatica], , -1)</f>
        <v>3.5</v>
      </c>
      <c r="H395" cm="1">
        <f t="array" ref="H395">_xlfn.XLOOKUP(_xlfn.ANCHORARRAY(A395), TBL_Limiti_CDA[Data], TBL_Limiti_CDA[Etica Obiettivo Sociale], , -1)</f>
        <v>9.99</v>
      </c>
      <c r="I395" cm="1">
        <f t="array" ref="I395">_xlfn.XLOOKUP(_xlfn.ANCHORARRAY(A395), TBL_Limiti_CDA[Data], TBL_Limiti_CDA[Etica Conservative Allocation], , -1)</f>
        <v>1</v>
      </c>
      <c r="J395" cm="1">
        <f t="array" ref="J395">_xlfn.XLOOKUP(_xlfn.ANCHORARRAY(A395), TBL_Limiti_CDA[Data], TBL_Limiti_CDA[Etica Dynamic Allocation], , -1)</f>
        <v>3</v>
      </c>
      <c r="K395" cm="1">
        <f t="array" ref="K395">_xlfn.XLOOKUP(_xlfn.ANCHORARRAY(A395), TBL_Limiti_CDA[Data], TBL_Limiti_CDA[Etica Global Equity], , -1)</f>
        <v>4.5</v>
      </c>
      <c r="L395" cm="1">
        <f t="array" ref="L395">_xlfn.ANCHORARRAY(B395)+0.15</f>
        <v>2.65</v>
      </c>
      <c r="M395" cm="1">
        <f t="array" ref="M395">_xlfn.ANCHORARRAY(C395)+0.1</f>
        <v>0.6</v>
      </c>
      <c r="N395" cm="1">
        <f t="array" ref="N395">_xlfn.ANCHORARRAY(D395)+0.15</f>
        <v>1.1499999999999999</v>
      </c>
      <c r="O395" cm="1">
        <f t="array" ref="O395">_xlfn.ANCHORARRAY(E395)+0.15</f>
        <v>3.15</v>
      </c>
      <c r="P395" cm="1">
        <f t="array" ref="P395">_xlfn.ANCHORARRAY(F395)+0.15</f>
        <v>4.6500000000000004</v>
      </c>
      <c r="Q395" cm="1">
        <f t="array" ref="Q395">_xlfn.ANCHORARRAY(G395)+0.15</f>
        <v>3.65</v>
      </c>
      <c r="R395" cm="1">
        <f t="array" ref="R395">_xlfn.ANCHORARRAY(H395)</f>
        <v>9.99</v>
      </c>
      <c r="S395" cm="1">
        <f t="array" ref="S395">_xlfn.ANCHORARRAY(R395)+0.15</f>
        <v>10.14</v>
      </c>
      <c r="T395" cm="1">
        <f t="array" ref="T395">_xlfn.ANCHORARRAY(I395)+0.15</f>
        <v>1.1499999999999999</v>
      </c>
      <c r="U395" cm="1">
        <f t="array" ref="U395">_xlfn.ANCHORARRAY(J395)+0.15</f>
        <v>3.15</v>
      </c>
      <c r="V395" cm="1">
        <f t="array" ref="V395">_xlfn.ANCHORARRAY(K395)+0.15</f>
        <v>4.6500000000000004</v>
      </c>
      <c r="W395">
        <f>TBL_TEV[[#This Row],[Etica Rendita Bilanciata]]</f>
        <v>1.476647</v>
      </c>
      <c r="X395">
        <f>TBL_TEV[[#This Row],[Etica Obbligazionario Breve Termine]]</f>
        <v>0.295742</v>
      </c>
      <c r="Y395">
        <f>TBL_TEV[[#This Row],[Etica Obbligazionario Misto]]</f>
        <v>0.72054399999999996</v>
      </c>
      <c r="Z395">
        <f>TBL_TEV[[#This Row],[Etica Bilanciato]]</f>
        <v>2.0449540000000002</v>
      </c>
      <c r="AA395">
        <f>TBL_TEV[[#This Row],[Etica Azionario]]</f>
        <v>2.9502769999999998</v>
      </c>
      <c r="AB395">
        <f>TBL_TEV[[#This Row],[Etica Transizione Climatica]]</f>
        <v>2.261641</v>
      </c>
      <c r="AC395">
        <f>TBL_TEV[[#This Row],[Etica Obiettivo Sociale]]</f>
        <v>7.4215460120958037</v>
      </c>
      <c r="AD395">
        <f>TBL_TEV[[#This Row],[Etica Conservative Allocation]]</f>
        <v>0.63228200000000001</v>
      </c>
      <c r="AE395">
        <f>TBL_TEV[[#This Row],[Etica Dynamic Allocation]]</f>
        <v>1.9995529999999999</v>
      </c>
      <c r="AF395">
        <f>TBL_TEV[[#This Row],[Etica Global Equity]]</f>
        <v>2.9872649999999998</v>
      </c>
      <c r="AL395">
        <f ca="1"/>
        <v>1.479663</v>
      </c>
      <c r="AM395">
        <f ca="1"/>
        <v>0.29764699999999999</v>
      </c>
      <c r="AN395">
        <f ca="1"/>
        <v>0.72340099999999996</v>
      </c>
      <c r="AO395">
        <f ca="1"/>
        <v>2.0395569999999998</v>
      </c>
      <c r="AP395">
        <f ca="1"/>
        <v>2.9404349999999999</v>
      </c>
      <c r="AQ395">
        <f ca="1"/>
        <v>2.271801</v>
      </c>
      <c r="AR395">
        <f ca="1"/>
        <v>7.5553812202297488</v>
      </c>
      <c r="AS395">
        <f ca="1"/>
        <v>0.63402800000000004</v>
      </c>
      <c r="AT395">
        <f ca="1"/>
        <v>1.986853</v>
      </c>
      <c r="AU395">
        <f ca="1"/>
        <v>2.9642469999999999</v>
      </c>
    </row>
    <row r="396" spans="1:47">
      <c r="A396" s="43">
        <f>TBL_TEV[[#This Row],[Data2]]</f>
        <v>45856</v>
      </c>
      <c r="B396" cm="1">
        <f t="array" ref="B396">_xlfn.XLOOKUP(_xlfn.ANCHORARRAY(A396), TBL_Limiti_CDA[Data], TBL_Limiti_CDA[Etica Rendita Bilanciata], , -1)</f>
        <v>2.5</v>
      </c>
      <c r="C396" cm="1">
        <f t="array" ref="C396">_xlfn.XLOOKUP(_xlfn.ANCHORARRAY(A396), TBL_Limiti_CDA[Data], TBL_Limiti_CDA[Etica Obbligazionario Breve Termine], , -1)</f>
        <v>0.5</v>
      </c>
      <c r="D396" cm="1">
        <f t="array" ref="D396">_xlfn.XLOOKUP(_xlfn.ANCHORARRAY(A396), TBL_Limiti_CDA[Data], TBL_Limiti_CDA[Etica Obbligazionario Misto], , -1)</f>
        <v>1</v>
      </c>
      <c r="E396" cm="1">
        <f t="array" ref="E396">_xlfn.XLOOKUP(_xlfn.ANCHORARRAY(A396), TBL_Limiti_CDA[Data], TBL_Limiti_CDA[Etica Bilanciato], , -1)</f>
        <v>3</v>
      </c>
      <c r="F396" cm="1">
        <f t="array" ref="F396">_xlfn.XLOOKUP(_xlfn.ANCHORARRAY(A396), TBL_Limiti_CDA[Data], TBL_Limiti_CDA[Etica Azionario], , -1)</f>
        <v>4.5</v>
      </c>
      <c r="G396" cm="1">
        <f t="array" ref="G396">_xlfn.XLOOKUP(_xlfn.ANCHORARRAY(A396), TBL_Limiti_CDA[Data], TBL_Limiti_CDA[Etica Transizione Climatica], , -1)</f>
        <v>3.5</v>
      </c>
      <c r="H396" cm="1">
        <f t="array" ref="H396">_xlfn.XLOOKUP(_xlfn.ANCHORARRAY(A396), TBL_Limiti_CDA[Data], TBL_Limiti_CDA[Etica Obiettivo Sociale], , -1)</f>
        <v>9.99</v>
      </c>
      <c r="I396" cm="1">
        <f t="array" ref="I396">_xlfn.XLOOKUP(_xlfn.ANCHORARRAY(A396), TBL_Limiti_CDA[Data], TBL_Limiti_CDA[Etica Conservative Allocation], , -1)</f>
        <v>1</v>
      </c>
      <c r="J396" cm="1">
        <f t="array" ref="J396">_xlfn.XLOOKUP(_xlfn.ANCHORARRAY(A396), TBL_Limiti_CDA[Data], TBL_Limiti_CDA[Etica Dynamic Allocation], , -1)</f>
        <v>3</v>
      </c>
      <c r="K396" cm="1">
        <f t="array" ref="K396">_xlfn.XLOOKUP(_xlfn.ANCHORARRAY(A396), TBL_Limiti_CDA[Data], TBL_Limiti_CDA[Etica Global Equity], , -1)</f>
        <v>4.5</v>
      </c>
      <c r="L396" cm="1">
        <f t="array" ref="L396">_xlfn.ANCHORARRAY(B396)+0.15</f>
        <v>2.65</v>
      </c>
      <c r="M396" cm="1">
        <f t="array" ref="M396">_xlfn.ANCHORARRAY(C396)+0.1</f>
        <v>0.6</v>
      </c>
      <c r="N396" cm="1">
        <f t="array" ref="N396">_xlfn.ANCHORARRAY(D396)+0.15</f>
        <v>1.1499999999999999</v>
      </c>
      <c r="O396" cm="1">
        <f t="array" ref="O396">_xlfn.ANCHORARRAY(E396)+0.15</f>
        <v>3.15</v>
      </c>
      <c r="P396" cm="1">
        <f t="array" ref="P396">_xlfn.ANCHORARRAY(F396)+0.15</f>
        <v>4.6500000000000004</v>
      </c>
      <c r="Q396" cm="1">
        <f t="array" ref="Q396">_xlfn.ANCHORARRAY(G396)+0.15</f>
        <v>3.65</v>
      </c>
      <c r="R396" cm="1">
        <f t="array" ref="R396">_xlfn.ANCHORARRAY(H396)</f>
        <v>9.99</v>
      </c>
      <c r="S396" cm="1">
        <f t="array" ref="S396">_xlfn.ANCHORARRAY(R396)+0.15</f>
        <v>10.14</v>
      </c>
      <c r="T396" cm="1">
        <f t="array" ref="T396">_xlfn.ANCHORARRAY(I396)+0.15</f>
        <v>1.1499999999999999</v>
      </c>
      <c r="U396" cm="1">
        <f t="array" ref="U396">_xlfn.ANCHORARRAY(J396)+0.15</f>
        <v>3.15</v>
      </c>
      <c r="V396" cm="1">
        <f t="array" ref="V396">_xlfn.ANCHORARRAY(K396)+0.15</f>
        <v>4.6500000000000004</v>
      </c>
      <c r="W396">
        <f>TBL_TEV[[#This Row],[Etica Rendita Bilanciata]]</f>
        <v>1.479663</v>
      </c>
      <c r="X396">
        <f>TBL_TEV[[#This Row],[Etica Obbligazionario Breve Termine]]</f>
        <v>0.29764699999999999</v>
      </c>
      <c r="Y396">
        <f>TBL_TEV[[#This Row],[Etica Obbligazionario Misto]]</f>
        <v>0.72340099999999996</v>
      </c>
      <c r="Z396">
        <f>TBL_TEV[[#This Row],[Etica Bilanciato]]</f>
        <v>2.0395569999999998</v>
      </c>
      <c r="AA396">
        <f>TBL_TEV[[#This Row],[Etica Azionario]]</f>
        <v>2.9404349999999999</v>
      </c>
      <c r="AB396">
        <f>TBL_TEV[[#This Row],[Etica Transizione Climatica]]</f>
        <v>2.271801</v>
      </c>
      <c r="AC396">
        <f>TBL_TEV[[#This Row],[Etica Obiettivo Sociale]]</f>
        <v>7.5553812202297488</v>
      </c>
      <c r="AD396">
        <f>TBL_TEV[[#This Row],[Etica Conservative Allocation]]</f>
        <v>0.63402800000000004</v>
      </c>
      <c r="AE396">
        <f>TBL_TEV[[#This Row],[Etica Dynamic Allocation]]</f>
        <v>1.986853</v>
      </c>
      <c r="AF396">
        <f>TBL_TEV[[#This Row],[Etica Global Equity]]</f>
        <v>2.9642469999999999</v>
      </c>
      <c r="AL396">
        <f ca="1"/>
        <v>1.483949</v>
      </c>
      <c r="AM396">
        <f ca="1"/>
        <v>0.30225099999999999</v>
      </c>
      <c r="AN396">
        <f ca="1"/>
        <v>0.72927500000000001</v>
      </c>
      <c r="AO396">
        <f ca="1"/>
        <v>2.0347940000000002</v>
      </c>
      <c r="AP396">
        <f ca="1"/>
        <v>2.9290050000000001</v>
      </c>
      <c r="AQ396">
        <f ca="1"/>
        <v>2.2643399999999998</v>
      </c>
      <c r="AR396">
        <f ca="1"/>
        <v>7.5626497642306116</v>
      </c>
      <c r="AS396">
        <f ca="1"/>
        <v>0.641648</v>
      </c>
      <c r="AT396">
        <f ca="1"/>
        <v>1.985425</v>
      </c>
      <c r="AU396">
        <f ca="1"/>
        <v>2.9574210000000001</v>
      </c>
    </row>
    <row r="397" spans="1:47">
      <c r="A397" s="43">
        <f>TBL_TEV[[#This Row],[Data2]]</f>
        <v>45859</v>
      </c>
      <c r="B397" cm="1">
        <f t="array" ref="B397">_xlfn.XLOOKUP(_xlfn.ANCHORARRAY(A397), TBL_Limiti_CDA[Data], TBL_Limiti_CDA[Etica Rendita Bilanciata], , -1)</f>
        <v>2.5</v>
      </c>
      <c r="C397" cm="1">
        <f t="array" ref="C397">_xlfn.XLOOKUP(_xlfn.ANCHORARRAY(A397), TBL_Limiti_CDA[Data], TBL_Limiti_CDA[Etica Obbligazionario Breve Termine], , -1)</f>
        <v>0.5</v>
      </c>
      <c r="D397" cm="1">
        <f t="array" ref="D397">_xlfn.XLOOKUP(_xlfn.ANCHORARRAY(A397), TBL_Limiti_CDA[Data], TBL_Limiti_CDA[Etica Obbligazionario Misto], , -1)</f>
        <v>1</v>
      </c>
      <c r="E397" cm="1">
        <f t="array" ref="E397">_xlfn.XLOOKUP(_xlfn.ANCHORARRAY(A397), TBL_Limiti_CDA[Data], TBL_Limiti_CDA[Etica Bilanciato], , -1)</f>
        <v>3</v>
      </c>
      <c r="F397" cm="1">
        <f t="array" ref="F397">_xlfn.XLOOKUP(_xlfn.ANCHORARRAY(A397), TBL_Limiti_CDA[Data], TBL_Limiti_CDA[Etica Azionario], , -1)</f>
        <v>4.5</v>
      </c>
      <c r="G397" cm="1">
        <f t="array" ref="G397">_xlfn.XLOOKUP(_xlfn.ANCHORARRAY(A397), TBL_Limiti_CDA[Data], TBL_Limiti_CDA[Etica Transizione Climatica], , -1)</f>
        <v>3.5</v>
      </c>
      <c r="H397" cm="1">
        <f t="array" ref="H397">_xlfn.XLOOKUP(_xlfn.ANCHORARRAY(A397), TBL_Limiti_CDA[Data], TBL_Limiti_CDA[Etica Obiettivo Sociale], , -1)</f>
        <v>9.99</v>
      </c>
      <c r="I397" cm="1">
        <f t="array" ref="I397">_xlfn.XLOOKUP(_xlfn.ANCHORARRAY(A397), TBL_Limiti_CDA[Data], TBL_Limiti_CDA[Etica Conservative Allocation], , -1)</f>
        <v>1</v>
      </c>
      <c r="J397" cm="1">
        <f t="array" ref="J397">_xlfn.XLOOKUP(_xlfn.ANCHORARRAY(A397), TBL_Limiti_CDA[Data], TBL_Limiti_CDA[Etica Dynamic Allocation], , -1)</f>
        <v>3</v>
      </c>
      <c r="K397" cm="1">
        <f t="array" ref="K397">_xlfn.XLOOKUP(_xlfn.ANCHORARRAY(A397), TBL_Limiti_CDA[Data], TBL_Limiti_CDA[Etica Global Equity], , -1)</f>
        <v>4.5</v>
      </c>
      <c r="L397" cm="1">
        <f t="array" ref="L397">_xlfn.ANCHORARRAY(B397)+0.15</f>
        <v>2.65</v>
      </c>
      <c r="M397" cm="1">
        <f t="array" ref="M397">_xlfn.ANCHORARRAY(C397)+0.1</f>
        <v>0.6</v>
      </c>
      <c r="N397" cm="1">
        <f t="array" ref="N397">_xlfn.ANCHORARRAY(D397)+0.15</f>
        <v>1.1499999999999999</v>
      </c>
      <c r="O397" cm="1">
        <f t="array" ref="O397">_xlfn.ANCHORARRAY(E397)+0.15</f>
        <v>3.15</v>
      </c>
      <c r="P397" cm="1">
        <f t="array" ref="P397">_xlfn.ANCHORARRAY(F397)+0.15</f>
        <v>4.6500000000000004</v>
      </c>
      <c r="Q397" cm="1">
        <f t="array" ref="Q397">_xlfn.ANCHORARRAY(G397)+0.15</f>
        <v>3.65</v>
      </c>
      <c r="R397" cm="1">
        <f t="array" ref="R397">_xlfn.ANCHORARRAY(H397)</f>
        <v>9.99</v>
      </c>
      <c r="S397" cm="1">
        <f t="array" ref="S397">_xlfn.ANCHORARRAY(R397)+0.15</f>
        <v>10.14</v>
      </c>
      <c r="T397" cm="1">
        <f t="array" ref="T397">_xlfn.ANCHORARRAY(I397)+0.15</f>
        <v>1.1499999999999999</v>
      </c>
      <c r="U397" cm="1">
        <f t="array" ref="U397">_xlfn.ANCHORARRAY(J397)+0.15</f>
        <v>3.15</v>
      </c>
      <c r="V397" cm="1">
        <f t="array" ref="V397">_xlfn.ANCHORARRAY(K397)+0.15</f>
        <v>4.6500000000000004</v>
      </c>
      <c r="W397">
        <f>TBL_TEV[[#This Row],[Etica Rendita Bilanciata]]</f>
        <v>1.483949</v>
      </c>
      <c r="X397">
        <f>TBL_TEV[[#This Row],[Etica Obbligazionario Breve Termine]]</f>
        <v>0.30225099999999999</v>
      </c>
      <c r="Y397">
        <f>TBL_TEV[[#This Row],[Etica Obbligazionario Misto]]</f>
        <v>0.72927500000000001</v>
      </c>
      <c r="Z397">
        <f>TBL_TEV[[#This Row],[Etica Bilanciato]]</f>
        <v>2.0347940000000002</v>
      </c>
      <c r="AA397">
        <f>TBL_TEV[[#This Row],[Etica Azionario]]</f>
        <v>2.9290050000000001</v>
      </c>
      <c r="AB397">
        <f>TBL_TEV[[#This Row],[Etica Transizione Climatica]]</f>
        <v>2.2643399999999998</v>
      </c>
      <c r="AC397">
        <f>TBL_TEV[[#This Row],[Etica Obiettivo Sociale]]</f>
        <v>7.5626497642306116</v>
      </c>
      <c r="AD397">
        <f>TBL_TEV[[#This Row],[Etica Conservative Allocation]]</f>
        <v>0.641648</v>
      </c>
      <c r="AE397">
        <f>TBL_TEV[[#This Row],[Etica Dynamic Allocation]]</f>
        <v>1.985425</v>
      </c>
      <c r="AF397">
        <f>TBL_TEV[[#This Row],[Etica Global Equity]]</f>
        <v>2.9574210000000001</v>
      </c>
      <c r="AL397">
        <f ca="1"/>
        <v>1.4731540000000001</v>
      </c>
      <c r="AM397">
        <f ca="1"/>
        <v>0.30129800000000001</v>
      </c>
      <c r="AN397">
        <f ca="1"/>
        <v>0.72594099999999995</v>
      </c>
      <c r="AO397">
        <f ca="1"/>
        <v>2.019396</v>
      </c>
      <c r="AP397">
        <f ca="1"/>
        <v>2.9017010000000001</v>
      </c>
      <c r="AQ397">
        <f ca="1"/>
        <v>2.2378290000000001</v>
      </c>
      <c r="AR397">
        <f ca="1"/>
        <v>7.3105504438779425</v>
      </c>
      <c r="AS397">
        <f ca="1"/>
        <v>0.63894899999999999</v>
      </c>
      <c r="AT397">
        <f ca="1"/>
        <v>1.961454</v>
      </c>
      <c r="AU397">
        <f ca="1"/>
        <v>2.9205920000000001</v>
      </c>
    </row>
    <row r="398" spans="1:47">
      <c r="A398" s="43">
        <f>TBL_TEV[[#This Row],[Data2]]</f>
        <v>45860</v>
      </c>
      <c r="B398" cm="1">
        <f t="array" ref="B398">_xlfn.XLOOKUP(_xlfn.ANCHORARRAY(A398), TBL_Limiti_CDA[Data], TBL_Limiti_CDA[Etica Rendita Bilanciata], , -1)</f>
        <v>2.5</v>
      </c>
      <c r="C398" cm="1">
        <f t="array" ref="C398">_xlfn.XLOOKUP(_xlfn.ANCHORARRAY(A398), TBL_Limiti_CDA[Data], TBL_Limiti_CDA[Etica Obbligazionario Breve Termine], , -1)</f>
        <v>0.5</v>
      </c>
      <c r="D398" cm="1">
        <f t="array" ref="D398">_xlfn.XLOOKUP(_xlfn.ANCHORARRAY(A398), TBL_Limiti_CDA[Data], TBL_Limiti_CDA[Etica Obbligazionario Misto], , -1)</f>
        <v>1</v>
      </c>
      <c r="E398" cm="1">
        <f t="array" ref="E398">_xlfn.XLOOKUP(_xlfn.ANCHORARRAY(A398), TBL_Limiti_CDA[Data], TBL_Limiti_CDA[Etica Bilanciato], , -1)</f>
        <v>3</v>
      </c>
      <c r="F398" cm="1">
        <f t="array" ref="F398">_xlfn.XLOOKUP(_xlfn.ANCHORARRAY(A398), TBL_Limiti_CDA[Data], TBL_Limiti_CDA[Etica Azionario], , -1)</f>
        <v>4.5</v>
      </c>
      <c r="G398" cm="1">
        <f t="array" ref="G398">_xlfn.XLOOKUP(_xlfn.ANCHORARRAY(A398), TBL_Limiti_CDA[Data], TBL_Limiti_CDA[Etica Transizione Climatica], , -1)</f>
        <v>3.5</v>
      </c>
      <c r="H398" cm="1">
        <f t="array" ref="H398">_xlfn.XLOOKUP(_xlfn.ANCHORARRAY(A398), TBL_Limiti_CDA[Data], TBL_Limiti_CDA[Etica Obiettivo Sociale], , -1)</f>
        <v>9.99</v>
      </c>
      <c r="I398" cm="1">
        <f t="array" ref="I398">_xlfn.XLOOKUP(_xlfn.ANCHORARRAY(A398), TBL_Limiti_CDA[Data], TBL_Limiti_CDA[Etica Conservative Allocation], , -1)</f>
        <v>1</v>
      </c>
      <c r="J398" cm="1">
        <f t="array" ref="J398">_xlfn.XLOOKUP(_xlfn.ANCHORARRAY(A398), TBL_Limiti_CDA[Data], TBL_Limiti_CDA[Etica Dynamic Allocation], , -1)</f>
        <v>3</v>
      </c>
      <c r="K398" cm="1">
        <f t="array" ref="K398">_xlfn.XLOOKUP(_xlfn.ANCHORARRAY(A398), TBL_Limiti_CDA[Data], TBL_Limiti_CDA[Etica Global Equity], , -1)</f>
        <v>4.5</v>
      </c>
      <c r="L398" cm="1">
        <f t="array" ref="L398">_xlfn.ANCHORARRAY(B398)+0.15</f>
        <v>2.65</v>
      </c>
      <c r="M398" cm="1">
        <f t="array" ref="M398">_xlfn.ANCHORARRAY(C398)+0.1</f>
        <v>0.6</v>
      </c>
      <c r="N398" cm="1">
        <f t="array" ref="N398">_xlfn.ANCHORARRAY(D398)+0.15</f>
        <v>1.1499999999999999</v>
      </c>
      <c r="O398" cm="1">
        <f t="array" ref="O398">_xlfn.ANCHORARRAY(E398)+0.15</f>
        <v>3.15</v>
      </c>
      <c r="P398" cm="1">
        <f t="array" ref="P398">_xlfn.ANCHORARRAY(F398)+0.15</f>
        <v>4.6500000000000004</v>
      </c>
      <c r="Q398" cm="1">
        <f t="array" ref="Q398">_xlfn.ANCHORARRAY(G398)+0.15</f>
        <v>3.65</v>
      </c>
      <c r="R398" cm="1">
        <f t="array" ref="R398">_xlfn.ANCHORARRAY(H398)</f>
        <v>9.99</v>
      </c>
      <c r="S398" cm="1">
        <f t="array" ref="S398">_xlfn.ANCHORARRAY(R398)+0.15</f>
        <v>10.14</v>
      </c>
      <c r="T398" cm="1">
        <f t="array" ref="T398">_xlfn.ANCHORARRAY(I398)+0.15</f>
        <v>1.1499999999999999</v>
      </c>
      <c r="U398" cm="1">
        <f t="array" ref="U398">_xlfn.ANCHORARRAY(J398)+0.15</f>
        <v>3.15</v>
      </c>
      <c r="V398" cm="1">
        <f t="array" ref="V398">_xlfn.ANCHORARRAY(K398)+0.15</f>
        <v>4.6500000000000004</v>
      </c>
      <c r="W398">
        <f>TBL_TEV[[#This Row],[Etica Rendita Bilanciata]]</f>
        <v>1.4731540000000001</v>
      </c>
      <c r="X398">
        <f>TBL_TEV[[#This Row],[Etica Obbligazionario Breve Termine]]</f>
        <v>0.30129800000000001</v>
      </c>
      <c r="Y398">
        <f>TBL_TEV[[#This Row],[Etica Obbligazionario Misto]]</f>
        <v>0.72594099999999995</v>
      </c>
      <c r="Z398">
        <f>TBL_TEV[[#This Row],[Etica Bilanciato]]</f>
        <v>2.019396</v>
      </c>
      <c r="AA398">
        <f>TBL_TEV[[#This Row],[Etica Azionario]]</f>
        <v>2.9017010000000001</v>
      </c>
      <c r="AB398">
        <f>TBL_TEV[[#This Row],[Etica Transizione Climatica]]</f>
        <v>2.2378290000000001</v>
      </c>
      <c r="AC398">
        <f>TBL_TEV[[#This Row],[Etica Obiettivo Sociale]]</f>
        <v>7.3105504438779425</v>
      </c>
      <c r="AD398">
        <f>TBL_TEV[[#This Row],[Etica Conservative Allocation]]</f>
        <v>0.63894899999999999</v>
      </c>
      <c r="AE398">
        <f>TBL_TEV[[#This Row],[Etica Dynamic Allocation]]</f>
        <v>1.961454</v>
      </c>
      <c r="AF398">
        <f>TBL_TEV[[#This Row],[Etica Global Equity]]</f>
        <v>2.9205920000000001</v>
      </c>
      <c r="AL398">
        <f ca="1"/>
        <v>1.4775990000000001</v>
      </c>
      <c r="AM398">
        <f ca="1"/>
        <v>0.30082199999999998</v>
      </c>
      <c r="AN398">
        <f ca="1"/>
        <v>0.72705200000000003</v>
      </c>
      <c r="AO398">
        <f ca="1"/>
        <v>2.0447950000000001</v>
      </c>
      <c r="AP398">
        <f ca="1"/>
        <v>2.9221789999999999</v>
      </c>
      <c r="AQ398">
        <f ca="1"/>
        <v>2.239576</v>
      </c>
      <c r="AR398">
        <f ca="1"/>
        <v>7.3271791812131566</v>
      </c>
      <c r="AS398">
        <f ca="1"/>
        <v>0.63244</v>
      </c>
      <c r="AT398">
        <f ca="1"/>
        <v>1.9533579999999999</v>
      </c>
      <c r="AU398">
        <f ca="1"/>
        <v>2.9129719999999999</v>
      </c>
    </row>
    <row r="399" spans="1:47">
      <c r="A399" s="43">
        <f>TBL_TEV[[#This Row],[Data2]]</f>
        <v>45861</v>
      </c>
      <c r="B399" cm="1">
        <f t="array" ref="B399">_xlfn.XLOOKUP(_xlfn.ANCHORARRAY(A399), TBL_Limiti_CDA[Data], TBL_Limiti_CDA[Etica Rendita Bilanciata], , -1)</f>
        <v>2.5</v>
      </c>
      <c r="C399" cm="1">
        <f t="array" ref="C399">_xlfn.XLOOKUP(_xlfn.ANCHORARRAY(A399), TBL_Limiti_CDA[Data], TBL_Limiti_CDA[Etica Obbligazionario Breve Termine], , -1)</f>
        <v>0.5</v>
      </c>
      <c r="D399" cm="1">
        <f t="array" ref="D399">_xlfn.XLOOKUP(_xlfn.ANCHORARRAY(A399), TBL_Limiti_CDA[Data], TBL_Limiti_CDA[Etica Obbligazionario Misto], , -1)</f>
        <v>1</v>
      </c>
      <c r="E399" cm="1">
        <f t="array" ref="E399">_xlfn.XLOOKUP(_xlfn.ANCHORARRAY(A399), TBL_Limiti_CDA[Data], TBL_Limiti_CDA[Etica Bilanciato], , -1)</f>
        <v>3</v>
      </c>
      <c r="F399" cm="1">
        <f t="array" ref="F399">_xlfn.XLOOKUP(_xlfn.ANCHORARRAY(A399), TBL_Limiti_CDA[Data], TBL_Limiti_CDA[Etica Azionario], , -1)</f>
        <v>4.5</v>
      </c>
      <c r="G399" cm="1">
        <f t="array" ref="G399">_xlfn.XLOOKUP(_xlfn.ANCHORARRAY(A399), TBL_Limiti_CDA[Data], TBL_Limiti_CDA[Etica Transizione Climatica], , -1)</f>
        <v>3.5</v>
      </c>
      <c r="H399" cm="1">
        <f t="array" ref="H399">_xlfn.XLOOKUP(_xlfn.ANCHORARRAY(A399), TBL_Limiti_CDA[Data], TBL_Limiti_CDA[Etica Obiettivo Sociale], , -1)</f>
        <v>9.99</v>
      </c>
      <c r="I399" cm="1">
        <f t="array" ref="I399">_xlfn.XLOOKUP(_xlfn.ANCHORARRAY(A399), TBL_Limiti_CDA[Data], TBL_Limiti_CDA[Etica Conservative Allocation], , -1)</f>
        <v>1</v>
      </c>
      <c r="J399" cm="1">
        <f t="array" ref="J399">_xlfn.XLOOKUP(_xlfn.ANCHORARRAY(A399), TBL_Limiti_CDA[Data], TBL_Limiti_CDA[Etica Dynamic Allocation], , -1)</f>
        <v>3</v>
      </c>
      <c r="K399" cm="1">
        <f t="array" ref="K399">_xlfn.XLOOKUP(_xlfn.ANCHORARRAY(A399), TBL_Limiti_CDA[Data], TBL_Limiti_CDA[Etica Global Equity], , -1)</f>
        <v>4.5</v>
      </c>
      <c r="L399" cm="1">
        <f t="array" ref="L399">_xlfn.ANCHORARRAY(B399)+0.15</f>
        <v>2.65</v>
      </c>
      <c r="M399" cm="1">
        <f t="array" ref="M399">_xlfn.ANCHORARRAY(C399)+0.1</f>
        <v>0.6</v>
      </c>
      <c r="N399" cm="1">
        <f t="array" ref="N399">_xlfn.ANCHORARRAY(D399)+0.15</f>
        <v>1.1499999999999999</v>
      </c>
      <c r="O399" cm="1">
        <f t="array" ref="O399">_xlfn.ANCHORARRAY(E399)+0.15</f>
        <v>3.15</v>
      </c>
      <c r="P399" cm="1">
        <f t="array" ref="P399">_xlfn.ANCHORARRAY(F399)+0.15</f>
        <v>4.6500000000000004</v>
      </c>
      <c r="Q399" cm="1">
        <f t="array" ref="Q399">_xlfn.ANCHORARRAY(G399)+0.15</f>
        <v>3.65</v>
      </c>
      <c r="R399" cm="1">
        <f t="array" ref="R399">_xlfn.ANCHORARRAY(H399)</f>
        <v>9.99</v>
      </c>
      <c r="S399" cm="1">
        <f t="array" ref="S399">_xlfn.ANCHORARRAY(R399)+0.15</f>
        <v>10.14</v>
      </c>
      <c r="T399" cm="1">
        <f t="array" ref="T399">_xlfn.ANCHORARRAY(I399)+0.15</f>
        <v>1.1499999999999999</v>
      </c>
      <c r="U399" cm="1">
        <f t="array" ref="U399">_xlfn.ANCHORARRAY(J399)+0.15</f>
        <v>3.15</v>
      </c>
      <c r="V399" cm="1">
        <f t="array" ref="V399">_xlfn.ANCHORARRAY(K399)+0.15</f>
        <v>4.6500000000000004</v>
      </c>
      <c r="W399">
        <f>TBL_TEV[[#This Row],[Etica Rendita Bilanciata]]</f>
        <v>1.4775990000000001</v>
      </c>
      <c r="X399">
        <f>TBL_TEV[[#This Row],[Etica Obbligazionario Breve Termine]]</f>
        <v>0.30082199999999998</v>
      </c>
      <c r="Y399">
        <f>TBL_TEV[[#This Row],[Etica Obbligazionario Misto]]</f>
        <v>0.72705200000000003</v>
      </c>
      <c r="Z399">
        <f>TBL_TEV[[#This Row],[Etica Bilanciato]]</f>
        <v>2.0447950000000001</v>
      </c>
      <c r="AA399">
        <f>TBL_TEV[[#This Row],[Etica Azionario]]</f>
        <v>2.9221789999999999</v>
      </c>
      <c r="AB399">
        <f>TBL_TEV[[#This Row],[Etica Transizione Climatica]]</f>
        <v>2.239576</v>
      </c>
      <c r="AC399">
        <f>TBL_TEV[[#This Row],[Etica Obiettivo Sociale]]</f>
        <v>7.3271791812131566</v>
      </c>
      <c r="AD399">
        <f>TBL_TEV[[#This Row],[Etica Conservative Allocation]]</f>
        <v>0.63244</v>
      </c>
      <c r="AE399">
        <f>TBL_TEV[[#This Row],[Etica Dynamic Allocation]]</f>
        <v>1.9533579999999999</v>
      </c>
      <c r="AF399">
        <f>TBL_TEV[[#This Row],[Etica Global Equity]]</f>
        <v>2.9129719999999999</v>
      </c>
      <c r="AL399">
        <f ca="1"/>
        <v>1.4563269999999999</v>
      </c>
      <c r="AM399">
        <f ca="1"/>
        <v>0.30796499999999999</v>
      </c>
      <c r="AN399">
        <f ca="1"/>
        <v>0.73308499999999999</v>
      </c>
      <c r="AO399">
        <f ca="1"/>
        <v>2.0543200000000001</v>
      </c>
      <c r="AP399">
        <f ca="1"/>
        <v>2.9156710000000001</v>
      </c>
      <c r="AQ399">
        <f ca="1"/>
        <v>2.2460840000000002</v>
      </c>
      <c r="AR399">
        <f ca="1"/>
        <v>7.5225208149060867</v>
      </c>
      <c r="AS399">
        <f ca="1"/>
        <v>0.637679</v>
      </c>
      <c r="AT399">
        <f ca="1"/>
        <v>1.9590730000000001</v>
      </c>
      <c r="AU399">
        <f ca="1"/>
        <v>2.9093209999999998</v>
      </c>
    </row>
    <row r="400" spans="1:47">
      <c r="A400" s="43">
        <f>TBL_TEV[[#This Row],[Data2]]</f>
        <v>45862</v>
      </c>
      <c r="B400" cm="1">
        <f t="array" ref="B400">_xlfn.XLOOKUP(_xlfn.ANCHORARRAY(A400), TBL_Limiti_CDA[Data], TBL_Limiti_CDA[Etica Rendita Bilanciata], , -1)</f>
        <v>2.5</v>
      </c>
      <c r="C400" cm="1">
        <f t="array" ref="C400">_xlfn.XLOOKUP(_xlfn.ANCHORARRAY(A400), TBL_Limiti_CDA[Data], TBL_Limiti_CDA[Etica Obbligazionario Breve Termine], , -1)</f>
        <v>0.5</v>
      </c>
      <c r="D400" cm="1">
        <f t="array" ref="D400">_xlfn.XLOOKUP(_xlfn.ANCHORARRAY(A400), TBL_Limiti_CDA[Data], TBL_Limiti_CDA[Etica Obbligazionario Misto], , -1)</f>
        <v>1</v>
      </c>
      <c r="E400" cm="1">
        <f t="array" ref="E400">_xlfn.XLOOKUP(_xlfn.ANCHORARRAY(A400), TBL_Limiti_CDA[Data], TBL_Limiti_CDA[Etica Bilanciato], , -1)</f>
        <v>3</v>
      </c>
      <c r="F400" cm="1">
        <f t="array" ref="F400">_xlfn.XLOOKUP(_xlfn.ANCHORARRAY(A400), TBL_Limiti_CDA[Data], TBL_Limiti_CDA[Etica Azionario], , -1)</f>
        <v>4.5</v>
      </c>
      <c r="G400" cm="1">
        <f t="array" ref="G400">_xlfn.XLOOKUP(_xlfn.ANCHORARRAY(A400), TBL_Limiti_CDA[Data], TBL_Limiti_CDA[Etica Transizione Climatica], , -1)</f>
        <v>3.5</v>
      </c>
      <c r="H400" cm="1">
        <f t="array" ref="H400">_xlfn.XLOOKUP(_xlfn.ANCHORARRAY(A400), TBL_Limiti_CDA[Data], TBL_Limiti_CDA[Etica Obiettivo Sociale], , -1)</f>
        <v>9.99</v>
      </c>
      <c r="I400" cm="1">
        <f t="array" ref="I400">_xlfn.XLOOKUP(_xlfn.ANCHORARRAY(A400), TBL_Limiti_CDA[Data], TBL_Limiti_CDA[Etica Conservative Allocation], , -1)</f>
        <v>1</v>
      </c>
      <c r="J400" cm="1">
        <f t="array" ref="J400">_xlfn.XLOOKUP(_xlfn.ANCHORARRAY(A400), TBL_Limiti_CDA[Data], TBL_Limiti_CDA[Etica Dynamic Allocation], , -1)</f>
        <v>3</v>
      </c>
      <c r="K400" cm="1">
        <f t="array" ref="K400">_xlfn.XLOOKUP(_xlfn.ANCHORARRAY(A400), TBL_Limiti_CDA[Data], TBL_Limiti_CDA[Etica Global Equity], , -1)</f>
        <v>4.5</v>
      </c>
      <c r="L400" cm="1">
        <f t="array" ref="L400">_xlfn.ANCHORARRAY(B400)+0.15</f>
        <v>2.65</v>
      </c>
      <c r="M400" cm="1">
        <f t="array" ref="M400">_xlfn.ANCHORARRAY(C400)+0.1</f>
        <v>0.6</v>
      </c>
      <c r="N400" cm="1">
        <f t="array" ref="N400">_xlfn.ANCHORARRAY(D400)+0.15</f>
        <v>1.1499999999999999</v>
      </c>
      <c r="O400" cm="1">
        <f t="array" ref="O400">_xlfn.ANCHORARRAY(E400)+0.15</f>
        <v>3.15</v>
      </c>
      <c r="P400" cm="1">
        <f t="array" ref="P400">_xlfn.ANCHORARRAY(F400)+0.15</f>
        <v>4.6500000000000004</v>
      </c>
      <c r="Q400" cm="1">
        <f t="array" ref="Q400">_xlfn.ANCHORARRAY(G400)+0.15</f>
        <v>3.65</v>
      </c>
      <c r="R400" cm="1">
        <f t="array" ref="R400">_xlfn.ANCHORARRAY(H400)</f>
        <v>9.99</v>
      </c>
      <c r="S400" cm="1">
        <f t="array" ref="S400">_xlfn.ANCHORARRAY(R400)+0.15</f>
        <v>10.14</v>
      </c>
      <c r="T400" cm="1">
        <f t="array" ref="T400">_xlfn.ANCHORARRAY(I400)+0.15</f>
        <v>1.1499999999999999</v>
      </c>
      <c r="U400" cm="1">
        <f t="array" ref="U400">_xlfn.ANCHORARRAY(J400)+0.15</f>
        <v>3.15</v>
      </c>
      <c r="V400" cm="1">
        <f t="array" ref="V400">_xlfn.ANCHORARRAY(K400)+0.15</f>
        <v>4.6500000000000004</v>
      </c>
      <c r="W400">
        <f>TBL_TEV[[#This Row],[Etica Rendita Bilanciata]]</f>
        <v>1.4563269999999999</v>
      </c>
      <c r="X400">
        <f>TBL_TEV[[#This Row],[Etica Obbligazionario Breve Termine]]</f>
        <v>0.30796499999999999</v>
      </c>
      <c r="Y400">
        <f>TBL_TEV[[#This Row],[Etica Obbligazionario Misto]]</f>
        <v>0.73308499999999999</v>
      </c>
      <c r="Z400">
        <f>TBL_TEV[[#This Row],[Etica Bilanciato]]</f>
        <v>2.0543200000000001</v>
      </c>
      <c r="AA400">
        <f>TBL_TEV[[#This Row],[Etica Azionario]]</f>
        <v>2.9156710000000001</v>
      </c>
      <c r="AB400">
        <f>TBL_TEV[[#This Row],[Etica Transizione Climatica]]</f>
        <v>2.2460840000000002</v>
      </c>
      <c r="AC400">
        <f>TBL_TEV[[#This Row],[Etica Obiettivo Sociale]]</f>
        <v>7.5225208149060867</v>
      </c>
      <c r="AD400">
        <f>TBL_TEV[[#This Row],[Etica Conservative Allocation]]</f>
        <v>0.637679</v>
      </c>
      <c r="AE400">
        <f>TBL_TEV[[#This Row],[Etica Dynamic Allocation]]</f>
        <v>1.9590730000000001</v>
      </c>
      <c r="AF400">
        <f>TBL_TEV[[#This Row],[Etica Global Equity]]</f>
        <v>2.9093209999999998</v>
      </c>
      <c r="AL400">
        <f ca="1"/>
        <v>1.4571210000000001</v>
      </c>
      <c r="AM400">
        <f ca="1"/>
        <v>0.307172</v>
      </c>
      <c r="AN400">
        <f ca="1"/>
        <v>0.737371</v>
      </c>
      <c r="AO400">
        <f ca="1"/>
        <v>2.0609869999999999</v>
      </c>
      <c r="AP400">
        <f ca="1"/>
        <v>2.9091619999999998</v>
      </c>
      <c r="AQ400">
        <f ca="1"/>
        <v>2.239099</v>
      </c>
      <c r="AR400">
        <f ca="1"/>
        <v>7.3462085501719718</v>
      </c>
      <c r="AS400">
        <f ca="1"/>
        <v>0.63894899999999999</v>
      </c>
      <c r="AT400">
        <f ca="1"/>
        <v>1.9633590000000001</v>
      </c>
      <c r="AU400">
        <f ca="1"/>
        <v>2.915988</v>
      </c>
    </row>
    <row r="401" spans="1:47">
      <c r="A401" s="43">
        <f>TBL_TEV[[#This Row],[Data2]]</f>
        <v>45863</v>
      </c>
      <c r="B401" cm="1">
        <f t="array" ref="B401">_xlfn.XLOOKUP(_xlfn.ANCHORARRAY(A401), TBL_Limiti_CDA[Data], TBL_Limiti_CDA[Etica Rendita Bilanciata], , -1)</f>
        <v>2.5</v>
      </c>
      <c r="C401" cm="1">
        <f t="array" ref="C401">_xlfn.XLOOKUP(_xlfn.ANCHORARRAY(A401), TBL_Limiti_CDA[Data], TBL_Limiti_CDA[Etica Obbligazionario Breve Termine], , -1)</f>
        <v>0.5</v>
      </c>
      <c r="D401" cm="1">
        <f t="array" ref="D401">_xlfn.XLOOKUP(_xlfn.ANCHORARRAY(A401), TBL_Limiti_CDA[Data], TBL_Limiti_CDA[Etica Obbligazionario Misto], , -1)</f>
        <v>1</v>
      </c>
      <c r="E401" cm="1">
        <f t="array" ref="E401">_xlfn.XLOOKUP(_xlfn.ANCHORARRAY(A401), TBL_Limiti_CDA[Data], TBL_Limiti_CDA[Etica Bilanciato], , -1)</f>
        <v>3</v>
      </c>
      <c r="F401" cm="1">
        <f t="array" ref="F401">_xlfn.XLOOKUP(_xlfn.ANCHORARRAY(A401), TBL_Limiti_CDA[Data], TBL_Limiti_CDA[Etica Azionario], , -1)</f>
        <v>4.5</v>
      </c>
      <c r="G401" cm="1">
        <f t="array" ref="G401">_xlfn.XLOOKUP(_xlfn.ANCHORARRAY(A401), TBL_Limiti_CDA[Data], TBL_Limiti_CDA[Etica Transizione Climatica], , -1)</f>
        <v>3.5</v>
      </c>
      <c r="H401" cm="1">
        <f t="array" ref="H401">_xlfn.XLOOKUP(_xlfn.ANCHORARRAY(A401), TBL_Limiti_CDA[Data], TBL_Limiti_CDA[Etica Obiettivo Sociale], , -1)</f>
        <v>9.99</v>
      </c>
      <c r="I401" cm="1">
        <f t="array" ref="I401">_xlfn.XLOOKUP(_xlfn.ANCHORARRAY(A401), TBL_Limiti_CDA[Data], TBL_Limiti_CDA[Etica Conservative Allocation], , -1)</f>
        <v>1</v>
      </c>
      <c r="J401" cm="1">
        <f t="array" ref="J401">_xlfn.XLOOKUP(_xlfn.ANCHORARRAY(A401), TBL_Limiti_CDA[Data], TBL_Limiti_CDA[Etica Dynamic Allocation], , -1)</f>
        <v>3</v>
      </c>
      <c r="K401" cm="1">
        <f t="array" ref="K401">_xlfn.XLOOKUP(_xlfn.ANCHORARRAY(A401), TBL_Limiti_CDA[Data], TBL_Limiti_CDA[Etica Global Equity], , -1)</f>
        <v>4.5</v>
      </c>
      <c r="L401" cm="1">
        <f t="array" ref="L401">_xlfn.ANCHORARRAY(B401)+0.15</f>
        <v>2.65</v>
      </c>
      <c r="M401" cm="1">
        <f t="array" ref="M401">_xlfn.ANCHORARRAY(C401)+0.1</f>
        <v>0.6</v>
      </c>
      <c r="N401" cm="1">
        <f t="array" ref="N401">_xlfn.ANCHORARRAY(D401)+0.15</f>
        <v>1.1499999999999999</v>
      </c>
      <c r="O401" cm="1">
        <f t="array" ref="O401">_xlfn.ANCHORARRAY(E401)+0.15</f>
        <v>3.15</v>
      </c>
      <c r="P401" cm="1">
        <f t="array" ref="P401">_xlfn.ANCHORARRAY(F401)+0.15</f>
        <v>4.6500000000000004</v>
      </c>
      <c r="Q401" cm="1">
        <f t="array" ref="Q401">_xlfn.ANCHORARRAY(G401)+0.15</f>
        <v>3.65</v>
      </c>
      <c r="R401" cm="1">
        <f t="array" ref="R401">_xlfn.ANCHORARRAY(H401)</f>
        <v>9.99</v>
      </c>
      <c r="S401" cm="1">
        <f t="array" ref="S401">_xlfn.ANCHORARRAY(R401)+0.15</f>
        <v>10.14</v>
      </c>
      <c r="T401" cm="1">
        <f t="array" ref="T401">_xlfn.ANCHORARRAY(I401)+0.15</f>
        <v>1.1499999999999999</v>
      </c>
      <c r="U401" cm="1">
        <f t="array" ref="U401">_xlfn.ANCHORARRAY(J401)+0.15</f>
        <v>3.15</v>
      </c>
      <c r="V401" cm="1">
        <f t="array" ref="V401">_xlfn.ANCHORARRAY(K401)+0.15</f>
        <v>4.6500000000000004</v>
      </c>
      <c r="W401">
        <f>TBL_TEV[[#This Row],[Etica Rendita Bilanciata]]</f>
        <v>1.4571210000000001</v>
      </c>
      <c r="X401">
        <f>TBL_TEV[[#This Row],[Etica Obbligazionario Breve Termine]]</f>
        <v>0.307172</v>
      </c>
      <c r="Y401">
        <f>TBL_TEV[[#This Row],[Etica Obbligazionario Misto]]</f>
        <v>0.737371</v>
      </c>
      <c r="Z401">
        <f>TBL_TEV[[#This Row],[Etica Bilanciato]]</f>
        <v>2.0609869999999999</v>
      </c>
      <c r="AA401">
        <f>TBL_TEV[[#This Row],[Etica Azionario]]</f>
        <v>2.9091619999999998</v>
      </c>
      <c r="AB401">
        <f>TBL_TEV[[#This Row],[Etica Transizione Climatica]]</f>
        <v>2.239099</v>
      </c>
      <c r="AC401">
        <f>TBL_TEV[[#This Row],[Etica Obiettivo Sociale]]</f>
        <v>7.3462085501719718</v>
      </c>
      <c r="AD401">
        <f>TBL_TEV[[#This Row],[Etica Conservative Allocation]]</f>
        <v>0.63894899999999999</v>
      </c>
      <c r="AE401">
        <f>TBL_TEV[[#This Row],[Etica Dynamic Allocation]]</f>
        <v>1.9633590000000001</v>
      </c>
      <c r="AF401">
        <f>TBL_TEV[[#This Row],[Etica Global Equity]]</f>
        <v>2.915988</v>
      </c>
      <c r="AL401">
        <f ca="1"/>
        <v>1.472361</v>
      </c>
      <c r="AM401">
        <f ca="1"/>
        <v>0.30907699999999999</v>
      </c>
      <c r="AN401">
        <f ca="1"/>
        <v>0.74276799999999998</v>
      </c>
      <c r="AO401">
        <f ca="1"/>
        <v>2.0668609999999998</v>
      </c>
      <c r="AP401">
        <f ca="1"/>
        <v>2.9329740000000002</v>
      </c>
      <c r="AQ401">
        <f ca="1"/>
        <v>2.2490999999999999</v>
      </c>
      <c r="AR401">
        <f ca="1"/>
        <v>7.269404100831971</v>
      </c>
      <c r="AS401">
        <f ca="1"/>
        <v>0.64704499999999998</v>
      </c>
      <c r="AT401">
        <f ca="1"/>
        <v>1.9866950000000001</v>
      </c>
      <c r="AU401">
        <f ca="1"/>
        <v>2.9490069999999999</v>
      </c>
    </row>
    <row r="402" spans="1:47">
      <c r="A402" s="43">
        <f>TBL_TEV[[#This Row],[Data2]]</f>
        <v>45866</v>
      </c>
      <c r="B402" cm="1">
        <f t="array" ref="B402">_xlfn.XLOOKUP(_xlfn.ANCHORARRAY(A402), TBL_Limiti_CDA[Data], TBL_Limiti_CDA[Etica Rendita Bilanciata], , -1)</f>
        <v>2.5</v>
      </c>
      <c r="C402" cm="1">
        <f t="array" ref="C402">_xlfn.XLOOKUP(_xlfn.ANCHORARRAY(A402), TBL_Limiti_CDA[Data], TBL_Limiti_CDA[Etica Obbligazionario Breve Termine], , -1)</f>
        <v>0.5</v>
      </c>
      <c r="D402" cm="1">
        <f t="array" ref="D402">_xlfn.XLOOKUP(_xlfn.ANCHORARRAY(A402), TBL_Limiti_CDA[Data], TBL_Limiti_CDA[Etica Obbligazionario Misto], , -1)</f>
        <v>1</v>
      </c>
      <c r="E402" cm="1">
        <f t="array" ref="E402">_xlfn.XLOOKUP(_xlfn.ANCHORARRAY(A402), TBL_Limiti_CDA[Data], TBL_Limiti_CDA[Etica Bilanciato], , -1)</f>
        <v>3</v>
      </c>
      <c r="F402" cm="1">
        <f t="array" ref="F402">_xlfn.XLOOKUP(_xlfn.ANCHORARRAY(A402), TBL_Limiti_CDA[Data], TBL_Limiti_CDA[Etica Azionario], , -1)</f>
        <v>4.5</v>
      </c>
      <c r="G402" cm="1">
        <f t="array" ref="G402">_xlfn.XLOOKUP(_xlfn.ANCHORARRAY(A402), TBL_Limiti_CDA[Data], TBL_Limiti_CDA[Etica Transizione Climatica], , -1)</f>
        <v>3.5</v>
      </c>
      <c r="H402" cm="1">
        <f t="array" ref="H402">_xlfn.XLOOKUP(_xlfn.ANCHORARRAY(A402), TBL_Limiti_CDA[Data], TBL_Limiti_CDA[Etica Obiettivo Sociale], , -1)</f>
        <v>9.99</v>
      </c>
      <c r="I402" cm="1">
        <f t="array" ref="I402">_xlfn.XLOOKUP(_xlfn.ANCHORARRAY(A402), TBL_Limiti_CDA[Data], TBL_Limiti_CDA[Etica Conservative Allocation], , -1)</f>
        <v>1</v>
      </c>
      <c r="J402" cm="1">
        <f t="array" ref="J402">_xlfn.XLOOKUP(_xlfn.ANCHORARRAY(A402), TBL_Limiti_CDA[Data], TBL_Limiti_CDA[Etica Dynamic Allocation], , -1)</f>
        <v>3</v>
      </c>
      <c r="K402" cm="1">
        <f t="array" ref="K402">_xlfn.XLOOKUP(_xlfn.ANCHORARRAY(A402), TBL_Limiti_CDA[Data], TBL_Limiti_CDA[Etica Global Equity], , -1)</f>
        <v>4.5</v>
      </c>
      <c r="L402" cm="1">
        <f t="array" ref="L402">_xlfn.ANCHORARRAY(B402)+0.15</f>
        <v>2.65</v>
      </c>
      <c r="M402" cm="1">
        <f t="array" ref="M402">_xlfn.ANCHORARRAY(C402)+0.1</f>
        <v>0.6</v>
      </c>
      <c r="N402" cm="1">
        <f t="array" ref="N402">_xlfn.ANCHORARRAY(D402)+0.15</f>
        <v>1.1499999999999999</v>
      </c>
      <c r="O402" cm="1">
        <f t="array" ref="O402">_xlfn.ANCHORARRAY(E402)+0.15</f>
        <v>3.15</v>
      </c>
      <c r="P402" cm="1">
        <f t="array" ref="P402">_xlfn.ANCHORARRAY(F402)+0.15</f>
        <v>4.6500000000000004</v>
      </c>
      <c r="Q402" cm="1">
        <f t="array" ref="Q402">_xlfn.ANCHORARRAY(G402)+0.15</f>
        <v>3.65</v>
      </c>
      <c r="R402" cm="1">
        <f t="array" ref="R402">_xlfn.ANCHORARRAY(H402)</f>
        <v>9.99</v>
      </c>
      <c r="S402" cm="1">
        <f t="array" ref="S402">_xlfn.ANCHORARRAY(R402)+0.15</f>
        <v>10.14</v>
      </c>
      <c r="T402" cm="1">
        <f t="array" ref="T402">_xlfn.ANCHORARRAY(I402)+0.15</f>
        <v>1.1499999999999999</v>
      </c>
      <c r="U402" cm="1">
        <f t="array" ref="U402">_xlfn.ANCHORARRAY(J402)+0.15</f>
        <v>3.15</v>
      </c>
      <c r="V402" cm="1">
        <f t="array" ref="V402">_xlfn.ANCHORARRAY(K402)+0.15</f>
        <v>4.6500000000000004</v>
      </c>
      <c r="W402">
        <f>TBL_TEV[[#This Row],[Etica Rendita Bilanciata]]</f>
        <v>1.472361</v>
      </c>
      <c r="X402">
        <f>TBL_TEV[[#This Row],[Etica Obbligazionario Breve Termine]]</f>
        <v>0.30907699999999999</v>
      </c>
      <c r="Y402">
        <f>TBL_TEV[[#This Row],[Etica Obbligazionario Misto]]</f>
        <v>0.74276799999999998</v>
      </c>
      <c r="Z402">
        <f>TBL_TEV[[#This Row],[Etica Bilanciato]]</f>
        <v>2.0668609999999998</v>
      </c>
      <c r="AA402">
        <f>TBL_TEV[[#This Row],[Etica Azionario]]</f>
        <v>2.9329740000000002</v>
      </c>
      <c r="AB402">
        <f>TBL_TEV[[#This Row],[Etica Transizione Climatica]]</f>
        <v>2.2490999999999999</v>
      </c>
      <c r="AC402">
        <f>TBL_TEV[[#This Row],[Etica Obiettivo Sociale]]</f>
        <v>7.269404100831971</v>
      </c>
      <c r="AD402">
        <f>TBL_TEV[[#This Row],[Etica Conservative Allocation]]</f>
        <v>0.64704499999999998</v>
      </c>
      <c r="AE402">
        <f>TBL_TEV[[#This Row],[Etica Dynamic Allocation]]</f>
        <v>1.9866950000000001</v>
      </c>
      <c r="AF402">
        <f>TBL_TEV[[#This Row],[Etica Global Equity]]</f>
        <v>2.9490069999999999</v>
      </c>
      <c r="AL402">
        <f ca="1"/>
        <v>1.4639470000000001</v>
      </c>
      <c r="AM402">
        <f ca="1"/>
        <v>0.30796499999999999</v>
      </c>
      <c r="AN402">
        <f ca="1"/>
        <v>0.70593899999999998</v>
      </c>
      <c r="AO402">
        <f ca="1"/>
        <v>2.046224</v>
      </c>
      <c r="AP402">
        <f ca="1"/>
        <v>2.9386890000000001</v>
      </c>
      <c r="AQ402">
        <f ca="1"/>
        <v>2.2722769999999999</v>
      </c>
      <c r="AR402">
        <f ca="1"/>
        <v>7.2367155603282427</v>
      </c>
      <c r="AS402">
        <f ca="1"/>
        <v>0.64514000000000005</v>
      </c>
      <c r="AT402">
        <f ca="1"/>
        <v>1.987965</v>
      </c>
      <c r="AU402">
        <f ca="1"/>
        <v>2.9661520000000001</v>
      </c>
    </row>
    <row r="403" spans="1:47">
      <c r="A403" s="43">
        <f>TBL_TEV[[#This Row],[Data2]]</f>
        <v>45867</v>
      </c>
      <c r="B403" cm="1">
        <f t="array" ref="B403">_xlfn.XLOOKUP(_xlfn.ANCHORARRAY(A403), TBL_Limiti_CDA[Data], TBL_Limiti_CDA[Etica Rendita Bilanciata], , -1)</f>
        <v>2.5</v>
      </c>
      <c r="C403" cm="1">
        <f t="array" ref="C403">_xlfn.XLOOKUP(_xlfn.ANCHORARRAY(A403), TBL_Limiti_CDA[Data], TBL_Limiti_CDA[Etica Obbligazionario Breve Termine], , -1)</f>
        <v>0.5</v>
      </c>
      <c r="D403" cm="1">
        <f t="array" ref="D403">_xlfn.XLOOKUP(_xlfn.ANCHORARRAY(A403), TBL_Limiti_CDA[Data], TBL_Limiti_CDA[Etica Obbligazionario Misto], , -1)</f>
        <v>1</v>
      </c>
      <c r="E403" cm="1">
        <f t="array" ref="E403">_xlfn.XLOOKUP(_xlfn.ANCHORARRAY(A403), TBL_Limiti_CDA[Data], TBL_Limiti_CDA[Etica Bilanciato], , -1)</f>
        <v>3</v>
      </c>
      <c r="F403" cm="1">
        <f t="array" ref="F403">_xlfn.XLOOKUP(_xlfn.ANCHORARRAY(A403), TBL_Limiti_CDA[Data], TBL_Limiti_CDA[Etica Azionario], , -1)</f>
        <v>4.5</v>
      </c>
      <c r="G403" cm="1">
        <f t="array" ref="G403">_xlfn.XLOOKUP(_xlfn.ANCHORARRAY(A403), TBL_Limiti_CDA[Data], TBL_Limiti_CDA[Etica Transizione Climatica], , -1)</f>
        <v>3.5</v>
      </c>
      <c r="H403" cm="1">
        <f t="array" ref="H403">_xlfn.XLOOKUP(_xlfn.ANCHORARRAY(A403), TBL_Limiti_CDA[Data], TBL_Limiti_CDA[Etica Obiettivo Sociale], , -1)</f>
        <v>9.99</v>
      </c>
      <c r="I403" cm="1">
        <f t="array" ref="I403">_xlfn.XLOOKUP(_xlfn.ANCHORARRAY(A403), TBL_Limiti_CDA[Data], TBL_Limiti_CDA[Etica Conservative Allocation], , -1)</f>
        <v>1</v>
      </c>
      <c r="J403" cm="1">
        <f t="array" ref="J403">_xlfn.XLOOKUP(_xlfn.ANCHORARRAY(A403), TBL_Limiti_CDA[Data], TBL_Limiti_CDA[Etica Dynamic Allocation], , -1)</f>
        <v>3</v>
      </c>
      <c r="K403" cm="1">
        <f t="array" ref="K403">_xlfn.XLOOKUP(_xlfn.ANCHORARRAY(A403), TBL_Limiti_CDA[Data], TBL_Limiti_CDA[Etica Global Equity], , -1)</f>
        <v>4.5</v>
      </c>
      <c r="L403" cm="1">
        <f t="array" ref="L403">_xlfn.ANCHORARRAY(B403)+0.15</f>
        <v>2.65</v>
      </c>
      <c r="M403" cm="1">
        <f t="array" ref="M403">_xlfn.ANCHORARRAY(C403)+0.1</f>
        <v>0.6</v>
      </c>
      <c r="N403" cm="1">
        <f t="array" ref="N403">_xlfn.ANCHORARRAY(D403)+0.15</f>
        <v>1.1499999999999999</v>
      </c>
      <c r="O403" cm="1">
        <f t="array" ref="O403">_xlfn.ANCHORARRAY(E403)+0.15</f>
        <v>3.15</v>
      </c>
      <c r="P403" cm="1">
        <f t="array" ref="P403">_xlfn.ANCHORARRAY(F403)+0.15</f>
        <v>4.6500000000000004</v>
      </c>
      <c r="Q403" cm="1">
        <f t="array" ref="Q403">_xlfn.ANCHORARRAY(G403)+0.15</f>
        <v>3.65</v>
      </c>
      <c r="R403" cm="1">
        <f t="array" ref="R403">_xlfn.ANCHORARRAY(H403)</f>
        <v>9.99</v>
      </c>
      <c r="S403" cm="1">
        <f t="array" ref="S403">_xlfn.ANCHORARRAY(R403)+0.15</f>
        <v>10.14</v>
      </c>
      <c r="T403" cm="1">
        <f t="array" ref="T403">_xlfn.ANCHORARRAY(I403)+0.15</f>
        <v>1.1499999999999999</v>
      </c>
      <c r="U403" cm="1">
        <f t="array" ref="U403">_xlfn.ANCHORARRAY(J403)+0.15</f>
        <v>3.15</v>
      </c>
      <c r="V403" cm="1">
        <f t="array" ref="V403">_xlfn.ANCHORARRAY(K403)+0.15</f>
        <v>4.6500000000000004</v>
      </c>
      <c r="W403">
        <f>TBL_TEV[[#This Row],[Etica Rendita Bilanciata]]</f>
        <v>1.4639470000000001</v>
      </c>
      <c r="X403">
        <f>TBL_TEV[[#This Row],[Etica Obbligazionario Breve Termine]]</f>
        <v>0.30796499999999999</v>
      </c>
      <c r="Y403">
        <f>TBL_TEV[[#This Row],[Etica Obbligazionario Misto]]</f>
        <v>0.70593899999999998</v>
      </c>
      <c r="Z403">
        <f>TBL_TEV[[#This Row],[Etica Bilanciato]]</f>
        <v>2.046224</v>
      </c>
      <c r="AA403">
        <f>TBL_TEV[[#This Row],[Etica Azionario]]</f>
        <v>2.9386890000000001</v>
      </c>
      <c r="AB403">
        <f>TBL_TEV[[#This Row],[Etica Transizione Climatica]]</f>
        <v>2.2722769999999999</v>
      </c>
      <c r="AC403">
        <f>TBL_TEV[[#This Row],[Etica Obiettivo Sociale]]</f>
        <v>7.2367155603282427</v>
      </c>
      <c r="AD403">
        <f>TBL_TEV[[#This Row],[Etica Conservative Allocation]]</f>
        <v>0.64514000000000005</v>
      </c>
      <c r="AE403">
        <f>TBL_TEV[[#This Row],[Etica Dynamic Allocation]]</f>
        <v>1.987965</v>
      </c>
      <c r="AF403">
        <f>TBL_TEV[[#This Row],[Etica Global Equity]]</f>
        <v>2.9661520000000001</v>
      </c>
      <c r="AL403">
        <f ca="1"/>
        <v>1.501887</v>
      </c>
      <c r="AM403">
        <f ca="1"/>
        <v>0.306537</v>
      </c>
      <c r="AN403">
        <f ca="1"/>
        <v>0.79832899999999996</v>
      </c>
      <c r="AO403">
        <f ca="1"/>
        <v>2.1094050000000002</v>
      </c>
      <c r="AP403">
        <f ca="1"/>
        <v>2.9742479999999998</v>
      </c>
      <c r="AQ403">
        <f ca="1"/>
        <v>2.3138679999999998</v>
      </c>
      <c r="AR403">
        <f ca="1"/>
        <v>7.4586093829788149</v>
      </c>
      <c r="AS403">
        <f ca="1"/>
        <v>0.64498100000000003</v>
      </c>
      <c r="AT403">
        <f ca="1"/>
        <v>2.0074900000000002</v>
      </c>
      <c r="AU403">
        <f ca="1"/>
        <v>2.998218</v>
      </c>
    </row>
    <row r="404" spans="1:47">
      <c r="A404" s="43">
        <f>TBL_TEV[[#This Row],[Data2]]</f>
        <v>45868</v>
      </c>
      <c r="B404" cm="1">
        <f t="array" ref="B404">_xlfn.XLOOKUP(_xlfn.ANCHORARRAY(A404), TBL_Limiti_CDA[Data], TBL_Limiti_CDA[Etica Rendita Bilanciata], , -1)</f>
        <v>2.5</v>
      </c>
      <c r="C404" cm="1">
        <f t="array" ref="C404">_xlfn.XLOOKUP(_xlfn.ANCHORARRAY(A404), TBL_Limiti_CDA[Data], TBL_Limiti_CDA[Etica Obbligazionario Breve Termine], , -1)</f>
        <v>0.5</v>
      </c>
      <c r="D404" cm="1">
        <f t="array" ref="D404">_xlfn.XLOOKUP(_xlfn.ANCHORARRAY(A404), TBL_Limiti_CDA[Data], TBL_Limiti_CDA[Etica Obbligazionario Misto], , -1)</f>
        <v>1</v>
      </c>
      <c r="E404" cm="1">
        <f t="array" ref="E404">_xlfn.XLOOKUP(_xlfn.ANCHORARRAY(A404), TBL_Limiti_CDA[Data], TBL_Limiti_CDA[Etica Bilanciato], , -1)</f>
        <v>3</v>
      </c>
      <c r="F404" cm="1">
        <f t="array" ref="F404">_xlfn.XLOOKUP(_xlfn.ANCHORARRAY(A404), TBL_Limiti_CDA[Data], TBL_Limiti_CDA[Etica Azionario], , -1)</f>
        <v>4.5</v>
      </c>
      <c r="G404" cm="1">
        <f t="array" ref="G404">_xlfn.XLOOKUP(_xlfn.ANCHORARRAY(A404), TBL_Limiti_CDA[Data], TBL_Limiti_CDA[Etica Transizione Climatica], , -1)</f>
        <v>3.5</v>
      </c>
      <c r="H404" cm="1">
        <f t="array" ref="H404">_xlfn.XLOOKUP(_xlfn.ANCHORARRAY(A404), TBL_Limiti_CDA[Data], TBL_Limiti_CDA[Etica Obiettivo Sociale], , -1)</f>
        <v>9.99</v>
      </c>
      <c r="I404" cm="1">
        <f t="array" ref="I404">_xlfn.XLOOKUP(_xlfn.ANCHORARRAY(A404), TBL_Limiti_CDA[Data], TBL_Limiti_CDA[Etica Conservative Allocation], , -1)</f>
        <v>1</v>
      </c>
      <c r="J404" cm="1">
        <f t="array" ref="J404">_xlfn.XLOOKUP(_xlfn.ANCHORARRAY(A404), TBL_Limiti_CDA[Data], TBL_Limiti_CDA[Etica Dynamic Allocation], , -1)</f>
        <v>3</v>
      </c>
      <c r="K404" cm="1">
        <f t="array" ref="K404">_xlfn.XLOOKUP(_xlfn.ANCHORARRAY(A404), TBL_Limiti_CDA[Data], TBL_Limiti_CDA[Etica Global Equity], , -1)</f>
        <v>4.5</v>
      </c>
      <c r="L404" cm="1">
        <f t="array" ref="L404">_xlfn.ANCHORARRAY(B404)+0.15</f>
        <v>2.65</v>
      </c>
      <c r="M404" cm="1">
        <f t="array" ref="M404">_xlfn.ANCHORARRAY(C404)+0.1</f>
        <v>0.6</v>
      </c>
      <c r="N404" cm="1">
        <f t="array" ref="N404">_xlfn.ANCHORARRAY(D404)+0.15</f>
        <v>1.1499999999999999</v>
      </c>
      <c r="O404" cm="1">
        <f t="array" ref="O404">_xlfn.ANCHORARRAY(E404)+0.15</f>
        <v>3.15</v>
      </c>
      <c r="P404" cm="1">
        <f t="array" ref="P404">_xlfn.ANCHORARRAY(F404)+0.15</f>
        <v>4.6500000000000004</v>
      </c>
      <c r="Q404" cm="1">
        <f t="array" ref="Q404">_xlfn.ANCHORARRAY(G404)+0.15</f>
        <v>3.65</v>
      </c>
      <c r="R404" cm="1">
        <f t="array" ref="R404">_xlfn.ANCHORARRAY(H404)</f>
        <v>9.99</v>
      </c>
      <c r="S404" cm="1">
        <f t="array" ref="S404">_xlfn.ANCHORARRAY(R404)+0.15</f>
        <v>10.14</v>
      </c>
      <c r="T404" cm="1">
        <f t="array" ref="T404">_xlfn.ANCHORARRAY(I404)+0.15</f>
        <v>1.1499999999999999</v>
      </c>
      <c r="U404" cm="1">
        <f t="array" ref="U404">_xlfn.ANCHORARRAY(J404)+0.15</f>
        <v>3.15</v>
      </c>
      <c r="V404" cm="1">
        <f t="array" ref="V404">_xlfn.ANCHORARRAY(K404)+0.15</f>
        <v>4.6500000000000004</v>
      </c>
      <c r="W404">
        <f>TBL_TEV[[#This Row],[Etica Rendita Bilanciata]]</f>
        <v>1.501887</v>
      </c>
      <c r="X404">
        <f>TBL_TEV[[#This Row],[Etica Obbligazionario Breve Termine]]</f>
        <v>0.306537</v>
      </c>
      <c r="Y404">
        <f>TBL_TEV[[#This Row],[Etica Obbligazionario Misto]]</f>
        <v>0.79832899999999996</v>
      </c>
      <c r="Z404">
        <f>TBL_TEV[[#This Row],[Etica Bilanciato]]</f>
        <v>2.1094050000000002</v>
      </c>
      <c r="AA404">
        <f>TBL_TEV[[#This Row],[Etica Azionario]]</f>
        <v>2.9742479999999998</v>
      </c>
      <c r="AB404">
        <f>TBL_TEV[[#This Row],[Etica Transizione Climatica]]</f>
        <v>2.3138679999999998</v>
      </c>
      <c r="AC404">
        <f>TBL_TEV[[#This Row],[Etica Obiettivo Sociale]]</f>
        <v>7.4586093829788149</v>
      </c>
      <c r="AD404">
        <f>TBL_TEV[[#This Row],[Etica Conservative Allocation]]</f>
        <v>0.64498100000000003</v>
      </c>
      <c r="AE404">
        <f>TBL_TEV[[#This Row],[Etica Dynamic Allocation]]</f>
        <v>2.0074900000000002</v>
      </c>
      <c r="AF404">
        <f>TBL_TEV[[#This Row],[Etica Global Equity]]</f>
        <v>2.998218</v>
      </c>
      <c r="AL404">
        <f ca="1"/>
        <v>1.51919</v>
      </c>
      <c r="AM404">
        <f ca="1"/>
        <v>0.27050200000000002</v>
      </c>
      <c r="AN404">
        <f ca="1"/>
        <v>0.77880300000000002</v>
      </c>
      <c r="AO404">
        <f ca="1"/>
        <v>2.1221040000000002</v>
      </c>
      <c r="AP404">
        <f ca="1"/>
        <v>3.003457</v>
      </c>
      <c r="AQ404">
        <f ca="1"/>
        <v>2.3048199999999999</v>
      </c>
      <c r="AR404">
        <f ca="1"/>
        <v>7.1322825788014113</v>
      </c>
      <c r="AS404">
        <f ca="1"/>
        <v>0.61736000000000002</v>
      </c>
      <c r="AT404">
        <f ca="1"/>
        <v>2.0119349999999998</v>
      </c>
      <c r="AU404">
        <f ca="1"/>
        <v>3.0161560000000001</v>
      </c>
    </row>
    <row r="405" spans="1:47">
      <c r="A405" s="43">
        <f>TBL_TEV[[#This Row],[Data2]]</f>
        <v>45869</v>
      </c>
      <c r="B405" cm="1">
        <f t="array" ref="B405">_xlfn.XLOOKUP(_xlfn.ANCHORARRAY(A405), TBL_Limiti_CDA[Data], TBL_Limiti_CDA[Etica Rendita Bilanciata], , -1)</f>
        <v>2.5</v>
      </c>
      <c r="C405" cm="1">
        <f t="array" ref="C405">_xlfn.XLOOKUP(_xlfn.ANCHORARRAY(A405), TBL_Limiti_CDA[Data], TBL_Limiti_CDA[Etica Obbligazionario Breve Termine], , -1)</f>
        <v>0.5</v>
      </c>
      <c r="D405" cm="1">
        <f t="array" ref="D405">_xlfn.XLOOKUP(_xlfn.ANCHORARRAY(A405), TBL_Limiti_CDA[Data], TBL_Limiti_CDA[Etica Obbligazionario Misto], , -1)</f>
        <v>1</v>
      </c>
      <c r="E405" cm="1">
        <f t="array" ref="E405">_xlfn.XLOOKUP(_xlfn.ANCHORARRAY(A405), TBL_Limiti_CDA[Data], TBL_Limiti_CDA[Etica Bilanciato], , -1)</f>
        <v>3</v>
      </c>
      <c r="F405" cm="1">
        <f t="array" ref="F405">_xlfn.XLOOKUP(_xlfn.ANCHORARRAY(A405), TBL_Limiti_CDA[Data], TBL_Limiti_CDA[Etica Azionario], , -1)</f>
        <v>4.5</v>
      </c>
      <c r="G405" cm="1">
        <f t="array" ref="G405">_xlfn.XLOOKUP(_xlfn.ANCHORARRAY(A405), TBL_Limiti_CDA[Data], TBL_Limiti_CDA[Etica Transizione Climatica], , -1)</f>
        <v>3.5</v>
      </c>
      <c r="H405" cm="1">
        <f t="array" ref="H405">_xlfn.XLOOKUP(_xlfn.ANCHORARRAY(A405), TBL_Limiti_CDA[Data], TBL_Limiti_CDA[Etica Obiettivo Sociale], , -1)</f>
        <v>9.99</v>
      </c>
      <c r="I405" cm="1">
        <f t="array" ref="I405">_xlfn.XLOOKUP(_xlfn.ANCHORARRAY(A405), TBL_Limiti_CDA[Data], TBL_Limiti_CDA[Etica Conservative Allocation], , -1)</f>
        <v>1</v>
      </c>
      <c r="J405" cm="1">
        <f t="array" ref="J405">_xlfn.XLOOKUP(_xlfn.ANCHORARRAY(A405), TBL_Limiti_CDA[Data], TBL_Limiti_CDA[Etica Dynamic Allocation], , -1)</f>
        <v>3</v>
      </c>
      <c r="K405" cm="1">
        <f t="array" ref="K405">_xlfn.XLOOKUP(_xlfn.ANCHORARRAY(A405), TBL_Limiti_CDA[Data], TBL_Limiti_CDA[Etica Global Equity], , -1)</f>
        <v>4.5</v>
      </c>
      <c r="L405" cm="1">
        <f t="array" ref="L405">_xlfn.ANCHORARRAY(B405)+0.15</f>
        <v>2.65</v>
      </c>
      <c r="M405" cm="1">
        <f t="array" ref="M405">_xlfn.ANCHORARRAY(C405)+0.1</f>
        <v>0.6</v>
      </c>
      <c r="N405" cm="1">
        <f t="array" ref="N405">_xlfn.ANCHORARRAY(D405)+0.15</f>
        <v>1.1499999999999999</v>
      </c>
      <c r="O405" cm="1">
        <f t="array" ref="O405">_xlfn.ANCHORARRAY(E405)+0.15</f>
        <v>3.15</v>
      </c>
      <c r="P405" cm="1">
        <f t="array" ref="P405">_xlfn.ANCHORARRAY(F405)+0.15</f>
        <v>4.6500000000000004</v>
      </c>
      <c r="Q405" cm="1">
        <f t="array" ref="Q405">_xlfn.ANCHORARRAY(G405)+0.15</f>
        <v>3.65</v>
      </c>
      <c r="R405" cm="1">
        <f t="array" ref="R405">_xlfn.ANCHORARRAY(H405)</f>
        <v>9.99</v>
      </c>
      <c r="S405" cm="1">
        <f t="array" ref="S405">_xlfn.ANCHORARRAY(R405)+0.15</f>
        <v>10.14</v>
      </c>
      <c r="T405" cm="1">
        <f t="array" ref="T405">_xlfn.ANCHORARRAY(I405)+0.15</f>
        <v>1.1499999999999999</v>
      </c>
      <c r="U405" cm="1">
        <f t="array" ref="U405">_xlfn.ANCHORARRAY(J405)+0.15</f>
        <v>3.15</v>
      </c>
      <c r="V405" cm="1">
        <f t="array" ref="V405">_xlfn.ANCHORARRAY(K405)+0.15</f>
        <v>4.6500000000000004</v>
      </c>
      <c r="W405">
        <f>TBL_TEV[[#This Row],[Etica Rendita Bilanciata]]</f>
        <v>1.51919</v>
      </c>
      <c r="X405">
        <f>TBL_TEV[[#This Row],[Etica Obbligazionario Breve Termine]]</f>
        <v>0.27050200000000002</v>
      </c>
      <c r="Y405">
        <f>TBL_TEV[[#This Row],[Etica Obbligazionario Misto]]</f>
        <v>0.77880300000000002</v>
      </c>
      <c r="Z405">
        <f>TBL_TEV[[#This Row],[Etica Bilanciato]]</f>
        <v>2.1221040000000002</v>
      </c>
      <c r="AA405">
        <f>TBL_TEV[[#This Row],[Etica Azionario]]</f>
        <v>3.003457</v>
      </c>
      <c r="AB405">
        <f>TBL_TEV[[#This Row],[Etica Transizione Climatica]]</f>
        <v>2.3048199999999999</v>
      </c>
      <c r="AC405">
        <f>TBL_TEV[[#This Row],[Etica Obiettivo Sociale]]</f>
        <v>7.1322825788014113</v>
      </c>
      <c r="AD405">
        <f>TBL_TEV[[#This Row],[Etica Conservative Allocation]]</f>
        <v>0.61736000000000002</v>
      </c>
      <c r="AE405">
        <f>TBL_TEV[[#This Row],[Etica Dynamic Allocation]]</f>
        <v>2.0119349999999998</v>
      </c>
      <c r="AF405">
        <f>TBL_TEV[[#This Row],[Etica Global Equity]]</f>
        <v>3.0161560000000001</v>
      </c>
      <c r="AL405">
        <f ca="1"/>
        <v>1.5483990000000001</v>
      </c>
      <c r="AM405">
        <f ca="1"/>
        <v>0.26923200000000003</v>
      </c>
      <c r="AN405">
        <f ca="1"/>
        <v>0.78308900000000004</v>
      </c>
      <c r="AO405">
        <f ca="1"/>
        <v>2.1917930000000001</v>
      </c>
      <c r="AP405">
        <f ca="1"/>
        <v>3.1383899999999998</v>
      </c>
      <c r="AQ405">
        <f ca="1"/>
        <v>2.3014860000000001</v>
      </c>
      <c r="AR405">
        <f ca="1"/>
        <v>7.6103397678474698</v>
      </c>
      <c r="AS405">
        <f ca="1"/>
        <v>0.62053499999999995</v>
      </c>
      <c r="AT405">
        <f ca="1"/>
        <v>2.0703529999999999</v>
      </c>
      <c r="AU405">
        <f ca="1"/>
        <v>3.1329929999999999</v>
      </c>
    </row>
    <row r="406" spans="1:47">
      <c r="A406" s="43">
        <f>TBL_TEV[[#This Row],[Data2]]</f>
        <v>45870</v>
      </c>
      <c r="B406" cm="1">
        <f t="array" ref="B406">_xlfn.XLOOKUP(_xlfn.ANCHORARRAY(A406), TBL_Limiti_CDA[Data], TBL_Limiti_CDA[Etica Rendita Bilanciata], , -1)</f>
        <v>2.5</v>
      </c>
      <c r="C406" cm="1">
        <f t="array" ref="C406">_xlfn.XLOOKUP(_xlfn.ANCHORARRAY(A406), TBL_Limiti_CDA[Data], TBL_Limiti_CDA[Etica Obbligazionario Breve Termine], , -1)</f>
        <v>0.5</v>
      </c>
      <c r="D406" cm="1">
        <f t="array" ref="D406">_xlfn.XLOOKUP(_xlfn.ANCHORARRAY(A406), TBL_Limiti_CDA[Data], TBL_Limiti_CDA[Etica Obbligazionario Misto], , -1)</f>
        <v>1</v>
      </c>
      <c r="E406" cm="1">
        <f t="array" ref="E406">_xlfn.XLOOKUP(_xlfn.ANCHORARRAY(A406), TBL_Limiti_CDA[Data], TBL_Limiti_CDA[Etica Bilanciato], , -1)</f>
        <v>3</v>
      </c>
      <c r="F406" cm="1">
        <f t="array" ref="F406">_xlfn.XLOOKUP(_xlfn.ANCHORARRAY(A406), TBL_Limiti_CDA[Data], TBL_Limiti_CDA[Etica Azionario], , -1)</f>
        <v>4.5</v>
      </c>
      <c r="G406" cm="1">
        <f t="array" ref="G406">_xlfn.XLOOKUP(_xlfn.ANCHORARRAY(A406), TBL_Limiti_CDA[Data], TBL_Limiti_CDA[Etica Transizione Climatica], , -1)</f>
        <v>3.5</v>
      </c>
      <c r="H406" cm="1">
        <f t="array" ref="H406">_xlfn.XLOOKUP(_xlfn.ANCHORARRAY(A406), TBL_Limiti_CDA[Data], TBL_Limiti_CDA[Etica Obiettivo Sociale], , -1)</f>
        <v>9.99</v>
      </c>
      <c r="I406" cm="1">
        <f t="array" ref="I406">_xlfn.XLOOKUP(_xlfn.ANCHORARRAY(A406), TBL_Limiti_CDA[Data], TBL_Limiti_CDA[Etica Conservative Allocation], , -1)</f>
        <v>1</v>
      </c>
      <c r="J406" cm="1">
        <f t="array" ref="J406">_xlfn.XLOOKUP(_xlfn.ANCHORARRAY(A406), TBL_Limiti_CDA[Data], TBL_Limiti_CDA[Etica Dynamic Allocation], , -1)</f>
        <v>3</v>
      </c>
      <c r="K406" cm="1">
        <f t="array" ref="K406">_xlfn.XLOOKUP(_xlfn.ANCHORARRAY(A406), TBL_Limiti_CDA[Data], TBL_Limiti_CDA[Etica Global Equity], , -1)</f>
        <v>4.5</v>
      </c>
      <c r="L406" cm="1">
        <f t="array" ref="L406">_xlfn.ANCHORARRAY(B406)+0.15</f>
        <v>2.65</v>
      </c>
      <c r="M406" cm="1">
        <f t="array" ref="M406">_xlfn.ANCHORARRAY(C406)+0.1</f>
        <v>0.6</v>
      </c>
      <c r="N406" cm="1">
        <f t="array" ref="N406">_xlfn.ANCHORARRAY(D406)+0.15</f>
        <v>1.1499999999999999</v>
      </c>
      <c r="O406" cm="1">
        <f t="array" ref="O406">_xlfn.ANCHORARRAY(E406)+0.15</f>
        <v>3.15</v>
      </c>
      <c r="P406" cm="1">
        <f t="array" ref="P406">_xlfn.ANCHORARRAY(F406)+0.15</f>
        <v>4.6500000000000004</v>
      </c>
      <c r="Q406" cm="1">
        <f t="array" ref="Q406">_xlfn.ANCHORARRAY(G406)+0.15</f>
        <v>3.65</v>
      </c>
      <c r="R406" cm="1">
        <f t="array" ref="R406">_xlfn.ANCHORARRAY(H406)</f>
        <v>9.99</v>
      </c>
      <c r="S406" cm="1">
        <f t="array" ref="S406">_xlfn.ANCHORARRAY(R406)+0.15</f>
        <v>10.14</v>
      </c>
      <c r="T406" cm="1">
        <f t="array" ref="T406">_xlfn.ANCHORARRAY(I406)+0.15</f>
        <v>1.1499999999999999</v>
      </c>
      <c r="U406" cm="1">
        <f t="array" ref="U406">_xlfn.ANCHORARRAY(J406)+0.15</f>
        <v>3.15</v>
      </c>
      <c r="V406" cm="1">
        <f t="array" ref="V406">_xlfn.ANCHORARRAY(K406)+0.15</f>
        <v>4.6500000000000004</v>
      </c>
      <c r="W406">
        <f>TBL_TEV[[#This Row],[Etica Rendita Bilanciata]]</f>
        <v>1.5483990000000001</v>
      </c>
      <c r="X406">
        <f>TBL_TEV[[#This Row],[Etica Obbligazionario Breve Termine]]</f>
        <v>0.26923200000000003</v>
      </c>
      <c r="Y406">
        <f>TBL_TEV[[#This Row],[Etica Obbligazionario Misto]]</f>
        <v>0.78308900000000004</v>
      </c>
      <c r="Z406">
        <f>TBL_TEV[[#This Row],[Etica Bilanciato]]</f>
        <v>2.1917930000000001</v>
      </c>
      <c r="AA406">
        <f>TBL_TEV[[#This Row],[Etica Azionario]]</f>
        <v>3.1383899999999998</v>
      </c>
      <c r="AB406">
        <f>TBL_TEV[[#This Row],[Etica Transizione Climatica]]</f>
        <v>2.3014860000000001</v>
      </c>
      <c r="AC406">
        <f>TBL_TEV[[#This Row],[Etica Obiettivo Sociale]]</f>
        <v>7.6103397678474698</v>
      </c>
      <c r="AD406">
        <f>TBL_TEV[[#This Row],[Etica Conservative Allocation]]</f>
        <v>0.62053499999999995</v>
      </c>
      <c r="AE406">
        <f>TBL_TEV[[#This Row],[Etica Dynamic Allocation]]</f>
        <v>2.0703529999999999</v>
      </c>
      <c r="AF406">
        <f>TBL_TEV[[#This Row],[Etica Global Equity]]</f>
        <v>3.1329929999999999</v>
      </c>
      <c r="AL406">
        <f ca="1"/>
        <v>1.532049</v>
      </c>
      <c r="AM406">
        <f ca="1"/>
        <v>0.26891399999999999</v>
      </c>
      <c r="AN406">
        <f ca="1"/>
        <v>0.78070799999999996</v>
      </c>
      <c r="AO406">
        <f ca="1"/>
        <v>2.1681400000000002</v>
      </c>
      <c r="AP406">
        <f ca="1"/>
        <v>3.09918</v>
      </c>
      <c r="AQ406">
        <f ca="1"/>
        <v>2.3605390000000002</v>
      </c>
      <c r="AR406">
        <f ca="1"/>
        <v>7.6467293770326155</v>
      </c>
      <c r="AS406">
        <f ca="1"/>
        <v>0.617201</v>
      </c>
      <c r="AT406">
        <f ca="1"/>
        <v>2.051145</v>
      </c>
      <c r="AU406">
        <f ca="1"/>
        <v>3.1039430000000001</v>
      </c>
    </row>
    <row r="407" spans="1:47">
      <c r="A407" s="43">
        <f>TBL_TEV[[#This Row],[Data2]]</f>
        <v>45873</v>
      </c>
      <c r="B407" cm="1">
        <f t="array" ref="B407">_xlfn.XLOOKUP(_xlfn.ANCHORARRAY(A407), TBL_Limiti_CDA[Data], TBL_Limiti_CDA[Etica Rendita Bilanciata], , -1)</f>
        <v>2.5</v>
      </c>
      <c r="C407" cm="1">
        <f t="array" ref="C407">_xlfn.XLOOKUP(_xlfn.ANCHORARRAY(A407), TBL_Limiti_CDA[Data], TBL_Limiti_CDA[Etica Obbligazionario Breve Termine], , -1)</f>
        <v>0.5</v>
      </c>
      <c r="D407" cm="1">
        <f t="array" ref="D407">_xlfn.XLOOKUP(_xlfn.ANCHORARRAY(A407), TBL_Limiti_CDA[Data], TBL_Limiti_CDA[Etica Obbligazionario Misto], , -1)</f>
        <v>1</v>
      </c>
      <c r="E407" cm="1">
        <f t="array" ref="E407">_xlfn.XLOOKUP(_xlfn.ANCHORARRAY(A407), TBL_Limiti_CDA[Data], TBL_Limiti_CDA[Etica Bilanciato], , -1)</f>
        <v>3</v>
      </c>
      <c r="F407" cm="1">
        <f t="array" ref="F407">_xlfn.XLOOKUP(_xlfn.ANCHORARRAY(A407), TBL_Limiti_CDA[Data], TBL_Limiti_CDA[Etica Azionario], , -1)</f>
        <v>4.5</v>
      </c>
      <c r="G407" cm="1">
        <f t="array" ref="G407">_xlfn.XLOOKUP(_xlfn.ANCHORARRAY(A407), TBL_Limiti_CDA[Data], TBL_Limiti_CDA[Etica Transizione Climatica], , -1)</f>
        <v>3.5</v>
      </c>
      <c r="H407" cm="1">
        <f t="array" ref="H407">_xlfn.XLOOKUP(_xlfn.ANCHORARRAY(A407), TBL_Limiti_CDA[Data], TBL_Limiti_CDA[Etica Obiettivo Sociale], , -1)</f>
        <v>9.99</v>
      </c>
      <c r="I407" cm="1">
        <f t="array" ref="I407">_xlfn.XLOOKUP(_xlfn.ANCHORARRAY(A407), TBL_Limiti_CDA[Data], TBL_Limiti_CDA[Etica Conservative Allocation], , -1)</f>
        <v>1</v>
      </c>
      <c r="J407" cm="1">
        <f t="array" ref="J407">_xlfn.XLOOKUP(_xlfn.ANCHORARRAY(A407), TBL_Limiti_CDA[Data], TBL_Limiti_CDA[Etica Dynamic Allocation], , -1)</f>
        <v>3</v>
      </c>
      <c r="K407" cm="1">
        <f t="array" ref="K407">_xlfn.XLOOKUP(_xlfn.ANCHORARRAY(A407), TBL_Limiti_CDA[Data], TBL_Limiti_CDA[Etica Global Equity], , -1)</f>
        <v>4.5</v>
      </c>
      <c r="L407" cm="1">
        <f t="array" ref="L407">_xlfn.ANCHORARRAY(B407)+0.15</f>
        <v>2.65</v>
      </c>
      <c r="M407" cm="1">
        <f t="array" ref="M407">_xlfn.ANCHORARRAY(C407)+0.1</f>
        <v>0.6</v>
      </c>
      <c r="N407" cm="1">
        <f t="array" ref="N407">_xlfn.ANCHORARRAY(D407)+0.15</f>
        <v>1.1499999999999999</v>
      </c>
      <c r="O407" cm="1">
        <f t="array" ref="O407">_xlfn.ANCHORARRAY(E407)+0.15</f>
        <v>3.15</v>
      </c>
      <c r="P407" cm="1">
        <f t="array" ref="P407">_xlfn.ANCHORARRAY(F407)+0.15</f>
        <v>4.6500000000000004</v>
      </c>
      <c r="Q407" cm="1">
        <f t="array" ref="Q407">_xlfn.ANCHORARRAY(G407)+0.15</f>
        <v>3.65</v>
      </c>
      <c r="R407" cm="1">
        <f t="array" ref="R407">_xlfn.ANCHORARRAY(H407)</f>
        <v>9.99</v>
      </c>
      <c r="S407" cm="1">
        <f t="array" ref="S407">_xlfn.ANCHORARRAY(R407)+0.15</f>
        <v>10.14</v>
      </c>
      <c r="T407" cm="1">
        <f t="array" ref="T407">_xlfn.ANCHORARRAY(I407)+0.15</f>
        <v>1.1499999999999999</v>
      </c>
      <c r="U407" cm="1">
        <f t="array" ref="U407">_xlfn.ANCHORARRAY(J407)+0.15</f>
        <v>3.15</v>
      </c>
      <c r="V407" cm="1">
        <f t="array" ref="V407">_xlfn.ANCHORARRAY(K407)+0.15</f>
        <v>4.6500000000000004</v>
      </c>
      <c r="W407">
        <f>TBL_TEV[[#This Row],[Etica Rendita Bilanciata]]</f>
        <v>1.532049</v>
      </c>
      <c r="X407">
        <f>TBL_TEV[[#This Row],[Etica Obbligazionario Breve Termine]]</f>
        <v>0.26891399999999999</v>
      </c>
      <c r="Y407">
        <f>TBL_TEV[[#This Row],[Etica Obbligazionario Misto]]</f>
        <v>0.78070799999999996</v>
      </c>
      <c r="Z407">
        <f>TBL_TEV[[#This Row],[Etica Bilanciato]]</f>
        <v>2.1681400000000002</v>
      </c>
      <c r="AA407">
        <f>TBL_TEV[[#This Row],[Etica Azionario]]</f>
        <v>3.09918</v>
      </c>
      <c r="AB407">
        <f>TBL_TEV[[#This Row],[Etica Transizione Climatica]]</f>
        <v>2.3605390000000002</v>
      </c>
      <c r="AC407">
        <f>TBL_TEV[[#This Row],[Etica Obiettivo Sociale]]</f>
        <v>7.6467293770326155</v>
      </c>
      <c r="AD407">
        <f>TBL_TEV[[#This Row],[Etica Conservative Allocation]]</f>
        <v>0.617201</v>
      </c>
      <c r="AE407">
        <f>TBL_TEV[[#This Row],[Etica Dynamic Allocation]]</f>
        <v>2.051145</v>
      </c>
      <c r="AF407">
        <f>TBL_TEV[[#This Row],[Etica Global Equity]]</f>
        <v>3.1039430000000001</v>
      </c>
      <c r="AL407">
        <f ca="1"/>
        <v>1.520778</v>
      </c>
      <c r="AM407">
        <f ca="1"/>
        <v>0.26780300000000001</v>
      </c>
      <c r="AN407">
        <f ca="1"/>
        <v>0.77626300000000004</v>
      </c>
      <c r="AO407">
        <f ca="1"/>
        <v>2.1559170000000001</v>
      </c>
      <c r="AP407">
        <f ca="1"/>
        <v>3.0826709999999999</v>
      </c>
      <c r="AQ407">
        <f ca="1"/>
        <v>2.339585</v>
      </c>
      <c r="AR407">
        <f ca="1"/>
        <v>7.5638134523194065</v>
      </c>
      <c r="AS407">
        <f ca="1"/>
        <v>0.60989899999999997</v>
      </c>
      <c r="AT407">
        <f ca="1"/>
        <v>2.0309849999999998</v>
      </c>
      <c r="AU407">
        <f ca="1"/>
        <v>3.0755270000000001</v>
      </c>
    </row>
    <row r="408" spans="1:47">
      <c r="A408" s="43">
        <f>TBL_TEV[[#This Row],[Data2]]</f>
        <v>45874</v>
      </c>
      <c r="B408" cm="1">
        <f t="array" ref="B408">_xlfn.XLOOKUP(_xlfn.ANCHORARRAY(A408), TBL_Limiti_CDA[Data], TBL_Limiti_CDA[Etica Rendita Bilanciata], , -1)</f>
        <v>2.5</v>
      </c>
      <c r="C408" cm="1">
        <f t="array" ref="C408">_xlfn.XLOOKUP(_xlfn.ANCHORARRAY(A408), TBL_Limiti_CDA[Data], TBL_Limiti_CDA[Etica Obbligazionario Breve Termine], , -1)</f>
        <v>0.5</v>
      </c>
      <c r="D408" cm="1">
        <f t="array" ref="D408">_xlfn.XLOOKUP(_xlfn.ANCHORARRAY(A408), TBL_Limiti_CDA[Data], TBL_Limiti_CDA[Etica Obbligazionario Misto], , -1)</f>
        <v>1</v>
      </c>
      <c r="E408" cm="1">
        <f t="array" ref="E408">_xlfn.XLOOKUP(_xlfn.ANCHORARRAY(A408), TBL_Limiti_CDA[Data], TBL_Limiti_CDA[Etica Bilanciato], , -1)</f>
        <v>3</v>
      </c>
      <c r="F408" cm="1">
        <f t="array" ref="F408">_xlfn.XLOOKUP(_xlfn.ANCHORARRAY(A408), TBL_Limiti_CDA[Data], TBL_Limiti_CDA[Etica Azionario], , -1)</f>
        <v>4.5</v>
      </c>
      <c r="G408" cm="1">
        <f t="array" ref="G408">_xlfn.XLOOKUP(_xlfn.ANCHORARRAY(A408), TBL_Limiti_CDA[Data], TBL_Limiti_CDA[Etica Transizione Climatica], , -1)</f>
        <v>3.5</v>
      </c>
      <c r="H408" cm="1">
        <f t="array" ref="H408">_xlfn.XLOOKUP(_xlfn.ANCHORARRAY(A408), TBL_Limiti_CDA[Data], TBL_Limiti_CDA[Etica Obiettivo Sociale], , -1)</f>
        <v>9.99</v>
      </c>
      <c r="I408" cm="1">
        <f t="array" ref="I408">_xlfn.XLOOKUP(_xlfn.ANCHORARRAY(A408), TBL_Limiti_CDA[Data], TBL_Limiti_CDA[Etica Conservative Allocation], , -1)</f>
        <v>1</v>
      </c>
      <c r="J408" cm="1">
        <f t="array" ref="J408">_xlfn.XLOOKUP(_xlfn.ANCHORARRAY(A408), TBL_Limiti_CDA[Data], TBL_Limiti_CDA[Etica Dynamic Allocation], , -1)</f>
        <v>3</v>
      </c>
      <c r="K408" cm="1">
        <f t="array" ref="K408">_xlfn.XLOOKUP(_xlfn.ANCHORARRAY(A408), TBL_Limiti_CDA[Data], TBL_Limiti_CDA[Etica Global Equity], , -1)</f>
        <v>4.5</v>
      </c>
      <c r="L408" cm="1">
        <f t="array" ref="L408">_xlfn.ANCHORARRAY(B408)+0.15</f>
        <v>2.65</v>
      </c>
      <c r="M408" cm="1">
        <f t="array" ref="M408">_xlfn.ANCHORARRAY(C408)+0.1</f>
        <v>0.6</v>
      </c>
      <c r="N408" cm="1">
        <f t="array" ref="N408">_xlfn.ANCHORARRAY(D408)+0.15</f>
        <v>1.1499999999999999</v>
      </c>
      <c r="O408" cm="1">
        <f t="array" ref="O408">_xlfn.ANCHORARRAY(E408)+0.15</f>
        <v>3.15</v>
      </c>
      <c r="P408" cm="1">
        <f t="array" ref="P408">_xlfn.ANCHORARRAY(F408)+0.15</f>
        <v>4.6500000000000004</v>
      </c>
      <c r="Q408" cm="1">
        <f t="array" ref="Q408">_xlfn.ANCHORARRAY(G408)+0.15</f>
        <v>3.65</v>
      </c>
      <c r="R408" cm="1">
        <f t="array" ref="R408">_xlfn.ANCHORARRAY(H408)</f>
        <v>9.99</v>
      </c>
      <c r="S408" cm="1">
        <f t="array" ref="S408">_xlfn.ANCHORARRAY(R408)+0.15</f>
        <v>10.14</v>
      </c>
      <c r="T408" cm="1">
        <f t="array" ref="T408">_xlfn.ANCHORARRAY(I408)+0.15</f>
        <v>1.1499999999999999</v>
      </c>
      <c r="U408" cm="1">
        <f t="array" ref="U408">_xlfn.ANCHORARRAY(J408)+0.15</f>
        <v>3.15</v>
      </c>
      <c r="V408" cm="1">
        <f t="array" ref="V408">_xlfn.ANCHORARRAY(K408)+0.15</f>
        <v>4.6500000000000004</v>
      </c>
      <c r="W408">
        <f>TBL_TEV[[#This Row],[Etica Rendita Bilanciata]]</f>
        <v>1.520778</v>
      </c>
      <c r="X408">
        <f>TBL_TEV[[#This Row],[Etica Obbligazionario Breve Termine]]</f>
        <v>0.26780300000000001</v>
      </c>
      <c r="Y408">
        <f>TBL_TEV[[#This Row],[Etica Obbligazionario Misto]]</f>
        <v>0.77626300000000004</v>
      </c>
      <c r="Z408">
        <f>TBL_TEV[[#This Row],[Etica Bilanciato]]</f>
        <v>2.1559170000000001</v>
      </c>
      <c r="AA408">
        <f>TBL_TEV[[#This Row],[Etica Azionario]]</f>
        <v>3.0826709999999999</v>
      </c>
      <c r="AB408">
        <f>TBL_TEV[[#This Row],[Etica Transizione Climatica]]</f>
        <v>2.339585</v>
      </c>
      <c r="AC408">
        <f>TBL_TEV[[#This Row],[Etica Obiettivo Sociale]]</f>
        <v>7.5638134523194065</v>
      </c>
      <c r="AD408">
        <f>TBL_TEV[[#This Row],[Etica Conservative Allocation]]</f>
        <v>0.60989899999999997</v>
      </c>
      <c r="AE408">
        <f>TBL_TEV[[#This Row],[Etica Dynamic Allocation]]</f>
        <v>2.0309849999999998</v>
      </c>
      <c r="AF408">
        <f>TBL_TEV[[#This Row],[Etica Global Equity]]</f>
        <v>3.0755270000000001</v>
      </c>
      <c r="AL408">
        <f ca="1"/>
        <v>1.5425260000000001</v>
      </c>
      <c r="AM408">
        <f ca="1"/>
        <v>0.26684999999999998</v>
      </c>
      <c r="AN408">
        <f ca="1"/>
        <v>0.78118500000000002</v>
      </c>
      <c r="AO408">
        <f ca="1"/>
        <v>2.194016</v>
      </c>
      <c r="AP408">
        <f ca="1"/>
        <v>3.14601</v>
      </c>
      <c r="AQ408">
        <f ca="1"/>
        <v>2.3843510000000001</v>
      </c>
      <c r="AR408">
        <f ca="1"/>
        <v>7.4905788068398538</v>
      </c>
      <c r="AS408">
        <f ca="1"/>
        <v>0.61228000000000005</v>
      </c>
      <c r="AT408">
        <f ca="1"/>
        <v>2.0774970000000001</v>
      </c>
      <c r="AU408">
        <f ca="1"/>
        <v>3.1455340000000001</v>
      </c>
    </row>
    <row r="409" spans="1:47">
      <c r="A409" s="43">
        <f>TBL_TEV[[#This Row],[Data2]]</f>
        <v>45875</v>
      </c>
      <c r="B409" cm="1">
        <f t="array" ref="B409">_xlfn.XLOOKUP(_xlfn.ANCHORARRAY(A409), TBL_Limiti_CDA[Data], TBL_Limiti_CDA[Etica Rendita Bilanciata], , -1)</f>
        <v>2.5</v>
      </c>
      <c r="C409" cm="1">
        <f t="array" ref="C409">_xlfn.XLOOKUP(_xlfn.ANCHORARRAY(A409), TBL_Limiti_CDA[Data], TBL_Limiti_CDA[Etica Obbligazionario Breve Termine], , -1)</f>
        <v>0.5</v>
      </c>
      <c r="D409" cm="1">
        <f t="array" ref="D409">_xlfn.XLOOKUP(_xlfn.ANCHORARRAY(A409), TBL_Limiti_CDA[Data], TBL_Limiti_CDA[Etica Obbligazionario Misto], , -1)</f>
        <v>1</v>
      </c>
      <c r="E409" cm="1">
        <f t="array" ref="E409">_xlfn.XLOOKUP(_xlfn.ANCHORARRAY(A409), TBL_Limiti_CDA[Data], TBL_Limiti_CDA[Etica Bilanciato], , -1)</f>
        <v>3</v>
      </c>
      <c r="F409" cm="1">
        <f t="array" ref="F409">_xlfn.XLOOKUP(_xlfn.ANCHORARRAY(A409), TBL_Limiti_CDA[Data], TBL_Limiti_CDA[Etica Azionario], , -1)</f>
        <v>4.5</v>
      </c>
      <c r="G409" cm="1">
        <f t="array" ref="G409">_xlfn.XLOOKUP(_xlfn.ANCHORARRAY(A409), TBL_Limiti_CDA[Data], TBL_Limiti_CDA[Etica Transizione Climatica], , -1)</f>
        <v>3.5</v>
      </c>
      <c r="H409" cm="1">
        <f t="array" ref="H409">_xlfn.XLOOKUP(_xlfn.ANCHORARRAY(A409), TBL_Limiti_CDA[Data], TBL_Limiti_CDA[Etica Obiettivo Sociale], , -1)</f>
        <v>9.99</v>
      </c>
      <c r="I409" cm="1">
        <f t="array" ref="I409">_xlfn.XLOOKUP(_xlfn.ANCHORARRAY(A409), TBL_Limiti_CDA[Data], TBL_Limiti_CDA[Etica Conservative Allocation], , -1)</f>
        <v>1</v>
      </c>
      <c r="J409" cm="1">
        <f t="array" ref="J409">_xlfn.XLOOKUP(_xlfn.ANCHORARRAY(A409), TBL_Limiti_CDA[Data], TBL_Limiti_CDA[Etica Dynamic Allocation], , -1)</f>
        <v>3</v>
      </c>
      <c r="K409" cm="1">
        <f t="array" ref="K409">_xlfn.XLOOKUP(_xlfn.ANCHORARRAY(A409), TBL_Limiti_CDA[Data], TBL_Limiti_CDA[Etica Global Equity], , -1)</f>
        <v>4.5</v>
      </c>
      <c r="L409" cm="1">
        <f t="array" ref="L409">_xlfn.ANCHORARRAY(B409)+0.15</f>
        <v>2.65</v>
      </c>
      <c r="M409" cm="1">
        <f t="array" ref="M409">_xlfn.ANCHORARRAY(C409)+0.1</f>
        <v>0.6</v>
      </c>
      <c r="N409" cm="1">
        <f t="array" ref="N409">_xlfn.ANCHORARRAY(D409)+0.15</f>
        <v>1.1499999999999999</v>
      </c>
      <c r="O409" cm="1">
        <f t="array" ref="O409">_xlfn.ANCHORARRAY(E409)+0.15</f>
        <v>3.15</v>
      </c>
      <c r="P409" cm="1">
        <f t="array" ref="P409">_xlfn.ANCHORARRAY(F409)+0.15</f>
        <v>4.6500000000000004</v>
      </c>
      <c r="Q409" cm="1">
        <f t="array" ref="Q409">_xlfn.ANCHORARRAY(G409)+0.15</f>
        <v>3.65</v>
      </c>
      <c r="R409" cm="1">
        <f t="array" ref="R409">_xlfn.ANCHORARRAY(H409)</f>
        <v>9.99</v>
      </c>
      <c r="S409" cm="1">
        <f t="array" ref="S409">_xlfn.ANCHORARRAY(R409)+0.15</f>
        <v>10.14</v>
      </c>
      <c r="T409" cm="1">
        <f t="array" ref="T409">_xlfn.ANCHORARRAY(I409)+0.15</f>
        <v>1.1499999999999999</v>
      </c>
      <c r="U409" cm="1">
        <f t="array" ref="U409">_xlfn.ANCHORARRAY(J409)+0.15</f>
        <v>3.15</v>
      </c>
      <c r="V409" cm="1">
        <f t="array" ref="V409">_xlfn.ANCHORARRAY(K409)+0.15</f>
        <v>4.6500000000000004</v>
      </c>
      <c r="W409">
        <f>TBL_TEV[[#This Row],[Etica Rendita Bilanciata]]</f>
        <v>1.5425260000000001</v>
      </c>
      <c r="X409">
        <f>TBL_TEV[[#This Row],[Etica Obbligazionario Breve Termine]]</f>
        <v>0.26684999999999998</v>
      </c>
      <c r="Y409">
        <f>TBL_TEV[[#This Row],[Etica Obbligazionario Misto]]</f>
        <v>0.78118500000000002</v>
      </c>
      <c r="Z409">
        <f>TBL_TEV[[#This Row],[Etica Bilanciato]]</f>
        <v>2.194016</v>
      </c>
      <c r="AA409">
        <f>TBL_TEV[[#This Row],[Etica Azionario]]</f>
        <v>3.14601</v>
      </c>
      <c r="AB409">
        <f>TBL_TEV[[#This Row],[Etica Transizione Climatica]]</f>
        <v>2.3843510000000001</v>
      </c>
      <c r="AC409">
        <f>TBL_TEV[[#This Row],[Etica Obiettivo Sociale]]</f>
        <v>7.4905788068398538</v>
      </c>
      <c r="AD409">
        <f>TBL_TEV[[#This Row],[Etica Conservative Allocation]]</f>
        <v>0.61228000000000005</v>
      </c>
      <c r="AE409">
        <f>TBL_TEV[[#This Row],[Etica Dynamic Allocation]]</f>
        <v>2.0774970000000001</v>
      </c>
      <c r="AF409">
        <f>TBL_TEV[[#This Row],[Etica Global Equity]]</f>
        <v>3.1455340000000001</v>
      </c>
      <c r="AL409">
        <f ca="1"/>
        <v>1.54078</v>
      </c>
      <c r="AM409">
        <f ca="1"/>
        <v>0.265739</v>
      </c>
      <c r="AN409">
        <f ca="1"/>
        <v>0.78134300000000001</v>
      </c>
      <c r="AO409">
        <f ca="1"/>
        <v>2.1900469999999999</v>
      </c>
      <c r="AP409">
        <f ca="1"/>
        <v>3.1404540000000001</v>
      </c>
      <c r="AQ409">
        <f ca="1"/>
        <v>2.3383150000000001</v>
      </c>
      <c r="AR409">
        <f ca="1"/>
        <v>7.4923435031292591</v>
      </c>
      <c r="AS409">
        <f ca="1"/>
        <v>0.60862899999999998</v>
      </c>
      <c r="AT409">
        <f ca="1"/>
        <v>2.0728930000000001</v>
      </c>
      <c r="AU409">
        <f ca="1"/>
        <v>3.1393430000000002</v>
      </c>
    </row>
    <row r="410" spans="1:47">
      <c r="A410" s="43">
        <f>TBL_TEV[[#This Row],[Data2]]</f>
        <v>45876</v>
      </c>
      <c r="B410" cm="1">
        <f t="array" ref="B410">_xlfn.XLOOKUP(_xlfn.ANCHORARRAY(A410), TBL_Limiti_CDA[Data], TBL_Limiti_CDA[Etica Rendita Bilanciata], , -1)</f>
        <v>2.5</v>
      </c>
      <c r="C410" cm="1">
        <f t="array" ref="C410">_xlfn.XLOOKUP(_xlfn.ANCHORARRAY(A410), TBL_Limiti_CDA[Data], TBL_Limiti_CDA[Etica Obbligazionario Breve Termine], , -1)</f>
        <v>0.5</v>
      </c>
      <c r="D410" cm="1">
        <f t="array" ref="D410">_xlfn.XLOOKUP(_xlfn.ANCHORARRAY(A410), TBL_Limiti_CDA[Data], TBL_Limiti_CDA[Etica Obbligazionario Misto], , -1)</f>
        <v>1</v>
      </c>
      <c r="E410" cm="1">
        <f t="array" ref="E410">_xlfn.XLOOKUP(_xlfn.ANCHORARRAY(A410), TBL_Limiti_CDA[Data], TBL_Limiti_CDA[Etica Bilanciato], , -1)</f>
        <v>3</v>
      </c>
      <c r="F410" cm="1">
        <f t="array" ref="F410">_xlfn.XLOOKUP(_xlfn.ANCHORARRAY(A410), TBL_Limiti_CDA[Data], TBL_Limiti_CDA[Etica Azionario], , -1)</f>
        <v>4.5</v>
      </c>
      <c r="G410" cm="1">
        <f t="array" ref="G410">_xlfn.XLOOKUP(_xlfn.ANCHORARRAY(A410), TBL_Limiti_CDA[Data], TBL_Limiti_CDA[Etica Transizione Climatica], , -1)</f>
        <v>3.5</v>
      </c>
      <c r="H410" cm="1">
        <f t="array" ref="H410">_xlfn.XLOOKUP(_xlfn.ANCHORARRAY(A410), TBL_Limiti_CDA[Data], TBL_Limiti_CDA[Etica Obiettivo Sociale], , -1)</f>
        <v>9.99</v>
      </c>
      <c r="I410" cm="1">
        <f t="array" ref="I410">_xlfn.XLOOKUP(_xlfn.ANCHORARRAY(A410), TBL_Limiti_CDA[Data], TBL_Limiti_CDA[Etica Conservative Allocation], , -1)</f>
        <v>1</v>
      </c>
      <c r="J410" cm="1">
        <f t="array" ref="J410">_xlfn.XLOOKUP(_xlfn.ANCHORARRAY(A410), TBL_Limiti_CDA[Data], TBL_Limiti_CDA[Etica Dynamic Allocation], , -1)</f>
        <v>3</v>
      </c>
      <c r="K410" cm="1">
        <f t="array" ref="K410">_xlfn.XLOOKUP(_xlfn.ANCHORARRAY(A410), TBL_Limiti_CDA[Data], TBL_Limiti_CDA[Etica Global Equity], , -1)</f>
        <v>4.5</v>
      </c>
      <c r="L410" cm="1">
        <f t="array" ref="L410">_xlfn.ANCHORARRAY(B410)+0.15</f>
        <v>2.65</v>
      </c>
      <c r="M410" cm="1">
        <f t="array" ref="M410">_xlfn.ANCHORARRAY(C410)+0.1</f>
        <v>0.6</v>
      </c>
      <c r="N410" cm="1">
        <f t="array" ref="N410">_xlfn.ANCHORARRAY(D410)+0.15</f>
        <v>1.1499999999999999</v>
      </c>
      <c r="O410" cm="1">
        <f t="array" ref="O410">_xlfn.ANCHORARRAY(E410)+0.15</f>
        <v>3.15</v>
      </c>
      <c r="P410" cm="1">
        <f t="array" ref="P410">_xlfn.ANCHORARRAY(F410)+0.15</f>
        <v>4.6500000000000004</v>
      </c>
      <c r="Q410" cm="1">
        <f t="array" ref="Q410">_xlfn.ANCHORARRAY(G410)+0.15</f>
        <v>3.65</v>
      </c>
      <c r="R410" cm="1">
        <f t="array" ref="R410">_xlfn.ANCHORARRAY(H410)</f>
        <v>9.99</v>
      </c>
      <c r="S410" cm="1">
        <f t="array" ref="S410">_xlfn.ANCHORARRAY(R410)+0.15</f>
        <v>10.14</v>
      </c>
      <c r="T410" cm="1">
        <f t="array" ref="T410">_xlfn.ANCHORARRAY(I410)+0.15</f>
        <v>1.1499999999999999</v>
      </c>
      <c r="U410" cm="1">
        <f t="array" ref="U410">_xlfn.ANCHORARRAY(J410)+0.15</f>
        <v>3.15</v>
      </c>
      <c r="V410" cm="1">
        <f t="array" ref="V410">_xlfn.ANCHORARRAY(K410)+0.15</f>
        <v>4.6500000000000004</v>
      </c>
      <c r="W410">
        <f>TBL_TEV[[#This Row],[Etica Rendita Bilanciata]]</f>
        <v>1.54078</v>
      </c>
      <c r="X410">
        <f>TBL_TEV[[#This Row],[Etica Obbligazionario Breve Termine]]</f>
        <v>0.265739</v>
      </c>
      <c r="Y410">
        <f>TBL_TEV[[#This Row],[Etica Obbligazionario Misto]]</f>
        <v>0.78134300000000001</v>
      </c>
      <c r="Z410">
        <f>TBL_TEV[[#This Row],[Etica Bilanciato]]</f>
        <v>2.1900469999999999</v>
      </c>
      <c r="AA410">
        <f>TBL_TEV[[#This Row],[Etica Azionario]]</f>
        <v>3.1404540000000001</v>
      </c>
      <c r="AB410">
        <f>TBL_TEV[[#This Row],[Etica Transizione Climatica]]</f>
        <v>2.3383150000000001</v>
      </c>
      <c r="AC410">
        <f>TBL_TEV[[#This Row],[Etica Obiettivo Sociale]]</f>
        <v>7.4923435031292591</v>
      </c>
      <c r="AD410">
        <f>TBL_TEV[[#This Row],[Etica Conservative Allocation]]</f>
        <v>0.60862899999999998</v>
      </c>
      <c r="AE410">
        <f>TBL_TEV[[#This Row],[Etica Dynamic Allocation]]</f>
        <v>2.0728930000000001</v>
      </c>
      <c r="AF410">
        <f>TBL_TEV[[#This Row],[Etica Global Equity]]</f>
        <v>3.1393430000000002</v>
      </c>
      <c r="AL410">
        <f ca="1"/>
        <v>1.5382400000000001</v>
      </c>
      <c r="AM410">
        <f ca="1"/>
        <v>0.26605699999999999</v>
      </c>
      <c r="AN410">
        <f ca="1"/>
        <v>0.78054999999999997</v>
      </c>
      <c r="AO410">
        <f ca="1"/>
        <v>2.1856019999999998</v>
      </c>
      <c r="AP410">
        <f ca="1"/>
        <v>3.1337869999999999</v>
      </c>
      <c r="AQ410">
        <f ca="1"/>
        <v>2.3373629999999999</v>
      </c>
      <c r="AR410">
        <f ca="1"/>
        <v>7.5365657033702087</v>
      </c>
      <c r="AS410">
        <f ca="1"/>
        <v>0.60386600000000001</v>
      </c>
      <c r="AT410">
        <f ca="1"/>
        <v>2.0679720000000001</v>
      </c>
      <c r="AU410">
        <f ca="1"/>
        <v>3.1318820000000001</v>
      </c>
    </row>
    <row r="411" spans="1:47">
      <c r="A411" s="43">
        <f>TBL_TEV[[#This Row],[Data2]]</f>
        <v>45877</v>
      </c>
      <c r="B411" cm="1">
        <f t="array" ref="B411">_xlfn.XLOOKUP(_xlfn.ANCHORARRAY(A411), TBL_Limiti_CDA[Data], TBL_Limiti_CDA[Etica Rendita Bilanciata], , -1)</f>
        <v>2.5</v>
      </c>
      <c r="C411" cm="1">
        <f t="array" ref="C411">_xlfn.XLOOKUP(_xlfn.ANCHORARRAY(A411), TBL_Limiti_CDA[Data], TBL_Limiti_CDA[Etica Obbligazionario Breve Termine], , -1)</f>
        <v>0.5</v>
      </c>
      <c r="D411" cm="1">
        <f t="array" ref="D411">_xlfn.XLOOKUP(_xlfn.ANCHORARRAY(A411), TBL_Limiti_CDA[Data], TBL_Limiti_CDA[Etica Obbligazionario Misto], , -1)</f>
        <v>1</v>
      </c>
      <c r="E411" cm="1">
        <f t="array" ref="E411">_xlfn.XLOOKUP(_xlfn.ANCHORARRAY(A411), TBL_Limiti_CDA[Data], TBL_Limiti_CDA[Etica Bilanciato], , -1)</f>
        <v>3</v>
      </c>
      <c r="F411" cm="1">
        <f t="array" ref="F411">_xlfn.XLOOKUP(_xlfn.ANCHORARRAY(A411), TBL_Limiti_CDA[Data], TBL_Limiti_CDA[Etica Azionario], , -1)</f>
        <v>4.5</v>
      </c>
      <c r="G411" cm="1">
        <f t="array" ref="G411">_xlfn.XLOOKUP(_xlfn.ANCHORARRAY(A411), TBL_Limiti_CDA[Data], TBL_Limiti_CDA[Etica Transizione Climatica], , -1)</f>
        <v>3.5</v>
      </c>
      <c r="H411" cm="1">
        <f t="array" ref="H411">_xlfn.XLOOKUP(_xlfn.ANCHORARRAY(A411), TBL_Limiti_CDA[Data], TBL_Limiti_CDA[Etica Obiettivo Sociale], , -1)</f>
        <v>9.99</v>
      </c>
      <c r="I411" cm="1">
        <f t="array" ref="I411">_xlfn.XLOOKUP(_xlfn.ANCHORARRAY(A411), TBL_Limiti_CDA[Data], TBL_Limiti_CDA[Etica Conservative Allocation], , -1)</f>
        <v>1</v>
      </c>
      <c r="J411" cm="1">
        <f t="array" ref="J411">_xlfn.XLOOKUP(_xlfn.ANCHORARRAY(A411), TBL_Limiti_CDA[Data], TBL_Limiti_CDA[Etica Dynamic Allocation], , -1)</f>
        <v>3</v>
      </c>
      <c r="K411" cm="1">
        <f t="array" ref="K411">_xlfn.XLOOKUP(_xlfn.ANCHORARRAY(A411), TBL_Limiti_CDA[Data], TBL_Limiti_CDA[Etica Global Equity], , -1)</f>
        <v>4.5</v>
      </c>
      <c r="L411" cm="1">
        <f t="array" ref="L411">_xlfn.ANCHORARRAY(B411)+0.15</f>
        <v>2.65</v>
      </c>
      <c r="M411" cm="1">
        <f t="array" ref="M411">_xlfn.ANCHORARRAY(C411)+0.1</f>
        <v>0.6</v>
      </c>
      <c r="N411" cm="1">
        <f t="array" ref="N411">_xlfn.ANCHORARRAY(D411)+0.15</f>
        <v>1.1499999999999999</v>
      </c>
      <c r="O411" cm="1">
        <f t="array" ref="O411">_xlfn.ANCHORARRAY(E411)+0.15</f>
        <v>3.15</v>
      </c>
      <c r="P411" cm="1">
        <f t="array" ref="P411">_xlfn.ANCHORARRAY(F411)+0.15</f>
        <v>4.6500000000000004</v>
      </c>
      <c r="Q411" cm="1">
        <f t="array" ref="Q411">_xlfn.ANCHORARRAY(G411)+0.15</f>
        <v>3.65</v>
      </c>
      <c r="R411" cm="1">
        <f t="array" ref="R411">_xlfn.ANCHORARRAY(H411)</f>
        <v>9.99</v>
      </c>
      <c r="S411" cm="1">
        <f t="array" ref="S411">_xlfn.ANCHORARRAY(R411)+0.15</f>
        <v>10.14</v>
      </c>
      <c r="T411" cm="1">
        <f t="array" ref="T411">_xlfn.ANCHORARRAY(I411)+0.15</f>
        <v>1.1499999999999999</v>
      </c>
      <c r="U411" cm="1">
        <f t="array" ref="U411">_xlfn.ANCHORARRAY(J411)+0.15</f>
        <v>3.15</v>
      </c>
      <c r="V411" cm="1">
        <f t="array" ref="V411">_xlfn.ANCHORARRAY(K411)+0.15</f>
        <v>4.6500000000000004</v>
      </c>
      <c r="W411">
        <f>TBL_TEV[[#This Row],[Etica Rendita Bilanciata]]</f>
        <v>1.5382400000000001</v>
      </c>
      <c r="X411">
        <f>TBL_TEV[[#This Row],[Etica Obbligazionario Breve Termine]]</f>
        <v>0.26605699999999999</v>
      </c>
      <c r="Y411">
        <f>TBL_TEV[[#This Row],[Etica Obbligazionario Misto]]</f>
        <v>0.78054999999999997</v>
      </c>
      <c r="Z411">
        <f>TBL_TEV[[#This Row],[Etica Bilanciato]]</f>
        <v>2.1856019999999998</v>
      </c>
      <c r="AA411">
        <f>TBL_TEV[[#This Row],[Etica Azionario]]</f>
        <v>3.1337869999999999</v>
      </c>
      <c r="AB411">
        <f>TBL_TEV[[#This Row],[Etica Transizione Climatica]]</f>
        <v>2.3373629999999999</v>
      </c>
      <c r="AC411">
        <f>TBL_TEV[[#This Row],[Etica Obiettivo Sociale]]</f>
        <v>7.5365657033702087</v>
      </c>
      <c r="AD411">
        <f>TBL_TEV[[#This Row],[Etica Conservative Allocation]]</f>
        <v>0.60386600000000001</v>
      </c>
      <c r="AE411">
        <f>TBL_TEV[[#This Row],[Etica Dynamic Allocation]]</f>
        <v>2.0679720000000001</v>
      </c>
      <c r="AF411">
        <f>TBL_TEV[[#This Row],[Etica Global Equity]]</f>
        <v>3.1318820000000001</v>
      </c>
      <c r="AL411">
        <f ca="1"/>
        <v>1.532049</v>
      </c>
      <c r="AM411">
        <f ca="1"/>
        <v>0.26494600000000001</v>
      </c>
      <c r="AN411">
        <f ca="1"/>
        <v>0.779756</v>
      </c>
      <c r="AO411">
        <f ca="1"/>
        <v>2.1746490000000001</v>
      </c>
      <c r="AP411">
        <f ca="1"/>
        <v>3.122833</v>
      </c>
      <c r="AQ411">
        <f ca="1"/>
        <v>2.325615</v>
      </c>
      <c r="AR411">
        <f ca="1"/>
        <v>7.5108288124322478</v>
      </c>
      <c r="AS411">
        <f ca="1"/>
        <v>0.60085</v>
      </c>
      <c r="AT411">
        <f ca="1"/>
        <v>2.0567009999999999</v>
      </c>
      <c r="AU411">
        <f ca="1"/>
        <v>3.1156899999999998</v>
      </c>
    </row>
    <row r="412" spans="1:47">
      <c r="A412" s="43">
        <f>TBL_TEV[[#This Row],[Data2]]</f>
        <v>45880</v>
      </c>
      <c r="B412" cm="1">
        <f t="array" ref="B412">_xlfn.XLOOKUP(_xlfn.ANCHORARRAY(A412), TBL_Limiti_CDA[Data], TBL_Limiti_CDA[Etica Rendita Bilanciata], , -1)</f>
        <v>2.5</v>
      </c>
      <c r="C412" cm="1">
        <f t="array" ref="C412">_xlfn.XLOOKUP(_xlfn.ANCHORARRAY(A412), TBL_Limiti_CDA[Data], TBL_Limiti_CDA[Etica Obbligazionario Breve Termine], , -1)</f>
        <v>0.5</v>
      </c>
      <c r="D412" cm="1">
        <f t="array" ref="D412">_xlfn.XLOOKUP(_xlfn.ANCHORARRAY(A412), TBL_Limiti_CDA[Data], TBL_Limiti_CDA[Etica Obbligazionario Misto], , -1)</f>
        <v>1</v>
      </c>
      <c r="E412" cm="1">
        <f t="array" ref="E412">_xlfn.XLOOKUP(_xlfn.ANCHORARRAY(A412), TBL_Limiti_CDA[Data], TBL_Limiti_CDA[Etica Bilanciato], , -1)</f>
        <v>3</v>
      </c>
      <c r="F412" cm="1">
        <f t="array" ref="F412">_xlfn.XLOOKUP(_xlfn.ANCHORARRAY(A412), TBL_Limiti_CDA[Data], TBL_Limiti_CDA[Etica Azionario], , -1)</f>
        <v>4.5</v>
      </c>
      <c r="G412" cm="1">
        <f t="array" ref="G412">_xlfn.XLOOKUP(_xlfn.ANCHORARRAY(A412), TBL_Limiti_CDA[Data], TBL_Limiti_CDA[Etica Transizione Climatica], , -1)</f>
        <v>3.5</v>
      </c>
      <c r="H412" cm="1">
        <f t="array" ref="H412">_xlfn.XLOOKUP(_xlfn.ANCHORARRAY(A412), TBL_Limiti_CDA[Data], TBL_Limiti_CDA[Etica Obiettivo Sociale], , -1)</f>
        <v>9.99</v>
      </c>
      <c r="I412" cm="1">
        <f t="array" ref="I412">_xlfn.XLOOKUP(_xlfn.ANCHORARRAY(A412), TBL_Limiti_CDA[Data], TBL_Limiti_CDA[Etica Conservative Allocation], , -1)</f>
        <v>1</v>
      </c>
      <c r="J412" cm="1">
        <f t="array" ref="J412">_xlfn.XLOOKUP(_xlfn.ANCHORARRAY(A412), TBL_Limiti_CDA[Data], TBL_Limiti_CDA[Etica Dynamic Allocation], , -1)</f>
        <v>3</v>
      </c>
      <c r="K412" cm="1">
        <f t="array" ref="K412">_xlfn.XLOOKUP(_xlfn.ANCHORARRAY(A412), TBL_Limiti_CDA[Data], TBL_Limiti_CDA[Etica Global Equity], , -1)</f>
        <v>4.5</v>
      </c>
      <c r="L412" cm="1">
        <f t="array" ref="L412">_xlfn.ANCHORARRAY(B412)+0.15</f>
        <v>2.65</v>
      </c>
      <c r="M412" cm="1">
        <f t="array" ref="M412">_xlfn.ANCHORARRAY(C412)+0.1</f>
        <v>0.6</v>
      </c>
      <c r="N412" cm="1">
        <f t="array" ref="N412">_xlfn.ANCHORARRAY(D412)+0.15</f>
        <v>1.1499999999999999</v>
      </c>
      <c r="O412" cm="1">
        <f t="array" ref="O412">_xlfn.ANCHORARRAY(E412)+0.15</f>
        <v>3.15</v>
      </c>
      <c r="P412" cm="1">
        <f t="array" ref="P412">_xlfn.ANCHORARRAY(F412)+0.15</f>
        <v>4.6500000000000004</v>
      </c>
      <c r="Q412" cm="1">
        <f t="array" ref="Q412">_xlfn.ANCHORARRAY(G412)+0.15</f>
        <v>3.65</v>
      </c>
      <c r="R412" cm="1">
        <f t="array" ref="R412">_xlfn.ANCHORARRAY(H412)</f>
        <v>9.99</v>
      </c>
      <c r="S412" cm="1">
        <f t="array" ref="S412">_xlfn.ANCHORARRAY(R412)+0.15</f>
        <v>10.14</v>
      </c>
      <c r="T412" cm="1">
        <f t="array" ref="T412">_xlfn.ANCHORARRAY(I412)+0.15</f>
        <v>1.1499999999999999</v>
      </c>
      <c r="U412" cm="1">
        <f t="array" ref="U412">_xlfn.ANCHORARRAY(J412)+0.15</f>
        <v>3.15</v>
      </c>
      <c r="V412" cm="1">
        <f t="array" ref="V412">_xlfn.ANCHORARRAY(K412)+0.15</f>
        <v>4.6500000000000004</v>
      </c>
      <c r="W412">
        <f>TBL_TEV[[#This Row],[Etica Rendita Bilanciata]]</f>
        <v>1.532049</v>
      </c>
      <c r="X412">
        <f>TBL_TEV[[#This Row],[Etica Obbligazionario Breve Termine]]</f>
        <v>0.26494600000000001</v>
      </c>
      <c r="Y412">
        <f>TBL_TEV[[#This Row],[Etica Obbligazionario Misto]]</f>
        <v>0.779756</v>
      </c>
      <c r="Z412">
        <f>TBL_TEV[[#This Row],[Etica Bilanciato]]</f>
        <v>2.1746490000000001</v>
      </c>
      <c r="AA412">
        <f>TBL_TEV[[#This Row],[Etica Azionario]]</f>
        <v>3.122833</v>
      </c>
      <c r="AB412">
        <f>TBL_TEV[[#This Row],[Etica Transizione Climatica]]</f>
        <v>2.325615</v>
      </c>
      <c r="AC412">
        <f>TBL_TEV[[#This Row],[Etica Obiettivo Sociale]]</f>
        <v>7.5108288124322478</v>
      </c>
      <c r="AD412">
        <f>TBL_TEV[[#This Row],[Etica Conservative Allocation]]</f>
        <v>0.60085</v>
      </c>
      <c r="AE412">
        <f>TBL_TEV[[#This Row],[Etica Dynamic Allocation]]</f>
        <v>2.0567009999999999</v>
      </c>
      <c r="AF412">
        <f>TBL_TEV[[#This Row],[Etica Global Equity]]</f>
        <v>3.1156899999999998</v>
      </c>
      <c r="AL412">
        <f ca="1"/>
        <v>1.528715</v>
      </c>
      <c r="AM412">
        <f ca="1"/>
        <v>0.263517</v>
      </c>
      <c r="AN412">
        <f ca="1"/>
        <v>0.77864500000000003</v>
      </c>
      <c r="AO412">
        <f ca="1"/>
        <v>2.1694100000000001</v>
      </c>
      <c r="AP412">
        <f ca="1"/>
        <v>3.1155309999999998</v>
      </c>
      <c r="AQ412">
        <f ca="1"/>
        <v>2.3191069999999998</v>
      </c>
      <c r="AR412">
        <f ca="1"/>
        <v>7.4515082065053191</v>
      </c>
      <c r="AS412">
        <f ca="1"/>
        <v>0.59783399999999998</v>
      </c>
      <c r="AT412">
        <f ca="1"/>
        <v>2.0493990000000002</v>
      </c>
      <c r="AU412">
        <f ca="1"/>
        <v>3.1077520000000001</v>
      </c>
    </row>
    <row r="413" spans="1:47">
      <c r="A413" s="43">
        <f>TBL_TEV[[#This Row],[Data2]]</f>
        <v>45881</v>
      </c>
      <c r="B413" cm="1">
        <f t="array" ref="B413">_xlfn.XLOOKUP(_xlfn.ANCHORARRAY(A413), TBL_Limiti_CDA[Data], TBL_Limiti_CDA[Etica Rendita Bilanciata], , -1)</f>
        <v>2.5</v>
      </c>
      <c r="C413" cm="1">
        <f t="array" ref="C413">_xlfn.XLOOKUP(_xlfn.ANCHORARRAY(A413), TBL_Limiti_CDA[Data], TBL_Limiti_CDA[Etica Obbligazionario Breve Termine], , -1)</f>
        <v>0.5</v>
      </c>
      <c r="D413" cm="1">
        <f t="array" ref="D413">_xlfn.XLOOKUP(_xlfn.ANCHORARRAY(A413), TBL_Limiti_CDA[Data], TBL_Limiti_CDA[Etica Obbligazionario Misto], , -1)</f>
        <v>1</v>
      </c>
      <c r="E413" cm="1">
        <f t="array" ref="E413">_xlfn.XLOOKUP(_xlfn.ANCHORARRAY(A413), TBL_Limiti_CDA[Data], TBL_Limiti_CDA[Etica Bilanciato], , -1)</f>
        <v>3</v>
      </c>
      <c r="F413" cm="1">
        <f t="array" ref="F413">_xlfn.XLOOKUP(_xlfn.ANCHORARRAY(A413), TBL_Limiti_CDA[Data], TBL_Limiti_CDA[Etica Azionario], , -1)</f>
        <v>4.5</v>
      </c>
      <c r="G413" cm="1">
        <f t="array" ref="G413">_xlfn.XLOOKUP(_xlfn.ANCHORARRAY(A413), TBL_Limiti_CDA[Data], TBL_Limiti_CDA[Etica Transizione Climatica], , -1)</f>
        <v>3.5</v>
      </c>
      <c r="H413" cm="1">
        <f t="array" ref="H413">_xlfn.XLOOKUP(_xlfn.ANCHORARRAY(A413), TBL_Limiti_CDA[Data], TBL_Limiti_CDA[Etica Obiettivo Sociale], , -1)</f>
        <v>9.99</v>
      </c>
      <c r="I413" cm="1">
        <f t="array" ref="I413">_xlfn.XLOOKUP(_xlfn.ANCHORARRAY(A413), TBL_Limiti_CDA[Data], TBL_Limiti_CDA[Etica Conservative Allocation], , -1)</f>
        <v>1</v>
      </c>
      <c r="J413" cm="1">
        <f t="array" ref="J413">_xlfn.XLOOKUP(_xlfn.ANCHORARRAY(A413), TBL_Limiti_CDA[Data], TBL_Limiti_CDA[Etica Dynamic Allocation], , -1)</f>
        <v>3</v>
      </c>
      <c r="K413" cm="1">
        <f t="array" ref="K413">_xlfn.XLOOKUP(_xlfn.ANCHORARRAY(A413), TBL_Limiti_CDA[Data], TBL_Limiti_CDA[Etica Global Equity], , -1)</f>
        <v>4.5</v>
      </c>
      <c r="L413" cm="1">
        <f t="array" ref="L413">_xlfn.ANCHORARRAY(B413)+0.15</f>
        <v>2.65</v>
      </c>
      <c r="M413" cm="1">
        <f t="array" ref="M413">_xlfn.ANCHORARRAY(C413)+0.1</f>
        <v>0.6</v>
      </c>
      <c r="N413" cm="1">
        <f t="array" ref="N413">_xlfn.ANCHORARRAY(D413)+0.15</f>
        <v>1.1499999999999999</v>
      </c>
      <c r="O413" cm="1">
        <f t="array" ref="O413">_xlfn.ANCHORARRAY(E413)+0.15</f>
        <v>3.15</v>
      </c>
      <c r="P413" cm="1">
        <f t="array" ref="P413">_xlfn.ANCHORARRAY(F413)+0.15</f>
        <v>4.6500000000000004</v>
      </c>
      <c r="Q413" cm="1">
        <f t="array" ref="Q413">_xlfn.ANCHORARRAY(G413)+0.15</f>
        <v>3.65</v>
      </c>
      <c r="R413" cm="1">
        <f t="array" ref="R413">_xlfn.ANCHORARRAY(H413)</f>
        <v>9.99</v>
      </c>
      <c r="S413" cm="1">
        <f t="array" ref="S413">_xlfn.ANCHORARRAY(R413)+0.15</f>
        <v>10.14</v>
      </c>
      <c r="T413" cm="1">
        <f t="array" ref="T413">_xlfn.ANCHORARRAY(I413)+0.15</f>
        <v>1.1499999999999999</v>
      </c>
      <c r="U413" cm="1">
        <f t="array" ref="U413">_xlfn.ANCHORARRAY(J413)+0.15</f>
        <v>3.15</v>
      </c>
      <c r="V413" cm="1">
        <f t="array" ref="V413">_xlfn.ANCHORARRAY(K413)+0.15</f>
        <v>4.6500000000000004</v>
      </c>
      <c r="W413">
        <f>TBL_TEV[[#This Row],[Etica Rendita Bilanciata]]</f>
        <v>1.528715</v>
      </c>
      <c r="X413">
        <f>TBL_TEV[[#This Row],[Etica Obbligazionario Breve Termine]]</f>
        <v>0.263517</v>
      </c>
      <c r="Y413">
        <f>TBL_TEV[[#This Row],[Etica Obbligazionario Misto]]</f>
        <v>0.77864500000000003</v>
      </c>
      <c r="Z413">
        <f>TBL_TEV[[#This Row],[Etica Bilanciato]]</f>
        <v>2.1694100000000001</v>
      </c>
      <c r="AA413">
        <f>TBL_TEV[[#This Row],[Etica Azionario]]</f>
        <v>3.1155309999999998</v>
      </c>
      <c r="AB413">
        <f>TBL_TEV[[#This Row],[Etica Transizione Climatica]]</f>
        <v>2.3191069999999998</v>
      </c>
      <c r="AC413">
        <f>TBL_TEV[[#This Row],[Etica Obiettivo Sociale]]</f>
        <v>7.4515082065053191</v>
      </c>
      <c r="AD413">
        <f>TBL_TEV[[#This Row],[Etica Conservative Allocation]]</f>
        <v>0.59783399999999998</v>
      </c>
      <c r="AE413">
        <f>TBL_TEV[[#This Row],[Etica Dynamic Allocation]]</f>
        <v>2.0493990000000002</v>
      </c>
      <c r="AF413">
        <f>TBL_TEV[[#This Row],[Etica Global Equity]]</f>
        <v>3.1077520000000001</v>
      </c>
      <c r="AL413">
        <f ca="1"/>
        <v>1.540303</v>
      </c>
      <c r="AM413">
        <f ca="1"/>
        <v>0.26589800000000002</v>
      </c>
      <c r="AN413">
        <f ca="1"/>
        <v>0.79324899999999998</v>
      </c>
      <c r="AO413">
        <f ca="1"/>
        <v>2.1630600000000002</v>
      </c>
      <c r="AP413">
        <f ca="1"/>
        <v>3.0934650000000001</v>
      </c>
      <c r="AQ413">
        <f ca="1"/>
        <v>2.3672070000000001</v>
      </c>
      <c r="AR413">
        <f ca="1"/>
        <v>7.4019193235780394</v>
      </c>
      <c r="AS413">
        <f ca="1"/>
        <v>0.60799400000000003</v>
      </c>
      <c r="AT413">
        <f ca="1"/>
        <v>2.0328889999999999</v>
      </c>
      <c r="AU413">
        <f ca="1"/>
        <v>3.0834640000000002</v>
      </c>
    </row>
    <row r="414" spans="1:47">
      <c r="A414" s="43">
        <f>TBL_TEV[[#This Row],[Data2]]</f>
        <v>45882</v>
      </c>
      <c r="B414" cm="1">
        <f t="array" ref="B414">_xlfn.XLOOKUP(_xlfn.ANCHORARRAY(A414), TBL_Limiti_CDA[Data], TBL_Limiti_CDA[Etica Rendita Bilanciata], , -1)</f>
        <v>2.5</v>
      </c>
      <c r="C414" cm="1">
        <f t="array" ref="C414">_xlfn.XLOOKUP(_xlfn.ANCHORARRAY(A414), TBL_Limiti_CDA[Data], TBL_Limiti_CDA[Etica Obbligazionario Breve Termine], , -1)</f>
        <v>0.5</v>
      </c>
      <c r="D414" cm="1">
        <f t="array" ref="D414">_xlfn.XLOOKUP(_xlfn.ANCHORARRAY(A414), TBL_Limiti_CDA[Data], TBL_Limiti_CDA[Etica Obbligazionario Misto], , -1)</f>
        <v>1</v>
      </c>
      <c r="E414" cm="1">
        <f t="array" ref="E414">_xlfn.XLOOKUP(_xlfn.ANCHORARRAY(A414), TBL_Limiti_CDA[Data], TBL_Limiti_CDA[Etica Bilanciato], , -1)</f>
        <v>3</v>
      </c>
      <c r="F414" cm="1">
        <f t="array" ref="F414">_xlfn.XLOOKUP(_xlfn.ANCHORARRAY(A414), TBL_Limiti_CDA[Data], TBL_Limiti_CDA[Etica Azionario], , -1)</f>
        <v>4.5</v>
      </c>
      <c r="G414" cm="1">
        <f t="array" ref="G414">_xlfn.XLOOKUP(_xlfn.ANCHORARRAY(A414), TBL_Limiti_CDA[Data], TBL_Limiti_CDA[Etica Transizione Climatica], , -1)</f>
        <v>3.5</v>
      </c>
      <c r="H414" cm="1">
        <f t="array" ref="H414">_xlfn.XLOOKUP(_xlfn.ANCHORARRAY(A414), TBL_Limiti_CDA[Data], TBL_Limiti_CDA[Etica Obiettivo Sociale], , -1)</f>
        <v>9.99</v>
      </c>
      <c r="I414" cm="1">
        <f t="array" ref="I414">_xlfn.XLOOKUP(_xlfn.ANCHORARRAY(A414), TBL_Limiti_CDA[Data], TBL_Limiti_CDA[Etica Conservative Allocation], , -1)</f>
        <v>1</v>
      </c>
      <c r="J414" cm="1">
        <f t="array" ref="J414">_xlfn.XLOOKUP(_xlfn.ANCHORARRAY(A414), TBL_Limiti_CDA[Data], TBL_Limiti_CDA[Etica Dynamic Allocation], , -1)</f>
        <v>3</v>
      </c>
      <c r="K414" cm="1">
        <f t="array" ref="K414">_xlfn.XLOOKUP(_xlfn.ANCHORARRAY(A414), TBL_Limiti_CDA[Data], TBL_Limiti_CDA[Etica Global Equity], , -1)</f>
        <v>4.5</v>
      </c>
      <c r="L414" cm="1">
        <f t="array" ref="L414">_xlfn.ANCHORARRAY(B414)+0.15</f>
        <v>2.65</v>
      </c>
      <c r="M414" cm="1">
        <f t="array" ref="M414">_xlfn.ANCHORARRAY(C414)+0.1</f>
        <v>0.6</v>
      </c>
      <c r="N414" cm="1">
        <f t="array" ref="N414">_xlfn.ANCHORARRAY(D414)+0.15</f>
        <v>1.1499999999999999</v>
      </c>
      <c r="O414" cm="1">
        <f t="array" ref="O414">_xlfn.ANCHORARRAY(E414)+0.15</f>
        <v>3.15</v>
      </c>
      <c r="P414" cm="1">
        <f t="array" ref="P414">_xlfn.ANCHORARRAY(F414)+0.15</f>
        <v>4.6500000000000004</v>
      </c>
      <c r="Q414" cm="1">
        <f t="array" ref="Q414">_xlfn.ANCHORARRAY(G414)+0.15</f>
        <v>3.65</v>
      </c>
      <c r="R414" cm="1">
        <f t="array" ref="R414">_xlfn.ANCHORARRAY(H414)</f>
        <v>9.99</v>
      </c>
      <c r="S414" cm="1">
        <f t="array" ref="S414">_xlfn.ANCHORARRAY(R414)+0.15</f>
        <v>10.14</v>
      </c>
      <c r="T414" cm="1">
        <f t="array" ref="T414">_xlfn.ANCHORARRAY(I414)+0.15</f>
        <v>1.1499999999999999</v>
      </c>
      <c r="U414" cm="1">
        <f t="array" ref="U414">_xlfn.ANCHORARRAY(J414)+0.15</f>
        <v>3.15</v>
      </c>
      <c r="V414" cm="1">
        <f t="array" ref="V414">_xlfn.ANCHORARRAY(K414)+0.15</f>
        <v>4.6500000000000004</v>
      </c>
      <c r="W414">
        <f>TBL_TEV[[#This Row],[Etica Rendita Bilanciata]]</f>
        <v>1.540303</v>
      </c>
      <c r="X414">
        <f>TBL_TEV[[#This Row],[Etica Obbligazionario Breve Termine]]</f>
        <v>0.26589800000000002</v>
      </c>
      <c r="Y414">
        <f>TBL_TEV[[#This Row],[Etica Obbligazionario Misto]]</f>
        <v>0.79324899999999998</v>
      </c>
      <c r="Z414">
        <f>TBL_TEV[[#This Row],[Etica Bilanciato]]</f>
        <v>2.1630600000000002</v>
      </c>
      <c r="AA414">
        <f>TBL_TEV[[#This Row],[Etica Azionario]]</f>
        <v>3.0934650000000001</v>
      </c>
      <c r="AB414">
        <f>TBL_TEV[[#This Row],[Etica Transizione Climatica]]</f>
        <v>2.3672070000000001</v>
      </c>
      <c r="AC414">
        <f>TBL_TEV[[#This Row],[Etica Obiettivo Sociale]]</f>
        <v>7.4019193235780394</v>
      </c>
      <c r="AD414">
        <f>TBL_TEV[[#This Row],[Etica Conservative Allocation]]</f>
        <v>0.60799400000000003</v>
      </c>
      <c r="AE414">
        <f>TBL_TEV[[#This Row],[Etica Dynamic Allocation]]</f>
        <v>2.0328889999999999</v>
      </c>
      <c r="AF414">
        <f>TBL_TEV[[#This Row],[Etica Global Equity]]</f>
        <v>3.0834640000000002</v>
      </c>
      <c r="AL414">
        <f ca="1"/>
        <v>1.539669</v>
      </c>
      <c r="AM414">
        <f ca="1"/>
        <v>0.26558100000000001</v>
      </c>
      <c r="AN414">
        <f ca="1"/>
        <v>0.79245500000000002</v>
      </c>
      <c r="AO414">
        <f ca="1"/>
        <v>2.1641720000000002</v>
      </c>
      <c r="AP414">
        <f ca="1"/>
        <v>3.091402</v>
      </c>
      <c r="AQ414">
        <f ca="1"/>
        <v>2.3743500000000002</v>
      </c>
      <c r="AR414">
        <f ca="1"/>
        <v>7.4064625056013025</v>
      </c>
      <c r="AS414">
        <f ca="1"/>
        <v>0.60688200000000003</v>
      </c>
      <c r="AT414">
        <f ca="1"/>
        <v>2.0301909999999999</v>
      </c>
      <c r="AU414">
        <f ca="1"/>
        <v>3.0798130000000001</v>
      </c>
    </row>
    <row r="415" spans="1:47">
      <c r="A415" s="43">
        <f>TBL_TEV[[#This Row],[Data2]]</f>
        <v>45883</v>
      </c>
      <c r="B415" cm="1">
        <f t="array" ref="B415">_xlfn.XLOOKUP(_xlfn.ANCHORARRAY(A415), TBL_Limiti_CDA[Data], TBL_Limiti_CDA[Etica Rendita Bilanciata], , -1)</f>
        <v>2.5</v>
      </c>
      <c r="C415" cm="1">
        <f t="array" ref="C415">_xlfn.XLOOKUP(_xlfn.ANCHORARRAY(A415), TBL_Limiti_CDA[Data], TBL_Limiti_CDA[Etica Obbligazionario Breve Termine], , -1)</f>
        <v>0.5</v>
      </c>
      <c r="D415" cm="1">
        <f t="array" ref="D415">_xlfn.XLOOKUP(_xlfn.ANCHORARRAY(A415), TBL_Limiti_CDA[Data], TBL_Limiti_CDA[Etica Obbligazionario Misto], , -1)</f>
        <v>1</v>
      </c>
      <c r="E415" cm="1">
        <f t="array" ref="E415">_xlfn.XLOOKUP(_xlfn.ANCHORARRAY(A415), TBL_Limiti_CDA[Data], TBL_Limiti_CDA[Etica Bilanciato], , -1)</f>
        <v>3</v>
      </c>
      <c r="F415" cm="1">
        <f t="array" ref="F415">_xlfn.XLOOKUP(_xlfn.ANCHORARRAY(A415), TBL_Limiti_CDA[Data], TBL_Limiti_CDA[Etica Azionario], , -1)</f>
        <v>4.5</v>
      </c>
      <c r="G415" cm="1">
        <f t="array" ref="G415">_xlfn.XLOOKUP(_xlfn.ANCHORARRAY(A415), TBL_Limiti_CDA[Data], TBL_Limiti_CDA[Etica Transizione Climatica], , -1)</f>
        <v>3.5</v>
      </c>
      <c r="H415" cm="1">
        <f t="array" ref="H415">_xlfn.XLOOKUP(_xlfn.ANCHORARRAY(A415), TBL_Limiti_CDA[Data], TBL_Limiti_CDA[Etica Obiettivo Sociale], , -1)</f>
        <v>9.99</v>
      </c>
      <c r="I415" cm="1">
        <f t="array" ref="I415">_xlfn.XLOOKUP(_xlfn.ANCHORARRAY(A415), TBL_Limiti_CDA[Data], TBL_Limiti_CDA[Etica Conservative Allocation], , -1)</f>
        <v>1</v>
      </c>
      <c r="J415" cm="1">
        <f t="array" ref="J415">_xlfn.XLOOKUP(_xlfn.ANCHORARRAY(A415), TBL_Limiti_CDA[Data], TBL_Limiti_CDA[Etica Dynamic Allocation], , -1)</f>
        <v>3</v>
      </c>
      <c r="K415" cm="1">
        <f t="array" ref="K415">_xlfn.XLOOKUP(_xlfn.ANCHORARRAY(A415), TBL_Limiti_CDA[Data], TBL_Limiti_CDA[Etica Global Equity], , -1)</f>
        <v>4.5</v>
      </c>
      <c r="L415" cm="1">
        <f t="array" ref="L415">_xlfn.ANCHORARRAY(B415)+0.15</f>
        <v>2.65</v>
      </c>
      <c r="M415" cm="1">
        <f t="array" ref="M415">_xlfn.ANCHORARRAY(C415)+0.1</f>
        <v>0.6</v>
      </c>
      <c r="N415" cm="1">
        <f t="array" ref="N415">_xlfn.ANCHORARRAY(D415)+0.15</f>
        <v>1.1499999999999999</v>
      </c>
      <c r="O415" cm="1">
        <f t="array" ref="O415">_xlfn.ANCHORARRAY(E415)+0.15</f>
        <v>3.15</v>
      </c>
      <c r="P415" cm="1">
        <f t="array" ref="P415">_xlfn.ANCHORARRAY(F415)+0.15</f>
        <v>4.6500000000000004</v>
      </c>
      <c r="Q415" cm="1">
        <f t="array" ref="Q415">_xlfn.ANCHORARRAY(G415)+0.15</f>
        <v>3.65</v>
      </c>
      <c r="R415" cm="1">
        <f t="array" ref="R415">_xlfn.ANCHORARRAY(H415)</f>
        <v>9.99</v>
      </c>
      <c r="S415" cm="1">
        <f t="array" ref="S415">_xlfn.ANCHORARRAY(R415)+0.15</f>
        <v>10.14</v>
      </c>
      <c r="T415" cm="1">
        <f t="array" ref="T415">_xlfn.ANCHORARRAY(I415)+0.15</f>
        <v>1.1499999999999999</v>
      </c>
      <c r="U415" cm="1">
        <f t="array" ref="U415">_xlfn.ANCHORARRAY(J415)+0.15</f>
        <v>3.15</v>
      </c>
      <c r="V415" cm="1">
        <f t="array" ref="V415">_xlfn.ANCHORARRAY(K415)+0.15</f>
        <v>4.6500000000000004</v>
      </c>
      <c r="W415">
        <f>TBL_TEV[[#This Row],[Etica Rendita Bilanciata]]</f>
        <v>1.539669</v>
      </c>
      <c r="X415">
        <f>TBL_TEV[[#This Row],[Etica Obbligazionario Breve Termine]]</f>
        <v>0.26558100000000001</v>
      </c>
      <c r="Y415">
        <f>TBL_TEV[[#This Row],[Etica Obbligazionario Misto]]</f>
        <v>0.79245500000000002</v>
      </c>
      <c r="Z415">
        <f>TBL_TEV[[#This Row],[Etica Bilanciato]]</f>
        <v>2.1641720000000002</v>
      </c>
      <c r="AA415">
        <f>TBL_TEV[[#This Row],[Etica Azionario]]</f>
        <v>3.091402</v>
      </c>
      <c r="AB415">
        <f>TBL_TEV[[#This Row],[Etica Transizione Climatica]]</f>
        <v>2.3743500000000002</v>
      </c>
      <c r="AC415">
        <f>TBL_TEV[[#This Row],[Etica Obiettivo Sociale]]</f>
        <v>7.4064625056013025</v>
      </c>
      <c r="AD415">
        <f>TBL_TEV[[#This Row],[Etica Conservative Allocation]]</f>
        <v>0.60688200000000003</v>
      </c>
      <c r="AE415">
        <f>TBL_TEV[[#This Row],[Etica Dynamic Allocation]]</f>
        <v>2.0301909999999999</v>
      </c>
      <c r="AF415">
        <f>TBL_TEV[[#This Row],[Etica Global Equity]]</f>
        <v>3.0798130000000001</v>
      </c>
      <c r="AL415">
        <f ca="1"/>
        <v>1.522365</v>
      </c>
      <c r="AM415">
        <f ca="1"/>
        <v>0.26256400000000002</v>
      </c>
      <c r="AN415">
        <f ca="1"/>
        <v>0.78816900000000001</v>
      </c>
      <c r="AO415">
        <f ca="1"/>
        <v>2.1417890000000002</v>
      </c>
      <c r="AP415">
        <f ca="1"/>
        <v>3.0426669999999998</v>
      </c>
      <c r="AQ415">
        <f ca="1"/>
        <v>2.3522850000000002</v>
      </c>
      <c r="AR415">
        <f ca="1"/>
        <v>7.4118936175636163</v>
      </c>
      <c r="AS415">
        <f ca="1"/>
        <v>0.59989800000000004</v>
      </c>
      <c r="AT415">
        <f ca="1"/>
        <v>2.009236</v>
      </c>
      <c r="AU415">
        <f ca="1"/>
        <v>3.0480640000000001</v>
      </c>
    </row>
    <row r="416" spans="1:47">
      <c r="A416" s="43">
        <f>TBL_TEV[[#This Row],[Data2]]</f>
        <v>45887</v>
      </c>
      <c r="B416" cm="1">
        <f t="array" ref="B416">_xlfn.XLOOKUP(_xlfn.ANCHORARRAY(A416), TBL_Limiti_CDA[Data], TBL_Limiti_CDA[Etica Rendita Bilanciata], , -1)</f>
        <v>2.5</v>
      </c>
      <c r="C416" cm="1">
        <f t="array" ref="C416">_xlfn.XLOOKUP(_xlfn.ANCHORARRAY(A416), TBL_Limiti_CDA[Data], TBL_Limiti_CDA[Etica Obbligazionario Breve Termine], , -1)</f>
        <v>0.5</v>
      </c>
      <c r="D416" cm="1">
        <f t="array" ref="D416">_xlfn.XLOOKUP(_xlfn.ANCHORARRAY(A416), TBL_Limiti_CDA[Data], TBL_Limiti_CDA[Etica Obbligazionario Misto], , -1)</f>
        <v>1</v>
      </c>
      <c r="E416" cm="1">
        <f t="array" ref="E416">_xlfn.XLOOKUP(_xlfn.ANCHORARRAY(A416), TBL_Limiti_CDA[Data], TBL_Limiti_CDA[Etica Bilanciato], , -1)</f>
        <v>3</v>
      </c>
      <c r="F416" cm="1">
        <f t="array" ref="F416">_xlfn.XLOOKUP(_xlfn.ANCHORARRAY(A416), TBL_Limiti_CDA[Data], TBL_Limiti_CDA[Etica Azionario], , -1)</f>
        <v>4.5</v>
      </c>
      <c r="G416" cm="1">
        <f t="array" ref="G416">_xlfn.XLOOKUP(_xlfn.ANCHORARRAY(A416), TBL_Limiti_CDA[Data], TBL_Limiti_CDA[Etica Transizione Climatica], , -1)</f>
        <v>3.5</v>
      </c>
      <c r="H416" cm="1">
        <f t="array" ref="H416">_xlfn.XLOOKUP(_xlfn.ANCHORARRAY(A416), TBL_Limiti_CDA[Data], TBL_Limiti_CDA[Etica Obiettivo Sociale], , -1)</f>
        <v>9.99</v>
      </c>
      <c r="I416" cm="1">
        <f t="array" ref="I416">_xlfn.XLOOKUP(_xlfn.ANCHORARRAY(A416), TBL_Limiti_CDA[Data], TBL_Limiti_CDA[Etica Conservative Allocation], , -1)</f>
        <v>1</v>
      </c>
      <c r="J416" cm="1">
        <f t="array" ref="J416">_xlfn.XLOOKUP(_xlfn.ANCHORARRAY(A416), TBL_Limiti_CDA[Data], TBL_Limiti_CDA[Etica Dynamic Allocation], , -1)</f>
        <v>3</v>
      </c>
      <c r="K416" cm="1">
        <f t="array" ref="K416">_xlfn.XLOOKUP(_xlfn.ANCHORARRAY(A416), TBL_Limiti_CDA[Data], TBL_Limiti_CDA[Etica Global Equity], , -1)</f>
        <v>4.5</v>
      </c>
      <c r="L416" cm="1">
        <f t="array" ref="L416">_xlfn.ANCHORARRAY(B416)+0.15</f>
        <v>2.65</v>
      </c>
      <c r="M416" cm="1">
        <f t="array" ref="M416">_xlfn.ANCHORARRAY(C416)+0.1</f>
        <v>0.6</v>
      </c>
      <c r="N416" cm="1">
        <f t="array" ref="N416">_xlfn.ANCHORARRAY(D416)+0.15</f>
        <v>1.1499999999999999</v>
      </c>
      <c r="O416" cm="1">
        <f t="array" ref="O416">_xlfn.ANCHORARRAY(E416)+0.15</f>
        <v>3.15</v>
      </c>
      <c r="P416" cm="1">
        <f t="array" ref="P416">_xlfn.ANCHORARRAY(F416)+0.15</f>
        <v>4.6500000000000004</v>
      </c>
      <c r="Q416" cm="1">
        <f t="array" ref="Q416">_xlfn.ANCHORARRAY(G416)+0.15</f>
        <v>3.65</v>
      </c>
      <c r="R416" cm="1">
        <f t="array" ref="R416">_xlfn.ANCHORARRAY(H416)</f>
        <v>9.99</v>
      </c>
      <c r="S416" cm="1">
        <f t="array" ref="S416">_xlfn.ANCHORARRAY(R416)+0.15</f>
        <v>10.14</v>
      </c>
      <c r="T416" cm="1">
        <f t="array" ref="T416">_xlfn.ANCHORARRAY(I416)+0.15</f>
        <v>1.1499999999999999</v>
      </c>
      <c r="U416" cm="1">
        <f t="array" ref="U416">_xlfn.ANCHORARRAY(J416)+0.15</f>
        <v>3.15</v>
      </c>
      <c r="V416" cm="1">
        <f t="array" ref="V416">_xlfn.ANCHORARRAY(K416)+0.15</f>
        <v>4.6500000000000004</v>
      </c>
      <c r="W416">
        <f>TBL_TEV[[#This Row],[Etica Rendita Bilanciata]]</f>
        <v>1.522365</v>
      </c>
      <c r="X416">
        <f>TBL_TEV[[#This Row],[Etica Obbligazionario Breve Termine]]</f>
        <v>0.26256400000000002</v>
      </c>
      <c r="Y416">
        <f>TBL_TEV[[#This Row],[Etica Obbligazionario Misto]]</f>
        <v>0.78816900000000001</v>
      </c>
      <c r="Z416">
        <f>TBL_TEV[[#This Row],[Etica Bilanciato]]</f>
        <v>2.1417890000000002</v>
      </c>
      <c r="AA416">
        <f>TBL_TEV[[#This Row],[Etica Azionario]]</f>
        <v>3.0426669999999998</v>
      </c>
      <c r="AB416">
        <f>TBL_TEV[[#This Row],[Etica Transizione Climatica]]</f>
        <v>2.3522850000000002</v>
      </c>
      <c r="AC416">
        <f>TBL_TEV[[#This Row],[Etica Obiettivo Sociale]]</f>
        <v>7.4118936175636163</v>
      </c>
      <c r="AD416">
        <f>TBL_TEV[[#This Row],[Etica Conservative Allocation]]</f>
        <v>0.59989800000000004</v>
      </c>
      <c r="AE416">
        <f>TBL_TEV[[#This Row],[Etica Dynamic Allocation]]</f>
        <v>2.009236</v>
      </c>
      <c r="AF416">
        <f>TBL_TEV[[#This Row],[Etica Global Equity]]</f>
        <v>3.0480640000000001</v>
      </c>
      <c r="AL416">
        <f ca="1"/>
        <v>1.5326839999999999</v>
      </c>
      <c r="AM416">
        <f ca="1"/>
        <v>0.26145299999999999</v>
      </c>
      <c r="AN416">
        <f ca="1"/>
        <v>0.78753399999999996</v>
      </c>
      <c r="AO416">
        <f ca="1"/>
        <v>2.156711</v>
      </c>
      <c r="AP416">
        <f ca="1"/>
        <v>3.0618750000000001</v>
      </c>
      <c r="AQ416">
        <f ca="1"/>
        <v>2.3408549999999999</v>
      </c>
      <c r="AR416">
        <f ca="1"/>
        <v>7.3141084781585501</v>
      </c>
      <c r="AS416">
        <f ca="1"/>
        <v>0.60243800000000003</v>
      </c>
      <c r="AT416">
        <f ca="1"/>
        <v>2.019396</v>
      </c>
      <c r="AU416">
        <f ca="1"/>
        <v>3.067431</v>
      </c>
    </row>
    <row r="417" spans="1:47">
      <c r="A417" s="43">
        <f>TBL_TEV[[#This Row],[Data2]]</f>
        <v>45888</v>
      </c>
      <c r="B417" cm="1">
        <f t="array" ref="B417">_xlfn.XLOOKUP(_xlfn.ANCHORARRAY(A417), TBL_Limiti_CDA[Data], TBL_Limiti_CDA[Etica Rendita Bilanciata], , -1)</f>
        <v>2.5</v>
      </c>
      <c r="C417" cm="1">
        <f t="array" ref="C417">_xlfn.XLOOKUP(_xlfn.ANCHORARRAY(A417), TBL_Limiti_CDA[Data], TBL_Limiti_CDA[Etica Obbligazionario Breve Termine], , -1)</f>
        <v>0.5</v>
      </c>
      <c r="D417" cm="1">
        <f t="array" ref="D417">_xlfn.XLOOKUP(_xlfn.ANCHORARRAY(A417), TBL_Limiti_CDA[Data], TBL_Limiti_CDA[Etica Obbligazionario Misto], , -1)</f>
        <v>1</v>
      </c>
      <c r="E417" cm="1">
        <f t="array" ref="E417">_xlfn.XLOOKUP(_xlfn.ANCHORARRAY(A417), TBL_Limiti_CDA[Data], TBL_Limiti_CDA[Etica Bilanciato], , -1)</f>
        <v>3</v>
      </c>
      <c r="F417" cm="1">
        <f t="array" ref="F417">_xlfn.XLOOKUP(_xlfn.ANCHORARRAY(A417), TBL_Limiti_CDA[Data], TBL_Limiti_CDA[Etica Azionario], , -1)</f>
        <v>4.5</v>
      </c>
      <c r="G417" cm="1">
        <f t="array" ref="G417">_xlfn.XLOOKUP(_xlfn.ANCHORARRAY(A417), TBL_Limiti_CDA[Data], TBL_Limiti_CDA[Etica Transizione Climatica], , -1)</f>
        <v>3.5</v>
      </c>
      <c r="H417" cm="1">
        <f t="array" ref="H417">_xlfn.XLOOKUP(_xlfn.ANCHORARRAY(A417), TBL_Limiti_CDA[Data], TBL_Limiti_CDA[Etica Obiettivo Sociale], , -1)</f>
        <v>9.99</v>
      </c>
      <c r="I417" cm="1">
        <f t="array" ref="I417">_xlfn.XLOOKUP(_xlfn.ANCHORARRAY(A417), TBL_Limiti_CDA[Data], TBL_Limiti_CDA[Etica Conservative Allocation], , -1)</f>
        <v>1</v>
      </c>
      <c r="J417" cm="1">
        <f t="array" ref="J417">_xlfn.XLOOKUP(_xlfn.ANCHORARRAY(A417), TBL_Limiti_CDA[Data], TBL_Limiti_CDA[Etica Dynamic Allocation], , -1)</f>
        <v>3</v>
      </c>
      <c r="K417" cm="1">
        <f t="array" ref="K417">_xlfn.XLOOKUP(_xlfn.ANCHORARRAY(A417), TBL_Limiti_CDA[Data], TBL_Limiti_CDA[Etica Global Equity], , -1)</f>
        <v>4.5</v>
      </c>
      <c r="L417" cm="1">
        <f t="array" ref="L417">_xlfn.ANCHORARRAY(B417)+0.15</f>
        <v>2.65</v>
      </c>
      <c r="M417" cm="1">
        <f t="array" ref="M417">_xlfn.ANCHORARRAY(C417)+0.1</f>
        <v>0.6</v>
      </c>
      <c r="N417" cm="1">
        <f t="array" ref="N417">_xlfn.ANCHORARRAY(D417)+0.15</f>
        <v>1.1499999999999999</v>
      </c>
      <c r="O417" cm="1">
        <f t="array" ref="O417">_xlfn.ANCHORARRAY(E417)+0.15</f>
        <v>3.15</v>
      </c>
      <c r="P417" cm="1">
        <f t="array" ref="P417">_xlfn.ANCHORARRAY(F417)+0.15</f>
        <v>4.6500000000000004</v>
      </c>
      <c r="Q417" cm="1">
        <f t="array" ref="Q417">_xlfn.ANCHORARRAY(G417)+0.15</f>
        <v>3.65</v>
      </c>
      <c r="R417" cm="1">
        <f t="array" ref="R417">_xlfn.ANCHORARRAY(H417)</f>
        <v>9.99</v>
      </c>
      <c r="S417" cm="1">
        <f t="array" ref="S417">_xlfn.ANCHORARRAY(R417)+0.15</f>
        <v>10.14</v>
      </c>
      <c r="T417" cm="1">
        <f t="array" ref="T417">_xlfn.ANCHORARRAY(I417)+0.15</f>
        <v>1.1499999999999999</v>
      </c>
      <c r="U417" cm="1">
        <f t="array" ref="U417">_xlfn.ANCHORARRAY(J417)+0.15</f>
        <v>3.15</v>
      </c>
      <c r="V417" cm="1">
        <f t="array" ref="V417">_xlfn.ANCHORARRAY(K417)+0.15</f>
        <v>4.6500000000000004</v>
      </c>
      <c r="W417">
        <f>TBL_TEV[[#This Row],[Etica Rendita Bilanciata]]</f>
        <v>1.5326839999999999</v>
      </c>
      <c r="X417">
        <f>TBL_TEV[[#This Row],[Etica Obbligazionario Breve Termine]]</f>
        <v>0.26145299999999999</v>
      </c>
      <c r="Y417">
        <f>TBL_TEV[[#This Row],[Etica Obbligazionario Misto]]</f>
        <v>0.78753399999999996</v>
      </c>
      <c r="Z417">
        <f>TBL_TEV[[#This Row],[Etica Bilanciato]]</f>
        <v>2.156711</v>
      </c>
      <c r="AA417">
        <f>TBL_TEV[[#This Row],[Etica Azionario]]</f>
        <v>3.0618750000000001</v>
      </c>
      <c r="AB417">
        <f>TBL_TEV[[#This Row],[Etica Transizione Climatica]]</f>
        <v>2.3408549999999999</v>
      </c>
      <c r="AC417">
        <f>TBL_TEV[[#This Row],[Etica Obiettivo Sociale]]</f>
        <v>7.3141084781585501</v>
      </c>
      <c r="AD417">
        <f>TBL_TEV[[#This Row],[Etica Conservative Allocation]]</f>
        <v>0.60243800000000003</v>
      </c>
      <c r="AE417">
        <f>TBL_TEV[[#This Row],[Etica Dynamic Allocation]]</f>
        <v>2.019396</v>
      </c>
      <c r="AF417">
        <f>TBL_TEV[[#This Row],[Etica Global Equity]]</f>
        <v>3.067431</v>
      </c>
      <c r="AL417">
        <f ca="1"/>
        <v>1.525223</v>
      </c>
      <c r="AM417">
        <f ca="1"/>
        <v>0.26097700000000001</v>
      </c>
      <c r="AN417">
        <f ca="1"/>
        <v>0.78594699999999995</v>
      </c>
      <c r="AO417">
        <f ca="1"/>
        <v>2.1444869999999998</v>
      </c>
      <c r="AP417">
        <f ca="1"/>
        <v>3.040127</v>
      </c>
      <c r="AQ417">
        <f ca="1"/>
        <v>2.325774</v>
      </c>
      <c r="AR417">
        <f ca="1"/>
        <v>7.282321733237505</v>
      </c>
      <c r="AS417">
        <f ca="1"/>
        <v>0.59926299999999999</v>
      </c>
      <c r="AT417">
        <f ca="1"/>
        <v>2.0070139999999999</v>
      </c>
      <c r="AU417">
        <f ca="1"/>
        <v>3.0471119999999998</v>
      </c>
    </row>
    <row r="418" spans="1:47">
      <c r="A418" s="43">
        <f>TBL_TEV[[#This Row],[Data2]]</f>
        <v>45889</v>
      </c>
      <c r="B418" cm="1">
        <f t="array" ref="B418">_xlfn.XLOOKUP(_xlfn.ANCHORARRAY(A418), TBL_Limiti_CDA[Data], TBL_Limiti_CDA[Etica Rendita Bilanciata], , -1)</f>
        <v>2.5</v>
      </c>
      <c r="C418" cm="1">
        <f t="array" ref="C418">_xlfn.XLOOKUP(_xlfn.ANCHORARRAY(A418), TBL_Limiti_CDA[Data], TBL_Limiti_CDA[Etica Obbligazionario Breve Termine], , -1)</f>
        <v>0.5</v>
      </c>
      <c r="D418" cm="1">
        <f t="array" ref="D418">_xlfn.XLOOKUP(_xlfn.ANCHORARRAY(A418), TBL_Limiti_CDA[Data], TBL_Limiti_CDA[Etica Obbligazionario Misto], , -1)</f>
        <v>1</v>
      </c>
      <c r="E418" cm="1">
        <f t="array" ref="E418">_xlfn.XLOOKUP(_xlfn.ANCHORARRAY(A418), TBL_Limiti_CDA[Data], TBL_Limiti_CDA[Etica Bilanciato], , -1)</f>
        <v>3</v>
      </c>
      <c r="F418" cm="1">
        <f t="array" ref="F418">_xlfn.XLOOKUP(_xlfn.ANCHORARRAY(A418), TBL_Limiti_CDA[Data], TBL_Limiti_CDA[Etica Azionario], , -1)</f>
        <v>4.5</v>
      </c>
      <c r="G418" cm="1">
        <f t="array" ref="G418">_xlfn.XLOOKUP(_xlfn.ANCHORARRAY(A418), TBL_Limiti_CDA[Data], TBL_Limiti_CDA[Etica Transizione Climatica], , -1)</f>
        <v>3.5</v>
      </c>
      <c r="H418" cm="1">
        <f t="array" ref="H418">_xlfn.XLOOKUP(_xlfn.ANCHORARRAY(A418), TBL_Limiti_CDA[Data], TBL_Limiti_CDA[Etica Obiettivo Sociale], , -1)</f>
        <v>9.99</v>
      </c>
      <c r="I418" cm="1">
        <f t="array" ref="I418">_xlfn.XLOOKUP(_xlfn.ANCHORARRAY(A418), TBL_Limiti_CDA[Data], TBL_Limiti_CDA[Etica Conservative Allocation], , -1)</f>
        <v>1</v>
      </c>
      <c r="J418" cm="1">
        <f t="array" ref="J418">_xlfn.XLOOKUP(_xlfn.ANCHORARRAY(A418), TBL_Limiti_CDA[Data], TBL_Limiti_CDA[Etica Dynamic Allocation], , -1)</f>
        <v>3</v>
      </c>
      <c r="K418" cm="1">
        <f t="array" ref="K418">_xlfn.XLOOKUP(_xlfn.ANCHORARRAY(A418), TBL_Limiti_CDA[Data], TBL_Limiti_CDA[Etica Global Equity], , -1)</f>
        <v>4.5</v>
      </c>
      <c r="L418" cm="1">
        <f t="array" ref="L418">_xlfn.ANCHORARRAY(B418)+0.15</f>
        <v>2.65</v>
      </c>
      <c r="M418" cm="1">
        <f t="array" ref="M418">_xlfn.ANCHORARRAY(C418)+0.1</f>
        <v>0.6</v>
      </c>
      <c r="N418" cm="1">
        <f t="array" ref="N418">_xlfn.ANCHORARRAY(D418)+0.15</f>
        <v>1.1499999999999999</v>
      </c>
      <c r="O418" cm="1">
        <f t="array" ref="O418">_xlfn.ANCHORARRAY(E418)+0.15</f>
        <v>3.15</v>
      </c>
      <c r="P418" cm="1">
        <f t="array" ref="P418">_xlfn.ANCHORARRAY(F418)+0.15</f>
        <v>4.6500000000000004</v>
      </c>
      <c r="Q418" cm="1">
        <f t="array" ref="Q418">_xlfn.ANCHORARRAY(G418)+0.15</f>
        <v>3.65</v>
      </c>
      <c r="R418" cm="1">
        <f t="array" ref="R418">_xlfn.ANCHORARRAY(H418)</f>
        <v>9.99</v>
      </c>
      <c r="S418" cm="1">
        <f t="array" ref="S418">_xlfn.ANCHORARRAY(R418)+0.15</f>
        <v>10.14</v>
      </c>
      <c r="T418" cm="1">
        <f t="array" ref="T418">_xlfn.ANCHORARRAY(I418)+0.15</f>
        <v>1.1499999999999999</v>
      </c>
      <c r="U418" cm="1">
        <f t="array" ref="U418">_xlfn.ANCHORARRAY(J418)+0.15</f>
        <v>3.15</v>
      </c>
      <c r="V418" cm="1">
        <f t="array" ref="V418">_xlfn.ANCHORARRAY(K418)+0.15</f>
        <v>4.6500000000000004</v>
      </c>
      <c r="W418">
        <f>TBL_TEV[[#This Row],[Etica Rendita Bilanciata]]</f>
        <v>1.525223</v>
      </c>
      <c r="X418">
        <f>TBL_TEV[[#This Row],[Etica Obbligazionario Breve Termine]]</f>
        <v>0.26097700000000001</v>
      </c>
      <c r="Y418">
        <f>TBL_TEV[[#This Row],[Etica Obbligazionario Misto]]</f>
        <v>0.78594699999999995</v>
      </c>
      <c r="Z418">
        <f>TBL_TEV[[#This Row],[Etica Bilanciato]]</f>
        <v>2.1444869999999998</v>
      </c>
      <c r="AA418">
        <f>TBL_TEV[[#This Row],[Etica Azionario]]</f>
        <v>3.040127</v>
      </c>
      <c r="AB418">
        <f>TBL_TEV[[#This Row],[Etica Transizione Climatica]]</f>
        <v>2.325774</v>
      </c>
      <c r="AC418">
        <f>TBL_TEV[[#This Row],[Etica Obiettivo Sociale]]</f>
        <v>7.282321733237505</v>
      </c>
      <c r="AD418">
        <f>TBL_TEV[[#This Row],[Etica Conservative Allocation]]</f>
        <v>0.59926299999999999</v>
      </c>
      <c r="AE418">
        <f>TBL_TEV[[#This Row],[Etica Dynamic Allocation]]</f>
        <v>2.0070139999999999</v>
      </c>
      <c r="AF418">
        <f>TBL_TEV[[#This Row],[Etica Global Equity]]</f>
        <v>3.0471119999999998</v>
      </c>
      <c r="AL418">
        <f ca="1"/>
        <v>1.525064</v>
      </c>
      <c r="AM418">
        <f ca="1"/>
        <v>0.26097700000000001</v>
      </c>
      <c r="AN418">
        <f ca="1"/>
        <v>0.78896299999999997</v>
      </c>
      <c r="AO418">
        <f ca="1"/>
        <v>2.1497259999999998</v>
      </c>
      <c r="AP418">
        <f ca="1"/>
        <v>3.0374279999999998</v>
      </c>
      <c r="AQ418">
        <f ca="1"/>
        <v>2.3291080000000002</v>
      </c>
      <c r="AR418">
        <f ca="1"/>
        <v>7.2773168343928258</v>
      </c>
      <c r="AS418">
        <f ca="1"/>
        <v>0.59862800000000005</v>
      </c>
      <c r="AT418">
        <f ca="1"/>
        <v>2.005585</v>
      </c>
      <c r="AU418">
        <f ca="1"/>
        <v>3.0439370000000001</v>
      </c>
    </row>
    <row r="419" spans="1:47">
      <c r="A419" s="43">
        <f>TBL_TEV[[#This Row],[Data2]]</f>
        <v>45890</v>
      </c>
      <c r="B419" cm="1">
        <f t="array" ref="B419">_xlfn.XLOOKUP(_xlfn.ANCHORARRAY(A419), TBL_Limiti_CDA[Data], TBL_Limiti_CDA[Etica Rendita Bilanciata], , -1)</f>
        <v>2.5</v>
      </c>
      <c r="C419" cm="1">
        <f t="array" ref="C419">_xlfn.XLOOKUP(_xlfn.ANCHORARRAY(A419), TBL_Limiti_CDA[Data], TBL_Limiti_CDA[Etica Obbligazionario Breve Termine], , -1)</f>
        <v>0.5</v>
      </c>
      <c r="D419" cm="1">
        <f t="array" ref="D419">_xlfn.XLOOKUP(_xlfn.ANCHORARRAY(A419), TBL_Limiti_CDA[Data], TBL_Limiti_CDA[Etica Obbligazionario Misto], , -1)</f>
        <v>1</v>
      </c>
      <c r="E419" cm="1">
        <f t="array" ref="E419">_xlfn.XLOOKUP(_xlfn.ANCHORARRAY(A419), TBL_Limiti_CDA[Data], TBL_Limiti_CDA[Etica Bilanciato], , -1)</f>
        <v>3</v>
      </c>
      <c r="F419" cm="1">
        <f t="array" ref="F419">_xlfn.XLOOKUP(_xlfn.ANCHORARRAY(A419), TBL_Limiti_CDA[Data], TBL_Limiti_CDA[Etica Azionario], , -1)</f>
        <v>4.5</v>
      </c>
      <c r="G419" cm="1">
        <f t="array" ref="G419">_xlfn.XLOOKUP(_xlfn.ANCHORARRAY(A419), TBL_Limiti_CDA[Data], TBL_Limiti_CDA[Etica Transizione Climatica], , -1)</f>
        <v>3.5</v>
      </c>
      <c r="H419" cm="1">
        <f t="array" ref="H419">_xlfn.XLOOKUP(_xlfn.ANCHORARRAY(A419), TBL_Limiti_CDA[Data], TBL_Limiti_CDA[Etica Obiettivo Sociale], , -1)</f>
        <v>9.99</v>
      </c>
      <c r="I419" cm="1">
        <f t="array" ref="I419">_xlfn.XLOOKUP(_xlfn.ANCHORARRAY(A419), TBL_Limiti_CDA[Data], TBL_Limiti_CDA[Etica Conservative Allocation], , -1)</f>
        <v>1</v>
      </c>
      <c r="J419" cm="1">
        <f t="array" ref="J419">_xlfn.XLOOKUP(_xlfn.ANCHORARRAY(A419), TBL_Limiti_CDA[Data], TBL_Limiti_CDA[Etica Dynamic Allocation], , -1)</f>
        <v>3</v>
      </c>
      <c r="K419" cm="1">
        <f t="array" ref="K419">_xlfn.XLOOKUP(_xlfn.ANCHORARRAY(A419), TBL_Limiti_CDA[Data], TBL_Limiti_CDA[Etica Global Equity], , -1)</f>
        <v>4.5</v>
      </c>
      <c r="L419" cm="1">
        <f t="array" ref="L419">_xlfn.ANCHORARRAY(B419)+0.15</f>
        <v>2.65</v>
      </c>
      <c r="M419" cm="1">
        <f t="array" ref="M419">_xlfn.ANCHORARRAY(C419)+0.1</f>
        <v>0.6</v>
      </c>
      <c r="N419" cm="1">
        <f t="array" ref="N419">_xlfn.ANCHORARRAY(D419)+0.15</f>
        <v>1.1499999999999999</v>
      </c>
      <c r="O419" cm="1">
        <f t="array" ref="O419">_xlfn.ANCHORARRAY(E419)+0.15</f>
        <v>3.15</v>
      </c>
      <c r="P419" cm="1">
        <f t="array" ref="P419">_xlfn.ANCHORARRAY(F419)+0.15</f>
        <v>4.6500000000000004</v>
      </c>
      <c r="Q419" cm="1">
        <f t="array" ref="Q419">_xlfn.ANCHORARRAY(G419)+0.15</f>
        <v>3.65</v>
      </c>
      <c r="R419" cm="1">
        <f t="array" ref="R419">_xlfn.ANCHORARRAY(H419)</f>
        <v>9.99</v>
      </c>
      <c r="S419" cm="1">
        <f t="array" ref="S419">_xlfn.ANCHORARRAY(R419)+0.15</f>
        <v>10.14</v>
      </c>
      <c r="T419" cm="1">
        <f t="array" ref="T419">_xlfn.ANCHORARRAY(I419)+0.15</f>
        <v>1.1499999999999999</v>
      </c>
      <c r="U419" cm="1">
        <f t="array" ref="U419">_xlfn.ANCHORARRAY(J419)+0.15</f>
        <v>3.15</v>
      </c>
      <c r="V419" cm="1">
        <f t="array" ref="V419">_xlfn.ANCHORARRAY(K419)+0.15</f>
        <v>4.6500000000000004</v>
      </c>
      <c r="W419">
        <f>TBL_TEV[[#This Row],[Etica Rendita Bilanciata]]</f>
        <v>1.525064</v>
      </c>
      <c r="X419">
        <f>TBL_TEV[[#This Row],[Etica Obbligazionario Breve Termine]]</f>
        <v>0.26097700000000001</v>
      </c>
      <c r="Y419">
        <f>TBL_TEV[[#This Row],[Etica Obbligazionario Misto]]</f>
        <v>0.78896299999999997</v>
      </c>
      <c r="Z419">
        <f>TBL_TEV[[#This Row],[Etica Bilanciato]]</f>
        <v>2.1497259999999998</v>
      </c>
      <c r="AA419">
        <f>TBL_TEV[[#This Row],[Etica Azionario]]</f>
        <v>3.0374279999999998</v>
      </c>
      <c r="AB419">
        <f>TBL_TEV[[#This Row],[Etica Transizione Climatica]]</f>
        <v>2.3291080000000002</v>
      </c>
      <c r="AC419">
        <f>TBL_TEV[[#This Row],[Etica Obiettivo Sociale]]</f>
        <v>7.2773168343928258</v>
      </c>
      <c r="AD419">
        <f>TBL_TEV[[#This Row],[Etica Conservative Allocation]]</f>
        <v>0.59862800000000005</v>
      </c>
      <c r="AE419">
        <f>TBL_TEV[[#This Row],[Etica Dynamic Allocation]]</f>
        <v>2.005585</v>
      </c>
      <c r="AF419">
        <f>TBL_TEV[[#This Row],[Etica Global Equity]]</f>
        <v>3.0439370000000001</v>
      </c>
      <c r="AL419">
        <f ca="1"/>
        <v>1.528715</v>
      </c>
      <c r="AM419">
        <f ca="1"/>
        <v>0.26192900000000002</v>
      </c>
      <c r="AN419">
        <f ca="1"/>
        <v>0.79118500000000003</v>
      </c>
      <c r="AO419">
        <f ca="1"/>
        <v>2.152425</v>
      </c>
      <c r="AP419">
        <f ca="1"/>
        <v>3.0404439999999999</v>
      </c>
      <c r="AQ419">
        <f ca="1"/>
        <v>2.339267</v>
      </c>
      <c r="AR419">
        <f ca="1"/>
        <v>7.2688031216623177</v>
      </c>
      <c r="AS419">
        <f ca="1"/>
        <v>0.59958</v>
      </c>
      <c r="AT419">
        <f ca="1"/>
        <v>2.005903</v>
      </c>
      <c r="AU419">
        <f ca="1"/>
        <v>3.046001</v>
      </c>
    </row>
    <row r="420" spans="1:47">
      <c r="A420" s="43">
        <f>TBL_TEV[[#This Row],[Data2]]</f>
        <v>45891</v>
      </c>
      <c r="B420" cm="1">
        <f t="array" ref="B420">_xlfn.XLOOKUP(_xlfn.ANCHORARRAY(A420), TBL_Limiti_CDA[Data], TBL_Limiti_CDA[Etica Rendita Bilanciata], , -1)</f>
        <v>2.5</v>
      </c>
      <c r="C420" cm="1">
        <f t="array" ref="C420">_xlfn.XLOOKUP(_xlfn.ANCHORARRAY(A420), TBL_Limiti_CDA[Data], TBL_Limiti_CDA[Etica Obbligazionario Breve Termine], , -1)</f>
        <v>0.5</v>
      </c>
      <c r="D420" cm="1">
        <f t="array" ref="D420">_xlfn.XLOOKUP(_xlfn.ANCHORARRAY(A420), TBL_Limiti_CDA[Data], TBL_Limiti_CDA[Etica Obbligazionario Misto], , -1)</f>
        <v>1</v>
      </c>
      <c r="E420" cm="1">
        <f t="array" ref="E420">_xlfn.XLOOKUP(_xlfn.ANCHORARRAY(A420), TBL_Limiti_CDA[Data], TBL_Limiti_CDA[Etica Bilanciato], , -1)</f>
        <v>3</v>
      </c>
      <c r="F420" cm="1">
        <f t="array" ref="F420">_xlfn.XLOOKUP(_xlfn.ANCHORARRAY(A420), TBL_Limiti_CDA[Data], TBL_Limiti_CDA[Etica Azionario], , -1)</f>
        <v>4.5</v>
      </c>
      <c r="G420" cm="1">
        <f t="array" ref="G420">_xlfn.XLOOKUP(_xlfn.ANCHORARRAY(A420), TBL_Limiti_CDA[Data], TBL_Limiti_CDA[Etica Transizione Climatica], , -1)</f>
        <v>3.5</v>
      </c>
      <c r="H420" cm="1">
        <f t="array" ref="H420">_xlfn.XLOOKUP(_xlfn.ANCHORARRAY(A420), TBL_Limiti_CDA[Data], TBL_Limiti_CDA[Etica Obiettivo Sociale], , -1)</f>
        <v>9.99</v>
      </c>
      <c r="I420" cm="1">
        <f t="array" ref="I420">_xlfn.XLOOKUP(_xlfn.ANCHORARRAY(A420), TBL_Limiti_CDA[Data], TBL_Limiti_CDA[Etica Conservative Allocation], , -1)</f>
        <v>1</v>
      </c>
      <c r="J420" cm="1">
        <f t="array" ref="J420">_xlfn.XLOOKUP(_xlfn.ANCHORARRAY(A420), TBL_Limiti_CDA[Data], TBL_Limiti_CDA[Etica Dynamic Allocation], , -1)</f>
        <v>3</v>
      </c>
      <c r="K420" cm="1">
        <f t="array" ref="K420">_xlfn.XLOOKUP(_xlfn.ANCHORARRAY(A420), TBL_Limiti_CDA[Data], TBL_Limiti_CDA[Etica Global Equity], , -1)</f>
        <v>4.5</v>
      </c>
      <c r="L420" cm="1">
        <f t="array" ref="L420">_xlfn.ANCHORARRAY(B420)+0.15</f>
        <v>2.65</v>
      </c>
      <c r="M420" cm="1">
        <f t="array" ref="M420">_xlfn.ANCHORARRAY(C420)+0.1</f>
        <v>0.6</v>
      </c>
      <c r="N420" cm="1">
        <f t="array" ref="N420">_xlfn.ANCHORARRAY(D420)+0.15</f>
        <v>1.1499999999999999</v>
      </c>
      <c r="O420" cm="1">
        <f t="array" ref="O420">_xlfn.ANCHORARRAY(E420)+0.15</f>
        <v>3.15</v>
      </c>
      <c r="P420" cm="1">
        <f t="array" ref="P420">_xlfn.ANCHORARRAY(F420)+0.15</f>
        <v>4.6500000000000004</v>
      </c>
      <c r="Q420" cm="1">
        <f t="array" ref="Q420">_xlfn.ANCHORARRAY(G420)+0.15</f>
        <v>3.65</v>
      </c>
      <c r="R420" cm="1">
        <f t="array" ref="R420">_xlfn.ANCHORARRAY(H420)</f>
        <v>9.99</v>
      </c>
      <c r="S420" cm="1">
        <f t="array" ref="S420">_xlfn.ANCHORARRAY(R420)+0.15</f>
        <v>10.14</v>
      </c>
      <c r="T420" cm="1">
        <f t="array" ref="T420">_xlfn.ANCHORARRAY(I420)+0.15</f>
        <v>1.1499999999999999</v>
      </c>
      <c r="U420" cm="1">
        <f t="array" ref="U420">_xlfn.ANCHORARRAY(J420)+0.15</f>
        <v>3.15</v>
      </c>
      <c r="V420" cm="1">
        <f t="array" ref="V420">_xlfn.ANCHORARRAY(K420)+0.15</f>
        <v>4.6500000000000004</v>
      </c>
      <c r="W420">
        <f>TBL_TEV[[#This Row],[Etica Rendita Bilanciata]]</f>
        <v>1.528715</v>
      </c>
      <c r="X420">
        <f>TBL_TEV[[#This Row],[Etica Obbligazionario Breve Termine]]</f>
        <v>0.26192900000000002</v>
      </c>
      <c r="Y420">
        <f>TBL_TEV[[#This Row],[Etica Obbligazionario Misto]]</f>
        <v>0.79118500000000003</v>
      </c>
      <c r="Z420">
        <f>TBL_TEV[[#This Row],[Etica Bilanciato]]</f>
        <v>2.152425</v>
      </c>
      <c r="AA420">
        <f>TBL_TEV[[#This Row],[Etica Azionario]]</f>
        <v>3.0404439999999999</v>
      </c>
      <c r="AB420">
        <f>TBL_TEV[[#This Row],[Etica Transizione Climatica]]</f>
        <v>2.339267</v>
      </c>
      <c r="AC420">
        <f>TBL_TEV[[#This Row],[Etica Obiettivo Sociale]]</f>
        <v>7.2688031216623177</v>
      </c>
      <c r="AD420">
        <f>TBL_TEV[[#This Row],[Etica Conservative Allocation]]</f>
        <v>0.59958</v>
      </c>
      <c r="AE420">
        <f>TBL_TEV[[#This Row],[Etica Dynamic Allocation]]</f>
        <v>2.005903</v>
      </c>
      <c r="AF420">
        <f>TBL_TEV[[#This Row],[Etica Global Equity]]</f>
        <v>3.046001</v>
      </c>
      <c r="AL420">
        <f ca="1"/>
        <v>1.525223</v>
      </c>
      <c r="AM420">
        <f ca="1"/>
        <v>0.26256400000000002</v>
      </c>
      <c r="AN420">
        <f ca="1"/>
        <v>0.79197899999999999</v>
      </c>
      <c r="AO420">
        <f ca="1"/>
        <v>2.14798</v>
      </c>
      <c r="AP420">
        <f ca="1"/>
        <v>3.035682</v>
      </c>
      <c r="AQ420">
        <f ca="1"/>
        <v>2.3630789999999999</v>
      </c>
      <c r="AR420">
        <f ca="1"/>
        <v>7.2797716851885079</v>
      </c>
      <c r="AS420">
        <f ca="1"/>
        <v>0.59624699999999997</v>
      </c>
      <c r="AT420">
        <f ca="1"/>
        <v>2.6754899999999999</v>
      </c>
      <c r="AU420">
        <f ca="1"/>
        <v>4.0686359999999997</v>
      </c>
    </row>
    <row r="421" spans="1:47">
      <c r="A421" s="43">
        <f>TBL_TEV[[#This Row],[Data2]]</f>
        <v>45894</v>
      </c>
      <c r="B421" cm="1">
        <f t="array" ref="B421">_xlfn.XLOOKUP(_xlfn.ANCHORARRAY(A421), TBL_Limiti_CDA[Data], TBL_Limiti_CDA[Etica Rendita Bilanciata], , -1)</f>
        <v>2.5</v>
      </c>
      <c r="C421" cm="1">
        <f t="array" ref="C421">_xlfn.XLOOKUP(_xlfn.ANCHORARRAY(A421), TBL_Limiti_CDA[Data], TBL_Limiti_CDA[Etica Obbligazionario Breve Termine], , -1)</f>
        <v>0.5</v>
      </c>
      <c r="D421" cm="1">
        <f t="array" ref="D421">_xlfn.XLOOKUP(_xlfn.ANCHORARRAY(A421), TBL_Limiti_CDA[Data], TBL_Limiti_CDA[Etica Obbligazionario Misto], , -1)</f>
        <v>1</v>
      </c>
      <c r="E421" cm="1">
        <f t="array" ref="E421">_xlfn.XLOOKUP(_xlfn.ANCHORARRAY(A421), TBL_Limiti_CDA[Data], TBL_Limiti_CDA[Etica Bilanciato], , -1)</f>
        <v>3</v>
      </c>
      <c r="F421" cm="1">
        <f t="array" ref="F421">_xlfn.XLOOKUP(_xlfn.ANCHORARRAY(A421), TBL_Limiti_CDA[Data], TBL_Limiti_CDA[Etica Azionario], , -1)</f>
        <v>4.5</v>
      </c>
      <c r="G421" cm="1">
        <f t="array" ref="G421">_xlfn.XLOOKUP(_xlfn.ANCHORARRAY(A421), TBL_Limiti_CDA[Data], TBL_Limiti_CDA[Etica Transizione Climatica], , -1)</f>
        <v>3.5</v>
      </c>
      <c r="H421" cm="1">
        <f t="array" ref="H421">_xlfn.XLOOKUP(_xlfn.ANCHORARRAY(A421), TBL_Limiti_CDA[Data], TBL_Limiti_CDA[Etica Obiettivo Sociale], , -1)</f>
        <v>9.99</v>
      </c>
      <c r="I421" cm="1">
        <f t="array" ref="I421">_xlfn.XLOOKUP(_xlfn.ANCHORARRAY(A421), TBL_Limiti_CDA[Data], TBL_Limiti_CDA[Etica Conservative Allocation], , -1)</f>
        <v>1</v>
      </c>
      <c r="J421" cm="1">
        <f t="array" ref="J421">_xlfn.XLOOKUP(_xlfn.ANCHORARRAY(A421), TBL_Limiti_CDA[Data], TBL_Limiti_CDA[Etica Dynamic Allocation], , -1)</f>
        <v>3</v>
      </c>
      <c r="K421" cm="1">
        <f t="array" ref="K421">_xlfn.XLOOKUP(_xlfn.ANCHORARRAY(A421), TBL_Limiti_CDA[Data], TBL_Limiti_CDA[Etica Global Equity], , -1)</f>
        <v>4.5</v>
      </c>
      <c r="L421" cm="1">
        <f t="array" ref="L421">_xlfn.ANCHORARRAY(B421)+0.15</f>
        <v>2.65</v>
      </c>
      <c r="M421" cm="1">
        <f t="array" ref="M421">_xlfn.ANCHORARRAY(C421)+0.1</f>
        <v>0.6</v>
      </c>
      <c r="N421" cm="1">
        <f t="array" ref="N421">_xlfn.ANCHORARRAY(D421)+0.15</f>
        <v>1.1499999999999999</v>
      </c>
      <c r="O421" cm="1">
        <f t="array" ref="O421">_xlfn.ANCHORARRAY(E421)+0.15</f>
        <v>3.15</v>
      </c>
      <c r="P421" cm="1">
        <f t="array" ref="P421">_xlfn.ANCHORARRAY(F421)+0.15</f>
        <v>4.6500000000000004</v>
      </c>
      <c r="Q421" cm="1">
        <f t="array" ref="Q421">_xlfn.ANCHORARRAY(G421)+0.15</f>
        <v>3.65</v>
      </c>
      <c r="R421" cm="1">
        <f t="array" ref="R421">_xlfn.ANCHORARRAY(H421)</f>
        <v>9.99</v>
      </c>
      <c r="S421" cm="1">
        <f t="array" ref="S421">_xlfn.ANCHORARRAY(R421)+0.15</f>
        <v>10.14</v>
      </c>
      <c r="T421" cm="1">
        <f t="array" ref="T421">_xlfn.ANCHORARRAY(I421)+0.15</f>
        <v>1.1499999999999999</v>
      </c>
      <c r="U421" cm="1">
        <f t="array" ref="U421">_xlfn.ANCHORARRAY(J421)+0.15</f>
        <v>3.15</v>
      </c>
      <c r="V421" cm="1">
        <f t="array" ref="V421">_xlfn.ANCHORARRAY(K421)+0.15</f>
        <v>4.6500000000000004</v>
      </c>
      <c r="W421">
        <f>TBL_TEV[[#This Row],[Etica Rendita Bilanciata]]</f>
        <v>1.525223</v>
      </c>
      <c r="X421">
        <f>TBL_TEV[[#This Row],[Etica Obbligazionario Breve Termine]]</f>
        <v>0.26256400000000002</v>
      </c>
      <c r="Y421">
        <f>TBL_TEV[[#This Row],[Etica Obbligazionario Misto]]</f>
        <v>0.79197899999999999</v>
      </c>
      <c r="Z421">
        <f>TBL_TEV[[#This Row],[Etica Bilanciato]]</f>
        <v>2.14798</v>
      </c>
      <c r="AA421">
        <f>TBL_TEV[[#This Row],[Etica Azionario]]</f>
        <v>3.035682</v>
      </c>
      <c r="AB421">
        <f>TBL_TEV[[#This Row],[Etica Transizione Climatica]]</f>
        <v>2.3630789999999999</v>
      </c>
      <c r="AC421">
        <f>TBL_TEV[[#This Row],[Etica Obiettivo Sociale]]</f>
        <v>7.2797716851885079</v>
      </c>
      <c r="AD421">
        <f>TBL_TEV[[#This Row],[Etica Conservative Allocation]]</f>
        <v>0.59624699999999997</v>
      </c>
      <c r="AE421">
        <f>TBL_TEV[[#This Row],[Etica Dynamic Allocation]]</f>
        <v>2.6754899999999999</v>
      </c>
      <c r="AF421">
        <f>TBL_TEV[[#This Row],[Etica Global Equity]]</f>
        <v>4.0686359999999997</v>
      </c>
      <c r="AL421">
        <f ca="1"/>
        <v>1.524429</v>
      </c>
      <c r="AM421">
        <f ca="1"/>
        <v>0.26161200000000001</v>
      </c>
      <c r="AN421">
        <f ca="1"/>
        <v>0.79404300000000005</v>
      </c>
      <c r="AO421">
        <f ca="1"/>
        <v>2.1497259999999998</v>
      </c>
      <c r="AP421">
        <f ca="1"/>
        <v>3.036476</v>
      </c>
      <c r="AQ421">
        <f ca="1"/>
        <v>2.3699050000000002</v>
      </c>
      <c r="AR421">
        <f ca="1"/>
        <v>7.3901983707021293</v>
      </c>
      <c r="AS421">
        <f ca="1"/>
        <v>0.59291300000000002</v>
      </c>
      <c r="AT421">
        <f ca="1"/>
        <v>2.6702509999999999</v>
      </c>
      <c r="AU421">
        <f ca="1"/>
        <v>4.0611750000000004</v>
      </c>
    </row>
    <row r="422" spans="1:47">
      <c r="A422" s="43">
        <f>TBL_TEV[[#This Row],[Data2]]</f>
        <v>45895</v>
      </c>
      <c r="B422" cm="1">
        <f t="array" ref="B422">_xlfn.XLOOKUP(_xlfn.ANCHORARRAY(A422), TBL_Limiti_CDA[Data], TBL_Limiti_CDA[Etica Rendita Bilanciata], , -1)</f>
        <v>2.5</v>
      </c>
      <c r="C422" cm="1">
        <f t="array" ref="C422">_xlfn.XLOOKUP(_xlfn.ANCHORARRAY(A422), TBL_Limiti_CDA[Data], TBL_Limiti_CDA[Etica Obbligazionario Breve Termine], , -1)</f>
        <v>0.5</v>
      </c>
      <c r="D422" cm="1">
        <f t="array" ref="D422">_xlfn.XLOOKUP(_xlfn.ANCHORARRAY(A422), TBL_Limiti_CDA[Data], TBL_Limiti_CDA[Etica Obbligazionario Misto], , -1)</f>
        <v>1</v>
      </c>
      <c r="E422" cm="1">
        <f t="array" ref="E422">_xlfn.XLOOKUP(_xlfn.ANCHORARRAY(A422), TBL_Limiti_CDA[Data], TBL_Limiti_CDA[Etica Bilanciato], , -1)</f>
        <v>3</v>
      </c>
      <c r="F422" cm="1">
        <f t="array" ref="F422">_xlfn.XLOOKUP(_xlfn.ANCHORARRAY(A422), TBL_Limiti_CDA[Data], TBL_Limiti_CDA[Etica Azionario], , -1)</f>
        <v>4.5</v>
      </c>
      <c r="G422" cm="1">
        <f t="array" ref="G422">_xlfn.XLOOKUP(_xlfn.ANCHORARRAY(A422), TBL_Limiti_CDA[Data], TBL_Limiti_CDA[Etica Transizione Climatica], , -1)</f>
        <v>3.5</v>
      </c>
      <c r="H422" cm="1">
        <f t="array" ref="H422">_xlfn.XLOOKUP(_xlfn.ANCHORARRAY(A422), TBL_Limiti_CDA[Data], TBL_Limiti_CDA[Etica Obiettivo Sociale], , -1)</f>
        <v>9.99</v>
      </c>
      <c r="I422" cm="1">
        <f t="array" ref="I422">_xlfn.XLOOKUP(_xlfn.ANCHORARRAY(A422), TBL_Limiti_CDA[Data], TBL_Limiti_CDA[Etica Conservative Allocation], , -1)</f>
        <v>1</v>
      </c>
      <c r="J422" cm="1">
        <f t="array" ref="J422">_xlfn.XLOOKUP(_xlfn.ANCHORARRAY(A422), TBL_Limiti_CDA[Data], TBL_Limiti_CDA[Etica Dynamic Allocation], , -1)</f>
        <v>3</v>
      </c>
      <c r="K422" cm="1">
        <f t="array" ref="K422">_xlfn.XLOOKUP(_xlfn.ANCHORARRAY(A422), TBL_Limiti_CDA[Data], TBL_Limiti_CDA[Etica Global Equity], , -1)</f>
        <v>4.5</v>
      </c>
      <c r="L422" cm="1">
        <f t="array" ref="L422">_xlfn.ANCHORARRAY(B422)+0.15</f>
        <v>2.65</v>
      </c>
      <c r="M422" cm="1">
        <f t="array" ref="M422">_xlfn.ANCHORARRAY(C422)+0.1</f>
        <v>0.6</v>
      </c>
      <c r="N422" cm="1">
        <f t="array" ref="N422">_xlfn.ANCHORARRAY(D422)+0.15</f>
        <v>1.1499999999999999</v>
      </c>
      <c r="O422" cm="1">
        <f t="array" ref="O422">_xlfn.ANCHORARRAY(E422)+0.15</f>
        <v>3.15</v>
      </c>
      <c r="P422" cm="1">
        <f t="array" ref="P422">_xlfn.ANCHORARRAY(F422)+0.15</f>
        <v>4.6500000000000004</v>
      </c>
      <c r="Q422" cm="1">
        <f t="array" ref="Q422">_xlfn.ANCHORARRAY(G422)+0.15</f>
        <v>3.65</v>
      </c>
      <c r="R422" cm="1">
        <f t="array" ref="R422">_xlfn.ANCHORARRAY(H422)</f>
        <v>9.99</v>
      </c>
      <c r="S422" cm="1">
        <f t="array" ref="S422">_xlfn.ANCHORARRAY(R422)+0.15</f>
        <v>10.14</v>
      </c>
      <c r="T422" cm="1">
        <f t="array" ref="T422">_xlfn.ANCHORARRAY(I422)+0.15</f>
        <v>1.1499999999999999</v>
      </c>
      <c r="U422" cm="1">
        <f t="array" ref="U422">_xlfn.ANCHORARRAY(J422)+0.15</f>
        <v>3.15</v>
      </c>
      <c r="V422" cm="1">
        <f t="array" ref="V422">_xlfn.ANCHORARRAY(K422)+0.15</f>
        <v>4.6500000000000004</v>
      </c>
      <c r="W422">
        <f>TBL_TEV[[#This Row],[Etica Rendita Bilanciata]]</f>
        <v>1.524429</v>
      </c>
      <c r="X422">
        <f>TBL_TEV[[#This Row],[Etica Obbligazionario Breve Termine]]</f>
        <v>0.26161200000000001</v>
      </c>
      <c r="Y422">
        <f>TBL_TEV[[#This Row],[Etica Obbligazionario Misto]]</f>
        <v>0.79404300000000005</v>
      </c>
      <c r="Z422">
        <f>TBL_TEV[[#This Row],[Etica Bilanciato]]</f>
        <v>2.1497259999999998</v>
      </c>
      <c r="AA422">
        <f>TBL_TEV[[#This Row],[Etica Azionario]]</f>
        <v>3.036476</v>
      </c>
      <c r="AB422">
        <f>TBL_TEV[[#This Row],[Etica Transizione Climatica]]</f>
        <v>2.3699050000000002</v>
      </c>
      <c r="AC422">
        <f>TBL_TEV[[#This Row],[Etica Obiettivo Sociale]]</f>
        <v>7.3901983707021293</v>
      </c>
      <c r="AD422">
        <f>TBL_TEV[[#This Row],[Etica Conservative Allocation]]</f>
        <v>0.59291300000000002</v>
      </c>
      <c r="AE422">
        <f>TBL_TEV[[#This Row],[Etica Dynamic Allocation]]</f>
        <v>2.6702509999999999</v>
      </c>
      <c r="AF422">
        <f>TBL_TEV[[#This Row],[Etica Global Equity]]</f>
        <v>4.0611750000000004</v>
      </c>
      <c r="AL422">
        <f ca="1"/>
        <v>1.52173</v>
      </c>
      <c r="AM422">
        <f ca="1"/>
        <v>0.26081799999999999</v>
      </c>
      <c r="AN422">
        <f ca="1"/>
        <v>0.79181999999999997</v>
      </c>
      <c r="AO422">
        <f ca="1"/>
        <v>2.1403599999999998</v>
      </c>
      <c r="AP422">
        <f ca="1"/>
        <v>3.0207600000000001</v>
      </c>
      <c r="AQ422">
        <f ca="1"/>
        <v>2.3643489999999998</v>
      </c>
      <c r="AR422">
        <f ca="1"/>
        <v>7.3684206820753939</v>
      </c>
      <c r="AS422">
        <f ca="1"/>
        <v>0.591167</v>
      </c>
      <c r="AT422">
        <f ca="1"/>
        <v>2.6677110000000002</v>
      </c>
      <c r="AU422">
        <f ca="1"/>
        <v>4.0648260000000001</v>
      </c>
    </row>
    <row r="423" spans="1:47">
      <c r="A423" s="43">
        <f>TBL_TEV[[#This Row],[Data2]]</f>
        <v>45896</v>
      </c>
      <c r="B423" cm="1">
        <f t="array" ref="B423">_xlfn.XLOOKUP(_xlfn.ANCHORARRAY(A423), TBL_Limiti_CDA[Data], TBL_Limiti_CDA[Etica Rendita Bilanciata], , -1)</f>
        <v>2.5</v>
      </c>
      <c r="C423" cm="1">
        <f t="array" ref="C423">_xlfn.XLOOKUP(_xlfn.ANCHORARRAY(A423), TBL_Limiti_CDA[Data], TBL_Limiti_CDA[Etica Obbligazionario Breve Termine], , -1)</f>
        <v>0.5</v>
      </c>
      <c r="D423" cm="1">
        <f t="array" ref="D423">_xlfn.XLOOKUP(_xlfn.ANCHORARRAY(A423), TBL_Limiti_CDA[Data], TBL_Limiti_CDA[Etica Obbligazionario Misto], , -1)</f>
        <v>1</v>
      </c>
      <c r="E423" cm="1">
        <f t="array" ref="E423">_xlfn.XLOOKUP(_xlfn.ANCHORARRAY(A423), TBL_Limiti_CDA[Data], TBL_Limiti_CDA[Etica Bilanciato], , -1)</f>
        <v>3</v>
      </c>
      <c r="F423" cm="1">
        <f t="array" ref="F423">_xlfn.XLOOKUP(_xlfn.ANCHORARRAY(A423), TBL_Limiti_CDA[Data], TBL_Limiti_CDA[Etica Azionario], , -1)</f>
        <v>4.5</v>
      </c>
      <c r="G423" cm="1">
        <f t="array" ref="G423">_xlfn.XLOOKUP(_xlfn.ANCHORARRAY(A423), TBL_Limiti_CDA[Data], TBL_Limiti_CDA[Etica Transizione Climatica], , -1)</f>
        <v>3.5</v>
      </c>
      <c r="H423" cm="1">
        <f t="array" ref="H423">_xlfn.XLOOKUP(_xlfn.ANCHORARRAY(A423), TBL_Limiti_CDA[Data], TBL_Limiti_CDA[Etica Obiettivo Sociale], , -1)</f>
        <v>9.99</v>
      </c>
      <c r="I423" cm="1">
        <f t="array" ref="I423">_xlfn.XLOOKUP(_xlfn.ANCHORARRAY(A423), TBL_Limiti_CDA[Data], TBL_Limiti_CDA[Etica Conservative Allocation], , -1)</f>
        <v>1</v>
      </c>
      <c r="J423" cm="1">
        <f t="array" ref="J423">_xlfn.XLOOKUP(_xlfn.ANCHORARRAY(A423), TBL_Limiti_CDA[Data], TBL_Limiti_CDA[Etica Dynamic Allocation], , -1)</f>
        <v>3</v>
      </c>
      <c r="K423" cm="1">
        <f t="array" ref="K423">_xlfn.XLOOKUP(_xlfn.ANCHORARRAY(A423), TBL_Limiti_CDA[Data], TBL_Limiti_CDA[Etica Global Equity], , -1)</f>
        <v>4.5</v>
      </c>
      <c r="L423" cm="1">
        <f t="array" ref="L423">_xlfn.ANCHORARRAY(B423)+0.15</f>
        <v>2.65</v>
      </c>
      <c r="M423" cm="1">
        <f t="array" ref="M423">_xlfn.ANCHORARRAY(C423)+0.1</f>
        <v>0.6</v>
      </c>
      <c r="N423" cm="1">
        <f t="array" ref="N423">_xlfn.ANCHORARRAY(D423)+0.15</f>
        <v>1.1499999999999999</v>
      </c>
      <c r="O423" cm="1">
        <f t="array" ref="O423">_xlfn.ANCHORARRAY(E423)+0.15</f>
        <v>3.15</v>
      </c>
      <c r="P423" cm="1">
        <f t="array" ref="P423">_xlfn.ANCHORARRAY(F423)+0.15</f>
        <v>4.6500000000000004</v>
      </c>
      <c r="Q423" cm="1">
        <f t="array" ref="Q423">_xlfn.ANCHORARRAY(G423)+0.15</f>
        <v>3.65</v>
      </c>
      <c r="R423" cm="1">
        <f t="array" ref="R423">_xlfn.ANCHORARRAY(H423)</f>
        <v>9.99</v>
      </c>
      <c r="S423" cm="1">
        <f t="array" ref="S423">_xlfn.ANCHORARRAY(R423)+0.15</f>
        <v>10.14</v>
      </c>
      <c r="T423" cm="1">
        <f t="array" ref="T423">_xlfn.ANCHORARRAY(I423)+0.15</f>
        <v>1.1499999999999999</v>
      </c>
      <c r="U423" cm="1">
        <f t="array" ref="U423">_xlfn.ANCHORARRAY(J423)+0.15</f>
        <v>3.15</v>
      </c>
      <c r="V423" cm="1">
        <f t="array" ref="V423">_xlfn.ANCHORARRAY(K423)+0.15</f>
        <v>4.6500000000000004</v>
      </c>
      <c r="W423">
        <f>TBL_TEV[[#This Row],[Etica Rendita Bilanciata]]</f>
        <v>1.52173</v>
      </c>
      <c r="X423">
        <f>TBL_TEV[[#This Row],[Etica Obbligazionario Breve Termine]]</f>
        <v>0.26081799999999999</v>
      </c>
      <c r="Y423">
        <f>TBL_TEV[[#This Row],[Etica Obbligazionario Misto]]</f>
        <v>0.79181999999999997</v>
      </c>
      <c r="Z423">
        <f>TBL_TEV[[#This Row],[Etica Bilanciato]]</f>
        <v>2.1403599999999998</v>
      </c>
      <c r="AA423">
        <f>TBL_TEV[[#This Row],[Etica Azionario]]</f>
        <v>3.0207600000000001</v>
      </c>
      <c r="AB423">
        <f>TBL_TEV[[#This Row],[Etica Transizione Climatica]]</f>
        <v>2.3643489999999998</v>
      </c>
      <c r="AC423">
        <f>TBL_TEV[[#This Row],[Etica Obiettivo Sociale]]</f>
        <v>7.3684206820753939</v>
      </c>
      <c r="AD423">
        <f>TBL_TEV[[#This Row],[Etica Conservative Allocation]]</f>
        <v>0.591167</v>
      </c>
      <c r="AE423">
        <f>TBL_TEV[[#This Row],[Etica Dynamic Allocation]]</f>
        <v>2.6677110000000002</v>
      </c>
      <c r="AF423">
        <f>TBL_TEV[[#This Row],[Etica Global Equity]]</f>
        <v>4.0648260000000001</v>
      </c>
      <c r="AL423">
        <f ca="1"/>
        <v>1.530303</v>
      </c>
      <c r="AM423">
        <f ca="1"/>
        <v>0.26081799999999999</v>
      </c>
      <c r="AN423">
        <f ca="1"/>
        <v>0.794678</v>
      </c>
      <c r="AO423">
        <f ca="1"/>
        <v>2.1506780000000001</v>
      </c>
      <c r="AP423">
        <f ca="1"/>
        <v>3.0420319999999998</v>
      </c>
      <c r="AQ423">
        <f ca="1"/>
        <v>2.35419</v>
      </c>
      <c r="AR423">
        <f ca="1"/>
        <v>7.3323973646894416</v>
      </c>
      <c r="AS423">
        <f ca="1"/>
        <v>0.59434200000000004</v>
      </c>
      <c r="AT423">
        <f ca="1"/>
        <v>2.6888239999999999</v>
      </c>
      <c r="AU423">
        <f ca="1"/>
        <v>4.0892730000000004</v>
      </c>
    </row>
    <row r="424" spans="1:47">
      <c r="A424" s="43">
        <f>TBL_TEV[[#This Row],[Data2]]</f>
        <v>45897</v>
      </c>
      <c r="B424" cm="1">
        <f t="array" ref="B424">_xlfn.XLOOKUP(_xlfn.ANCHORARRAY(A424), TBL_Limiti_CDA[Data], TBL_Limiti_CDA[Etica Rendita Bilanciata], , -1)</f>
        <v>2.5</v>
      </c>
      <c r="C424" cm="1">
        <f t="array" ref="C424">_xlfn.XLOOKUP(_xlfn.ANCHORARRAY(A424), TBL_Limiti_CDA[Data], TBL_Limiti_CDA[Etica Obbligazionario Breve Termine], , -1)</f>
        <v>0.5</v>
      </c>
      <c r="D424" cm="1">
        <f t="array" ref="D424">_xlfn.XLOOKUP(_xlfn.ANCHORARRAY(A424), TBL_Limiti_CDA[Data], TBL_Limiti_CDA[Etica Obbligazionario Misto], , -1)</f>
        <v>1</v>
      </c>
      <c r="E424" cm="1">
        <f t="array" ref="E424">_xlfn.XLOOKUP(_xlfn.ANCHORARRAY(A424), TBL_Limiti_CDA[Data], TBL_Limiti_CDA[Etica Bilanciato], , -1)</f>
        <v>3</v>
      </c>
      <c r="F424" cm="1">
        <f t="array" ref="F424">_xlfn.XLOOKUP(_xlfn.ANCHORARRAY(A424), TBL_Limiti_CDA[Data], TBL_Limiti_CDA[Etica Azionario], , -1)</f>
        <v>4.5</v>
      </c>
      <c r="G424" cm="1">
        <f t="array" ref="G424">_xlfn.XLOOKUP(_xlfn.ANCHORARRAY(A424), TBL_Limiti_CDA[Data], TBL_Limiti_CDA[Etica Transizione Climatica], , -1)</f>
        <v>3.5</v>
      </c>
      <c r="H424" cm="1">
        <f t="array" ref="H424">_xlfn.XLOOKUP(_xlfn.ANCHORARRAY(A424), TBL_Limiti_CDA[Data], TBL_Limiti_CDA[Etica Obiettivo Sociale], , -1)</f>
        <v>9.99</v>
      </c>
      <c r="I424" cm="1">
        <f t="array" ref="I424">_xlfn.XLOOKUP(_xlfn.ANCHORARRAY(A424), TBL_Limiti_CDA[Data], TBL_Limiti_CDA[Etica Conservative Allocation], , -1)</f>
        <v>1</v>
      </c>
      <c r="J424" cm="1">
        <f t="array" ref="J424">_xlfn.XLOOKUP(_xlfn.ANCHORARRAY(A424), TBL_Limiti_CDA[Data], TBL_Limiti_CDA[Etica Dynamic Allocation], , -1)</f>
        <v>3</v>
      </c>
      <c r="K424" cm="1">
        <f t="array" ref="K424">_xlfn.XLOOKUP(_xlfn.ANCHORARRAY(A424), TBL_Limiti_CDA[Data], TBL_Limiti_CDA[Etica Global Equity], , -1)</f>
        <v>4.5</v>
      </c>
      <c r="L424" cm="1">
        <f t="array" ref="L424">_xlfn.ANCHORARRAY(B424)+0.15</f>
        <v>2.65</v>
      </c>
      <c r="M424" cm="1">
        <f t="array" ref="M424">_xlfn.ANCHORARRAY(C424)+0.1</f>
        <v>0.6</v>
      </c>
      <c r="N424" cm="1">
        <f t="array" ref="N424">_xlfn.ANCHORARRAY(D424)+0.15</f>
        <v>1.1499999999999999</v>
      </c>
      <c r="O424" cm="1">
        <f t="array" ref="O424">_xlfn.ANCHORARRAY(E424)+0.15</f>
        <v>3.15</v>
      </c>
      <c r="P424" cm="1">
        <f t="array" ref="P424">_xlfn.ANCHORARRAY(F424)+0.15</f>
        <v>4.6500000000000004</v>
      </c>
      <c r="Q424" cm="1">
        <f t="array" ref="Q424">_xlfn.ANCHORARRAY(G424)+0.15</f>
        <v>3.65</v>
      </c>
      <c r="R424" cm="1">
        <f t="array" ref="R424">_xlfn.ANCHORARRAY(H424)</f>
        <v>9.99</v>
      </c>
      <c r="S424" cm="1">
        <f t="array" ref="S424">_xlfn.ANCHORARRAY(R424)+0.15</f>
        <v>10.14</v>
      </c>
      <c r="T424" cm="1">
        <f t="array" ref="T424">_xlfn.ANCHORARRAY(I424)+0.15</f>
        <v>1.1499999999999999</v>
      </c>
      <c r="U424" cm="1">
        <f t="array" ref="U424">_xlfn.ANCHORARRAY(J424)+0.15</f>
        <v>3.15</v>
      </c>
      <c r="V424" cm="1">
        <f t="array" ref="V424">_xlfn.ANCHORARRAY(K424)+0.15</f>
        <v>4.6500000000000004</v>
      </c>
      <c r="W424">
        <f>TBL_TEV[[#This Row],[Etica Rendita Bilanciata]]</f>
        <v>1.530303</v>
      </c>
      <c r="X424">
        <f>TBL_TEV[[#This Row],[Etica Obbligazionario Breve Termine]]</f>
        <v>0.26081799999999999</v>
      </c>
      <c r="Y424">
        <f>TBL_TEV[[#This Row],[Etica Obbligazionario Misto]]</f>
        <v>0.794678</v>
      </c>
      <c r="Z424">
        <f>TBL_TEV[[#This Row],[Etica Bilanciato]]</f>
        <v>2.1506780000000001</v>
      </c>
      <c r="AA424">
        <f>TBL_TEV[[#This Row],[Etica Azionario]]</f>
        <v>3.0420319999999998</v>
      </c>
      <c r="AB424">
        <f>TBL_TEV[[#This Row],[Etica Transizione Climatica]]</f>
        <v>2.35419</v>
      </c>
      <c r="AC424">
        <f>TBL_TEV[[#This Row],[Etica Obiettivo Sociale]]</f>
        <v>7.3323973646894416</v>
      </c>
      <c r="AD424">
        <f>TBL_TEV[[#This Row],[Etica Conservative Allocation]]</f>
        <v>0.59434200000000004</v>
      </c>
      <c r="AE424">
        <f>TBL_TEV[[#This Row],[Etica Dynamic Allocation]]</f>
        <v>2.6888239999999999</v>
      </c>
      <c r="AF424">
        <f>TBL_TEV[[#This Row],[Etica Global Equity]]</f>
        <v>4.0892730000000004</v>
      </c>
      <c r="AL424">
        <f ca="1"/>
        <v>1.518397</v>
      </c>
      <c r="AM424">
        <f ca="1"/>
        <v>0.244944</v>
      </c>
      <c r="AN424">
        <f ca="1"/>
        <v>0.777057</v>
      </c>
      <c r="AO424">
        <f ca="1"/>
        <v>2.1403599999999998</v>
      </c>
      <c r="AP424">
        <f ca="1"/>
        <v>3.0301260000000001</v>
      </c>
      <c r="AQ424">
        <f ca="1"/>
        <v>2.3211710000000001</v>
      </c>
      <c r="AR424">
        <f ca="1"/>
        <v>7.2378885951596006</v>
      </c>
      <c r="AS424">
        <f ca="1"/>
        <v>0.58164199999999999</v>
      </c>
      <c r="AT424">
        <f ca="1"/>
        <v>2.6761249999999999</v>
      </c>
      <c r="AU424">
        <f ca="1"/>
        <v>4.0678429999999999</v>
      </c>
    </row>
    <row r="425" spans="1:47">
      <c r="A425" s="43">
        <f>TBL_TEV[[#This Row],[Data2]]</f>
        <v>45898</v>
      </c>
      <c r="B425" cm="1">
        <f t="array" ref="B425">_xlfn.XLOOKUP(_xlfn.ANCHORARRAY(A425), TBL_Limiti_CDA[Data], TBL_Limiti_CDA[Etica Rendita Bilanciata], , -1)</f>
        <v>2.5</v>
      </c>
      <c r="C425" cm="1">
        <f t="array" ref="C425">_xlfn.XLOOKUP(_xlfn.ANCHORARRAY(A425), TBL_Limiti_CDA[Data], TBL_Limiti_CDA[Etica Obbligazionario Breve Termine], , -1)</f>
        <v>0.5</v>
      </c>
      <c r="D425" cm="1">
        <f t="array" ref="D425">_xlfn.XLOOKUP(_xlfn.ANCHORARRAY(A425), TBL_Limiti_CDA[Data], TBL_Limiti_CDA[Etica Obbligazionario Misto], , -1)</f>
        <v>1</v>
      </c>
      <c r="E425" cm="1">
        <f t="array" ref="E425">_xlfn.XLOOKUP(_xlfn.ANCHORARRAY(A425), TBL_Limiti_CDA[Data], TBL_Limiti_CDA[Etica Bilanciato], , -1)</f>
        <v>3</v>
      </c>
      <c r="F425" cm="1">
        <f t="array" ref="F425">_xlfn.XLOOKUP(_xlfn.ANCHORARRAY(A425), TBL_Limiti_CDA[Data], TBL_Limiti_CDA[Etica Azionario], , -1)</f>
        <v>4.5</v>
      </c>
      <c r="G425" cm="1">
        <f t="array" ref="G425">_xlfn.XLOOKUP(_xlfn.ANCHORARRAY(A425), TBL_Limiti_CDA[Data], TBL_Limiti_CDA[Etica Transizione Climatica], , -1)</f>
        <v>3.5</v>
      </c>
      <c r="H425" cm="1">
        <f t="array" ref="H425">_xlfn.XLOOKUP(_xlfn.ANCHORARRAY(A425), TBL_Limiti_CDA[Data], TBL_Limiti_CDA[Etica Obiettivo Sociale], , -1)</f>
        <v>9.99</v>
      </c>
      <c r="I425" cm="1">
        <f t="array" ref="I425">_xlfn.XLOOKUP(_xlfn.ANCHORARRAY(A425), TBL_Limiti_CDA[Data], TBL_Limiti_CDA[Etica Conservative Allocation], , -1)</f>
        <v>1</v>
      </c>
      <c r="J425" cm="1">
        <f t="array" ref="J425">_xlfn.XLOOKUP(_xlfn.ANCHORARRAY(A425), TBL_Limiti_CDA[Data], TBL_Limiti_CDA[Etica Dynamic Allocation], , -1)</f>
        <v>3</v>
      </c>
      <c r="K425" cm="1">
        <f t="array" ref="K425">_xlfn.XLOOKUP(_xlfn.ANCHORARRAY(A425), TBL_Limiti_CDA[Data], TBL_Limiti_CDA[Etica Global Equity], , -1)</f>
        <v>4.5</v>
      </c>
      <c r="L425" cm="1">
        <f t="array" ref="L425">_xlfn.ANCHORARRAY(B425)+0.15</f>
        <v>2.65</v>
      </c>
      <c r="M425" cm="1">
        <f t="array" ref="M425">_xlfn.ANCHORARRAY(C425)+0.1</f>
        <v>0.6</v>
      </c>
      <c r="N425" cm="1">
        <f t="array" ref="N425">_xlfn.ANCHORARRAY(D425)+0.15</f>
        <v>1.1499999999999999</v>
      </c>
      <c r="O425" cm="1">
        <f t="array" ref="O425">_xlfn.ANCHORARRAY(E425)+0.15</f>
        <v>3.15</v>
      </c>
      <c r="P425" cm="1">
        <f t="array" ref="P425">_xlfn.ANCHORARRAY(F425)+0.15</f>
        <v>4.6500000000000004</v>
      </c>
      <c r="Q425" cm="1">
        <f t="array" ref="Q425">_xlfn.ANCHORARRAY(G425)+0.15</f>
        <v>3.65</v>
      </c>
      <c r="R425" cm="1">
        <f t="array" ref="R425">_xlfn.ANCHORARRAY(H425)</f>
        <v>9.99</v>
      </c>
      <c r="S425" cm="1">
        <f t="array" ref="S425">_xlfn.ANCHORARRAY(R425)+0.15</f>
        <v>10.14</v>
      </c>
      <c r="T425" cm="1">
        <f t="array" ref="T425">_xlfn.ANCHORARRAY(I425)+0.15</f>
        <v>1.1499999999999999</v>
      </c>
      <c r="U425" cm="1">
        <f t="array" ref="U425">_xlfn.ANCHORARRAY(J425)+0.15</f>
        <v>3.15</v>
      </c>
      <c r="V425" cm="1">
        <f t="array" ref="V425">_xlfn.ANCHORARRAY(K425)+0.15</f>
        <v>4.6500000000000004</v>
      </c>
      <c r="W425">
        <f>TBL_TEV[[#This Row],[Etica Rendita Bilanciata]]</f>
        <v>1.518397</v>
      </c>
      <c r="X425">
        <f>TBL_TEV[[#This Row],[Etica Obbligazionario Breve Termine]]</f>
        <v>0.244944</v>
      </c>
      <c r="Y425">
        <f>TBL_TEV[[#This Row],[Etica Obbligazionario Misto]]</f>
        <v>0.777057</v>
      </c>
      <c r="Z425">
        <f>TBL_TEV[[#This Row],[Etica Bilanciato]]</f>
        <v>2.1403599999999998</v>
      </c>
      <c r="AA425">
        <f>TBL_TEV[[#This Row],[Etica Azionario]]</f>
        <v>3.0301260000000001</v>
      </c>
      <c r="AB425">
        <f>TBL_TEV[[#This Row],[Etica Transizione Climatica]]</f>
        <v>2.3211710000000001</v>
      </c>
      <c r="AC425">
        <f>TBL_TEV[[#This Row],[Etica Obiettivo Sociale]]</f>
        <v>7.2378885951596006</v>
      </c>
      <c r="AD425">
        <f>TBL_TEV[[#This Row],[Etica Conservative Allocation]]</f>
        <v>0.58164199999999999</v>
      </c>
      <c r="AE425">
        <f>TBL_TEV[[#This Row],[Etica Dynamic Allocation]]</f>
        <v>2.6761249999999999</v>
      </c>
      <c r="AF425">
        <f>TBL_TEV[[#This Row],[Etica Global Equity]]</f>
        <v>4.0678429999999999</v>
      </c>
      <c r="AL425">
        <f ca="1"/>
        <v>1.524905</v>
      </c>
      <c r="AM425">
        <f ca="1"/>
        <v>0.24272099999999999</v>
      </c>
      <c r="AN425">
        <f ca="1"/>
        <v>0.77658099999999997</v>
      </c>
      <c r="AO425">
        <f ca="1"/>
        <v>2.1502020000000002</v>
      </c>
      <c r="AP425">
        <f ca="1"/>
        <v>3.0393330000000001</v>
      </c>
      <c r="AQ425">
        <f ca="1"/>
        <v>2.3470460000000002</v>
      </c>
      <c r="AR425">
        <f ca="1"/>
        <v>7.1413841931145008</v>
      </c>
      <c r="AS425">
        <f ca="1"/>
        <v>0.58084800000000003</v>
      </c>
      <c r="AT425">
        <f ca="1"/>
        <v>2.6886649999999999</v>
      </c>
      <c r="AU425">
        <f ca="1"/>
        <v>4.0873679999999997</v>
      </c>
    </row>
    <row r="426" spans="1:47">
      <c r="A426" s="43">
        <f>TBL_TEV[[#This Row],[Data2]]</f>
        <v>45901</v>
      </c>
      <c r="B426" cm="1">
        <f t="array" ref="B426">_xlfn.XLOOKUP(_xlfn.ANCHORARRAY(A426), TBL_Limiti_CDA[Data], TBL_Limiti_CDA[Etica Rendita Bilanciata], , -1)</f>
        <v>2.5</v>
      </c>
      <c r="C426" cm="1">
        <f t="array" ref="C426">_xlfn.XLOOKUP(_xlfn.ANCHORARRAY(A426), TBL_Limiti_CDA[Data], TBL_Limiti_CDA[Etica Obbligazionario Breve Termine], , -1)</f>
        <v>0.5</v>
      </c>
      <c r="D426" cm="1">
        <f t="array" ref="D426">_xlfn.XLOOKUP(_xlfn.ANCHORARRAY(A426), TBL_Limiti_CDA[Data], TBL_Limiti_CDA[Etica Obbligazionario Misto], , -1)</f>
        <v>1</v>
      </c>
      <c r="E426" cm="1">
        <f t="array" ref="E426">_xlfn.XLOOKUP(_xlfn.ANCHORARRAY(A426), TBL_Limiti_CDA[Data], TBL_Limiti_CDA[Etica Bilanciato], , -1)</f>
        <v>3</v>
      </c>
      <c r="F426" cm="1">
        <f t="array" ref="F426">_xlfn.XLOOKUP(_xlfn.ANCHORARRAY(A426), TBL_Limiti_CDA[Data], TBL_Limiti_CDA[Etica Azionario], , -1)</f>
        <v>4.5</v>
      </c>
      <c r="G426" cm="1">
        <f t="array" ref="G426">_xlfn.XLOOKUP(_xlfn.ANCHORARRAY(A426), TBL_Limiti_CDA[Data], TBL_Limiti_CDA[Etica Transizione Climatica], , -1)</f>
        <v>3.5</v>
      </c>
      <c r="H426" cm="1">
        <f t="array" ref="H426">_xlfn.XLOOKUP(_xlfn.ANCHORARRAY(A426), TBL_Limiti_CDA[Data], TBL_Limiti_CDA[Etica Obiettivo Sociale], , -1)</f>
        <v>9.99</v>
      </c>
      <c r="I426" cm="1">
        <f t="array" ref="I426">_xlfn.XLOOKUP(_xlfn.ANCHORARRAY(A426), TBL_Limiti_CDA[Data], TBL_Limiti_CDA[Etica Conservative Allocation], , -1)</f>
        <v>1</v>
      </c>
      <c r="J426" cm="1">
        <f t="array" ref="J426">_xlfn.XLOOKUP(_xlfn.ANCHORARRAY(A426), TBL_Limiti_CDA[Data], TBL_Limiti_CDA[Etica Dynamic Allocation], , -1)</f>
        <v>3</v>
      </c>
      <c r="K426" cm="1">
        <f t="array" ref="K426">_xlfn.XLOOKUP(_xlfn.ANCHORARRAY(A426), TBL_Limiti_CDA[Data], TBL_Limiti_CDA[Etica Global Equity], , -1)</f>
        <v>4.5</v>
      </c>
      <c r="L426" cm="1">
        <f t="array" ref="L426">_xlfn.ANCHORARRAY(B426)+0.15</f>
        <v>2.65</v>
      </c>
      <c r="M426" cm="1">
        <f t="array" ref="M426">_xlfn.ANCHORARRAY(C426)+0.1</f>
        <v>0.6</v>
      </c>
      <c r="N426" cm="1">
        <f t="array" ref="N426">_xlfn.ANCHORARRAY(D426)+0.15</f>
        <v>1.1499999999999999</v>
      </c>
      <c r="O426" cm="1">
        <f t="array" ref="O426">_xlfn.ANCHORARRAY(E426)+0.15</f>
        <v>3.15</v>
      </c>
      <c r="P426" cm="1">
        <f t="array" ref="P426">_xlfn.ANCHORARRAY(F426)+0.15</f>
        <v>4.6500000000000004</v>
      </c>
      <c r="Q426" cm="1">
        <f t="array" ref="Q426">_xlfn.ANCHORARRAY(G426)+0.15</f>
        <v>3.65</v>
      </c>
      <c r="R426" cm="1">
        <f t="array" ref="R426">_xlfn.ANCHORARRAY(H426)</f>
        <v>9.99</v>
      </c>
      <c r="S426" cm="1">
        <f t="array" ref="S426">_xlfn.ANCHORARRAY(R426)+0.15</f>
        <v>10.14</v>
      </c>
      <c r="T426" cm="1">
        <f t="array" ref="T426">_xlfn.ANCHORARRAY(I426)+0.15</f>
        <v>1.1499999999999999</v>
      </c>
      <c r="U426" cm="1">
        <f t="array" ref="U426">_xlfn.ANCHORARRAY(J426)+0.15</f>
        <v>3.15</v>
      </c>
      <c r="V426" cm="1">
        <f t="array" ref="V426">_xlfn.ANCHORARRAY(K426)+0.15</f>
        <v>4.6500000000000004</v>
      </c>
      <c r="W426">
        <f>TBL_TEV[[#This Row],[Etica Rendita Bilanciata]]</f>
        <v>1.524905</v>
      </c>
      <c r="X426">
        <f>TBL_TEV[[#This Row],[Etica Obbligazionario Breve Termine]]</f>
        <v>0.24272099999999999</v>
      </c>
      <c r="Y426">
        <f>TBL_TEV[[#This Row],[Etica Obbligazionario Misto]]</f>
        <v>0.77658099999999997</v>
      </c>
      <c r="Z426">
        <f>TBL_TEV[[#This Row],[Etica Bilanciato]]</f>
        <v>2.1502020000000002</v>
      </c>
      <c r="AA426">
        <f>TBL_TEV[[#This Row],[Etica Azionario]]</f>
        <v>3.0393330000000001</v>
      </c>
      <c r="AB426">
        <f>TBL_TEV[[#This Row],[Etica Transizione Climatica]]</f>
        <v>2.3470460000000002</v>
      </c>
      <c r="AC426">
        <f>TBL_TEV[[#This Row],[Etica Obiettivo Sociale]]</f>
        <v>7.1413841931145008</v>
      </c>
      <c r="AD426">
        <f>TBL_TEV[[#This Row],[Etica Conservative Allocation]]</f>
        <v>0.58084800000000003</v>
      </c>
      <c r="AE426">
        <f>TBL_TEV[[#This Row],[Etica Dynamic Allocation]]</f>
        <v>2.6886649999999999</v>
      </c>
      <c r="AF426">
        <f>TBL_TEV[[#This Row],[Etica Global Equity]]</f>
        <v>4.0873679999999997</v>
      </c>
      <c r="AL426">
        <f ca="1"/>
        <v>1.5553840000000001</v>
      </c>
      <c r="AM426">
        <f ca="1"/>
        <v>0.242562</v>
      </c>
      <c r="AN426">
        <f ca="1"/>
        <v>0.78896299999999997</v>
      </c>
      <c r="AO426">
        <f ca="1"/>
        <v>2.1873480000000001</v>
      </c>
      <c r="AP426">
        <f ca="1"/>
        <v>3.1058469999999998</v>
      </c>
      <c r="AQ426">
        <f ca="1"/>
        <v>2.3527610000000001</v>
      </c>
      <c r="AR426">
        <f ca="1"/>
        <v>7.1172317915306991</v>
      </c>
      <c r="AS426">
        <f ca="1"/>
        <v>0.59100799999999998</v>
      </c>
      <c r="AT426">
        <f ca="1"/>
        <v>2.7385109999999999</v>
      </c>
      <c r="AU426">
        <f ca="1"/>
        <v>4.1915050000000003</v>
      </c>
    </row>
    <row r="427" spans="1:47">
      <c r="A427" s="43">
        <f>TBL_TEV[[#This Row],[Data2]]</f>
        <v>45902</v>
      </c>
      <c r="B427" cm="1">
        <f t="array" ref="B427">_xlfn.XLOOKUP(_xlfn.ANCHORARRAY(A427), TBL_Limiti_CDA[Data], TBL_Limiti_CDA[Etica Rendita Bilanciata], , -1)</f>
        <v>2.5</v>
      </c>
      <c r="C427" cm="1">
        <f t="array" ref="C427">_xlfn.XLOOKUP(_xlfn.ANCHORARRAY(A427), TBL_Limiti_CDA[Data], TBL_Limiti_CDA[Etica Obbligazionario Breve Termine], , -1)</f>
        <v>0.5</v>
      </c>
      <c r="D427" cm="1">
        <f t="array" ref="D427">_xlfn.XLOOKUP(_xlfn.ANCHORARRAY(A427), TBL_Limiti_CDA[Data], TBL_Limiti_CDA[Etica Obbligazionario Misto], , -1)</f>
        <v>1</v>
      </c>
      <c r="E427" cm="1">
        <f t="array" ref="E427">_xlfn.XLOOKUP(_xlfn.ANCHORARRAY(A427), TBL_Limiti_CDA[Data], TBL_Limiti_CDA[Etica Bilanciato], , -1)</f>
        <v>3</v>
      </c>
      <c r="F427" cm="1">
        <f t="array" ref="F427">_xlfn.XLOOKUP(_xlfn.ANCHORARRAY(A427), TBL_Limiti_CDA[Data], TBL_Limiti_CDA[Etica Azionario], , -1)</f>
        <v>4.5</v>
      </c>
      <c r="G427" cm="1">
        <f t="array" ref="G427">_xlfn.XLOOKUP(_xlfn.ANCHORARRAY(A427), TBL_Limiti_CDA[Data], TBL_Limiti_CDA[Etica Transizione Climatica], , -1)</f>
        <v>3.5</v>
      </c>
      <c r="H427" cm="1">
        <f t="array" ref="H427">_xlfn.XLOOKUP(_xlfn.ANCHORARRAY(A427), TBL_Limiti_CDA[Data], TBL_Limiti_CDA[Etica Obiettivo Sociale], , -1)</f>
        <v>9.99</v>
      </c>
      <c r="I427" cm="1">
        <f t="array" ref="I427">_xlfn.XLOOKUP(_xlfn.ANCHORARRAY(A427), TBL_Limiti_CDA[Data], TBL_Limiti_CDA[Etica Conservative Allocation], , -1)</f>
        <v>1</v>
      </c>
      <c r="J427" cm="1">
        <f t="array" ref="J427">_xlfn.XLOOKUP(_xlfn.ANCHORARRAY(A427), TBL_Limiti_CDA[Data], TBL_Limiti_CDA[Etica Dynamic Allocation], , -1)</f>
        <v>3</v>
      </c>
      <c r="K427" cm="1">
        <f t="array" ref="K427">_xlfn.XLOOKUP(_xlfn.ANCHORARRAY(A427), TBL_Limiti_CDA[Data], TBL_Limiti_CDA[Etica Global Equity], , -1)</f>
        <v>4.5</v>
      </c>
      <c r="L427" cm="1">
        <f t="array" ref="L427">_xlfn.ANCHORARRAY(B427)+0.15</f>
        <v>2.65</v>
      </c>
      <c r="M427" cm="1">
        <f t="array" ref="M427">_xlfn.ANCHORARRAY(C427)+0.1</f>
        <v>0.6</v>
      </c>
      <c r="N427" cm="1">
        <f t="array" ref="N427">_xlfn.ANCHORARRAY(D427)+0.15</f>
        <v>1.1499999999999999</v>
      </c>
      <c r="O427" cm="1">
        <f t="array" ref="O427">_xlfn.ANCHORARRAY(E427)+0.15</f>
        <v>3.15</v>
      </c>
      <c r="P427" cm="1">
        <f t="array" ref="P427">_xlfn.ANCHORARRAY(F427)+0.15</f>
        <v>4.6500000000000004</v>
      </c>
      <c r="Q427" cm="1">
        <f t="array" ref="Q427">_xlfn.ANCHORARRAY(G427)+0.15</f>
        <v>3.65</v>
      </c>
      <c r="R427" cm="1">
        <f t="array" ref="R427">_xlfn.ANCHORARRAY(H427)</f>
        <v>9.99</v>
      </c>
      <c r="S427" cm="1">
        <f t="array" ref="S427">_xlfn.ANCHORARRAY(R427)+0.15</f>
        <v>10.14</v>
      </c>
      <c r="T427" cm="1">
        <f t="array" ref="T427">_xlfn.ANCHORARRAY(I427)+0.15</f>
        <v>1.1499999999999999</v>
      </c>
      <c r="U427" cm="1">
        <f t="array" ref="U427">_xlfn.ANCHORARRAY(J427)+0.15</f>
        <v>3.15</v>
      </c>
      <c r="V427" cm="1">
        <f t="array" ref="V427">_xlfn.ANCHORARRAY(K427)+0.15</f>
        <v>4.6500000000000004</v>
      </c>
      <c r="W427">
        <f>TBL_TEV[[#This Row],[Etica Rendita Bilanciata]]</f>
        <v>1.5553840000000001</v>
      </c>
      <c r="X427">
        <f>TBL_TEV[[#This Row],[Etica Obbligazionario Breve Termine]]</f>
        <v>0.242562</v>
      </c>
      <c r="Y427">
        <f>TBL_TEV[[#This Row],[Etica Obbligazionario Misto]]</f>
        <v>0.78896299999999997</v>
      </c>
      <c r="Z427">
        <f>TBL_TEV[[#This Row],[Etica Bilanciato]]</f>
        <v>2.1873480000000001</v>
      </c>
      <c r="AA427">
        <f>TBL_TEV[[#This Row],[Etica Azionario]]</f>
        <v>3.1058469999999998</v>
      </c>
      <c r="AB427">
        <f>TBL_TEV[[#This Row],[Etica Transizione Climatica]]</f>
        <v>2.3527610000000001</v>
      </c>
      <c r="AC427">
        <f>TBL_TEV[[#This Row],[Etica Obiettivo Sociale]]</f>
        <v>7.1172317915306991</v>
      </c>
      <c r="AD427">
        <f>TBL_TEV[[#This Row],[Etica Conservative Allocation]]</f>
        <v>0.59100799999999998</v>
      </c>
      <c r="AE427">
        <f>TBL_TEV[[#This Row],[Etica Dynamic Allocation]]</f>
        <v>2.7385109999999999</v>
      </c>
      <c r="AF427">
        <f>TBL_TEV[[#This Row],[Etica Global Equity]]</f>
        <v>4.1915050000000003</v>
      </c>
      <c r="AL427">
        <f ca="1"/>
        <v>1.5647500000000001</v>
      </c>
      <c r="AM427">
        <f ca="1"/>
        <v>0.28875699999999999</v>
      </c>
      <c r="AN427">
        <f ca="1"/>
        <v>0.79086800000000002</v>
      </c>
      <c r="AO427">
        <f ca="1"/>
        <v>2.18973</v>
      </c>
      <c r="AP427">
        <f ca="1"/>
        <v>3.1217220000000001</v>
      </c>
      <c r="AQ427">
        <f ca="1"/>
        <v>2.3751440000000001</v>
      </c>
      <c r="AR427">
        <f ca="1"/>
        <v>6.9172891999094581</v>
      </c>
      <c r="AS427">
        <f ca="1"/>
        <v>0.59481799999999996</v>
      </c>
      <c r="AT427">
        <f ca="1"/>
        <v>2.770737</v>
      </c>
      <c r="AU427">
        <f ca="1"/>
        <v>4.2370650000000003</v>
      </c>
    </row>
    <row r="428" spans="1:47">
      <c r="A428" s="43">
        <f>TBL_TEV[[#This Row],[Data2]]</f>
        <v>45903</v>
      </c>
      <c r="B428" cm="1">
        <f t="array" ref="B428">_xlfn.XLOOKUP(_xlfn.ANCHORARRAY(A428), TBL_Limiti_CDA[Data], TBL_Limiti_CDA[Etica Rendita Bilanciata], , -1)</f>
        <v>2.5</v>
      </c>
      <c r="C428" cm="1">
        <f t="array" ref="C428">_xlfn.XLOOKUP(_xlfn.ANCHORARRAY(A428), TBL_Limiti_CDA[Data], TBL_Limiti_CDA[Etica Obbligazionario Breve Termine], , -1)</f>
        <v>0.5</v>
      </c>
      <c r="D428" cm="1">
        <f t="array" ref="D428">_xlfn.XLOOKUP(_xlfn.ANCHORARRAY(A428), TBL_Limiti_CDA[Data], TBL_Limiti_CDA[Etica Obbligazionario Misto], , -1)</f>
        <v>1</v>
      </c>
      <c r="E428" cm="1">
        <f t="array" ref="E428">_xlfn.XLOOKUP(_xlfn.ANCHORARRAY(A428), TBL_Limiti_CDA[Data], TBL_Limiti_CDA[Etica Bilanciato], , -1)</f>
        <v>3</v>
      </c>
      <c r="F428" cm="1">
        <f t="array" ref="F428">_xlfn.XLOOKUP(_xlfn.ANCHORARRAY(A428), TBL_Limiti_CDA[Data], TBL_Limiti_CDA[Etica Azionario], , -1)</f>
        <v>4.5</v>
      </c>
      <c r="G428" cm="1">
        <f t="array" ref="G428">_xlfn.XLOOKUP(_xlfn.ANCHORARRAY(A428), TBL_Limiti_CDA[Data], TBL_Limiti_CDA[Etica Transizione Climatica], , -1)</f>
        <v>3.5</v>
      </c>
      <c r="H428" cm="1">
        <f t="array" ref="H428">_xlfn.XLOOKUP(_xlfn.ANCHORARRAY(A428), TBL_Limiti_CDA[Data], TBL_Limiti_CDA[Etica Obiettivo Sociale], , -1)</f>
        <v>9.99</v>
      </c>
      <c r="I428" cm="1">
        <f t="array" ref="I428">_xlfn.XLOOKUP(_xlfn.ANCHORARRAY(A428), TBL_Limiti_CDA[Data], TBL_Limiti_CDA[Etica Conservative Allocation], , -1)</f>
        <v>1</v>
      </c>
      <c r="J428" cm="1">
        <f t="array" ref="J428">_xlfn.XLOOKUP(_xlfn.ANCHORARRAY(A428), TBL_Limiti_CDA[Data], TBL_Limiti_CDA[Etica Dynamic Allocation], , -1)</f>
        <v>3</v>
      </c>
      <c r="K428" cm="1">
        <f t="array" ref="K428">_xlfn.XLOOKUP(_xlfn.ANCHORARRAY(A428), TBL_Limiti_CDA[Data], TBL_Limiti_CDA[Etica Global Equity], , -1)</f>
        <v>4.5</v>
      </c>
      <c r="L428" cm="1">
        <f t="array" ref="L428">_xlfn.ANCHORARRAY(B428)+0.15</f>
        <v>2.65</v>
      </c>
      <c r="M428" cm="1">
        <f t="array" ref="M428">_xlfn.ANCHORARRAY(C428)+0.1</f>
        <v>0.6</v>
      </c>
      <c r="N428" cm="1">
        <f t="array" ref="N428">_xlfn.ANCHORARRAY(D428)+0.15</f>
        <v>1.1499999999999999</v>
      </c>
      <c r="O428" cm="1">
        <f t="array" ref="O428">_xlfn.ANCHORARRAY(E428)+0.15</f>
        <v>3.15</v>
      </c>
      <c r="P428" cm="1">
        <f t="array" ref="P428">_xlfn.ANCHORARRAY(F428)+0.15</f>
        <v>4.6500000000000004</v>
      </c>
      <c r="Q428" cm="1">
        <f t="array" ref="Q428">_xlfn.ANCHORARRAY(G428)+0.15</f>
        <v>3.65</v>
      </c>
      <c r="R428" cm="1">
        <f t="array" ref="R428">_xlfn.ANCHORARRAY(H428)</f>
        <v>9.99</v>
      </c>
      <c r="S428" cm="1">
        <f t="array" ref="S428">_xlfn.ANCHORARRAY(R428)+0.15</f>
        <v>10.14</v>
      </c>
      <c r="T428" cm="1">
        <f t="array" ref="T428">_xlfn.ANCHORARRAY(I428)+0.15</f>
        <v>1.1499999999999999</v>
      </c>
      <c r="U428" cm="1">
        <f t="array" ref="U428">_xlfn.ANCHORARRAY(J428)+0.15</f>
        <v>3.15</v>
      </c>
      <c r="V428" cm="1">
        <f t="array" ref="V428">_xlfn.ANCHORARRAY(K428)+0.15</f>
        <v>4.6500000000000004</v>
      </c>
      <c r="W428">
        <f>TBL_TEV[[#This Row],[Etica Rendita Bilanciata]]</f>
        <v>1.5647500000000001</v>
      </c>
      <c r="X428">
        <f>TBL_TEV[[#This Row],[Etica Obbligazionario Breve Termine]]</f>
        <v>0.28875699999999999</v>
      </c>
      <c r="Y428">
        <f>TBL_TEV[[#This Row],[Etica Obbligazionario Misto]]</f>
        <v>0.79086800000000002</v>
      </c>
      <c r="Z428">
        <f>TBL_TEV[[#This Row],[Etica Bilanciato]]</f>
        <v>2.18973</v>
      </c>
      <c r="AA428">
        <f>TBL_TEV[[#This Row],[Etica Azionario]]</f>
        <v>3.1217220000000001</v>
      </c>
      <c r="AB428">
        <f>TBL_TEV[[#This Row],[Etica Transizione Climatica]]</f>
        <v>2.3751440000000001</v>
      </c>
      <c r="AC428">
        <f>TBL_TEV[[#This Row],[Etica Obiettivo Sociale]]</f>
        <v>6.9172891999094581</v>
      </c>
      <c r="AD428">
        <f>TBL_TEV[[#This Row],[Etica Conservative Allocation]]</f>
        <v>0.59481799999999996</v>
      </c>
      <c r="AE428">
        <f>TBL_TEV[[#This Row],[Etica Dynamic Allocation]]</f>
        <v>2.770737</v>
      </c>
      <c r="AF428">
        <f>TBL_TEV[[#This Row],[Etica Global Equity]]</f>
        <v>4.2370650000000003</v>
      </c>
      <c r="AL428">
        <f ca="1"/>
        <v>1.5760209999999999</v>
      </c>
      <c r="AM428">
        <f ca="1"/>
        <v>0.28812199999999999</v>
      </c>
      <c r="AN428">
        <f ca="1"/>
        <v>0.88976599999999995</v>
      </c>
      <c r="AO428">
        <f ca="1"/>
        <v>2.2232249999999998</v>
      </c>
      <c r="AP428">
        <f ca="1"/>
        <v>3.1655359999999999</v>
      </c>
      <c r="AQ428">
        <f ca="1"/>
        <v>2.39086</v>
      </c>
      <c r="AR428">
        <f ca="1"/>
        <v>6.9701460887245936</v>
      </c>
      <c r="AS428">
        <f ca="1"/>
        <v>0.59831000000000001</v>
      </c>
      <c r="AT428">
        <f ca="1"/>
        <v>2.8059780000000001</v>
      </c>
      <c r="AU428">
        <f ca="1"/>
        <v>4.2921490000000002</v>
      </c>
    </row>
    <row r="429" spans="1:47">
      <c r="A429" s="43">
        <f>TBL_TEV[[#This Row],[Data2]]</f>
        <v>45904</v>
      </c>
      <c r="B429" cm="1">
        <f t="array" ref="B429">_xlfn.XLOOKUP(_xlfn.ANCHORARRAY(A429), TBL_Limiti_CDA[Data], TBL_Limiti_CDA[Etica Rendita Bilanciata], , -1)</f>
        <v>2.5</v>
      </c>
      <c r="C429" cm="1">
        <f t="array" ref="C429">_xlfn.XLOOKUP(_xlfn.ANCHORARRAY(A429), TBL_Limiti_CDA[Data], TBL_Limiti_CDA[Etica Obbligazionario Breve Termine], , -1)</f>
        <v>0.5</v>
      </c>
      <c r="D429" cm="1">
        <f t="array" ref="D429">_xlfn.XLOOKUP(_xlfn.ANCHORARRAY(A429), TBL_Limiti_CDA[Data], TBL_Limiti_CDA[Etica Obbligazionario Misto], , -1)</f>
        <v>1</v>
      </c>
      <c r="E429" cm="1">
        <f t="array" ref="E429">_xlfn.XLOOKUP(_xlfn.ANCHORARRAY(A429), TBL_Limiti_CDA[Data], TBL_Limiti_CDA[Etica Bilanciato], , -1)</f>
        <v>3</v>
      </c>
      <c r="F429" cm="1">
        <f t="array" ref="F429">_xlfn.XLOOKUP(_xlfn.ANCHORARRAY(A429), TBL_Limiti_CDA[Data], TBL_Limiti_CDA[Etica Azionario], , -1)</f>
        <v>4.5</v>
      </c>
      <c r="G429" cm="1">
        <f t="array" ref="G429">_xlfn.XLOOKUP(_xlfn.ANCHORARRAY(A429), TBL_Limiti_CDA[Data], TBL_Limiti_CDA[Etica Transizione Climatica], , -1)</f>
        <v>3.5</v>
      </c>
      <c r="H429" cm="1">
        <f t="array" ref="H429">_xlfn.XLOOKUP(_xlfn.ANCHORARRAY(A429), TBL_Limiti_CDA[Data], TBL_Limiti_CDA[Etica Obiettivo Sociale], , -1)</f>
        <v>9.99</v>
      </c>
      <c r="I429" cm="1">
        <f t="array" ref="I429">_xlfn.XLOOKUP(_xlfn.ANCHORARRAY(A429), TBL_Limiti_CDA[Data], TBL_Limiti_CDA[Etica Conservative Allocation], , -1)</f>
        <v>1</v>
      </c>
      <c r="J429" cm="1">
        <f t="array" ref="J429">_xlfn.XLOOKUP(_xlfn.ANCHORARRAY(A429), TBL_Limiti_CDA[Data], TBL_Limiti_CDA[Etica Dynamic Allocation], , -1)</f>
        <v>3</v>
      </c>
      <c r="K429" cm="1">
        <f t="array" ref="K429">_xlfn.XLOOKUP(_xlfn.ANCHORARRAY(A429), TBL_Limiti_CDA[Data], TBL_Limiti_CDA[Etica Global Equity], , -1)</f>
        <v>4.5</v>
      </c>
      <c r="L429" cm="1">
        <f t="array" ref="L429">_xlfn.ANCHORARRAY(B429)+0.15</f>
        <v>2.65</v>
      </c>
      <c r="M429" cm="1">
        <f t="array" ref="M429">_xlfn.ANCHORARRAY(C429)+0.1</f>
        <v>0.6</v>
      </c>
      <c r="N429" cm="1">
        <f t="array" ref="N429">_xlfn.ANCHORARRAY(D429)+0.15</f>
        <v>1.1499999999999999</v>
      </c>
      <c r="O429" cm="1">
        <f t="array" ref="O429">_xlfn.ANCHORARRAY(E429)+0.15</f>
        <v>3.15</v>
      </c>
      <c r="P429" cm="1">
        <f t="array" ref="P429">_xlfn.ANCHORARRAY(F429)+0.15</f>
        <v>4.6500000000000004</v>
      </c>
      <c r="Q429" cm="1">
        <f t="array" ref="Q429">_xlfn.ANCHORARRAY(G429)+0.15</f>
        <v>3.65</v>
      </c>
      <c r="R429" cm="1">
        <f t="array" ref="R429">_xlfn.ANCHORARRAY(H429)</f>
        <v>9.99</v>
      </c>
      <c r="S429" cm="1">
        <f t="array" ref="S429">_xlfn.ANCHORARRAY(R429)+0.15</f>
        <v>10.14</v>
      </c>
      <c r="T429" cm="1">
        <f t="array" ref="T429">_xlfn.ANCHORARRAY(I429)+0.15</f>
        <v>1.1499999999999999</v>
      </c>
      <c r="U429" cm="1">
        <f t="array" ref="U429">_xlfn.ANCHORARRAY(J429)+0.15</f>
        <v>3.15</v>
      </c>
      <c r="V429" cm="1">
        <f t="array" ref="V429">_xlfn.ANCHORARRAY(K429)+0.15</f>
        <v>4.6500000000000004</v>
      </c>
      <c r="W429">
        <f>TBL_TEV[[#This Row],[Etica Rendita Bilanciata]]</f>
        <v>1.5760209999999999</v>
      </c>
      <c r="X429">
        <f>TBL_TEV[[#This Row],[Etica Obbligazionario Breve Termine]]</f>
        <v>0.28812199999999999</v>
      </c>
      <c r="Y429">
        <f>TBL_TEV[[#This Row],[Etica Obbligazionario Misto]]</f>
        <v>0.88976599999999995</v>
      </c>
      <c r="Z429">
        <f>TBL_TEV[[#This Row],[Etica Bilanciato]]</f>
        <v>2.2232249999999998</v>
      </c>
      <c r="AA429">
        <f>TBL_TEV[[#This Row],[Etica Azionario]]</f>
        <v>3.1655359999999999</v>
      </c>
      <c r="AB429">
        <f>TBL_TEV[[#This Row],[Etica Transizione Climatica]]</f>
        <v>2.39086</v>
      </c>
      <c r="AC429">
        <f>TBL_TEV[[#This Row],[Etica Obiettivo Sociale]]</f>
        <v>6.9701460887245936</v>
      </c>
      <c r="AD429">
        <f>TBL_TEV[[#This Row],[Etica Conservative Allocation]]</f>
        <v>0.59831000000000001</v>
      </c>
      <c r="AE429">
        <f>TBL_TEV[[#This Row],[Etica Dynamic Allocation]]</f>
        <v>2.8059780000000001</v>
      </c>
      <c r="AF429">
        <f>TBL_TEV[[#This Row],[Etica Global Equity]]</f>
        <v>4.2921490000000002</v>
      </c>
      <c r="AL429">
        <f ca="1"/>
        <v>1.6065</v>
      </c>
      <c r="AM429">
        <f ca="1"/>
        <v>0.29050300000000001</v>
      </c>
      <c r="AN429">
        <f ca="1"/>
        <v>0.76404000000000005</v>
      </c>
      <c r="AO429">
        <f ca="1"/>
        <v>2.2640220000000002</v>
      </c>
      <c r="AP429">
        <f ca="1"/>
        <v>3.2252239999999999</v>
      </c>
      <c r="AQ429">
        <f ca="1"/>
        <v>2.3964159999999999</v>
      </c>
      <c r="AR429">
        <f ca="1"/>
        <v>6.9478095996626044</v>
      </c>
      <c r="AS429">
        <f ca="1"/>
        <v>0.60958100000000004</v>
      </c>
      <c r="AT429">
        <f ca="1"/>
        <v>2.8439179999999999</v>
      </c>
      <c r="AU429">
        <f ca="1"/>
        <v>4.3615209999999998</v>
      </c>
    </row>
    <row r="430" spans="1:47">
      <c r="A430" s="43">
        <f>TBL_TEV[[#This Row],[Data2]]</f>
        <v>45905</v>
      </c>
      <c r="B430" cm="1">
        <f t="array" ref="B430">_xlfn.XLOOKUP(_xlfn.ANCHORARRAY(A430), TBL_Limiti_CDA[Data], TBL_Limiti_CDA[Etica Rendita Bilanciata], , -1)</f>
        <v>2.5</v>
      </c>
      <c r="C430" cm="1">
        <f t="array" ref="C430">_xlfn.XLOOKUP(_xlfn.ANCHORARRAY(A430), TBL_Limiti_CDA[Data], TBL_Limiti_CDA[Etica Obbligazionario Breve Termine], , -1)</f>
        <v>0.5</v>
      </c>
      <c r="D430" cm="1">
        <f t="array" ref="D430">_xlfn.XLOOKUP(_xlfn.ANCHORARRAY(A430), TBL_Limiti_CDA[Data], TBL_Limiti_CDA[Etica Obbligazionario Misto], , -1)</f>
        <v>1</v>
      </c>
      <c r="E430" cm="1">
        <f t="array" ref="E430">_xlfn.XLOOKUP(_xlfn.ANCHORARRAY(A430), TBL_Limiti_CDA[Data], TBL_Limiti_CDA[Etica Bilanciato], , -1)</f>
        <v>3</v>
      </c>
      <c r="F430" cm="1">
        <f t="array" ref="F430">_xlfn.XLOOKUP(_xlfn.ANCHORARRAY(A430), TBL_Limiti_CDA[Data], TBL_Limiti_CDA[Etica Azionario], , -1)</f>
        <v>4.5</v>
      </c>
      <c r="G430" cm="1">
        <f t="array" ref="G430">_xlfn.XLOOKUP(_xlfn.ANCHORARRAY(A430), TBL_Limiti_CDA[Data], TBL_Limiti_CDA[Etica Transizione Climatica], , -1)</f>
        <v>3.5</v>
      </c>
      <c r="H430" cm="1">
        <f t="array" ref="H430">_xlfn.XLOOKUP(_xlfn.ANCHORARRAY(A430), TBL_Limiti_CDA[Data], TBL_Limiti_CDA[Etica Obiettivo Sociale], , -1)</f>
        <v>9.99</v>
      </c>
      <c r="I430" cm="1">
        <f t="array" ref="I430">_xlfn.XLOOKUP(_xlfn.ANCHORARRAY(A430), TBL_Limiti_CDA[Data], TBL_Limiti_CDA[Etica Conservative Allocation], , -1)</f>
        <v>1</v>
      </c>
      <c r="J430" cm="1">
        <f t="array" ref="J430">_xlfn.XLOOKUP(_xlfn.ANCHORARRAY(A430), TBL_Limiti_CDA[Data], TBL_Limiti_CDA[Etica Dynamic Allocation], , -1)</f>
        <v>3</v>
      </c>
      <c r="K430" cm="1">
        <f t="array" ref="K430">_xlfn.XLOOKUP(_xlfn.ANCHORARRAY(A430), TBL_Limiti_CDA[Data], TBL_Limiti_CDA[Etica Global Equity], , -1)</f>
        <v>4.5</v>
      </c>
      <c r="L430" cm="1">
        <f t="array" ref="L430">_xlfn.ANCHORARRAY(B430)+0.15</f>
        <v>2.65</v>
      </c>
      <c r="M430" cm="1">
        <f t="array" ref="M430">_xlfn.ANCHORARRAY(C430)+0.1</f>
        <v>0.6</v>
      </c>
      <c r="N430" cm="1">
        <f t="array" ref="N430">_xlfn.ANCHORARRAY(D430)+0.15</f>
        <v>1.1499999999999999</v>
      </c>
      <c r="O430" cm="1">
        <f t="array" ref="O430">_xlfn.ANCHORARRAY(E430)+0.15</f>
        <v>3.15</v>
      </c>
      <c r="P430" cm="1">
        <f t="array" ref="P430">_xlfn.ANCHORARRAY(F430)+0.15</f>
        <v>4.6500000000000004</v>
      </c>
      <c r="Q430" cm="1">
        <f t="array" ref="Q430">_xlfn.ANCHORARRAY(G430)+0.15</f>
        <v>3.65</v>
      </c>
      <c r="R430" cm="1">
        <f t="array" ref="R430">_xlfn.ANCHORARRAY(H430)</f>
        <v>9.99</v>
      </c>
      <c r="S430" cm="1">
        <f t="array" ref="S430">_xlfn.ANCHORARRAY(R430)+0.15</f>
        <v>10.14</v>
      </c>
      <c r="T430" cm="1">
        <f t="array" ref="T430">_xlfn.ANCHORARRAY(I430)+0.15</f>
        <v>1.1499999999999999</v>
      </c>
      <c r="U430" cm="1">
        <f t="array" ref="U430">_xlfn.ANCHORARRAY(J430)+0.15</f>
        <v>3.15</v>
      </c>
      <c r="V430" cm="1">
        <f t="array" ref="V430">_xlfn.ANCHORARRAY(K430)+0.15</f>
        <v>4.6500000000000004</v>
      </c>
      <c r="W430">
        <f>TBL_TEV[[#This Row],[Etica Rendita Bilanciata]]</f>
        <v>1.6065</v>
      </c>
      <c r="X430">
        <f>TBL_TEV[[#This Row],[Etica Obbligazionario Breve Termine]]</f>
        <v>0.29050300000000001</v>
      </c>
      <c r="Y430">
        <f>TBL_TEV[[#This Row],[Etica Obbligazionario Misto]]</f>
        <v>0.76404000000000005</v>
      </c>
      <c r="Z430">
        <f>TBL_TEV[[#This Row],[Etica Bilanciato]]</f>
        <v>2.2640220000000002</v>
      </c>
      <c r="AA430">
        <f>TBL_TEV[[#This Row],[Etica Azionario]]</f>
        <v>3.2252239999999999</v>
      </c>
      <c r="AB430">
        <f>TBL_TEV[[#This Row],[Etica Transizione Climatica]]</f>
        <v>2.3964159999999999</v>
      </c>
      <c r="AC430">
        <f>TBL_TEV[[#This Row],[Etica Obiettivo Sociale]]</f>
        <v>6.9478095996626044</v>
      </c>
      <c r="AD430">
        <f>TBL_TEV[[#This Row],[Etica Conservative Allocation]]</f>
        <v>0.60958100000000004</v>
      </c>
      <c r="AE430">
        <f>TBL_TEV[[#This Row],[Etica Dynamic Allocation]]</f>
        <v>2.8439179999999999</v>
      </c>
      <c r="AF430">
        <f>TBL_TEV[[#This Row],[Etica Global Equity]]</f>
        <v>4.3615209999999998</v>
      </c>
      <c r="AL430">
        <f ca="1"/>
        <v>1.5768150000000001</v>
      </c>
      <c r="AM430">
        <f ca="1"/>
        <v>0.27859800000000001</v>
      </c>
      <c r="AN430">
        <f ca="1"/>
        <v>0.76594499999999999</v>
      </c>
      <c r="AO430">
        <f ca="1"/>
        <v>2.2519580000000001</v>
      </c>
      <c r="AP430">
        <f ca="1"/>
        <v>3.209349</v>
      </c>
      <c r="AQ430">
        <f ca="1"/>
        <v>2.3516499999999998</v>
      </c>
      <c r="AR430">
        <f ca="1"/>
        <v>6.9654371260776351</v>
      </c>
      <c r="AS430">
        <f ca="1"/>
        <v>0.60688200000000003</v>
      </c>
      <c r="AT430">
        <f ca="1"/>
        <v>2.8305829999999998</v>
      </c>
      <c r="AU430">
        <f ca="1"/>
        <v>4.3413599999999999</v>
      </c>
    </row>
    <row r="431" spans="1:47">
      <c r="A431" s="43">
        <f>TBL_TEV[[#This Row],[Data2]]</f>
        <v>45908</v>
      </c>
      <c r="B431" cm="1">
        <f t="array" ref="B431">_xlfn.XLOOKUP(_xlfn.ANCHORARRAY(A431), TBL_Limiti_CDA[Data], TBL_Limiti_CDA[Etica Rendita Bilanciata], , -1)</f>
        <v>2.5</v>
      </c>
      <c r="C431" cm="1">
        <f t="array" ref="C431">_xlfn.XLOOKUP(_xlfn.ANCHORARRAY(A431), TBL_Limiti_CDA[Data], TBL_Limiti_CDA[Etica Obbligazionario Breve Termine], , -1)</f>
        <v>0.5</v>
      </c>
      <c r="D431" cm="1">
        <f t="array" ref="D431">_xlfn.XLOOKUP(_xlfn.ANCHORARRAY(A431), TBL_Limiti_CDA[Data], TBL_Limiti_CDA[Etica Obbligazionario Misto], , -1)</f>
        <v>1</v>
      </c>
      <c r="E431" cm="1">
        <f t="array" ref="E431">_xlfn.XLOOKUP(_xlfn.ANCHORARRAY(A431), TBL_Limiti_CDA[Data], TBL_Limiti_CDA[Etica Bilanciato], , -1)</f>
        <v>3</v>
      </c>
      <c r="F431" cm="1">
        <f t="array" ref="F431">_xlfn.XLOOKUP(_xlfn.ANCHORARRAY(A431), TBL_Limiti_CDA[Data], TBL_Limiti_CDA[Etica Azionario], , -1)</f>
        <v>4.5</v>
      </c>
      <c r="G431" cm="1">
        <f t="array" ref="G431">_xlfn.XLOOKUP(_xlfn.ANCHORARRAY(A431), TBL_Limiti_CDA[Data], TBL_Limiti_CDA[Etica Transizione Climatica], , -1)</f>
        <v>3.5</v>
      </c>
      <c r="H431" cm="1">
        <f t="array" ref="H431">_xlfn.XLOOKUP(_xlfn.ANCHORARRAY(A431), TBL_Limiti_CDA[Data], TBL_Limiti_CDA[Etica Obiettivo Sociale], , -1)</f>
        <v>9.99</v>
      </c>
      <c r="I431" cm="1">
        <f t="array" ref="I431">_xlfn.XLOOKUP(_xlfn.ANCHORARRAY(A431), TBL_Limiti_CDA[Data], TBL_Limiti_CDA[Etica Conservative Allocation], , -1)</f>
        <v>1</v>
      </c>
      <c r="J431" cm="1">
        <f t="array" ref="J431">_xlfn.XLOOKUP(_xlfn.ANCHORARRAY(A431), TBL_Limiti_CDA[Data], TBL_Limiti_CDA[Etica Dynamic Allocation], , -1)</f>
        <v>3</v>
      </c>
      <c r="K431" cm="1">
        <f t="array" ref="K431">_xlfn.XLOOKUP(_xlfn.ANCHORARRAY(A431), TBL_Limiti_CDA[Data], TBL_Limiti_CDA[Etica Global Equity], , -1)</f>
        <v>4.5</v>
      </c>
      <c r="L431" cm="1">
        <f t="array" ref="L431">_xlfn.ANCHORARRAY(B431)+0.15</f>
        <v>2.65</v>
      </c>
      <c r="M431" cm="1">
        <f t="array" ref="M431">_xlfn.ANCHORARRAY(C431)+0.1</f>
        <v>0.6</v>
      </c>
      <c r="N431" cm="1">
        <f t="array" ref="N431">_xlfn.ANCHORARRAY(D431)+0.15</f>
        <v>1.1499999999999999</v>
      </c>
      <c r="O431" cm="1">
        <f t="array" ref="O431">_xlfn.ANCHORARRAY(E431)+0.15</f>
        <v>3.15</v>
      </c>
      <c r="P431" cm="1">
        <f t="array" ref="P431">_xlfn.ANCHORARRAY(F431)+0.15</f>
        <v>4.6500000000000004</v>
      </c>
      <c r="Q431" cm="1">
        <f t="array" ref="Q431">_xlfn.ANCHORARRAY(G431)+0.15</f>
        <v>3.65</v>
      </c>
      <c r="R431" cm="1">
        <f t="array" ref="R431">_xlfn.ANCHORARRAY(H431)</f>
        <v>9.99</v>
      </c>
      <c r="S431" cm="1">
        <f t="array" ref="S431">_xlfn.ANCHORARRAY(R431)+0.15</f>
        <v>10.14</v>
      </c>
      <c r="T431" cm="1">
        <f t="array" ref="T431">_xlfn.ANCHORARRAY(I431)+0.15</f>
        <v>1.1499999999999999</v>
      </c>
      <c r="U431" cm="1">
        <f t="array" ref="U431">_xlfn.ANCHORARRAY(J431)+0.15</f>
        <v>3.15</v>
      </c>
      <c r="V431" cm="1">
        <f t="array" ref="V431">_xlfn.ANCHORARRAY(K431)+0.15</f>
        <v>4.6500000000000004</v>
      </c>
      <c r="W431">
        <f>TBL_TEV[[#This Row],[Etica Rendita Bilanciata]]</f>
        <v>1.5768150000000001</v>
      </c>
      <c r="X431">
        <f>TBL_TEV[[#This Row],[Etica Obbligazionario Breve Termine]]</f>
        <v>0.27859800000000001</v>
      </c>
      <c r="Y431">
        <f>TBL_TEV[[#This Row],[Etica Obbligazionario Misto]]</f>
        <v>0.76594499999999999</v>
      </c>
      <c r="Z431">
        <f>TBL_TEV[[#This Row],[Etica Bilanciato]]</f>
        <v>2.2519580000000001</v>
      </c>
      <c r="AA431">
        <f>TBL_TEV[[#This Row],[Etica Azionario]]</f>
        <v>3.209349</v>
      </c>
      <c r="AB431">
        <f>TBL_TEV[[#This Row],[Etica Transizione Climatica]]</f>
        <v>2.3516499999999998</v>
      </c>
      <c r="AC431">
        <f>TBL_TEV[[#This Row],[Etica Obiettivo Sociale]]</f>
        <v>6.9654371260776351</v>
      </c>
      <c r="AD431">
        <f>TBL_TEV[[#This Row],[Etica Conservative Allocation]]</f>
        <v>0.60688200000000003</v>
      </c>
      <c r="AE431">
        <f>TBL_TEV[[#This Row],[Etica Dynamic Allocation]]</f>
        <v>2.8305829999999998</v>
      </c>
      <c r="AF431">
        <f>TBL_TEV[[#This Row],[Etica Global Equity]]</f>
        <v>4.3413599999999999</v>
      </c>
      <c r="AL431">
        <f ca="1"/>
        <v>1.5761799999999999</v>
      </c>
      <c r="AM431">
        <f ca="1"/>
        <v>0.30415599999999998</v>
      </c>
      <c r="AN431">
        <f ca="1"/>
        <v>0.76816700000000004</v>
      </c>
      <c r="AO431">
        <f ca="1"/>
        <v>2.2498939999999998</v>
      </c>
      <c r="AP431">
        <f ca="1"/>
        <v>3.2055389999999999</v>
      </c>
      <c r="AQ431">
        <f ca="1"/>
        <v>2.3516499999999998</v>
      </c>
      <c r="AR431">
        <f ca="1"/>
        <v>6.8452583427801263</v>
      </c>
      <c r="AS431">
        <f ca="1"/>
        <v>0.60656500000000002</v>
      </c>
      <c r="AT431">
        <f ca="1"/>
        <v>2.8170899999999999</v>
      </c>
      <c r="AU431">
        <f ca="1"/>
        <v>4.340249</v>
      </c>
    </row>
    <row r="432" spans="1:47">
      <c r="A432" s="43">
        <f>TBL_TEV[[#This Row],[Data2]]</f>
        <v>45909</v>
      </c>
      <c r="B432" cm="1">
        <f t="array" ref="B432">_xlfn.XLOOKUP(_xlfn.ANCHORARRAY(A432), TBL_Limiti_CDA[Data], TBL_Limiti_CDA[Etica Rendita Bilanciata], , -1)</f>
        <v>2.5</v>
      </c>
      <c r="C432" cm="1">
        <f t="array" ref="C432">_xlfn.XLOOKUP(_xlfn.ANCHORARRAY(A432), TBL_Limiti_CDA[Data], TBL_Limiti_CDA[Etica Obbligazionario Breve Termine], , -1)</f>
        <v>0.5</v>
      </c>
      <c r="D432" cm="1">
        <f t="array" ref="D432">_xlfn.XLOOKUP(_xlfn.ANCHORARRAY(A432), TBL_Limiti_CDA[Data], TBL_Limiti_CDA[Etica Obbligazionario Misto], , -1)</f>
        <v>1</v>
      </c>
      <c r="E432" cm="1">
        <f t="array" ref="E432">_xlfn.XLOOKUP(_xlfn.ANCHORARRAY(A432), TBL_Limiti_CDA[Data], TBL_Limiti_CDA[Etica Bilanciato], , -1)</f>
        <v>3</v>
      </c>
      <c r="F432" cm="1">
        <f t="array" ref="F432">_xlfn.XLOOKUP(_xlfn.ANCHORARRAY(A432), TBL_Limiti_CDA[Data], TBL_Limiti_CDA[Etica Azionario], , -1)</f>
        <v>4.5</v>
      </c>
      <c r="G432" cm="1">
        <f t="array" ref="G432">_xlfn.XLOOKUP(_xlfn.ANCHORARRAY(A432), TBL_Limiti_CDA[Data], TBL_Limiti_CDA[Etica Transizione Climatica], , -1)</f>
        <v>3.5</v>
      </c>
      <c r="H432" cm="1">
        <f t="array" ref="H432">_xlfn.XLOOKUP(_xlfn.ANCHORARRAY(A432), TBL_Limiti_CDA[Data], TBL_Limiti_CDA[Etica Obiettivo Sociale], , -1)</f>
        <v>9.99</v>
      </c>
      <c r="I432" cm="1">
        <f t="array" ref="I432">_xlfn.XLOOKUP(_xlfn.ANCHORARRAY(A432), TBL_Limiti_CDA[Data], TBL_Limiti_CDA[Etica Conservative Allocation], , -1)</f>
        <v>1</v>
      </c>
      <c r="J432" cm="1">
        <f t="array" ref="J432">_xlfn.XLOOKUP(_xlfn.ANCHORARRAY(A432), TBL_Limiti_CDA[Data], TBL_Limiti_CDA[Etica Dynamic Allocation], , -1)</f>
        <v>3</v>
      </c>
      <c r="K432" cm="1">
        <f t="array" ref="K432">_xlfn.XLOOKUP(_xlfn.ANCHORARRAY(A432), TBL_Limiti_CDA[Data], TBL_Limiti_CDA[Etica Global Equity], , -1)</f>
        <v>4.5</v>
      </c>
      <c r="L432" cm="1">
        <f t="array" ref="L432">_xlfn.ANCHORARRAY(B432)+0.15</f>
        <v>2.65</v>
      </c>
      <c r="M432" cm="1">
        <f t="array" ref="M432">_xlfn.ANCHORARRAY(C432)+0.1</f>
        <v>0.6</v>
      </c>
      <c r="N432" cm="1">
        <f t="array" ref="N432">_xlfn.ANCHORARRAY(D432)+0.15</f>
        <v>1.1499999999999999</v>
      </c>
      <c r="O432" cm="1">
        <f t="array" ref="O432">_xlfn.ANCHORARRAY(E432)+0.15</f>
        <v>3.15</v>
      </c>
      <c r="P432" cm="1">
        <f t="array" ref="P432">_xlfn.ANCHORARRAY(F432)+0.15</f>
        <v>4.6500000000000004</v>
      </c>
      <c r="Q432" cm="1">
        <f t="array" ref="Q432">_xlfn.ANCHORARRAY(G432)+0.15</f>
        <v>3.65</v>
      </c>
      <c r="R432" cm="1">
        <f t="array" ref="R432">_xlfn.ANCHORARRAY(H432)</f>
        <v>9.99</v>
      </c>
      <c r="S432" cm="1">
        <f t="array" ref="S432">_xlfn.ANCHORARRAY(R432)+0.15</f>
        <v>10.14</v>
      </c>
      <c r="T432" cm="1">
        <f t="array" ref="T432">_xlfn.ANCHORARRAY(I432)+0.15</f>
        <v>1.1499999999999999</v>
      </c>
      <c r="U432" cm="1">
        <f t="array" ref="U432">_xlfn.ANCHORARRAY(J432)+0.15</f>
        <v>3.15</v>
      </c>
      <c r="V432" cm="1">
        <f t="array" ref="V432">_xlfn.ANCHORARRAY(K432)+0.15</f>
        <v>4.6500000000000004</v>
      </c>
      <c r="W432">
        <f>TBL_TEV[[#This Row],[Etica Rendita Bilanciata]]</f>
        <v>1.5761799999999999</v>
      </c>
      <c r="X432">
        <f>TBL_TEV[[#This Row],[Etica Obbligazionario Breve Termine]]</f>
        <v>0.30415599999999998</v>
      </c>
      <c r="Y432">
        <f>TBL_TEV[[#This Row],[Etica Obbligazionario Misto]]</f>
        <v>0.76816700000000004</v>
      </c>
      <c r="Z432">
        <f>TBL_TEV[[#This Row],[Etica Bilanciato]]</f>
        <v>2.2498939999999998</v>
      </c>
      <c r="AA432">
        <f>TBL_TEV[[#This Row],[Etica Azionario]]</f>
        <v>3.2055389999999999</v>
      </c>
      <c r="AB432">
        <f>TBL_TEV[[#This Row],[Etica Transizione Climatica]]</f>
        <v>2.3516499999999998</v>
      </c>
      <c r="AC432">
        <f>TBL_TEV[[#This Row],[Etica Obiettivo Sociale]]</f>
        <v>6.8452583427801263</v>
      </c>
      <c r="AD432">
        <f>TBL_TEV[[#This Row],[Etica Conservative Allocation]]</f>
        <v>0.60656500000000002</v>
      </c>
      <c r="AE432">
        <f>TBL_TEV[[#This Row],[Etica Dynamic Allocation]]</f>
        <v>2.8170899999999999</v>
      </c>
      <c r="AF432">
        <f>TBL_TEV[[#This Row],[Etica Global Equity]]</f>
        <v>4.340249</v>
      </c>
      <c r="AL432">
        <f ca="1"/>
        <v>1.5852280000000001</v>
      </c>
      <c r="AM432">
        <f ca="1"/>
        <v>0.30288599999999999</v>
      </c>
      <c r="AN432">
        <f ca="1"/>
        <v>0.77800999999999998</v>
      </c>
      <c r="AO432">
        <f ca="1"/>
        <v>2.312122</v>
      </c>
      <c r="AP432">
        <f ca="1"/>
        <v>3.2704659999999999</v>
      </c>
      <c r="AQ432">
        <f ca="1"/>
        <v>2.6443759999999998</v>
      </c>
      <c r="AR432">
        <f ca="1"/>
        <v>7.0387893986636625</v>
      </c>
      <c r="AS432">
        <f ca="1"/>
        <v>0.60545400000000005</v>
      </c>
      <c r="AT432">
        <f ca="1"/>
        <v>2.8172489999999999</v>
      </c>
      <c r="AU432">
        <f ca="1"/>
        <v>4.3278670000000004</v>
      </c>
    </row>
    <row r="433" spans="1:47">
      <c r="A433" s="43">
        <f>TBL_TEV[[#This Row],[Data2]]</f>
        <v>45910</v>
      </c>
      <c r="B433" cm="1">
        <f t="array" ref="B433">_xlfn.XLOOKUP(_xlfn.ANCHORARRAY(A433), TBL_Limiti_CDA[Data], TBL_Limiti_CDA[Etica Rendita Bilanciata], , -1)</f>
        <v>2.5</v>
      </c>
      <c r="C433" cm="1">
        <f t="array" ref="C433">_xlfn.XLOOKUP(_xlfn.ANCHORARRAY(A433), TBL_Limiti_CDA[Data], TBL_Limiti_CDA[Etica Obbligazionario Breve Termine], , -1)</f>
        <v>0.5</v>
      </c>
      <c r="D433" cm="1">
        <f t="array" ref="D433">_xlfn.XLOOKUP(_xlfn.ANCHORARRAY(A433), TBL_Limiti_CDA[Data], TBL_Limiti_CDA[Etica Obbligazionario Misto], , -1)</f>
        <v>1</v>
      </c>
      <c r="E433" cm="1">
        <f t="array" ref="E433">_xlfn.XLOOKUP(_xlfn.ANCHORARRAY(A433), TBL_Limiti_CDA[Data], TBL_Limiti_CDA[Etica Bilanciato], , -1)</f>
        <v>3</v>
      </c>
      <c r="F433" cm="1">
        <f t="array" ref="F433">_xlfn.XLOOKUP(_xlfn.ANCHORARRAY(A433), TBL_Limiti_CDA[Data], TBL_Limiti_CDA[Etica Azionario], , -1)</f>
        <v>4.5</v>
      </c>
      <c r="G433" cm="1">
        <f t="array" ref="G433">_xlfn.XLOOKUP(_xlfn.ANCHORARRAY(A433), TBL_Limiti_CDA[Data], TBL_Limiti_CDA[Etica Transizione Climatica], , -1)</f>
        <v>3.5</v>
      </c>
      <c r="H433" cm="1">
        <f t="array" ref="H433">_xlfn.XLOOKUP(_xlfn.ANCHORARRAY(A433), TBL_Limiti_CDA[Data], TBL_Limiti_CDA[Etica Obiettivo Sociale], , -1)</f>
        <v>9.99</v>
      </c>
      <c r="I433" cm="1">
        <f t="array" ref="I433">_xlfn.XLOOKUP(_xlfn.ANCHORARRAY(A433), TBL_Limiti_CDA[Data], TBL_Limiti_CDA[Etica Conservative Allocation], , -1)</f>
        <v>1</v>
      </c>
      <c r="J433" cm="1">
        <f t="array" ref="J433">_xlfn.XLOOKUP(_xlfn.ANCHORARRAY(A433), TBL_Limiti_CDA[Data], TBL_Limiti_CDA[Etica Dynamic Allocation], , -1)</f>
        <v>3</v>
      </c>
      <c r="K433" cm="1">
        <f t="array" ref="K433">_xlfn.XLOOKUP(_xlfn.ANCHORARRAY(A433), TBL_Limiti_CDA[Data], TBL_Limiti_CDA[Etica Global Equity], , -1)</f>
        <v>4.5</v>
      </c>
      <c r="L433" cm="1">
        <f t="array" ref="L433">_xlfn.ANCHORARRAY(B433)+0.15</f>
        <v>2.65</v>
      </c>
      <c r="M433" cm="1">
        <f t="array" ref="M433">_xlfn.ANCHORARRAY(C433)+0.1</f>
        <v>0.6</v>
      </c>
      <c r="N433" cm="1">
        <f t="array" ref="N433">_xlfn.ANCHORARRAY(D433)+0.15</f>
        <v>1.1499999999999999</v>
      </c>
      <c r="O433" cm="1">
        <f t="array" ref="O433">_xlfn.ANCHORARRAY(E433)+0.15</f>
        <v>3.15</v>
      </c>
      <c r="P433" cm="1">
        <f t="array" ref="P433">_xlfn.ANCHORARRAY(F433)+0.15</f>
        <v>4.6500000000000004</v>
      </c>
      <c r="Q433" cm="1">
        <f t="array" ref="Q433">_xlfn.ANCHORARRAY(G433)+0.15</f>
        <v>3.65</v>
      </c>
      <c r="R433" cm="1">
        <f t="array" ref="R433">_xlfn.ANCHORARRAY(H433)</f>
        <v>9.99</v>
      </c>
      <c r="S433" cm="1">
        <f t="array" ref="S433">_xlfn.ANCHORARRAY(R433)+0.15</f>
        <v>10.14</v>
      </c>
      <c r="T433" cm="1">
        <f t="array" ref="T433">_xlfn.ANCHORARRAY(I433)+0.15</f>
        <v>1.1499999999999999</v>
      </c>
      <c r="U433" cm="1">
        <f t="array" ref="U433">_xlfn.ANCHORARRAY(J433)+0.15</f>
        <v>3.15</v>
      </c>
      <c r="V433" cm="1">
        <f t="array" ref="V433">_xlfn.ANCHORARRAY(K433)+0.15</f>
        <v>4.6500000000000004</v>
      </c>
      <c r="W433">
        <f>TBL_TEV[[#This Row],[Etica Rendita Bilanciata]]</f>
        <v>1.5852280000000001</v>
      </c>
      <c r="X433">
        <f>TBL_TEV[[#This Row],[Etica Obbligazionario Breve Termine]]</f>
        <v>0.30288599999999999</v>
      </c>
      <c r="Y433">
        <f>TBL_TEV[[#This Row],[Etica Obbligazionario Misto]]</f>
        <v>0.77800999999999998</v>
      </c>
      <c r="Z433">
        <f>TBL_TEV[[#This Row],[Etica Bilanciato]]</f>
        <v>2.312122</v>
      </c>
      <c r="AA433">
        <f>TBL_TEV[[#This Row],[Etica Azionario]]</f>
        <v>3.2704659999999999</v>
      </c>
      <c r="AB433">
        <f>TBL_TEV[[#This Row],[Etica Transizione Climatica]]</f>
        <v>2.6443759999999998</v>
      </c>
      <c r="AC433">
        <f>TBL_TEV[[#This Row],[Etica Obiettivo Sociale]]</f>
        <v>7.0387893986636625</v>
      </c>
      <c r="AD433">
        <f>TBL_TEV[[#This Row],[Etica Conservative Allocation]]</f>
        <v>0.60545400000000005</v>
      </c>
      <c r="AE433">
        <f>TBL_TEV[[#This Row],[Etica Dynamic Allocation]]</f>
        <v>2.8172489999999999</v>
      </c>
      <c r="AF433">
        <f>TBL_TEV[[#This Row],[Etica Global Equity]]</f>
        <v>4.3278670000000004</v>
      </c>
      <c r="AL433">
        <f ca="1"/>
        <v>1.5690360000000001</v>
      </c>
      <c r="AM433">
        <f ca="1"/>
        <v>0.30177399999999999</v>
      </c>
      <c r="AN433">
        <f ca="1"/>
        <v>0.77245399999999997</v>
      </c>
      <c r="AO433">
        <f ca="1"/>
        <v>2.2779919999999998</v>
      </c>
      <c r="AP433">
        <f ca="1"/>
        <v>3.2268110000000001</v>
      </c>
      <c r="AQ433">
        <f ca="1"/>
        <v>2.5837349999999999</v>
      </c>
      <c r="AR433">
        <f ca="1"/>
        <v>7.0246551739795651</v>
      </c>
      <c r="AS433">
        <f ca="1"/>
        <v>0.60053299999999998</v>
      </c>
      <c r="AT433">
        <f ca="1"/>
        <v>2.7923260000000001</v>
      </c>
      <c r="AU433">
        <f ca="1"/>
        <v>4.2731000000000003</v>
      </c>
    </row>
    <row r="434" spans="1:47">
      <c r="A434" s="43">
        <f>TBL_TEV[[#This Row],[Data2]]</f>
        <v>45911</v>
      </c>
      <c r="B434" cm="1">
        <f t="array" ref="B434">_xlfn.XLOOKUP(_xlfn.ANCHORARRAY(A434), TBL_Limiti_CDA[Data], TBL_Limiti_CDA[Etica Rendita Bilanciata], , -1)</f>
        <v>2.5</v>
      </c>
      <c r="C434" cm="1">
        <f t="array" ref="C434">_xlfn.XLOOKUP(_xlfn.ANCHORARRAY(A434), TBL_Limiti_CDA[Data], TBL_Limiti_CDA[Etica Obbligazionario Breve Termine], , -1)</f>
        <v>0.5</v>
      </c>
      <c r="D434" cm="1">
        <f t="array" ref="D434">_xlfn.XLOOKUP(_xlfn.ANCHORARRAY(A434), TBL_Limiti_CDA[Data], TBL_Limiti_CDA[Etica Obbligazionario Misto], , -1)</f>
        <v>1</v>
      </c>
      <c r="E434" cm="1">
        <f t="array" ref="E434">_xlfn.XLOOKUP(_xlfn.ANCHORARRAY(A434), TBL_Limiti_CDA[Data], TBL_Limiti_CDA[Etica Bilanciato], , -1)</f>
        <v>3</v>
      </c>
      <c r="F434" cm="1">
        <f t="array" ref="F434">_xlfn.XLOOKUP(_xlfn.ANCHORARRAY(A434), TBL_Limiti_CDA[Data], TBL_Limiti_CDA[Etica Azionario], , -1)</f>
        <v>4.5</v>
      </c>
      <c r="G434" cm="1">
        <f t="array" ref="G434">_xlfn.XLOOKUP(_xlfn.ANCHORARRAY(A434), TBL_Limiti_CDA[Data], TBL_Limiti_CDA[Etica Transizione Climatica], , -1)</f>
        <v>3.5</v>
      </c>
      <c r="H434" cm="1">
        <f t="array" ref="H434">_xlfn.XLOOKUP(_xlfn.ANCHORARRAY(A434), TBL_Limiti_CDA[Data], TBL_Limiti_CDA[Etica Obiettivo Sociale], , -1)</f>
        <v>9.99</v>
      </c>
      <c r="I434" cm="1">
        <f t="array" ref="I434">_xlfn.XLOOKUP(_xlfn.ANCHORARRAY(A434), TBL_Limiti_CDA[Data], TBL_Limiti_CDA[Etica Conservative Allocation], , -1)</f>
        <v>1</v>
      </c>
      <c r="J434" cm="1">
        <f t="array" ref="J434">_xlfn.XLOOKUP(_xlfn.ANCHORARRAY(A434), TBL_Limiti_CDA[Data], TBL_Limiti_CDA[Etica Dynamic Allocation], , -1)</f>
        <v>3</v>
      </c>
      <c r="K434" cm="1">
        <f t="array" ref="K434">_xlfn.XLOOKUP(_xlfn.ANCHORARRAY(A434), TBL_Limiti_CDA[Data], TBL_Limiti_CDA[Etica Global Equity], , -1)</f>
        <v>4.5</v>
      </c>
      <c r="L434" cm="1">
        <f t="array" ref="L434">_xlfn.ANCHORARRAY(B434)+0.15</f>
        <v>2.65</v>
      </c>
      <c r="M434" cm="1">
        <f t="array" ref="M434">_xlfn.ANCHORARRAY(C434)+0.1</f>
        <v>0.6</v>
      </c>
      <c r="N434" cm="1">
        <f t="array" ref="N434">_xlfn.ANCHORARRAY(D434)+0.15</f>
        <v>1.1499999999999999</v>
      </c>
      <c r="O434" cm="1">
        <f t="array" ref="O434">_xlfn.ANCHORARRAY(E434)+0.15</f>
        <v>3.15</v>
      </c>
      <c r="P434" cm="1">
        <f t="array" ref="P434">_xlfn.ANCHORARRAY(F434)+0.15</f>
        <v>4.6500000000000004</v>
      </c>
      <c r="Q434" cm="1">
        <f t="array" ref="Q434">_xlfn.ANCHORARRAY(G434)+0.15</f>
        <v>3.65</v>
      </c>
      <c r="R434" cm="1">
        <f t="array" ref="R434">_xlfn.ANCHORARRAY(H434)</f>
        <v>9.99</v>
      </c>
      <c r="S434" cm="1">
        <f t="array" ref="S434">_xlfn.ANCHORARRAY(R434)+0.15</f>
        <v>10.14</v>
      </c>
      <c r="T434" cm="1">
        <f t="array" ref="T434">_xlfn.ANCHORARRAY(I434)+0.15</f>
        <v>1.1499999999999999</v>
      </c>
      <c r="U434" cm="1">
        <f t="array" ref="U434">_xlfn.ANCHORARRAY(J434)+0.15</f>
        <v>3.15</v>
      </c>
      <c r="V434" cm="1">
        <f t="array" ref="V434">_xlfn.ANCHORARRAY(K434)+0.15</f>
        <v>4.6500000000000004</v>
      </c>
      <c r="W434">
        <f>TBL_TEV[[#This Row],[Etica Rendita Bilanciata]]</f>
        <v>1.5690360000000001</v>
      </c>
      <c r="X434">
        <f>TBL_TEV[[#This Row],[Etica Obbligazionario Breve Termine]]</f>
        <v>0.30177399999999999</v>
      </c>
      <c r="Y434">
        <f>TBL_TEV[[#This Row],[Etica Obbligazionario Misto]]</f>
        <v>0.77245399999999997</v>
      </c>
      <c r="Z434">
        <f>TBL_TEV[[#This Row],[Etica Bilanciato]]</f>
        <v>2.2779919999999998</v>
      </c>
      <c r="AA434">
        <f>TBL_TEV[[#This Row],[Etica Azionario]]</f>
        <v>3.2268110000000001</v>
      </c>
      <c r="AB434">
        <f>TBL_TEV[[#This Row],[Etica Transizione Climatica]]</f>
        <v>2.5837349999999999</v>
      </c>
      <c r="AC434">
        <f>TBL_TEV[[#This Row],[Etica Obiettivo Sociale]]</f>
        <v>7.0246551739795651</v>
      </c>
      <c r="AD434">
        <f>TBL_TEV[[#This Row],[Etica Conservative Allocation]]</f>
        <v>0.60053299999999998</v>
      </c>
      <c r="AE434">
        <f>TBL_TEV[[#This Row],[Etica Dynamic Allocation]]</f>
        <v>2.7923260000000001</v>
      </c>
      <c r="AF434">
        <f>TBL_TEV[[#This Row],[Etica Global Equity]]</f>
        <v>4.2731000000000003</v>
      </c>
      <c r="AL434">
        <f ca="1"/>
        <v>1.6087229999999999</v>
      </c>
      <c r="AM434">
        <f ca="1"/>
        <v>0.29971100000000001</v>
      </c>
      <c r="AN434">
        <f ca="1"/>
        <v>0.78515299999999999</v>
      </c>
      <c r="AO434">
        <f ca="1"/>
        <v>2.317361</v>
      </c>
      <c r="AP434">
        <f ca="1"/>
        <v>3.2890389999999998</v>
      </c>
      <c r="AQ434">
        <f ca="1"/>
        <v>2.6477089999999999</v>
      </c>
      <c r="AR434">
        <f ca="1"/>
        <v>7.2413438800442886</v>
      </c>
      <c r="AS434">
        <f ca="1"/>
        <v>0.61212100000000003</v>
      </c>
      <c r="AT434">
        <f ca="1"/>
        <v>2.8609040000000001</v>
      </c>
      <c r="AU434">
        <f ca="1"/>
        <v>4.386444</v>
      </c>
    </row>
    <row r="435" spans="1:47">
      <c r="A435" s="43">
        <f>TBL_TEV[[#This Row],[Data2]]</f>
        <v>45912</v>
      </c>
      <c r="B435" cm="1">
        <f t="array" ref="B435">_xlfn.XLOOKUP(_xlfn.ANCHORARRAY(A435), TBL_Limiti_CDA[Data], TBL_Limiti_CDA[Etica Rendita Bilanciata], , -1)</f>
        <v>2.5</v>
      </c>
      <c r="C435" cm="1">
        <f t="array" ref="C435">_xlfn.XLOOKUP(_xlfn.ANCHORARRAY(A435), TBL_Limiti_CDA[Data], TBL_Limiti_CDA[Etica Obbligazionario Breve Termine], , -1)</f>
        <v>0.5</v>
      </c>
      <c r="D435" cm="1">
        <f t="array" ref="D435">_xlfn.XLOOKUP(_xlfn.ANCHORARRAY(A435), TBL_Limiti_CDA[Data], TBL_Limiti_CDA[Etica Obbligazionario Misto], , -1)</f>
        <v>1</v>
      </c>
      <c r="E435" cm="1">
        <f t="array" ref="E435">_xlfn.XLOOKUP(_xlfn.ANCHORARRAY(A435), TBL_Limiti_CDA[Data], TBL_Limiti_CDA[Etica Bilanciato], , -1)</f>
        <v>3</v>
      </c>
      <c r="F435" cm="1">
        <f t="array" ref="F435">_xlfn.XLOOKUP(_xlfn.ANCHORARRAY(A435), TBL_Limiti_CDA[Data], TBL_Limiti_CDA[Etica Azionario], , -1)</f>
        <v>4.5</v>
      </c>
      <c r="G435" cm="1">
        <f t="array" ref="G435">_xlfn.XLOOKUP(_xlfn.ANCHORARRAY(A435), TBL_Limiti_CDA[Data], TBL_Limiti_CDA[Etica Transizione Climatica], , -1)</f>
        <v>3.5</v>
      </c>
      <c r="H435" cm="1">
        <f t="array" ref="H435">_xlfn.XLOOKUP(_xlfn.ANCHORARRAY(A435), TBL_Limiti_CDA[Data], TBL_Limiti_CDA[Etica Obiettivo Sociale], , -1)</f>
        <v>9.99</v>
      </c>
      <c r="I435" cm="1">
        <f t="array" ref="I435">_xlfn.XLOOKUP(_xlfn.ANCHORARRAY(A435), TBL_Limiti_CDA[Data], TBL_Limiti_CDA[Etica Conservative Allocation], , -1)</f>
        <v>1</v>
      </c>
      <c r="J435" cm="1">
        <f t="array" ref="J435">_xlfn.XLOOKUP(_xlfn.ANCHORARRAY(A435), TBL_Limiti_CDA[Data], TBL_Limiti_CDA[Etica Dynamic Allocation], , -1)</f>
        <v>3</v>
      </c>
      <c r="K435" cm="1">
        <f t="array" ref="K435">_xlfn.XLOOKUP(_xlfn.ANCHORARRAY(A435), TBL_Limiti_CDA[Data], TBL_Limiti_CDA[Etica Global Equity], , -1)</f>
        <v>4.5</v>
      </c>
      <c r="L435" cm="1">
        <f t="array" ref="L435">_xlfn.ANCHORARRAY(B435)+0.15</f>
        <v>2.65</v>
      </c>
      <c r="M435" cm="1">
        <f t="array" ref="M435">_xlfn.ANCHORARRAY(C435)+0.1</f>
        <v>0.6</v>
      </c>
      <c r="N435" cm="1">
        <f t="array" ref="N435">_xlfn.ANCHORARRAY(D435)+0.15</f>
        <v>1.1499999999999999</v>
      </c>
      <c r="O435" cm="1">
        <f t="array" ref="O435">_xlfn.ANCHORARRAY(E435)+0.15</f>
        <v>3.15</v>
      </c>
      <c r="P435" cm="1">
        <f t="array" ref="P435">_xlfn.ANCHORARRAY(F435)+0.15</f>
        <v>4.6500000000000004</v>
      </c>
      <c r="Q435" cm="1">
        <f t="array" ref="Q435">_xlfn.ANCHORARRAY(G435)+0.15</f>
        <v>3.65</v>
      </c>
      <c r="R435" cm="1">
        <f t="array" ref="R435">_xlfn.ANCHORARRAY(H435)</f>
        <v>9.99</v>
      </c>
      <c r="S435" cm="1">
        <f t="array" ref="S435">_xlfn.ANCHORARRAY(R435)+0.15</f>
        <v>10.14</v>
      </c>
      <c r="T435" cm="1">
        <f t="array" ref="T435">_xlfn.ANCHORARRAY(I435)+0.15</f>
        <v>1.1499999999999999</v>
      </c>
      <c r="U435" cm="1">
        <f t="array" ref="U435">_xlfn.ANCHORARRAY(J435)+0.15</f>
        <v>3.15</v>
      </c>
      <c r="V435" cm="1">
        <f t="array" ref="V435">_xlfn.ANCHORARRAY(K435)+0.15</f>
        <v>4.6500000000000004</v>
      </c>
      <c r="W435">
        <f>TBL_TEV[[#This Row],[Etica Rendita Bilanciata]]</f>
        <v>1.6087229999999999</v>
      </c>
      <c r="X435">
        <f>TBL_TEV[[#This Row],[Etica Obbligazionario Breve Termine]]</f>
        <v>0.29971100000000001</v>
      </c>
      <c r="Y435">
        <f>TBL_TEV[[#This Row],[Etica Obbligazionario Misto]]</f>
        <v>0.78515299999999999</v>
      </c>
      <c r="Z435">
        <f>TBL_TEV[[#This Row],[Etica Bilanciato]]</f>
        <v>2.317361</v>
      </c>
      <c r="AA435">
        <f>TBL_TEV[[#This Row],[Etica Azionario]]</f>
        <v>3.2890389999999998</v>
      </c>
      <c r="AB435">
        <f>TBL_TEV[[#This Row],[Etica Transizione Climatica]]</f>
        <v>2.6477089999999999</v>
      </c>
      <c r="AC435">
        <f>TBL_TEV[[#This Row],[Etica Obiettivo Sociale]]</f>
        <v>7.2413438800442886</v>
      </c>
      <c r="AD435">
        <f>TBL_TEV[[#This Row],[Etica Conservative Allocation]]</f>
        <v>0.61212100000000003</v>
      </c>
      <c r="AE435">
        <f>TBL_TEV[[#This Row],[Etica Dynamic Allocation]]</f>
        <v>2.8609040000000001</v>
      </c>
      <c r="AF435">
        <f>TBL_TEV[[#This Row],[Etica Global Equity]]</f>
        <v>4.386444</v>
      </c>
      <c r="AL435">
        <f ca="1"/>
        <v>1.6218980000000001</v>
      </c>
      <c r="AM435">
        <f ca="1"/>
        <v>0.30145699999999997</v>
      </c>
      <c r="AN435">
        <f ca="1"/>
        <v>0.79547199999999996</v>
      </c>
      <c r="AO435">
        <f ca="1"/>
        <v>2.3319649999999998</v>
      </c>
      <c r="AP435">
        <f ca="1"/>
        <v>3.3217409999999998</v>
      </c>
      <c r="AQ435">
        <f ca="1"/>
        <v>2.6664409999999998</v>
      </c>
      <c r="AR435">
        <f ca="1"/>
        <v>7.2851964889604837</v>
      </c>
      <c r="AS435">
        <f ca="1"/>
        <v>0.61767700000000003</v>
      </c>
      <c r="AT435">
        <f ca="1"/>
        <v>2.8918590000000002</v>
      </c>
      <c r="AU435">
        <f ca="1"/>
        <v>4.4247019999999999</v>
      </c>
    </row>
    <row r="436" spans="1:47">
      <c r="A436" s="43">
        <f>TBL_TEV[[#This Row],[Data2]]</f>
        <v>45915</v>
      </c>
      <c r="B436" cm="1">
        <f t="array" ref="B436">_xlfn.XLOOKUP(_xlfn.ANCHORARRAY(A436), TBL_Limiti_CDA[Data], TBL_Limiti_CDA[Etica Rendita Bilanciata], , -1)</f>
        <v>2.5</v>
      </c>
      <c r="C436" cm="1">
        <f t="array" ref="C436">_xlfn.XLOOKUP(_xlfn.ANCHORARRAY(A436), TBL_Limiti_CDA[Data], TBL_Limiti_CDA[Etica Obbligazionario Breve Termine], , -1)</f>
        <v>0.5</v>
      </c>
      <c r="D436" cm="1">
        <f t="array" ref="D436">_xlfn.XLOOKUP(_xlfn.ANCHORARRAY(A436), TBL_Limiti_CDA[Data], TBL_Limiti_CDA[Etica Obbligazionario Misto], , -1)</f>
        <v>1</v>
      </c>
      <c r="E436" cm="1">
        <f t="array" ref="E436">_xlfn.XLOOKUP(_xlfn.ANCHORARRAY(A436), TBL_Limiti_CDA[Data], TBL_Limiti_CDA[Etica Bilanciato], , -1)</f>
        <v>3</v>
      </c>
      <c r="F436" cm="1">
        <f t="array" ref="F436">_xlfn.XLOOKUP(_xlfn.ANCHORARRAY(A436), TBL_Limiti_CDA[Data], TBL_Limiti_CDA[Etica Azionario], , -1)</f>
        <v>4.5</v>
      </c>
      <c r="G436" cm="1">
        <f t="array" ref="G436">_xlfn.XLOOKUP(_xlfn.ANCHORARRAY(A436), TBL_Limiti_CDA[Data], TBL_Limiti_CDA[Etica Transizione Climatica], , -1)</f>
        <v>3.5</v>
      </c>
      <c r="H436" cm="1">
        <f t="array" ref="H436">_xlfn.XLOOKUP(_xlfn.ANCHORARRAY(A436), TBL_Limiti_CDA[Data], TBL_Limiti_CDA[Etica Obiettivo Sociale], , -1)</f>
        <v>9.99</v>
      </c>
      <c r="I436" cm="1">
        <f t="array" ref="I436">_xlfn.XLOOKUP(_xlfn.ANCHORARRAY(A436), TBL_Limiti_CDA[Data], TBL_Limiti_CDA[Etica Conservative Allocation], , -1)</f>
        <v>1</v>
      </c>
      <c r="J436" cm="1">
        <f t="array" ref="J436">_xlfn.XLOOKUP(_xlfn.ANCHORARRAY(A436), TBL_Limiti_CDA[Data], TBL_Limiti_CDA[Etica Dynamic Allocation], , -1)</f>
        <v>3</v>
      </c>
      <c r="K436" cm="1">
        <f t="array" ref="K436">_xlfn.XLOOKUP(_xlfn.ANCHORARRAY(A436), TBL_Limiti_CDA[Data], TBL_Limiti_CDA[Etica Global Equity], , -1)</f>
        <v>4.5</v>
      </c>
      <c r="L436" cm="1">
        <f t="array" ref="L436">_xlfn.ANCHORARRAY(B436)+0.15</f>
        <v>2.65</v>
      </c>
      <c r="M436" cm="1">
        <f t="array" ref="M436">_xlfn.ANCHORARRAY(C436)+0.1</f>
        <v>0.6</v>
      </c>
      <c r="N436" cm="1">
        <f t="array" ref="N436">_xlfn.ANCHORARRAY(D436)+0.15</f>
        <v>1.1499999999999999</v>
      </c>
      <c r="O436" cm="1">
        <f t="array" ref="O436">_xlfn.ANCHORARRAY(E436)+0.15</f>
        <v>3.15</v>
      </c>
      <c r="P436" cm="1">
        <f t="array" ref="P436">_xlfn.ANCHORARRAY(F436)+0.15</f>
        <v>4.6500000000000004</v>
      </c>
      <c r="Q436" cm="1">
        <f t="array" ref="Q436">_xlfn.ANCHORARRAY(G436)+0.15</f>
        <v>3.65</v>
      </c>
      <c r="R436" cm="1">
        <f t="array" ref="R436">_xlfn.ANCHORARRAY(H436)</f>
        <v>9.99</v>
      </c>
      <c r="S436" cm="1">
        <f t="array" ref="S436">_xlfn.ANCHORARRAY(R436)+0.15</f>
        <v>10.14</v>
      </c>
      <c r="T436" cm="1">
        <f t="array" ref="T436">_xlfn.ANCHORARRAY(I436)+0.15</f>
        <v>1.1499999999999999</v>
      </c>
      <c r="U436" cm="1">
        <f t="array" ref="U436">_xlfn.ANCHORARRAY(J436)+0.15</f>
        <v>3.15</v>
      </c>
      <c r="V436" cm="1">
        <f t="array" ref="V436">_xlfn.ANCHORARRAY(K436)+0.15</f>
        <v>4.6500000000000004</v>
      </c>
      <c r="W436">
        <f>TBL_TEV[[#This Row],[Etica Rendita Bilanciata]]</f>
        <v>1.6218980000000001</v>
      </c>
      <c r="X436">
        <f>TBL_TEV[[#This Row],[Etica Obbligazionario Breve Termine]]</f>
        <v>0.30145699999999997</v>
      </c>
      <c r="Y436">
        <f>TBL_TEV[[#This Row],[Etica Obbligazionario Misto]]</f>
        <v>0.79547199999999996</v>
      </c>
      <c r="Z436">
        <f>TBL_TEV[[#This Row],[Etica Bilanciato]]</f>
        <v>2.3319649999999998</v>
      </c>
      <c r="AA436">
        <f>TBL_TEV[[#This Row],[Etica Azionario]]</f>
        <v>3.3217409999999998</v>
      </c>
      <c r="AB436">
        <f>TBL_TEV[[#This Row],[Etica Transizione Climatica]]</f>
        <v>2.6664409999999998</v>
      </c>
      <c r="AC436">
        <f>TBL_TEV[[#This Row],[Etica Obiettivo Sociale]]</f>
        <v>7.2851964889604837</v>
      </c>
      <c r="AD436">
        <f>TBL_TEV[[#This Row],[Etica Conservative Allocation]]</f>
        <v>0.61767700000000003</v>
      </c>
      <c r="AE436">
        <f>TBL_TEV[[#This Row],[Etica Dynamic Allocation]]</f>
        <v>2.8918590000000002</v>
      </c>
      <c r="AF436">
        <f>TBL_TEV[[#This Row],[Etica Global Equity]]</f>
        <v>4.4247019999999999</v>
      </c>
      <c r="AL436">
        <f ca="1"/>
        <v>1.6247560000000001</v>
      </c>
      <c r="AM436">
        <f ca="1"/>
        <v>0.30018699999999998</v>
      </c>
      <c r="AN436">
        <f ca="1"/>
        <v>0.79547199999999996</v>
      </c>
      <c r="AO436">
        <f ca="1"/>
        <v>2.3408549999999999</v>
      </c>
      <c r="AP436">
        <f ca="1"/>
        <v>3.346822</v>
      </c>
      <c r="AQ436">
        <f ca="1"/>
        <v>2.668822</v>
      </c>
      <c r="AR436">
        <f ca="1"/>
        <v>7.1190853949711697</v>
      </c>
      <c r="AS436">
        <f ca="1"/>
        <v>0.61799499999999996</v>
      </c>
      <c r="AT436">
        <f ca="1"/>
        <v>2.8996379999999999</v>
      </c>
      <c r="AU436">
        <f ca="1"/>
        <v>4.4440679999999997</v>
      </c>
    </row>
    <row r="437" spans="1:47">
      <c r="A437" s="12">
        <f>TBL_TEV[[#This Row],[Data2]]</f>
        <v>45916</v>
      </c>
      <c r="B437" cm="1">
        <f t="array" ref="B437">_xlfn.XLOOKUP(_xlfn.ANCHORARRAY(A437), TBL_Limiti_CDA[Data], TBL_Limiti_CDA[Etica Rendita Bilanciata], , -1)</f>
        <v>2.5</v>
      </c>
      <c r="C437" cm="1">
        <f t="array" ref="C437">_xlfn.XLOOKUP(_xlfn.ANCHORARRAY(A437), TBL_Limiti_CDA[Data], TBL_Limiti_CDA[Etica Obbligazionario Breve Termine], , -1)</f>
        <v>0.5</v>
      </c>
      <c r="D437" cm="1">
        <f t="array" ref="D437">_xlfn.XLOOKUP(_xlfn.ANCHORARRAY(A437), TBL_Limiti_CDA[Data], TBL_Limiti_CDA[Etica Obbligazionario Misto], , -1)</f>
        <v>1</v>
      </c>
      <c r="E437" cm="1">
        <f t="array" ref="E437">_xlfn.XLOOKUP(_xlfn.ANCHORARRAY(A437), TBL_Limiti_CDA[Data], TBL_Limiti_CDA[Etica Bilanciato], , -1)</f>
        <v>3</v>
      </c>
      <c r="F437" cm="1">
        <f t="array" ref="F437">_xlfn.XLOOKUP(_xlfn.ANCHORARRAY(A437), TBL_Limiti_CDA[Data], TBL_Limiti_CDA[Etica Azionario], , -1)</f>
        <v>4.5</v>
      </c>
      <c r="G437" cm="1">
        <f t="array" ref="G437">_xlfn.XLOOKUP(_xlfn.ANCHORARRAY(A437), TBL_Limiti_CDA[Data], TBL_Limiti_CDA[Etica Transizione Climatica], , -1)</f>
        <v>3.5</v>
      </c>
      <c r="H437" cm="1">
        <f t="array" ref="H437">_xlfn.XLOOKUP(_xlfn.ANCHORARRAY(A437), TBL_Limiti_CDA[Data], TBL_Limiti_CDA[Etica Obiettivo Sociale], , -1)</f>
        <v>9.99</v>
      </c>
      <c r="I437" cm="1">
        <f t="array" ref="I437">_xlfn.XLOOKUP(_xlfn.ANCHORARRAY(A437), TBL_Limiti_CDA[Data], TBL_Limiti_CDA[Etica Conservative Allocation], , -1)</f>
        <v>1</v>
      </c>
      <c r="J437" cm="1">
        <f t="array" ref="J437">_xlfn.XLOOKUP(_xlfn.ANCHORARRAY(A437), TBL_Limiti_CDA[Data], TBL_Limiti_CDA[Etica Dynamic Allocation], , -1)</f>
        <v>3</v>
      </c>
      <c r="K437" cm="1">
        <f t="array" ref="K437">_xlfn.XLOOKUP(_xlfn.ANCHORARRAY(A437), TBL_Limiti_CDA[Data], TBL_Limiti_CDA[Etica Global Equity], , -1)</f>
        <v>4.5</v>
      </c>
      <c r="L437" cm="1">
        <f t="array" ref="L437">_xlfn.ANCHORARRAY(B437)+0.15</f>
        <v>2.65</v>
      </c>
      <c r="M437" cm="1">
        <f t="array" ref="M437">_xlfn.ANCHORARRAY(C437)+0.1</f>
        <v>0.6</v>
      </c>
      <c r="N437" cm="1">
        <f t="array" ref="N437">_xlfn.ANCHORARRAY(D437)+0.15</f>
        <v>1.1499999999999999</v>
      </c>
      <c r="O437" cm="1">
        <f t="array" ref="O437">_xlfn.ANCHORARRAY(E437)+0.15</f>
        <v>3.15</v>
      </c>
      <c r="P437" cm="1">
        <f t="array" ref="P437">_xlfn.ANCHORARRAY(F437)+0.15</f>
        <v>4.6500000000000004</v>
      </c>
      <c r="Q437" cm="1">
        <f t="array" ref="Q437">_xlfn.ANCHORARRAY(G437)+0.15</f>
        <v>3.65</v>
      </c>
      <c r="R437" cm="1">
        <f t="array" ref="R437">_xlfn.ANCHORARRAY(H437)</f>
        <v>9.99</v>
      </c>
      <c r="S437" cm="1">
        <f t="array" ref="S437">_xlfn.ANCHORARRAY(R437)+0.15</f>
        <v>10.14</v>
      </c>
      <c r="T437" cm="1">
        <f t="array" ref="T437">_xlfn.ANCHORARRAY(I437)+0.15</f>
        <v>1.1499999999999999</v>
      </c>
      <c r="U437" cm="1">
        <f t="array" ref="U437">_xlfn.ANCHORARRAY(J437)+0.15</f>
        <v>3.15</v>
      </c>
      <c r="V437" cm="1">
        <f t="array" ref="V437">_xlfn.ANCHORARRAY(K437)+0.15</f>
        <v>4.6500000000000004</v>
      </c>
      <c r="W437">
        <f>TBL_TEV[[#This Row],[Etica Rendita Bilanciata]]</f>
        <v>1.6247560000000001</v>
      </c>
      <c r="X437">
        <f>TBL_TEV[[#This Row],[Etica Obbligazionario Breve Termine]]</f>
        <v>0.30018699999999998</v>
      </c>
      <c r="Y437">
        <f>TBL_TEV[[#This Row],[Etica Obbligazionario Misto]]</f>
        <v>0.79547199999999996</v>
      </c>
      <c r="Z437">
        <f>TBL_TEV[[#This Row],[Etica Bilanciato]]</f>
        <v>2.3408549999999999</v>
      </c>
      <c r="AA437">
        <f>TBL_TEV[[#This Row],[Etica Azionario]]</f>
        <v>3.346822</v>
      </c>
      <c r="AB437">
        <f>TBL_TEV[[#This Row],[Etica Transizione Climatica]]</f>
        <v>2.668822</v>
      </c>
      <c r="AC437">
        <f>TBL_TEV[[#This Row],[Etica Obiettivo Sociale]]</f>
        <v>7.1190853949711697</v>
      </c>
      <c r="AD437">
        <f>TBL_TEV[[#This Row],[Etica Conservative Allocation]]</f>
        <v>0.61799499999999996</v>
      </c>
      <c r="AE437">
        <f>TBL_TEV[[#This Row],[Etica Dynamic Allocation]]</f>
        <v>2.8996379999999999</v>
      </c>
      <c r="AF437">
        <f>TBL_TEV[[#This Row],[Etica Global Equity]]</f>
        <v>4.4440679999999997</v>
      </c>
      <c r="AL437">
        <f ca="1"/>
        <v>1.618406</v>
      </c>
      <c r="AM437">
        <f ca="1"/>
        <v>0.299234</v>
      </c>
      <c r="AN437">
        <f ca="1"/>
        <v>0.79388400000000003</v>
      </c>
      <c r="AO437">
        <f ca="1"/>
        <v>2.3345050000000001</v>
      </c>
      <c r="AP437">
        <f ca="1"/>
        <v>3.3368220000000002</v>
      </c>
      <c r="AQ437">
        <f ca="1"/>
        <v>2.656123</v>
      </c>
      <c r="AR437">
        <f ca="1"/>
        <v>7.0846125233270474</v>
      </c>
      <c r="AS437">
        <f ca="1"/>
        <v>0.613232</v>
      </c>
      <c r="AT437">
        <f ca="1"/>
        <v>2.1640130000000002</v>
      </c>
      <c r="AU437">
        <f ca="1"/>
        <v>3.3338049999999999</v>
      </c>
    </row>
    <row r="438" spans="1:47">
      <c r="A438" s="12">
        <f>TBL_TEV[[#This Row],[Data2]]</f>
        <v>45917</v>
      </c>
      <c r="B438" cm="1">
        <f t="array" ref="B438">_xlfn.XLOOKUP(_xlfn.ANCHORARRAY(A438), TBL_Limiti_CDA[Data], TBL_Limiti_CDA[Etica Rendita Bilanciata], , -1)</f>
        <v>2.5</v>
      </c>
      <c r="C438" cm="1">
        <f t="array" ref="C438">_xlfn.XLOOKUP(_xlfn.ANCHORARRAY(A438), TBL_Limiti_CDA[Data], TBL_Limiti_CDA[Etica Obbligazionario Breve Termine], , -1)</f>
        <v>0.5</v>
      </c>
      <c r="D438" cm="1">
        <f t="array" ref="D438">_xlfn.XLOOKUP(_xlfn.ANCHORARRAY(A438), TBL_Limiti_CDA[Data], TBL_Limiti_CDA[Etica Obbligazionario Misto], , -1)</f>
        <v>1</v>
      </c>
      <c r="E438" cm="1">
        <f t="array" ref="E438">_xlfn.XLOOKUP(_xlfn.ANCHORARRAY(A438), TBL_Limiti_CDA[Data], TBL_Limiti_CDA[Etica Bilanciato], , -1)</f>
        <v>3</v>
      </c>
      <c r="F438" cm="1">
        <f t="array" ref="F438">_xlfn.XLOOKUP(_xlfn.ANCHORARRAY(A438), TBL_Limiti_CDA[Data], TBL_Limiti_CDA[Etica Azionario], , -1)</f>
        <v>4.5</v>
      </c>
      <c r="G438" cm="1">
        <f t="array" ref="G438">_xlfn.XLOOKUP(_xlfn.ANCHORARRAY(A438), TBL_Limiti_CDA[Data], TBL_Limiti_CDA[Etica Transizione Climatica], , -1)</f>
        <v>3.5</v>
      </c>
      <c r="H438" cm="1">
        <f t="array" ref="H438">_xlfn.XLOOKUP(_xlfn.ANCHORARRAY(A438), TBL_Limiti_CDA[Data], TBL_Limiti_CDA[Etica Obiettivo Sociale], , -1)</f>
        <v>9.99</v>
      </c>
      <c r="I438" cm="1">
        <f t="array" ref="I438">_xlfn.XLOOKUP(_xlfn.ANCHORARRAY(A438), TBL_Limiti_CDA[Data], TBL_Limiti_CDA[Etica Conservative Allocation], , -1)</f>
        <v>1</v>
      </c>
      <c r="J438" cm="1">
        <f t="array" ref="J438">_xlfn.XLOOKUP(_xlfn.ANCHORARRAY(A438), TBL_Limiti_CDA[Data], TBL_Limiti_CDA[Etica Dynamic Allocation], , -1)</f>
        <v>3</v>
      </c>
      <c r="K438" cm="1">
        <f t="array" ref="K438">_xlfn.XLOOKUP(_xlfn.ANCHORARRAY(A438), TBL_Limiti_CDA[Data], TBL_Limiti_CDA[Etica Global Equity], , -1)</f>
        <v>4.5</v>
      </c>
      <c r="L438" cm="1">
        <f t="array" ref="L438">_xlfn.ANCHORARRAY(B438)+0.15</f>
        <v>2.65</v>
      </c>
      <c r="M438" cm="1">
        <f t="array" ref="M438">_xlfn.ANCHORARRAY(C438)+0.1</f>
        <v>0.6</v>
      </c>
      <c r="N438" cm="1">
        <f t="array" ref="N438">_xlfn.ANCHORARRAY(D438)+0.15</f>
        <v>1.1499999999999999</v>
      </c>
      <c r="O438" cm="1">
        <f t="array" ref="O438">_xlfn.ANCHORARRAY(E438)+0.15</f>
        <v>3.15</v>
      </c>
      <c r="P438" cm="1">
        <f t="array" ref="P438">_xlfn.ANCHORARRAY(F438)+0.15</f>
        <v>4.6500000000000004</v>
      </c>
      <c r="Q438" cm="1">
        <f t="array" ref="Q438">_xlfn.ANCHORARRAY(G438)+0.15</f>
        <v>3.65</v>
      </c>
      <c r="R438" cm="1">
        <f t="array" ref="R438">_xlfn.ANCHORARRAY(H438)</f>
        <v>9.99</v>
      </c>
      <c r="S438" cm="1">
        <f t="array" ref="S438">_xlfn.ANCHORARRAY(R438)+0.15</f>
        <v>10.14</v>
      </c>
      <c r="T438" cm="1">
        <f t="array" ref="T438">_xlfn.ANCHORARRAY(I438)+0.15</f>
        <v>1.1499999999999999</v>
      </c>
      <c r="U438" cm="1">
        <f t="array" ref="U438">_xlfn.ANCHORARRAY(J438)+0.15</f>
        <v>3.15</v>
      </c>
      <c r="V438" cm="1">
        <f t="array" ref="V438">_xlfn.ANCHORARRAY(K438)+0.15</f>
        <v>4.6500000000000004</v>
      </c>
      <c r="W438">
        <f>TBL_TEV[[#This Row],[Etica Rendita Bilanciata]]</f>
        <v>1.618406</v>
      </c>
      <c r="X438">
        <f>TBL_TEV[[#This Row],[Etica Obbligazionario Breve Termine]]</f>
        <v>0.299234</v>
      </c>
      <c r="Y438">
        <f>TBL_TEV[[#This Row],[Etica Obbligazionario Misto]]</f>
        <v>0.79388400000000003</v>
      </c>
      <c r="Z438">
        <f>TBL_TEV[[#This Row],[Etica Bilanciato]]</f>
        <v>2.3345050000000001</v>
      </c>
      <c r="AA438">
        <f>TBL_TEV[[#This Row],[Etica Azionario]]</f>
        <v>3.3368220000000002</v>
      </c>
      <c r="AB438">
        <f>TBL_TEV[[#This Row],[Etica Transizione Climatica]]</f>
        <v>2.656123</v>
      </c>
      <c r="AC438">
        <f>TBL_TEV[[#This Row],[Etica Obiettivo Sociale]]</f>
        <v>7.0846125233270474</v>
      </c>
      <c r="AD438">
        <f>TBL_TEV[[#This Row],[Etica Conservative Allocation]]</f>
        <v>0.613232</v>
      </c>
      <c r="AE438">
        <f>TBL_TEV[[#This Row],[Etica Dynamic Allocation]]</f>
        <v>2.1640130000000002</v>
      </c>
      <c r="AF438">
        <f>TBL_TEV[[#This Row],[Etica Global Equity]]</f>
        <v>3.3338049999999999</v>
      </c>
      <c r="AL438">
        <f ca="1"/>
        <v>1.6169770000000001</v>
      </c>
      <c r="AM438">
        <f ca="1"/>
        <v>0.29907600000000001</v>
      </c>
      <c r="AN438">
        <f ca="1"/>
        <v>0.79197899999999999</v>
      </c>
      <c r="AO438">
        <f ca="1"/>
        <v>2.3240280000000002</v>
      </c>
      <c r="AP438">
        <f ca="1"/>
        <v>3.3285670000000001</v>
      </c>
      <c r="AQ438">
        <f ca="1"/>
        <v>2.6764420000000002</v>
      </c>
      <c r="AR438">
        <f ca="1"/>
        <v>7.3721734021592971</v>
      </c>
      <c r="AS438">
        <f ca="1"/>
        <v>0.73864099999999999</v>
      </c>
      <c r="AT438">
        <f ca="1"/>
        <v>2.1517900000000001</v>
      </c>
      <c r="AU438">
        <f ca="1"/>
        <v>3.3209469999999999</v>
      </c>
    </row>
    <row r="439" spans="1:47">
      <c r="A439" s="43">
        <f>TBL_TEV[[#This Row],[Data2]]</f>
        <v>45918</v>
      </c>
      <c r="B439" cm="1">
        <f t="array" ref="B439">_xlfn.XLOOKUP(_xlfn.ANCHORARRAY(A439), TBL_Limiti_CDA[Data], TBL_Limiti_CDA[Etica Rendita Bilanciata], , -1)</f>
        <v>2.5</v>
      </c>
      <c r="C439" cm="1">
        <f t="array" ref="C439">_xlfn.XLOOKUP(_xlfn.ANCHORARRAY(A439), TBL_Limiti_CDA[Data], TBL_Limiti_CDA[Etica Obbligazionario Breve Termine], , -1)</f>
        <v>0.5</v>
      </c>
      <c r="D439" cm="1">
        <f t="array" ref="D439">_xlfn.XLOOKUP(_xlfn.ANCHORARRAY(A439), TBL_Limiti_CDA[Data], TBL_Limiti_CDA[Etica Obbligazionario Misto], , -1)</f>
        <v>1</v>
      </c>
      <c r="E439" cm="1">
        <f t="array" ref="E439">_xlfn.XLOOKUP(_xlfn.ANCHORARRAY(A439), TBL_Limiti_CDA[Data], TBL_Limiti_CDA[Etica Bilanciato], , -1)</f>
        <v>3</v>
      </c>
      <c r="F439" cm="1">
        <f t="array" ref="F439">_xlfn.XLOOKUP(_xlfn.ANCHORARRAY(A439), TBL_Limiti_CDA[Data], TBL_Limiti_CDA[Etica Azionario], , -1)</f>
        <v>4.5</v>
      </c>
      <c r="G439" cm="1">
        <f t="array" ref="G439">_xlfn.XLOOKUP(_xlfn.ANCHORARRAY(A439), TBL_Limiti_CDA[Data], TBL_Limiti_CDA[Etica Transizione Climatica], , -1)</f>
        <v>3.5</v>
      </c>
      <c r="H439" cm="1">
        <f t="array" ref="H439">_xlfn.XLOOKUP(_xlfn.ANCHORARRAY(A439), TBL_Limiti_CDA[Data], TBL_Limiti_CDA[Etica Obiettivo Sociale], , -1)</f>
        <v>9.99</v>
      </c>
      <c r="I439" cm="1">
        <f t="array" ref="I439">_xlfn.XLOOKUP(_xlfn.ANCHORARRAY(A439), TBL_Limiti_CDA[Data], TBL_Limiti_CDA[Etica Conservative Allocation], , -1)</f>
        <v>1</v>
      </c>
      <c r="J439" cm="1">
        <f t="array" ref="J439">_xlfn.XLOOKUP(_xlfn.ANCHORARRAY(A439), TBL_Limiti_CDA[Data], TBL_Limiti_CDA[Etica Dynamic Allocation], , -1)</f>
        <v>3</v>
      </c>
      <c r="K439" cm="1">
        <f t="array" ref="K439">_xlfn.XLOOKUP(_xlfn.ANCHORARRAY(A439), TBL_Limiti_CDA[Data], TBL_Limiti_CDA[Etica Global Equity], , -1)</f>
        <v>4.5</v>
      </c>
      <c r="L439" cm="1">
        <f t="array" ref="L439">_xlfn.ANCHORARRAY(B439)+0.15</f>
        <v>2.65</v>
      </c>
      <c r="M439" cm="1">
        <f t="array" ref="M439">_xlfn.ANCHORARRAY(C439)+0.1</f>
        <v>0.6</v>
      </c>
      <c r="N439" cm="1">
        <f t="array" ref="N439">_xlfn.ANCHORARRAY(D439)+0.15</f>
        <v>1.1499999999999999</v>
      </c>
      <c r="O439" cm="1">
        <f t="array" ref="O439">_xlfn.ANCHORARRAY(E439)+0.15</f>
        <v>3.15</v>
      </c>
      <c r="P439" cm="1">
        <f t="array" ref="P439">_xlfn.ANCHORARRAY(F439)+0.15</f>
        <v>4.6500000000000004</v>
      </c>
      <c r="Q439" cm="1">
        <f t="array" ref="Q439">_xlfn.ANCHORARRAY(G439)+0.15</f>
        <v>3.65</v>
      </c>
      <c r="R439" cm="1">
        <f t="array" ref="R439">_xlfn.ANCHORARRAY(H439)</f>
        <v>9.99</v>
      </c>
      <c r="S439" cm="1">
        <f t="array" ref="S439">_xlfn.ANCHORARRAY(R439)+0.15</f>
        <v>10.14</v>
      </c>
      <c r="T439" cm="1">
        <f t="array" ref="T439">_xlfn.ANCHORARRAY(I439)+0.15</f>
        <v>1.1499999999999999</v>
      </c>
      <c r="U439" cm="1">
        <f t="array" ref="U439">_xlfn.ANCHORARRAY(J439)+0.15</f>
        <v>3.15</v>
      </c>
      <c r="V439" cm="1">
        <f t="array" ref="V439">_xlfn.ANCHORARRAY(K439)+0.15</f>
        <v>4.6500000000000004</v>
      </c>
      <c r="W439">
        <f>TBL_TEV[[#This Row],[Etica Rendita Bilanciata]]</f>
        <v>1.6169770000000001</v>
      </c>
      <c r="X439">
        <f>TBL_TEV[[#This Row],[Etica Obbligazionario Breve Termine]]</f>
        <v>0.29907600000000001</v>
      </c>
      <c r="Y439">
        <f>TBL_TEV[[#This Row],[Etica Obbligazionario Misto]]</f>
        <v>0.79197899999999999</v>
      </c>
      <c r="Z439">
        <f>TBL_TEV[[#This Row],[Etica Bilanciato]]</f>
        <v>2.3240280000000002</v>
      </c>
      <c r="AA439">
        <f>TBL_TEV[[#This Row],[Etica Azionario]]</f>
        <v>3.3285670000000001</v>
      </c>
      <c r="AB439">
        <f>TBL_TEV[[#This Row],[Etica Transizione Climatica]]</f>
        <v>2.6764420000000002</v>
      </c>
      <c r="AC439">
        <f>TBL_TEV[[#This Row],[Etica Obiettivo Sociale]]</f>
        <v>7.3721734021592971</v>
      </c>
      <c r="AD439">
        <f>TBL_TEV[[#This Row],[Etica Conservative Allocation]]</f>
        <v>0.73864099999999999</v>
      </c>
      <c r="AE439">
        <f>TBL_TEV[[#This Row],[Etica Dynamic Allocation]]</f>
        <v>2.1517900000000001</v>
      </c>
      <c r="AF439">
        <f>TBL_TEV[[#This Row],[Etica Global Equity]]</f>
        <v>3.3209469999999999</v>
      </c>
      <c r="AL439">
        <f ca="1"/>
        <v>1.6399950000000001</v>
      </c>
      <c r="AM439">
        <f ca="1"/>
        <v>0.29796499999999998</v>
      </c>
      <c r="AN439">
        <f ca="1"/>
        <v>0.80166300000000001</v>
      </c>
      <c r="AO439">
        <f ca="1"/>
        <v>2.3657780000000002</v>
      </c>
      <c r="AP439">
        <f ca="1"/>
        <v>3.3861910000000002</v>
      </c>
      <c r="AQ439">
        <f ca="1"/>
        <v>2.7078739999999999</v>
      </c>
      <c r="AR439">
        <f ca="1"/>
        <v>7.1091781803795042</v>
      </c>
      <c r="AS439">
        <f ca="1"/>
        <v>0.74562600000000001</v>
      </c>
      <c r="AT439">
        <f ca="1"/>
        <v>2.1554410000000002</v>
      </c>
      <c r="AU439">
        <f ca="1"/>
        <v>3.3774600000000001</v>
      </c>
    </row>
    <row r="440" spans="1:47">
      <c r="A440" s="43">
        <f>TBL_TEV[[#This Row],[Data2]]</f>
        <v>45919</v>
      </c>
      <c r="B440" cm="1">
        <f t="array" ref="B440">_xlfn.XLOOKUP(_xlfn.ANCHORARRAY(A440), TBL_Limiti_CDA[Data], TBL_Limiti_CDA[Etica Rendita Bilanciata], , -1)</f>
        <v>2.5</v>
      </c>
      <c r="C440" cm="1">
        <f t="array" ref="C440">_xlfn.XLOOKUP(_xlfn.ANCHORARRAY(A440), TBL_Limiti_CDA[Data], TBL_Limiti_CDA[Etica Obbligazionario Breve Termine], , -1)</f>
        <v>0.5</v>
      </c>
      <c r="D440" cm="1">
        <f t="array" ref="D440">_xlfn.XLOOKUP(_xlfn.ANCHORARRAY(A440), TBL_Limiti_CDA[Data], TBL_Limiti_CDA[Etica Obbligazionario Misto], , -1)</f>
        <v>1</v>
      </c>
      <c r="E440" cm="1">
        <f t="array" ref="E440">_xlfn.XLOOKUP(_xlfn.ANCHORARRAY(A440), TBL_Limiti_CDA[Data], TBL_Limiti_CDA[Etica Bilanciato], , -1)</f>
        <v>3</v>
      </c>
      <c r="F440" cm="1">
        <f t="array" ref="F440">_xlfn.XLOOKUP(_xlfn.ANCHORARRAY(A440), TBL_Limiti_CDA[Data], TBL_Limiti_CDA[Etica Azionario], , -1)</f>
        <v>4.5</v>
      </c>
      <c r="G440" cm="1">
        <f t="array" ref="G440">_xlfn.XLOOKUP(_xlfn.ANCHORARRAY(A440), TBL_Limiti_CDA[Data], TBL_Limiti_CDA[Etica Transizione Climatica], , -1)</f>
        <v>3.5</v>
      </c>
      <c r="H440" cm="1">
        <f t="array" ref="H440">_xlfn.XLOOKUP(_xlfn.ANCHORARRAY(A440), TBL_Limiti_CDA[Data], TBL_Limiti_CDA[Etica Obiettivo Sociale], , -1)</f>
        <v>9.99</v>
      </c>
      <c r="I440" cm="1">
        <f t="array" ref="I440">_xlfn.XLOOKUP(_xlfn.ANCHORARRAY(A440), TBL_Limiti_CDA[Data], TBL_Limiti_CDA[Etica Conservative Allocation], , -1)</f>
        <v>1</v>
      </c>
      <c r="J440" cm="1">
        <f t="array" ref="J440">_xlfn.XLOOKUP(_xlfn.ANCHORARRAY(A440), TBL_Limiti_CDA[Data], TBL_Limiti_CDA[Etica Dynamic Allocation], , -1)</f>
        <v>3</v>
      </c>
      <c r="K440" cm="1">
        <f t="array" ref="K440">_xlfn.XLOOKUP(_xlfn.ANCHORARRAY(A440), TBL_Limiti_CDA[Data], TBL_Limiti_CDA[Etica Global Equity], , -1)</f>
        <v>4.5</v>
      </c>
      <c r="L440" cm="1">
        <f t="array" ref="L440">_xlfn.ANCHORARRAY(B440)+0.15</f>
        <v>2.65</v>
      </c>
      <c r="M440" cm="1">
        <f t="array" ref="M440">_xlfn.ANCHORARRAY(C440)+0.1</f>
        <v>0.6</v>
      </c>
      <c r="N440" cm="1">
        <f t="array" ref="N440">_xlfn.ANCHORARRAY(D440)+0.15</f>
        <v>1.1499999999999999</v>
      </c>
      <c r="O440" cm="1">
        <f t="array" ref="O440">_xlfn.ANCHORARRAY(E440)+0.15</f>
        <v>3.15</v>
      </c>
      <c r="P440" cm="1">
        <f t="array" ref="P440">_xlfn.ANCHORARRAY(F440)+0.15</f>
        <v>4.6500000000000004</v>
      </c>
      <c r="Q440" cm="1">
        <f t="array" ref="Q440">_xlfn.ANCHORARRAY(G440)+0.15</f>
        <v>3.65</v>
      </c>
      <c r="R440" cm="1">
        <f t="array" ref="R440">_xlfn.ANCHORARRAY(H440)</f>
        <v>9.99</v>
      </c>
      <c r="S440" cm="1">
        <f t="array" ref="S440">_xlfn.ANCHORARRAY(R440)+0.15</f>
        <v>10.14</v>
      </c>
      <c r="T440" cm="1">
        <f t="array" ref="T440">_xlfn.ANCHORARRAY(I440)+0.15</f>
        <v>1.1499999999999999</v>
      </c>
      <c r="U440" cm="1">
        <f t="array" ref="U440">_xlfn.ANCHORARRAY(J440)+0.15</f>
        <v>3.15</v>
      </c>
      <c r="V440" cm="1">
        <f t="array" ref="V440">_xlfn.ANCHORARRAY(K440)+0.15</f>
        <v>4.6500000000000004</v>
      </c>
      <c r="W440">
        <f>TBL_TEV[[#This Row],[Etica Rendita Bilanciata]]</f>
        <v>1.6399950000000001</v>
      </c>
      <c r="X440">
        <f>TBL_TEV[[#This Row],[Etica Obbligazionario Breve Termine]]</f>
        <v>0.29796499999999998</v>
      </c>
      <c r="Y440">
        <f>TBL_TEV[[#This Row],[Etica Obbligazionario Misto]]</f>
        <v>0.80166300000000001</v>
      </c>
      <c r="Z440">
        <f>TBL_TEV[[#This Row],[Etica Bilanciato]]</f>
        <v>2.3657780000000002</v>
      </c>
      <c r="AA440">
        <f>TBL_TEV[[#This Row],[Etica Azionario]]</f>
        <v>3.3861910000000002</v>
      </c>
      <c r="AB440">
        <f>TBL_TEV[[#This Row],[Etica Transizione Climatica]]</f>
        <v>2.7078739999999999</v>
      </c>
      <c r="AC440">
        <f>TBL_TEV[[#This Row],[Etica Obiettivo Sociale]]</f>
        <v>7.1091781803795042</v>
      </c>
      <c r="AD440">
        <f>TBL_TEV[[#This Row],[Etica Conservative Allocation]]</f>
        <v>0.74562600000000001</v>
      </c>
      <c r="AE440">
        <f>TBL_TEV[[#This Row],[Etica Dynamic Allocation]]</f>
        <v>2.1554410000000002</v>
      </c>
      <c r="AF440">
        <f>TBL_TEV[[#This Row],[Etica Global Equity]]</f>
        <v>3.3774600000000001</v>
      </c>
      <c r="AL440">
        <f ca="1"/>
        <v>1.662061</v>
      </c>
      <c r="AM440">
        <f ca="1"/>
        <v>0.296377</v>
      </c>
      <c r="AN440">
        <f ca="1"/>
        <v>0.80896500000000005</v>
      </c>
      <c r="AO440">
        <f ca="1"/>
        <v>2.3970509999999998</v>
      </c>
      <c r="AP440">
        <f ca="1"/>
        <v>3.437783</v>
      </c>
      <c r="AQ440">
        <f ca="1"/>
        <v>2.8045490000000002</v>
      </c>
      <c r="AR440">
        <f ca="1"/>
        <v>7.4043341561524105</v>
      </c>
      <c r="AS440">
        <f ca="1"/>
        <v>0.74768900000000005</v>
      </c>
      <c r="AT440">
        <f ca="1"/>
        <v>2.188936</v>
      </c>
      <c r="AU440">
        <f ca="1"/>
        <v>3.424925</v>
      </c>
    </row>
    <row r="441" spans="1:47">
      <c r="A441" s="43">
        <f>TBL_TEV[[#This Row],[Data2]]</f>
        <v>45922</v>
      </c>
      <c r="B441" cm="1">
        <f t="array" ref="B441">_xlfn.XLOOKUP(_xlfn.ANCHORARRAY(A441), TBL_Limiti_CDA[Data], TBL_Limiti_CDA[Etica Rendita Bilanciata], , -1)</f>
        <v>2.5</v>
      </c>
      <c r="C441" cm="1">
        <f t="array" ref="C441">_xlfn.XLOOKUP(_xlfn.ANCHORARRAY(A441), TBL_Limiti_CDA[Data], TBL_Limiti_CDA[Etica Obbligazionario Breve Termine], , -1)</f>
        <v>0.5</v>
      </c>
      <c r="D441" cm="1">
        <f t="array" ref="D441">_xlfn.XLOOKUP(_xlfn.ANCHORARRAY(A441), TBL_Limiti_CDA[Data], TBL_Limiti_CDA[Etica Obbligazionario Misto], , -1)</f>
        <v>1</v>
      </c>
      <c r="E441" cm="1">
        <f t="array" ref="E441">_xlfn.XLOOKUP(_xlfn.ANCHORARRAY(A441), TBL_Limiti_CDA[Data], TBL_Limiti_CDA[Etica Bilanciato], , -1)</f>
        <v>3</v>
      </c>
      <c r="F441" cm="1">
        <f t="array" ref="F441">_xlfn.XLOOKUP(_xlfn.ANCHORARRAY(A441), TBL_Limiti_CDA[Data], TBL_Limiti_CDA[Etica Azionario], , -1)</f>
        <v>4.5</v>
      </c>
      <c r="G441" cm="1">
        <f t="array" ref="G441">_xlfn.XLOOKUP(_xlfn.ANCHORARRAY(A441), TBL_Limiti_CDA[Data], TBL_Limiti_CDA[Etica Transizione Climatica], , -1)</f>
        <v>3.5</v>
      </c>
      <c r="H441" cm="1">
        <f t="array" ref="H441">_xlfn.XLOOKUP(_xlfn.ANCHORARRAY(A441), TBL_Limiti_CDA[Data], TBL_Limiti_CDA[Etica Obiettivo Sociale], , -1)</f>
        <v>9.99</v>
      </c>
      <c r="I441" cm="1">
        <f t="array" ref="I441">_xlfn.XLOOKUP(_xlfn.ANCHORARRAY(A441), TBL_Limiti_CDA[Data], TBL_Limiti_CDA[Etica Conservative Allocation], , -1)</f>
        <v>1</v>
      </c>
      <c r="J441" cm="1">
        <f t="array" ref="J441">_xlfn.XLOOKUP(_xlfn.ANCHORARRAY(A441), TBL_Limiti_CDA[Data], TBL_Limiti_CDA[Etica Dynamic Allocation], , -1)</f>
        <v>3</v>
      </c>
      <c r="K441" cm="1">
        <f t="array" ref="K441">_xlfn.XLOOKUP(_xlfn.ANCHORARRAY(A441), TBL_Limiti_CDA[Data], TBL_Limiti_CDA[Etica Global Equity], , -1)</f>
        <v>4.5</v>
      </c>
      <c r="L441" cm="1">
        <f t="array" ref="L441">_xlfn.ANCHORARRAY(B441)+0.15</f>
        <v>2.65</v>
      </c>
      <c r="M441" cm="1">
        <f t="array" ref="M441">_xlfn.ANCHORARRAY(C441)+0.1</f>
        <v>0.6</v>
      </c>
      <c r="N441" cm="1">
        <f t="array" ref="N441">_xlfn.ANCHORARRAY(D441)+0.15</f>
        <v>1.1499999999999999</v>
      </c>
      <c r="O441" cm="1">
        <f t="array" ref="O441">_xlfn.ANCHORARRAY(E441)+0.15</f>
        <v>3.15</v>
      </c>
      <c r="P441" cm="1">
        <f t="array" ref="P441">_xlfn.ANCHORARRAY(F441)+0.15</f>
        <v>4.6500000000000004</v>
      </c>
      <c r="Q441" cm="1">
        <f t="array" ref="Q441">_xlfn.ANCHORARRAY(G441)+0.15</f>
        <v>3.65</v>
      </c>
      <c r="R441" cm="1">
        <f t="array" ref="R441">_xlfn.ANCHORARRAY(H441)</f>
        <v>9.99</v>
      </c>
      <c r="S441" cm="1">
        <f t="array" ref="S441">_xlfn.ANCHORARRAY(R441)+0.15</f>
        <v>10.14</v>
      </c>
      <c r="T441" cm="1">
        <f t="array" ref="T441">_xlfn.ANCHORARRAY(I441)+0.15</f>
        <v>1.1499999999999999</v>
      </c>
      <c r="U441" cm="1">
        <f t="array" ref="U441">_xlfn.ANCHORARRAY(J441)+0.15</f>
        <v>3.15</v>
      </c>
      <c r="V441" cm="1">
        <f t="array" ref="V441">_xlfn.ANCHORARRAY(K441)+0.15</f>
        <v>4.6500000000000004</v>
      </c>
      <c r="W441">
        <f>TBL_TEV[[#This Row],[Etica Rendita Bilanciata]]</f>
        <v>1.662061</v>
      </c>
      <c r="X441">
        <f>TBL_TEV[[#This Row],[Etica Obbligazionario Breve Termine]]</f>
        <v>0.296377</v>
      </c>
      <c r="Y441">
        <f>TBL_TEV[[#This Row],[Etica Obbligazionario Misto]]</f>
        <v>0.80896500000000005</v>
      </c>
      <c r="Z441">
        <f>TBL_TEV[[#This Row],[Etica Bilanciato]]</f>
        <v>2.3970509999999998</v>
      </c>
      <c r="AA441">
        <f>TBL_TEV[[#This Row],[Etica Azionario]]</f>
        <v>3.437783</v>
      </c>
      <c r="AB441">
        <f>TBL_TEV[[#This Row],[Etica Transizione Climatica]]</f>
        <v>2.8045490000000002</v>
      </c>
      <c r="AC441">
        <f>TBL_TEV[[#This Row],[Etica Obiettivo Sociale]]</f>
        <v>7.4043341561524105</v>
      </c>
      <c r="AD441">
        <f>TBL_TEV[[#This Row],[Etica Conservative Allocation]]</f>
        <v>0.74768900000000005</v>
      </c>
      <c r="AE441">
        <f>TBL_TEV[[#This Row],[Etica Dynamic Allocation]]</f>
        <v>2.188936</v>
      </c>
      <c r="AF441">
        <f>TBL_TEV[[#This Row],[Etica Global Equity]]</f>
        <v>3.424925</v>
      </c>
      <c r="AL441">
        <f ca="1"/>
        <v>1.6655530000000001</v>
      </c>
      <c r="AM441">
        <f ca="1"/>
        <v>0.295742</v>
      </c>
      <c r="AN441">
        <f ca="1"/>
        <v>0.81229899999999999</v>
      </c>
      <c r="AO441">
        <f ca="1"/>
        <v>2.399432</v>
      </c>
      <c r="AP441">
        <f ca="1"/>
        <v>3.4571499999999999</v>
      </c>
      <c r="AQ441">
        <f ca="1"/>
        <v>2.7539099999999999</v>
      </c>
      <c r="AR441">
        <f ca="1"/>
        <v>7.3279064687337643</v>
      </c>
      <c r="AS441">
        <f ca="1"/>
        <v>0.75054699999999996</v>
      </c>
      <c r="AT441">
        <f ca="1"/>
        <v>2.2148110000000001</v>
      </c>
      <c r="AU441">
        <f ca="1"/>
        <v>3.448102</v>
      </c>
    </row>
    <row r="442" spans="1:47">
      <c r="A442" s="43">
        <f>TBL_TEV[[#This Row],[Data2]]</f>
        <v>45923</v>
      </c>
      <c r="B442" cm="1">
        <f t="array" ref="B442">_xlfn.XLOOKUP(_xlfn.ANCHORARRAY(A442), TBL_Limiti_CDA[Data], TBL_Limiti_CDA[Etica Rendita Bilanciata], , -1)</f>
        <v>2.5</v>
      </c>
      <c r="C442" cm="1">
        <f t="array" ref="C442">_xlfn.XLOOKUP(_xlfn.ANCHORARRAY(A442), TBL_Limiti_CDA[Data], TBL_Limiti_CDA[Etica Obbligazionario Breve Termine], , -1)</f>
        <v>0.5</v>
      </c>
      <c r="D442" cm="1">
        <f t="array" ref="D442">_xlfn.XLOOKUP(_xlfn.ANCHORARRAY(A442), TBL_Limiti_CDA[Data], TBL_Limiti_CDA[Etica Obbligazionario Misto], , -1)</f>
        <v>1</v>
      </c>
      <c r="E442" cm="1">
        <f t="array" ref="E442">_xlfn.XLOOKUP(_xlfn.ANCHORARRAY(A442), TBL_Limiti_CDA[Data], TBL_Limiti_CDA[Etica Bilanciato], , -1)</f>
        <v>3</v>
      </c>
      <c r="F442" cm="1">
        <f t="array" ref="F442">_xlfn.XLOOKUP(_xlfn.ANCHORARRAY(A442), TBL_Limiti_CDA[Data], TBL_Limiti_CDA[Etica Azionario], , -1)</f>
        <v>4.5</v>
      </c>
      <c r="G442" cm="1">
        <f t="array" ref="G442">_xlfn.XLOOKUP(_xlfn.ANCHORARRAY(A442), TBL_Limiti_CDA[Data], TBL_Limiti_CDA[Etica Transizione Climatica], , -1)</f>
        <v>3.5</v>
      </c>
      <c r="H442" cm="1">
        <f t="array" ref="H442">_xlfn.XLOOKUP(_xlfn.ANCHORARRAY(A442), TBL_Limiti_CDA[Data], TBL_Limiti_CDA[Etica Obiettivo Sociale], , -1)</f>
        <v>9.99</v>
      </c>
      <c r="I442" cm="1">
        <f t="array" ref="I442">_xlfn.XLOOKUP(_xlfn.ANCHORARRAY(A442), TBL_Limiti_CDA[Data], TBL_Limiti_CDA[Etica Conservative Allocation], , -1)</f>
        <v>1</v>
      </c>
      <c r="J442" cm="1">
        <f t="array" ref="J442">_xlfn.XLOOKUP(_xlfn.ANCHORARRAY(A442), TBL_Limiti_CDA[Data], TBL_Limiti_CDA[Etica Dynamic Allocation], , -1)</f>
        <v>3</v>
      </c>
      <c r="K442" cm="1">
        <f t="array" ref="K442">_xlfn.XLOOKUP(_xlfn.ANCHORARRAY(A442), TBL_Limiti_CDA[Data], TBL_Limiti_CDA[Etica Global Equity], , -1)</f>
        <v>4.5</v>
      </c>
      <c r="L442" cm="1">
        <f t="array" ref="L442">_xlfn.ANCHORARRAY(B442)+0.15</f>
        <v>2.65</v>
      </c>
      <c r="M442" cm="1">
        <f t="array" ref="M442">_xlfn.ANCHORARRAY(C442)+0.1</f>
        <v>0.6</v>
      </c>
      <c r="N442" cm="1">
        <f t="array" ref="N442">_xlfn.ANCHORARRAY(D442)+0.15</f>
        <v>1.1499999999999999</v>
      </c>
      <c r="O442" cm="1">
        <f t="array" ref="O442">_xlfn.ANCHORARRAY(E442)+0.15</f>
        <v>3.15</v>
      </c>
      <c r="P442" cm="1">
        <f t="array" ref="P442">_xlfn.ANCHORARRAY(F442)+0.15</f>
        <v>4.6500000000000004</v>
      </c>
      <c r="Q442" cm="1">
        <f t="array" ref="Q442">_xlfn.ANCHORARRAY(G442)+0.15</f>
        <v>3.65</v>
      </c>
      <c r="R442" cm="1">
        <f t="array" ref="R442">_xlfn.ANCHORARRAY(H442)</f>
        <v>9.99</v>
      </c>
      <c r="S442" cm="1">
        <f t="array" ref="S442">_xlfn.ANCHORARRAY(R442)+0.15</f>
        <v>10.14</v>
      </c>
      <c r="T442" cm="1">
        <f t="array" ref="T442">_xlfn.ANCHORARRAY(I442)+0.15</f>
        <v>1.1499999999999999</v>
      </c>
      <c r="U442" cm="1">
        <f t="array" ref="U442">_xlfn.ANCHORARRAY(J442)+0.15</f>
        <v>3.15</v>
      </c>
      <c r="V442" cm="1">
        <f t="array" ref="V442">_xlfn.ANCHORARRAY(K442)+0.15</f>
        <v>4.6500000000000004</v>
      </c>
      <c r="W442">
        <f>TBL_TEV[[#This Row],[Etica Rendita Bilanciata]]</f>
        <v>1.6655530000000001</v>
      </c>
      <c r="X442">
        <f>TBL_TEV[[#This Row],[Etica Obbligazionario Breve Termine]]</f>
        <v>0.295742</v>
      </c>
      <c r="Y442">
        <f>TBL_TEV[[#This Row],[Etica Obbligazionario Misto]]</f>
        <v>0.81229899999999999</v>
      </c>
      <c r="Z442">
        <f>TBL_TEV[[#This Row],[Etica Bilanciato]]</f>
        <v>2.399432</v>
      </c>
      <c r="AA442">
        <f>TBL_TEV[[#This Row],[Etica Azionario]]</f>
        <v>3.4571499999999999</v>
      </c>
      <c r="AB442">
        <f>TBL_TEV[[#This Row],[Etica Transizione Climatica]]</f>
        <v>2.7539099999999999</v>
      </c>
      <c r="AC442">
        <f>TBL_TEV[[#This Row],[Etica Obiettivo Sociale]]</f>
        <v>7.3279064687337643</v>
      </c>
      <c r="AD442">
        <f>TBL_TEV[[#This Row],[Etica Conservative Allocation]]</f>
        <v>0.75054699999999996</v>
      </c>
      <c r="AE442">
        <f>TBL_TEV[[#This Row],[Etica Dynamic Allocation]]</f>
        <v>2.2148110000000001</v>
      </c>
      <c r="AF442">
        <f>TBL_TEV[[#This Row],[Etica Global Equity]]</f>
        <v>3.448102</v>
      </c>
      <c r="AL442">
        <f ca="1"/>
        <v>1.6717439999999999</v>
      </c>
      <c r="AM442">
        <f ca="1"/>
        <v>0.36431999999999998</v>
      </c>
      <c r="AN442">
        <f ca="1"/>
        <v>0.81467999999999996</v>
      </c>
      <c r="AO442">
        <f ca="1"/>
        <v>2.4153060000000002</v>
      </c>
      <c r="AP442">
        <f ca="1"/>
        <v>3.478898</v>
      </c>
      <c r="AQ442">
        <f ca="1"/>
        <v>2.7488299999999999</v>
      </c>
      <c r="AR442">
        <f ca="1"/>
        <v>7.2868354772161608</v>
      </c>
      <c r="AS442">
        <f ca="1"/>
        <v>0.74753099999999995</v>
      </c>
      <c r="AT442">
        <f ca="1"/>
        <v>2.211795</v>
      </c>
      <c r="AU442">
        <f ca="1"/>
        <v>3.4484189999999999</v>
      </c>
    </row>
    <row r="443" spans="1:47">
      <c r="A443" s="43">
        <f>TBL_TEV[[#This Row],[Data2]]</f>
        <v>45924</v>
      </c>
      <c r="B443" cm="1">
        <f t="array" ref="B443">_xlfn.XLOOKUP(_xlfn.ANCHORARRAY(A443), TBL_Limiti_CDA[Data], TBL_Limiti_CDA[Etica Rendita Bilanciata], , -1)</f>
        <v>2.5</v>
      </c>
      <c r="C443" cm="1">
        <f t="array" ref="C443">_xlfn.XLOOKUP(_xlfn.ANCHORARRAY(A443), TBL_Limiti_CDA[Data], TBL_Limiti_CDA[Etica Obbligazionario Breve Termine], , -1)</f>
        <v>0.5</v>
      </c>
      <c r="D443" cm="1">
        <f t="array" ref="D443">_xlfn.XLOOKUP(_xlfn.ANCHORARRAY(A443), TBL_Limiti_CDA[Data], TBL_Limiti_CDA[Etica Obbligazionario Misto], , -1)</f>
        <v>1</v>
      </c>
      <c r="E443" cm="1">
        <f t="array" ref="E443">_xlfn.XLOOKUP(_xlfn.ANCHORARRAY(A443), TBL_Limiti_CDA[Data], TBL_Limiti_CDA[Etica Bilanciato], , -1)</f>
        <v>3</v>
      </c>
      <c r="F443" cm="1">
        <f t="array" ref="F443">_xlfn.XLOOKUP(_xlfn.ANCHORARRAY(A443), TBL_Limiti_CDA[Data], TBL_Limiti_CDA[Etica Azionario], , -1)</f>
        <v>4.5</v>
      </c>
      <c r="G443" cm="1">
        <f t="array" ref="G443">_xlfn.XLOOKUP(_xlfn.ANCHORARRAY(A443), TBL_Limiti_CDA[Data], TBL_Limiti_CDA[Etica Transizione Climatica], , -1)</f>
        <v>3.5</v>
      </c>
      <c r="H443" cm="1">
        <f t="array" ref="H443">_xlfn.XLOOKUP(_xlfn.ANCHORARRAY(A443), TBL_Limiti_CDA[Data], TBL_Limiti_CDA[Etica Obiettivo Sociale], , -1)</f>
        <v>9.99</v>
      </c>
      <c r="I443" cm="1">
        <f t="array" ref="I443">_xlfn.XLOOKUP(_xlfn.ANCHORARRAY(A443), TBL_Limiti_CDA[Data], TBL_Limiti_CDA[Etica Conservative Allocation], , -1)</f>
        <v>1</v>
      </c>
      <c r="J443" cm="1">
        <f t="array" ref="J443">_xlfn.XLOOKUP(_xlfn.ANCHORARRAY(A443), TBL_Limiti_CDA[Data], TBL_Limiti_CDA[Etica Dynamic Allocation], , -1)</f>
        <v>3</v>
      </c>
      <c r="K443" cm="1">
        <f t="array" ref="K443">_xlfn.XLOOKUP(_xlfn.ANCHORARRAY(A443), TBL_Limiti_CDA[Data], TBL_Limiti_CDA[Etica Global Equity], , -1)</f>
        <v>4.5</v>
      </c>
      <c r="L443" cm="1">
        <f t="array" ref="L443">_xlfn.ANCHORARRAY(B443)+0.15</f>
        <v>2.65</v>
      </c>
      <c r="M443" cm="1">
        <f t="array" ref="M443">_xlfn.ANCHORARRAY(C443)+0.1</f>
        <v>0.6</v>
      </c>
      <c r="N443" cm="1">
        <f t="array" ref="N443">_xlfn.ANCHORARRAY(D443)+0.15</f>
        <v>1.1499999999999999</v>
      </c>
      <c r="O443" cm="1">
        <f t="array" ref="O443">_xlfn.ANCHORARRAY(E443)+0.15</f>
        <v>3.15</v>
      </c>
      <c r="P443" cm="1">
        <f t="array" ref="P443">_xlfn.ANCHORARRAY(F443)+0.15</f>
        <v>4.6500000000000004</v>
      </c>
      <c r="Q443" cm="1">
        <f t="array" ref="Q443">_xlfn.ANCHORARRAY(G443)+0.15</f>
        <v>3.65</v>
      </c>
      <c r="R443" cm="1">
        <f t="array" ref="R443">_xlfn.ANCHORARRAY(H443)</f>
        <v>9.99</v>
      </c>
      <c r="S443" cm="1">
        <f t="array" ref="S443">_xlfn.ANCHORARRAY(R443)+0.15</f>
        <v>10.14</v>
      </c>
      <c r="T443" cm="1">
        <f t="array" ref="T443">_xlfn.ANCHORARRAY(I443)+0.15</f>
        <v>1.1499999999999999</v>
      </c>
      <c r="U443" cm="1">
        <f t="array" ref="U443">_xlfn.ANCHORARRAY(J443)+0.15</f>
        <v>3.15</v>
      </c>
      <c r="V443" cm="1">
        <f t="array" ref="V443">_xlfn.ANCHORARRAY(K443)+0.15</f>
        <v>4.6500000000000004</v>
      </c>
      <c r="W443">
        <f>TBL_TEV[[#This Row],[Etica Rendita Bilanciata]]</f>
        <v>1.6717439999999999</v>
      </c>
      <c r="X443">
        <f>TBL_TEV[[#This Row],[Etica Obbligazionario Breve Termine]]</f>
        <v>0.36431999999999998</v>
      </c>
      <c r="Y443">
        <f>TBL_TEV[[#This Row],[Etica Obbligazionario Misto]]</f>
        <v>0.81467999999999996</v>
      </c>
      <c r="Z443">
        <f>TBL_TEV[[#This Row],[Etica Bilanciato]]</f>
        <v>2.4153060000000002</v>
      </c>
      <c r="AA443">
        <f>TBL_TEV[[#This Row],[Etica Azionario]]</f>
        <v>3.478898</v>
      </c>
      <c r="AB443">
        <f>TBL_TEV[[#This Row],[Etica Transizione Climatica]]</f>
        <v>2.7488299999999999</v>
      </c>
      <c r="AC443">
        <f>TBL_TEV[[#This Row],[Etica Obiettivo Sociale]]</f>
        <v>7.2868354772161608</v>
      </c>
      <c r="AD443">
        <f>TBL_TEV[[#This Row],[Etica Conservative Allocation]]</f>
        <v>0.74753099999999995</v>
      </c>
      <c r="AE443">
        <f>TBL_TEV[[#This Row],[Etica Dynamic Allocation]]</f>
        <v>2.211795</v>
      </c>
      <c r="AF443">
        <f>TBL_TEV[[#This Row],[Etica Global Equity]]</f>
        <v>3.4484189999999999</v>
      </c>
      <c r="AL443">
        <f ca="1"/>
        <v>1.6796819999999999</v>
      </c>
      <c r="AM443">
        <f ca="1"/>
        <v>0.363844</v>
      </c>
      <c r="AN443">
        <f ca="1"/>
        <v>0.82420400000000005</v>
      </c>
      <c r="AO443">
        <f ca="1"/>
        <v>2.4345150000000002</v>
      </c>
      <c r="AP443">
        <f ca="1"/>
        <v>3.5054090000000002</v>
      </c>
      <c r="AQ443">
        <f ca="1"/>
        <v>2.7499410000000002</v>
      </c>
      <c r="AR443">
        <f ca="1"/>
        <v>7.3921617436367564</v>
      </c>
      <c r="AS443">
        <f ca="1"/>
        <v>0.74641900000000005</v>
      </c>
      <c r="AT443">
        <f ca="1"/>
        <v>2.2148110000000001</v>
      </c>
      <c r="AU443">
        <f ca="1"/>
        <v>3.457627</v>
      </c>
    </row>
    <row r="444" spans="1:47">
      <c r="A444" s="43">
        <f>TBL_TEV[[#This Row],[Data2]]</f>
        <v>45925</v>
      </c>
      <c r="B444" cm="1">
        <f t="array" ref="B444">_xlfn.XLOOKUP(_xlfn.ANCHORARRAY(A444), TBL_Limiti_CDA[Data], TBL_Limiti_CDA[Etica Rendita Bilanciata], , -1)</f>
        <v>2.5</v>
      </c>
      <c r="C444" cm="1">
        <f t="array" ref="C444">_xlfn.XLOOKUP(_xlfn.ANCHORARRAY(A444), TBL_Limiti_CDA[Data], TBL_Limiti_CDA[Etica Obbligazionario Breve Termine], , -1)</f>
        <v>0.5</v>
      </c>
      <c r="D444" cm="1">
        <f t="array" ref="D444">_xlfn.XLOOKUP(_xlfn.ANCHORARRAY(A444), TBL_Limiti_CDA[Data], TBL_Limiti_CDA[Etica Obbligazionario Misto], , -1)</f>
        <v>1</v>
      </c>
      <c r="E444" cm="1">
        <f t="array" ref="E444">_xlfn.XLOOKUP(_xlfn.ANCHORARRAY(A444), TBL_Limiti_CDA[Data], TBL_Limiti_CDA[Etica Bilanciato], , -1)</f>
        <v>3</v>
      </c>
      <c r="F444" cm="1">
        <f t="array" ref="F444">_xlfn.XLOOKUP(_xlfn.ANCHORARRAY(A444), TBL_Limiti_CDA[Data], TBL_Limiti_CDA[Etica Azionario], , -1)</f>
        <v>4.5</v>
      </c>
      <c r="G444" cm="1">
        <f t="array" ref="G444">_xlfn.XLOOKUP(_xlfn.ANCHORARRAY(A444), TBL_Limiti_CDA[Data], TBL_Limiti_CDA[Etica Transizione Climatica], , -1)</f>
        <v>3.5</v>
      </c>
      <c r="H444" cm="1">
        <f t="array" ref="H444">_xlfn.XLOOKUP(_xlfn.ANCHORARRAY(A444), TBL_Limiti_CDA[Data], TBL_Limiti_CDA[Etica Obiettivo Sociale], , -1)</f>
        <v>9.99</v>
      </c>
      <c r="I444" cm="1">
        <f t="array" ref="I444">_xlfn.XLOOKUP(_xlfn.ANCHORARRAY(A444), TBL_Limiti_CDA[Data], TBL_Limiti_CDA[Etica Conservative Allocation], , -1)</f>
        <v>1</v>
      </c>
      <c r="J444" cm="1">
        <f t="array" ref="J444">_xlfn.XLOOKUP(_xlfn.ANCHORARRAY(A444), TBL_Limiti_CDA[Data], TBL_Limiti_CDA[Etica Dynamic Allocation], , -1)</f>
        <v>3</v>
      </c>
      <c r="K444" cm="1">
        <f t="array" ref="K444">_xlfn.XLOOKUP(_xlfn.ANCHORARRAY(A444), TBL_Limiti_CDA[Data], TBL_Limiti_CDA[Etica Global Equity], , -1)</f>
        <v>4.5</v>
      </c>
      <c r="L444" cm="1">
        <f t="array" ref="L444">_xlfn.ANCHORARRAY(B444)+0.15</f>
        <v>2.65</v>
      </c>
      <c r="M444" cm="1">
        <f t="array" ref="M444">_xlfn.ANCHORARRAY(C444)+0.1</f>
        <v>0.6</v>
      </c>
      <c r="N444" cm="1">
        <f t="array" ref="N444">_xlfn.ANCHORARRAY(D444)+0.15</f>
        <v>1.1499999999999999</v>
      </c>
      <c r="O444" cm="1">
        <f t="array" ref="O444">_xlfn.ANCHORARRAY(E444)+0.15</f>
        <v>3.15</v>
      </c>
      <c r="P444" cm="1">
        <f t="array" ref="P444">_xlfn.ANCHORARRAY(F444)+0.15</f>
        <v>4.6500000000000004</v>
      </c>
      <c r="Q444" cm="1">
        <f t="array" ref="Q444">_xlfn.ANCHORARRAY(G444)+0.15</f>
        <v>3.65</v>
      </c>
      <c r="R444" cm="1">
        <f t="array" ref="R444">_xlfn.ANCHORARRAY(H444)</f>
        <v>9.99</v>
      </c>
      <c r="S444" cm="1">
        <f t="array" ref="S444">_xlfn.ANCHORARRAY(R444)+0.15</f>
        <v>10.14</v>
      </c>
      <c r="T444" cm="1">
        <f t="array" ref="T444">_xlfn.ANCHORARRAY(I444)+0.15</f>
        <v>1.1499999999999999</v>
      </c>
      <c r="U444" cm="1">
        <f t="array" ref="U444">_xlfn.ANCHORARRAY(J444)+0.15</f>
        <v>3.15</v>
      </c>
      <c r="V444" cm="1">
        <f t="array" ref="V444">_xlfn.ANCHORARRAY(K444)+0.15</f>
        <v>4.6500000000000004</v>
      </c>
      <c r="W444">
        <f>TBL_TEV[[#This Row],[Etica Rendita Bilanciata]]</f>
        <v>1.6796819999999999</v>
      </c>
      <c r="X444">
        <f>TBL_TEV[[#This Row],[Etica Obbligazionario Breve Termine]]</f>
        <v>0.363844</v>
      </c>
      <c r="Y444">
        <f>TBL_TEV[[#This Row],[Etica Obbligazionario Misto]]</f>
        <v>0.82420400000000005</v>
      </c>
      <c r="Z444">
        <f>TBL_TEV[[#This Row],[Etica Bilanciato]]</f>
        <v>2.4345150000000002</v>
      </c>
      <c r="AA444">
        <f>TBL_TEV[[#This Row],[Etica Azionario]]</f>
        <v>3.5054090000000002</v>
      </c>
      <c r="AB444">
        <f>TBL_TEV[[#This Row],[Etica Transizione Climatica]]</f>
        <v>2.7499410000000002</v>
      </c>
      <c r="AC444">
        <f>TBL_TEV[[#This Row],[Etica Obiettivo Sociale]]</f>
        <v>7.3921617436367564</v>
      </c>
      <c r="AD444">
        <f>TBL_TEV[[#This Row],[Etica Conservative Allocation]]</f>
        <v>0.74641900000000005</v>
      </c>
      <c r="AE444">
        <f>TBL_TEV[[#This Row],[Etica Dynamic Allocation]]</f>
        <v>2.2148110000000001</v>
      </c>
      <c r="AF444">
        <f>TBL_TEV[[#This Row],[Etica Global Equity]]</f>
        <v>3.457627</v>
      </c>
      <c r="AL444">
        <f ca="1"/>
        <v>1.6717439999999999</v>
      </c>
      <c r="AM444">
        <f ca="1"/>
        <v>0.36368499999999998</v>
      </c>
      <c r="AN444">
        <f ca="1"/>
        <v>0.82039499999999999</v>
      </c>
      <c r="AO444">
        <f ca="1"/>
        <v>2.4229259999999999</v>
      </c>
      <c r="AP444">
        <f ca="1"/>
        <v>3.4908039999999998</v>
      </c>
      <c r="AQ444">
        <f ca="1"/>
        <v>2.7315269999999998</v>
      </c>
      <c r="AR444">
        <f ca="1"/>
        <v>7.3852579750648353</v>
      </c>
      <c r="AS444">
        <f ca="1"/>
        <v>0.749753</v>
      </c>
      <c r="AT444">
        <f ca="1"/>
        <v>2.2322730000000002</v>
      </c>
      <c r="AU444">
        <f ca="1"/>
        <v>3.4447679999999998</v>
      </c>
    </row>
    <row r="445" spans="1:47">
      <c r="A445" s="43">
        <f>TBL_TEV[[#This Row],[Data2]]</f>
        <v>45926</v>
      </c>
      <c r="B445" cm="1">
        <f t="array" ref="B445">_xlfn.XLOOKUP(_xlfn.ANCHORARRAY(A445), TBL_Limiti_CDA[Data], TBL_Limiti_CDA[Etica Rendita Bilanciata], , -1)</f>
        <v>2.5</v>
      </c>
      <c r="C445" cm="1">
        <f t="array" ref="C445">_xlfn.XLOOKUP(_xlfn.ANCHORARRAY(A445), TBL_Limiti_CDA[Data], TBL_Limiti_CDA[Etica Obbligazionario Breve Termine], , -1)</f>
        <v>0.5</v>
      </c>
      <c r="D445" cm="1">
        <f t="array" ref="D445">_xlfn.XLOOKUP(_xlfn.ANCHORARRAY(A445), TBL_Limiti_CDA[Data], TBL_Limiti_CDA[Etica Obbligazionario Misto], , -1)</f>
        <v>1</v>
      </c>
      <c r="E445" cm="1">
        <f t="array" ref="E445">_xlfn.XLOOKUP(_xlfn.ANCHORARRAY(A445), TBL_Limiti_CDA[Data], TBL_Limiti_CDA[Etica Bilanciato], , -1)</f>
        <v>3</v>
      </c>
      <c r="F445" cm="1">
        <f t="array" ref="F445">_xlfn.XLOOKUP(_xlfn.ANCHORARRAY(A445), TBL_Limiti_CDA[Data], TBL_Limiti_CDA[Etica Azionario], , -1)</f>
        <v>4.5</v>
      </c>
      <c r="G445" cm="1">
        <f t="array" ref="G445">_xlfn.XLOOKUP(_xlfn.ANCHORARRAY(A445), TBL_Limiti_CDA[Data], TBL_Limiti_CDA[Etica Transizione Climatica], , -1)</f>
        <v>3.5</v>
      </c>
      <c r="H445" cm="1">
        <f t="array" ref="H445">_xlfn.XLOOKUP(_xlfn.ANCHORARRAY(A445), TBL_Limiti_CDA[Data], TBL_Limiti_CDA[Etica Obiettivo Sociale], , -1)</f>
        <v>9.99</v>
      </c>
      <c r="I445" cm="1">
        <f t="array" ref="I445">_xlfn.XLOOKUP(_xlfn.ANCHORARRAY(A445), TBL_Limiti_CDA[Data], TBL_Limiti_CDA[Etica Conservative Allocation], , -1)</f>
        <v>1</v>
      </c>
      <c r="J445" cm="1">
        <f t="array" ref="J445">_xlfn.XLOOKUP(_xlfn.ANCHORARRAY(A445), TBL_Limiti_CDA[Data], TBL_Limiti_CDA[Etica Dynamic Allocation], , -1)</f>
        <v>3</v>
      </c>
      <c r="K445" cm="1">
        <f t="array" ref="K445">_xlfn.XLOOKUP(_xlfn.ANCHORARRAY(A445), TBL_Limiti_CDA[Data], TBL_Limiti_CDA[Etica Global Equity], , -1)</f>
        <v>4.5</v>
      </c>
      <c r="L445" cm="1">
        <f t="array" ref="L445">_xlfn.ANCHORARRAY(B445)+0.15</f>
        <v>2.65</v>
      </c>
      <c r="M445" cm="1">
        <f t="array" ref="M445">_xlfn.ANCHORARRAY(C445)+0.1</f>
        <v>0.6</v>
      </c>
      <c r="N445" cm="1">
        <f t="array" ref="N445">_xlfn.ANCHORARRAY(D445)+0.15</f>
        <v>1.1499999999999999</v>
      </c>
      <c r="O445" cm="1">
        <f t="array" ref="O445">_xlfn.ANCHORARRAY(E445)+0.15</f>
        <v>3.15</v>
      </c>
      <c r="P445" cm="1">
        <f t="array" ref="P445">_xlfn.ANCHORARRAY(F445)+0.15</f>
        <v>4.6500000000000004</v>
      </c>
      <c r="Q445" cm="1">
        <f t="array" ref="Q445">_xlfn.ANCHORARRAY(G445)+0.15</f>
        <v>3.65</v>
      </c>
      <c r="R445" cm="1">
        <f t="array" ref="R445">_xlfn.ANCHORARRAY(H445)</f>
        <v>9.99</v>
      </c>
      <c r="S445" cm="1">
        <f t="array" ref="S445">_xlfn.ANCHORARRAY(R445)+0.15</f>
        <v>10.14</v>
      </c>
      <c r="T445" cm="1">
        <f t="array" ref="T445">_xlfn.ANCHORARRAY(I445)+0.15</f>
        <v>1.1499999999999999</v>
      </c>
      <c r="U445" cm="1">
        <f t="array" ref="U445">_xlfn.ANCHORARRAY(J445)+0.15</f>
        <v>3.15</v>
      </c>
      <c r="V445" cm="1">
        <f t="array" ref="V445">_xlfn.ANCHORARRAY(K445)+0.15</f>
        <v>4.6500000000000004</v>
      </c>
      <c r="W445">
        <f>TBL_TEV[[#This Row],[Etica Rendita Bilanciata]]</f>
        <v>1.6717439999999999</v>
      </c>
      <c r="X445">
        <f>TBL_TEV[[#This Row],[Etica Obbligazionario Breve Termine]]</f>
        <v>0.36368499999999998</v>
      </c>
      <c r="Y445">
        <f>TBL_TEV[[#This Row],[Etica Obbligazionario Misto]]</f>
        <v>0.82039499999999999</v>
      </c>
      <c r="Z445">
        <f>TBL_TEV[[#This Row],[Etica Bilanciato]]</f>
        <v>2.4229259999999999</v>
      </c>
      <c r="AA445">
        <f>TBL_TEV[[#This Row],[Etica Azionario]]</f>
        <v>3.4908039999999998</v>
      </c>
      <c r="AB445">
        <f>TBL_TEV[[#This Row],[Etica Transizione Climatica]]</f>
        <v>2.7315269999999998</v>
      </c>
      <c r="AC445">
        <f>TBL_TEV[[#This Row],[Etica Obiettivo Sociale]]</f>
        <v>7.3852579750648353</v>
      </c>
      <c r="AD445">
        <f>TBL_TEV[[#This Row],[Etica Conservative Allocation]]</f>
        <v>0.749753</v>
      </c>
      <c r="AE445">
        <f>TBL_TEV[[#This Row],[Etica Dynamic Allocation]]</f>
        <v>2.2322730000000002</v>
      </c>
      <c r="AF445">
        <f>TBL_TEV[[#This Row],[Etica Global Equity]]</f>
        <v>3.4447679999999998</v>
      </c>
      <c r="AL445">
        <f ca="1"/>
        <v>1.672221</v>
      </c>
      <c r="AM445">
        <f ca="1"/>
        <v>0.36114499999999999</v>
      </c>
      <c r="AN445">
        <f ca="1"/>
        <v>0.820712</v>
      </c>
      <c r="AO445">
        <f ca="1"/>
        <v>2.4191159999999998</v>
      </c>
      <c r="AP445">
        <f ca="1"/>
        <v>3.4819149999999999</v>
      </c>
      <c r="AQ445">
        <f ca="1"/>
        <v>2.7221609999999998</v>
      </c>
      <c r="AR445">
        <f ca="1"/>
        <v>7.2453964246667715</v>
      </c>
      <c r="AS445">
        <f ca="1"/>
        <v>0.75149900000000003</v>
      </c>
      <c r="AT445">
        <f ca="1"/>
        <v>2.2362419999999998</v>
      </c>
      <c r="AU445">
        <f ca="1"/>
        <v>3.4546100000000002</v>
      </c>
    </row>
    <row r="446" spans="1:47">
      <c r="A446" s="43">
        <f>TBL_TEV[[#This Row],[Data2]]</f>
        <v>45929</v>
      </c>
      <c r="B446" cm="1">
        <f t="array" ref="B446">_xlfn.XLOOKUP(_xlfn.ANCHORARRAY(A446), TBL_Limiti_CDA[Data], TBL_Limiti_CDA[Etica Rendita Bilanciata], , -1)</f>
        <v>2.5</v>
      </c>
      <c r="C446" cm="1">
        <f t="array" ref="C446">_xlfn.XLOOKUP(_xlfn.ANCHORARRAY(A446), TBL_Limiti_CDA[Data], TBL_Limiti_CDA[Etica Obbligazionario Breve Termine], , -1)</f>
        <v>0.5</v>
      </c>
      <c r="D446" cm="1">
        <f t="array" ref="D446">_xlfn.XLOOKUP(_xlfn.ANCHORARRAY(A446), TBL_Limiti_CDA[Data], TBL_Limiti_CDA[Etica Obbligazionario Misto], , -1)</f>
        <v>1</v>
      </c>
      <c r="E446" cm="1">
        <f t="array" ref="E446">_xlfn.XLOOKUP(_xlfn.ANCHORARRAY(A446), TBL_Limiti_CDA[Data], TBL_Limiti_CDA[Etica Bilanciato], , -1)</f>
        <v>3</v>
      </c>
      <c r="F446" cm="1">
        <f t="array" ref="F446">_xlfn.XLOOKUP(_xlfn.ANCHORARRAY(A446), TBL_Limiti_CDA[Data], TBL_Limiti_CDA[Etica Azionario], , -1)</f>
        <v>4.5</v>
      </c>
      <c r="G446" cm="1">
        <f t="array" ref="G446">_xlfn.XLOOKUP(_xlfn.ANCHORARRAY(A446), TBL_Limiti_CDA[Data], TBL_Limiti_CDA[Etica Transizione Climatica], , -1)</f>
        <v>3.5</v>
      </c>
      <c r="H446" cm="1">
        <f t="array" ref="H446">_xlfn.XLOOKUP(_xlfn.ANCHORARRAY(A446), TBL_Limiti_CDA[Data], TBL_Limiti_CDA[Etica Obiettivo Sociale], , -1)</f>
        <v>9.99</v>
      </c>
      <c r="I446" cm="1">
        <f t="array" ref="I446">_xlfn.XLOOKUP(_xlfn.ANCHORARRAY(A446), TBL_Limiti_CDA[Data], TBL_Limiti_CDA[Etica Conservative Allocation], , -1)</f>
        <v>1</v>
      </c>
      <c r="J446" cm="1">
        <f t="array" ref="J446">_xlfn.XLOOKUP(_xlfn.ANCHORARRAY(A446), TBL_Limiti_CDA[Data], TBL_Limiti_CDA[Etica Dynamic Allocation], , -1)</f>
        <v>3</v>
      </c>
      <c r="K446" cm="1">
        <f t="array" ref="K446">_xlfn.XLOOKUP(_xlfn.ANCHORARRAY(A446), TBL_Limiti_CDA[Data], TBL_Limiti_CDA[Etica Global Equity], , -1)</f>
        <v>4.5</v>
      </c>
      <c r="L446" cm="1">
        <f t="array" ref="L446">_xlfn.ANCHORARRAY(B446)+0.15</f>
        <v>2.65</v>
      </c>
      <c r="M446" cm="1">
        <f t="array" ref="M446">_xlfn.ANCHORARRAY(C446)+0.1</f>
        <v>0.6</v>
      </c>
      <c r="N446" cm="1">
        <f t="array" ref="N446">_xlfn.ANCHORARRAY(D446)+0.15</f>
        <v>1.1499999999999999</v>
      </c>
      <c r="O446" cm="1">
        <f t="array" ref="O446">_xlfn.ANCHORARRAY(E446)+0.15</f>
        <v>3.15</v>
      </c>
      <c r="P446" cm="1">
        <f t="array" ref="P446">_xlfn.ANCHORARRAY(F446)+0.15</f>
        <v>4.6500000000000004</v>
      </c>
      <c r="Q446" cm="1">
        <f t="array" ref="Q446">_xlfn.ANCHORARRAY(G446)+0.15</f>
        <v>3.65</v>
      </c>
      <c r="R446" cm="1">
        <f t="array" ref="R446">_xlfn.ANCHORARRAY(H446)</f>
        <v>9.99</v>
      </c>
      <c r="S446" cm="1">
        <f t="array" ref="S446">_xlfn.ANCHORARRAY(R446)+0.15</f>
        <v>10.14</v>
      </c>
      <c r="T446" cm="1">
        <f t="array" ref="T446">_xlfn.ANCHORARRAY(I446)+0.15</f>
        <v>1.1499999999999999</v>
      </c>
      <c r="U446" cm="1">
        <f t="array" ref="U446">_xlfn.ANCHORARRAY(J446)+0.15</f>
        <v>3.15</v>
      </c>
      <c r="V446" cm="1">
        <f t="array" ref="V446">_xlfn.ANCHORARRAY(K446)+0.15</f>
        <v>4.6500000000000004</v>
      </c>
      <c r="W446">
        <f>TBL_TEV[[#This Row],[Etica Rendita Bilanciata]]</f>
        <v>1.672221</v>
      </c>
      <c r="X446">
        <f>TBL_TEV[[#This Row],[Etica Obbligazionario Breve Termine]]</f>
        <v>0.36114499999999999</v>
      </c>
      <c r="Y446">
        <f>TBL_TEV[[#This Row],[Etica Obbligazionario Misto]]</f>
        <v>0.820712</v>
      </c>
      <c r="Z446">
        <f>TBL_TEV[[#This Row],[Etica Bilanciato]]</f>
        <v>2.4191159999999998</v>
      </c>
      <c r="AA446">
        <f>TBL_TEV[[#This Row],[Etica Azionario]]</f>
        <v>3.4819149999999999</v>
      </c>
      <c r="AB446">
        <f>TBL_TEV[[#This Row],[Etica Transizione Climatica]]</f>
        <v>2.7221609999999998</v>
      </c>
      <c r="AC446">
        <f>TBL_TEV[[#This Row],[Etica Obiettivo Sociale]]</f>
        <v>7.2453964246667715</v>
      </c>
      <c r="AD446">
        <f>TBL_TEV[[#This Row],[Etica Conservative Allocation]]</f>
        <v>0.75149900000000003</v>
      </c>
      <c r="AE446">
        <f>TBL_TEV[[#This Row],[Etica Dynamic Allocation]]</f>
        <v>2.2362419999999998</v>
      </c>
      <c r="AF446">
        <f>TBL_TEV[[#This Row],[Etica Global Equity]]</f>
        <v>3.4546100000000002</v>
      </c>
      <c r="AL446">
        <f ca="1"/>
        <v>1.6487259999999999</v>
      </c>
      <c r="AM446">
        <f ca="1"/>
        <v>0.31812499999999999</v>
      </c>
      <c r="AN446">
        <f ca="1"/>
        <v>0.781026</v>
      </c>
      <c r="AO446">
        <f ca="1"/>
        <v>2.3973680000000002</v>
      </c>
      <c r="AP446">
        <f ca="1"/>
        <v>3.4612780000000001</v>
      </c>
      <c r="AQ446">
        <f ca="1"/>
        <v>2.6934279999999999</v>
      </c>
      <c r="AR446">
        <f ca="1"/>
        <v>7.367495355237736</v>
      </c>
      <c r="AS446">
        <f ca="1"/>
        <v>0.71641699999999997</v>
      </c>
      <c r="AT446">
        <f ca="1"/>
        <v>2.234337</v>
      </c>
      <c r="AU446">
        <f ca="1"/>
        <v>3.4582619999999999</v>
      </c>
    </row>
    <row r="447" spans="1:47">
      <c r="A447" s="43">
        <f>TBL_TEV[[#This Row],[Data2]]</f>
        <v>45930</v>
      </c>
      <c r="B447" cm="1">
        <f t="array" ref="B447">_xlfn.XLOOKUP(_xlfn.ANCHORARRAY(A447), TBL_Limiti_CDA[Data], TBL_Limiti_CDA[Etica Rendita Bilanciata], , -1)</f>
        <v>2.5</v>
      </c>
      <c r="C447" cm="1">
        <f t="array" ref="C447">_xlfn.XLOOKUP(_xlfn.ANCHORARRAY(A447), TBL_Limiti_CDA[Data], TBL_Limiti_CDA[Etica Obbligazionario Breve Termine], , -1)</f>
        <v>0.5</v>
      </c>
      <c r="D447" cm="1">
        <f t="array" ref="D447">_xlfn.XLOOKUP(_xlfn.ANCHORARRAY(A447), TBL_Limiti_CDA[Data], TBL_Limiti_CDA[Etica Obbligazionario Misto], , -1)</f>
        <v>1</v>
      </c>
      <c r="E447" cm="1">
        <f t="array" ref="E447">_xlfn.XLOOKUP(_xlfn.ANCHORARRAY(A447), TBL_Limiti_CDA[Data], TBL_Limiti_CDA[Etica Bilanciato], , -1)</f>
        <v>3</v>
      </c>
      <c r="F447" cm="1">
        <f t="array" ref="F447">_xlfn.XLOOKUP(_xlfn.ANCHORARRAY(A447), TBL_Limiti_CDA[Data], TBL_Limiti_CDA[Etica Azionario], , -1)</f>
        <v>4.5</v>
      </c>
      <c r="G447" cm="1">
        <f t="array" ref="G447">_xlfn.XLOOKUP(_xlfn.ANCHORARRAY(A447), TBL_Limiti_CDA[Data], TBL_Limiti_CDA[Etica Transizione Climatica], , -1)</f>
        <v>3.5</v>
      </c>
      <c r="H447" cm="1">
        <f t="array" ref="H447">_xlfn.XLOOKUP(_xlfn.ANCHORARRAY(A447), TBL_Limiti_CDA[Data], TBL_Limiti_CDA[Etica Obiettivo Sociale], , -1)</f>
        <v>9.99</v>
      </c>
      <c r="I447" cm="1">
        <f t="array" ref="I447">_xlfn.XLOOKUP(_xlfn.ANCHORARRAY(A447), TBL_Limiti_CDA[Data], TBL_Limiti_CDA[Etica Conservative Allocation], , -1)</f>
        <v>1</v>
      </c>
      <c r="J447" cm="1">
        <f t="array" ref="J447">_xlfn.XLOOKUP(_xlfn.ANCHORARRAY(A447), TBL_Limiti_CDA[Data], TBL_Limiti_CDA[Etica Dynamic Allocation], , -1)</f>
        <v>3</v>
      </c>
      <c r="K447" cm="1">
        <f t="array" ref="K447">_xlfn.XLOOKUP(_xlfn.ANCHORARRAY(A447), TBL_Limiti_CDA[Data], TBL_Limiti_CDA[Etica Global Equity], , -1)</f>
        <v>4.5</v>
      </c>
      <c r="L447" cm="1">
        <f t="array" ref="L447">_xlfn.ANCHORARRAY(B447)+0.15</f>
        <v>2.65</v>
      </c>
      <c r="M447" cm="1">
        <f t="array" ref="M447">_xlfn.ANCHORARRAY(C447)+0.1</f>
        <v>0.6</v>
      </c>
      <c r="N447" cm="1">
        <f t="array" ref="N447">_xlfn.ANCHORARRAY(D447)+0.15</f>
        <v>1.1499999999999999</v>
      </c>
      <c r="O447" cm="1">
        <f t="array" ref="O447">_xlfn.ANCHORARRAY(E447)+0.15</f>
        <v>3.15</v>
      </c>
      <c r="P447" cm="1">
        <f t="array" ref="P447">_xlfn.ANCHORARRAY(F447)+0.15</f>
        <v>4.6500000000000004</v>
      </c>
      <c r="Q447" cm="1">
        <f t="array" ref="Q447">_xlfn.ANCHORARRAY(G447)+0.15</f>
        <v>3.65</v>
      </c>
      <c r="R447" cm="1">
        <f t="array" ref="R447">_xlfn.ANCHORARRAY(H447)</f>
        <v>9.99</v>
      </c>
      <c r="S447" cm="1">
        <f t="array" ref="S447">_xlfn.ANCHORARRAY(R447)+0.15</f>
        <v>10.14</v>
      </c>
      <c r="T447" cm="1">
        <f t="array" ref="T447">_xlfn.ANCHORARRAY(I447)+0.15</f>
        <v>1.1499999999999999</v>
      </c>
      <c r="U447" cm="1">
        <f t="array" ref="U447">_xlfn.ANCHORARRAY(J447)+0.15</f>
        <v>3.15</v>
      </c>
      <c r="V447" cm="1">
        <f t="array" ref="V447">_xlfn.ANCHORARRAY(K447)+0.15</f>
        <v>4.6500000000000004</v>
      </c>
      <c r="W447">
        <f>TBL_TEV[[#This Row],[Etica Rendita Bilanciata]]</f>
        <v>1.6487259999999999</v>
      </c>
      <c r="X447">
        <f>TBL_TEV[[#This Row],[Etica Obbligazionario Breve Termine]]</f>
        <v>0.31812499999999999</v>
      </c>
      <c r="Y447">
        <f>TBL_TEV[[#This Row],[Etica Obbligazionario Misto]]</f>
        <v>0.781026</v>
      </c>
      <c r="Z447">
        <f>TBL_TEV[[#This Row],[Etica Bilanciato]]</f>
        <v>2.3973680000000002</v>
      </c>
      <c r="AA447">
        <f>TBL_TEV[[#This Row],[Etica Azionario]]</f>
        <v>3.4612780000000001</v>
      </c>
      <c r="AB447">
        <f>TBL_TEV[[#This Row],[Etica Transizione Climatica]]</f>
        <v>2.6934279999999999</v>
      </c>
      <c r="AC447">
        <f>TBL_TEV[[#This Row],[Etica Obiettivo Sociale]]</f>
        <v>7.367495355237736</v>
      </c>
      <c r="AD447">
        <f>TBL_TEV[[#This Row],[Etica Conservative Allocation]]</f>
        <v>0.71641699999999997</v>
      </c>
      <c r="AE447">
        <f>TBL_TEV[[#This Row],[Etica Dynamic Allocation]]</f>
        <v>2.234337</v>
      </c>
      <c r="AF447">
        <f>TBL_TEV[[#This Row],[Etica Global Equity]]</f>
        <v>3.4582619999999999</v>
      </c>
      <c r="AL447">
        <f ca="1"/>
        <v>1.664442</v>
      </c>
      <c r="AM447">
        <f ca="1"/>
        <v>0.31495000000000001</v>
      </c>
      <c r="AN447">
        <f ca="1"/>
        <v>0.702129</v>
      </c>
      <c r="AO447">
        <f ca="1"/>
        <v>2.4434040000000001</v>
      </c>
      <c r="AP447">
        <f ca="1"/>
        <v>3.5274740000000002</v>
      </c>
      <c r="AQ447">
        <f ca="1"/>
        <v>2.6904119999999998</v>
      </c>
      <c r="AR447">
        <f ca="1"/>
        <v>7.4913872182235792</v>
      </c>
      <c r="AS447">
        <f ca="1"/>
        <v>0.71863900000000003</v>
      </c>
      <c r="AT447">
        <f ca="1"/>
        <v>2.2875169999999998</v>
      </c>
      <c r="AU447">
        <f ca="1"/>
        <v>3.5204900000000001</v>
      </c>
    </row>
    <row r="448" spans="1:47">
      <c r="A448" s="43">
        <f>TBL_TEV[[#This Row],[Data2]]</f>
        <v>45931</v>
      </c>
      <c r="B448" cm="1">
        <f t="array" ref="B448">_xlfn.XLOOKUP(_xlfn.ANCHORARRAY(A448), TBL_Limiti_CDA[Data], TBL_Limiti_CDA[Etica Rendita Bilanciata], , -1)</f>
        <v>2.5</v>
      </c>
      <c r="C448" cm="1">
        <f t="array" ref="C448">_xlfn.XLOOKUP(_xlfn.ANCHORARRAY(A448), TBL_Limiti_CDA[Data], TBL_Limiti_CDA[Etica Obbligazionario Breve Termine], , -1)</f>
        <v>0.5</v>
      </c>
      <c r="D448" cm="1">
        <f t="array" ref="D448">_xlfn.XLOOKUP(_xlfn.ANCHORARRAY(A448), TBL_Limiti_CDA[Data], TBL_Limiti_CDA[Etica Obbligazionario Misto], , -1)</f>
        <v>1</v>
      </c>
      <c r="E448" cm="1">
        <f t="array" ref="E448">_xlfn.XLOOKUP(_xlfn.ANCHORARRAY(A448), TBL_Limiti_CDA[Data], TBL_Limiti_CDA[Etica Bilanciato], , -1)</f>
        <v>3</v>
      </c>
      <c r="F448" cm="1">
        <f t="array" ref="F448">_xlfn.XLOOKUP(_xlfn.ANCHORARRAY(A448), TBL_Limiti_CDA[Data], TBL_Limiti_CDA[Etica Azionario], , -1)</f>
        <v>4.5</v>
      </c>
      <c r="G448" cm="1">
        <f t="array" ref="G448">_xlfn.XLOOKUP(_xlfn.ANCHORARRAY(A448), TBL_Limiti_CDA[Data], TBL_Limiti_CDA[Etica Transizione Climatica], , -1)</f>
        <v>3.5</v>
      </c>
      <c r="H448" cm="1">
        <f t="array" ref="H448">_xlfn.XLOOKUP(_xlfn.ANCHORARRAY(A448), TBL_Limiti_CDA[Data], TBL_Limiti_CDA[Etica Obiettivo Sociale], , -1)</f>
        <v>9.99</v>
      </c>
      <c r="I448" cm="1">
        <f t="array" ref="I448">_xlfn.XLOOKUP(_xlfn.ANCHORARRAY(A448), TBL_Limiti_CDA[Data], TBL_Limiti_CDA[Etica Conservative Allocation], , -1)</f>
        <v>1</v>
      </c>
      <c r="J448" cm="1">
        <f t="array" ref="J448">_xlfn.XLOOKUP(_xlfn.ANCHORARRAY(A448), TBL_Limiti_CDA[Data], TBL_Limiti_CDA[Etica Dynamic Allocation], , -1)</f>
        <v>3</v>
      </c>
      <c r="K448" cm="1">
        <f t="array" ref="K448">_xlfn.XLOOKUP(_xlfn.ANCHORARRAY(A448), TBL_Limiti_CDA[Data], TBL_Limiti_CDA[Etica Global Equity], , -1)</f>
        <v>4.5</v>
      </c>
      <c r="L448" cm="1">
        <f t="array" ref="L448">_xlfn.ANCHORARRAY(B448)+0.15</f>
        <v>2.65</v>
      </c>
      <c r="M448" cm="1">
        <f t="array" ref="M448">_xlfn.ANCHORARRAY(C448)+0.1</f>
        <v>0.6</v>
      </c>
      <c r="N448" cm="1">
        <f t="array" ref="N448">_xlfn.ANCHORARRAY(D448)+0.15</f>
        <v>1.1499999999999999</v>
      </c>
      <c r="O448" cm="1">
        <f t="array" ref="O448">_xlfn.ANCHORARRAY(E448)+0.15</f>
        <v>3.15</v>
      </c>
      <c r="P448" cm="1">
        <f t="array" ref="P448">_xlfn.ANCHORARRAY(F448)+0.15</f>
        <v>4.6500000000000004</v>
      </c>
      <c r="Q448" cm="1">
        <f t="array" ref="Q448">_xlfn.ANCHORARRAY(G448)+0.15</f>
        <v>3.65</v>
      </c>
      <c r="R448" cm="1">
        <f t="array" ref="R448">_xlfn.ANCHORARRAY(H448)</f>
        <v>9.99</v>
      </c>
      <c r="S448" cm="1">
        <f t="array" ref="S448">_xlfn.ANCHORARRAY(R448)+0.15</f>
        <v>10.14</v>
      </c>
      <c r="T448" cm="1">
        <f t="array" ref="T448">_xlfn.ANCHORARRAY(I448)+0.15</f>
        <v>1.1499999999999999</v>
      </c>
      <c r="U448" cm="1">
        <f t="array" ref="U448">_xlfn.ANCHORARRAY(J448)+0.15</f>
        <v>3.15</v>
      </c>
      <c r="V448" cm="1">
        <f t="array" ref="V448">_xlfn.ANCHORARRAY(K448)+0.15</f>
        <v>4.6500000000000004</v>
      </c>
      <c r="W448">
        <f>TBL_TEV[[#This Row],[Etica Rendita Bilanciata]]</f>
        <v>1.664442</v>
      </c>
      <c r="X448">
        <f>TBL_TEV[[#This Row],[Etica Obbligazionario Breve Termine]]</f>
        <v>0.31495000000000001</v>
      </c>
      <c r="Y448">
        <f>TBL_TEV[[#This Row],[Etica Obbligazionario Misto]]</f>
        <v>0.702129</v>
      </c>
      <c r="Z448">
        <f>TBL_TEV[[#This Row],[Etica Bilanciato]]</f>
        <v>2.4434040000000001</v>
      </c>
      <c r="AA448">
        <f>TBL_TEV[[#This Row],[Etica Azionario]]</f>
        <v>3.5274740000000002</v>
      </c>
      <c r="AB448">
        <f>TBL_TEV[[#This Row],[Etica Transizione Climatica]]</f>
        <v>2.6904119999999998</v>
      </c>
      <c r="AC448">
        <f>TBL_TEV[[#This Row],[Etica Obiettivo Sociale]]</f>
        <v>7.4913872182235792</v>
      </c>
      <c r="AD448">
        <f>TBL_TEV[[#This Row],[Etica Conservative Allocation]]</f>
        <v>0.71863900000000003</v>
      </c>
      <c r="AE448">
        <f>TBL_TEV[[#This Row],[Etica Dynamic Allocation]]</f>
        <v>2.2875169999999998</v>
      </c>
      <c r="AF448">
        <f>TBL_TEV[[#This Row],[Etica Global Equity]]</f>
        <v>3.5204900000000001</v>
      </c>
      <c r="AL448">
        <f ca="1"/>
        <v>1.6677759999999999</v>
      </c>
      <c r="AM448">
        <f ca="1"/>
        <v>0.31352200000000002</v>
      </c>
      <c r="AN448">
        <f ca="1"/>
        <v>0.78229599999999999</v>
      </c>
      <c r="AO448">
        <f ca="1"/>
        <v>2.4522940000000002</v>
      </c>
      <c r="AP448">
        <f ca="1"/>
        <v>3.520966</v>
      </c>
      <c r="AQ448">
        <f ca="1"/>
        <v>2.6908880000000002</v>
      </c>
      <c r="AR448">
        <f ca="1"/>
        <v>7.5279371744014778</v>
      </c>
      <c r="AS448">
        <f ca="1"/>
        <v>0.71546399999999999</v>
      </c>
      <c r="AT448">
        <f ca="1"/>
        <v>2.2903739999999999</v>
      </c>
      <c r="AU448">
        <f ca="1"/>
        <v>3.5022340000000001</v>
      </c>
    </row>
    <row r="449" spans="1:47">
      <c r="A449" s="43">
        <f>TBL_TEV[[#This Row],[Data2]]</f>
        <v>45932</v>
      </c>
      <c r="B449" cm="1">
        <f t="array" ref="B449">_xlfn.XLOOKUP(_xlfn.ANCHORARRAY(A449), TBL_Limiti_CDA[Data], TBL_Limiti_CDA[Etica Rendita Bilanciata], , -1)</f>
        <v>2.5</v>
      </c>
      <c r="C449" cm="1">
        <f t="array" ref="C449">_xlfn.XLOOKUP(_xlfn.ANCHORARRAY(A449), TBL_Limiti_CDA[Data], TBL_Limiti_CDA[Etica Obbligazionario Breve Termine], , -1)</f>
        <v>0.5</v>
      </c>
      <c r="D449" cm="1">
        <f t="array" ref="D449">_xlfn.XLOOKUP(_xlfn.ANCHORARRAY(A449), TBL_Limiti_CDA[Data], TBL_Limiti_CDA[Etica Obbligazionario Misto], , -1)</f>
        <v>1</v>
      </c>
      <c r="E449" cm="1">
        <f t="array" ref="E449">_xlfn.XLOOKUP(_xlfn.ANCHORARRAY(A449), TBL_Limiti_CDA[Data], TBL_Limiti_CDA[Etica Bilanciato], , -1)</f>
        <v>3</v>
      </c>
      <c r="F449" cm="1">
        <f t="array" ref="F449">_xlfn.XLOOKUP(_xlfn.ANCHORARRAY(A449), TBL_Limiti_CDA[Data], TBL_Limiti_CDA[Etica Azionario], , -1)</f>
        <v>4.5</v>
      </c>
      <c r="G449" cm="1">
        <f t="array" ref="G449">_xlfn.XLOOKUP(_xlfn.ANCHORARRAY(A449), TBL_Limiti_CDA[Data], TBL_Limiti_CDA[Etica Transizione Climatica], , -1)</f>
        <v>3.5</v>
      </c>
      <c r="H449" cm="1">
        <f t="array" ref="H449">_xlfn.XLOOKUP(_xlfn.ANCHORARRAY(A449), TBL_Limiti_CDA[Data], TBL_Limiti_CDA[Etica Obiettivo Sociale], , -1)</f>
        <v>9.99</v>
      </c>
      <c r="I449" cm="1">
        <f t="array" ref="I449">_xlfn.XLOOKUP(_xlfn.ANCHORARRAY(A449), TBL_Limiti_CDA[Data], TBL_Limiti_CDA[Etica Conservative Allocation], , -1)</f>
        <v>1</v>
      </c>
      <c r="J449" cm="1">
        <f t="array" ref="J449">_xlfn.XLOOKUP(_xlfn.ANCHORARRAY(A449), TBL_Limiti_CDA[Data], TBL_Limiti_CDA[Etica Dynamic Allocation], , -1)</f>
        <v>3</v>
      </c>
      <c r="K449" cm="1">
        <f t="array" ref="K449">_xlfn.XLOOKUP(_xlfn.ANCHORARRAY(A449), TBL_Limiti_CDA[Data], TBL_Limiti_CDA[Etica Global Equity], , -1)</f>
        <v>4.5</v>
      </c>
      <c r="L449" cm="1">
        <f t="array" ref="L449">_xlfn.ANCHORARRAY(B449)+0.15</f>
        <v>2.65</v>
      </c>
      <c r="M449" cm="1">
        <f t="array" ref="M449">_xlfn.ANCHORARRAY(C449)+0.1</f>
        <v>0.6</v>
      </c>
      <c r="N449" cm="1">
        <f t="array" ref="N449">_xlfn.ANCHORARRAY(D449)+0.15</f>
        <v>1.1499999999999999</v>
      </c>
      <c r="O449" cm="1">
        <f t="array" ref="O449">_xlfn.ANCHORARRAY(E449)+0.15</f>
        <v>3.15</v>
      </c>
      <c r="P449" cm="1">
        <f t="array" ref="P449">_xlfn.ANCHORARRAY(F449)+0.15</f>
        <v>4.6500000000000004</v>
      </c>
      <c r="Q449" cm="1">
        <f t="array" ref="Q449">_xlfn.ANCHORARRAY(G449)+0.15</f>
        <v>3.65</v>
      </c>
      <c r="R449" cm="1">
        <f t="array" ref="R449">_xlfn.ANCHORARRAY(H449)</f>
        <v>9.99</v>
      </c>
      <c r="S449" cm="1">
        <f t="array" ref="S449">_xlfn.ANCHORARRAY(R449)+0.15</f>
        <v>10.14</v>
      </c>
      <c r="T449" cm="1">
        <f t="array" ref="T449">_xlfn.ANCHORARRAY(I449)+0.15</f>
        <v>1.1499999999999999</v>
      </c>
      <c r="U449" cm="1">
        <f t="array" ref="U449">_xlfn.ANCHORARRAY(J449)+0.15</f>
        <v>3.15</v>
      </c>
      <c r="V449" cm="1">
        <f t="array" ref="V449">_xlfn.ANCHORARRAY(K449)+0.15</f>
        <v>4.6500000000000004</v>
      </c>
      <c r="W449">
        <f>TBL_TEV[[#This Row],[Etica Rendita Bilanciata]]</f>
        <v>1.6677759999999999</v>
      </c>
      <c r="X449">
        <f>TBL_TEV[[#This Row],[Etica Obbligazionario Breve Termine]]</f>
        <v>0.31352200000000002</v>
      </c>
      <c r="Y449">
        <f>TBL_TEV[[#This Row],[Etica Obbligazionario Misto]]</f>
        <v>0.78229599999999999</v>
      </c>
      <c r="Z449">
        <f>TBL_TEV[[#This Row],[Etica Bilanciato]]</f>
        <v>2.4522940000000002</v>
      </c>
      <c r="AA449">
        <f>TBL_TEV[[#This Row],[Etica Azionario]]</f>
        <v>3.520966</v>
      </c>
      <c r="AB449">
        <f>TBL_TEV[[#This Row],[Etica Transizione Climatica]]</f>
        <v>2.6908880000000002</v>
      </c>
      <c r="AC449">
        <f>TBL_TEV[[#This Row],[Etica Obiettivo Sociale]]</f>
        <v>7.5279371744014778</v>
      </c>
      <c r="AD449">
        <f>TBL_TEV[[#This Row],[Etica Conservative Allocation]]</f>
        <v>0.71546399999999999</v>
      </c>
      <c r="AE449">
        <f>TBL_TEV[[#This Row],[Etica Dynamic Allocation]]</f>
        <v>2.2903739999999999</v>
      </c>
      <c r="AF449">
        <f>TBL_TEV[[#This Row],[Etica Global Equity]]</f>
        <v>3.5022340000000001</v>
      </c>
      <c r="AL449">
        <f ca="1"/>
        <v>1.6668229999999999</v>
      </c>
      <c r="AM449">
        <f ca="1"/>
        <v>0.31161699999999998</v>
      </c>
      <c r="AN449">
        <f ca="1"/>
        <v>0.78308900000000004</v>
      </c>
      <c r="AO449">
        <f ca="1"/>
        <v>2.45404</v>
      </c>
      <c r="AP449">
        <f ca="1"/>
        <v>3.5281090000000002</v>
      </c>
      <c r="AQ449">
        <f ca="1"/>
        <v>2.6775530000000001</v>
      </c>
      <c r="AR449">
        <f ca="1"/>
        <v>7.6217938927470783</v>
      </c>
      <c r="AS449">
        <f ca="1"/>
        <v>0.71482900000000005</v>
      </c>
      <c r="AT449">
        <f ca="1"/>
        <v>2.294978</v>
      </c>
      <c r="AU449">
        <f ca="1"/>
        <v>3.5128699999999999</v>
      </c>
    </row>
    <row r="450" spans="1:47">
      <c r="A450" s="43">
        <f>TBL_TEV[[#This Row],[Data2]]</f>
        <v>45933</v>
      </c>
      <c r="B450" cm="1">
        <f t="array" ref="B450">_xlfn.XLOOKUP(_xlfn.ANCHORARRAY(A450), TBL_Limiti_CDA[Data], TBL_Limiti_CDA[Etica Rendita Bilanciata], , -1)</f>
        <v>2.5</v>
      </c>
      <c r="C450" cm="1">
        <f t="array" ref="C450">_xlfn.XLOOKUP(_xlfn.ANCHORARRAY(A450), TBL_Limiti_CDA[Data], TBL_Limiti_CDA[Etica Obbligazionario Breve Termine], , -1)</f>
        <v>0.5</v>
      </c>
      <c r="D450" cm="1">
        <f t="array" ref="D450">_xlfn.XLOOKUP(_xlfn.ANCHORARRAY(A450), TBL_Limiti_CDA[Data], TBL_Limiti_CDA[Etica Obbligazionario Misto], , -1)</f>
        <v>1</v>
      </c>
      <c r="E450" cm="1">
        <f t="array" ref="E450">_xlfn.XLOOKUP(_xlfn.ANCHORARRAY(A450), TBL_Limiti_CDA[Data], TBL_Limiti_CDA[Etica Bilanciato], , -1)</f>
        <v>3</v>
      </c>
      <c r="F450" cm="1">
        <f t="array" ref="F450">_xlfn.XLOOKUP(_xlfn.ANCHORARRAY(A450), TBL_Limiti_CDA[Data], TBL_Limiti_CDA[Etica Azionario], , -1)</f>
        <v>4.5</v>
      </c>
      <c r="G450" cm="1">
        <f t="array" ref="G450">_xlfn.XLOOKUP(_xlfn.ANCHORARRAY(A450), TBL_Limiti_CDA[Data], TBL_Limiti_CDA[Etica Transizione Climatica], , -1)</f>
        <v>3.5</v>
      </c>
      <c r="H450" cm="1">
        <f t="array" ref="H450">_xlfn.XLOOKUP(_xlfn.ANCHORARRAY(A450), TBL_Limiti_CDA[Data], TBL_Limiti_CDA[Etica Obiettivo Sociale], , -1)</f>
        <v>9.99</v>
      </c>
      <c r="I450" cm="1">
        <f t="array" ref="I450">_xlfn.XLOOKUP(_xlfn.ANCHORARRAY(A450), TBL_Limiti_CDA[Data], TBL_Limiti_CDA[Etica Conservative Allocation], , -1)</f>
        <v>1</v>
      </c>
      <c r="J450" cm="1">
        <f t="array" ref="J450">_xlfn.XLOOKUP(_xlfn.ANCHORARRAY(A450), TBL_Limiti_CDA[Data], TBL_Limiti_CDA[Etica Dynamic Allocation], , -1)</f>
        <v>3</v>
      </c>
      <c r="K450" cm="1">
        <f t="array" ref="K450">_xlfn.XLOOKUP(_xlfn.ANCHORARRAY(A450), TBL_Limiti_CDA[Data], TBL_Limiti_CDA[Etica Global Equity], , -1)</f>
        <v>4.5</v>
      </c>
      <c r="L450" cm="1">
        <f t="array" ref="L450">_xlfn.ANCHORARRAY(B450)+0.15</f>
        <v>2.65</v>
      </c>
      <c r="M450" cm="1">
        <f t="array" ref="M450">_xlfn.ANCHORARRAY(C450)+0.1</f>
        <v>0.6</v>
      </c>
      <c r="N450" cm="1">
        <f t="array" ref="N450">_xlfn.ANCHORARRAY(D450)+0.15</f>
        <v>1.1499999999999999</v>
      </c>
      <c r="O450" cm="1">
        <f t="array" ref="O450">_xlfn.ANCHORARRAY(E450)+0.15</f>
        <v>3.15</v>
      </c>
      <c r="P450" cm="1">
        <f t="array" ref="P450">_xlfn.ANCHORARRAY(F450)+0.15</f>
        <v>4.6500000000000004</v>
      </c>
      <c r="Q450" cm="1">
        <f t="array" ref="Q450">_xlfn.ANCHORARRAY(G450)+0.15</f>
        <v>3.65</v>
      </c>
      <c r="R450" cm="1">
        <f t="array" ref="R450">_xlfn.ANCHORARRAY(H450)</f>
        <v>9.99</v>
      </c>
      <c r="S450" cm="1">
        <f t="array" ref="S450">_xlfn.ANCHORARRAY(R450)+0.15</f>
        <v>10.14</v>
      </c>
      <c r="T450" cm="1">
        <f t="array" ref="T450">_xlfn.ANCHORARRAY(I450)+0.15</f>
        <v>1.1499999999999999</v>
      </c>
      <c r="U450" cm="1">
        <f t="array" ref="U450">_xlfn.ANCHORARRAY(J450)+0.15</f>
        <v>3.15</v>
      </c>
      <c r="V450" cm="1">
        <f t="array" ref="V450">_xlfn.ANCHORARRAY(K450)+0.15</f>
        <v>4.6500000000000004</v>
      </c>
      <c r="W450">
        <f>TBL_TEV[[#This Row],[Etica Rendita Bilanciata]]</f>
        <v>1.6668229999999999</v>
      </c>
      <c r="X450">
        <f>TBL_TEV[[#This Row],[Etica Obbligazionario Breve Termine]]</f>
        <v>0.31161699999999998</v>
      </c>
      <c r="Y450">
        <f>TBL_TEV[[#This Row],[Etica Obbligazionario Misto]]</f>
        <v>0.78308900000000004</v>
      </c>
      <c r="Z450">
        <f>TBL_TEV[[#This Row],[Etica Bilanciato]]</f>
        <v>2.45404</v>
      </c>
      <c r="AA450">
        <f>TBL_TEV[[#This Row],[Etica Azionario]]</f>
        <v>3.5281090000000002</v>
      </c>
      <c r="AB450">
        <f>TBL_TEV[[#This Row],[Etica Transizione Climatica]]</f>
        <v>2.6775530000000001</v>
      </c>
      <c r="AC450">
        <f>TBL_TEV[[#This Row],[Etica Obiettivo Sociale]]</f>
        <v>7.6217938927470783</v>
      </c>
      <c r="AD450">
        <f>TBL_TEV[[#This Row],[Etica Conservative Allocation]]</f>
        <v>0.71482900000000005</v>
      </c>
      <c r="AE450">
        <f>TBL_TEV[[#This Row],[Etica Dynamic Allocation]]</f>
        <v>2.294978</v>
      </c>
      <c r="AF450">
        <f>TBL_TEV[[#This Row],[Etica Global Equity]]</f>
        <v>3.5128699999999999</v>
      </c>
      <c r="AL450">
        <f ca="1"/>
        <v>1.6768240000000001</v>
      </c>
      <c r="AM450">
        <f ca="1"/>
        <v>0.30875900000000001</v>
      </c>
      <c r="AN450">
        <f ca="1"/>
        <v>0.78499399999999997</v>
      </c>
      <c r="AO450">
        <f ca="1"/>
        <v>2.4653109999999998</v>
      </c>
      <c r="AP450">
        <f ca="1"/>
        <v>3.5463650000000002</v>
      </c>
      <c r="AQ450">
        <f ca="1"/>
        <v>2.7875640000000002</v>
      </c>
      <c r="AR450">
        <f ca="1"/>
        <v>7.6026596019173898</v>
      </c>
      <c r="AS450">
        <f ca="1"/>
        <v>0.74007000000000001</v>
      </c>
      <c r="AT450">
        <f ca="1"/>
        <v>2.3097409999999998</v>
      </c>
      <c r="AU450">
        <f ca="1"/>
        <v>3.5341420000000001</v>
      </c>
    </row>
    <row r="451" spans="1:47">
      <c r="A451" s="43">
        <f>TBL_TEV[[#This Row],[Data2]]</f>
        <v>45936</v>
      </c>
      <c r="B451" cm="1">
        <f t="array" ref="B451">_xlfn.XLOOKUP(_xlfn.ANCHORARRAY(A451), TBL_Limiti_CDA[Data], TBL_Limiti_CDA[Etica Rendita Bilanciata], , -1)</f>
        <v>2.5</v>
      </c>
      <c r="C451" cm="1">
        <f t="array" ref="C451">_xlfn.XLOOKUP(_xlfn.ANCHORARRAY(A451), TBL_Limiti_CDA[Data], TBL_Limiti_CDA[Etica Obbligazionario Breve Termine], , -1)</f>
        <v>0.5</v>
      </c>
      <c r="D451" cm="1">
        <f t="array" ref="D451">_xlfn.XLOOKUP(_xlfn.ANCHORARRAY(A451), TBL_Limiti_CDA[Data], TBL_Limiti_CDA[Etica Obbligazionario Misto], , -1)</f>
        <v>1</v>
      </c>
      <c r="E451" cm="1">
        <f t="array" ref="E451">_xlfn.XLOOKUP(_xlfn.ANCHORARRAY(A451), TBL_Limiti_CDA[Data], TBL_Limiti_CDA[Etica Bilanciato], , -1)</f>
        <v>3</v>
      </c>
      <c r="F451" cm="1">
        <f t="array" ref="F451">_xlfn.XLOOKUP(_xlfn.ANCHORARRAY(A451), TBL_Limiti_CDA[Data], TBL_Limiti_CDA[Etica Azionario], , -1)</f>
        <v>4.5</v>
      </c>
      <c r="G451" cm="1">
        <f t="array" ref="G451">_xlfn.XLOOKUP(_xlfn.ANCHORARRAY(A451), TBL_Limiti_CDA[Data], TBL_Limiti_CDA[Etica Transizione Climatica], , -1)</f>
        <v>3.5</v>
      </c>
      <c r="H451" cm="1">
        <f t="array" ref="H451">_xlfn.XLOOKUP(_xlfn.ANCHORARRAY(A451), TBL_Limiti_CDA[Data], TBL_Limiti_CDA[Etica Obiettivo Sociale], , -1)</f>
        <v>9.99</v>
      </c>
      <c r="I451" cm="1">
        <f t="array" ref="I451">_xlfn.XLOOKUP(_xlfn.ANCHORARRAY(A451), TBL_Limiti_CDA[Data], TBL_Limiti_CDA[Etica Conservative Allocation], , -1)</f>
        <v>1</v>
      </c>
      <c r="J451" cm="1">
        <f t="array" ref="J451">_xlfn.XLOOKUP(_xlfn.ANCHORARRAY(A451), TBL_Limiti_CDA[Data], TBL_Limiti_CDA[Etica Dynamic Allocation], , -1)</f>
        <v>3</v>
      </c>
      <c r="K451" cm="1">
        <f t="array" ref="K451">_xlfn.XLOOKUP(_xlfn.ANCHORARRAY(A451), TBL_Limiti_CDA[Data], TBL_Limiti_CDA[Etica Global Equity], , -1)</f>
        <v>4.5</v>
      </c>
      <c r="L451" cm="1">
        <f t="array" ref="L451">_xlfn.ANCHORARRAY(B451)+0.15</f>
        <v>2.65</v>
      </c>
      <c r="M451" cm="1">
        <f t="array" ref="M451">_xlfn.ANCHORARRAY(C451)+0.1</f>
        <v>0.6</v>
      </c>
      <c r="N451" cm="1">
        <f t="array" ref="N451">_xlfn.ANCHORARRAY(D451)+0.15</f>
        <v>1.1499999999999999</v>
      </c>
      <c r="O451" cm="1">
        <f t="array" ref="O451">_xlfn.ANCHORARRAY(E451)+0.15</f>
        <v>3.15</v>
      </c>
      <c r="P451" cm="1">
        <f t="array" ref="P451">_xlfn.ANCHORARRAY(F451)+0.15</f>
        <v>4.6500000000000004</v>
      </c>
      <c r="Q451" cm="1">
        <f t="array" ref="Q451">_xlfn.ANCHORARRAY(G451)+0.15</f>
        <v>3.65</v>
      </c>
      <c r="R451" cm="1">
        <f t="array" ref="R451">_xlfn.ANCHORARRAY(H451)</f>
        <v>9.99</v>
      </c>
      <c r="S451" cm="1">
        <f t="array" ref="S451">_xlfn.ANCHORARRAY(R451)+0.15</f>
        <v>10.14</v>
      </c>
      <c r="T451" cm="1">
        <f t="array" ref="T451">_xlfn.ANCHORARRAY(I451)+0.15</f>
        <v>1.1499999999999999</v>
      </c>
      <c r="U451" cm="1">
        <f t="array" ref="U451">_xlfn.ANCHORARRAY(J451)+0.15</f>
        <v>3.15</v>
      </c>
      <c r="V451" cm="1">
        <f t="array" ref="V451">_xlfn.ANCHORARRAY(K451)+0.15</f>
        <v>4.6500000000000004</v>
      </c>
      <c r="W451">
        <f>TBL_TEV[[#This Row],[Etica Rendita Bilanciata]]</f>
        <v>1.6768240000000001</v>
      </c>
      <c r="X451">
        <f>TBL_TEV[[#This Row],[Etica Obbligazionario Breve Termine]]</f>
        <v>0.30875900000000001</v>
      </c>
      <c r="Y451">
        <f>TBL_TEV[[#This Row],[Etica Obbligazionario Misto]]</f>
        <v>0.78499399999999997</v>
      </c>
      <c r="Z451">
        <f>TBL_TEV[[#This Row],[Etica Bilanciato]]</f>
        <v>2.4653109999999998</v>
      </c>
      <c r="AA451">
        <f>TBL_TEV[[#This Row],[Etica Azionario]]</f>
        <v>3.5463650000000002</v>
      </c>
      <c r="AB451">
        <f>TBL_TEV[[#This Row],[Etica Transizione Climatica]]</f>
        <v>2.7875640000000002</v>
      </c>
      <c r="AC451">
        <f>TBL_TEV[[#This Row],[Etica Obiettivo Sociale]]</f>
        <v>7.6026596019173898</v>
      </c>
      <c r="AD451">
        <f>TBL_TEV[[#This Row],[Etica Conservative Allocation]]</f>
        <v>0.74007000000000001</v>
      </c>
      <c r="AE451">
        <f>TBL_TEV[[#This Row],[Etica Dynamic Allocation]]</f>
        <v>2.3097409999999998</v>
      </c>
      <c r="AF451">
        <f>TBL_TEV[[#This Row],[Etica Global Equity]]</f>
        <v>3.5341420000000001</v>
      </c>
      <c r="AL451">
        <f ca="1"/>
        <v>1.6623779999999999</v>
      </c>
      <c r="AM451">
        <f ca="1"/>
        <v>0.30685400000000002</v>
      </c>
      <c r="AN451">
        <f ca="1"/>
        <v>0.78197799999999995</v>
      </c>
      <c r="AO451">
        <f ca="1"/>
        <v>2.4399120000000001</v>
      </c>
      <c r="AP451">
        <f ca="1"/>
        <v>3.5106470000000001</v>
      </c>
      <c r="AQ451">
        <f ca="1"/>
        <v>2.7645460000000002</v>
      </c>
      <c r="AR451">
        <f ca="1"/>
        <v>7.4090597644975746</v>
      </c>
      <c r="AS451">
        <f ca="1"/>
        <v>0.73229100000000003</v>
      </c>
      <c r="AT451">
        <f ca="1"/>
        <v>2.2776740000000002</v>
      </c>
      <c r="AU451">
        <f ca="1"/>
        <v>3.4854069999999999</v>
      </c>
    </row>
    <row r="452" spans="1:47">
      <c r="A452" s="43">
        <f>TBL_TEV[[#This Row],[Data2]]</f>
        <v>45937</v>
      </c>
      <c r="B452" cm="1">
        <f t="array" ref="B452">_xlfn.XLOOKUP(_xlfn.ANCHORARRAY(A452), TBL_Limiti_CDA[Data], TBL_Limiti_CDA[Etica Rendita Bilanciata], , -1)</f>
        <v>2.5</v>
      </c>
      <c r="C452" cm="1">
        <f t="array" ref="C452">_xlfn.XLOOKUP(_xlfn.ANCHORARRAY(A452), TBL_Limiti_CDA[Data], TBL_Limiti_CDA[Etica Obbligazionario Breve Termine], , -1)</f>
        <v>0.5</v>
      </c>
      <c r="D452" cm="1">
        <f t="array" ref="D452">_xlfn.XLOOKUP(_xlfn.ANCHORARRAY(A452), TBL_Limiti_CDA[Data], TBL_Limiti_CDA[Etica Obbligazionario Misto], , -1)</f>
        <v>1</v>
      </c>
      <c r="E452" cm="1">
        <f t="array" ref="E452">_xlfn.XLOOKUP(_xlfn.ANCHORARRAY(A452), TBL_Limiti_CDA[Data], TBL_Limiti_CDA[Etica Bilanciato], , -1)</f>
        <v>3</v>
      </c>
      <c r="F452" cm="1">
        <f t="array" ref="F452">_xlfn.XLOOKUP(_xlfn.ANCHORARRAY(A452), TBL_Limiti_CDA[Data], TBL_Limiti_CDA[Etica Azionario], , -1)</f>
        <v>4.5</v>
      </c>
      <c r="G452" cm="1">
        <f t="array" ref="G452">_xlfn.XLOOKUP(_xlfn.ANCHORARRAY(A452), TBL_Limiti_CDA[Data], TBL_Limiti_CDA[Etica Transizione Climatica], , -1)</f>
        <v>3.5</v>
      </c>
      <c r="H452" cm="1">
        <f t="array" ref="H452">_xlfn.XLOOKUP(_xlfn.ANCHORARRAY(A452), TBL_Limiti_CDA[Data], TBL_Limiti_CDA[Etica Obiettivo Sociale], , -1)</f>
        <v>9.99</v>
      </c>
      <c r="I452" cm="1">
        <f t="array" ref="I452">_xlfn.XLOOKUP(_xlfn.ANCHORARRAY(A452), TBL_Limiti_CDA[Data], TBL_Limiti_CDA[Etica Conservative Allocation], , -1)</f>
        <v>1</v>
      </c>
      <c r="J452" cm="1">
        <f t="array" ref="J452">_xlfn.XLOOKUP(_xlfn.ANCHORARRAY(A452), TBL_Limiti_CDA[Data], TBL_Limiti_CDA[Etica Dynamic Allocation], , -1)</f>
        <v>3</v>
      </c>
      <c r="K452" cm="1">
        <f t="array" ref="K452">_xlfn.XLOOKUP(_xlfn.ANCHORARRAY(A452), TBL_Limiti_CDA[Data], TBL_Limiti_CDA[Etica Global Equity], , -1)</f>
        <v>4.5</v>
      </c>
      <c r="L452" cm="1">
        <f t="array" ref="L452">_xlfn.ANCHORARRAY(B452)+0.15</f>
        <v>2.65</v>
      </c>
      <c r="M452" cm="1">
        <f t="array" ref="M452">_xlfn.ANCHORARRAY(C452)+0.1</f>
        <v>0.6</v>
      </c>
      <c r="N452" cm="1">
        <f t="array" ref="N452">_xlfn.ANCHORARRAY(D452)+0.15</f>
        <v>1.1499999999999999</v>
      </c>
      <c r="O452" cm="1">
        <f t="array" ref="O452">_xlfn.ANCHORARRAY(E452)+0.15</f>
        <v>3.15</v>
      </c>
      <c r="P452" cm="1">
        <f t="array" ref="P452">_xlfn.ANCHORARRAY(F452)+0.15</f>
        <v>4.6500000000000004</v>
      </c>
      <c r="Q452" cm="1">
        <f t="array" ref="Q452">_xlfn.ANCHORARRAY(G452)+0.15</f>
        <v>3.65</v>
      </c>
      <c r="R452" cm="1">
        <f t="array" ref="R452">_xlfn.ANCHORARRAY(H452)</f>
        <v>9.99</v>
      </c>
      <c r="S452" cm="1">
        <f t="array" ref="S452">_xlfn.ANCHORARRAY(R452)+0.15</f>
        <v>10.14</v>
      </c>
      <c r="T452" cm="1">
        <f t="array" ref="T452">_xlfn.ANCHORARRAY(I452)+0.15</f>
        <v>1.1499999999999999</v>
      </c>
      <c r="U452" cm="1">
        <f t="array" ref="U452">_xlfn.ANCHORARRAY(J452)+0.15</f>
        <v>3.15</v>
      </c>
      <c r="V452" cm="1">
        <f t="array" ref="V452">_xlfn.ANCHORARRAY(K452)+0.15</f>
        <v>4.6500000000000004</v>
      </c>
      <c r="W452">
        <f>TBL_TEV[[#This Row],[Etica Rendita Bilanciata]]</f>
        <v>1.6623779999999999</v>
      </c>
      <c r="X452">
        <f>TBL_TEV[[#This Row],[Etica Obbligazionario Breve Termine]]</f>
        <v>0.30685400000000002</v>
      </c>
      <c r="Y452">
        <f>TBL_TEV[[#This Row],[Etica Obbligazionario Misto]]</f>
        <v>0.78197799999999995</v>
      </c>
      <c r="Z452">
        <f>TBL_TEV[[#This Row],[Etica Bilanciato]]</f>
        <v>2.4399120000000001</v>
      </c>
      <c r="AA452">
        <f>TBL_TEV[[#This Row],[Etica Azionario]]</f>
        <v>3.5106470000000001</v>
      </c>
      <c r="AB452">
        <f>TBL_TEV[[#This Row],[Etica Transizione Climatica]]</f>
        <v>2.7645460000000002</v>
      </c>
      <c r="AC452">
        <f>TBL_TEV[[#This Row],[Etica Obiettivo Sociale]]</f>
        <v>7.4090597644975746</v>
      </c>
      <c r="AD452">
        <f>TBL_TEV[[#This Row],[Etica Conservative Allocation]]</f>
        <v>0.73229100000000003</v>
      </c>
      <c r="AE452">
        <f>TBL_TEV[[#This Row],[Etica Dynamic Allocation]]</f>
        <v>2.2776740000000002</v>
      </c>
      <c r="AF452">
        <f>TBL_TEV[[#This Row],[Etica Global Equity]]</f>
        <v>3.4854069999999999</v>
      </c>
      <c r="AL452">
        <f ca="1"/>
        <v>1.6220570000000001</v>
      </c>
      <c r="AM452">
        <f ca="1"/>
        <v>0.30875900000000001</v>
      </c>
      <c r="AN452">
        <f ca="1"/>
        <v>0.72451299999999996</v>
      </c>
      <c r="AO452">
        <f ca="1"/>
        <v>2.4410229999999999</v>
      </c>
      <c r="AP452">
        <f ca="1"/>
        <v>3.5049329999999999</v>
      </c>
      <c r="AQ452">
        <f ca="1"/>
        <v>2.8326470000000001</v>
      </c>
      <c r="AR452">
        <f ca="1"/>
        <v>7.4481910293774112</v>
      </c>
      <c r="AS452">
        <f ca="1"/>
        <v>0.73165599999999997</v>
      </c>
      <c r="AT452">
        <f ca="1"/>
        <v>2.2778330000000002</v>
      </c>
      <c r="AU452">
        <f ca="1"/>
        <v>3.4820730000000002</v>
      </c>
    </row>
    <row r="453" spans="1:47">
      <c r="A453" s="43">
        <f>TBL_TEV[[#This Row],[Data2]]</f>
        <v>45938</v>
      </c>
      <c r="B453" cm="1">
        <f t="array" ref="B453">_xlfn.XLOOKUP(_xlfn.ANCHORARRAY(A453), TBL_Limiti_CDA[Data], TBL_Limiti_CDA[Etica Rendita Bilanciata], , -1)</f>
        <v>2.5</v>
      </c>
      <c r="C453" cm="1">
        <f t="array" ref="C453">_xlfn.XLOOKUP(_xlfn.ANCHORARRAY(A453), TBL_Limiti_CDA[Data], TBL_Limiti_CDA[Etica Obbligazionario Breve Termine], , -1)</f>
        <v>0.5</v>
      </c>
      <c r="D453" cm="1">
        <f t="array" ref="D453">_xlfn.XLOOKUP(_xlfn.ANCHORARRAY(A453), TBL_Limiti_CDA[Data], TBL_Limiti_CDA[Etica Obbligazionario Misto], , -1)</f>
        <v>1</v>
      </c>
      <c r="E453" cm="1">
        <f t="array" ref="E453">_xlfn.XLOOKUP(_xlfn.ANCHORARRAY(A453), TBL_Limiti_CDA[Data], TBL_Limiti_CDA[Etica Bilanciato], , -1)</f>
        <v>3</v>
      </c>
      <c r="F453" cm="1">
        <f t="array" ref="F453">_xlfn.XLOOKUP(_xlfn.ANCHORARRAY(A453), TBL_Limiti_CDA[Data], TBL_Limiti_CDA[Etica Azionario], , -1)</f>
        <v>4.5</v>
      </c>
      <c r="G453" cm="1">
        <f t="array" ref="G453">_xlfn.XLOOKUP(_xlfn.ANCHORARRAY(A453), TBL_Limiti_CDA[Data], TBL_Limiti_CDA[Etica Transizione Climatica], , -1)</f>
        <v>3.5</v>
      </c>
      <c r="H453" cm="1">
        <f t="array" ref="H453">_xlfn.XLOOKUP(_xlfn.ANCHORARRAY(A453), TBL_Limiti_CDA[Data], TBL_Limiti_CDA[Etica Obiettivo Sociale], , -1)</f>
        <v>9.99</v>
      </c>
      <c r="I453" cm="1">
        <f t="array" ref="I453">_xlfn.XLOOKUP(_xlfn.ANCHORARRAY(A453), TBL_Limiti_CDA[Data], TBL_Limiti_CDA[Etica Conservative Allocation], , -1)</f>
        <v>1</v>
      </c>
      <c r="J453" cm="1">
        <f t="array" ref="J453">_xlfn.XLOOKUP(_xlfn.ANCHORARRAY(A453), TBL_Limiti_CDA[Data], TBL_Limiti_CDA[Etica Dynamic Allocation], , -1)</f>
        <v>3</v>
      </c>
      <c r="K453" cm="1">
        <f t="array" ref="K453">_xlfn.XLOOKUP(_xlfn.ANCHORARRAY(A453), TBL_Limiti_CDA[Data], TBL_Limiti_CDA[Etica Global Equity], , -1)</f>
        <v>4.5</v>
      </c>
      <c r="L453" cm="1">
        <f t="array" ref="L453">_xlfn.ANCHORARRAY(B453)+0.15</f>
        <v>2.65</v>
      </c>
      <c r="M453" cm="1">
        <f t="array" ref="M453">_xlfn.ANCHORARRAY(C453)+0.1</f>
        <v>0.6</v>
      </c>
      <c r="N453" cm="1">
        <f t="array" ref="N453">_xlfn.ANCHORARRAY(D453)+0.15</f>
        <v>1.1499999999999999</v>
      </c>
      <c r="O453" cm="1">
        <f t="array" ref="O453">_xlfn.ANCHORARRAY(E453)+0.15</f>
        <v>3.15</v>
      </c>
      <c r="P453" cm="1">
        <f t="array" ref="P453">_xlfn.ANCHORARRAY(F453)+0.15</f>
        <v>4.6500000000000004</v>
      </c>
      <c r="Q453" cm="1">
        <f t="array" ref="Q453">_xlfn.ANCHORARRAY(G453)+0.15</f>
        <v>3.65</v>
      </c>
      <c r="R453" cm="1">
        <f t="array" ref="R453">_xlfn.ANCHORARRAY(H453)</f>
        <v>9.99</v>
      </c>
      <c r="S453" cm="1">
        <f t="array" ref="S453">_xlfn.ANCHORARRAY(R453)+0.15</f>
        <v>10.14</v>
      </c>
      <c r="T453" cm="1">
        <f t="array" ref="T453">_xlfn.ANCHORARRAY(I453)+0.15</f>
        <v>1.1499999999999999</v>
      </c>
      <c r="U453" cm="1">
        <f t="array" ref="U453">_xlfn.ANCHORARRAY(J453)+0.15</f>
        <v>3.15</v>
      </c>
      <c r="V453" cm="1">
        <f t="array" ref="V453">_xlfn.ANCHORARRAY(K453)+0.15</f>
        <v>4.6500000000000004</v>
      </c>
      <c r="W453">
        <f>TBL_TEV[[#This Row],[Etica Rendita Bilanciata]]</f>
        <v>1.6220570000000001</v>
      </c>
      <c r="X453">
        <f>TBL_TEV[[#This Row],[Etica Obbligazionario Breve Termine]]</f>
        <v>0.30875900000000001</v>
      </c>
      <c r="Y453">
        <f>TBL_TEV[[#This Row],[Etica Obbligazionario Misto]]</f>
        <v>0.72451299999999996</v>
      </c>
      <c r="Z453">
        <f>TBL_TEV[[#This Row],[Etica Bilanciato]]</f>
        <v>2.4410229999999999</v>
      </c>
      <c r="AA453">
        <f>TBL_TEV[[#This Row],[Etica Azionario]]</f>
        <v>3.5049329999999999</v>
      </c>
      <c r="AB453">
        <f>TBL_TEV[[#This Row],[Etica Transizione Climatica]]</f>
        <v>2.8326470000000001</v>
      </c>
      <c r="AC453">
        <f>TBL_TEV[[#This Row],[Etica Obiettivo Sociale]]</f>
        <v>7.4481910293774112</v>
      </c>
      <c r="AD453">
        <f>TBL_TEV[[#This Row],[Etica Conservative Allocation]]</f>
        <v>0.73165599999999997</v>
      </c>
      <c r="AE453">
        <f>TBL_TEV[[#This Row],[Etica Dynamic Allocation]]</f>
        <v>2.2778330000000002</v>
      </c>
      <c r="AF453">
        <f>TBL_TEV[[#This Row],[Etica Global Equity]]</f>
        <v>3.4820730000000002</v>
      </c>
      <c r="AL453">
        <f ca="1"/>
        <v>1.618247</v>
      </c>
      <c r="AM453">
        <f ca="1"/>
        <v>0.307807</v>
      </c>
      <c r="AN453">
        <f ca="1"/>
        <v>0.72387800000000002</v>
      </c>
      <c r="AO453">
        <f ca="1"/>
        <v>2.4391180000000001</v>
      </c>
      <c r="AP453">
        <f ca="1"/>
        <v>3.497789</v>
      </c>
      <c r="AQ453">
        <f ca="1"/>
        <v>2.852014</v>
      </c>
      <c r="AR453">
        <f ca="1"/>
        <v>7.5359617435572943</v>
      </c>
      <c r="AS453">
        <f ca="1"/>
        <v>0.72990999999999995</v>
      </c>
      <c r="AT453">
        <f ca="1"/>
        <v>2.2749760000000001</v>
      </c>
      <c r="AU453">
        <f ca="1"/>
        <v>3.4765169999999999</v>
      </c>
    </row>
    <row r="454" spans="1:47">
      <c r="A454" s="43">
        <f>TBL_TEV[[#This Row],[Data2]]</f>
        <v>45939</v>
      </c>
      <c r="B454" cm="1">
        <f t="array" ref="B454">_xlfn.XLOOKUP(_xlfn.ANCHORARRAY(A454), TBL_Limiti_CDA[Data], TBL_Limiti_CDA[Etica Rendita Bilanciata], , -1)</f>
        <v>2.5</v>
      </c>
      <c r="C454" cm="1">
        <f t="array" ref="C454">_xlfn.XLOOKUP(_xlfn.ANCHORARRAY(A454), TBL_Limiti_CDA[Data], TBL_Limiti_CDA[Etica Obbligazionario Breve Termine], , -1)</f>
        <v>0.5</v>
      </c>
      <c r="D454" cm="1">
        <f t="array" ref="D454">_xlfn.XLOOKUP(_xlfn.ANCHORARRAY(A454), TBL_Limiti_CDA[Data], TBL_Limiti_CDA[Etica Obbligazionario Misto], , -1)</f>
        <v>1</v>
      </c>
      <c r="E454" cm="1">
        <f t="array" ref="E454">_xlfn.XLOOKUP(_xlfn.ANCHORARRAY(A454), TBL_Limiti_CDA[Data], TBL_Limiti_CDA[Etica Bilanciato], , -1)</f>
        <v>3</v>
      </c>
      <c r="F454" cm="1">
        <f t="array" ref="F454">_xlfn.XLOOKUP(_xlfn.ANCHORARRAY(A454), TBL_Limiti_CDA[Data], TBL_Limiti_CDA[Etica Azionario], , -1)</f>
        <v>4.5</v>
      </c>
      <c r="G454" cm="1">
        <f t="array" ref="G454">_xlfn.XLOOKUP(_xlfn.ANCHORARRAY(A454), TBL_Limiti_CDA[Data], TBL_Limiti_CDA[Etica Transizione Climatica], , -1)</f>
        <v>3.5</v>
      </c>
      <c r="H454" cm="1">
        <f t="array" ref="H454">_xlfn.XLOOKUP(_xlfn.ANCHORARRAY(A454), TBL_Limiti_CDA[Data], TBL_Limiti_CDA[Etica Obiettivo Sociale], , -1)</f>
        <v>9.99</v>
      </c>
      <c r="I454" cm="1">
        <f t="array" ref="I454">_xlfn.XLOOKUP(_xlfn.ANCHORARRAY(A454), TBL_Limiti_CDA[Data], TBL_Limiti_CDA[Etica Conservative Allocation], , -1)</f>
        <v>1</v>
      </c>
      <c r="J454" cm="1">
        <f t="array" ref="J454">_xlfn.XLOOKUP(_xlfn.ANCHORARRAY(A454), TBL_Limiti_CDA[Data], TBL_Limiti_CDA[Etica Dynamic Allocation], , -1)</f>
        <v>3</v>
      </c>
      <c r="K454" cm="1">
        <f t="array" ref="K454">_xlfn.XLOOKUP(_xlfn.ANCHORARRAY(A454), TBL_Limiti_CDA[Data], TBL_Limiti_CDA[Etica Global Equity], , -1)</f>
        <v>4.5</v>
      </c>
      <c r="L454" cm="1">
        <f t="array" ref="L454">_xlfn.ANCHORARRAY(B454)+0.15</f>
        <v>2.65</v>
      </c>
      <c r="M454" cm="1">
        <f t="array" ref="M454">_xlfn.ANCHORARRAY(C454)+0.1</f>
        <v>0.6</v>
      </c>
      <c r="N454" cm="1">
        <f t="array" ref="N454">_xlfn.ANCHORARRAY(D454)+0.15</f>
        <v>1.1499999999999999</v>
      </c>
      <c r="O454" cm="1">
        <f t="array" ref="O454">_xlfn.ANCHORARRAY(E454)+0.15</f>
        <v>3.15</v>
      </c>
      <c r="P454" cm="1">
        <f t="array" ref="P454">_xlfn.ANCHORARRAY(F454)+0.15</f>
        <v>4.6500000000000004</v>
      </c>
      <c r="Q454" cm="1">
        <f t="array" ref="Q454">_xlfn.ANCHORARRAY(G454)+0.15</f>
        <v>3.65</v>
      </c>
      <c r="R454" cm="1">
        <f t="array" ref="R454">_xlfn.ANCHORARRAY(H454)</f>
        <v>9.99</v>
      </c>
      <c r="S454" cm="1">
        <f t="array" ref="S454">_xlfn.ANCHORARRAY(R454)+0.15</f>
        <v>10.14</v>
      </c>
      <c r="T454" cm="1">
        <f t="array" ref="T454">_xlfn.ANCHORARRAY(I454)+0.15</f>
        <v>1.1499999999999999</v>
      </c>
      <c r="U454" cm="1">
        <f t="array" ref="U454">_xlfn.ANCHORARRAY(J454)+0.15</f>
        <v>3.15</v>
      </c>
      <c r="V454" cm="1">
        <f t="array" ref="V454">_xlfn.ANCHORARRAY(K454)+0.15</f>
        <v>4.6500000000000004</v>
      </c>
      <c r="W454">
        <f>TBL_TEV[[#This Row],[Etica Rendita Bilanciata]]</f>
        <v>1.618247</v>
      </c>
      <c r="X454">
        <f>TBL_TEV[[#This Row],[Etica Obbligazionario Breve Termine]]</f>
        <v>0.307807</v>
      </c>
      <c r="Y454">
        <f>TBL_TEV[[#This Row],[Etica Obbligazionario Misto]]</f>
        <v>0.72387800000000002</v>
      </c>
      <c r="Z454">
        <f>TBL_TEV[[#This Row],[Etica Bilanciato]]</f>
        <v>2.4391180000000001</v>
      </c>
      <c r="AA454">
        <f>TBL_TEV[[#This Row],[Etica Azionario]]</f>
        <v>3.497789</v>
      </c>
      <c r="AB454">
        <f>TBL_TEV[[#This Row],[Etica Transizione Climatica]]</f>
        <v>2.852014</v>
      </c>
      <c r="AC454">
        <f>TBL_TEV[[#This Row],[Etica Obiettivo Sociale]]</f>
        <v>7.5359617435572943</v>
      </c>
      <c r="AD454">
        <f>TBL_TEV[[#This Row],[Etica Conservative Allocation]]</f>
        <v>0.72990999999999995</v>
      </c>
      <c r="AE454">
        <f>TBL_TEV[[#This Row],[Etica Dynamic Allocation]]</f>
        <v>2.2749760000000001</v>
      </c>
      <c r="AF454">
        <f>TBL_TEV[[#This Row],[Etica Global Equity]]</f>
        <v>3.4765169999999999</v>
      </c>
      <c r="AL454">
        <f ca="1"/>
        <v>1.583958</v>
      </c>
      <c r="AM454">
        <f ca="1"/>
        <v>0.307807</v>
      </c>
      <c r="AN454">
        <f ca="1"/>
        <v>0.71482900000000005</v>
      </c>
      <c r="AO454">
        <f ca="1"/>
        <v>2.3927649999999998</v>
      </c>
      <c r="AP454">
        <f ca="1"/>
        <v>3.4528639999999999</v>
      </c>
      <c r="AQ454">
        <f ca="1"/>
        <v>2.756926</v>
      </c>
      <c r="AR454">
        <f ca="1"/>
        <v>7.3342825442451698</v>
      </c>
      <c r="AS454">
        <f ca="1"/>
        <v>0.72340099999999996</v>
      </c>
      <c r="AT454">
        <f ca="1"/>
        <v>2.2327499999999998</v>
      </c>
      <c r="AU454">
        <f ca="1"/>
        <v>3.4303219999999999</v>
      </c>
    </row>
    <row r="455" spans="1:47">
      <c r="A455" s="43">
        <f>TBL_TEV[[#This Row],[Data2]]</f>
        <v>45940</v>
      </c>
      <c r="B455" cm="1">
        <f t="array" ref="B455">_xlfn.XLOOKUP(_xlfn.ANCHORARRAY(A455), TBL_Limiti_CDA[Data], TBL_Limiti_CDA[Etica Rendita Bilanciata], , -1)</f>
        <v>2.5</v>
      </c>
      <c r="C455" cm="1">
        <f t="array" ref="C455">_xlfn.XLOOKUP(_xlfn.ANCHORARRAY(A455), TBL_Limiti_CDA[Data], TBL_Limiti_CDA[Etica Obbligazionario Breve Termine], , -1)</f>
        <v>0.5</v>
      </c>
      <c r="D455" cm="1">
        <f t="array" ref="D455">_xlfn.XLOOKUP(_xlfn.ANCHORARRAY(A455), TBL_Limiti_CDA[Data], TBL_Limiti_CDA[Etica Obbligazionario Misto], , -1)</f>
        <v>1</v>
      </c>
      <c r="E455" cm="1">
        <f t="array" ref="E455">_xlfn.XLOOKUP(_xlfn.ANCHORARRAY(A455), TBL_Limiti_CDA[Data], TBL_Limiti_CDA[Etica Bilanciato], , -1)</f>
        <v>3</v>
      </c>
      <c r="F455" cm="1">
        <f t="array" ref="F455">_xlfn.XLOOKUP(_xlfn.ANCHORARRAY(A455), TBL_Limiti_CDA[Data], TBL_Limiti_CDA[Etica Azionario], , -1)</f>
        <v>4.5</v>
      </c>
      <c r="G455" cm="1">
        <f t="array" ref="G455">_xlfn.XLOOKUP(_xlfn.ANCHORARRAY(A455), TBL_Limiti_CDA[Data], TBL_Limiti_CDA[Etica Transizione Climatica], , -1)</f>
        <v>3.5</v>
      </c>
      <c r="H455" cm="1">
        <f t="array" ref="H455">_xlfn.XLOOKUP(_xlfn.ANCHORARRAY(A455), TBL_Limiti_CDA[Data], TBL_Limiti_CDA[Etica Obiettivo Sociale], , -1)</f>
        <v>9.99</v>
      </c>
      <c r="I455" cm="1">
        <f t="array" ref="I455">_xlfn.XLOOKUP(_xlfn.ANCHORARRAY(A455), TBL_Limiti_CDA[Data], TBL_Limiti_CDA[Etica Conservative Allocation], , -1)</f>
        <v>1</v>
      </c>
      <c r="J455" cm="1">
        <f t="array" ref="J455">_xlfn.XLOOKUP(_xlfn.ANCHORARRAY(A455), TBL_Limiti_CDA[Data], TBL_Limiti_CDA[Etica Dynamic Allocation], , -1)</f>
        <v>3</v>
      </c>
      <c r="K455" cm="1">
        <f t="array" ref="K455">_xlfn.XLOOKUP(_xlfn.ANCHORARRAY(A455), TBL_Limiti_CDA[Data], TBL_Limiti_CDA[Etica Global Equity], , -1)</f>
        <v>4.5</v>
      </c>
      <c r="L455" cm="1">
        <f t="array" ref="L455">_xlfn.ANCHORARRAY(B455)+0.15</f>
        <v>2.65</v>
      </c>
      <c r="M455" cm="1">
        <f t="array" ref="M455">_xlfn.ANCHORARRAY(C455)+0.1</f>
        <v>0.6</v>
      </c>
      <c r="N455" cm="1">
        <f t="array" ref="N455">_xlfn.ANCHORARRAY(D455)+0.15</f>
        <v>1.1499999999999999</v>
      </c>
      <c r="O455" cm="1">
        <f t="array" ref="O455">_xlfn.ANCHORARRAY(E455)+0.15</f>
        <v>3.15</v>
      </c>
      <c r="P455" cm="1">
        <f t="array" ref="P455">_xlfn.ANCHORARRAY(F455)+0.15</f>
        <v>4.6500000000000004</v>
      </c>
      <c r="Q455" cm="1">
        <f t="array" ref="Q455">_xlfn.ANCHORARRAY(G455)+0.15</f>
        <v>3.65</v>
      </c>
      <c r="R455" cm="1">
        <f t="array" ref="R455">_xlfn.ANCHORARRAY(H455)</f>
        <v>9.99</v>
      </c>
      <c r="S455" cm="1">
        <f t="array" ref="S455">_xlfn.ANCHORARRAY(R455)+0.15</f>
        <v>10.14</v>
      </c>
      <c r="T455" cm="1">
        <f t="array" ref="T455">_xlfn.ANCHORARRAY(I455)+0.15</f>
        <v>1.1499999999999999</v>
      </c>
      <c r="U455" cm="1">
        <f t="array" ref="U455">_xlfn.ANCHORARRAY(J455)+0.15</f>
        <v>3.15</v>
      </c>
      <c r="V455" cm="1">
        <f t="array" ref="V455">_xlfn.ANCHORARRAY(K455)+0.15</f>
        <v>4.6500000000000004</v>
      </c>
      <c r="W455">
        <f>TBL_TEV[[#This Row],[Etica Rendita Bilanciata]]</f>
        <v>1.583958</v>
      </c>
      <c r="X455">
        <f>TBL_TEV[[#This Row],[Etica Obbligazionario Breve Termine]]</f>
        <v>0.307807</v>
      </c>
      <c r="Y455">
        <f>TBL_TEV[[#This Row],[Etica Obbligazionario Misto]]</f>
        <v>0.71482900000000005</v>
      </c>
      <c r="Z455">
        <f>TBL_TEV[[#This Row],[Etica Bilanciato]]</f>
        <v>2.3927649999999998</v>
      </c>
      <c r="AA455">
        <f>TBL_TEV[[#This Row],[Etica Azionario]]</f>
        <v>3.4528639999999999</v>
      </c>
      <c r="AB455">
        <f>TBL_TEV[[#This Row],[Etica Transizione Climatica]]</f>
        <v>2.756926</v>
      </c>
      <c r="AC455">
        <f>TBL_TEV[[#This Row],[Etica Obiettivo Sociale]]</f>
        <v>7.3342825442451698</v>
      </c>
      <c r="AD455">
        <f>TBL_TEV[[#This Row],[Etica Conservative Allocation]]</f>
        <v>0.72340099999999996</v>
      </c>
      <c r="AE455">
        <f>TBL_TEV[[#This Row],[Etica Dynamic Allocation]]</f>
        <v>2.2327499999999998</v>
      </c>
      <c r="AF455">
        <f>TBL_TEV[[#This Row],[Etica Global Equity]]</f>
        <v>3.4303219999999999</v>
      </c>
      <c r="AL455">
        <f ca="1"/>
        <v>1.595547</v>
      </c>
      <c r="AM455">
        <f ca="1"/>
        <v>0.30812400000000001</v>
      </c>
      <c r="AN455">
        <f ca="1"/>
        <v>0.72054399999999996</v>
      </c>
      <c r="AO455">
        <f ca="1"/>
        <v>2.4068930000000002</v>
      </c>
      <c r="AP455">
        <f ca="1"/>
        <v>3.4647700000000001</v>
      </c>
      <c r="AQ455">
        <f ca="1"/>
        <v>2.8182010000000002</v>
      </c>
      <c r="AR455">
        <f ca="1"/>
        <v>7.4098222253755841</v>
      </c>
      <c r="AS455">
        <f ca="1"/>
        <v>0.72340099999999996</v>
      </c>
      <c r="AT455">
        <f ca="1"/>
        <v>2.243703</v>
      </c>
      <c r="AU455">
        <f ca="1"/>
        <v>3.4420700000000002</v>
      </c>
    </row>
    <row r="456" spans="1:47">
      <c r="A456" s="43">
        <f>TBL_TEV[[#This Row],[Data2]]</f>
        <v>45943</v>
      </c>
      <c r="B456" cm="1">
        <f t="array" ref="B456">_xlfn.XLOOKUP(_xlfn.ANCHORARRAY(A456), TBL_Limiti_CDA[Data], TBL_Limiti_CDA[Etica Rendita Bilanciata], , -1)</f>
        <v>2.5</v>
      </c>
      <c r="C456" cm="1">
        <f t="array" ref="C456">_xlfn.XLOOKUP(_xlfn.ANCHORARRAY(A456), TBL_Limiti_CDA[Data], TBL_Limiti_CDA[Etica Obbligazionario Breve Termine], , -1)</f>
        <v>0.5</v>
      </c>
      <c r="D456" cm="1">
        <f t="array" ref="D456">_xlfn.XLOOKUP(_xlfn.ANCHORARRAY(A456), TBL_Limiti_CDA[Data], TBL_Limiti_CDA[Etica Obbligazionario Misto], , -1)</f>
        <v>1</v>
      </c>
      <c r="E456" cm="1">
        <f t="array" ref="E456">_xlfn.XLOOKUP(_xlfn.ANCHORARRAY(A456), TBL_Limiti_CDA[Data], TBL_Limiti_CDA[Etica Bilanciato], , -1)</f>
        <v>3</v>
      </c>
      <c r="F456" cm="1">
        <f t="array" ref="F456">_xlfn.XLOOKUP(_xlfn.ANCHORARRAY(A456), TBL_Limiti_CDA[Data], TBL_Limiti_CDA[Etica Azionario], , -1)</f>
        <v>4.5</v>
      </c>
      <c r="G456" cm="1">
        <f t="array" ref="G456">_xlfn.XLOOKUP(_xlfn.ANCHORARRAY(A456), TBL_Limiti_CDA[Data], TBL_Limiti_CDA[Etica Transizione Climatica], , -1)</f>
        <v>3.5</v>
      </c>
      <c r="H456" cm="1">
        <f t="array" ref="H456">_xlfn.XLOOKUP(_xlfn.ANCHORARRAY(A456), TBL_Limiti_CDA[Data], TBL_Limiti_CDA[Etica Obiettivo Sociale], , -1)</f>
        <v>9.99</v>
      </c>
      <c r="I456" cm="1">
        <f t="array" ref="I456">_xlfn.XLOOKUP(_xlfn.ANCHORARRAY(A456), TBL_Limiti_CDA[Data], TBL_Limiti_CDA[Etica Conservative Allocation], , -1)</f>
        <v>1</v>
      </c>
      <c r="J456" cm="1">
        <f t="array" ref="J456">_xlfn.XLOOKUP(_xlfn.ANCHORARRAY(A456), TBL_Limiti_CDA[Data], TBL_Limiti_CDA[Etica Dynamic Allocation], , -1)</f>
        <v>3</v>
      </c>
      <c r="K456" cm="1">
        <f t="array" ref="K456">_xlfn.XLOOKUP(_xlfn.ANCHORARRAY(A456), TBL_Limiti_CDA[Data], TBL_Limiti_CDA[Etica Global Equity], , -1)</f>
        <v>4.5</v>
      </c>
      <c r="L456" cm="1">
        <f t="array" ref="L456">_xlfn.ANCHORARRAY(B456)+0.15</f>
        <v>2.65</v>
      </c>
      <c r="M456" cm="1">
        <f t="array" ref="M456">_xlfn.ANCHORARRAY(C456)+0.1</f>
        <v>0.6</v>
      </c>
      <c r="N456" cm="1">
        <f t="array" ref="N456">_xlfn.ANCHORARRAY(D456)+0.15</f>
        <v>1.1499999999999999</v>
      </c>
      <c r="O456" cm="1">
        <f t="array" ref="O456">_xlfn.ANCHORARRAY(E456)+0.15</f>
        <v>3.15</v>
      </c>
      <c r="P456" cm="1">
        <f t="array" ref="P456">_xlfn.ANCHORARRAY(F456)+0.15</f>
        <v>4.6500000000000004</v>
      </c>
      <c r="Q456" cm="1">
        <f t="array" ref="Q456">_xlfn.ANCHORARRAY(G456)+0.15</f>
        <v>3.65</v>
      </c>
      <c r="R456" cm="1">
        <f t="array" ref="R456">_xlfn.ANCHORARRAY(H456)</f>
        <v>9.99</v>
      </c>
      <c r="S456" cm="1">
        <f t="array" ref="S456">_xlfn.ANCHORARRAY(R456)+0.15</f>
        <v>10.14</v>
      </c>
      <c r="T456" cm="1">
        <f t="array" ref="T456">_xlfn.ANCHORARRAY(I456)+0.15</f>
        <v>1.1499999999999999</v>
      </c>
      <c r="U456" cm="1">
        <f t="array" ref="U456">_xlfn.ANCHORARRAY(J456)+0.15</f>
        <v>3.15</v>
      </c>
      <c r="V456" cm="1">
        <f t="array" ref="V456">_xlfn.ANCHORARRAY(K456)+0.15</f>
        <v>4.6500000000000004</v>
      </c>
      <c r="W456">
        <f>TBL_TEV[[#This Row],[Etica Rendita Bilanciata]]</f>
        <v>1.595547</v>
      </c>
      <c r="X456">
        <f>TBL_TEV[[#This Row],[Etica Obbligazionario Breve Termine]]</f>
        <v>0.30812400000000001</v>
      </c>
      <c r="Y456">
        <f>TBL_TEV[[#This Row],[Etica Obbligazionario Misto]]</f>
        <v>0.72054399999999996</v>
      </c>
      <c r="Z456">
        <f>TBL_TEV[[#This Row],[Etica Bilanciato]]</f>
        <v>2.4068930000000002</v>
      </c>
      <c r="AA456">
        <f>TBL_TEV[[#This Row],[Etica Azionario]]</f>
        <v>3.4647700000000001</v>
      </c>
      <c r="AB456">
        <f>TBL_TEV[[#This Row],[Etica Transizione Climatica]]</f>
        <v>2.8182010000000002</v>
      </c>
      <c r="AC456">
        <f>TBL_TEV[[#This Row],[Etica Obiettivo Sociale]]</f>
        <v>7.4098222253755841</v>
      </c>
      <c r="AD456">
        <f>TBL_TEV[[#This Row],[Etica Conservative Allocation]]</f>
        <v>0.72340099999999996</v>
      </c>
      <c r="AE456">
        <f>TBL_TEV[[#This Row],[Etica Dynamic Allocation]]</f>
        <v>2.243703</v>
      </c>
      <c r="AF456">
        <f>TBL_TEV[[#This Row],[Etica Global Equity]]</f>
        <v>3.4420700000000002</v>
      </c>
      <c r="AL456">
        <f ca="1"/>
        <v>1.5949120000000001</v>
      </c>
      <c r="AM456">
        <f ca="1"/>
        <v>0.306695</v>
      </c>
      <c r="AN456">
        <f ca="1"/>
        <v>0.75324500000000005</v>
      </c>
      <c r="AO456">
        <f ca="1"/>
        <v>2.4111790000000002</v>
      </c>
      <c r="AP456">
        <f ca="1"/>
        <v>3.4854069999999999</v>
      </c>
      <c r="AQ456">
        <f ca="1"/>
        <v>2.7434319999999999</v>
      </c>
      <c r="AR456">
        <f ca="1"/>
        <v>7.3060570895479504</v>
      </c>
      <c r="AS456">
        <f ca="1"/>
        <v>0.72133800000000003</v>
      </c>
      <c r="AT456">
        <f ca="1"/>
        <v>2.2503700000000002</v>
      </c>
      <c r="AU456">
        <f ca="1"/>
        <v>3.4571499999999999</v>
      </c>
    </row>
    <row r="457" spans="1:47">
      <c r="A457" s="43">
        <f>TBL_TEV[[#This Row],[Data2]]</f>
        <v>45944</v>
      </c>
      <c r="B457" cm="1">
        <f t="array" ref="B457">_xlfn.XLOOKUP(_xlfn.ANCHORARRAY(A457), TBL_Limiti_CDA[Data], TBL_Limiti_CDA[Etica Rendita Bilanciata], , -1)</f>
        <v>2.5</v>
      </c>
      <c r="C457" cm="1">
        <f t="array" ref="C457">_xlfn.XLOOKUP(_xlfn.ANCHORARRAY(A457), TBL_Limiti_CDA[Data], TBL_Limiti_CDA[Etica Obbligazionario Breve Termine], , -1)</f>
        <v>0.5</v>
      </c>
      <c r="D457" cm="1">
        <f t="array" ref="D457">_xlfn.XLOOKUP(_xlfn.ANCHORARRAY(A457), TBL_Limiti_CDA[Data], TBL_Limiti_CDA[Etica Obbligazionario Misto], , -1)</f>
        <v>1</v>
      </c>
      <c r="E457" cm="1">
        <f t="array" ref="E457">_xlfn.XLOOKUP(_xlfn.ANCHORARRAY(A457), TBL_Limiti_CDA[Data], TBL_Limiti_CDA[Etica Bilanciato], , -1)</f>
        <v>3</v>
      </c>
      <c r="F457" cm="1">
        <f t="array" ref="F457">_xlfn.XLOOKUP(_xlfn.ANCHORARRAY(A457), TBL_Limiti_CDA[Data], TBL_Limiti_CDA[Etica Azionario], , -1)</f>
        <v>4.5</v>
      </c>
      <c r="G457" cm="1">
        <f t="array" ref="G457">_xlfn.XLOOKUP(_xlfn.ANCHORARRAY(A457), TBL_Limiti_CDA[Data], TBL_Limiti_CDA[Etica Transizione Climatica], , -1)</f>
        <v>3.5</v>
      </c>
      <c r="H457" cm="1">
        <f t="array" ref="H457">_xlfn.XLOOKUP(_xlfn.ANCHORARRAY(A457), TBL_Limiti_CDA[Data], TBL_Limiti_CDA[Etica Obiettivo Sociale], , -1)</f>
        <v>9.99</v>
      </c>
      <c r="I457" cm="1">
        <f t="array" ref="I457">_xlfn.XLOOKUP(_xlfn.ANCHORARRAY(A457), TBL_Limiti_CDA[Data], TBL_Limiti_CDA[Etica Conservative Allocation], , -1)</f>
        <v>1</v>
      </c>
      <c r="J457" cm="1">
        <f t="array" ref="J457">_xlfn.XLOOKUP(_xlfn.ANCHORARRAY(A457), TBL_Limiti_CDA[Data], TBL_Limiti_CDA[Etica Dynamic Allocation], , -1)</f>
        <v>3</v>
      </c>
      <c r="K457" cm="1">
        <f t="array" ref="K457">_xlfn.XLOOKUP(_xlfn.ANCHORARRAY(A457), TBL_Limiti_CDA[Data], TBL_Limiti_CDA[Etica Global Equity], , -1)</f>
        <v>4.5</v>
      </c>
      <c r="L457" cm="1">
        <f t="array" ref="L457">_xlfn.ANCHORARRAY(B457)+0.15</f>
        <v>2.65</v>
      </c>
      <c r="M457" cm="1">
        <f t="array" ref="M457">_xlfn.ANCHORARRAY(C457)+0.1</f>
        <v>0.6</v>
      </c>
      <c r="N457" cm="1">
        <f t="array" ref="N457">_xlfn.ANCHORARRAY(D457)+0.15</f>
        <v>1.1499999999999999</v>
      </c>
      <c r="O457" cm="1">
        <f t="array" ref="O457">_xlfn.ANCHORARRAY(E457)+0.15</f>
        <v>3.15</v>
      </c>
      <c r="P457" cm="1">
        <f t="array" ref="P457">_xlfn.ANCHORARRAY(F457)+0.15</f>
        <v>4.6500000000000004</v>
      </c>
      <c r="Q457" cm="1">
        <f t="array" ref="Q457">_xlfn.ANCHORARRAY(G457)+0.15</f>
        <v>3.65</v>
      </c>
      <c r="R457" cm="1">
        <f t="array" ref="R457">_xlfn.ANCHORARRAY(H457)</f>
        <v>9.99</v>
      </c>
      <c r="S457" cm="1">
        <f t="array" ref="S457">_xlfn.ANCHORARRAY(R457)+0.15</f>
        <v>10.14</v>
      </c>
      <c r="T457" cm="1">
        <f t="array" ref="T457">_xlfn.ANCHORARRAY(I457)+0.15</f>
        <v>1.1499999999999999</v>
      </c>
      <c r="U457" cm="1">
        <f t="array" ref="U457">_xlfn.ANCHORARRAY(J457)+0.15</f>
        <v>3.15</v>
      </c>
      <c r="V457" cm="1">
        <f t="array" ref="V457">_xlfn.ANCHORARRAY(K457)+0.15</f>
        <v>4.6500000000000004</v>
      </c>
      <c r="W457">
        <f>TBL_TEV[[#This Row],[Etica Rendita Bilanciata]]</f>
        <v>1.5949120000000001</v>
      </c>
      <c r="X457">
        <f>TBL_TEV[[#This Row],[Etica Obbligazionario Breve Termine]]</f>
        <v>0.306695</v>
      </c>
      <c r="Y457">
        <f>TBL_TEV[[#This Row],[Etica Obbligazionario Misto]]</f>
        <v>0.75324500000000005</v>
      </c>
      <c r="Z457">
        <f>TBL_TEV[[#This Row],[Etica Bilanciato]]</f>
        <v>2.4111790000000002</v>
      </c>
      <c r="AA457">
        <f>TBL_TEV[[#This Row],[Etica Azionario]]</f>
        <v>3.4854069999999999</v>
      </c>
      <c r="AB457">
        <f>TBL_TEV[[#This Row],[Etica Transizione Climatica]]</f>
        <v>2.7434319999999999</v>
      </c>
      <c r="AC457">
        <f>TBL_TEV[[#This Row],[Etica Obiettivo Sociale]]</f>
        <v>7.3060570895479504</v>
      </c>
      <c r="AD457">
        <f>TBL_TEV[[#This Row],[Etica Conservative Allocation]]</f>
        <v>0.72133800000000003</v>
      </c>
      <c r="AE457">
        <f>TBL_TEV[[#This Row],[Etica Dynamic Allocation]]</f>
        <v>2.2503700000000002</v>
      </c>
      <c r="AF457">
        <f>TBL_TEV[[#This Row],[Etica Global Equity]]</f>
        <v>3.4571499999999999</v>
      </c>
      <c r="AL457">
        <f ca="1"/>
        <v>1.6011029999999999</v>
      </c>
      <c r="AM457">
        <f ca="1"/>
        <v>0.31129899999999999</v>
      </c>
      <c r="AN457">
        <f ca="1"/>
        <v>0.76197599999999999</v>
      </c>
      <c r="AO457">
        <f ca="1"/>
        <v>2.418005</v>
      </c>
      <c r="AP457">
        <f ca="1"/>
        <v>3.4919150000000001</v>
      </c>
      <c r="AQ457">
        <f ca="1"/>
        <v>2.8081999999999998</v>
      </c>
      <c r="AR457">
        <f ca="1"/>
        <v>7.235909011030019</v>
      </c>
      <c r="AS457">
        <f ca="1"/>
        <v>0.72673500000000002</v>
      </c>
      <c r="AT457">
        <f ca="1"/>
        <v>2.2632289999999999</v>
      </c>
      <c r="AU457">
        <f ca="1"/>
        <v>3.5909719999999998</v>
      </c>
    </row>
    <row r="458" spans="1:47">
      <c r="A458" s="43">
        <f>TBL_TEV[[#This Row],[Data2]]</f>
        <v>45945</v>
      </c>
      <c r="B458" cm="1">
        <f t="array" ref="B458">_xlfn.XLOOKUP(_xlfn.ANCHORARRAY(A458), TBL_Limiti_CDA[Data], TBL_Limiti_CDA[Etica Rendita Bilanciata], , -1)</f>
        <v>2.5</v>
      </c>
      <c r="C458" cm="1">
        <f t="array" ref="C458">_xlfn.XLOOKUP(_xlfn.ANCHORARRAY(A458), TBL_Limiti_CDA[Data], TBL_Limiti_CDA[Etica Obbligazionario Breve Termine], , -1)</f>
        <v>0.5</v>
      </c>
      <c r="D458" cm="1">
        <f t="array" ref="D458">_xlfn.XLOOKUP(_xlfn.ANCHORARRAY(A458), TBL_Limiti_CDA[Data], TBL_Limiti_CDA[Etica Obbligazionario Misto], , -1)</f>
        <v>1</v>
      </c>
      <c r="E458" cm="1">
        <f t="array" ref="E458">_xlfn.XLOOKUP(_xlfn.ANCHORARRAY(A458), TBL_Limiti_CDA[Data], TBL_Limiti_CDA[Etica Bilanciato], , -1)</f>
        <v>3</v>
      </c>
      <c r="F458" cm="1">
        <f t="array" ref="F458">_xlfn.XLOOKUP(_xlfn.ANCHORARRAY(A458), TBL_Limiti_CDA[Data], TBL_Limiti_CDA[Etica Azionario], , -1)</f>
        <v>4.5</v>
      </c>
      <c r="G458" cm="1">
        <f t="array" ref="G458">_xlfn.XLOOKUP(_xlfn.ANCHORARRAY(A458), TBL_Limiti_CDA[Data], TBL_Limiti_CDA[Etica Transizione Climatica], , -1)</f>
        <v>3.5</v>
      </c>
      <c r="H458" cm="1">
        <f t="array" ref="H458">_xlfn.XLOOKUP(_xlfn.ANCHORARRAY(A458), TBL_Limiti_CDA[Data], TBL_Limiti_CDA[Etica Obiettivo Sociale], , -1)</f>
        <v>9.99</v>
      </c>
      <c r="I458" cm="1">
        <f t="array" ref="I458">_xlfn.XLOOKUP(_xlfn.ANCHORARRAY(A458), TBL_Limiti_CDA[Data], TBL_Limiti_CDA[Etica Conservative Allocation], , -1)</f>
        <v>1</v>
      </c>
      <c r="J458" cm="1">
        <f t="array" ref="J458">_xlfn.XLOOKUP(_xlfn.ANCHORARRAY(A458), TBL_Limiti_CDA[Data], TBL_Limiti_CDA[Etica Dynamic Allocation], , -1)</f>
        <v>3</v>
      </c>
      <c r="K458" cm="1">
        <f t="array" ref="K458">_xlfn.XLOOKUP(_xlfn.ANCHORARRAY(A458), TBL_Limiti_CDA[Data], TBL_Limiti_CDA[Etica Global Equity], , -1)</f>
        <v>4.5</v>
      </c>
      <c r="L458" cm="1">
        <f t="array" ref="L458">_xlfn.ANCHORARRAY(B458)+0.15</f>
        <v>2.65</v>
      </c>
      <c r="M458" cm="1">
        <f t="array" ref="M458">_xlfn.ANCHORARRAY(C458)+0.1</f>
        <v>0.6</v>
      </c>
      <c r="N458" cm="1">
        <f t="array" ref="N458">_xlfn.ANCHORARRAY(D458)+0.15</f>
        <v>1.1499999999999999</v>
      </c>
      <c r="O458" cm="1">
        <f t="array" ref="O458">_xlfn.ANCHORARRAY(E458)+0.15</f>
        <v>3.15</v>
      </c>
      <c r="P458" cm="1">
        <f t="array" ref="P458">_xlfn.ANCHORARRAY(F458)+0.15</f>
        <v>4.6500000000000004</v>
      </c>
      <c r="Q458" cm="1">
        <f t="array" ref="Q458">_xlfn.ANCHORARRAY(G458)+0.15</f>
        <v>3.65</v>
      </c>
      <c r="R458" cm="1">
        <f t="array" ref="R458">_xlfn.ANCHORARRAY(H458)</f>
        <v>9.99</v>
      </c>
      <c r="S458" cm="1">
        <f t="array" ref="S458">_xlfn.ANCHORARRAY(R458)+0.15</f>
        <v>10.14</v>
      </c>
      <c r="T458" cm="1">
        <f t="array" ref="T458">_xlfn.ANCHORARRAY(I458)+0.15</f>
        <v>1.1499999999999999</v>
      </c>
      <c r="U458" cm="1">
        <f t="array" ref="U458">_xlfn.ANCHORARRAY(J458)+0.15</f>
        <v>3.15</v>
      </c>
      <c r="V458" cm="1">
        <f t="array" ref="V458">_xlfn.ANCHORARRAY(K458)+0.15</f>
        <v>4.6500000000000004</v>
      </c>
      <c r="W458">
        <f>TBL_TEV[[#This Row],[Etica Rendita Bilanciata]]</f>
        <v>1.6011029999999999</v>
      </c>
      <c r="X458">
        <f>TBL_TEV[[#This Row],[Etica Obbligazionario Breve Termine]]</f>
        <v>0.31129899999999999</v>
      </c>
      <c r="Y458">
        <f>TBL_TEV[[#This Row],[Etica Obbligazionario Misto]]</f>
        <v>0.76197599999999999</v>
      </c>
      <c r="Z458">
        <f>TBL_TEV[[#This Row],[Etica Bilanciato]]</f>
        <v>2.418005</v>
      </c>
      <c r="AA458">
        <f>TBL_TEV[[#This Row],[Etica Azionario]]</f>
        <v>3.4919150000000001</v>
      </c>
      <c r="AB458">
        <f>TBL_TEV[[#This Row],[Etica Transizione Climatica]]</f>
        <v>2.8081999999999998</v>
      </c>
      <c r="AC458">
        <f>TBL_TEV[[#This Row],[Etica Obiettivo Sociale]]</f>
        <v>7.235909011030019</v>
      </c>
      <c r="AD458">
        <f>TBL_TEV[[#This Row],[Etica Conservative Allocation]]</f>
        <v>0.72673500000000002</v>
      </c>
      <c r="AE458">
        <f>TBL_TEV[[#This Row],[Etica Dynamic Allocation]]</f>
        <v>2.2632289999999999</v>
      </c>
      <c r="AF458">
        <f>TBL_TEV[[#This Row],[Etica Global Equity]]</f>
        <v>3.5909719999999998</v>
      </c>
      <c r="AL458">
        <f ca="1"/>
        <v>1.5942769999999999</v>
      </c>
      <c r="AM458">
        <f ca="1"/>
        <v>0.31098199999999998</v>
      </c>
      <c r="AN458">
        <f ca="1"/>
        <v>0.68546099999999999</v>
      </c>
      <c r="AO458">
        <f ca="1"/>
        <v>2.45404</v>
      </c>
      <c r="AP458">
        <f ca="1"/>
        <v>3.5873210000000002</v>
      </c>
      <c r="AQ458">
        <f ca="1"/>
        <v>2.8180429999999999</v>
      </c>
      <c r="AR458">
        <f ca="1"/>
        <v>7.2627647179210033</v>
      </c>
      <c r="AS458">
        <f ca="1"/>
        <v>0.73276699999999995</v>
      </c>
      <c r="AT458">
        <f ca="1"/>
        <v>2.3181539999999998</v>
      </c>
      <c r="AU458">
        <f ca="1"/>
        <v>3.6674880000000001</v>
      </c>
    </row>
    <row r="459" spans="1:47">
      <c r="A459" s="43">
        <f>TBL_TEV[[#This Row],[Data2]]</f>
        <v>45946</v>
      </c>
      <c r="B459" cm="1">
        <f t="array" ref="B459">_xlfn.XLOOKUP(_xlfn.ANCHORARRAY(A459), TBL_Limiti_CDA[Data], TBL_Limiti_CDA[Etica Rendita Bilanciata], , -1)</f>
        <v>2.5</v>
      </c>
      <c r="C459" cm="1">
        <f t="array" ref="C459">_xlfn.XLOOKUP(_xlfn.ANCHORARRAY(A459), TBL_Limiti_CDA[Data], TBL_Limiti_CDA[Etica Obbligazionario Breve Termine], , -1)</f>
        <v>0.5</v>
      </c>
      <c r="D459" cm="1">
        <f t="array" ref="D459">_xlfn.XLOOKUP(_xlfn.ANCHORARRAY(A459), TBL_Limiti_CDA[Data], TBL_Limiti_CDA[Etica Obbligazionario Misto], , -1)</f>
        <v>1</v>
      </c>
      <c r="E459" cm="1">
        <f t="array" ref="E459">_xlfn.XLOOKUP(_xlfn.ANCHORARRAY(A459), TBL_Limiti_CDA[Data], TBL_Limiti_CDA[Etica Bilanciato], , -1)</f>
        <v>3</v>
      </c>
      <c r="F459" cm="1">
        <f t="array" ref="F459">_xlfn.XLOOKUP(_xlfn.ANCHORARRAY(A459), TBL_Limiti_CDA[Data], TBL_Limiti_CDA[Etica Azionario], , -1)</f>
        <v>4.5</v>
      </c>
      <c r="G459" cm="1">
        <f t="array" ref="G459">_xlfn.XLOOKUP(_xlfn.ANCHORARRAY(A459), TBL_Limiti_CDA[Data], TBL_Limiti_CDA[Etica Transizione Climatica], , -1)</f>
        <v>3.5</v>
      </c>
      <c r="H459" cm="1">
        <f t="array" ref="H459">_xlfn.XLOOKUP(_xlfn.ANCHORARRAY(A459), TBL_Limiti_CDA[Data], TBL_Limiti_CDA[Etica Obiettivo Sociale], , -1)</f>
        <v>9.99</v>
      </c>
      <c r="I459" cm="1">
        <f t="array" ref="I459">_xlfn.XLOOKUP(_xlfn.ANCHORARRAY(A459), TBL_Limiti_CDA[Data], TBL_Limiti_CDA[Etica Conservative Allocation], , -1)</f>
        <v>1</v>
      </c>
      <c r="J459" cm="1">
        <f t="array" ref="J459">_xlfn.XLOOKUP(_xlfn.ANCHORARRAY(A459), TBL_Limiti_CDA[Data], TBL_Limiti_CDA[Etica Dynamic Allocation], , -1)</f>
        <v>3</v>
      </c>
      <c r="K459" cm="1">
        <f t="array" ref="K459">_xlfn.XLOOKUP(_xlfn.ANCHORARRAY(A459), TBL_Limiti_CDA[Data], TBL_Limiti_CDA[Etica Global Equity], , -1)</f>
        <v>4.5</v>
      </c>
      <c r="L459" cm="1">
        <f t="array" ref="L459">_xlfn.ANCHORARRAY(B459)+0.15</f>
        <v>2.65</v>
      </c>
      <c r="M459" cm="1">
        <f t="array" ref="M459">_xlfn.ANCHORARRAY(C459)+0.1</f>
        <v>0.6</v>
      </c>
      <c r="N459" cm="1">
        <f t="array" ref="N459">_xlfn.ANCHORARRAY(D459)+0.15</f>
        <v>1.1499999999999999</v>
      </c>
      <c r="O459" cm="1">
        <f t="array" ref="O459">_xlfn.ANCHORARRAY(E459)+0.15</f>
        <v>3.15</v>
      </c>
      <c r="P459" cm="1">
        <f t="array" ref="P459">_xlfn.ANCHORARRAY(F459)+0.15</f>
        <v>4.6500000000000004</v>
      </c>
      <c r="Q459" cm="1">
        <f t="array" ref="Q459">_xlfn.ANCHORARRAY(G459)+0.15</f>
        <v>3.65</v>
      </c>
      <c r="R459" cm="1">
        <f t="array" ref="R459">_xlfn.ANCHORARRAY(H459)</f>
        <v>9.99</v>
      </c>
      <c r="S459" cm="1">
        <f t="array" ref="S459">_xlfn.ANCHORARRAY(R459)+0.15</f>
        <v>10.14</v>
      </c>
      <c r="T459" cm="1">
        <f t="array" ref="T459">_xlfn.ANCHORARRAY(I459)+0.15</f>
        <v>1.1499999999999999</v>
      </c>
      <c r="U459" cm="1">
        <f t="array" ref="U459">_xlfn.ANCHORARRAY(J459)+0.15</f>
        <v>3.15</v>
      </c>
      <c r="V459" cm="1">
        <f t="array" ref="V459">_xlfn.ANCHORARRAY(K459)+0.15</f>
        <v>4.6500000000000004</v>
      </c>
      <c r="W459">
        <f>TBL_TEV[[#This Row],[Etica Rendita Bilanciata]]</f>
        <v>1.5942769999999999</v>
      </c>
      <c r="X459">
        <f>TBL_TEV[[#This Row],[Etica Obbligazionario Breve Termine]]</f>
        <v>0.31098199999999998</v>
      </c>
      <c r="Y459">
        <f>TBL_TEV[[#This Row],[Etica Obbligazionario Misto]]</f>
        <v>0.68546099999999999</v>
      </c>
      <c r="Z459">
        <f>TBL_TEV[[#This Row],[Etica Bilanciato]]</f>
        <v>2.45404</v>
      </c>
      <c r="AA459">
        <f>TBL_TEV[[#This Row],[Etica Azionario]]</f>
        <v>3.5873210000000002</v>
      </c>
      <c r="AB459">
        <f>TBL_TEV[[#This Row],[Etica Transizione Climatica]]</f>
        <v>2.8180429999999999</v>
      </c>
      <c r="AC459">
        <f>TBL_TEV[[#This Row],[Etica Obiettivo Sociale]]</f>
        <v>7.2627647179210033</v>
      </c>
      <c r="AD459">
        <f>TBL_TEV[[#This Row],[Etica Conservative Allocation]]</f>
        <v>0.73276699999999995</v>
      </c>
      <c r="AE459">
        <f>TBL_TEV[[#This Row],[Etica Dynamic Allocation]]</f>
        <v>2.3181539999999998</v>
      </c>
      <c r="AF459">
        <f>TBL_TEV[[#This Row],[Etica Global Equity]]</f>
        <v>3.6674880000000001</v>
      </c>
      <c r="AL459">
        <f ca="1"/>
        <v>1.58761</v>
      </c>
      <c r="AM459">
        <f ca="1"/>
        <v>0.310664</v>
      </c>
      <c r="AN459">
        <f ca="1"/>
        <v>0.68514399999999998</v>
      </c>
      <c r="AO459">
        <f ca="1"/>
        <v>2.4343560000000002</v>
      </c>
      <c r="AP459">
        <f ca="1"/>
        <v>3.5587469999999999</v>
      </c>
      <c r="AQ459">
        <f ca="1"/>
        <v>2.742639</v>
      </c>
      <c r="AR459">
        <f ca="1"/>
        <v>7.2825966427749584</v>
      </c>
      <c r="AS459">
        <f ca="1"/>
        <v>0.73324400000000001</v>
      </c>
      <c r="AT459">
        <f ca="1"/>
        <v>2.3067250000000001</v>
      </c>
      <c r="AU459">
        <f ca="1"/>
        <v>3.6452629999999999</v>
      </c>
    </row>
    <row r="460" spans="1:47">
      <c r="A460" s="43">
        <f>TBL_TEV[[#This Row],[Data2]]</f>
        <v>45947</v>
      </c>
      <c r="B460" cm="1">
        <f t="array" ref="B460">_xlfn.XLOOKUP(_xlfn.ANCHORARRAY(A460), TBL_Limiti_CDA[Data], TBL_Limiti_CDA[Etica Rendita Bilanciata], , -1)</f>
        <v>2.5</v>
      </c>
      <c r="C460" cm="1">
        <f t="array" ref="C460">_xlfn.XLOOKUP(_xlfn.ANCHORARRAY(A460), TBL_Limiti_CDA[Data], TBL_Limiti_CDA[Etica Obbligazionario Breve Termine], , -1)</f>
        <v>0.5</v>
      </c>
      <c r="D460" cm="1">
        <f t="array" ref="D460">_xlfn.XLOOKUP(_xlfn.ANCHORARRAY(A460), TBL_Limiti_CDA[Data], TBL_Limiti_CDA[Etica Obbligazionario Misto], , -1)</f>
        <v>1</v>
      </c>
      <c r="E460" cm="1">
        <f t="array" ref="E460">_xlfn.XLOOKUP(_xlfn.ANCHORARRAY(A460), TBL_Limiti_CDA[Data], TBL_Limiti_CDA[Etica Bilanciato], , -1)</f>
        <v>3</v>
      </c>
      <c r="F460" cm="1">
        <f t="array" ref="F460">_xlfn.XLOOKUP(_xlfn.ANCHORARRAY(A460), TBL_Limiti_CDA[Data], TBL_Limiti_CDA[Etica Azionario], , -1)</f>
        <v>4.5</v>
      </c>
      <c r="G460" cm="1">
        <f t="array" ref="G460">_xlfn.XLOOKUP(_xlfn.ANCHORARRAY(A460), TBL_Limiti_CDA[Data], TBL_Limiti_CDA[Etica Transizione Climatica], , -1)</f>
        <v>3.5</v>
      </c>
      <c r="H460" cm="1">
        <f t="array" ref="H460">_xlfn.XLOOKUP(_xlfn.ANCHORARRAY(A460), TBL_Limiti_CDA[Data], TBL_Limiti_CDA[Etica Obiettivo Sociale], , -1)</f>
        <v>9.99</v>
      </c>
      <c r="I460" cm="1">
        <f t="array" ref="I460">_xlfn.XLOOKUP(_xlfn.ANCHORARRAY(A460), TBL_Limiti_CDA[Data], TBL_Limiti_CDA[Etica Conservative Allocation], , -1)</f>
        <v>1</v>
      </c>
      <c r="J460" cm="1">
        <f t="array" ref="J460">_xlfn.XLOOKUP(_xlfn.ANCHORARRAY(A460), TBL_Limiti_CDA[Data], TBL_Limiti_CDA[Etica Dynamic Allocation], , -1)</f>
        <v>3</v>
      </c>
      <c r="K460" cm="1">
        <f t="array" ref="K460">_xlfn.XLOOKUP(_xlfn.ANCHORARRAY(A460), TBL_Limiti_CDA[Data], TBL_Limiti_CDA[Etica Global Equity], , -1)</f>
        <v>4.5</v>
      </c>
      <c r="L460" cm="1">
        <f t="array" ref="L460">_xlfn.ANCHORARRAY(B460)+0.15</f>
        <v>2.65</v>
      </c>
      <c r="M460" cm="1">
        <f t="array" ref="M460">_xlfn.ANCHORARRAY(C460)+0.1</f>
        <v>0.6</v>
      </c>
      <c r="N460" cm="1">
        <f t="array" ref="N460">_xlfn.ANCHORARRAY(D460)+0.15</f>
        <v>1.1499999999999999</v>
      </c>
      <c r="O460" cm="1">
        <f t="array" ref="O460">_xlfn.ANCHORARRAY(E460)+0.15</f>
        <v>3.15</v>
      </c>
      <c r="P460" cm="1">
        <f t="array" ref="P460">_xlfn.ANCHORARRAY(F460)+0.15</f>
        <v>4.6500000000000004</v>
      </c>
      <c r="Q460" cm="1">
        <f t="array" ref="Q460">_xlfn.ANCHORARRAY(G460)+0.15</f>
        <v>3.65</v>
      </c>
      <c r="R460" cm="1">
        <f t="array" ref="R460">_xlfn.ANCHORARRAY(H460)</f>
        <v>9.99</v>
      </c>
      <c r="S460" cm="1">
        <f t="array" ref="S460">_xlfn.ANCHORARRAY(R460)+0.15</f>
        <v>10.14</v>
      </c>
      <c r="T460" cm="1">
        <f t="array" ref="T460">_xlfn.ANCHORARRAY(I460)+0.15</f>
        <v>1.1499999999999999</v>
      </c>
      <c r="U460" cm="1">
        <f t="array" ref="U460">_xlfn.ANCHORARRAY(J460)+0.15</f>
        <v>3.15</v>
      </c>
      <c r="V460" cm="1">
        <f t="array" ref="V460">_xlfn.ANCHORARRAY(K460)+0.15</f>
        <v>4.6500000000000004</v>
      </c>
      <c r="W460">
        <f>TBL_TEV[[#This Row],[Etica Rendita Bilanciata]]</f>
        <v>1.58761</v>
      </c>
      <c r="X460">
        <f>TBL_TEV[[#This Row],[Etica Obbligazionario Breve Termine]]</f>
        <v>0.310664</v>
      </c>
      <c r="Y460">
        <f>TBL_TEV[[#This Row],[Etica Obbligazionario Misto]]</f>
        <v>0.68514399999999998</v>
      </c>
      <c r="Z460">
        <f>TBL_TEV[[#This Row],[Etica Bilanciato]]</f>
        <v>2.4343560000000002</v>
      </c>
      <c r="AA460">
        <f>TBL_TEV[[#This Row],[Etica Azionario]]</f>
        <v>3.5587469999999999</v>
      </c>
      <c r="AB460">
        <f>TBL_TEV[[#This Row],[Etica Transizione Climatica]]</f>
        <v>2.742639</v>
      </c>
      <c r="AC460">
        <f>TBL_TEV[[#This Row],[Etica Obiettivo Sociale]]</f>
        <v>7.2825966427749584</v>
      </c>
      <c r="AD460">
        <f>TBL_TEV[[#This Row],[Etica Conservative Allocation]]</f>
        <v>0.73324400000000001</v>
      </c>
      <c r="AE460">
        <f>TBL_TEV[[#This Row],[Etica Dynamic Allocation]]</f>
        <v>2.3067250000000001</v>
      </c>
      <c r="AF460">
        <f>TBL_TEV[[#This Row],[Etica Global Equity]]</f>
        <v>3.6452629999999999</v>
      </c>
      <c r="AL460">
        <f ca="1"/>
        <v>1.592689</v>
      </c>
      <c r="AM460">
        <f ca="1"/>
        <v>0.30955300000000002</v>
      </c>
      <c r="AN460">
        <f ca="1"/>
        <v>0.68704900000000002</v>
      </c>
      <c r="AO460">
        <f ca="1"/>
        <v>2.4372129999999999</v>
      </c>
      <c r="AP460">
        <f ca="1"/>
        <v>3.5606520000000002</v>
      </c>
      <c r="AQ460">
        <f ca="1"/>
        <v>2.6804109999999999</v>
      </c>
      <c r="AR460">
        <f ca="1"/>
        <v>7.387293966801538</v>
      </c>
      <c r="AS460">
        <f ca="1"/>
        <v>0.71927399999999997</v>
      </c>
      <c r="AT460">
        <f ca="1"/>
        <v>2.307042</v>
      </c>
      <c r="AU460">
        <f ca="1"/>
        <v>3.5322369999999998</v>
      </c>
    </row>
    <row r="461" spans="1:47">
      <c r="A461" s="43">
        <f>TBL_TEV[[#This Row],[Data2]]</f>
        <v>45950</v>
      </c>
      <c r="B461" cm="1">
        <f t="array" ref="B461">_xlfn.XLOOKUP(_xlfn.ANCHORARRAY(A461), TBL_Limiti_CDA[Data], TBL_Limiti_CDA[Etica Rendita Bilanciata], , -1)</f>
        <v>2.5</v>
      </c>
      <c r="C461" cm="1">
        <f t="array" ref="C461">_xlfn.XLOOKUP(_xlfn.ANCHORARRAY(A461), TBL_Limiti_CDA[Data], TBL_Limiti_CDA[Etica Obbligazionario Breve Termine], , -1)</f>
        <v>0.5</v>
      </c>
      <c r="D461" cm="1">
        <f t="array" ref="D461">_xlfn.XLOOKUP(_xlfn.ANCHORARRAY(A461), TBL_Limiti_CDA[Data], TBL_Limiti_CDA[Etica Obbligazionario Misto], , -1)</f>
        <v>1</v>
      </c>
      <c r="E461" cm="1">
        <f t="array" ref="E461">_xlfn.XLOOKUP(_xlfn.ANCHORARRAY(A461), TBL_Limiti_CDA[Data], TBL_Limiti_CDA[Etica Bilanciato], , -1)</f>
        <v>3</v>
      </c>
      <c r="F461" cm="1">
        <f t="array" ref="F461">_xlfn.XLOOKUP(_xlfn.ANCHORARRAY(A461), TBL_Limiti_CDA[Data], TBL_Limiti_CDA[Etica Azionario], , -1)</f>
        <v>4.5</v>
      </c>
      <c r="G461" cm="1">
        <f t="array" ref="G461">_xlfn.XLOOKUP(_xlfn.ANCHORARRAY(A461), TBL_Limiti_CDA[Data], TBL_Limiti_CDA[Etica Transizione Climatica], , -1)</f>
        <v>3.5</v>
      </c>
      <c r="H461" cm="1">
        <f t="array" ref="H461">_xlfn.XLOOKUP(_xlfn.ANCHORARRAY(A461), TBL_Limiti_CDA[Data], TBL_Limiti_CDA[Etica Obiettivo Sociale], , -1)</f>
        <v>9.99</v>
      </c>
      <c r="I461" cm="1">
        <f t="array" ref="I461">_xlfn.XLOOKUP(_xlfn.ANCHORARRAY(A461), TBL_Limiti_CDA[Data], TBL_Limiti_CDA[Etica Conservative Allocation], , -1)</f>
        <v>1</v>
      </c>
      <c r="J461" cm="1">
        <f t="array" ref="J461">_xlfn.XLOOKUP(_xlfn.ANCHORARRAY(A461), TBL_Limiti_CDA[Data], TBL_Limiti_CDA[Etica Dynamic Allocation], , -1)</f>
        <v>3</v>
      </c>
      <c r="K461" cm="1">
        <f t="array" ref="K461">_xlfn.XLOOKUP(_xlfn.ANCHORARRAY(A461), TBL_Limiti_CDA[Data], TBL_Limiti_CDA[Etica Global Equity], , -1)</f>
        <v>4.5</v>
      </c>
      <c r="L461" cm="1">
        <f t="array" ref="L461">_xlfn.ANCHORARRAY(B461)+0.15</f>
        <v>2.65</v>
      </c>
      <c r="M461" cm="1">
        <f t="array" ref="M461">_xlfn.ANCHORARRAY(C461)+0.1</f>
        <v>0.6</v>
      </c>
      <c r="N461" cm="1">
        <f t="array" ref="N461">_xlfn.ANCHORARRAY(D461)+0.15</f>
        <v>1.1499999999999999</v>
      </c>
      <c r="O461" cm="1">
        <f t="array" ref="O461">_xlfn.ANCHORARRAY(E461)+0.15</f>
        <v>3.15</v>
      </c>
      <c r="P461" cm="1">
        <f t="array" ref="P461">_xlfn.ANCHORARRAY(F461)+0.15</f>
        <v>4.6500000000000004</v>
      </c>
      <c r="Q461" cm="1">
        <f t="array" ref="Q461">_xlfn.ANCHORARRAY(G461)+0.15</f>
        <v>3.65</v>
      </c>
      <c r="R461" cm="1">
        <f t="array" ref="R461">_xlfn.ANCHORARRAY(H461)</f>
        <v>9.99</v>
      </c>
      <c r="S461" cm="1">
        <f t="array" ref="S461">_xlfn.ANCHORARRAY(R461)+0.15</f>
        <v>10.14</v>
      </c>
      <c r="T461" cm="1">
        <f t="array" ref="T461">_xlfn.ANCHORARRAY(I461)+0.15</f>
        <v>1.1499999999999999</v>
      </c>
      <c r="U461" cm="1">
        <f t="array" ref="U461">_xlfn.ANCHORARRAY(J461)+0.15</f>
        <v>3.15</v>
      </c>
      <c r="V461" cm="1">
        <f t="array" ref="V461">_xlfn.ANCHORARRAY(K461)+0.15</f>
        <v>4.6500000000000004</v>
      </c>
      <c r="W461">
        <f>TBL_TEV[[#This Row],[Etica Rendita Bilanciata]]</f>
        <v>1.592689</v>
      </c>
      <c r="X461">
        <f>TBL_TEV[[#This Row],[Etica Obbligazionario Breve Termine]]</f>
        <v>0.30955300000000002</v>
      </c>
      <c r="Y461">
        <f>TBL_TEV[[#This Row],[Etica Obbligazionario Misto]]</f>
        <v>0.68704900000000002</v>
      </c>
      <c r="Z461">
        <f>TBL_TEV[[#This Row],[Etica Bilanciato]]</f>
        <v>2.4372129999999999</v>
      </c>
      <c r="AA461">
        <f>TBL_TEV[[#This Row],[Etica Azionario]]</f>
        <v>3.5606520000000002</v>
      </c>
      <c r="AB461">
        <f>TBL_TEV[[#This Row],[Etica Transizione Climatica]]</f>
        <v>2.6804109999999999</v>
      </c>
      <c r="AC461">
        <f>TBL_TEV[[#This Row],[Etica Obiettivo Sociale]]</f>
        <v>7.387293966801538</v>
      </c>
      <c r="AD461">
        <f>TBL_TEV[[#This Row],[Etica Conservative Allocation]]</f>
        <v>0.71927399999999997</v>
      </c>
      <c r="AE461">
        <f>TBL_TEV[[#This Row],[Etica Dynamic Allocation]]</f>
        <v>2.307042</v>
      </c>
      <c r="AF461">
        <f>TBL_TEV[[#This Row],[Etica Global Equity]]</f>
        <v>3.5322369999999998</v>
      </c>
      <c r="AL461">
        <f ca="1"/>
        <v>1.595229</v>
      </c>
      <c r="AM461">
        <f ca="1"/>
        <v>0.30748900000000001</v>
      </c>
      <c r="AN461">
        <f ca="1"/>
        <v>0.68911199999999995</v>
      </c>
      <c r="AO461">
        <f ca="1"/>
        <v>2.441182</v>
      </c>
      <c r="AP461">
        <f ca="1"/>
        <v>3.556683</v>
      </c>
      <c r="AQ461">
        <f ca="1"/>
        <v>2.6848559999999999</v>
      </c>
      <c r="AR461">
        <f ca="1"/>
        <v>7.304375227312887</v>
      </c>
      <c r="AS461">
        <f ca="1"/>
        <v>0.71879800000000005</v>
      </c>
      <c r="AT461">
        <f ca="1"/>
        <v>2.3083119999999999</v>
      </c>
      <c r="AU461">
        <f ca="1"/>
        <v>3.4971540000000001</v>
      </c>
    </row>
    <row r="462" spans="1:47">
      <c r="A462" s="43">
        <f>TBL_TEV[[#This Row],[Data2]]</f>
        <v>45951</v>
      </c>
      <c r="B462" cm="1">
        <f t="array" ref="B462">_xlfn.XLOOKUP(_xlfn.ANCHORARRAY(A462), TBL_Limiti_CDA[Data], TBL_Limiti_CDA[Etica Rendita Bilanciata], , -1)</f>
        <v>2.5</v>
      </c>
      <c r="C462" cm="1">
        <f t="array" ref="C462">_xlfn.XLOOKUP(_xlfn.ANCHORARRAY(A462), TBL_Limiti_CDA[Data], TBL_Limiti_CDA[Etica Obbligazionario Breve Termine], , -1)</f>
        <v>0.5</v>
      </c>
      <c r="D462" cm="1">
        <f t="array" ref="D462">_xlfn.XLOOKUP(_xlfn.ANCHORARRAY(A462), TBL_Limiti_CDA[Data], TBL_Limiti_CDA[Etica Obbligazionario Misto], , -1)</f>
        <v>1</v>
      </c>
      <c r="E462" cm="1">
        <f t="array" ref="E462">_xlfn.XLOOKUP(_xlfn.ANCHORARRAY(A462), TBL_Limiti_CDA[Data], TBL_Limiti_CDA[Etica Bilanciato], , -1)</f>
        <v>3</v>
      </c>
      <c r="F462" cm="1">
        <f t="array" ref="F462">_xlfn.XLOOKUP(_xlfn.ANCHORARRAY(A462), TBL_Limiti_CDA[Data], TBL_Limiti_CDA[Etica Azionario], , -1)</f>
        <v>4.5</v>
      </c>
      <c r="G462" cm="1">
        <f t="array" ref="G462">_xlfn.XLOOKUP(_xlfn.ANCHORARRAY(A462), TBL_Limiti_CDA[Data], TBL_Limiti_CDA[Etica Transizione Climatica], , -1)</f>
        <v>3.5</v>
      </c>
      <c r="H462" cm="1">
        <f t="array" ref="H462">_xlfn.XLOOKUP(_xlfn.ANCHORARRAY(A462), TBL_Limiti_CDA[Data], TBL_Limiti_CDA[Etica Obiettivo Sociale], , -1)</f>
        <v>9.99</v>
      </c>
      <c r="I462" cm="1">
        <f t="array" ref="I462">_xlfn.XLOOKUP(_xlfn.ANCHORARRAY(A462), TBL_Limiti_CDA[Data], TBL_Limiti_CDA[Etica Conservative Allocation], , -1)</f>
        <v>1</v>
      </c>
      <c r="J462" cm="1">
        <f t="array" ref="J462">_xlfn.XLOOKUP(_xlfn.ANCHORARRAY(A462), TBL_Limiti_CDA[Data], TBL_Limiti_CDA[Etica Dynamic Allocation], , -1)</f>
        <v>3</v>
      </c>
      <c r="K462" cm="1">
        <f t="array" ref="K462">_xlfn.XLOOKUP(_xlfn.ANCHORARRAY(A462), TBL_Limiti_CDA[Data], TBL_Limiti_CDA[Etica Global Equity], , -1)</f>
        <v>4.5</v>
      </c>
      <c r="L462" cm="1">
        <f t="array" ref="L462">_xlfn.ANCHORARRAY(B462)+0.15</f>
        <v>2.65</v>
      </c>
      <c r="M462" cm="1">
        <f t="array" ref="M462">_xlfn.ANCHORARRAY(C462)+0.1</f>
        <v>0.6</v>
      </c>
      <c r="N462" cm="1">
        <f t="array" ref="N462">_xlfn.ANCHORARRAY(D462)+0.15</f>
        <v>1.1499999999999999</v>
      </c>
      <c r="O462" cm="1">
        <f t="array" ref="O462">_xlfn.ANCHORARRAY(E462)+0.15</f>
        <v>3.15</v>
      </c>
      <c r="P462" cm="1">
        <f t="array" ref="P462">_xlfn.ANCHORARRAY(F462)+0.15</f>
        <v>4.6500000000000004</v>
      </c>
      <c r="Q462" cm="1">
        <f t="array" ref="Q462">_xlfn.ANCHORARRAY(G462)+0.15</f>
        <v>3.65</v>
      </c>
      <c r="R462" cm="1">
        <f t="array" ref="R462">_xlfn.ANCHORARRAY(H462)</f>
        <v>9.99</v>
      </c>
      <c r="S462" cm="1">
        <f t="array" ref="S462">_xlfn.ANCHORARRAY(R462)+0.15</f>
        <v>10.14</v>
      </c>
      <c r="T462" cm="1">
        <f t="array" ref="T462">_xlfn.ANCHORARRAY(I462)+0.15</f>
        <v>1.1499999999999999</v>
      </c>
      <c r="U462" cm="1">
        <f t="array" ref="U462">_xlfn.ANCHORARRAY(J462)+0.15</f>
        <v>3.15</v>
      </c>
      <c r="V462" cm="1">
        <f t="array" ref="V462">_xlfn.ANCHORARRAY(K462)+0.15</f>
        <v>4.6500000000000004</v>
      </c>
      <c r="W462">
        <f>TBL_TEV[[#This Row],[Etica Rendita Bilanciata]]</f>
        <v>1.595229</v>
      </c>
      <c r="X462">
        <f>TBL_TEV[[#This Row],[Etica Obbligazionario Breve Termine]]</f>
        <v>0.30748900000000001</v>
      </c>
      <c r="Y462">
        <f>TBL_TEV[[#This Row],[Etica Obbligazionario Misto]]</f>
        <v>0.68911199999999995</v>
      </c>
      <c r="Z462">
        <f>TBL_TEV[[#This Row],[Etica Bilanciato]]</f>
        <v>2.441182</v>
      </c>
      <c r="AA462">
        <f>TBL_TEV[[#This Row],[Etica Azionario]]</f>
        <v>3.556683</v>
      </c>
      <c r="AB462">
        <f>TBL_TEV[[#This Row],[Etica Transizione Climatica]]</f>
        <v>2.6848559999999999</v>
      </c>
      <c r="AC462">
        <f>TBL_TEV[[#This Row],[Etica Obiettivo Sociale]]</f>
        <v>7.304375227312887</v>
      </c>
      <c r="AD462">
        <f>TBL_TEV[[#This Row],[Etica Conservative Allocation]]</f>
        <v>0.71879800000000005</v>
      </c>
      <c r="AE462">
        <f>TBL_TEV[[#This Row],[Etica Dynamic Allocation]]</f>
        <v>2.3083119999999999</v>
      </c>
      <c r="AF462">
        <f>TBL_TEV[[#This Row],[Etica Global Equity]]</f>
        <v>3.4971540000000001</v>
      </c>
      <c r="AL462">
        <f ca="1"/>
        <v>1.5804659999999999</v>
      </c>
      <c r="AM462">
        <f ca="1"/>
        <v>0.30574299999999999</v>
      </c>
      <c r="AN462">
        <f ca="1"/>
        <v>0.685303</v>
      </c>
      <c r="AO462">
        <f ca="1"/>
        <v>2.412925</v>
      </c>
      <c r="AP462">
        <f ca="1"/>
        <v>3.5198550000000002</v>
      </c>
      <c r="AQ462">
        <f ca="1"/>
        <v>2.6650119999999999</v>
      </c>
      <c r="AR462">
        <f ca="1"/>
        <v>7.2904792151755631</v>
      </c>
      <c r="AS462">
        <f ca="1"/>
        <v>0.710225</v>
      </c>
      <c r="AT462">
        <f ca="1"/>
        <v>2.2705310000000001</v>
      </c>
      <c r="AU462">
        <f ca="1"/>
        <v>3.4461970000000002</v>
      </c>
    </row>
    <row r="463" spans="1:47">
      <c r="A463" s="43">
        <f>TBL_TEV[[#This Row],[Data2]]</f>
        <v>45952</v>
      </c>
      <c r="B463" cm="1">
        <f t="array" ref="B463">_xlfn.XLOOKUP(_xlfn.ANCHORARRAY(A463), TBL_Limiti_CDA[Data], TBL_Limiti_CDA[Etica Rendita Bilanciata], , -1)</f>
        <v>2.5</v>
      </c>
      <c r="C463" cm="1">
        <f t="array" ref="C463">_xlfn.XLOOKUP(_xlfn.ANCHORARRAY(A463), TBL_Limiti_CDA[Data], TBL_Limiti_CDA[Etica Obbligazionario Breve Termine], , -1)</f>
        <v>0.5</v>
      </c>
      <c r="D463" cm="1">
        <f t="array" ref="D463">_xlfn.XLOOKUP(_xlfn.ANCHORARRAY(A463), TBL_Limiti_CDA[Data], TBL_Limiti_CDA[Etica Obbligazionario Misto], , -1)</f>
        <v>1</v>
      </c>
      <c r="E463" cm="1">
        <f t="array" ref="E463">_xlfn.XLOOKUP(_xlfn.ANCHORARRAY(A463), TBL_Limiti_CDA[Data], TBL_Limiti_CDA[Etica Bilanciato], , -1)</f>
        <v>3</v>
      </c>
      <c r="F463" cm="1">
        <f t="array" ref="F463">_xlfn.XLOOKUP(_xlfn.ANCHORARRAY(A463), TBL_Limiti_CDA[Data], TBL_Limiti_CDA[Etica Azionario], , -1)</f>
        <v>4.5</v>
      </c>
      <c r="G463" cm="1">
        <f t="array" ref="G463">_xlfn.XLOOKUP(_xlfn.ANCHORARRAY(A463), TBL_Limiti_CDA[Data], TBL_Limiti_CDA[Etica Transizione Climatica], , -1)</f>
        <v>3.5</v>
      </c>
      <c r="H463" cm="1">
        <f t="array" ref="H463">_xlfn.XLOOKUP(_xlfn.ANCHORARRAY(A463), TBL_Limiti_CDA[Data], TBL_Limiti_CDA[Etica Obiettivo Sociale], , -1)</f>
        <v>9.99</v>
      </c>
      <c r="I463" cm="1">
        <f t="array" ref="I463">_xlfn.XLOOKUP(_xlfn.ANCHORARRAY(A463), TBL_Limiti_CDA[Data], TBL_Limiti_CDA[Etica Conservative Allocation], , -1)</f>
        <v>1</v>
      </c>
      <c r="J463" cm="1">
        <f t="array" ref="J463">_xlfn.XLOOKUP(_xlfn.ANCHORARRAY(A463), TBL_Limiti_CDA[Data], TBL_Limiti_CDA[Etica Dynamic Allocation], , -1)</f>
        <v>3</v>
      </c>
      <c r="K463" cm="1">
        <f t="array" ref="K463">_xlfn.XLOOKUP(_xlfn.ANCHORARRAY(A463), TBL_Limiti_CDA[Data], TBL_Limiti_CDA[Etica Global Equity], , -1)</f>
        <v>4.5</v>
      </c>
      <c r="L463" cm="1">
        <f t="array" ref="L463">_xlfn.ANCHORARRAY(B463)+0.15</f>
        <v>2.65</v>
      </c>
      <c r="M463" cm="1">
        <f t="array" ref="M463">_xlfn.ANCHORARRAY(C463)+0.1</f>
        <v>0.6</v>
      </c>
      <c r="N463" cm="1">
        <f t="array" ref="N463">_xlfn.ANCHORARRAY(D463)+0.15</f>
        <v>1.1499999999999999</v>
      </c>
      <c r="O463" cm="1">
        <f t="array" ref="O463">_xlfn.ANCHORARRAY(E463)+0.15</f>
        <v>3.15</v>
      </c>
      <c r="P463" cm="1">
        <f t="array" ref="P463">_xlfn.ANCHORARRAY(F463)+0.15</f>
        <v>4.6500000000000004</v>
      </c>
      <c r="Q463" cm="1">
        <f t="array" ref="Q463">_xlfn.ANCHORARRAY(G463)+0.15</f>
        <v>3.65</v>
      </c>
      <c r="R463" cm="1">
        <f t="array" ref="R463">_xlfn.ANCHORARRAY(H463)</f>
        <v>9.99</v>
      </c>
      <c r="S463" cm="1">
        <f t="array" ref="S463">_xlfn.ANCHORARRAY(R463)+0.15</f>
        <v>10.14</v>
      </c>
      <c r="T463" cm="1">
        <f t="array" ref="T463">_xlfn.ANCHORARRAY(I463)+0.15</f>
        <v>1.1499999999999999</v>
      </c>
      <c r="U463" cm="1">
        <f t="array" ref="U463">_xlfn.ANCHORARRAY(J463)+0.15</f>
        <v>3.15</v>
      </c>
      <c r="V463" cm="1">
        <f t="array" ref="V463">_xlfn.ANCHORARRAY(K463)+0.15</f>
        <v>4.6500000000000004</v>
      </c>
      <c r="W463">
        <f>TBL_TEV[[#This Row],[Etica Rendita Bilanciata]]</f>
        <v>1.5804659999999999</v>
      </c>
      <c r="X463">
        <f>TBL_TEV[[#This Row],[Etica Obbligazionario Breve Termine]]</f>
        <v>0.30574299999999999</v>
      </c>
      <c r="Y463">
        <f>TBL_TEV[[#This Row],[Etica Obbligazionario Misto]]</f>
        <v>0.685303</v>
      </c>
      <c r="Z463">
        <f>TBL_TEV[[#This Row],[Etica Bilanciato]]</f>
        <v>2.412925</v>
      </c>
      <c r="AA463">
        <f>TBL_TEV[[#This Row],[Etica Azionario]]</f>
        <v>3.5198550000000002</v>
      </c>
      <c r="AB463">
        <f>TBL_TEV[[#This Row],[Etica Transizione Climatica]]</f>
        <v>2.6650119999999999</v>
      </c>
      <c r="AC463">
        <f>TBL_TEV[[#This Row],[Etica Obiettivo Sociale]]</f>
        <v>7.2904792151755631</v>
      </c>
      <c r="AD463">
        <f>TBL_TEV[[#This Row],[Etica Conservative Allocation]]</f>
        <v>0.710225</v>
      </c>
      <c r="AE463">
        <f>TBL_TEV[[#This Row],[Etica Dynamic Allocation]]</f>
        <v>2.2705310000000001</v>
      </c>
      <c r="AF463">
        <f>TBL_TEV[[#This Row],[Etica Global Equity]]</f>
        <v>3.4461970000000002</v>
      </c>
      <c r="AL463">
        <f ca="1"/>
        <v>1.592848</v>
      </c>
      <c r="AM463">
        <f ca="1"/>
        <v>0.30479099999999998</v>
      </c>
      <c r="AN463">
        <f ca="1"/>
        <v>0.695303</v>
      </c>
      <c r="AO463">
        <f ca="1"/>
        <v>2.4451499999999999</v>
      </c>
      <c r="AP463">
        <f ca="1"/>
        <v>3.5571600000000001</v>
      </c>
      <c r="AQ463">
        <f ca="1"/>
        <v>2.6159599999999998</v>
      </c>
      <c r="AR463">
        <f ca="1"/>
        <v>7.1972374251060147</v>
      </c>
      <c r="AS463">
        <f ca="1"/>
        <v>0.71070199999999994</v>
      </c>
      <c r="AT463">
        <f ca="1"/>
        <v>2.289898</v>
      </c>
      <c r="AU463">
        <f ca="1"/>
        <v>3.4727070000000002</v>
      </c>
    </row>
    <row r="464" spans="1:47">
      <c r="A464" s="43">
        <f>TBL_TEV[[#This Row],[Data2]]</f>
        <v>45953</v>
      </c>
      <c r="B464" cm="1">
        <f t="array" ref="B464">_xlfn.XLOOKUP(_xlfn.ANCHORARRAY(A464), TBL_Limiti_CDA[Data], TBL_Limiti_CDA[Etica Rendita Bilanciata], , -1)</f>
        <v>2.5</v>
      </c>
      <c r="C464" cm="1">
        <f t="array" ref="C464">_xlfn.XLOOKUP(_xlfn.ANCHORARRAY(A464), TBL_Limiti_CDA[Data], TBL_Limiti_CDA[Etica Obbligazionario Breve Termine], , -1)</f>
        <v>0.5</v>
      </c>
      <c r="D464" cm="1">
        <f t="array" ref="D464">_xlfn.XLOOKUP(_xlfn.ANCHORARRAY(A464), TBL_Limiti_CDA[Data], TBL_Limiti_CDA[Etica Obbligazionario Misto], , -1)</f>
        <v>1</v>
      </c>
      <c r="E464" cm="1">
        <f t="array" ref="E464">_xlfn.XLOOKUP(_xlfn.ANCHORARRAY(A464), TBL_Limiti_CDA[Data], TBL_Limiti_CDA[Etica Bilanciato], , -1)</f>
        <v>3</v>
      </c>
      <c r="F464" cm="1">
        <f t="array" ref="F464">_xlfn.XLOOKUP(_xlfn.ANCHORARRAY(A464), TBL_Limiti_CDA[Data], TBL_Limiti_CDA[Etica Azionario], , -1)</f>
        <v>4.5</v>
      </c>
      <c r="G464" cm="1">
        <f t="array" ref="G464">_xlfn.XLOOKUP(_xlfn.ANCHORARRAY(A464), TBL_Limiti_CDA[Data], TBL_Limiti_CDA[Etica Transizione Climatica], , -1)</f>
        <v>3.5</v>
      </c>
      <c r="H464" cm="1">
        <f t="array" ref="H464">_xlfn.XLOOKUP(_xlfn.ANCHORARRAY(A464), TBL_Limiti_CDA[Data], TBL_Limiti_CDA[Etica Obiettivo Sociale], , -1)</f>
        <v>9.99</v>
      </c>
      <c r="I464" cm="1">
        <f t="array" ref="I464">_xlfn.XLOOKUP(_xlfn.ANCHORARRAY(A464), TBL_Limiti_CDA[Data], TBL_Limiti_CDA[Etica Conservative Allocation], , -1)</f>
        <v>1</v>
      </c>
      <c r="J464" cm="1">
        <f t="array" ref="J464">_xlfn.XLOOKUP(_xlfn.ANCHORARRAY(A464), TBL_Limiti_CDA[Data], TBL_Limiti_CDA[Etica Dynamic Allocation], , -1)</f>
        <v>3</v>
      </c>
      <c r="K464" cm="1">
        <f t="array" ref="K464">_xlfn.XLOOKUP(_xlfn.ANCHORARRAY(A464), TBL_Limiti_CDA[Data], TBL_Limiti_CDA[Etica Global Equity], , -1)</f>
        <v>4.5</v>
      </c>
      <c r="L464" cm="1">
        <f t="array" ref="L464">_xlfn.ANCHORARRAY(B464)+0.15</f>
        <v>2.65</v>
      </c>
      <c r="M464" cm="1">
        <f t="array" ref="M464">_xlfn.ANCHORARRAY(C464)+0.1</f>
        <v>0.6</v>
      </c>
      <c r="N464" cm="1">
        <f t="array" ref="N464">_xlfn.ANCHORARRAY(D464)+0.15</f>
        <v>1.1499999999999999</v>
      </c>
      <c r="O464" cm="1">
        <f t="array" ref="O464">_xlfn.ANCHORARRAY(E464)+0.15</f>
        <v>3.15</v>
      </c>
      <c r="P464" cm="1">
        <f t="array" ref="P464">_xlfn.ANCHORARRAY(F464)+0.15</f>
        <v>4.6500000000000004</v>
      </c>
      <c r="Q464" cm="1">
        <f t="array" ref="Q464">_xlfn.ANCHORARRAY(G464)+0.15</f>
        <v>3.65</v>
      </c>
      <c r="R464" cm="1">
        <f t="array" ref="R464">_xlfn.ANCHORARRAY(H464)</f>
        <v>9.99</v>
      </c>
      <c r="S464" cm="1">
        <f t="array" ref="S464">_xlfn.ANCHORARRAY(R464)+0.15</f>
        <v>10.14</v>
      </c>
      <c r="T464" cm="1">
        <f t="array" ref="T464">_xlfn.ANCHORARRAY(I464)+0.15</f>
        <v>1.1499999999999999</v>
      </c>
      <c r="U464" cm="1">
        <f t="array" ref="U464">_xlfn.ANCHORARRAY(J464)+0.15</f>
        <v>3.15</v>
      </c>
      <c r="V464" cm="1">
        <f t="array" ref="V464">_xlfn.ANCHORARRAY(K464)+0.15</f>
        <v>4.6500000000000004</v>
      </c>
      <c r="W464">
        <f>TBL_TEV[[#This Row],[Etica Rendita Bilanciata]]</f>
        <v>1.592848</v>
      </c>
      <c r="X464">
        <f>TBL_TEV[[#This Row],[Etica Obbligazionario Breve Termine]]</f>
        <v>0.30479099999999998</v>
      </c>
      <c r="Y464">
        <f>TBL_TEV[[#This Row],[Etica Obbligazionario Misto]]</f>
        <v>0.695303</v>
      </c>
      <c r="Z464">
        <f>TBL_TEV[[#This Row],[Etica Bilanciato]]</f>
        <v>2.4451499999999999</v>
      </c>
      <c r="AA464">
        <f>TBL_TEV[[#This Row],[Etica Azionario]]</f>
        <v>3.5571600000000001</v>
      </c>
      <c r="AB464">
        <f>TBL_TEV[[#This Row],[Etica Transizione Climatica]]</f>
        <v>2.6159599999999998</v>
      </c>
      <c r="AC464">
        <f>TBL_TEV[[#This Row],[Etica Obiettivo Sociale]]</f>
        <v>7.1972374251060147</v>
      </c>
      <c r="AD464">
        <f>TBL_TEV[[#This Row],[Etica Conservative Allocation]]</f>
        <v>0.71070199999999994</v>
      </c>
      <c r="AE464">
        <f>TBL_TEV[[#This Row],[Etica Dynamic Allocation]]</f>
        <v>2.289898</v>
      </c>
      <c r="AF464">
        <f>TBL_TEV[[#This Row],[Etica Global Equity]]</f>
        <v>3.4727070000000002</v>
      </c>
      <c r="AL464">
        <f ca="1"/>
        <v>1.5957060000000001</v>
      </c>
      <c r="AM464">
        <f ca="1"/>
        <v>0.30542599999999998</v>
      </c>
      <c r="AN464">
        <f ca="1"/>
        <v>0.69800200000000001</v>
      </c>
      <c r="AO464">
        <f ca="1"/>
        <v>2.4545159999999999</v>
      </c>
      <c r="AP464">
        <f ca="1"/>
        <v>3.5609700000000002</v>
      </c>
      <c r="AQ464">
        <f ca="1"/>
        <v>2.6492969999999998</v>
      </c>
      <c r="AR464">
        <f ca="1"/>
        <v>7.5440216918168908</v>
      </c>
      <c r="AS464">
        <f ca="1"/>
        <v>0.71197200000000005</v>
      </c>
      <c r="AT464">
        <f ca="1"/>
        <v>2.2956129999999999</v>
      </c>
      <c r="AU464">
        <f ca="1"/>
        <v>3.4774699999999998</v>
      </c>
    </row>
    <row r="465" spans="1:47">
      <c r="A465" s="43">
        <f>TBL_TEV[[#This Row],[Data2]]</f>
        <v>45954</v>
      </c>
      <c r="B465" cm="1">
        <f t="array" ref="B465">_xlfn.XLOOKUP(_xlfn.ANCHORARRAY(A465), TBL_Limiti_CDA[Data], TBL_Limiti_CDA[Etica Rendita Bilanciata], , -1)</f>
        <v>2.5</v>
      </c>
      <c r="C465" cm="1">
        <f t="array" ref="C465">_xlfn.XLOOKUP(_xlfn.ANCHORARRAY(A465), TBL_Limiti_CDA[Data], TBL_Limiti_CDA[Etica Obbligazionario Breve Termine], , -1)</f>
        <v>0.5</v>
      </c>
      <c r="D465" cm="1">
        <f t="array" ref="D465">_xlfn.XLOOKUP(_xlfn.ANCHORARRAY(A465), TBL_Limiti_CDA[Data], TBL_Limiti_CDA[Etica Obbligazionario Misto], , -1)</f>
        <v>1</v>
      </c>
      <c r="E465" cm="1">
        <f t="array" ref="E465">_xlfn.XLOOKUP(_xlfn.ANCHORARRAY(A465), TBL_Limiti_CDA[Data], TBL_Limiti_CDA[Etica Bilanciato], , -1)</f>
        <v>3</v>
      </c>
      <c r="F465" cm="1">
        <f t="array" ref="F465">_xlfn.XLOOKUP(_xlfn.ANCHORARRAY(A465), TBL_Limiti_CDA[Data], TBL_Limiti_CDA[Etica Azionario], , -1)</f>
        <v>4.5</v>
      </c>
      <c r="G465" cm="1">
        <f t="array" ref="G465">_xlfn.XLOOKUP(_xlfn.ANCHORARRAY(A465), TBL_Limiti_CDA[Data], TBL_Limiti_CDA[Etica Transizione Climatica], , -1)</f>
        <v>3.5</v>
      </c>
      <c r="H465" cm="1">
        <f t="array" ref="H465">_xlfn.XLOOKUP(_xlfn.ANCHORARRAY(A465), TBL_Limiti_CDA[Data], TBL_Limiti_CDA[Etica Obiettivo Sociale], , -1)</f>
        <v>9.99</v>
      </c>
      <c r="I465" cm="1">
        <f t="array" ref="I465">_xlfn.XLOOKUP(_xlfn.ANCHORARRAY(A465), TBL_Limiti_CDA[Data], TBL_Limiti_CDA[Etica Conservative Allocation], , -1)</f>
        <v>1</v>
      </c>
      <c r="J465" cm="1">
        <f t="array" ref="J465">_xlfn.XLOOKUP(_xlfn.ANCHORARRAY(A465), TBL_Limiti_CDA[Data], TBL_Limiti_CDA[Etica Dynamic Allocation], , -1)</f>
        <v>3</v>
      </c>
      <c r="K465" cm="1">
        <f t="array" ref="K465">_xlfn.XLOOKUP(_xlfn.ANCHORARRAY(A465), TBL_Limiti_CDA[Data], TBL_Limiti_CDA[Etica Global Equity], , -1)</f>
        <v>4.5</v>
      </c>
      <c r="L465" cm="1">
        <f t="array" ref="L465">_xlfn.ANCHORARRAY(B465)+0.15</f>
        <v>2.65</v>
      </c>
      <c r="M465" cm="1">
        <f t="array" ref="M465">_xlfn.ANCHORARRAY(C465)+0.1</f>
        <v>0.6</v>
      </c>
      <c r="N465" cm="1">
        <f t="array" ref="N465">_xlfn.ANCHORARRAY(D465)+0.15</f>
        <v>1.1499999999999999</v>
      </c>
      <c r="O465" cm="1">
        <f t="array" ref="O465">_xlfn.ANCHORARRAY(E465)+0.15</f>
        <v>3.15</v>
      </c>
      <c r="P465" cm="1">
        <f t="array" ref="P465">_xlfn.ANCHORARRAY(F465)+0.15</f>
        <v>4.6500000000000004</v>
      </c>
      <c r="Q465" cm="1">
        <f t="array" ref="Q465">_xlfn.ANCHORARRAY(G465)+0.15</f>
        <v>3.65</v>
      </c>
      <c r="R465" cm="1">
        <f t="array" ref="R465">_xlfn.ANCHORARRAY(H465)</f>
        <v>9.99</v>
      </c>
      <c r="S465" cm="1">
        <f t="array" ref="S465">_xlfn.ANCHORARRAY(R465)+0.15</f>
        <v>10.14</v>
      </c>
      <c r="T465" cm="1">
        <f t="array" ref="T465">_xlfn.ANCHORARRAY(I465)+0.15</f>
        <v>1.1499999999999999</v>
      </c>
      <c r="U465" cm="1">
        <f t="array" ref="U465">_xlfn.ANCHORARRAY(J465)+0.15</f>
        <v>3.15</v>
      </c>
      <c r="V465" cm="1">
        <f t="array" ref="V465">_xlfn.ANCHORARRAY(K465)+0.15</f>
        <v>4.6500000000000004</v>
      </c>
      <c r="W465">
        <f>TBL_TEV[[#This Row],[Etica Rendita Bilanciata]]</f>
        <v>1.5957060000000001</v>
      </c>
      <c r="X465">
        <f>TBL_TEV[[#This Row],[Etica Obbligazionario Breve Termine]]</f>
        <v>0.30542599999999998</v>
      </c>
      <c r="Y465">
        <f>TBL_TEV[[#This Row],[Etica Obbligazionario Misto]]</f>
        <v>0.69800200000000001</v>
      </c>
      <c r="Z465">
        <f>TBL_TEV[[#This Row],[Etica Bilanciato]]</f>
        <v>2.4545159999999999</v>
      </c>
      <c r="AA465">
        <f>TBL_TEV[[#This Row],[Etica Azionario]]</f>
        <v>3.5609700000000002</v>
      </c>
      <c r="AB465">
        <f>TBL_TEV[[#This Row],[Etica Transizione Climatica]]</f>
        <v>2.6492969999999998</v>
      </c>
      <c r="AC465">
        <f>TBL_TEV[[#This Row],[Etica Obiettivo Sociale]]</f>
        <v>7.5440216918168908</v>
      </c>
      <c r="AD465">
        <f>TBL_TEV[[#This Row],[Etica Conservative Allocation]]</f>
        <v>0.71197200000000005</v>
      </c>
      <c r="AE465">
        <f>TBL_TEV[[#This Row],[Etica Dynamic Allocation]]</f>
        <v>2.2956129999999999</v>
      </c>
      <c r="AF465">
        <f>TBL_TEV[[#This Row],[Etica Global Equity]]</f>
        <v>3.4774699999999998</v>
      </c>
      <c r="AL465">
        <f ca="1"/>
        <v>1.6065</v>
      </c>
      <c r="AM465">
        <f ca="1"/>
        <v>0.30415599999999998</v>
      </c>
      <c r="AN465">
        <f ca="1"/>
        <v>0.70244700000000004</v>
      </c>
      <c r="AO465">
        <f ca="1"/>
        <v>2.4657870000000002</v>
      </c>
      <c r="AP465">
        <f ca="1"/>
        <v>3.5747800000000001</v>
      </c>
      <c r="AQ465">
        <f ca="1"/>
        <v>2.6775530000000001</v>
      </c>
      <c r="AR465">
        <f ca="1"/>
        <v>7.669953733798617</v>
      </c>
      <c r="AS465">
        <f ca="1"/>
        <v>0.71117799999999998</v>
      </c>
      <c r="AT465">
        <f ca="1"/>
        <v>2.3095819999999998</v>
      </c>
      <c r="AU465">
        <f ca="1"/>
        <v>3.49255</v>
      </c>
    </row>
    <row r="466" spans="1:47">
      <c r="A466" s="43">
        <f>TBL_TEV[[#This Row],[Data2]]</f>
        <v>45957</v>
      </c>
      <c r="B466" cm="1">
        <f t="array" ref="B466">_xlfn.XLOOKUP(_xlfn.ANCHORARRAY(A466), TBL_Limiti_CDA[Data], TBL_Limiti_CDA[Etica Rendita Bilanciata], , -1)</f>
        <v>2.5</v>
      </c>
      <c r="C466" cm="1">
        <f t="array" ref="C466">_xlfn.XLOOKUP(_xlfn.ANCHORARRAY(A466), TBL_Limiti_CDA[Data], TBL_Limiti_CDA[Etica Obbligazionario Breve Termine], , -1)</f>
        <v>0.5</v>
      </c>
      <c r="D466" cm="1">
        <f t="array" ref="D466">_xlfn.XLOOKUP(_xlfn.ANCHORARRAY(A466), TBL_Limiti_CDA[Data], TBL_Limiti_CDA[Etica Obbligazionario Misto], , -1)</f>
        <v>1</v>
      </c>
      <c r="E466" cm="1">
        <f t="array" ref="E466">_xlfn.XLOOKUP(_xlfn.ANCHORARRAY(A466), TBL_Limiti_CDA[Data], TBL_Limiti_CDA[Etica Bilanciato], , -1)</f>
        <v>3</v>
      </c>
      <c r="F466" cm="1">
        <f t="array" ref="F466">_xlfn.XLOOKUP(_xlfn.ANCHORARRAY(A466), TBL_Limiti_CDA[Data], TBL_Limiti_CDA[Etica Azionario], , -1)</f>
        <v>4.5</v>
      </c>
      <c r="G466" cm="1">
        <f t="array" ref="G466">_xlfn.XLOOKUP(_xlfn.ANCHORARRAY(A466), TBL_Limiti_CDA[Data], TBL_Limiti_CDA[Etica Transizione Climatica], , -1)</f>
        <v>3.5</v>
      </c>
      <c r="H466" cm="1">
        <f t="array" ref="H466">_xlfn.XLOOKUP(_xlfn.ANCHORARRAY(A466), TBL_Limiti_CDA[Data], TBL_Limiti_CDA[Etica Obiettivo Sociale], , -1)</f>
        <v>9.99</v>
      </c>
      <c r="I466" cm="1">
        <f t="array" ref="I466">_xlfn.XLOOKUP(_xlfn.ANCHORARRAY(A466), TBL_Limiti_CDA[Data], TBL_Limiti_CDA[Etica Conservative Allocation], , -1)</f>
        <v>1</v>
      </c>
      <c r="J466" cm="1">
        <f t="array" ref="J466">_xlfn.XLOOKUP(_xlfn.ANCHORARRAY(A466), TBL_Limiti_CDA[Data], TBL_Limiti_CDA[Etica Dynamic Allocation], , -1)</f>
        <v>3</v>
      </c>
      <c r="K466" cm="1">
        <f t="array" ref="K466">_xlfn.XLOOKUP(_xlfn.ANCHORARRAY(A466), TBL_Limiti_CDA[Data], TBL_Limiti_CDA[Etica Global Equity], , -1)</f>
        <v>4.5</v>
      </c>
      <c r="L466" cm="1">
        <f t="array" ref="L466">_xlfn.ANCHORARRAY(B466)+0.15</f>
        <v>2.65</v>
      </c>
      <c r="M466" cm="1">
        <f t="array" ref="M466">_xlfn.ANCHORARRAY(C466)+0.1</f>
        <v>0.6</v>
      </c>
      <c r="N466" cm="1">
        <f t="array" ref="N466">_xlfn.ANCHORARRAY(D466)+0.15</f>
        <v>1.1499999999999999</v>
      </c>
      <c r="O466" cm="1">
        <f t="array" ref="O466">_xlfn.ANCHORARRAY(E466)+0.15</f>
        <v>3.15</v>
      </c>
      <c r="P466" cm="1">
        <f t="array" ref="P466">_xlfn.ANCHORARRAY(F466)+0.15</f>
        <v>4.6500000000000004</v>
      </c>
      <c r="Q466" cm="1">
        <f t="array" ref="Q466">_xlfn.ANCHORARRAY(G466)+0.15</f>
        <v>3.65</v>
      </c>
      <c r="R466" cm="1">
        <f t="array" ref="R466">_xlfn.ANCHORARRAY(H466)</f>
        <v>9.99</v>
      </c>
      <c r="S466" cm="1">
        <f t="array" ref="S466">_xlfn.ANCHORARRAY(R466)+0.15</f>
        <v>10.14</v>
      </c>
      <c r="T466" cm="1">
        <f t="array" ref="T466">_xlfn.ANCHORARRAY(I466)+0.15</f>
        <v>1.1499999999999999</v>
      </c>
      <c r="U466" cm="1">
        <f t="array" ref="U466">_xlfn.ANCHORARRAY(J466)+0.15</f>
        <v>3.15</v>
      </c>
      <c r="V466" cm="1">
        <f t="array" ref="V466">_xlfn.ANCHORARRAY(K466)+0.15</f>
        <v>4.6500000000000004</v>
      </c>
      <c r="W466">
        <f>TBL_TEV[[#This Row],[Etica Rendita Bilanciata]]</f>
        <v>1.6065</v>
      </c>
      <c r="X466">
        <f>TBL_TEV[[#This Row],[Etica Obbligazionario Breve Termine]]</f>
        <v>0.30415599999999998</v>
      </c>
      <c r="Y466">
        <f>TBL_TEV[[#This Row],[Etica Obbligazionario Misto]]</f>
        <v>0.70244700000000004</v>
      </c>
      <c r="Z466">
        <f>TBL_TEV[[#This Row],[Etica Bilanciato]]</f>
        <v>2.4657870000000002</v>
      </c>
      <c r="AA466">
        <f>TBL_TEV[[#This Row],[Etica Azionario]]</f>
        <v>3.5747800000000001</v>
      </c>
      <c r="AB466">
        <f>TBL_TEV[[#This Row],[Etica Transizione Climatica]]</f>
        <v>2.6775530000000001</v>
      </c>
      <c r="AC466">
        <f>TBL_TEV[[#This Row],[Etica Obiettivo Sociale]]</f>
        <v>7.669953733798617</v>
      </c>
      <c r="AD466">
        <f>TBL_TEV[[#This Row],[Etica Conservative Allocation]]</f>
        <v>0.71117799999999998</v>
      </c>
      <c r="AE466">
        <f>TBL_TEV[[#This Row],[Etica Dynamic Allocation]]</f>
        <v>2.3095819999999998</v>
      </c>
      <c r="AF466">
        <f>TBL_TEV[[#This Row],[Etica Global Equity]]</f>
        <v>3.49255</v>
      </c>
      <c r="AL466">
        <f ca="1"/>
        <v>1.589356</v>
      </c>
      <c r="AM466">
        <f ca="1"/>
        <v>0.303203</v>
      </c>
      <c r="AN466">
        <f ca="1"/>
        <v>0.70260599999999995</v>
      </c>
      <c r="AO466">
        <f ca="1"/>
        <v>2.4292760000000002</v>
      </c>
      <c r="AP466">
        <f ca="1"/>
        <v>3.5562070000000001</v>
      </c>
      <c r="AQ466">
        <f ca="1"/>
        <v>2.70581</v>
      </c>
      <c r="AR466">
        <f ca="1"/>
        <v>7.7118155397262704</v>
      </c>
      <c r="AS466">
        <f ca="1"/>
        <v>0.70689199999999996</v>
      </c>
      <c r="AT466">
        <f ca="1"/>
        <v>2.2981530000000001</v>
      </c>
      <c r="AU466">
        <f ca="1"/>
        <v>3.4750890000000001</v>
      </c>
    </row>
    <row r="467" spans="1:47">
      <c r="A467" s="43">
        <f>TBL_TEV[[#This Row],[Data2]]</f>
        <v>45958</v>
      </c>
      <c r="B467" cm="1">
        <f t="array" ref="B467">_xlfn.XLOOKUP(_xlfn.ANCHORARRAY(A467), TBL_Limiti_CDA[Data], TBL_Limiti_CDA[Etica Rendita Bilanciata], , -1)</f>
        <v>2.5</v>
      </c>
      <c r="C467" cm="1">
        <f t="array" ref="C467">_xlfn.XLOOKUP(_xlfn.ANCHORARRAY(A467), TBL_Limiti_CDA[Data], TBL_Limiti_CDA[Etica Obbligazionario Breve Termine], , -1)</f>
        <v>0.5</v>
      </c>
      <c r="D467" cm="1">
        <f t="array" ref="D467">_xlfn.XLOOKUP(_xlfn.ANCHORARRAY(A467), TBL_Limiti_CDA[Data], TBL_Limiti_CDA[Etica Obbligazionario Misto], , -1)</f>
        <v>1</v>
      </c>
      <c r="E467" cm="1">
        <f t="array" ref="E467">_xlfn.XLOOKUP(_xlfn.ANCHORARRAY(A467), TBL_Limiti_CDA[Data], TBL_Limiti_CDA[Etica Bilanciato], , -1)</f>
        <v>3</v>
      </c>
      <c r="F467" cm="1">
        <f t="array" ref="F467">_xlfn.XLOOKUP(_xlfn.ANCHORARRAY(A467), TBL_Limiti_CDA[Data], TBL_Limiti_CDA[Etica Azionario], , -1)</f>
        <v>4.5</v>
      </c>
      <c r="G467" cm="1">
        <f t="array" ref="G467">_xlfn.XLOOKUP(_xlfn.ANCHORARRAY(A467), TBL_Limiti_CDA[Data], TBL_Limiti_CDA[Etica Transizione Climatica], , -1)</f>
        <v>3.5</v>
      </c>
      <c r="H467" cm="1">
        <f t="array" ref="H467">_xlfn.XLOOKUP(_xlfn.ANCHORARRAY(A467), TBL_Limiti_CDA[Data], TBL_Limiti_CDA[Etica Obiettivo Sociale], , -1)</f>
        <v>9.99</v>
      </c>
      <c r="I467" cm="1">
        <f t="array" ref="I467">_xlfn.XLOOKUP(_xlfn.ANCHORARRAY(A467), TBL_Limiti_CDA[Data], TBL_Limiti_CDA[Etica Conservative Allocation], , -1)</f>
        <v>1</v>
      </c>
      <c r="J467" cm="1">
        <f t="array" ref="J467">_xlfn.XLOOKUP(_xlfn.ANCHORARRAY(A467), TBL_Limiti_CDA[Data], TBL_Limiti_CDA[Etica Dynamic Allocation], , -1)</f>
        <v>3</v>
      </c>
      <c r="K467" cm="1">
        <f t="array" ref="K467">_xlfn.XLOOKUP(_xlfn.ANCHORARRAY(A467), TBL_Limiti_CDA[Data], TBL_Limiti_CDA[Etica Global Equity], , -1)</f>
        <v>4.5</v>
      </c>
      <c r="L467" cm="1">
        <f t="array" ref="L467">_xlfn.ANCHORARRAY(B467)+0.15</f>
        <v>2.65</v>
      </c>
      <c r="M467" cm="1">
        <f t="array" ref="M467">_xlfn.ANCHORARRAY(C467)+0.1</f>
        <v>0.6</v>
      </c>
      <c r="N467" cm="1">
        <f t="array" ref="N467">_xlfn.ANCHORARRAY(D467)+0.15</f>
        <v>1.1499999999999999</v>
      </c>
      <c r="O467" cm="1">
        <f t="array" ref="O467">_xlfn.ANCHORARRAY(E467)+0.15</f>
        <v>3.15</v>
      </c>
      <c r="P467" cm="1">
        <f t="array" ref="P467">_xlfn.ANCHORARRAY(F467)+0.15</f>
        <v>4.6500000000000004</v>
      </c>
      <c r="Q467" cm="1">
        <f t="array" ref="Q467">_xlfn.ANCHORARRAY(G467)+0.15</f>
        <v>3.65</v>
      </c>
      <c r="R467" cm="1">
        <f t="array" ref="R467">_xlfn.ANCHORARRAY(H467)</f>
        <v>9.99</v>
      </c>
      <c r="S467" cm="1">
        <f t="array" ref="S467">_xlfn.ANCHORARRAY(R467)+0.15</f>
        <v>10.14</v>
      </c>
      <c r="T467" cm="1">
        <f t="array" ref="T467">_xlfn.ANCHORARRAY(I467)+0.15</f>
        <v>1.1499999999999999</v>
      </c>
      <c r="U467" cm="1">
        <f t="array" ref="U467">_xlfn.ANCHORARRAY(J467)+0.15</f>
        <v>3.15</v>
      </c>
      <c r="V467" cm="1">
        <f t="array" ref="V467">_xlfn.ANCHORARRAY(K467)+0.15</f>
        <v>4.6500000000000004</v>
      </c>
      <c r="W467">
        <f>TBL_TEV[[#This Row],[Etica Rendita Bilanciata]]</f>
        <v>1.589356</v>
      </c>
      <c r="X467">
        <f>TBL_TEV[[#This Row],[Etica Obbligazionario Breve Termine]]</f>
        <v>0.303203</v>
      </c>
      <c r="Y467">
        <f>TBL_TEV[[#This Row],[Etica Obbligazionario Misto]]</f>
        <v>0.70260599999999995</v>
      </c>
      <c r="Z467">
        <f>TBL_TEV[[#This Row],[Etica Bilanciato]]</f>
        <v>2.4292760000000002</v>
      </c>
      <c r="AA467">
        <f>TBL_TEV[[#This Row],[Etica Azionario]]</f>
        <v>3.5562070000000001</v>
      </c>
      <c r="AB467">
        <f>TBL_TEV[[#This Row],[Etica Transizione Climatica]]</f>
        <v>2.70581</v>
      </c>
      <c r="AC467">
        <f>TBL_TEV[[#This Row],[Etica Obiettivo Sociale]]</f>
        <v>7.7118155397262704</v>
      </c>
      <c r="AD467">
        <f>TBL_TEV[[#This Row],[Etica Conservative Allocation]]</f>
        <v>0.70689199999999996</v>
      </c>
      <c r="AE467">
        <f>TBL_TEV[[#This Row],[Etica Dynamic Allocation]]</f>
        <v>2.2981530000000001</v>
      </c>
      <c r="AF467">
        <f>TBL_TEV[[#This Row],[Etica Global Equity]]</f>
        <v>3.4750890000000001</v>
      </c>
      <c r="AL467">
        <f ca="1"/>
        <v>1.5984039999999999</v>
      </c>
      <c r="AM467">
        <f ca="1"/>
        <v>0.30177399999999999</v>
      </c>
      <c r="AN467">
        <f ca="1"/>
        <v>0.706098</v>
      </c>
      <c r="AO467">
        <f ca="1"/>
        <v>2.486583</v>
      </c>
      <c r="AP467">
        <f ca="1"/>
        <v>3.644628</v>
      </c>
      <c r="AQ467">
        <f ca="1"/>
        <v>2.8367749999999998</v>
      </c>
      <c r="AR467">
        <f ca="1"/>
        <v>7.5063141287664159</v>
      </c>
      <c r="AS467">
        <f ca="1"/>
        <v>0.70927300000000004</v>
      </c>
      <c r="AT467">
        <f ca="1"/>
        <v>2.3456169999999998</v>
      </c>
      <c r="AU467">
        <f ca="1"/>
        <v>3.5554139999999999</v>
      </c>
    </row>
    <row r="468" spans="1:47">
      <c r="A468" s="43">
        <f>TBL_TEV[[#This Row],[Data2]]</f>
        <v>45959</v>
      </c>
      <c r="B468" cm="1">
        <f t="array" ref="B468">_xlfn.XLOOKUP(_xlfn.ANCHORARRAY(A468), TBL_Limiti_CDA[Data], TBL_Limiti_CDA[Etica Rendita Bilanciata], , -1)</f>
        <v>2.5</v>
      </c>
      <c r="C468" cm="1">
        <f t="array" ref="C468">_xlfn.XLOOKUP(_xlfn.ANCHORARRAY(A468), TBL_Limiti_CDA[Data], TBL_Limiti_CDA[Etica Obbligazionario Breve Termine], , -1)</f>
        <v>0.5</v>
      </c>
      <c r="D468" cm="1">
        <f t="array" ref="D468">_xlfn.XLOOKUP(_xlfn.ANCHORARRAY(A468), TBL_Limiti_CDA[Data], TBL_Limiti_CDA[Etica Obbligazionario Misto], , -1)</f>
        <v>1</v>
      </c>
      <c r="E468" cm="1">
        <f t="array" ref="E468">_xlfn.XLOOKUP(_xlfn.ANCHORARRAY(A468), TBL_Limiti_CDA[Data], TBL_Limiti_CDA[Etica Bilanciato], , -1)</f>
        <v>3</v>
      </c>
      <c r="F468" cm="1">
        <f t="array" ref="F468">_xlfn.XLOOKUP(_xlfn.ANCHORARRAY(A468), TBL_Limiti_CDA[Data], TBL_Limiti_CDA[Etica Azionario], , -1)</f>
        <v>4.5</v>
      </c>
      <c r="G468" cm="1">
        <f t="array" ref="G468">_xlfn.XLOOKUP(_xlfn.ANCHORARRAY(A468), TBL_Limiti_CDA[Data], TBL_Limiti_CDA[Etica Transizione Climatica], , -1)</f>
        <v>3.5</v>
      </c>
      <c r="H468" cm="1">
        <f t="array" ref="H468">_xlfn.XLOOKUP(_xlfn.ANCHORARRAY(A468), TBL_Limiti_CDA[Data], TBL_Limiti_CDA[Etica Obiettivo Sociale], , -1)</f>
        <v>9.99</v>
      </c>
      <c r="I468" cm="1">
        <f t="array" ref="I468">_xlfn.XLOOKUP(_xlfn.ANCHORARRAY(A468), TBL_Limiti_CDA[Data], TBL_Limiti_CDA[Etica Conservative Allocation], , -1)</f>
        <v>1</v>
      </c>
      <c r="J468" cm="1">
        <f t="array" ref="J468">_xlfn.XLOOKUP(_xlfn.ANCHORARRAY(A468), TBL_Limiti_CDA[Data], TBL_Limiti_CDA[Etica Dynamic Allocation], , -1)</f>
        <v>3</v>
      </c>
      <c r="K468" cm="1">
        <f t="array" ref="K468">_xlfn.XLOOKUP(_xlfn.ANCHORARRAY(A468), TBL_Limiti_CDA[Data], TBL_Limiti_CDA[Etica Global Equity], , -1)</f>
        <v>4.5</v>
      </c>
      <c r="L468" cm="1">
        <f t="array" ref="L468">_xlfn.ANCHORARRAY(B468)+0.15</f>
        <v>2.65</v>
      </c>
      <c r="M468" cm="1">
        <f t="array" ref="M468">_xlfn.ANCHORARRAY(C468)+0.1</f>
        <v>0.6</v>
      </c>
      <c r="N468" cm="1">
        <f t="array" ref="N468">_xlfn.ANCHORARRAY(D468)+0.15</f>
        <v>1.1499999999999999</v>
      </c>
      <c r="O468" cm="1">
        <f t="array" ref="O468">_xlfn.ANCHORARRAY(E468)+0.15</f>
        <v>3.15</v>
      </c>
      <c r="P468" cm="1">
        <f t="array" ref="P468">_xlfn.ANCHORARRAY(F468)+0.15</f>
        <v>4.6500000000000004</v>
      </c>
      <c r="Q468" cm="1">
        <f t="array" ref="Q468">_xlfn.ANCHORARRAY(G468)+0.15</f>
        <v>3.65</v>
      </c>
      <c r="R468" cm="1">
        <f t="array" ref="R468">_xlfn.ANCHORARRAY(H468)</f>
        <v>9.99</v>
      </c>
      <c r="S468" cm="1">
        <f t="array" ref="S468">_xlfn.ANCHORARRAY(R468)+0.15</f>
        <v>10.14</v>
      </c>
      <c r="T468" cm="1">
        <f t="array" ref="T468">_xlfn.ANCHORARRAY(I468)+0.15</f>
        <v>1.1499999999999999</v>
      </c>
      <c r="U468" cm="1">
        <f t="array" ref="U468">_xlfn.ANCHORARRAY(J468)+0.15</f>
        <v>3.15</v>
      </c>
      <c r="V468" cm="1">
        <f t="array" ref="V468">_xlfn.ANCHORARRAY(K468)+0.15</f>
        <v>4.6500000000000004</v>
      </c>
      <c r="W468">
        <f>TBL_TEV[[#This Row],[Etica Rendita Bilanciata]]</f>
        <v>1.5984039999999999</v>
      </c>
      <c r="X468">
        <f>TBL_TEV[[#This Row],[Etica Obbligazionario Breve Termine]]</f>
        <v>0.30177399999999999</v>
      </c>
      <c r="Y468">
        <f>TBL_TEV[[#This Row],[Etica Obbligazionario Misto]]</f>
        <v>0.706098</v>
      </c>
      <c r="Z468">
        <f>TBL_TEV[[#This Row],[Etica Bilanciato]]</f>
        <v>2.486583</v>
      </c>
      <c r="AA468">
        <f>TBL_TEV[[#This Row],[Etica Azionario]]</f>
        <v>3.644628</v>
      </c>
      <c r="AB468">
        <f>TBL_TEV[[#This Row],[Etica Transizione Climatica]]</f>
        <v>2.8367749999999998</v>
      </c>
      <c r="AC468">
        <f>TBL_TEV[[#This Row],[Etica Obiettivo Sociale]]</f>
        <v>7.5063141287664159</v>
      </c>
      <c r="AD468">
        <f>TBL_TEV[[#This Row],[Etica Conservative Allocation]]</f>
        <v>0.70927300000000004</v>
      </c>
      <c r="AE468">
        <f>TBL_TEV[[#This Row],[Etica Dynamic Allocation]]</f>
        <v>2.3456169999999998</v>
      </c>
      <c r="AF468">
        <f>TBL_TEV[[#This Row],[Etica Global Equity]]</f>
        <v>3.5554139999999999</v>
      </c>
      <c r="AL468">
        <f ca="1"/>
        <v>1.6428529999999999</v>
      </c>
      <c r="AM468">
        <f ca="1"/>
        <v>0.30082199999999998</v>
      </c>
      <c r="AN468">
        <f ca="1"/>
        <v>0.81293400000000005</v>
      </c>
      <c r="AO468">
        <f ca="1"/>
        <v>2.4683269999999999</v>
      </c>
      <c r="AP468">
        <f ca="1"/>
        <v>3.6068470000000001</v>
      </c>
      <c r="AQ468">
        <f ca="1"/>
        <v>2.8077239999999999</v>
      </c>
      <c r="AR468">
        <f ca="1"/>
        <v>7.4112472430800924</v>
      </c>
      <c r="AS468">
        <f ca="1"/>
        <v>0.703241</v>
      </c>
      <c r="AT468">
        <f ca="1"/>
        <v>2.3245040000000001</v>
      </c>
      <c r="AU468">
        <f ca="1"/>
        <v>3.5185849999999999</v>
      </c>
    </row>
    <row r="469" spans="1:47">
      <c r="A469" s="43">
        <f>TBL_TEV[[#This Row],[Data2]]</f>
        <v>45960</v>
      </c>
      <c r="B469" cm="1">
        <f t="array" ref="B469">_xlfn.XLOOKUP(_xlfn.ANCHORARRAY(A469), TBL_Limiti_CDA[Data], TBL_Limiti_CDA[Etica Rendita Bilanciata], , -1)</f>
        <v>2.5</v>
      </c>
      <c r="C469" cm="1">
        <f t="array" ref="C469">_xlfn.XLOOKUP(_xlfn.ANCHORARRAY(A469), TBL_Limiti_CDA[Data], TBL_Limiti_CDA[Etica Obbligazionario Breve Termine], , -1)</f>
        <v>0.5</v>
      </c>
      <c r="D469" cm="1">
        <f t="array" ref="D469">_xlfn.XLOOKUP(_xlfn.ANCHORARRAY(A469), TBL_Limiti_CDA[Data], TBL_Limiti_CDA[Etica Obbligazionario Misto], , -1)</f>
        <v>1</v>
      </c>
      <c r="E469" cm="1">
        <f t="array" ref="E469">_xlfn.XLOOKUP(_xlfn.ANCHORARRAY(A469), TBL_Limiti_CDA[Data], TBL_Limiti_CDA[Etica Bilanciato], , -1)</f>
        <v>3</v>
      </c>
      <c r="F469" cm="1">
        <f t="array" ref="F469">_xlfn.XLOOKUP(_xlfn.ANCHORARRAY(A469), TBL_Limiti_CDA[Data], TBL_Limiti_CDA[Etica Azionario], , -1)</f>
        <v>4.5</v>
      </c>
      <c r="G469" cm="1">
        <f t="array" ref="G469">_xlfn.XLOOKUP(_xlfn.ANCHORARRAY(A469), TBL_Limiti_CDA[Data], TBL_Limiti_CDA[Etica Transizione Climatica], , -1)</f>
        <v>3.5</v>
      </c>
      <c r="H469" cm="1">
        <f t="array" ref="H469">_xlfn.XLOOKUP(_xlfn.ANCHORARRAY(A469), TBL_Limiti_CDA[Data], TBL_Limiti_CDA[Etica Obiettivo Sociale], , -1)</f>
        <v>9.99</v>
      </c>
      <c r="I469" cm="1">
        <f t="array" ref="I469">_xlfn.XLOOKUP(_xlfn.ANCHORARRAY(A469), TBL_Limiti_CDA[Data], TBL_Limiti_CDA[Etica Conservative Allocation], , -1)</f>
        <v>1</v>
      </c>
      <c r="J469" cm="1">
        <f t="array" ref="J469">_xlfn.XLOOKUP(_xlfn.ANCHORARRAY(A469), TBL_Limiti_CDA[Data], TBL_Limiti_CDA[Etica Dynamic Allocation], , -1)</f>
        <v>3</v>
      </c>
      <c r="K469" cm="1">
        <f t="array" ref="K469">_xlfn.XLOOKUP(_xlfn.ANCHORARRAY(A469), TBL_Limiti_CDA[Data], TBL_Limiti_CDA[Etica Global Equity], , -1)</f>
        <v>4.5</v>
      </c>
      <c r="L469" cm="1">
        <f t="array" ref="L469">_xlfn.ANCHORARRAY(B469)+0.15</f>
        <v>2.65</v>
      </c>
      <c r="M469" cm="1">
        <f t="array" ref="M469">_xlfn.ANCHORARRAY(C469)+0.1</f>
        <v>0.6</v>
      </c>
      <c r="N469" cm="1">
        <f t="array" ref="N469">_xlfn.ANCHORARRAY(D469)+0.15</f>
        <v>1.1499999999999999</v>
      </c>
      <c r="O469" cm="1">
        <f t="array" ref="O469">_xlfn.ANCHORARRAY(E469)+0.15</f>
        <v>3.15</v>
      </c>
      <c r="P469" cm="1">
        <f t="array" ref="P469">_xlfn.ANCHORARRAY(F469)+0.15</f>
        <v>4.6500000000000004</v>
      </c>
      <c r="Q469" cm="1">
        <f t="array" ref="Q469">_xlfn.ANCHORARRAY(G469)+0.15</f>
        <v>3.65</v>
      </c>
      <c r="R469" cm="1">
        <f t="array" ref="R469">_xlfn.ANCHORARRAY(H469)</f>
        <v>9.99</v>
      </c>
      <c r="S469" cm="1">
        <f t="array" ref="S469">_xlfn.ANCHORARRAY(R469)+0.15</f>
        <v>10.14</v>
      </c>
      <c r="T469" cm="1">
        <f t="array" ref="T469">_xlfn.ANCHORARRAY(I469)+0.15</f>
        <v>1.1499999999999999</v>
      </c>
      <c r="U469" cm="1">
        <f t="array" ref="U469">_xlfn.ANCHORARRAY(J469)+0.15</f>
        <v>3.15</v>
      </c>
      <c r="V469" cm="1">
        <f t="array" ref="V469">_xlfn.ANCHORARRAY(K469)+0.15</f>
        <v>4.6500000000000004</v>
      </c>
      <c r="W469">
        <f>TBL_TEV[[#This Row],[Etica Rendita Bilanciata]]</f>
        <v>1.6428529999999999</v>
      </c>
      <c r="X469">
        <f>TBL_TEV[[#This Row],[Etica Obbligazionario Breve Termine]]</f>
        <v>0.30082199999999998</v>
      </c>
      <c r="Y469">
        <f>TBL_TEV[[#This Row],[Etica Obbligazionario Misto]]</f>
        <v>0.81293400000000005</v>
      </c>
      <c r="Z469">
        <f>TBL_TEV[[#This Row],[Etica Bilanciato]]</f>
        <v>2.4683269999999999</v>
      </c>
      <c r="AA469">
        <f>TBL_TEV[[#This Row],[Etica Azionario]]</f>
        <v>3.6068470000000001</v>
      </c>
      <c r="AB469">
        <f>TBL_TEV[[#This Row],[Etica Transizione Climatica]]</f>
        <v>2.8077239999999999</v>
      </c>
      <c r="AC469">
        <f>TBL_TEV[[#This Row],[Etica Obiettivo Sociale]]</f>
        <v>7.4112472430800924</v>
      </c>
      <c r="AD469">
        <f>TBL_TEV[[#This Row],[Etica Conservative Allocation]]</f>
        <v>0.703241</v>
      </c>
      <c r="AE469">
        <f>TBL_TEV[[#This Row],[Etica Dynamic Allocation]]</f>
        <v>2.3245040000000001</v>
      </c>
      <c r="AF469">
        <f>TBL_TEV[[#This Row],[Etica Global Equity]]</f>
        <v>3.5185849999999999</v>
      </c>
      <c r="AL469">
        <f ca="1"/>
        <v>1.6220570000000001</v>
      </c>
      <c r="AM469">
        <f ca="1"/>
        <v>0.26986700000000002</v>
      </c>
      <c r="AN469">
        <f ca="1"/>
        <v>0.78705800000000004</v>
      </c>
      <c r="AO469">
        <f ca="1"/>
        <v>2.4391180000000001</v>
      </c>
      <c r="AP469">
        <f ca="1"/>
        <v>3.5727169999999999</v>
      </c>
      <c r="AQ469">
        <f ca="1"/>
        <v>2.7881990000000001</v>
      </c>
      <c r="AR469">
        <f ca="1"/>
        <v>7.5359521020168021</v>
      </c>
      <c r="AS469">
        <f ca="1"/>
        <v>0.68784199999999995</v>
      </c>
      <c r="AT469">
        <f ca="1"/>
        <v>2.3333940000000002</v>
      </c>
      <c r="AU469">
        <f ca="1"/>
        <v>3.5362049999999998</v>
      </c>
    </row>
    <row r="470" spans="1:47">
      <c r="A470" s="43">
        <f>TBL_TEV[[#This Row],[Data2]]</f>
        <v>45961</v>
      </c>
      <c r="B470" cm="1">
        <f t="array" ref="B470">_xlfn.XLOOKUP(_xlfn.ANCHORARRAY(A470), TBL_Limiti_CDA[Data], TBL_Limiti_CDA[Etica Rendita Bilanciata], , -1)</f>
        <v>2.5</v>
      </c>
      <c r="C470" cm="1">
        <f t="array" ref="C470">_xlfn.XLOOKUP(_xlfn.ANCHORARRAY(A470), TBL_Limiti_CDA[Data], TBL_Limiti_CDA[Etica Obbligazionario Breve Termine], , -1)</f>
        <v>0.5</v>
      </c>
      <c r="D470" cm="1">
        <f t="array" ref="D470">_xlfn.XLOOKUP(_xlfn.ANCHORARRAY(A470), TBL_Limiti_CDA[Data], TBL_Limiti_CDA[Etica Obbligazionario Misto], , -1)</f>
        <v>1</v>
      </c>
      <c r="E470" cm="1">
        <f t="array" ref="E470">_xlfn.XLOOKUP(_xlfn.ANCHORARRAY(A470), TBL_Limiti_CDA[Data], TBL_Limiti_CDA[Etica Bilanciato], , -1)</f>
        <v>3</v>
      </c>
      <c r="F470" cm="1">
        <f t="array" ref="F470">_xlfn.XLOOKUP(_xlfn.ANCHORARRAY(A470), TBL_Limiti_CDA[Data], TBL_Limiti_CDA[Etica Azionario], , -1)</f>
        <v>4.5</v>
      </c>
      <c r="G470" cm="1">
        <f t="array" ref="G470">_xlfn.XLOOKUP(_xlfn.ANCHORARRAY(A470), TBL_Limiti_CDA[Data], TBL_Limiti_CDA[Etica Transizione Climatica], , -1)</f>
        <v>3.5</v>
      </c>
      <c r="H470" cm="1">
        <f t="array" ref="H470">_xlfn.XLOOKUP(_xlfn.ANCHORARRAY(A470), TBL_Limiti_CDA[Data], TBL_Limiti_CDA[Etica Obiettivo Sociale], , -1)</f>
        <v>9.99</v>
      </c>
      <c r="I470" cm="1">
        <f t="array" ref="I470">_xlfn.XLOOKUP(_xlfn.ANCHORARRAY(A470), TBL_Limiti_CDA[Data], TBL_Limiti_CDA[Etica Conservative Allocation], , -1)</f>
        <v>1</v>
      </c>
      <c r="J470" cm="1">
        <f t="array" ref="J470">_xlfn.XLOOKUP(_xlfn.ANCHORARRAY(A470), TBL_Limiti_CDA[Data], TBL_Limiti_CDA[Etica Dynamic Allocation], , -1)</f>
        <v>3</v>
      </c>
      <c r="K470" cm="1">
        <f t="array" ref="K470">_xlfn.XLOOKUP(_xlfn.ANCHORARRAY(A470), TBL_Limiti_CDA[Data], TBL_Limiti_CDA[Etica Global Equity], , -1)</f>
        <v>4.5</v>
      </c>
      <c r="L470" cm="1">
        <f t="array" ref="L470">_xlfn.ANCHORARRAY(B470)+0.15</f>
        <v>2.65</v>
      </c>
      <c r="M470" cm="1">
        <f t="array" ref="M470">_xlfn.ANCHORARRAY(C470)+0.1</f>
        <v>0.6</v>
      </c>
      <c r="N470" cm="1">
        <f t="array" ref="N470">_xlfn.ANCHORARRAY(D470)+0.15</f>
        <v>1.1499999999999999</v>
      </c>
      <c r="O470" cm="1">
        <f t="array" ref="O470">_xlfn.ANCHORARRAY(E470)+0.15</f>
        <v>3.15</v>
      </c>
      <c r="P470" cm="1">
        <f t="array" ref="P470">_xlfn.ANCHORARRAY(F470)+0.15</f>
        <v>4.6500000000000004</v>
      </c>
      <c r="Q470" cm="1">
        <f t="array" ref="Q470">_xlfn.ANCHORARRAY(G470)+0.15</f>
        <v>3.65</v>
      </c>
      <c r="R470" cm="1">
        <f t="array" ref="R470">_xlfn.ANCHORARRAY(H470)</f>
        <v>9.99</v>
      </c>
      <c r="S470" cm="1">
        <f t="array" ref="S470">_xlfn.ANCHORARRAY(R470)+0.15</f>
        <v>10.14</v>
      </c>
      <c r="T470" cm="1">
        <f t="array" ref="T470">_xlfn.ANCHORARRAY(I470)+0.15</f>
        <v>1.1499999999999999</v>
      </c>
      <c r="U470" cm="1">
        <f t="array" ref="U470">_xlfn.ANCHORARRAY(J470)+0.15</f>
        <v>3.15</v>
      </c>
      <c r="V470" cm="1">
        <f t="array" ref="V470">_xlfn.ANCHORARRAY(K470)+0.15</f>
        <v>4.6500000000000004</v>
      </c>
      <c r="W470">
        <f>TBL_TEV[[#This Row],[Etica Rendita Bilanciata]]</f>
        <v>1.6220570000000001</v>
      </c>
      <c r="X470">
        <f>TBL_TEV[[#This Row],[Etica Obbligazionario Breve Termine]]</f>
        <v>0.26986700000000002</v>
      </c>
      <c r="Y470">
        <f>TBL_TEV[[#This Row],[Etica Obbligazionario Misto]]</f>
        <v>0.78705800000000004</v>
      </c>
      <c r="Z470">
        <f>TBL_TEV[[#This Row],[Etica Bilanciato]]</f>
        <v>2.4391180000000001</v>
      </c>
      <c r="AA470">
        <f>TBL_TEV[[#This Row],[Etica Azionario]]</f>
        <v>3.5727169999999999</v>
      </c>
      <c r="AB470">
        <f>TBL_TEV[[#This Row],[Etica Transizione Climatica]]</f>
        <v>2.7881990000000001</v>
      </c>
      <c r="AC470">
        <f>TBL_TEV[[#This Row],[Etica Obiettivo Sociale]]</f>
        <v>7.5359521020168021</v>
      </c>
      <c r="AD470">
        <f>TBL_TEV[[#This Row],[Etica Conservative Allocation]]</f>
        <v>0.68784199999999995</v>
      </c>
      <c r="AE470">
        <f>TBL_TEV[[#This Row],[Etica Dynamic Allocation]]</f>
        <v>2.3333940000000002</v>
      </c>
      <c r="AF470">
        <f>TBL_TEV[[#This Row],[Etica Global Equity]]</f>
        <v>3.5362049999999998</v>
      </c>
      <c r="AL470">
        <f ca="1"/>
        <v>1.6152310000000001</v>
      </c>
      <c r="AM470">
        <f ca="1"/>
        <v>0.265739</v>
      </c>
      <c r="AN470">
        <f ca="1"/>
        <v>0.78166100000000005</v>
      </c>
      <c r="AO470">
        <f ca="1"/>
        <v>2.4329269999999998</v>
      </c>
      <c r="AP470">
        <f ca="1"/>
        <v>3.56351</v>
      </c>
      <c r="AQ470">
        <f ca="1"/>
        <v>2.8377270000000001</v>
      </c>
      <c r="AR470">
        <f ca="1"/>
        <v>7.5459071693320814</v>
      </c>
      <c r="AS470">
        <f ca="1"/>
        <v>0.67942899999999995</v>
      </c>
      <c r="AT470">
        <f ca="1"/>
        <v>2.302915</v>
      </c>
      <c r="AU470">
        <f ca="1"/>
        <v>3.4852479999999999</v>
      </c>
    </row>
    <row r="471" spans="1:47">
      <c r="A471" s="43">
        <f>TBL_TEV[[#This Row],[Data2]]</f>
        <v>45964</v>
      </c>
      <c r="B471" cm="1">
        <f t="array" ref="B471">_xlfn.XLOOKUP(_xlfn.ANCHORARRAY(A471), TBL_Limiti_CDA[Data], TBL_Limiti_CDA[Etica Rendita Bilanciata], , -1)</f>
        <v>2.5</v>
      </c>
      <c r="C471" cm="1">
        <f t="array" ref="C471">_xlfn.XLOOKUP(_xlfn.ANCHORARRAY(A471), TBL_Limiti_CDA[Data], TBL_Limiti_CDA[Etica Obbligazionario Breve Termine], , -1)</f>
        <v>0.5</v>
      </c>
      <c r="D471" cm="1">
        <f t="array" ref="D471">_xlfn.XLOOKUP(_xlfn.ANCHORARRAY(A471), TBL_Limiti_CDA[Data], TBL_Limiti_CDA[Etica Obbligazionario Misto], , -1)</f>
        <v>1</v>
      </c>
      <c r="E471" cm="1">
        <f t="array" ref="E471">_xlfn.XLOOKUP(_xlfn.ANCHORARRAY(A471), TBL_Limiti_CDA[Data], TBL_Limiti_CDA[Etica Bilanciato], , -1)</f>
        <v>3</v>
      </c>
      <c r="F471" cm="1">
        <f t="array" ref="F471">_xlfn.XLOOKUP(_xlfn.ANCHORARRAY(A471), TBL_Limiti_CDA[Data], TBL_Limiti_CDA[Etica Azionario], , -1)</f>
        <v>4.5</v>
      </c>
      <c r="G471" cm="1">
        <f t="array" ref="G471">_xlfn.XLOOKUP(_xlfn.ANCHORARRAY(A471), TBL_Limiti_CDA[Data], TBL_Limiti_CDA[Etica Transizione Climatica], , -1)</f>
        <v>3.5</v>
      </c>
      <c r="H471" cm="1">
        <f t="array" ref="H471">_xlfn.XLOOKUP(_xlfn.ANCHORARRAY(A471), TBL_Limiti_CDA[Data], TBL_Limiti_CDA[Etica Obiettivo Sociale], , -1)</f>
        <v>9.99</v>
      </c>
      <c r="I471" cm="1">
        <f t="array" ref="I471">_xlfn.XLOOKUP(_xlfn.ANCHORARRAY(A471), TBL_Limiti_CDA[Data], TBL_Limiti_CDA[Etica Conservative Allocation], , -1)</f>
        <v>1</v>
      </c>
      <c r="J471" cm="1">
        <f t="array" ref="J471">_xlfn.XLOOKUP(_xlfn.ANCHORARRAY(A471), TBL_Limiti_CDA[Data], TBL_Limiti_CDA[Etica Dynamic Allocation], , -1)</f>
        <v>3</v>
      </c>
      <c r="K471" cm="1">
        <f t="array" ref="K471">_xlfn.XLOOKUP(_xlfn.ANCHORARRAY(A471), TBL_Limiti_CDA[Data], TBL_Limiti_CDA[Etica Global Equity], , -1)</f>
        <v>4.5</v>
      </c>
      <c r="L471" cm="1">
        <f t="array" ref="L471">_xlfn.ANCHORARRAY(B471)+0.15</f>
        <v>2.65</v>
      </c>
      <c r="M471" cm="1">
        <f t="array" ref="M471">_xlfn.ANCHORARRAY(C471)+0.1</f>
        <v>0.6</v>
      </c>
      <c r="N471" cm="1">
        <f t="array" ref="N471">_xlfn.ANCHORARRAY(D471)+0.15</f>
        <v>1.1499999999999999</v>
      </c>
      <c r="O471" cm="1">
        <f t="array" ref="O471">_xlfn.ANCHORARRAY(E471)+0.15</f>
        <v>3.15</v>
      </c>
      <c r="P471" cm="1">
        <f t="array" ref="P471">_xlfn.ANCHORARRAY(F471)+0.15</f>
        <v>4.6500000000000004</v>
      </c>
      <c r="Q471" cm="1">
        <f t="array" ref="Q471">_xlfn.ANCHORARRAY(G471)+0.15</f>
        <v>3.65</v>
      </c>
      <c r="R471" cm="1">
        <f t="array" ref="R471">_xlfn.ANCHORARRAY(H471)</f>
        <v>9.99</v>
      </c>
      <c r="S471" cm="1">
        <f t="array" ref="S471">_xlfn.ANCHORARRAY(R471)+0.15</f>
        <v>10.14</v>
      </c>
      <c r="T471" cm="1">
        <f t="array" ref="T471">_xlfn.ANCHORARRAY(I471)+0.15</f>
        <v>1.1499999999999999</v>
      </c>
      <c r="U471" cm="1">
        <f t="array" ref="U471">_xlfn.ANCHORARRAY(J471)+0.15</f>
        <v>3.15</v>
      </c>
      <c r="V471" cm="1">
        <f t="array" ref="V471">_xlfn.ANCHORARRAY(K471)+0.15</f>
        <v>4.6500000000000004</v>
      </c>
      <c r="W471">
        <f>TBL_TEV[[#This Row],[Etica Rendita Bilanciata]]</f>
        <v>1.6152310000000001</v>
      </c>
      <c r="X471">
        <f>TBL_TEV[[#This Row],[Etica Obbligazionario Breve Termine]]</f>
        <v>0.265739</v>
      </c>
      <c r="Y471">
        <f>TBL_TEV[[#This Row],[Etica Obbligazionario Misto]]</f>
        <v>0.78166100000000005</v>
      </c>
      <c r="Z471">
        <f>TBL_TEV[[#This Row],[Etica Bilanciato]]</f>
        <v>2.4329269999999998</v>
      </c>
      <c r="AA471">
        <f>TBL_TEV[[#This Row],[Etica Azionario]]</f>
        <v>3.56351</v>
      </c>
      <c r="AB471">
        <f>TBL_TEV[[#This Row],[Etica Transizione Climatica]]</f>
        <v>2.8377270000000001</v>
      </c>
      <c r="AC471">
        <f>TBL_TEV[[#This Row],[Etica Obiettivo Sociale]]</f>
        <v>7.5459071693320814</v>
      </c>
      <c r="AD471">
        <f>TBL_TEV[[#This Row],[Etica Conservative Allocation]]</f>
        <v>0.67942899999999995</v>
      </c>
      <c r="AE471">
        <f>TBL_TEV[[#This Row],[Etica Dynamic Allocation]]</f>
        <v>2.302915</v>
      </c>
      <c r="AF471">
        <f>TBL_TEV[[#This Row],[Etica Global Equity]]</f>
        <v>3.4852479999999999</v>
      </c>
      <c r="AL471">
        <f ca="1"/>
        <v>1.5984039999999999</v>
      </c>
      <c r="AM471">
        <f ca="1"/>
        <v>0.26446900000000001</v>
      </c>
      <c r="AN471">
        <f ca="1"/>
        <v>0.77785099999999996</v>
      </c>
      <c r="AO471">
        <f ca="1"/>
        <v>2.4057819999999999</v>
      </c>
      <c r="AP471">
        <f ca="1"/>
        <v>3.5254110000000001</v>
      </c>
      <c r="AQ471">
        <f ca="1"/>
        <v>2.7959770000000002</v>
      </c>
      <c r="AR471">
        <f ca="1"/>
        <v>7.3724681882319798</v>
      </c>
      <c r="AS471">
        <f ca="1"/>
        <v>0.67276199999999997</v>
      </c>
      <c r="AT471">
        <f ca="1"/>
        <v>2.2644989999999998</v>
      </c>
      <c r="AU471">
        <f ca="1"/>
        <v>3.3857149999999998</v>
      </c>
    </row>
    <row r="472" spans="1:47">
      <c r="A472" s="43">
        <f>TBL_TEV[[#This Row],[Data2]]</f>
        <v>45965</v>
      </c>
      <c r="B472" cm="1">
        <f t="array" ref="B472">_xlfn.XLOOKUP(_xlfn.ANCHORARRAY(A472), TBL_Limiti_CDA[Data], TBL_Limiti_CDA[Etica Rendita Bilanciata], , -1)</f>
        <v>2.5</v>
      </c>
      <c r="C472" cm="1">
        <f t="array" ref="C472">_xlfn.XLOOKUP(_xlfn.ANCHORARRAY(A472), TBL_Limiti_CDA[Data], TBL_Limiti_CDA[Etica Obbligazionario Breve Termine], , -1)</f>
        <v>0.5</v>
      </c>
      <c r="D472" cm="1">
        <f t="array" ref="D472">_xlfn.XLOOKUP(_xlfn.ANCHORARRAY(A472), TBL_Limiti_CDA[Data], TBL_Limiti_CDA[Etica Obbligazionario Misto], , -1)</f>
        <v>1</v>
      </c>
      <c r="E472" cm="1">
        <f t="array" ref="E472">_xlfn.XLOOKUP(_xlfn.ANCHORARRAY(A472), TBL_Limiti_CDA[Data], TBL_Limiti_CDA[Etica Bilanciato], , -1)</f>
        <v>3</v>
      </c>
      <c r="F472" cm="1">
        <f t="array" ref="F472">_xlfn.XLOOKUP(_xlfn.ANCHORARRAY(A472), TBL_Limiti_CDA[Data], TBL_Limiti_CDA[Etica Azionario], , -1)</f>
        <v>4.5</v>
      </c>
      <c r="G472" cm="1">
        <f t="array" ref="G472">_xlfn.XLOOKUP(_xlfn.ANCHORARRAY(A472), TBL_Limiti_CDA[Data], TBL_Limiti_CDA[Etica Transizione Climatica], , -1)</f>
        <v>3.5</v>
      </c>
      <c r="H472" cm="1">
        <f t="array" ref="H472">_xlfn.XLOOKUP(_xlfn.ANCHORARRAY(A472), TBL_Limiti_CDA[Data], TBL_Limiti_CDA[Etica Obiettivo Sociale], , -1)</f>
        <v>9.99</v>
      </c>
      <c r="I472" cm="1">
        <f t="array" ref="I472">_xlfn.XLOOKUP(_xlfn.ANCHORARRAY(A472), TBL_Limiti_CDA[Data], TBL_Limiti_CDA[Etica Conservative Allocation], , -1)</f>
        <v>1</v>
      </c>
      <c r="J472" cm="1">
        <f t="array" ref="J472">_xlfn.XLOOKUP(_xlfn.ANCHORARRAY(A472), TBL_Limiti_CDA[Data], TBL_Limiti_CDA[Etica Dynamic Allocation], , -1)</f>
        <v>3</v>
      </c>
      <c r="K472" cm="1">
        <f t="array" ref="K472">_xlfn.XLOOKUP(_xlfn.ANCHORARRAY(A472), TBL_Limiti_CDA[Data], TBL_Limiti_CDA[Etica Global Equity], , -1)</f>
        <v>4.5</v>
      </c>
      <c r="L472" cm="1">
        <f t="array" ref="L472">_xlfn.ANCHORARRAY(B472)+0.15</f>
        <v>2.65</v>
      </c>
      <c r="M472" cm="1">
        <f t="array" ref="M472">_xlfn.ANCHORARRAY(C472)+0.1</f>
        <v>0.6</v>
      </c>
      <c r="N472" cm="1">
        <f t="array" ref="N472">_xlfn.ANCHORARRAY(D472)+0.15</f>
        <v>1.1499999999999999</v>
      </c>
      <c r="O472" cm="1">
        <f t="array" ref="O472">_xlfn.ANCHORARRAY(E472)+0.15</f>
        <v>3.15</v>
      </c>
      <c r="P472" cm="1">
        <f t="array" ref="P472">_xlfn.ANCHORARRAY(F472)+0.15</f>
        <v>4.6500000000000004</v>
      </c>
      <c r="Q472" cm="1">
        <f t="array" ref="Q472">_xlfn.ANCHORARRAY(G472)+0.15</f>
        <v>3.65</v>
      </c>
      <c r="R472" cm="1">
        <f t="array" ref="R472">_xlfn.ANCHORARRAY(H472)</f>
        <v>9.99</v>
      </c>
      <c r="S472" cm="1">
        <f t="array" ref="S472">_xlfn.ANCHORARRAY(R472)+0.15</f>
        <v>10.14</v>
      </c>
      <c r="T472" cm="1">
        <f t="array" ref="T472">_xlfn.ANCHORARRAY(I472)+0.15</f>
        <v>1.1499999999999999</v>
      </c>
      <c r="U472" cm="1">
        <f t="array" ref="U472">_xlfn.ANCHORARRAY(J472)+0.15</f>
        <v>3.15</v>
      </c>
      <c r="V472" cm="1">
        <f t="array" ref="V472">_xlfn.ANCHORARRAY(K472)+0.15</f>
        <v>4.6500000000000004</v>
      </c>
      <c r="W472">
        <f>TBL_TEV[[#This Row],[Etica Rendita Bilanciata]]</f>
        <v>1.5984039999999999</v>
      </c>
      <c r="X472">
        <f>TBL_TEV[[#This Row],[Etica Obbligazionario Breve Termine]]</f>
        <v>0.26446900000000001</v>
      </c>
      <c r="Y472">
        <f>TBL_TEV[[#This Row],[Etica Obbligazionario Misto]]</f>
        <v>0.77785099999999996</v>
      </c>
      <c r="Z472">
        <f>TBL_TEV[[#This Row],[Etica Bilanciato]]</f>
        <v>2.4057819999999999</v>
      </c>
      <c r="AA472">
        <f>TBL_TEV[[#This Row],[Etica Azionario]]</f>
        <v>3.5254110000000001</v>
      </c>
      <c r="AB472">
        <f>TBL_TEV[[#This Row],[Etica Transizione Climatica]]</f>
        <v>2.7959770000000002</v>
      </c>
      <c r="AC472">
        <f>TBL_TEV[[#This Row],[Etica Obiettivo Sociale]]</f>
        <v>7.3724681882319798</v>
      </c>
      <c r="AD472">
        <f>TBL_TEV[[#This Row],[Etica Conservative Allocation]]</f>
        <v>0.67276199999999997</v>
      </c>
      <c r="AE472">
        <f>TBL_TEV[[#This Row],[Etica Dynamic Allocation]]</f>
        <v>2.2644989999999998</v>
      </c>
      <c r="AF472">
        <f>TBL_TEV[[#This Row],[Etica Global Equity]]</f>
        <v>3.3857149999999998</v>
      </c>
      <c r="AL472">
        <f ca="1"/>
        <v>1.608088</v>
      </c>
      <c r="AM472">
        <f ca="1"/>
        <v>0.26256400000000002</v>
      </c>
      <c r="AN472">
        <f ca="1"/>
        <v>0.76404000000000005</v>
      </c>
      <c r="AO472">
        <f ca="1"/>
        <v>2.4340380000000001</v>
      </c>
      <c r="AP472">
        <f ca="1"/>
        <v>3.5590649999999999</v>
      </c>
      <c r="AQ472">
        <f ca="1"/>
        <v>2.7945479999999998</v>
      </c>
      <c r="AR472">
        <f ca="1"/>
        <v>7.1796115289589615</v>
      </c>
      <c r="AS472">
        <f ca="1"/>
        <v>0.67355500000000001</v>
      </c>
      <c r="AT472">
        <f ca="1"/>
        <v>2.2716419999999999</v>
      </c>
      <c r="AU472">
        <f ca="1"/>
        <v>3.5558900000000002</v>
      </c>
    </row>
    <row r="473" spans="1:47">
      <c r="A473" s="43">
        <f>TBL_TEV[[#This Row],[Data2]]</f>
        <v>45966</v>
      </c>
      <c r="B473" cm="1">
        <f t="array" ref="B473">_xlfn.XLOOKUP(_xlfn.ANCHORARRAY(A473), TBL_Limiti_CDA[Data], TBL_Limiti_CDA[Etica Rendita Bilanciata], , -1)</f>
        <v>2.5</v>
      </c>
      <c r="C473" cm="1">
        <f t="array" ref="C473">_xlfn.XLOOKUP(_xlfn.ANCHORARRAY(A473), TBL_Limiti_CDA[Data], TBL_Limiti_CDA[Etica Obbligazionario Breve Termine], , -1)</f>
        <v>0.5</v>
      </c>
      <c r="D473" cm="1">
        <f t="array" ref="D473">_xlfn.XLOOKUP(_xlfn.ANCHORARRAY(A473), TBL_Limiti_CDA[Data], TBL_Limiti_CDA[Etica Obbligazionario Misto], , -1)</f>
        <v>1</v>
      </c>
      <c r="E473" cm="1">
        <f t="array" ref="E473">_xlfn.XLOOKUP(_xlfn.ANCHORARRAY(A473), TBL_Limiti_CDA[Data], TBL_Limiti_CDA[Etica Bilanciato], , -1)</f>
        <v>3</v>
      </c>
      <c r="F473" cm="1">
        <f t="array" ref="F473">_xlfn.XLOOKUP(_xlfn.ANCHORARRAY(A473), TBL_Limiti_CDA[Data], TBL_Limiti_CDA[Etica Azionario], , -1)</f>
        <v>4.5</v>
      </c>
      <c r="G473" cm="1">
        <f t="array" ref="G473">_xlfn.XLOOKUP(_xlfn.ANCHORARRAY(A473), TBL_Limiti_CDA[Data], TBL_Limiti_CDA[Etica Transizione Climatica], , -1)</f>
        <v>3.5</v>
      </c>
      <c r="H473" cm="1">
        <f t="array" ref="H473">_xlfn.XLOOKUP(_xlfn.ANCHORARRAY(A473), TBL_Limiti_CDA[Data], TBL_Limiti_CDA[Etica Obiettivo Sociale], , -1)</f>
        <v>9.99</v>
      </c>
      <c r="I473" cm="1">
        <f t="array" ref="I473">_xlfn.XLOOKUP(_xlfn.ANCHORARRAY(A473), TBL_Limiti_CDA[Data], TBL_Limiti_CDA[Etica Conservative Allocation], , -1)</f>
        <v>1</v>
      </c>
      <c r="J473" cm="1">
        <f t="array" ref="J473">_xlfn.XLOOKUP(_xlfn.ANCHORARRAY(A473), TBL_Limiti_CDA[Data], TBL_Limiti_CDA[Etica Dynamic Allocation], , -1)</f>
        <v>3</v>
      </c>
      <c r="K473" cm="1">
        <f t="array" ref="K473">_xlfn.XLOOKUP(_xlfn.ANCHORARRAY(A473), TBL_Limiti_CDA[Data], TBL_Limiti_CDA[Etica Global Equity], , -1)</f>
        <v>4.5</v>
      </c>
      <c r="L473" cm="1">
        <f t="array" ref="L473">_xlfn.ANCHORARRAY(B473)+0.15</f>
        <v>2.65</v>
      </c>
      <c r="M473" cm="1">
        <f t="array" ref="M473">_xlfn.ANCHORARRAY(C473)+0.1</f>
        <v>0.6</v>
      </c>
      <c r="N473" cm="1">
        <f t="array" ref="N473">_xlfn.ANCHORARRAY(D473)+0.15</f>
        <v>1.1499999999999999</v>
      </c>
      <c r="O473" cm="1">
        <f t="array" ref="O473">_xlfn.ANCHORARRAY(E473)+0.15</f>
        <v>3.15</v>
      </c>
      <c r="P473" cm="1">
        <f t="array" ref="P473">_xlfn.ANCHORARRAY(F473)+0.15</f>
        <v>4.6500000000000004</v>
      </c>
      <c r="Q473" cm="1">
        <f t="array" ref="Q473">_xlfn.ANCHORARRAY(G473)+0.15</f>
        <v>3.65</v>
      </c>
      <c r="R473" cm="1">
        <f t="array" ref="R473">_xlfn.ANCHORARRAY(H473)</f>
        <v>9.99</v>
      </c>
      <c r="S473" cm="1">
        <f t="array" ref="S473">_xlfn.ANCHORARRAY(R473)+0.15</f>
        <v>10.14</v>
      </c>
      <c r="T473" cm="1">
        <f t="array" ref="T473">_xlfn.ANCHORARRAY(I473)+0.15</f>
        <v>1.1499999999999999</v>
      </c>
      <c r="U473" cm="1">
        <f t="array" ref="U473">_xlfn.ANCHORARRAY(J473)+0.15</f>
        <v>3.15</v>
      </c>
      <c r="V473" cm="1">
        <f t="array" ref="V473">_xlfn.ANCHORARRAY(K473)+0.15</f>
        <v>4.6500000000000004</v>
      </c>
      <c r="W473">
        <f>TBL_TEV[[#This Row],[Etica Rendita Bilanciata]]</f>
        <v>1.608088</v>
      </c>
      <c r="X473">
        <f>TBL_TEV[[#This Row],[Etica Obbligazionario Breve Termine]]</f>
        <v>0.26256400000000002</v>
      </c>
      <c r="Y473">
        <f>TBL_TEV[[#This Row],[Etica Obbligazionario Misto]]</f>
        <v>0.76404000000000005</v>
      </c>
      <c r="Z473">
        <f>TBL_TEV[[#This Row],[Etica Bilanciato]]</f>
        <v>2.4340380000000001</v>
      </c>
      <c r="AA473">
        <f>TBL_TEV[[#This Row],[Etica Azionario]]</f>
        <v>3.5590649999999999</v>
      </c>
      <c r="AB473">
        <f>TBL_TEV[[#This Row],[Etica Transizione Climatica]]</f>
        <v>2.7945479999999998</v>
      </c>
      <c r="AC473">
        <f>TBL_TEV[[#This Row],[Etica Obiettivo Sociale]]</f>
        <v>7.1796115289589615</v>
      </c>
      <c r="AD473">
        <f>TBL_TEV[[#This Row],[Etica Conservative Allocation]]</f>
        <v>0.67355500000000001</v>
      </c>
      <c r="AE473">
        <f>TBL_TEV[[#This Row],[Etica Dynamic Allocation]]</f>
        <v>2.2716419999999999</v>
      </c>
      <c r="AF473">
        <f>TBL_TEV[[#This Row],[Etica Global Equity]]</f>
        <v>3.5558900000000002</v>
      </c>
      <c r="AL473">
        <f ca="1"/>
        <v>1.605389</v>
      </c>
      <c r="AM473">
        <f ca="1"/>
        <v>0.26113599999999998</v>
      </c>
      <c r="AN473">
        <f ca="1"/>
        <v>0.80086900000000005</v>
      </c>
      <c r="AO473">
        <f ca="1"/>
        <v>2.42245</v>
      </c>
      <c r="AP473">
        <f ca="1"/>
        <v>3.5169969999999999</v>
      </c>
      <c r="AQ473">
        <f ca="1"/>
        <v>2.7442259999999998</v>
      </c>
      <c r="AR473">
        <f ca="1"/>
        <v>7.01312907666986</v>
      </c>
      <c r="AS473">
        <f ca="1"/>
        <v>0.67990499999999998</v>
      </c>
      <c r="AT473">
        <f ca="1"/>
        <v>2.2732299999999999</v>
      </c>
      <c r="AU473">
        <f ca="1"/>
        <v>3.5006460000000001</v>
      </c>
    </row>
    <row r="474" spans="1:47">
      <c r="A474" s="43">
        <f>TBL_TEV[[#This Row],[Data2]]</f>
        <v>45967</v>
      </c>
      <c r="B474" cm="1">
        <f t="array" ref="B474">_xlfn.XLOOKUP(_xlfn.ANCHORARRAY(A474), TBL_Limiti_CDA[Data], TBL_Limiti_CDA[Etica Rendita Bilanciata], , -1)</f>
        <v>2.5</v>
      </c>
      <c r="C474" cm="1">
        <f t="array" ref="C474">_xlfn.XLOOKUP(_xlfn.ANCHORARRAY(A474), TBL_Limiti_CDA[Data], TBL_Limiti_CDA[Etica Obbligazionario Breve Termine], , -1)</f>
        <v>0.5</v>
      </c>
      <c r="D474" cm="1">
        <f t="array" ref="D474">_xlfn.XLOOKUP(_xlfn.ANCHORARRAY(A474), TBL_Limiti_CDA[Data], TBL_Limiti_CDA[Etica Obbligazionario Misto], , -1)</f>
        <v>1</v>
      </c>
      <c r="E474" cm="1">
        <f t="array" ref="E474">_xlfn.XLOOKUP(_xlfn.ANCHORARRAY(A474), TBL_Limiti_CDA[Data], TBL_Limiti_CDA[Etica Bilanciato], , -1)</f>
        <v>3</v>
      </c>
      <c r="F474" cm="1">
        <f t="array" ref="F474">_xlfn.XLOOKUP(_xlfn.ANCHORARRAY(A474), TBL_Limiti_CDA[Data], TBL_Limiti_CDA[Etica Azionario], , -1)</f>
        <v>4.5</v>
      </c>
      <c r="G474" cm="1">
        <f t="array" ref="G474">_xlfn.XLOOKUP(_xlfn.ANCHORARRAY(A474), TBL_Limiti_CDA[Data], TBL_Limiti_CDA[Etica Transizione Climatica], , -1)</f>
        <v>3.5</v>
      </c>
      <c r="H474" cm="1">
        <f t="array" ref="H474">_xlfn.XLOOKUP(_xlfn.ANCHORARRAY(A474), TBL_Limiti_CDA[Data], TBL_Limiti_CDA[Etica Obiettivo Sociale], , -1)</f>
        <v>9.99</v>
      </c>
      <c r="I474" cm="1">
        <f t="array" ref="I474">_xlfn.XLOOKUP(_xlfn.ANCHORARRAY(A474), TBL_Limiti_CDA[Data], TBL_Limiti_CDA[Etica Conservative Allocation], , -1)</f>
        <v>1</v>
      </c>
      <c r="J474" cm="1">
        <f t="array" ref="J474">_xlfn.XLOOKUP(_xlfn.ANCHORARRAY(A474), TBL_Limiti_CDA[Data], TBL_Limiti_CDA[Etica Dynamic Allocation], , -1)</f>
        <v>3</v>
      </c>
      <c r="K474" cm="1">
        <f t="array" ref="K474">_xlfn.XLOOKUP(_xlfn.ANCHORARRAY(A474), TBL_Limiti_CDA[Data], TBL_Limiti_CDA[Etica Global Equity], , -1)</f>
        <v>4.5</v>
      </c>
      <c r="L474" cm="1">
        <f t="array" ref="L474">_xlfn.ANCHORARRAY(B474)+0.15</f>
        <v>2.65</v>
      </c>
      <c r="M474" cm="1">
        <f t="array" ref="M474">_xlfn.ANCHORARRAY(C474)+0.1</f>
        <v>0.6</v>
      </c>
      <c r="N474" cm="1">
        <f t="array" ref="N474">_xlfn.ANCHORARRAY(D474)+0.15</f>
        <v>1.1499999999999999</v>
      </c>
      <c r="O474" cm="1">
        <f t="array" ref="O474">_xlfn.ANCHORARRAY(E474)+0.15</f>
        <v>3.15</v>
      </c>
      <c r="P474" cm="1">
        <f t="array" ref="P474">_xlfn.ANCHORARRAY(F474)+0.15</f>
        <v>4.6500000000000004</v>
      </c>
      <c r="Q474" cm="1">
        <f t="array" ref="Q474">_xlfn.ANCHORARRAY(G474)+0.15</f>
        <v>3.65</v>
      </c>
      <c r="R474" cm="1">
        <f t="array" ref="R474">_xlfn.ANCHORARRAY(H474)</f>
        <v>9.99</v>
      </c>
      <c r="S474" cm="1">
        <f t="array" ref="S474">_xlfn.ANCHORARRAY(R474)+0.15</f>
        <v>10.14</v>
      </c>
      <c r="T474" cm="1">
        <f t="array" ref="T474">_xlfn.ANCHORARRAY(I474)+0.15</f>
        <v>1.1499999999999999</v>
      </c>
      <c r="U474" cm="1">
        <f t="array" ref="U474">_xlfn.ANCHORARRAY(J474)+0.15</f>
        <v>3.15</v>
      </c>
      <c r="V474" cm="1">
        <f t="array" ref="V474">_xlfn.ANCHORARRAY(K474)+0.15</f>
        <v>4.6500000000000004</v>
      </c>
      <c r="W474">
        <f>TBL_TEV[[#This Row],[Etica Rendita Bilanciata]]</f>
        <v>1.605389</v>
      </c>
      <c r="X474">
        <f>TBL_TEV[[#This Row],[Etica Obbligazionario Breve Termine]]</f>
        <v>0.26113599999999998</v>
      </c>
      <c r="Y474">
        <f>TBL_TEV[[#This Row],[Etica Obbligazionario Misto]]</f>
        <v>0.80086900000000005</v>
      </c>
      <c r="Z474">
        <f>TBL_TEV[[#This Row],[Etica Bilanciato]]</f>
        <v>2.42245</v>
      </c>
      <c r="AA474">
        <f>TBL_TEV[[#This Row],[Etica Azionario]]</f>
        <v>3.5169969999999999</v>
      </c>
      <c r="AB474">
        <f>TBL_TEV[[#This Row],[Etica Transizione Climatica]]</f>
        <v>2.7442259999999998</v>
      </c>
      <c r="AC474">
        <f>TBL_TEV[[#This Row],[Etica Obiettivo Sociale]]</f>
        <v>7.01312907666986</v>
      </c>
      <c r="AD474">
        <f>TBL_TEV[[#This Row],[Etica Conservative Allocation]]</f>
        <v>0.67990499999999998</v>
      </c>
      <c r="AE474">
        <f>TBL_TEV[[#This Row],[Etica Dynamic Allocation]]</f>
        <v>2.2732299999999999</v>
      </c>
      <c r="AF474">
        <f>TBL_TEV[[#This Row],[Etica Global Equity]]</f>
        <v>3.5006460000000001</v>
      </c>
      <c r="AL474">
        <f ca="1"/>
        <v>1.5914189999999999</v>
      </c>
      <c r="AM474">
        <f ca="1"/>
        <v>0.260183</v>
      </c>
      <c r="AN474">
        <f ca="1"/>
        <v>0.79817000000000005</v>
      </c>
      <c r="AO474">
        <f ca="1"/>
        <v>2.3968919999999998</v>
      </c>
      <c r="AP474">
        <f ca="1"/>
        <v>3.4811209999999999</v>
      </c>
      <c r="AQ474">
        <f ca="1"/>
        <v>2.7262879999999998</v>
      </c>
      <c r="AR474">
        <f ca="1"/>
        <v>7.1925894604388407</v>
      </c>
      <c r="AS474">
        <f ca="1"/>
        <v>0.67307899999999998</v>
      </c>
      <c r="AT474">
        <f ca="1"/>
        <v>2.2446549999999998</v>
      </c>
      <c r="AU474">
        <f ca="1"/>
        <v>3.4555630000000002</v>
      </c>
    </row>
    <row r="475" spans="1:47">
      <c r="A475" s="43">
        <f>TBL_TEV[[#This Row],[Data2]]</f>
        <v>45968</v>
      </c>
      <c r="B475" cm="1">
        <f t="array" ref="B475">_xlfn.XLOOKUP(_xlfn.ANCHORARRAY(A475), TBL_Limiti_CDA[Data], TBL_Limiti_CDA[Etica Rendita Bilanciata], , -1)</f>
        <v>2.5</v>
      </c>
      <c r="C475" cm="1">
        <f t="array" ref="C475">_xlfn.XLOOKUP(_xlfn.ANCHORARRAY(A475), TBL_Limiti_CDA[Data], TBL_Limiti_CDA[Etica Obbligazionario Breve Termine], , -1)</f>
        <v>0.5</v>
      </c>
      <c r="D475" cm="1">
        <f t="array" ref="D475">_xlfn.XLOOKUP(_xlfn.ANCHORARRAY(A475), TBL_Limiti_CDA[Data], TBL_Limiti_CDA[Etica Obbligazionario Misto], , -1)</f>
        <v>1</v>
      </c>
      <c r="E475" cm="1">
        <f t="array" ref="E475">_xlfn.XLOOKUP(_xlfn.ANCHORARRAY(A475), TBL_Limiti_CDA[Data], TBL_Limiti_CDA[Etica Bilanciato], , -1)</f>
        <v>3</v>
      </c>
      <c r="F475" cm="1">
        <f t="array" ref="F475">_xlfn.XLOOKUP(_xlfn.ANCHORARRAY(A475), TBL_Limiti_CDA[Data], TBL_Limiti_CDA[Etica Azionario], , -1)</f>
        <v>4.5</v>
      </c>
      <c r="G475" cm="1">
        <f t="array" ref="G475">_xlfn.XLOOKUP(_xlfn.ANCHORARRAY(A475), TBL_Limiti_CDA[Data], TBL_Limiti_CDA[Etica Transizione Climatica], , -1)</f>
        <v>3.5</v>
      </c>
      <c r="H475" cm="1">
        <f t="array" ref="H475">_xlfn.XLOOKUP(_xlfn.ANCHORARRAY(A475), TBL_Limiti_CDA[Data], TBL_Limiti_CDA[Etica Obiettivo Sociale], , -1)</f>
        <v>9.99</v>
      </c>
      <c r="I475" cm="1">
        <f t="array" ref="I475">_xlfn.XLOOKUP(_xlfn.ANCHORARRAY(A475), TBL_Limiti_CDA[Data], TBL_Limiti_CDA[Etica Conservative Allocation], , -1)</f>
        <v>1</v>
      </c>
      <c r="J475" cm="1">
        <f t="array" ref="J475">_xlfn.XLOOKUP(_xlfn.ANCHORARRAY(A475), TBL_Limiti_CDA[Data], TBL_Limiti_CDA[Etica Dynamic Allocation], , -1)</f>
        <v>3</v>
      </c>
      <c r="K475" cm="1">
        <f t="array" ref="K475">_xlfn.XLOOKUP(_xlfn.ANCHORARRAY(A475), TBL_Limiti_CDA[Data], TBL_Limiti_CDA[Etica Global Equity], , -1)</f>
        <v>4.5</v>
      </c>
      <c r="L475" cm="1">
        <f t="array" ref="L475">_xlfn.ANCHORARRAY(B475)+0.15</f>
        <v>2.65</v>
      </c>
      <c r="M475" cm="1">
        <f t="array" ref="M475">_xlfn.ANCHORARRAY(C475)+0.1</f>
        <v>0.6</v>
      </c>
      <c r="N475" cm="1">
        <f t="array" ref="N475">_xlfn.ANCHORARRAY(D475)+0.15</f>
        <v>1.1499999999999999</v>
      </c>
      <c r="O475" cm="1">
        <f t="array" ref="O475">_xlfn.ANCHORARRAY(E475)+0.15</f>
        <v>3.15</v>
      </c>
      <c r="P475" cm="1">
        <f t="array" ref="P475">_xlfn.ANCHORARRAY(F475)+0.15</f>
        <v>4.6500000000000004</v>
      </c>
      <c r="Q475" cm="1">
        <f t="array" ref="Q475">_xlfn.ANCHORARRAY(G475)+0.15</f>
        <v>3.65</v>
      </c>
      <c r="R475" cm="1">
        <f t="array" ref="R475">_xlfn.ANCHORARRAY(H475)</f>
        <v>9.99</v>
      </c>
      <c r="S475" cm="1">
        <f t="array" ref="S475">_xlfn.ANCHORARRAY(R475)+0.15</f>
        <v>10.14</v>
      </c>
      <c r="T475" cm="1">
        <f t="array" ref="T475">_xlfn.ANCHORARRAY(I475)+0.15</f>
        <v>1.1499999999999999</v>
      </c>
      <c r="U475" cm="1">
        <f t="array" ref="U475">_xlfn.ANCHORARRAY(J475)+0.15</f>
        <v>3.15</v>
      </c>
      <c r="V475" cm="1">
        <f t="array" ref="V475">_xlfn.ANCHORARRAY(K475)+0.15</f>
        <v>4.6500000000000004</v>
      </c>
      <c r="W475">
        <f>TBL_TEV[[#This Row],[Etica Rendita Bilanciata]]</f>
        <v>1.5914189999999999</v>
      </c>
      <c r="X475">
        <f>TBL_TEV[[#This Row],[Etica Obbligazionario Breve Termine]]</f>
        <v>0.260183</v>
      </c>
      <c r="Y475">
        <f>TBL_TEV[[#This Row],[Etica Obbligazionario Misto]]</f>
        <v>0.79817000000000005</v>
      </c>
      <c r="Z475">
        <f>TBL_TEV[[#This Row],[Etica Bilanciato]]</f>
        <v>2.3968919999999998</v>
      </c>
      <c r="AA475">
        <f>TBL_TEV[[#This Row],[Etica Azionario]]</f>
        <v>3.4811209999999999</v>
      </c>
      <c r="AB475">
        <f>TBL_TEV[[#This Row],[Etica Transizione Climatica]]</f>
        <v>2.7262879999999998</v>
      </c>
      <c r="AC475">
        <f>TBL_TEV[[#This Row],[Etica Obiettivo Sociale]]</f>
        <v>7.1925894604388407</v>
      </c>
      <c r="AD475">
        <f>TBL_TEV[[#This Row],[Etica Conservative Allocation]]</f>
        <v>0.67307899999999998</v>
      </c>
      <c r="AE475">
        <f>TBL_TEV[[#This Row],[Etica Dynamic Allocation]]</f>
        <v>2.2446549999999998</v>
      </c>
      <c r="AF475">
        <f>TBL_TEV[[#This Row],[Etica Global Equity]]</f>
        <v>3.4555630000000002</v>
      </c>
      <c r="AL475">
        <f ca="1"/>
        <v>1.5939589999999999</v>
      </c>
      <c r="AM475">
        <f ca="1"/>
        <v>0.25843699999999997</v>
      </c>
      <c r="AN475">
        <f ca="1"/>
        <v>0.79817000000000005</v>
      </c>
      <c r="AO475">
        <f ca="1"/>
        <v>2.399591</v>
      </c>
      <c r="AP475">
        <f ca="1"/>
        <v>3.48001</v>
      </c>
      <c r="AQ475">
        <f ca="1"/>
        <v>2.8104230000000001</v>
      </c>
      <c r="AR475">
        <f ca="1"/>
        <v>6.9820911669303776</v>
      </c>
      <c r="AS475">
        <f ca="1"/>
        <v>0.67180899999999999</v>
      </c>
      <c r="AT475">
        <f ca="1"/>
        <v>2.2544979999999999</v>
      </c>
      <c r="AU475">
        <f ca="1"/>
        <v>3.452388</v>
      </c>
    </row>
    <row r="476" spans="1:47">
      <c r="A476" s="43">
        <f>TBL_TEV[[#This Row],[Data2]]</f>
        <v>45971</v>
      </c>
      <c r="B476" cm="1">
        <f t="array" ref="B476">_xlfn.XLOOKUP(_xlfn.ANCHORARRAY(A476), TBL_Limiti_CDA[Data], TBL_Limiti_CDA[Etica Rendita Bilanciata], , -1)</f>
        <v>2.5</v>
      </c>
      <c r="C476" cm="1">
        <f t="array" ref="C476">_xlfn.XLOOKUP(_xlfn.ANCHORARRAY(A476), TBL_Limiti_CDA[Data], TBL_Limiti_CDA[Etica Obbligazionario Breve Termine], , -1)</f>
        <v>0.5</v>
      </c>
      <c r="D476" cm="1">
        <f t="array" ref="D476">_xlfn.XLOOKUP(_xlfn.ANCHORARRAY(A476), TBL_Limiti_CDA[Data], TBL_Limiti_CDA[Etica Obbligazionario Misto], , -1)</f>
        <v>1</v>
      </c>
      <c r="E476" cm="1">
        <f t="array" ref="E476">_xlfn.XLOOKUP(_xlfn.ANCHORARRAY(A476), TBL_Limiti_CDA[Data], TBL_Limiti_CDA[Etica Bilanciato], , -1)</f>
        <v>3</v>
      </c>
      <c r="F476" cm="1">
        <f t="array" ref="F476">_xlfn.XLOOKUP(_xlfn.ANCHORARRAY(A476), TBL_Limiti_CDA[Data], TBL_Limiti_CDA[Etica Azionario], , -1)</f>
        <v>4.5</v>
      </c>
      <c r="G476" cm="1">
        <f t="array" ref="G476">_xlfn.XLOOKUP(_xlfn.ANCHORARRAY(A476), TBL_Limiti_CDA[Data], TBL_Limiti_CDA[Etica Transizione Climatica], , -1)</f>
        <v>3.5</v>
      </c>
      <c r="H476" cm="1">
        <f t="array" ref="H476">_xlfn.XLOOKUP(_xlfn.ANCHORARRAY(A476), TBL_Limiti_CDA[Data], TBL_Limiti_CDA[Etica Obiettivo Sociale], , -1)</f>
        <v>9.99</v>
      </c>
      <c r="I476" cm="1">
        <f t="array" ref="I476">_xlfn.XLOOKUP(_xlfn.ANCHORARRAY(A476), TBL_Limiti_CDA[Data], TBL_Limiti_CDA[Etica Conservative Allocation], , -1)</f>
        <v>1</v>
      </c>
      <c r="J476" cm="1">
        <f t="array" ref="J476">_xlfn.XLOOKUP(_xlfn.ANCHORARRAY(A476), TBL_Limiti_CDA[Data], TBL_Limiti_CDA[Etica Dynamic Allocation], , -1)</f>
        <v>3</v>
      </c>
      <c r="K476" cm="1">
        <f t="array" ref="K476">_xlfn.XLOOKUP(_xlfn.ANCHORARRAY(A476), TBL_Limiti_CDA[Data], TBL_Limiti_CDA[Etica Global Equity], , -1)</f>
        <v>4.5</v>
      </c>
      <c r="L476" cm="1">
        <f t="array" ref="L476">_xlfn.ANCHORARRAY(B476)+0.15</f>
        <v>2.65</v>
      </c>
      <c r="M476" cm="1">
        <f t="array" ref="M476">_xlfn.ANCHORARRAY(C476)+0.1</f>
        <v>0.6</v>
      </c>
      <c r="N476" cm="1">
        <f t="array" ref="N476">_xlfn.ANCHORARRAY(D476)+0.15</f>
        <v>1.1499999999999999</v>
      </c>
      <c r="O476" cm="1">
        <f t="array" ref="O476">_xlfn.ANCHORARRAY(E476)+0.15</f>
        <v>3.15</v>
      </c>
      <c r="P476" cm="1">
        <f t="array" ref="P476">_xlfn.ANCHORARRAY(F476)+0.15</f>
        <v>4.6500000000000004</v>
      </c>
      <c r="Q476" cm="1">
        <f t="array" ref="Q476">_xlfn.ANCHORARRAY(G476)+0.15</f>
        <v>3.65</v>
      </c>
      <c r="R476" cm="1">
        <f t="array" ref="R476">_xlfn.ANCHORARRAY(H476)</f>
        <v>9.99</v>
      </c>
      <c r="S476" cm="1">
        <f t="array" ref="S476">_xlfn.ANCHORARRAY(R476)+0.15</f>
        <v>10.14</v>
      </c>
      <c r="T476" cm="1">
        <f t="array" ref="T476">_xlfn.ANCHORARRAY(I476)+0.15</f>
        <v>1.1499999999999999</v>
      </c>
      <c r="U476" cm="1">
        <f t="array" ref="U476">_xlfn.ANCHORARRAY(J476)+0.15</f>
        <v>3.15</v>
      </c>
      <c r="V476" cm="1">
        <f t="array" ref="V476">_xlfn.ANCHORARRAY(K476)+0.15</f>
        <v>4.6500000000000004</v>
      </c>
      <c r="W476">
        <f>TBL_TEV[[#This Row],[Etica Rendita Bilanciata]]</f>
        <v>1.5939589999999999</v>
      </c>
      <c r="X476">
        <f>TBL_TEV[[#This Row],[Etica Obbligazionario Breve Termine]]</f>
        <v>0.25843699999999997</v>
      </c>
      <c r="Y476">
        <f>TBL_TEV[[#This Row],[Etica Obbligazionario Misto]]</f>
        <v>0.79817000000000005</v>
      </c>
      <c r="Z476">
        <f>TBL_TEV[[#This Row],[Etica Bilanciato]]</f>
        <v>2.399591</v>
      </c>
      <c r="AA476">
        <f>TBL_TEV[[#This Row],[Etica Azionario]]</f>
        <v>3.48001</v>
      </c>
      <c r="AB476">
        <f>TBL_TEV[[#This Row],[Etica Transizione Climatica]]</f>
        <v>2.8104230000000001</v>
      </c>
      <c r="AC476">
        <f>TBL_TEV[[#This Row],[Etica Obiettivo Sociale]]</f>
        <v>6.9820911669303776</v>
      </c>
      <c r="AD476">
        <f>TBL_TEV[[#This Row],[Etica Conservative Allocation]]</f>
        <v>0.67180899999999999</v>
      </c>
      <c r="AE476">
        <f>TBL_TEV[[#This Row],[Etica Dynamic Allocation]]</f>
        <v>2.2544979999999999</v>
      </c>
      <c r="AF476">
        <f>TBL_TEV[[#This Row],[Etica Global Equity]]</f>
        <v>3.452388</v>
      </c>
      <c r="AL476">
        <f ca="1"/>
        <v>1.5904670000000001</v>
      </c>
      <c r="AM476">
        <f ca="1"/>
        <v>0.25700800000000001</v>
      </c>
      <c r="AN476">
        <f ca="1"/>
        <v>0.79578899999999997</v>
      </c>
      <c r="AO476">
        <f ca="1"/>
        <v>2.4024480000000001</v>
      </c>
      <c r="AP476">
        <f ca="1"/>
        <v>3.484931</v>
      </c>
      <c r="AQ476">
        <f ca="1"/>
        <v>2.8048670000000002</v>
      </c>
      <c r="AR476">
        <f ca="1"/>
        <v>7.1578832430833623</v>
      </c>
      <c r="AS476">
        <f ca="1"/>
        <v>0.66990400000000005</v>
      </c>
      <c r="AT476">
        <f ca="1"/>
        <v>2.2517990000000001</v>
      </c>
      <c r="AU476">
        <f ca="1"/>
        <v>3.4452440000000002</v>
      </c>
    </row>
    <row r="477" spans="1:47">
      <c r="A477" s="43">
        <f>TBL_TEV[[#This Row],[Data2]]</f>
        <v>45972</v>
      </c>
      <c r="B477" cm="1">
        <f t="array" ref="B477">_xlfn.XLOOKUP(_xlfn.ANCHORARRAY(A477), TBL_Limiti_CDA[Data], TBL_Limiti_CDA[Etica Rendita Bilanciata], , -1)</f>
        <v>2.5</v>
      </c>
      <c r="C477" cm="1">
        <f t="array" ref="C477">_xlfn.XLOOKUP(_xlfn.ANCHORARRAY(A477), TBL_Limiti_CDA[Data], TBL_Limiti_CDA[Etica Obbligazionario Breve Termine], , -1)</f>
        <v>0.5</v>
      </c>
      <c r="D477" cm="1">
        <f t="array" ref="D477">_xlfn.XLOOKUP(_xlfn.ANCHORARRAY(A477), TBL_Limiti_CDA[Data], TBL_Limiti_CDA[Etica Obbligazionario Misto], , -1)</f>
        <v>1</v>
      </c>
      <c r="E477" cm="1">
        <f t="array" ref="E477">_xlfn.XLOOKUP(_xlfn.ANCHORARRAY(A477), TBL_Limiti_CDA[Data], TBL_Limiti_CDA[Etica Bilanciato], , -1)</f>
        <v>3</v>
      </c>
      <c r="F477" cm="1">
        <f t="array" ref="F477">_xlfn.XLOOKUP(_xlfn.ANCHORARRAY(A477), TBL_Limiti_CDA[Data], TBL_Limiti_CDA[Etica Azionario], , -1)</f>
        <v>4.5</v>
      </c>
      <c r="G477" cm="1">
        <f t="array" ref="G477">_xlfn.XLOOKUP(_xlfn.ANCHORARRAY(A477), TBL_Limiti_CDA[Data], TBL_Limiti_CDA[Etica Transizione Climatica], , -1)</f>
        <v>3.5</v>
      </c>
      <c r="H477" cm="1">
        <f t="array" ref="H477">_xlfn.XLOOKUP(_xlfn.ANCHORARRAY(A477), TBL_Limiti_CDA[Data], TBL_Limiti_CDA[Etica Obiettivo Sociale], , -1)</f>
        <v>9.99</v>
      </c>
      <c r="I477" cm="1">
        <f t="array" ref="I477">_xlfn.XLOOKUP(_xlfn.ANCHORARRAY(A477), TBL_Limiti_CDA[Data], TBL_Limiti_CDA[Etica Conservative Allocation], , -1)</f>
        <v>1</v>
      </c>
      <c r="J477" cm="1">
        <f t="array" ref="J477">_xlfn.XLOOKUP(_xlfn.ANCHORARRAY(A477), TBL_Limiti_CDA[Data], TBL_Limiti_CDA[Etica Dynamic Allocation], , -1)</f>
        <v>3</v>
      </c>
      <c r="K477" cm="1">
        <f t="array" ref="K477">_xlfn.XLOOKUP(_xlfn.ANCHORARRAY(A477), TBL_Limiti_CDA[Data], TBL_Limiti_CDA[Etica Global Equity], , -1)</f>
        <v>4.5</v>
      </c>
      <c r="L477" cm="1">
        <f t="array" ref="L477">_xlfn.ANCHORARRAY(B477)+0.15</f>
        <v>2.65</v>
      </c>
      <c r="M477" cm="1">
        <f t="array" ref="M477">_xlfn.ANCHORARRAY(C477)+0.1</f>
        <v>0.6</v>
      </c>
      <c r="N477" cm="1">
        <f t="array" ref="N477">_xlfn.ANCHORARRAY(D477)+0.15</f>
        <v>1.1499999999999999</v>
      </c>
      <c r="O477" cm="1">
        <f t="array" ref="O477">_xlfn.ANCHORARRAY(E477)+0.15</f>
        <v>3.15</v>
      </c>
      <c r="P477" cm="1">
        <f t="array" ref="P477">_xlfn.ANCHORARRAY(F477)+0.15</f>
        <v>4.6500000000000004</v>
      </c>
      <c r="Q477" cm="1">
        <f t="array" ref="Q477">_xlfn.ANCHORARRAY(G477)+0.15</f>
        <v>3.65</v>
      </c>
      <c r="R477" cm="1">
        <f t="array" ref="R477">_xlfn.ANCHORARRAY(H477)</f>
        <v>9.99</v>
      </c>
      <c r="S477" cm="1">
        <f t="array" ref="S477">_xlfn.ANCHORARRAY(R477)+0.15</f>
        <v>10.14</v>
      </c>
      <c r="T477" cm="1">
        <f t="array" ref="T477">_xlfn.ANCHORARRAY(I477)+0.15</f>
        <v>1.1499999999999999</v>
      </c>
      <c r="U477" cm="1">
        <f t="array" ref="U477">_xlfn.ANCHORARRAY(J477)+0.15</f>
        <v>3.15</v>
      </c>
      <c r="V477" cm="1">
        <f t="array" ref="V477">_xlfn.ANCHORARRAY(K477)+0.15</f>
        <v>4.6500000000000004</v>
      </c>
      <c r="W477">
        <f>TBL_TEV[[#This Row],[Etica Rendita Bilanciata]]</f>
        <v>1.5904670000000001</v>
      </c>
      <c r="X477">
        <f>TBL_TEV[[#This Row],[Etica Obbligazionario Breve Termine]]</f>
        <v>0.25700800000000001</v>
      </c>
      <c r="Y477">
        <f>TBL_TEV[[#This Row],[Etica Obbligazionario Misto]]</f>
        <v>0.79578899999999997</v>
      </c>
      <c r="Z477">
        <f>TBL_TEV[[#This Row],[Etica Bilanciato]]</f>
        <v>2.4024480000000001</v>
      </c>
      <c r="AA477">
        <f>TBL_TEV[[#This Row],[Etica Azionario]]</f>
        <v>3.484931</v>
      </c>
      <c r="AB477">
        <f>TBL_TEV[[#This Row],[Etica Transizione Climatica]]</f>
        <v>2.8048670000000002</v>
      </c>
      <c r="AC477">
        <f>TBL_TEV[[#This Row],[Etica Obiettivo Sociale]]</f>
        <v>7.1578832430833623</v>
      </c>
      <c r="AD477">
        <f>TBL_TEV[[#This Row],[Etica Conservative Allocation]]</f>
        <v>0.66990400000000005</v>
      </c>
      <c r="AE477">
        <f>TBL_TEV[[#This Row],[Etica Dynamic Allocation]]</f>
        <v>2.2517990000000001</v>
      </c>
      <c r="AF477">
        <f>TBL_TEV[[#This Row],[Etica Global Equity]]</f>
        <v>3.4452440000000002</v>
      </c>
      <c r="AL477">
        <f ca="1"/>
        <v>1.5906260000000001</v>
      </c>
      <c r="AM477">
        <f ca="1"/>
        <v>0.25494499999999998</v>
      </c>
      <c r="AN477">
        <f ca="1"/>
        <v>0.79928100000000002</v>
      </c>
      <c r="AO477">
        <f ca="1"/>
        <v>2.3989560000000001</v>
      </c>
      <c r="AP477">
        <f ca="1"/>
        <v>3.4742950000000001</v>
      </c>
      <c r="AQ477">
        <f ca="1"/>
        <v>2.8489979999999999</v>
      </c>
      <c r="AR477">
        <f ca="1"/>
        <v>7.1465678491537705</v>
      </c>
      <c r="AS477">
        <f ca="1"/>
        <v>0.67037999999999998</v>
      </c>
      <c r="AT477">
        <f ca="1"/>
        <v>2.243703</v>
      </c>
      <c r="AU477">
        <f ca="1"/>
        <v>3.4330210000000001</v>
      </c>
    </row>
    <row r="478" spans="1:47">
      <c r="A478" s="43">
        <f>TBL_TEV[[#This Row],[Data2]]</f>
        <v>45973</v>
      </c>
      <c r="B478" cm="1">
        <f t="array" ref="B478">_xlfn.XLOOKUP(_xlfn.ANCHORARRAY(A478), TBL_Limiti_CDA[Data], TBL_Limiti_CDA[Etica Rendita Bilanciata], , -1)</f>
        <v>2.5</v>
      </c>
      <c r="C478" cm="1">
        <f t="array" ref="C478">_xlfn.XLOOKUP(_xlfn.ANCHORARRAY(A478), TBL_Limiti_CDA[Data], TBL_Limiti_CDA[Etica Obbligazionario Breve Termine], , -1)</f>
        <v>0.5</v>
      </c>
      <c r="D478" cm="1">
        <f t="array" ref="D478">_xlfn.XLOOKUP(_xlfn.ANCHORARRAY(A478), TBL_Limiti_CDA[Data], TBL_Limiti_CDA[Etica Obbligazionario Misto], , -1)</f>
        <v>1</v>
      </c>
      <c r="E478" cm="1">
        <f t="array" ref="E478">_xlfn.XLOOKUP(_xlfn.ANCHORARRAY(A478), TBL_Limiti_CDA[Data], TBL_Limiti_CDA[Etica Bilanciato], , -1)</f>
        <v>3</v>
      </c>
      <c r="F478" cm="1">
        <f t="array" ref="F478">_xlfn.XLOOKUP(_xlfn.ANCHORARRAY(A478), TBL_Limiti_CDA[Data], TBL_Limiti_CDA[Etica Azionario], , -1)</f>
        <v>4.5</v>
      </c>
      <c r="G478" cm="1">
        <f t="array" ref="G478">_xlfn.XLOOKUP(_xlfn.ANCHORARRAY(A478), TBL_Limiti_CDA[Data], TBL_Limiti_CDA[Etica Transizione Climatica], , -1)</f>
        <v>3.5</v>
      </c>
      <c r="H478" cm="1">
        <f t="array" ref="H478">_xlfn.XLOOKUP(_xlfn.ANCHORARRAY(A478), TBL_Limiti_CDA[Data], TBL_Limiti_CDA[Etica Obiettivo Sociale], , -1)</f>
        <v>9.99</v>
      </c>
      <c r="I478" cm="1">
        <f t="array" ref="I478">_xlfn.XLOOKUP(_xlfn.ANCHORARRAY(A478), TBL_Limiti_CDA[Data], TBL_Limiti_CDA[Etica Conservative Allocation], , -1)</f>
        <v>1</v>
      </c>
      <c r="J478" cm="1">
        <f t="array" ref="J478">_xlfn.XLOOKUP(_xlfn.ANCHORARRAY(A478), TBL_Limiti_CDA[Data], TBL_Limiti_CDA[Etica Dynamic Allocation], , -1)</f>
        <v>3</v>
      </c>
      <c r="K478" cm="1">
        <f t="array" ref="K478">_xlfn.XLOOKUP(_xlfn.ANCHORARRAY(A478), TBL_Limiti_CDA[Data], TBL_Limiti_CDA[Etica Global Equity], , -1)</f>
        <v>4.5</v>
      </c>
      <c r="L478" cm="1">
        <f t="array" ref="L478">_xlfn.ANCHORARRAY(B478)+0.15</f>
        <v>2.65</v>
      </c>
      <c r="M478" cm="1">
        <f t="array" ref="M478">_xlfn.ANCHORARRAY(C478)+0.1</f>
        <v>0.6</v>
      </c>
      <c r="N478" cm="1">
        <f t="array" ref="N478">_xlfn.ANCHORARRAY(D478)+0.15</f>
        <v>1.1499999999999999</v>
      </c>
      <c r="O478" cm="1">
        <f t="array" ref="O478">_xlfn.ANCHORARRAY(E478)+0.15</f>
        <v>3.15</v>
      </c>
      <c r="P478" cm="1">
        <f t="array" ref="P478">_xlfn.ANCHORARRAY(F478)+0.15</f>
        <v>4.6500000000000004</v>
      </c>
      <c r="Q478" cm="1">
        <f t="array" ref="Q478">_xlfn.ANCHORARRAY(G478)+0.15</f>
        <v>3.65</v>
      </c>
      <c r="R478" cm="1">
        <f t="array" ref="R478">_xlfn.ANCHORARRAY(H478)</f>
        <v>9.99</v>
      </c>
      <c r="S478" cm="1">
        <f t="array" ref="S478">_xlfn.ANCHORARRAY(R478)+0.15</f>
        <v>10.14</v>
      </c>
      <c r="T478" cm="1">
        <f t="array" ref="T478">_xlfn.ANCHORARRAY(I478)+0.15</f>
        <v>1.1499999999999999</v>
      </c>
      <c r="U478" cm="1">
        <f t="array" ref="U478">_xlfn.ANCHORARRAY(J478)+0.15</f>
        <v>3.15</v>
      </c>
      <c r="V478" cm="1">
        <f t="array" ref="V478">_xlfn.ANCHORARRAY(K478)+0.15</f>
        <v>4.6500000000000004</v>
      </c>
      <c r="W478">
        <f>TBL_TEV[[#This Row],[Etica Rendita Bilanciata]]</f>
        <v>1.5906260000000001</v>
      </c>
      <c r="X478">
        <f>TBL_TEV[[#This Row],[Etica Obbligazionario Breve Termine]]</f>
        <v>0.25494499999999998</v>
      </c>
      <c r="Y478">
        <f>TBL_TEV[[#This Row],[Etica Obbligazionario Misto]]</f>
        <v>0.79928100000000002</v>
      </c>
      <c r="Z478">
        <f>TBL_TEV[[#This Row],[Etica Bilanciato]]</f>
        <v>2.3989560000000001</v>
      </c>
      <c r="AA478">
        <f>TBL_TEV[[#This Row],[Etica Azionario]]</f>
        <v>3.4742950000000001</v>
      </c>
      <c r="AB478">
        <f>TBL_TEV[[#This Row],[Etica Transizione Climatica]]</f>
        <v>2.8489979999999999</v>
      </c>
      <c r="AC478">
        <f>TBL_TEV[[#This Row],[Etica Obiettivo Sociale]]</f>
        <v>7.1465678491537705</v>
      </c>
      <c r="AD478">
        <f>TBL_TEV[[#This Row],[Etica Conservative Allocation]]</f>
        <v>0.67037999999999998</v>
      </c>
      <c r="AE478">
        <f>TBL_TEV[[#This Row],[Etica Dynamic Allocation]]</f>
        <v>2.243703</v>
      </c>
      <c r="AF478">
        <f>TBL_TEV[[#This Row],[Etica Global Equity]]</f>
        <v>3.4330210000000001</v>
      </c>
      <c r="AL478">
        <f ca="1"/>
        <v>1.602055</v>
      </c>
      <c r="AM478">
        <f ca="1"/>
        <v>0.25478600000000001</v>
      </c>
      <c r="AN478">
        <f ca="1"/>
        <v>0.85277899999999995</v>
      </c>
      <c r="AO478">
        <f ca="1"/>
        <v>2.3938760000000001</v>
      </c>
      <c r="AP478">
        <f ca="1"/>
        <v>3.4792160000000001</v>
      </c>
      <c r="AQ478">
        <f ca="1"/>
        <v>2.7899449999999999</v>
      </c>
      <c r="AR478">
        <f ca="1"/>
        <v>7.1103370734217464</v>
      </c>
      <c r="AS478">
        <f ca="1"/>
        <v>0.663713</v>
      </c>
      <c r="AT478">
        <f ca="1"/>
        <v>2.2460840000000002</v>
      </c>
      <c r="AU478">
        <f ca="1"/>
        <v>3.4403229999999998</v>
      </c>
    </row>
    <row r="479" spans="1:47">
      <c r="A479" s="43">
        <f>TBL_TEV[[#This Row],[Data2]]</f>
        <v>45974</v>
      </c>
      <c r="B479" cm="1">
        <f t="array" ref="B479">_xlfn.XLOOKUP(_xlfn.ANCHORARRAY(A479), TBL_Limiti_CDA[Data], TBL_Limiti_CDA[Etica Rendita Bilanciata], , -1)</f>
        <v>2.5</v>
      </c>
      <c r="C479" cm="1">
        <f t="array" ref="C479">_xlfn.XLOOKUP(_xlfn.ANCHORARRAY(A479), TBL_Limiti_CDA[Data], TBL_Limiti_CDA[Etica Obbligazionario Breve Termine], , -1)</f>
        <v>0.5</v>
      </c>
      <c r="D479" cm="1">
        <f t="array" ref="D479">_xlfn.XLOOKUP(_xlfn.ANCHORARRAY(A479), TBL_Limiti_CDA[Data], TBL_Limiti_CDA[Etica Obbligazionario Misto], , -1)</f>
        <v>1</v>
      </c>
      <c r="E479" cm="1">
        <f t="array" ref="E479">_xlfn.XLOOKUP(_xlfn.ANCHORARRAY(A479), TBL_Limiti_CDA[Data], TBL_Limiti_CDA[Etica Bilanciato], , -1)</f>
        <v>3</v>
      </c>
      <c r="F479" cm="1">
        <f t="array" ref="F479">_xlfn.XLOOKUP(_xlfn.ANCHORARRAY(A479), TBL_Limiti_CDA[Data], TBL_Limiti_CDA[Etica Azionario], , -1)</f>
        <v>4.5</v>
      </c>
      <c r="G479" cm="1">
        <f t="array" ref="G479">_xlfn.XLOOKUP(_xlfn.ANCHORARRAY(A479), TBL_Limiti_CDA[Data], TBL_Limiti_CDA[Etica Transizione Climatica], , -1)</f>
        <v>3.5</v>
      </c>
      <c r="H479" cm="1">
        <f t="array" ref="H479">_xlfn.XLOOKUP(_xlfn.ANCHORARRAY(A479), TBL_Limiti_CDA[Data], TBL_Limiti_CDA[Etica Obiettivo Sociale], , -1)</f>
        <v>9.99</v>
      </c>
      <c r="I479" cm="1">
        <f t="array" ref="I479">_xlfn.XLOOKUP(_xlfn.ANCHORARRAY(A479), TBL_Limiti_CDA[Data], TBL_Limiti_CDA[Etica Conservative Allocation], , -1)</f>
        <v>1</v>
      </c>
      <c r="J479" cm="1">
        <f t="array" ref="J479">_xlfn.XLOOKUP(_xlfn.ANCHORARRAY(A479), TBL_Limiti_CDA[Data], TBL_Limiti_CDA[Etica Dynamic Allocation], , -1)</f>
        <v>3</v>
      </c>
      <c r="K479" cm="1">
        <f t="array" ref="K479">_xlfn.XLOOKUP(_xlfn.ANCHORARRAY(A479), TBL_Limiti_CDA[Data], TBL_Limiti_CDA[Etica Global Equity], , -1)</f>
        <v>4.5</v>
      </c>
      <c r="L479" cm="1">
        <f t="array" ref="L479">_xlfn.ANCHORARRAY(B479)+0.15</f>
        <v>2.65</v>
      </c>
      <c r="M479" cm="1">
        <f t="array" ref="M479">_xlfn.ANCHORARRAY(C479)+0.1</f>
        <v>0.6</v>
      </c>
      <c r="N479" cm="1">
        <f t="array" ref="N479">_xlfn.ANCHORARRAY(D479)+0.15</f>
        <v>1.1499999999999999</v>
      </c>
      <c r="O479" cm="1">
        <f t="array" ref="O479">_xlfn.ANCHORARRAY(E479)+0.15</f>
        <v>3.15</v>
      </c>
      <c r="P479" cm="1">
        <f t="array" ref="P479">_xlfn.ANCHORARRAY(F479)+0.15</f>
        <v>4.6500000000000004</v>
      </c>
      <c r="Q479" cm="1">
        <f t="array" ref="Q479">_xlfn.ANCHORARRAY(G479)+0.15</f>
        <v>3.65</v>
      </c>
      <c r="R479" cm="1">
        <f t="array" ref="R479">_xlfn.ANCHORARRAY(H479)</f>
        <v>9.99</v>
      </c>
      <c r="S479" cm="1">
        <f t="array" ref="S479">_xlfn.ANCHORARRAY(R479)+0.15</f>
        <v>10.14</v>
      </c>
      <c r="T479" cm="1">
        <f t="array" ref="T479">_xlfn.ANCHORARRAY(I479)+0.15</f>
        <v>1.1499999999999999</v>
      </c>
      <c r="U479" cm="1">
        <f t="array" ref="U479">_xlfn.ANCHORARRAY(J479)+0.15</f>
        <v>3.15</v>
      </c>
      <c r="V479" cm="1">
        <f t="array" ref="V479">_xlfn.ANCHORARRAY(K479)+0.15</f>
        <v>4.6500000000000004</v>
      </c>
      <c r="W479">
        <f>TBL_TEV[[#This Row],[Etica Rendita Bilanciata]]</f>
        <v>1.602055</v>
      </c>
      <c r="X479">
        <f>TBL_TEV[[#This Row],[Etica Obbligazionario Breve Termine]]</f>
        <v>0.25478600000000001</v>
      </c>
      <c r="Y479">
        <f>TBL_TEV[[#This Row],[Etica Obbligazionario Misto]]</f>
        <v>0.85277899999999995</v>
      </c>
      <c r="Z479">
        <f>TBL_TEV[[#This Row],[Etica Bilanciato]]</f>
        <v>2.3938760000000001</v>
      </c>
      <c r="AA479">
        <f>TBL_TEV[[#This Row],[Etica Azionario]]</f>
        <v>3.4792160000000001</v>
      </c>
      <c r="AB479">
        <f>TBL_TEV[[#This Row],[Etica Transizione Climatica]]</f>
        <v>2.7899449999999999</v>
      </c>
      <c r="AC479">
        <f>TBL_TEV[[#This Row],[Etica Obiettivo Sociale]]</f>
        <v>7.1103370734217464</v>
      </c>
      <c r="AD479">
        <f>TBL_TEV[[#This Row],[Etica Conservative Allocation]]</f>
        <v>0.663713</v>
      </c>
      <c r="AE479">
        <f>TBL_TEV[[#This Row],[Etica Dynamic Allocation]]</f>
        <v>2.2460840000000002</v>
      </c>
      <c r="AF479">
        <f>TBL_TEV[[#This Row],[Etica Global Equity]]</f>
        <v>3.4403229999999998</v>
      </c>
      <c r="AL479">
        <f ca="1"/>
        <v>1.6042780000000001</v>
      </c>
      <c r="AM479">
        <f ca="1"/>
        <v>0.25319799999999998</v>
      </c>
      <c r="AN479">
        <f ca="1"/>
        <v>0.85277899999999995</v>
      </c>
      <c r="AO479">
        <f ca="1"/>
        <v>2.3892720000000001</v>
      </c>
      <c r="AP479">
        <f ca="1"/>
        <v>3.470485</v>
      </c>
      <c r="AQ479">
        <f ca="1"/>
        <v>2.8101050000000001</v>
      </c>
      <c r="AR479">
        <f ca="1"/>
        <v>6.9611473161581188</v>
      </c>
      <c r="AS479">
        <f ca="1"/>
        <v>0.660856</v>
      </c>
      <c r="AT479">
        <f ca="1"/>
        <v>2.2356069999999999</v>
      </c>
      <c r="AU479">
        <f ca="1"/>
        <v>3.4090509999999998</v>
      </c>
    </row>
    <row r="480" spans="1:47">
      <c r="A480" s="43">
        <f>TBL_TEV[[#This Row],[Data2]]</f>
        <v>45975</v>
      </c>
      <c r="B480" cm="1">
        <f t="array" ref="B480">_xlfn.XLOOKUP(_xlfn.ANCHORARRAY(A480), TBL_Limiti_CDA[Data], TBL_Limiti_CDA[Etica Rendita Bilanciata], , -1)</f>
        <v>2.5</v>
      </c>
      <c r="C480" cm="1">
        <f t="array" ref="C480">_xlfn.XLOOKUP(_xlfn.ANCHORARRAY(A480), TBL_Limiti_CDA[Data], TBL_Limiti_CDA[Etica Obbligazionario Breve Termine], , -1)</f>
        <v>0.5</v>
      </c>
      <c r="D480" cm="1">
        <f t="array" ref="D480">_xlfn.XLOOKUP(_xlfn.ANCHORARRAY(A480), TBL_Limiti_CDA[Data], TBL_Limiti_CDA[Etica Obbligazionario Misto], , -1)</f>
        <v>1</v>
      </c>
      <c r="E480" cm="1">
        <f t="array" ref="E480">_xlfn.XLOOKUP(_xlfn.ANCHORARRAY(A480), TBL_Limiti_CDA[Data], TBL_Limiti_CDA[Etica Bilanciato], , -1)</f>
        <v>3</v>
      </c>
      <c r="F480" cm="1">
        <f t="array" ref="F480">_xlfn.XLOOKUP(_xlfn.ANCHORARRAY(A480), TBL_Limiti_CDA[Data], TBL_Limiti_CDA[Etica Azionario], , -1)</f>
        <v>4.5</v>
      </c>
      <c r="G480" cm="1">
        <f t="array" ref="G480">_xlfn.XLOOKUP(_xlfn.ANCHORARRAY(A480), TBL_Limiti_CDA[Data], TBL_Limiti_CDA[Etica Transizione Climatica], , -1)</f>
        <v>3.5</v>
      </c>
      <c r="H480" cm="1">
        <f t="array" ref="H480">_xlfn.XLOOKUP(_xlfn.ANCHORARRAY(A480), TBL_Limiti_CDA[Data], TBL_Limiti_CDA[Etica Obiettivo Sociale], , -1)</f>
        <v>9.99</v>
      </c>
      <c r="I480" cm="1">
        <f t="array" ref="I480">_xlfn.XLOOKUP(_xlfn.ANCHORARRAY(A480), TBL_Limiti_CDA[Data], TBL_Limiti_CDA[Etica Conservative Allocation], , -1)</f>
        <v>1</v>
      </c>
      <c r="J480" cm="1">
        <f t="array" ref="J480">_xlfn.XLOOKUP(_xlfn.ANCHORARRAY(A480), TBL_Limiti_CDA[Data], TBL_Limiti_CDA[Etica Dynamic Allocation], , -1)</f>
        <v>3</v>
      </c>
      <c r="K480" cm="1">
        <f t="array" ref="K480">_xlfn.XLOOKUP(_xlfn.ANCHORARRAY(A480), TBL_Limiti_CDA[Data], TBL_Limiti_CDA[Etica Global Equity], , -1)</f>
        <v>4.5</v>
      </c>
      <c r="L480" cm="1">
        <f t="array" ref="L480">_xlfn.ANCHORARRAY(B480)+0.15</f>
        <v>2.65</v>
      </c>
      <c r="M480" cm="1">
        <f t="array" ref="M480">_xlfn.ANCHORARRAY(C480)+0.1</f>
        <v>0.6</v>
      </c>
      <c r="N480" cm="1">
        <f t="array" ref="N480">_xlfn.ANCHORARRAY(D480)+0.15</f>
        <v>1.1499999999999999</v>
      </c>
      <c r="O480" cm="1">
        <f t="array" ref="O480">_xlfn.ANCHORARRAY(E480)+0.15</f>
        <v>3.15</v>
      </c>
      <c r="P480" cm="1">
        <f t="array" ref="P480">_xlfn.ANCHORARRAY(F480)+0.15</f>
        <v>4.6500000000000004</v>
      </c>
      <c r="Q480" cm="1">
        <f t="array" ref="Q480">_xlfn.ANCHORARRAY(G480)+0.15</f>
        <v>3.65</v>
      </c>
      <c r="R480" cm="1">
        <f t="array" ref="R480">_xlfn.ANCHORARRAY(H480)</f>
        <v>9.99</v>
      </c>
      <c r="S480" cm="1">
        <f t="array" ref="S480">_xlfn.ANCHORARRAY(R480)+0.15</f>
        <v>10.14</v>
      </c>
      <c r="T480" cm="1">
        <f t="array" ref="T480">_xlfn.ANCHORARRAY(I480)+0.15</f>
        <v>1.1499999999999999</v>
      </c>
      <c r="U480" cm="1">
        <f t="array" ref="U480">_xlfn.ANCHORARRAY(J480)+0.15</f>
        <v>3.15</v>
      </c>
      <c r="V480" cm="1">
        <f t="array" ref="V480">_xlfn.ANCHORARRAY(K480)+0.15</f>
        <v>4.6500000000000004</v>
      </c>
      <c r="W480">
        <f>TBL_TEV[[#This Row],[Etica Rendita Bilanciata]]</f>
        <v>1.6042780000000001</v>
      </c>
      <c r="X480">
        <f>TBL_TEV[[#This Row],[Etica Obbligazionario Breve Termine]]</f>
        <v>0.25319799999999998</v>
      </c>
      <c r="Y480">
        <f>TBL_TEV[[#This Row],[Etica Obbligazionario Misto]]</f>
        <v>0.85277899999999995</v>
      </c>
      <c r="Z480">
        <f>TBL_TEV[[#This Row],[Etica Bilanciato]]</f>
        <v>2.3892720000000001</v>
      </c>
      <c r="AA480">
        <f>TBL_TEV[[#This Row],[Etica Azionario]]</f>
        <v>3.470485</v>
      </c>
      <c r="AB480">
        <f>TBL_TEV[[#This Row],[Etica Transizione Climatica]]</f>
        <v>2.8101050000000001</v>
      </c>
      <c r="AC480">
        <f>TBL_TEV[[#This Row],[Etica Obiettivo Sociale]]</f>
        <v>6.9611473161581188</v>
      </c>
      <c r="AD480">
        <f>TBL_TEV[[#This Row],[Etica Conservative Allocation]]</f>
        <v>0.660856</v>
      </c>
      <c r="AE480">
        <f>TBL_TEV[[#This Row],[Etica Dynamic Allocation]]</f>
        <v>2.2356069999999999</v>
      </c>
      <c r="AF480">
        <f>TBL_TEV[[#This Row],[Etica Global Equity]]</f>
        <v>3.4090509999999998</v>
      </c>
      <c r="AL480">
        <f ca="1"/>
        <v>1.603008</v>
      </c>
      <c r="AM480">
        <f ca="1"/>
        <v>0.25208700000000001</v>
      </c>
      <c r="AN480">
        <f ca="1"/>
        <v>0.85023899999999997</v>
      </c>
      <c r="AO480">
        <f ca="1"/>
        <v>2.381176</v>
      </c>
      <c r="AP480">
        <f ca="1"/>
        <v>3.4606430000000001</v>
      </c>
      <c r="AQ480">
        <f ca="1"/>
        <v>2.7875640000000002</v>
      </c>
      <c r="AR480">
        <f ca="1"/>
        <v>7.1215406662151031</v>
      </c>
      <c r="AS480">
        <f ca="1"/>
        <v>0.65974500000000003</v>
      </c>
      <c r="AT480">
        <f ca="1"/>
        <v>2.225765</v>
      </c>
      <c r="AU480">
        <f ca="1"/>
        <v>3.396827</v>
      </c>
    </row>
    <row r="481" spans="1:47">
      <c r="A481" s="43">
        <f>TBL_TEV[[#This Row],[Data2]]</f>
        <v>45978</v>
      </c>
      <c r="B481" cm="1">
        <f t="array" ref="B481">_xlfn.XLOOKUP(_xlfn.ANCHORARRAY(A481), TBL_Limiti_CDA[Data], TBL_Limiti_CDA[Etica Rendita Bilanciata], , -1)</f>
        <v>2.5</v>
      </c>
      <c r="C481" cm="1">
        <f t="array" ref="C481">_xlfn.XLOOKUP(_xlfn.ANCHORARRAY(A481), TBL_Limiti_CDA[Data], TBL_Limiti_CDA[Etica Obbligazionario Breve Termine], , -1)</f>
        <v>0.5</v>
      </c>
      <c r="D481" cm="1">
        <f t="array" ref="D481">_xlfn.XLOOKUP(_xlfn.ANCHORARRAY(A481), TBL_Limiti_CDA[Data], TBL_Limiti_CDA[Etica Obbligazionario Misto], , -1)</f>
        <v>1</v>
      </c>
      <c r="E481" cm="1">
        <f t="array" ref="E481">_xlfn.XLOOKUP(_xlfn.ANCHORARRAY(A481), TBL_Limiti_CDA[Data], TBL_Limiti_CDA[Etica Bilanciato], , -1)</f>
        <v>3</v>
      </c>
      <c r="F481" cm="1">
        <f t="array" ref="F481">_xlfn.XLOOKUP(_xlfn.ANCHORARRAY(A481), TBL_Limiti_CDA[Data], TBL_Limiti_CDA[Etica Azionario], , -1)</f>
        <v>4.5</v>
      </c>
      <c r="G481" cm="1">
        <f t="array" ref="G481">_xlfn.XLOOKUP(_xlfn.ANCHORARRAY(A481), TBL_Limiti_CDA[Data], TBL_Limiti_CDA[Etica Transizione Climatica], , -1)</f>
        <v>3.5</v>
      </c>
      <c r="H481" cm="1">
        <f t="array" ref="H481">_xlfn.XLOOKUP(_xlfn.ANCHORARRAY(A481), TBL_Limiti_CDA[Data], TBL_Limiti_CDA[Etica Obiettivo Sociale], , -1)</f>
        <v>9.99</v>
      </c>
      <c r="I481" cm="1">
        <f t="array" ref="I481">_xlfn.XLOOKUP(_xlfn.ANCHORARRAY(A481), TBL_Limiti_CDA[Data], TBL_Limiti_CDA[Etica Conservative Allocation], , -1)</f>
        <v>1</v>
      </c>
      <c r="J481" cm="1">
        <f t="array" ref="J481">_xlfn.XLOOKUP(_xlfn.ANCHORARRAY(A481), TBL_Limiti_CDA[Data], TBL_Limiti_CDA[Etica Dynamic Allocation], , -1)</f>
        <v>3</v>
      </c>
      <c r="K481" cm="1">
        <f t="array" ref="K481">_xlfn.XLOOKUP(_xlfn.ANCHORARRAY(A481), TBL_Limiti_CDA[Data], TBL_Limiti_CDA[Etica Global Equity], , -1)</f>
        <v>4.5</v>
      </c>
      <c r="L481" cm="1">
        <f t="array" ref="L481">_xlfn.ANCHORARRAY(B481)+0.15</f>
        <v>2.65</v>
      </c>
      <c r="M481" cm="1">
        <f t="array" ref="M481">_xlfn.ANCHORARRAY(C481)+0.1</f>
        <v>0.6</v>
      </c>
      <c r="N481" cm="1">
        <f t="array" ref="N481">_xlfn.ANCHORARRAY(D481)+0.15</f>
        <v>1.1499999999999999</v>
      </c>
      <c r="O481" cm="1">
        <f t="array" ref="O481">_xlfn.ANCHORARRAY(E481)+0.15</f>
        <v>3.15</v>
      </c>
      <c r="P481" cm="1">
        <f t="array" ref="P481">_xlfn.ANCHORARRAY(F481)+0.15</f>
        <v>4.6500000000000004</v>
      </c>
      <c r="Q481" cm="1">
        <f t="array" ref="Q481">_xlfn.ANCHORARRAY(G481)+0.15</f>
        <v>3.65</v>
      </c>
      <c r="R481" cm="1">
        <f t="array" ref="R481">_xlfn.ANCHORARRAY(H481)</f>
        <v>9.99</v>
      </c>
      <c r="S481" cm="1">
        <f t="array" ref="S481">_xlfn.ANCHORARRAY(R481)+0.15</f>
        <v>10.14</v>
      </c>
      <c r="T481" cm="1">
        <f t="array" ref="T481">_xlfn.ANCHORARRAY(I481)+0.15</f>
        <v>1.1499999999999999</v>
      </c>
      <c r="U481" cm="1">
        <f t="array" ref="U481">_xlfn.ANCHORARRAY(J481)+0.15</f>
        <v>3.15</v>
      </c>
      <c r="V481" cm="1">
        <f t="array" ref="V481">_xlfn.ANCHORARRAY(K481)+0.15</f>
        <v>4.6500000000000004</v>
      </c>
      <c r="W481">
        <f>TBL_TEV[[#This Row],[Etica Rendita Bilanciata]]</f>
        <v>1.603008</v>
      </c>
      <c r="X481">
        <f>TBL_TEV[[#This Row],[Etica Obbligazionario Breve Termine]]</f>
        <v>0.25208700000000001</v>
      </c>
      <c r="Y481">
        <f>TBL_TEV[[#This Row],[Etica Obbligazionario Misto]]</f>
        <v>0.85023899999999997</v>
      </c>
      <c r="Z481">
        <f>TBL_TEV[[#This Row],[Etica Bilanciato]]</f>
        <v>2.381176</v>
      </c>
      <c r="AA481">
        <f>TBL_TEV[[#This Row],[Etica Azionario]]</f>
        <v>3.4606430000000001</v>
      </c>
      <c r="AB481">
        <f>TBL_TEV[[#This Row],[Etica Transizione Climatica]]</f>
        <v>2.7875640000000002</v>
      </c>
      <c r="AC481">
        <f>TBL_TEV[[#This Row],[Etica Obiettivo Sociale]]</f>
        <v>7.1215406662151031</v>
      </c>
      <c r="AD481">
        <f>TBL_TEV[[#This Row],[Etica Conservative Allocation]]</f>
        <v>0.65974500000000003</v>
      </c>
      <c r="AE481">
        <f>TBL_TEV[[#This Row],[Etica Dynamic Allocation]]</f>
        <v>2.225765</v>
      </c>
      <c r="AF481">
        <f>TBL_TEV[[#This Row],[Etica Global Equity]]</f>
        <v>3.396827</v>
      </c>
      <c r="AL481">
        <f ca="1"/>
        <v>1.5874509999999999</v>
      </c>
      <c r="AM481">
        <f ca="1"/>
        <v>0.25065799999999999</v>
      </c>
      <c r="AN481">
        <f ca="1"/>
        <v>0.82880799999999999</v>
      </c>
      <c r="AO481">
        <f ca="1"/>
        <v>2.3430770000000001</v>
      </c>
      <c r="AP481">
        <f ca="1"/>
        <v>3.3982559999999999</v>
      </c>
      <c r="AQ481">
        <f ca="1"/>
        <v>2.7313679999999998</v>
      </c>
      <c r="AR481">
        <f ca="1"/>
        <v>7.0049299878185867</v>
      </c>
      <c r="AS481">
        <f ca="1"/>
        <v>0.65387099999999998</v>
      </c>
      <c r="AT481">
        <f ca="1"/>
        <v>2.1956030000000002</v>
      </c>
      <c r="AU481">
        <f ca="1"/>
        <v>3.3449179999999998</v>
      </c>
    </row>
    <row r="482" spans="1:47">
      <c r="A482" s="43">
        <f>TBL_TEV[[#This Row],[Data2]]</f>
        <v>45979</v>
      </c>
      <c r="B482" cm="1">
        <f t="array" ref="B482">_xlfn.XLOOKUP(_xlfn.ANCHORARRAY(A482), TBL_Limiti_CDA[Data], TBL_Limiti_CDA[Etica Rendita Bilanciata], , -1)</f>
        <v>2.5</v>
      </c>
      <c r="C482" cm="1">
        <f t="array" ref="C482">_xlfn.XLOOKUP(_xlfn.ANCHORARRAY(A482), TBL_Limiti_CDA[Data], TBL_Limiti_CDA[Etica Obbligazionario Breve Termine], , -1)</f>
        <v>0.5</v>
      </c>
      <c r="D482" cm="1">
        <f t="array" ref="D482">_xlfn.XLOOKUP(_xlfn.ANCHORARRAY(A482), TBL_Limiti_CDA[Data], TBL_Limiti_CDA[Etica Obbligazionario Misto], , -1)</f>
        <v>1</v>
      </c>
      <c r="E482" cm="1">
        <f t="array" ref="E482">_xlfn.XLOOKUP(_xlfn.ANCHORARRAY(A482), TBL_Limiti_CDA[Data], TBL_Limiti_CDA[Etica Bilanciato], , -1)</f>
        <v>3</v>
      </c>
      <c r="F482" cm="1">
        <f t="array" ref="F482">_xlfn.XLOOKUP(_xlfn.ANCHORARRAY(A482), TBL_Limiti_CDA[Data], TBL_Limiti_CDA[Etica Azionario], , -1)</f>
        <v>4.5</v>
      </c>
      <c r="G482" cm="1">
        <f t="array" ref="G482">_xlfn.XLOOKUP(_xlfn.ANCHORARRAY(A482), TBL_Limiti_CDA[Data], TBL_Limiti_CDA[Etica Transizione Climatica], , -1)</f>
        <v>3.5</v>
      </c>
      <c r="H482" cm="1">
        <f t="array" ref="H482">_xlfn.XLOOKUP(_xlfn.ANCHORARRAY(A482), TBL_Limiti_CDA[Data], TBL_Limiti_CDA[Etica Obiettivo Sociale], , -1)</f>
        <v>9.99</v>
      </c>
      <c r="I482" cm="1">
        <f t="array" ref="I482">_xlfn.XLOOKUP(_xlfn.ANCHORARRAY(A482), TBL_Limiti_CDA[Data], TBL_Limiti_CDA[Etica Conservative Allocation], , -1)</f>
        <v>1</v>
      </c>
      <c r="J482" cm="1">
        <f t="array" ref="J482">_xlfn.XLOOKUP(_xlfn.ANCHORARRAY(A482), TBL_Limiti_CDA[Data], TBL_Limiti_CDA[Etica Dynamic Allocation], , -1)</f>
        <v>3</v>
      </c>
      <c r="K482" cm="1">
        <f t="array" ref="K482">_xlfn.XLOOKUP(_xlfn.ANCHORARRAY(A482), TBL_Limiti_CDA[Data], TBL_Limiti_CDA[Etica Global Equity], , -1)</f>
        <v>4.5</v>
      </c>
      <c r="L482" cm="1">
        <f t="array" ref="L482">_xlfn.ANCHORARRAY(B482)+0.15</f>
        <v>2.65</v>
      </c>
      <c r="M482" cm="1">
        <f t="array" ref="M482">_xlfn.ANCHORARRAY(C482)+0.1</f>
        <v>0.6</v>
      </c>
      <c r="N482" cm="1">
        <f t="array" ref="N482">_xlfn.ANCHORARRAY(D482)+0.15</f>
        <v>1.1499999999999999</v>
      </c>
      <c r="O482" cm="1">
        <f t="array" ref="O482">_xlfn.ANCHORARRAY(E482)+0.15</f>
        <v>3.15</v>
      </c>
      <c r="P482" cm="1">
        <f t="array" ref="P482">_xlfn.ANCHORARRAY(F482)+0.15</f>
        <v>4.6500000000000004</v>
      </c>
      <c r="Q482" cm="1">
        <f t="array" ref="Q482">_xlfn.ANCHORARRAY(G482)+0.15</f>
        <v>3.65</v>
      </c>
      <c r="R482" cm="1">
        <f t="array" ref="R482">_xlfn.ANCHORARRAY(H482)</f>
        <v>9.99</v>
      </c>
      <c r="S482" cm="1">
        <f t="array" ref="S482">_xlfn.ANCHORARRAY(R482)+0.15</f>
        <v>10.14</v>
      </c>
      <c r="T482" cm="1">
        <f t="array" ref="T482">_xlfn.ANCHORARRAY(I482)+0.15</f>
        <v>1.1499999999999999</v>
      </c>
      <c r="U482" cm="1">
        <f t="array" ref="U482">_xlfn.ANCHORARRAY(J482)+0.15</f>
        <v>3.15</v>
      </c>
      <c r="V482" cm="1">
        <f t="array" ref="V482">_xlfn.ANCHORARRAY(K482)+0.15</f>
        <v>4.6500000000000004</v>
      </c>
      <c r="W482">
        <f>TBL_TEV[[#This Row],[Etica Rendita Bilanciata]]</f>
        <v>1.5874509999999999</v>
      </c>
      <c r="X482">
        <f>TBL_TEV[[#This Row],[Etica Obbligazionario Breve Termine]]</f>
        <v>0.25065799999999999</v>
      </c>
      <c r="Y482">
        <f>TBL_TEV[[#This Row],[Etica Obbligazionario Misto]]</f>
        <v>0.82880799999999999</v>
      </c>
      <c r="Z482">
        <f>TBL_TEV[[#This Row],[Etica Bilanciato]]</f>
        <v>2.3430770000000001</v>
      </c>
      <c r="AA482">
        <f>TBL_TEV[[#This Row],[Etica Azionario]]</f>
        <v>3.3982559999999999</v>
      </c>
      <c r="AB482">
        <f>TBL_TEV[[#This Row],[Etica Transizione Climatica]]</f>
        <v>2.7313679999999998</v>
      </c>
      <c r="AC482">
        <f>TBL_TEV[[#This Row],[Etica Obiettivo Sociale]]</f>
        <v>7.0049299878185867</v>
      </c>
      <c r="AD482">
        <f>TBL_TEV[[#This Row],[Etica Conservative Allocation]]</f>
        <v>0.65387099999999998</v>
      </c>
      <c r="AE482">
        <f>TBL_TEV[[#This Row],[Etica Dynamic Allocation]]</f>
        <v>2.1956030000000002</v>
      </c>
      <c r="AF482">
        <f>TBL_TEV[[#This Row],[Etica Global Equity]]</f>
        <v>3.3449179999999998</v>
      </c>
      <c r="AL482">
        <f ca="1"/>
        <v>1.5845929999999999</v>
      </c>
      <c r="AM482">
        <f ca="1"/>
        <v>0.25034099999999998</v>
      </c>
      <c r="AN482">
        <f ca="1"/>
        <v>0.82737899999999998</v>
      </c>
      <c r="AO482">
        <f ca="1"/>
        <v>2.339267</v>
      </c>
      <c r="AP482">
        <f ca="1"/>
        <v>3.3909539999999998</v>
      </c>
      <c r="AQ482">
        <f ca="1"/>
        <v>2.7448610000000002</v>
      </c>
      <c r="AR482">
        <f ca="1"/>
        <v>6.9388808435440161</v>
      </c>
      <c r="AS482">
        <f ca="1"/>
        <v>0.65069600000000005</v>
      </c>
      <c r="AT482">
        <f ca="1"/>
        <v>2.1936979999999999</v>
      </c>
      <c r="AU482">
        <f ca="1"/>
        <v>3.3401550000000002</v>
      </c>
    </row>
    <row r="483" spans="1:47">
      <c r="A483" s="43">
        <f>TBL_TEV[[#This Row],[Data2]]</f>
        <v>45980</v>
      </c>
      <c r="B483" cm="1">
        <f t="array" ref="B483">_xlfn.XLOOKUP(_xlfn.ANCHORARRAY(A483), TBL_Limiti_CDA[Data], TBL_Limiti_CDA[Etica Rendita Bilanciata], , -1)</f>
        <v>2.5</v>
      </c>
      <c r="C483" cm="1">
        <f t="array" ref="C483">_xlfn.XLOOKUP(_xlfn.ANCHORARRAY(A483), TBL_Limiti_CDA[Data], TBL_Limiti_CDA[Etica Obbligazionario Breve Termine], , -1)</f>
        <v>0.5</v>
      </c>
      <c r="D483" cm="1">
        <f t="array" ref="D483">_xlfn.XLOOKUP(_xlfn.ANCHORARRAY(A483), TBL_Limiti_CDA[Data], TBL_Limiti_CDA[Etica Obbligazionario Misto], , -1)</f>
        <v>1</v>
      </c>
      <c r="E483" cm="1">
        <f t="array" ref="E483">_xlfn.XLOOKUP(_xlfn.ANCHORARRAY(A483), TBL_Limiti_CDA[Data], TBL_Limiti_CDA[Etica Bilanciato], , -1)</f>
        <v>3</v>
      </c>
      <c r="F483" cm="1">
        <f t="array" ref="F483">_xlfn.XLOOKUP(_xlfn.ANCHORARRAY(A483), TBL_Limiti_CDA[Data], TBL_Limiti_CDA[Etica Azionario], , -1)</f>
        <v>4.5</v>
      </c>
      <c r="G483" cm="1">
        <f t="array" ref="G483">_xlfn.XLOOKUP(_xlfn.ANCHORARRAY(A483), TBL_Limiti_CDA[Data], TBL_Limiti_CDA[Etica Transizione Climatica], , -1)</f>
        <v>3.5</v>
      </c>
      <c r="H483" cm="1">
        <f t="array" ref="H483">_xlfn.XLOOKUP(_xlfn.ANCHORARRAY(A483), TBL_Limiti_CDA[Data], TBL_Limiti_CDA[Etica Obiettivo Sociale], , -1)</f>
        <v>9.99</v>
      </c>
      <c r="I483" cm="1">
        <f t="array" ref="I483">_xlfn.XLOOKUP(_xlfn.ANCHORARRAY(A483), TBL_Limiti_CDA[Data], TBL_Limiti_CDA[Etica Conservative Allocation], , -1)</f>
        <v>1</v>
      </c>
      <c r="J483" cm="1">
        <f t="array" ref="J483">_xlfn.XLOOKUP(_xlfn.ANCHORARRAY(A483), TBL_Limiti_CDA[Data], TBL_Limiti_CDA[Etica Dynamic Allocation], , -1)</f>
        <v>3</v>
      </c>
      <c r="K483" cm="1">
        <f t="array" ref="K483">_xlfn.XLOOKUP(_xlfn.ANCHORARRAY(A483), TBL_Limiti_CDA[Data], TBL_Limiti_CDA[Etica Global Equity], , -1)</f>
        <v>4.5</v>
      </c>
      <c r="L483" cm="1">
        <f t="array" ref="L483">_xlfn.ANCHORARRAY(B483)+0.15</f>
        <v>2.65</v>
      </c>
      <c r="M483" cm="1">
        <f t="array" ref="M483">_xlfn.ANCHORARRAY(C483)+0.1</f>
        <v>0.6</v>
      </c>
      <c r="N483" cm="1">
        <f t="array" ref="N483">_xlfn.ANCHORARRAY(D483)+0.15</f>
        <v>1.1499999999999999</v>
      </c>
      <c r="O483" cm="1">
        <f t="array" ref="O483">_xlfn.ANCHORARRAY(E483)+0.15</f>
        <v>3.15</v>
      </c>
      <c r="P483" cm="1">
        <f t="array" ref="P483">_xlfn.ANCHORARRAY(F483)+0.15</f>
        <v>4.6500000000000004</v>
      </c>
      <c r="Q483" cm="1">
        <f t="array" ref="Q483">_xlfn.ANCHORARRAY(G483)+0.15</f>
        <v>3.65</v>
      </c>
      <c r="R483" cm="1">
        <f t="array" ref="R483">_xlfn.ANCHORARRAY(H483)</f>
        <v>9.99</v>
      </c>
      <c r="S483" cm="1">
        <f t="array" ref="S483">_xlfn.ANCHORARRAY(R483)+0.15</f>
        <v>10.14</v>
      </c>
      <c r="T483" cm="1">
        <f t="array" ref="T483">_xlfn.ANCHORARRAY(I483)+0.15</f>
        <v>1.1499999999999999</v>
      </c>
      <c r="U483" cm="1">
        <f t="array" ref="U483">_xlfn.ANCHORARRAY(J483)+0.15</f>
        <v>3.15</v>
      </c>
      <c r="V483" cm="1">
        <f t="array" ref="V483">_xlfn.ANCHORARRAY(K483)+0.15</f>
        <v>4.6500000000000004</v>
      </c>
      <c r="W483">
        <f>TBL_TEV[[#This Row],[Etica Rendita Bilanciata]]</f>
        <v>1.5845929999999999</v>
      </c>
      <c r="X483">
        <f>TBL_TEV[[#This Row],[Etica Obbligazionario Breve Termine]]</f>
        <v>0.25034099999999998</v>
      </c>
      <c r="Y483">
        <f>TBL_TEV[[#This Row],[Etica Obbligazionario Misto]]</f>
        <v>0.82737899999999998</v>
      </c>
      <c r="Z483">
        <f>TBL_TEV[[#This Row],[Etica Bilanciato]]</f>
        <v>2.339267</v>
      </c>
      <c r="AA483">
        <f>TBL_TEV[[#This Row],[Etica Azionario]]</f>
        <v>3.3909539999999998</v>
      </c>
      <c r="AB483">
        <f>TBL_TEV[[#This Row],[Etica Transizione Climatica]]</f>
        <v>2.7448610000000002</v>
      </c>
      <c r="AC483">
        <f>TBL_TEV[[#This Row],[Etica Obiettivo Sociale]]</f>
        <v>6.9388808435440161</v>
      </c>
      <c r="AD483">
        <f>TBL_TEV[[#This Row],[Etica Conservative Allocation]]</f>
        <v>0.65069600000000005</v>
      </c>
      <c r="AE483">
        <f>TBL_TEV[[#This Row],[Etica Dynamic Allocation]]</f>
        <v>2.1936979999999999</v>
      </c>
      <c r="AF483">
        <f>TBL_TEV[[#This Row],[Etica Global Equity]]</f>
        <v>3.3401550000000002</v>
      </c>
      <c r="AL483">
        <f ca="1"/>
        <v>1.6519010000000001</v>
      </c>
      <c r="AM483">
        <f ca="1"/>
        <v>0.249389</v>
      </c>
      <c r="AN483">
        <f ca="1"/>
        <v>0.96056600000000003</v>
      </c>
      <c r="AO483">
        <f ca="1"/>
        <v>2.3246630000000001</v>
      </c>
      <c r="AP483">
        <f ca="1"/>
        <v>3.369364</v>
      </c>
      <c r="AQ483">
        <f ca="1"/>
        <v>2.7088260000000002</v>
      </c>
      <c r="AR483">
        <f ca="1"/>
        <v>7.0150913743471968</v>
      </c>
      <c r="AS483">
        <f ca="1"/>
        <v>0.64958499999999997</v>
      </c>
      <c r="AT483">
        <f ca="1"/>
        <v>2.1830620000000001</v>
      </c>
      <c r="AU483">
        <f ca="1"/>
        <v>3.3187250000000001</v>
      </c>
    </row>
    <row r="484" spans="1:47">
      <c r="A484" s="43">
        <f>TBL_TEV[[#This Row],[Data2]]</f>
        <v>45981</v>
      </c>
      <c r="B484" cm="1">
        <f t="array" ref="B484">_xlfn.XLOOKUP(_xlfn.ANCHORARRAY(A484), TBL_Limiti_CDA[Data], TBL_Limiti_CDA[Etica Rendita Bilanciata], , -1)</f>
        <v>2.5</v>
      </c>
      <c r="C484" cm="1">
        <f t="array" ref="C484">_xlfn.XLOOKUP(_xlfn.ANCHORARRAY(A484), TBL_Limiti_CDA[Data], TBL_Limiti_CDA[Etica Obbligazionario Breve Termine], , -1)</f>
        <v>0.5</v>
      </c>
      <c r="D484" cm="1">
        <f t="array" ref="D484">_xlfn.XLOOKUP(_xlfn.ANCHORARRAY(A484), TBL_Limiti_CDA[Data], TBL_Limiti_CDA[Etica Obbligazionario Misto], , -1)</f>
        <v>1</v>
      </c>
      <c r="E484" cm="1">
        <f t="array" ref="E484">_xlfn.XLOOKUP(_xlfn.ANCHORARRAY(A484), TBL_Limiti_CDA[Data], TBL_Limiti_CDA[Etica Bilanciato], , -1)</f>
        <v>3</v>
      </c>
      <c r="F484" cm="1">
        <f t="array" ref="F484">_xlfn.XLOOKUP(_xlfn.ANCHORARRAY(A484), TBL_Limiti_CDA[Data], TBL_Limiti_CDA[Etica Azionario], , -1)</f>
        <v>4.5</v>
      </c>
      <c r="G484" cm="1">
        <f t="array" ref="G484">_xlfn.XLOOKUP(_xlfn.ANCHORARRAY(A484), TBL_Limiti_CDA[Data], TBL_Limiti_CDA[Etica Transizione Climatica], , -1)</f>
        <v>3.5</v>
      </c>
      <c r="H484" cm="1">
        <f t="array" ref="H484">_xlfn.XLOOKUP(_xlfn.ANCHORARRAY(A484), TBL_Limiti_CDA[Data], TBL_Limiti_CDA[Etica Obiettivo Sociale], , -1)</f>
        <v>9.99</v>
      </c>
      <c r="I484" cm="1">
        <f t="array" ref="I484">_xlfn.XLOOKUP(_xlfn.ANCHORARRAY(A484), TBL_Limiti_CDA[Data], TBL_Limiti_CDA[Etica Conservative Allocation], , -1)</f>
        <v>1</v>
      </c>
      <c r="J484" cm="1">
        <f t="array" ref="J484">_xlfn.XLOOKUP(_xlfn.ANCHORARRAY(A484), TBL_Limiti_CDA[Data], TBL_Limiti_CDA[Etica Dynamic Allocation], , -1)</f>
        <v>3</v>
      </c>
      <c r="K484" cm="1">
        <f t="array" ref="K484">_xlfn.XLOOKUP(_xlfn.ANCHORARRAY(A484), TBL_Limiti_CDA[Data], TBL_Limiti_CDA[Etica Global Equity], , -1)</f>
        <v>4.5</v>
      </c>
      <c r="L484" cm="1">
        <f t="array" ref="L484">_xlfn.ANCHORARRAY(B484)+0.15</f>
        <v>2.65</v>
      </c>
      <c r="M484" cm="1">
        <f t="array" ref="M484">_xlfn.ANCHORARRAY(C484)+0.1</f>
        <v>0.6</v>
      </c>
      <c r="N484" cm="1">
        <f t="array" ref="N484">_xlfn.ANCHORARRAY(D484)+0.15</f>
        <v>1.1499999999999999</v>
      </c>
      <c r="O484" cm="1">
        <f t="array" ref="O484">_xlfn.ANCHORARRAY(E484)+0.15</f>
        <v>3.15</v>
      </c>
      <c r="P484" cm="1">
        <f t="array" ref="P484">_xlfn.ANCHORARRAY(F484)+0.15</f>
        <v>4.6500000000000004</v>
      </c>
      <c r="Q484" cm="1">
        <f t="array" ref="Q484">_xlfn.ANCHORARRAY(G484)+0.15</f>
        <v>3.65</v>
      </c>
      <c r="R484" cm="1">
        <f t="array" ref="R484">_xlfn.ANCHORARRAY(H484)</f>
        <v>9.99</v>
      </c>
      <c r="S484" cm="1">
        <f t="array" ref="S484">_xlfn.ANCHORARRAY(R484)+0.15</f>
        <v>10.14</v>
      </c>
      <c r="T484" cm="1">
        <f t="array" ref="T484">_xlfn.ANCHORARRAY(I484)+0.15</f>
        <v>1.1499999999999999</v>
      </c>
      <c r="U484" cm="1">
        <f t="array" ref="U484">_xlfn.ANCHORARRAY(J484)+0.15</f>
        <v>3.15</v>
      </c>
      <c r="V484" cm="1">
        <f t="array" ref="V484">_xlfn.ANCHORARRAY(K484)+0.15</f>
        <v>4.6500000000000004</v>
      </c>
      <c r="W484">
        <f>TBL_TEV[[#This Row],[Etica Rendita Bilanciata]]</f>
        <v>1.6519010000000001</v>
      </c>
      <c r="X484">
        <f>TBL_TEV[[#This Row],[Etica Obbligazionario Breve Termine]]</f>
        <v>0.249389</v>
      </c>
      <c r="Y484">
        <f>TBL_TEV[[#This Row],[Etica Obbligazionario Misto]]</f>
        <v>0.96056600000000003</v>
      </c>
      <c r="Z484">
        <f>TBL_TEV[[#This Row],[Etica Bilanciato]]</f>
        <v>2.3246630000000001</v>
      </c>
      <c r="AA484">
        <f>TBL_TEV[[#This Row],[Etica Azionario]]</f>
        <v>3.369364</v>
      </c>
      <c r="AB484">
        <f>TBL_TEV[[#This Row],[Etica Transizione Climatica]]</f>
        <v>2.7088260000000002</v>
      </c>
      <c r="AC484">
        <f>TBL_TEV[[#This Row],[Etica Obiettivo Sociale]]</f>
        <v>7.0150913743471968</v>
      </c>
      <c r="AD484">
        <f>TBL_TEV[[#This Row],[Etica Conservative Allocation]]</f>
        <v>0.64958499999999997</v>
      </c>
      <c r="AE484">
        <f>TBL_TEV[[#This Row],[Etica Dynamic Allocation]]</f>
        <v>2.1830620000000001</v>
      </c>
      <c r="AF484">
        <f>TBL_TEV[[#This Row],[Etica Global Equity]]</f>
        <v>3.3187250000000001</v>
      </c>
      <c r="AL484">
        <f ca="1"/>
        <v>1.5838000000000001</v>
      </c>
      <c r="AM484">
        <f ca="1"/>
        <v>0.24780099999999999</v>
      </c>
      <c r="AN484">
        <f ca="1"/>
        <v>0.79356700000000002</v>
      </c>
      <c r="AO484">
        <f ca="1"/>
        <v>2.3289490000000002</v>
      </c>
      <c r="AP484">
        <f ca="1"/>
        <v>3.401907</v>
      </c>
      <c r="AQ484">
        <f ca="1"/>
        <v>2.733114</v>
      </c>
      <c r="AR484">
        <f ca="1"/>
        <v>7.3767327670180478</v>
      </c>
      <c r="AS484">
        <f ca="1"/>
        <v>0.64704499999999998</v>
      </c>
      <c r="AT484">
        <f ca="1"/>
        <v>2.1824270000000001</v>
      </c>
      <c r="AU484">
        <f ca="1"/>
        <v>3.355553</v>
      </c>
    </row>
    <row r="485" spans="1:47">
      <c r="A485" s="43">
        <f>TBL_TEV[[#This Row],[Data2]]</f>
        <v>45982</v>
      </c>
      <c r="B485" cm="1">
        <f t="array" ref="B485">_xlfn.XLOOKUP(_xlfn.ANCHORARRAY(A485), TBL_Limiti_CDA[Data], TBL_Limiti_CDA[Etica Rendita Bilanciata], , -1)</f>
        <v>2.5</v>
      </c>
      <c r="C485" cm="1">
        <f t="array" ref="C485">_xlfn.XLOOKUP(_xlfn.ANCHORARRAY(A485), TBL_Limiti_CDA[Data], TBL_Limiti_CDA[Etica Obbligazionario Breve Termine], , -1)</f>
        <v>0.5</v>
      </c>
      <c r="D485" cm="1">
        <f t="array" ref="D485">_xlfn.XLOOKUP(_xlfn.ANCHORARRAY(A485), TBL_Limiti_CDA[Data], TBL_Limiti_CDA[Etica Obbligazionario Misto], , -1)</f>
        <v>1</v>
      </c>
      <c r="E485" cm="1">
        <f t="array" ref="E485">_xlfn.XLOOKUP(_xlfn.ANCHORARRAY(A485), TBL_Limiti_CDA[Data], TBL_Limiti_CDA[Etica Bilanciato], , -1)</f>
        <v>3</v>
      </c>
      <c r="F485" cm="1">
        <f t="array" ref="F485">_xlfn.XLOOKUP(_xlfn.ANCHORARRAY(A485), TBL_Limiti_CDA[Data], TBL_Limiti_CDA[Etica Azionario], , -1)</f>
        <v>4.5</v>
      </c>
      <c r="G485" cm="1">
        <f t="array" ref="G485">_xlfn.XLOOKUP(_xlfn.ANCHORARRAY(A485), TBL_Limiti_CDA[Data], TBL_Limiti_CDA[Etica Transizione Climatica], , -1)</f>
        <v>3.5</v>
      </c>
      <c r="H485" cm="1">
        <f t="array" ref="H485">_xlfn.XLOOKUP(_xlfn.ANCHORARRAY(A485), TBL_Limiti_CDA[Data], TBL_Limiti_CDA[Etica Obiettivo Sociale], , -1)</f>
        <v>9.99</v>
      </c>
      <c r="I485" cm="1">
        <f t="array" ref="I485">_xlfn.XLOOKUP(_xlfn.ANCHORARRAY(A485), TBL_Limiti_CDA[Data], TBL_Limiti_CDA[Etica Conservative Allocation], , -1)</f>
        <v>1</v>
      </c>
      <c r="J485" cm="1">
        <f t="array" ref="J485">_xlfn.XLOOKUP(_xlfn.ANCHORARRAY(A485), TBL_Limiti_CDA[Data], TBL_Limiti_CDA[Etica Dynamic Allocation], , -1)</f>
        <v>3</v>
      </c>
      <c r="K485" cm="1">
        <f t="array" ref="K485">_xlfn.XLOOKUP(_xlfn.ANCHORARRAY(A485), TBL_Limiti_CDA[Data], TBL_Limiti_CDA[Etica Global Equity], , -1)</f>
        <v>4.5</v>
      </c>
      <c r="L485" cm="1">
        <f t="array" ref="L485">_xlfn.ANCHORARRAY(B485)+0.15</f>
        <v>2.65</v>
      </c>
      <c r="M485" cm="1">
        <f t="array" ref="M485">_xlfn.ANCHORARRAY(C485)+0.1</f>
        <v>0.6</v>
      </c>
      <c r="N485" cm="1">
        <f t="array" ref="N485">_xlfn.ANCHORARRAY(D485)+0.15</f>
        <v>1.1499999999999999</v>
      </c>
      <c r="O485" cm="1">
        <f t="array" ref="O485">_xlfn.ANCHORARRAY(E485)+0.15</f>
        <v>3.15</v>
      </c>
      <c r="P485" cm="1">
        <f t="array" ref="P485">_xlfn.ANCHORARRAY(F485)+0.15</f>
        <v>4.6500000000000004</v>
      </c>
      <c r="Q485" cm="1">
        <f t="array" ref="Q485">_xlfn.ANCHORARRAY(G485)+0.15</f>
        <v>3.65</v>
      </c>
      <c r="R485" cm="1">
        <f t="array" ref="R485">_xlfn.ANCHORARRAY(H485)</f>
        <v>9.99</v>
      </c>
      <c r="S485" cm="1">
        <f t="array" ref="S485">_xlfn.ANCHORARRAY(R485)+0.15</f>
        <v>10.14</v>
      </c>
      <c r="T485" cm="1">
        <f t="array" ref="T485">_xlfn.ANCHORARRAY(I485)+0.15</f>
        <v>1.1499999999999999</v>
      </c>
      <c r="U485" cm="1">
        <f t="array" ref="U485">_xlfn.ANCHORARRAY(J485)+0.15</f>
        <v>3.15</v>
      </c>
      <c r="V485" cm="1">
        <f t="array" ref="V485">_xlfn.ANCHORARRAY(K485)+0.15</f>
        <v>4.6500000000000004</v>
      </c>
      <c r="W485">
        <f>TBL_TEV[[#This Row],[Etica Rendita Bilanciata]]</f>
        <v>1.5838000000000001</v>
      </c>
      <c r="X485">
        <f>TBL_TEV[[#This Row],[Etica Obbligazionario Breve Termine]]</f>
        <v>0.24780099999999999</v>
      </c>
      <c r="Y485">
        <f>TBL_TEV[[#This Row],[Etica Obbligazionario Misto]]</f>
        <v>0.79356700000000002</v>
      </c>
      <c r="Z485">
        <f>TBL_TEV[[#This Row],[Etica Bilanciato]]</f>
        <v>2.3289490000000002</v>
      </c>
      <c r="AA485">
        <f>TBL_TEV[[#This Row],[Etica Azionario]]</f>
        <v>3.401907</v>
      </c>
      <c r="AB485">
        <f>TBL_TEV[[#This Row],[Etica Transizione Climatica]]</f>
        <v>2.733114</v>
      </c>
      <c r="AC485">
        <f>TBL_TEV[[#This Row],[Etica Obiettivo Sociale]]</f>
        <v>7.3767327670180478</v>
      </c>
      <c r="AD485">
        <f>TBL_TEV[[#This Row],[Etica Conservative Allocation]]</f>
        <v>0.64704499999999998</v>
      </c>
      <c r="AE485">
        <f>TBL_TEV[[#This Row],[Etica Dynamic Allocation]]</f>
        <v>2.1824270000000001</v>
      </c>
      <c r="AF485">
        <f>TBL_TEV[[#This Row],[Etica Global Equity]]</f>
        <v>3.355553</v>
      </c>
      <c r="AL485">
        <f ca="1"/>
        <v>1.664601</v>
      </c>
      <c r="AM485">
        <f ca="1"/>
        <v>0.24748400000000001</v>
      </c>
      <c r="AN485">
        <f ca="1"/>
        <v>0.84753999999999996</v>
      </c>
      <c r="AO485">
        <f ca="1"/>
        <v>2.4070520000000002</v>
      </c>
      <c r="AP485">
        <f ca="1"/>
        <v>3.5262039999999999</v>
      </c>
      <c r="AQ485">
        <f ca="1"/>
        <v>2.8121689999999999</v>
      </c>
      <c r="AR485">
        <f ca="1"/>
        <v>7.5093494459848973</v>
      </c>
      <c r="AS485">
        <f ca="1"/>
        <v>0.66196699999999997</v>
      </c>
      <c r="AT485">
        <f ca="1"/>
        <v>2.3270439999999999</v>
      </c>
      <c r="AU485">
        <f ca="1"/>
        <v>3.4784220000000001</v>
      </c>
    </row>
    <row r="486" spans="1:47">
      <c r="A486" s="43">
        <f>TBL_TEV[[#This Row],[Data2]]</f>
        <v>45985</v>
      </c>
      <c r="B486" cm="1">
        <f t="array" ref="B486">_xlfn.XLOOKUP(_xlfn.ANCHORARRAY(A486), TBL_Limiti_CDA[Data], TBL_Limiti_CDA[Etica Rendita Bilanciata], , -1)</f>
        <v>2.5</v>
      </c>
      <c r="C486" cm="1">
        <f t="array" ref="C486">_xlfn.XLOOKUP(_xlfn.ANCHORARRAY(A486), TBL_Limiti_CDA[Data], TBL_Limiti_CDA[Etica Obbligazionario Breve Termine], , -1)</f>
        <v>0.5</v>
      </c>
      <c r="D486" cm="1">
        <f t="array" ref="D486">_xlfn.XLOOKUP(_xlfn.ANCHORARRAY(A486), TBL_Limiti_CDA[Data], TBL_Limiti_CDA[Etica Obbligazionario Misto], , -1)</f>
        <v>1</v>
      </c>
      <c r="E486" cm="1">
        <f t="array" ref="E486">_xlfn.XLOOKUP(_xlfn.ANCHORARRAY(A486), TBL_Limiti_CDA[Data], TBL_Limiti_CDA[Etica Bilanciato], , -1)</f>
        <v>3</v>
      </c>
      <c r="F486" cm="1">
        <f t="array" ref="F486">_xlfn.XLOOKUP(_xlfn.ANCHORARRAY(A486), TBL_Limiti_CDA[Data], TBL_Limiti_CDA[Etica Azionario], , -1)</f>
        <v>4.5</v>
      </c>
      <c r="G486" cm="1">
        <f t="array" ref="G486">_xlfn.XLOOKUP(_xlfn.ANCHORARRAY(A486), TBL_Limiti_CDA[Data], TBL_Limiti_CDA[Etica Transizione Climatica], , -1)</f>
        <v>3.5</v>
      </c>
      <c r="H486" cm="1">
        <f t="array" ref="H486">_xlfn.XLOOKUP(_xlfn.ANCHORARRAY(A486), TBL_Limiti_CDA[Data], TBL_Limiti_CDA[Etica Obiettivo Sociale], , -1)</f>
        <v>9.99</v>
      </c>
      <c r="I486" cm="1">
        <f t="array" ref="I486">_xlfn.XLOOKUP(_xlfn.ANCHORARRAY(A486), TBL_Limiti_CDA[Data], TBL_Limiti_CDA[Etica Conservative Allocation], , -1)</f>
        <v>1</v>
      </c>
      <c r="J486" cm="1">
        <f t="array" ref="J486">_xlfn.XLOOKUP(_xlfn.ANCHORARRAY(A486), TBL_Limiti_CDA[Data], TBL_Limiti_CDA[Etica Dynamic Allocation], , -1)</f>
        <v>3</v>
      </c>
      <c r="K486" cm="1">
        <f t="array" ref="K486">_xlfn.XLOOKUP(_xlfn.ANCHORARRAY(A486), TBL_Limiti_CDA[Data], TBL_Limiti_CDA[Etica Global Equity], , -1)</f>
        <v>4.5</v>
      </c>
      <c r="L486" cm="1">
        <f t="array" ref="L486">_xlfn.ANCHORARRAY(B486)+0.15</f>
        <v>2.65</v>
      </c>
      <c r="M486" cm="1">
        <f t="array" ref="M486">_xlfn.ANCHORARRAY(C486)+0.1</f>
        <v>0.6</v>
      </c>
      <c r="N486" cm="1">
        <f t="array" ref="N486">_xlfn.ANCHORARRAY(D486)+0.15</f>
        <v>1.1499999999999999</v>
      </c>
      <c r="O486" cm="1">
        <f t="array" ref="O486">_xlfn.ANCHORARRAY(E486)+0.15</f>
        <v>3.15</v>
      </c>
      <c r="P486" cm="1">
        <f t="array" ref="P486">_xlfn.ANCHORARRAY(F486)+0.15</f>
        <v>4.6500000000000004</v>
      </c>
      <c r="Q486" cm="1">
        <f t="array" ref="Q486">_xlfn.ANCHORARRAY(G486)+0.15</f>
        <v>3.65</v>
      </c>
      <c r="R486" cm="1">
        <f t="array" ref="R486">_xlfn.ANCHORARRAY(H486)</f>
        <v>9.99</v>
      </c>
      <c r="S486" cm="1">
        <f t="array" ref="S486">_xlfn.ANCHORARRAY(R486)+0.15</f>
        <v>10.14</v>
      </c>
      <c r="T486" cm="1">
        <f t="array" ref="T486">_xlfn.ANCHORARRAY(I486)+0.15</f>
        <v>1.1499999999999999</v>
      </c>
      <c r="U486" cm="1">
        <f t="array" ref="U486">_xlfn.ANCHORARRAY(J486)+0.15</f>
        <v>3.15</v>
      </c>
      <c r="V486" cm="1">
        <f t="array" ref="V486">_xlfn.ANCHORARRAY(K486)+0.15</f>
        <v>4.6500000000000004</v>
      </c>
      <c r="W486">
        <f>TBL_TEV[[#This Row],[Etica Rendita Bilanciata]]</f>
        <v>1.664601</v>
      </c>
      <c r="X486">
        <f>TBL_TEV[[#This Row],[Etica Obbligazionario Breve Termine]]</f>
        <v>0.24748400000000001</v>
      </c>
      <c r="Y486">
        <f>TBL_TEV[[#This Row],[Etica Obbligazionario Misto]]</f>
        <v>0.84753999999999996</v>
      </c>
      <c r="Z486">
        <f>TBL_TEV[[#This Row],[Etica Bilanciato]]</f>
        <v>2.4070520000000002</v>
      </c>
      <c r="AA486">
        <f>TBL_TEV[[#This Row],[Etica Azionario]]</f>
        <v>3.5262039999999999</v>
      </c>
      <c r="AB486">
        <f>TBL_TEV[[#This Row],[Etica Transizione Climatica]]</f>
        <v>2.8121689999999999</v>
      </c>
      <c r="AC486">
        <f>TBL_TEV[[#This Row],[Etica Obiettivo Sociale]]</f>
        <v>7.5093494459848973</v>
      </c>
      <c r="AD486">
        <f>TBL_TEV[[#This Row],[Etica Conservative Allocation]]</f>
        <v>0.66196699999999997</v>
      </c>
      <c r="AE486">
        <f>TBL_TEV[[#This Row],[Etica Dynamic Allocation]]</f>
        <v>2.3270439999999999</v>
      </c>
      <c r="AF486">
        <f>TBL_TEV[[#This Row],[Etica Global Equity]]</f>
        <v>3.4784220000000001</v>
      </c>
      <c r="AL486">
        <f ca="1"/>
        <v>1.641265</v>
      </c>
      <c r="AM486">
        <f ca="1"/>
        <v>0.24780099999999999</v>
      </c>
      <c r="AN486">
        <f ca="1"/>
        <v>0.86611300000000002</v>
      </c>
      <c r="AO486">
        <f ca="1"/>
        <v>2.5831</v>
      </c>
      <c r="AP486">
        <f ca="1"/>
        <v>3.799722</v>
      </c>
      <c r="AQ486">
        <f ca="1"/>
        <v>2.8977330000000001</v>
      </c>
      <c r="AR486">
        <f ca="1"/>
        <v>7.5377455636904198</v>
      </c>
      <c r="AS486">
        <f ca="1"/>
        <v>0.66561800000000004</v>
      </c>
      <c r="AT486">
        <f ca="1"/>
        <v>2.5248400000000002</v>
      </c>
      <c r="AU486">
        <f ca="1"/>
        <v>3.7697189999999998</v>
      </c>
    </row>
    <row r="487" spans="1:47">
      <c r="A487" s="43">
        <f>TBL_TEV[[#This Row],[Data2]]</f>
        <v>45986</v>
      </c>
      <c r="B487" cm="1">
        <f t="array" ref="B487">_xlfn.XLOOKUP(_xlfn.ANCHORARRAY(A487), TBL_Limiti_CDA[Data], TBL_Limiti_CDA[Etica Rendita Bilanciata], , -1)</f>
        <v>2.5</v>
      </c>
      <c r="C487" cm="1">
        <f t="array" ref="C487">_xlfn.XLOOKUP(_xlfn.ANCHORARRAY(A487), TBL_Limiti_CDA[Data], TBL_Limiti_CDA[Etica Obbligazionario Breve Termine], , -1)</f>
        <v>0.5</v>
      </c>
      <c r="D487" cm="1">
        <f t="array" ref="D487">_xlfn.XLOOKUP(_xlfn.ANCHORARRAY(A487), TBL_Limiti_CDA[Data], TBL_Limiti_CDA[Etica Obbligazionario Misto], , -1)</f>
        <v>1</v>
      </c>
      <c r="E487" cm="1">
        <f t="array" ref="E487">_xlfn.XLOOKUP(_xlfn.ANCHORARRAY(A487), TBL_Limiti_CDA[Data], TBL_Limiti_CDA[Etica Bilanciato], , -1)</f>
        <v>3</v>
      </c>
      <c r="F487" cm="1">
        <f t="array" ref="F487">_xlfn.XLOOKUP(_xlfn.ANCHORARRAY(A487), TBL_Limiti_CDA[Data], TBL_Limiti_CDA[Etica Azionario], , -1)</f>
        <v>4.5</v>
      </c>
      <c r="G487" cm="1">
        <f t="array" ref="G487">_xlfn.XLOOKUP(_xlfn.ANCHORARRAY(A487), TBL_Limiti_CDA[Data], TBL_Limiti_CDA[Etica Transizione Climatica], , -1)</f>
        <v>3.5</v>
      </c>
      <c r="H487" cm="1">
        <f t="array" ref="H487">_xlfn.XLOOKUP(_xlfn.ANCHORARRAY(A487), TBL_Limiti_CDA[Data], TBL_Limiti_CDA[Etica Obiettivo Sociale], , -1)</f>
        <v>9.99</v>
      </c>
      <c r="I487" cm="1">
        <f t="array" ref="I487">_xlfn.XLOOKUP(_xlfn.ANCHORARRAY(A487), TBL_Limiti_CDA[Data], TBL_Limiti_CDA[Etica Conservative Allocation], , -1)</f>
        <v>1</v>
      </c>
      <c r="J487" cm="1">
        <f t="array" ref="J487">_xlfn.XLOOKUP(_xlfn.ANCHORARRAY(A487), TBL_Limiti_CDA[Data], TBL_Limiti_CDA[Etica Dynamic Allocation], , -1)</f>
        <v>3</v>
      </c>
      <c r="K487" cm="1">
        <f t="array" ref="K487">_xlfn.XLOOKUP(_xlfn.ANCHORARRAY(A487), TBL_Limiti_CDA[Data], TBL_Limiti_CDA[Etica Global Equity], , -1)</f>
        <v>4.5</v>
      </c>
      <c r="L487" cm="1">
        <f t="array" ref="L487">_xlfn.ANCHORARRAY(B487)+0.15</f>
        <v>2.65</v>
      </c>
      <c r="M487" cm="1">
        <f t="array" ref="M487">_xlfn.ANCHORARRAY(C487)+0.1</f>
        <v>0.6</v>
      </c>
      <c r="N487" cm="1">
        <f t="array" ref="N487">_xlfn.ANCHORARRAY(D487)+0.15</f>
        <v>1.1499999999999999</v>
      </c>
      <c r="O487" cm="1">
        <f t="array" ref="O487">_xlfn.ANCHORARRAY(E487)+0.15</f>
        <v>3.15</v>
      </c>
      <c r="P487" cm="1">
        <f t="array" ref="P487">_xlfn.ANCHORARRAY(F487)+0.15</f>
        <v>4.6500000000000004</v>
      </c>
      <c r="Q487" cm="1">
        <f t="array" ref="Q487">_xlfn.ANCHORARRAY(G487)+0.15</f>
        <v>3.65</v>
      </c>
      <c r="R487" cm="1">
        <f t="array" ref="R487">_xlfn.ANCHORARRAY(H487)</f>
        <v>9.99</v>
      </c>
      <c r="S487" cm="1">
        <f t="array" ref="S487">_xlfn.ANCHORARRAY(R487)+0.15</f>
        <v>10.14</v>
      </c>
      <c r="T487" cm="1">
        <f t="array" ref="T487">_xlfn.ANCHORARRAY(I487)+0.15</f>
        <v>1.1499999999999999</v>
      </c>
      <c r="U487" cm="1">
        <f t="array" ref="U487">_xlfn.ANCHORARRAY(J487)+0.15</f>
        <v>3.15</v>
      </c>
      <c r="V487" cm="1">
        <f t="array" ref="V487">_xlfn.ANCHORARRAY(K487)+0.15</f>
        <v>4.6500000000000004</v>
      </c>
      <c r="W487">
        <f>TBL_TEV[[#This Row],[Etica Rendita Bilanciata]]</f>
        <v>1.641265</v>
      </c>
      <c r="X487">
        <f>TBL_TEV[[#This Row],[Etica Obbligazionario Breve Termine]]</f>
        <v>0.24780099999999999</v>
      </c>
      <c r="Y487">
        <f>TBL_TEV[[#This Row],[Etica Obbligazionario Misto]]</f>
        <v>0.86611300000000002</v>
      </c>
      <c r="Z487">
        <f>TBL_TEV[[#This Row],[Etica Bilanciato]]</f>
        <v>2.5831</v>
      </c>
      <c r="AA487">
        <f>TBL_TEV[[#This Row],[Etica Azionario]]</f>
        <v>3.799722</v>
      </c>
      <c r="AB487">
        <f>TBL_TEV[[#This Row],[Etica Transizione Climatica]]</f>
        <v>2.8977330000000001</v>
      </c>
      <c r="AC487">
        <f>TBL_TEV[[#This Row],[Etica Obiettivo Sociale]]</f>
        <v>7.5377455636904198</v>
      </c>
      <c r="AD487">
        <f>TBL_TEV[[#This Row],[Etica Conservative Allocation]]</f>
        <v>0.66561800000000004</v>
      </c>
      <c r="AE487">
        <f>TBL_TEV[[#This Row],[Etica Dynamic Allocation]]</f>
        <v>2.5248400000000002</v>
      </c>
      <c r="AF487">
        <f>TBL_TEV[[#This Row],[Etica Global Equity]]</f>
        <v>3.7697189999999998</v>
      </c>
      <c r="AL487">
        <f ca="1"/>
        <v>1.6374550000000001</v>
      </c>
      <c r="AM487">
        <f ca="1"/>
        <v>0.24684900000000001</v>
      </c>
      <c r="AN487">
        <f ca="1"/>
        <v>0.86563699999999999</v>
      </c>
      <c r="AO487">
        <f ca="1"/>
        <v>2.5853220000000001</v>
      </c>
      <c r="AP487">
        <f ca="1"/>
        <v>3.7976589999999999</v>
      </c>
      <c r="AQ487">
        <f ca="1"/>
        <v>2.8997959999999998</v>
      </c>
      <c r="AR487">
        <f ca="1"/>
        <v>7.3719087753384986</v>
      </c>
      <c r="AS487">
        <f ca="1"/>
        <v>0.66276100000000004</v>
      </c>
      <c r="AT487">
        <f ca="1"/>
        <v>2.5254750000000001</v>
      </c>
      <c r="AU487">
        <f ca="1"/>
        <v>3.7762280000000001</v>
      </c>
    </row>
    <row r="488" spans="1:47">
      <c r="A488" s="43">
        <f>TBL_TEV[[#This Row],[Data2]]</f>
        <v>45987</v>
      </c>
      <c r="B488" cm="1">
        <f t="array" ref="B488">_xlfn.XLOOKUP(_xlfn.ANCHORARRAY(A488), TBL_Limiti_CDA[Data], TBL_Limiti_CDA[Etica Rendita Bilanciata], , -1)</f>
        <v>2.5</v>
      </c>
      <c r="C488" cm="1">
        <f t="array" ref="C488">_xlfn.XLOOKUP(_xlfn.ANCHORARRAY(A488), TBL_Limiti_CDA[Data], TBL_Limiti_CDA[Etica Obbligazionario Breve Termine], , -1)</f>
        <v>0.5</v>
      </c>
      <c r="D488" cm="1">
        <f t="array" ref="D488">_xlfn.XLOOKUP(_xlfn.ANCHORARRAY(A488), TBL_Limiti_CDA[Data], TBL_Limiti_CDA[Etica Obbligazionario Misto], , -1)</f>
        <v>1</v>
      </c>
      <c r="E488" cm="1">
        <f t="array" ref="E488">_xlfn.XLOOKUP(_xlfn.ANCHORARRAY(A488), TBL_Limiti_CDA[Data], TBL_Limiti_CDA[Etica Bilanciato], , -1)</f>
        <v>3</v>
      </c>
      <c r="F488" cm="1">
        <f t="array" ref="F488">_xlfn.XLOOKUP(_xlfn.ANCHORARRAY(A488), TBL_Limiti_CDA[Data], TBL_Limiti_CDA[Etica Azionario], , -1)</f>
        <v>4.5</v>
      </c>
      <c r="G488" cm="1">
        <f t="array" ref="G488">_xlfn.XLOOKUP(_xlfn.ANCHORARRAY(A488), TBL_Limiti_CDA[Data], TBL_Limiti_CDA[Etica Transizione Climatica], , -1)</f>
        <v>3.5</v>
      </c>
      <c r="H488" cm="1">
        <f t="array" ref="H488">_xlfn.XLOOKUP(_xlfn.ANCHORARRAY(A488), TBL_Limiti_CDA[Data], TBL_Limiti_CDA[Etica Obiettivo Sociale], , -1)</f>
        <v>9.99</v>
      </c>
      <c r="I488" cm="1">
        <f t="array" ref="I488">_xlfn.XLOOKUP(_xlfn.ANCHORARRAY(A488), TBL_Limiti_CDA[Data], TBL_Limiti_CDA[Etica Conservative Allocation], , -1)</f>
        <v>1</v>
      </c>
      <c r="J488" cm="1">
        <f t="array" ref="J488">_xlfn.XLOOKUP(_xlfn.ANCHORARRAY(A488), TBL_Limiti_CDA[Data], TBL_Limiti_CDA[Etica Dynamic Allocation], , -1)</f>
        <v>3</v>
      </c>
      <c r="K488" cm="1">
        <f t="array" ref="K488">_xlfn.XLOOKUP(_xlfn.ANCHORARRAY(A488), TBL_Limiti_CDA[Data], TBL_Limiti_CDA[Etica Global Equity], , -1)</f>
        <v>4.5</v>
      </c>
      <c r="L488" cm="1">
        <f t="array" ref="L488">_xlfn.ANCHORARRAY(B488)+0.15</f>
        <v>2.65</v>
      </c>
      <c r="M488" cm="1">
        <f t="array" ref="M488">_xlfn.ANCHORARRAY(C488)+0.1</f>
        <v>0.6</v>
      </c>
      <c r="N488" cm="1">
        <f t="array" ref="N488">_xlfn.ANCHORARRAY(D488)+0.15</f>
        <v>1.1499999999999999</v>
      </c>
      <c r="O488" cm="1">
        <f t="array" ref="O488">_xlfn.ANCHORARRAY(E488)+0.15</f>
        <v>3.15</v>
      </c>
      <c r="P488" cm="1">
        <f t="array" ref="P488">_xlfn.ANCHORARRAY(F488)+0.15</f>
        <v>4.6500000000000004</v>
      </c>
      <c r="Q488" cm="1">
        <f t="array" ref="Q488">_xlfn.ANCHORARRAY(G488)+0.15</f>
        <v>3.65</v>
      </c>
      <c r="R488" cm="1">
        <f t="array" ref="R488">_xlfn.ANCHORARRAY(H488)</f>
        <v>9.99</v>
      </c>
      <c r="S488" cm="1">
        <f t="array" ref="S488">_xlfn.ANCHORARRAY(R488)+0.15</f>
        <v>10.14</v>
      </c>
      <c r="T488" cm="1">
        <f t="array" ref="T488">_xlfn.ANCHORARRAY(I488)+0.15</f>
        <v>1.1499999999999999</v>
      </c>
      <c r="U488" cm="1">
        <f t="array" ref="U488">_xlfn.ANCHORARRAY(J488)+0.15</f>
        <v>3.15</v>
      </c>
      <c r="V488" cm="1">
        <f t="array" ref="V488">_xlfn.ANCHORARRAY(K488)+0.15</f>
        <v>4.6500000000000004</v>
      </c>
      <c r="W488">
        <f>TBL_TEV[[#This Row],[Etica Rendita Bilanciata]]</f>
        <v>1.6374550000000001</v>
      </c>
      <c r="X488">
        <f>TBL_TEV[[#This Row],[Etica Obbligazionario Breve Termine]]</f>
        <v>0.24684900000000001</v>
      </c>
      <c r="Y488">
        <f>TBL_TEV[[#This Row],[Etica Obbligazionario Misto]]</f>
        <v>0.86563699999999999</v>
      </c>
      <c r="Z488">
        <f>TBL_TEV[[#This Row],[Etica Bilanciato]]</f>
        <v>2.5853220000000001</v>
      </c>
      <c r="AA488">
        <f>TBL_TEV[[#This Row],[Etica Azionario]]</f>
        <v>3.7976589999999999</v>
      </c>
      <c r="AB488">
        <f>TBL_TEV[[#This Row],[Etica Transizione Climatica]]</f>
        <v>2.8997959999999998</v>
      </c>
      <c r="AC488">
        <f>TBL_TEV[[#This Row],[Etica Obiettivo Sociale]]</f>
        <v>7.3719087753384986</v>
      </c>
      <c r="AD488">
        <f>TBL_TEV[[#This Row],[Etica Conservative Allocation]]</f>
        <v>0.66276100000000004</v>
      </c>
      <c r="AE488">
        <f>TBL_TEV[[#This Row],[Etica Dynamic Allocation]]</f>
        <v>2.5254750000000001</v>
      </c>
      <c r="AF488">
        <f>TBL_TEV[[#This Row],[Etica Global Equity]]</f>
        <v>3.7762280000000001</v>
      </c>
      <c r="AL488">
        <f ca="1"/>
        <v>1.6434880000000001</v>
      </c>
      <c r="AM488">
        <f ca="1"/>
        <v>0.24573700000000001</v>
      </c>
      <c r="AN488">
        <f ca="1"/>
        <v>0.87754299999999996</v>
      </c>
      <c r="AO488">
        <f ca="1"/>
        <v>2.5775440000000001</v>
      </c>
      <c r="AP488">
        <f ca="1"/>
        <v>3.7838479999999999</v>
      </c>
      <c r="AQ488">
        <f ca="1"/>
        <v>2.8910650000000002</v>
      </c>
      <c r="AR488">
        <f ca="1"/>
        <v>7.3608076188302061</v>
      </c>
      <c r="AS488">
        <f ca="1"/>
        <v>0.66037999999999997</v>
      </c>
      <c r="AT488">
        <f ca="1"/>
        <v>2.5162680000000002</v>
      </c>
      <c r="AU488">
        <f ca="1"/>
        <v>3.7621000000000002</v>
      </c>
    </row>
    <row r="489" spans="1:47">
      <c r="A489" s="43">
        <f>TBL_TEV[[#This Row],[Data2]]</f>
        <v>45988</v>
      </c>
      <c r="B489" cm="1">
        <f t="array" ref="B489">_xlfn.XLOOKUP(_xlfn.ANCHORARRAY(A489), TBL_Limiti_CDA[Data], TBL_Limiti_CDA[Etica Rendita Bilanciata], , -1)</f>
        <v>2.5</v>
      </c>
      <c r="C489" cm="1">
        <f t="array" ref="C489">_xlfn.XLOOKUP(_xlfn.ANCHORARRAY(A489), TBL_Limiti_CDA[Data], TBL_Limiti_CDA[Etica Obbligazionario Breve Termine], , -1)</f>
        <v>0.5</v>
      </c>
      <c r="D489" cm="1">
        <f t="array" ref="D489">_xlfn.XLOOKUP(_xlfn.ANCHORARRAY(A489), TBL_Limiti_CDA[Data], TBL_Limiti_CDA[Etica Obbligazionario Misto], , -1)</f>
        <v>1</v>
      </c>
      <c r="E489" cm="1">
        <f t="array" ref="E489">_xlfn.XLOOKUP(_xlfn.ANCHORARRAY(A489), TBL_Limiti_CDA[Data], TBL_Limiti_CDA[Etica Bilanciato], , -1)</f>
        <v>3</v>
      </c>
      <c r="F489" cm="1">
        <f t="array" ref="F489">_xlfn.XLOOKUP(_xlfn.ANCHORARRAY(A489), TBL_Limiti_CDA[Data], TBL_Limiti_CDA[Etica Azionario], , -1)</f>
        <v>4.5</v>
      </c>
      <c r="G489" cm="1">
        <f t="array" ref="G489">_xlfn.XLOOKUP(_xlfn.ANCHORARRAY(A489), TBL_Limiti_CDA[Data], TBL_Limiti_CDA[Etica Transizione Climatica], , -1)</f>
        <v>3.5</v>
      </c>
      <c r="H489" cm="1">
        <f t="array" ref="H489">_xlfn.XLOOKUP(_xlfn.ANCHORARRAY(A489), TBL_Limiti_CDA[Data], TBL_Limiti_CDA[Etica Obiettivo Sociale], , -1)</f>
        <v>9.99</v>
      </c>
      <c r="I489" cm="1">
        <f t="array" ref="I489">_xlfn.XLOOKUP(_xlfn.ANCHORARRAY(A489), TBL_Limiti_CDA[Data], TBL_Limiti_CDA[Etica Conservative Allocation], , -1)</f>
        <v>1</v>
      </c>
      <c r="J489" cm="1">
        <f t="array" ref="J489">_xlfn.XLOOKUP(_xlfn.ANCHORARRAY(A489), TBL_Limiti_CDA[Data], TBL_Limiti_CDA[Etica Dynamic Allocation], , -1)</f>
        <v>3</v>
      </c>
      <c r="K489" cm="1">
        <f t="array" ref="K489">_xlfn.XLOOKUP(_xlfn.ANCHORARRAY(A489), TBL_Limiti_CDA[Data], TBL_Limiti_CDA[Etica Global Equity], , -1)</f>
        <v>4.5</v>
      </c>
      <c r="L489" cm="1">
        <f t="array" ref="L489">_xlfn.ANCHORARRAY(B489)+0.15</f>
        <v>2.65</v>
      </c>
      <c r="M489" cm="1">
        <f t="array" ref="M489">_xlfn.ANCHORARRAY(C489)+0.1</f>
        <v>0.6</v>
      </c>
      <c r="N489" cm="1">
        <f t="array" ref="N489">_xlfn.ANCHORARRAY(D489)+0.15</f>
        <v>1.1499999999999999</v>
      </c>
      <c r="O489" cm="1">
        <f t="array" ref="O489">_xlfn.ANCHORARRAY(E489)+0.15</f>
        <v>3.15</v>
      </c>
      <c r="P489" cm="1">
        <f t="array" ref="P489">_xlfn.ANCHORARRAY(F489)+0.15</f>
        <v>4.6500000000000004</v>
      </c>
      <c r="Q489" cm="1">
        <f t="array" ref="Q489">_xlfn.ANCHORARRAY(G489)+0.15</f>
        <v>3.65</v>
      </c>
      <c r="R489" cm="1">
        <f t="array" ref="R489">_xlfn.ANCHORARRAY(H489)</f>
        <v>9.99</v>
      </c>
      <c r="S489" cm="1">
        <f t="array" ref="S489">_xlfn.ANCHORARRAY(R489)+0.15</f>
        <v>10.14</v>
      </c>
      <c r="T489" cm="1">
        <f t="array" ref="T489">_xlfn.ANCHORARRAY(I489)+0.15</f>
        <v>1.1499999999999999</v>
      </c>
      <c r="U489" cm="1">
        <f t="array" ref="U489">_xlfn.ANCHORARRAY(J489)+0.15</f>
        <v>3.15</v>
      </c>
      <c r="V489" cm="1">
        <f t="array" ref="V489">_xlfn.ANCHORARRAY(K489)+0.15</f>
        <v>4.6500000000000004</v>
      </c>
      <c r="W489">
        <f>TBL_TEV[[#This Row],[Etica Rendita Bilanciata]]</f>
        <v>1.6434880000000001</v>
      </c>
      <c r="X489">
        <f>TBL_TEV[[#This Row],[Etica Obbligazionario Breve Termine]]</f>
        <v>0.24573700000000001</v>
      </c>
      <c r="Y489">
        <f>TBL_TEV[[#This Row],[Etica Obbligazionario Misto]]</f>
        <v>0.87754299999999996</v>
      </c>
      <c r="Z489">
        <f>TBL_TEV[[#This Row],[Etica Bilanciato]]</f>
        <v>2.5775440000000001</v>
      </c>
      <c r="AA489">
        <f>TBL_TEV[[#This Row],[Etica Azionario]]</f>
        <v>3.7838479999999999</v>
      </c>
      <c r="AB489">
        <f>TBL_TEV[[#This Row],[Etica Transizione Climatica]]</f>
        <v>2.8910650000000002</v>
      </c>
      <c r="AC489">
        <f>TBL_TEV[[#This Row],[Etica Obiettivo Sociale]]</f>
        <v>7.3608076188302061</v>
      </c>
      <c r="AD489">
        <f>TBL_TEV[[#This Row],[Etica Conservative Allocation]]</f>
        <v>0.66037999999999997</v>
      </c>
      <c r="AE489">
        <f>TBL_TEV[[#This Row],[Etica Dynamic Allocation]]</f>
        <v>2.5162680000000002</v>
      </c>
      <c r="AF489">
        <f>TBL_TEV[[#This Row],[Etica Global Equity]]</f>
        <v>3.7621000000000002</v>
      </c>
      <c r="AL489">
        <f ca="1"/>
        <v>1.638884</v>
      </c>
      <c r="AM489">
        <f ca="1"/>
        <v>0.21351200000000001</v>
      </c>
      <c r="AN489">
        <f ca="1"/>
        <v>0.86420799999999998</v>
      </c>
      <c r="AO489">
        <f ca="1"/>
        <v>2.577385</v>
      </c>
      <c r="AP489">
        <f ca="1"/>
        <v>3.7946420000000001</v>
      </c>
      <c r="AQ489">
        <f ca="1"/>
        <v>2.8932880000000001</v>
      </c>
      <c r="AR489">
        <f ca="1"/>
        <v>7.2532542679357386</v>
      </c>
      <c r="AS489">
        <f ca="1"/>
        <v>0.64815599999999995</v>
      </c>
      <c r="AT489">
        <f ca="1"/>
        <v>2.5216660000000002</v>
      </c>
      <c r="AU489">
        <f ca="1"/>
        <v>3.8403610000000001</v>
      </c>
    </row>
    <row r="490" spans="1:47">
      <c r="A490" s="43">
        <f>TBL_TEV[[#This Row],[Data2]]</f>
        <v>45989</v>
      </c>
      <c r="B490" cm="1">
        <f t="array" ref="B490">_xlfn.XLOOKUP(_xlfn.ANCHORARRAY(A490), TBL_Limiti_CDA[Data], TBL_Limiti_CDA[Etica Rendita Bilanciata], , -1)</f>
        <v>2.5</v>
      </c>
      <c r="C490" cm="1">
        <f t="array" ref="C490">_xlfn.XLOOKUP(_xlfn.ANCHORARRAY(A490), TBL_Limiti_CDA[Data], TBL_Limiti_CDA[Etica Obbligazionario Breve Termine], , -1)</f>
        <v>0.5</v>
      </c>
      <c r="D490" cm="1">
        <f t="array" ref="D490">_xlfn.XLOOKUP(_xlfn.ANCHORARRAY(A490), TBL_Limiti_CDA[Data], TBL_Limiti_CDA[Etica Obbligazionario Misto], , -1)</f>
        <v>1</v>
      </c>
      <c r="E490" cm="1">
        <f t="array" ref="E490">_xlfn.XLOOKUP(_xlfn.ANCHORARRAY(A490), TBL_Limiti_CDA[Data], TBL_Limiti_CDA[Etica Bilanciato], , -1)</f>
        <v>3</v>
      </c>
      <c r="F490" cm="1">
        <f t="array" ref="F490">_xlfn.XLOOKUP(_xlfn.ANCHORARRAY(A490), TBL_Limiti_CDA[Data], TBL_Limiti_CDA[Etica Azionario], , -1)</f>
        <v>4.5</v>
      </c>
      <c r="G490" cm="1">
        <f t="array" ref="G490">_xlfn.XLOOKUP(_xlfn.ANCHORARRAY(A490), TBL_Limiti_CDA[Data], TBL_Limiti_CDA[Etica Transizione Climatica], , -1)</f>
        <v>3.5</v>
      </c>
      <c r="H490" cm="1">
        <f t="array" ref="H490">_xlfn.XLOOKUP(_xlfn.ANCHORARRAY(A490), TBL_Limiti_CDA[Data], TBL_Limiti_CDA[Etica Obiettivo Sociale], , -1)</f>
        <v>9.99</v>
      </c>
      <c r="I490" cm="1">
        <f t="array" ref="I490">_xlfn.XLOOKUP(_xlfn.ANCHORARRAY(A490), TBL_Limiti_CDA[Data], TBL_Limiti_CDA[Etica Conservative Allocation], , -1)</f>
        <v>1</v>
      </c>
      <c r="J490" cm="1">
        <f t="array" ref="J490">_xlfn.XLOOKUP(_xlfn.ANCHORARRAY(A490), TBL_Limiti_CDA[Data], TBL_Limiti_CDA[Etica Dynamic Allocation], , -1)</f>
        <v>3</v>
      </c>
      <c r="K490" cm="1">
        <f t="array" ref="K490">_xlfn.XLOOKUP(_xlfn.ANCHORARRAY(A490), TBL_Limiti_CDA[Data], TBL_Limiti_CDA[Etica Global Equity], , -1)</f>
        <v>4.5</v>
      </c>
      <c r="L490" cm="1">
        <f t="array" ref="L490">_xlfn.ANCHORARRAY(B490)+0.15</f>
        <v>2.65</v>
      </c>
      <c r="M490" cm="1">
        <f t="array" ref="M490">_xlfn.ANCHORARRAY(C490)+0.1</f>
        <v>0.6</v>
      </c>
      <c r="N490" cm="1">
        <f t="array" ref="N490">_xlfn.ANCHORARRAY(D490)+0.15</f>
        <v>1.1499999999999999</v>
      </c>
      <c r="O490" cm="1">
        <f t="array" ref="O490">_xlfn.ANCHORARRAY(E490)+0.15</f>
        <v>3.15</v>
      </c>
      <c r="P490" cm="1">
        <f t="array" ref="P490">_xlfn.ANCHORARRAY(F490)+0.15</f>
        <v>4.6500000000000004</v>
      </c>
      <c r="Q490" cm="1">
        <f t="array" ref="Q490">_xlfn.ANCHORARRAY(G490)+0.15</f>
        <v>3.65</v>
      </c>
      <c r="R490" cm="1">
        <f t="array" ref="R490">_xlfn.ANCHORARRAY(H490)</f>
        <v>9.99</v>
      </c>
      <c r="S490" cm="1">
        <f t="array" ref="S490">_xlfn.ANCHORARRAY(R490)+0.15</f>
        <v>10.14</v>
      </c>
      <c r="T490" cm="1">
        <f t="array" ref="T490">_xlfn.ANCHORARRAY(I490)+0.15</f>
        <v>1.1499999999999999</v>
      </c>
      <c r="U490" cm="1">
        <f t="array" ref="U490">_xlfn.ANCHORARRAY(J490)+0.15</f>
        <v>3.15</v>
      </c>
      <c r="V490" cm="1">
        <f t="array" ref="V490">_xlfn.ANCHORARRAY(K490)+0.15</f>
        <v>4.6500000000000004</v>
      </c>
      <c r="W490">
        <f>TBL_TEV[[#This Row],[Etica Rendita Bilanciata]]</f>
        <v>1.638884</v>
      </c>
      <c r="X490">
        <f>TBL_TEV[[#This Row],[Etica Obbligazionario Breve Termine]]</f>
        <v>0.21351200000000001</v>
      </c>
      <c r="Y490">
        <f>TBL_TEV[[#This Row],[Etica Obbligazionario Misto]]</f>
        <v>0.86420799999999998</v>
      </c>
      <c r="Z490">
        <f>TBL_TEV[[#This Row],[Etica Bilanciato]]</f>
        <v>2.577385</v>
      </c>
      <c r="AA490">
        <f>TBL_TEV[[#This Row],[Etica Azionario]]</f>
        <v>3.7946420000000001</v>
      </c>
      <c r="AB490">
        <f>TBL_TEV[[#This Row],[Etica Transizione Climatica]]</f>
        <v>2.8932880000000001</v>
      </c>
      <c r="AC490">
        <f>TBL_TEV[[#This Row],[Etica Obiettivo Sociale]]</f>
        <v>7.2532542679357386</v>
      </c>
      <c r="AD490">
        <f>TBL_TEV[[#This Row],[Etica Conservative Allocation]]</f>
        <v>0.64815599999999995</v>
      </c>
      <c r="AE490">
        <f>TBL_TEV[[#This Row],[Etica Dynamic Allocation]]</f>
        <v>2.5216660000000002</v>
      </c>
      <c r="AF490">
        <f>TBL_TEV[[#This Row],[Etica Global Equity]]</f>
        <v>3.8403610000000001</v>
      </c>
      <c r="AL490">
        <f ca="1"/>
        <v>1.6255500000000001</v>
      </c>
      <c r="AM490">
        <f ca="1"/>
        <v>0.21176600000000001</v>
      </c>
      <c r="AN490">
        <f ca="1"/>
        <v>0.85976300000000005</v>
      </c>
      <c r="AO490">
        <f ca="1"/>
        <v>2.5605579999999999</v>
      </c>
      <c r="AP490">
        <f ca="1"/>
        <v>3.777498</v>
      </c>
      <c r="AQ490">
        <f ca="1"/>
        <v>2.871381</v>
      </c>
      <c r="AR490">
        <f ca="1"/>
        <v>7.3253427364069026</v>
      </c>
      <c r="AS490">
        <f ca="1"/>
        <v>0.640378</v>
      </c>
      <c r="AT490">
        <f ca="1"/>
        <v>2.508966</v>
      </c>
      <c r="AU490">
        <f ca="1"/>
        <v>3.763528</v>
      </c>
    </row>
    <row r="491" spans="1:47">
      <c r="A491" s="43">
        <f>TBL_TEV[[#This Row],[Data2]]</f>
        <v>45992</v>
      </c>
      <c r="B491" cm="1">
        <f t="array" ref="B491">_xlfn.XLOOKUP(_xlfn.ANCHORARRAY(A491), TBL_Limiti_CDA[Data], TBL_Limiti_CDA[Etica Rendita Bilanciata], , -1)</f>
        <v>2.5</v>
      </c>
      <c r="C491" cm="1">
        <f t="array" ref="C491">_xlfn.XLOOKUP(_xlfn.ANCHORARRAY(A491), TBL_Limiti_CDA[Data], TBL_Limiti_CDA[Etica Obbligazionario Breve Termine], , -1)</f>
        <v>0.5</v>
      </c>
      <c r="D491" cm="1">
        <f t="array" ref="D491">_xlfn.XLOOKUP(_xlfn.ANCHORARRAY(A491), TBL_Limiti_CDA[Data], TBL_Limiti_CDA[Etica Obbligazionario Misto], , -1)</f>
        <v>1</v>
      </c>
      <c r="E491" cm="1">
        <f t="array" ref="E491">_xlfn.XLOOKUP(_xlfn.ANCHORARRAY(A491), TBL_Limiti_CDA[Data], TBL_Limiti_CDA[Etica Bilanciato], , -1)</f>
        <v>3</v>
      </c>
      <c r="F491" cm="1">
        <f t="array" ref="F491">_xlfn.XLOOKUP(_xlfn.ANCHORARRAY(A491), TBL_Limiti_CDA[Data], TBL_Limiti_CDA[Etica Azionario], , -1)</f>
        <v>4.5</v>
      </c>
      <c r="G491" cm="1">
        <f t="array" ref="G491">_xlfn.XLOOKUP(_xlfn.ANCHORARRAY(A491), TBL_Limiti_CDA[Data], TBL_Limiti_CDA[Etica Transizione Climatica], , -1)</f>
        <v>3.5</v>
      </c>
      <c r="H491" cm="1">
        <f t="array" ref="H491">_xlfn.XLOOKUP(_xlfn.ANCHORARRAY(A491), TBL_Limiti_CDA[Data], TBL_Limiti_CDA[Etica Obiettivo Sociale], , -1)</f>
        <v>9.99</v>
      </c>
      <c r="I491" cm="1">
        <f t="array" ref="I491">_xlfn.XLOOKUP(_xlfn.ANCHORARRAY(A491), TBL_Limiti_CDA[Data], TBL_Limiti_CDA[Etica Conservative Allocation], , -1)</f>
        <v>1</v>
      </c>
      <c r="J491" cm="1">
        <f t="array" ref="J491">_xlfn.XLOOKUP(_xlfn.ANCHORARRAY(A491), TBL_Limiti_CDA[Data], TBL_Limiti_CDA[Etica Dynamic Allocation], , -1)</f>
        <v>3</v>
      </c>
      <c r="K491" cm="1">
        <f t="array" ref="K491">_xlfn.XLOOKUP(_xlfn.ANCHORARRAY(A491), TBL_Limiti_CDA[Data], TBL_Limiti_CDA[Etica Global Equity], , -1)</f>
        <v>4.5</v>
      </c>
      <c r="L491" cm="1">
        <f t="array" ref="L491">_xlfn.ANCHORARRAY(B491)+0.15</f>
        <v>2.65</v>
      </c>
      <c r="M491" cm="1">
        <f t="array" ref="M491">_xlfn.ANCHORARRAY(C491)+0.1</f>
        <v>0.6</v>
      </c>
      <c r="N491" cm="1">
        <f t="array" ref="N491">_xlfn.ANCHORARRAY(D491)+0.15</f>
        <v>1.1499999999999999</v>
      </c>
      <c r="O491" cm="1">
        <f t="array" ref="O491">_xlfn.ANCHORARRAY(E491)+0.15</f>
        <v>3.15</v>
      </c>
      <c r="P491" cm="1">
        <f t="array" ref="P491">_xlfn.ANCHORARRAY(F491)+0.15</f>
        <v>4.6500000000000004</v>
      </c>
      <c r="Q491" cm="1">
        <f t="array" ref="Q491">_xlfn.ANCHORARRAY(G491)+0.15</f>
        <v>3.65</v>
      </c>
      <c r="R491" cm="1">
        <f t="array" ref="R491">_xlfn.ANCHORARRAY(H491)</f>
        <v>9.99</v>
      </c>
      <c r="S491" cm="1">
        <f t="array" ref="S491">_xlfn.ANCHORARRAY(R491)+0.15</f>
        <v>10.14</v>
      </c>
      <c r="T491" cm="1">
        <f t="array" ref="T491">_xlfn.ANCHORARRAY(I491)+0.15</f>
        <v>1.1499999999999999</v>
      </c>
      <c r="U491" cm="1">
        <f t="array" ref="U491">_xlfn.ANCHORARRAY(J491)+0.15</f>
        <v>3.15</v>
      </c>
      <c r="V491" cm="1">
        <f t="array" ref="V491">_xlfn.ANCHORARRAY(K491)+0.15</f>
        <v>4.6500000000000004</v>
      </c>
      <c r="W491">
        <f>TBL_TEV[[#This Row],[Etica Rendita Bilanciata]]</f>
        <v>1.6255500000000001</v>
      </c>
      <c r="X491">
        <f>TBL_TEV[[#This Row],[Etica Obbligazionario Breve Termine]]</f>
        <v>0.21176600000000001</v>
      </c>
      <c r="Y491">
        <f>TBL_TEV[[#This Row],[Etica Obbligazionario Misto]]</f>
        <v>0.85976300000000005</v>
      </c>
      <c r="Z491">
        <f>TBL_TEV[[#This Row],[Etica Bilanciato]]</f>
        <v>2.5605579999999999</v>
      </c>
      <c r="AA491">
        <f>TBL_TEV[[#This Row],[Etica Azionario]]</f>
        <v>3.777498</v>
      </c>
      <c r="AB491">
        <f>TBL_TEV[[#This Row],[Etica Transizione Climatica]]</f>
        <v>2.871381</v>
      </c>
      <c r="AC491">
        <f>TBL_TEV[[#This Row],[Etica Obiettivo Sociale]]</f>
        <v>7.3253427364069026</v>
      </c>
      <c r="AD491">
        <f>TBL_TEV[[#This Row],[Etica Conservative Allocation]]</f>
        <v>0.640378</v>
      </c>
      <c r="AE491">
        <f>TBL_TEV[[#This Row],[Etica Dynamic Allocation]]</f>
        <v>2.508966</v>
      </c>
      <c r="AF491">
        <f>TBL_TEV[[#This Row],[Etica Global Equity]]</f>
        <v>3.763528</v>
      </c>
      <c r="AL491">
        <f ca="1"/>
        <v>1.6325339999999999</v>
      </c>
      <c r="AM491">
        <f ca="1"/>
        <v>0.21002000000000001</v>
      </c>
      <c r="AN491">
        <f ca="1"/>
        <v>0.86293799999999998</v>
      </c>
      <c r="AO491">
        <f ca="1"/>
        <v>2.5831</v>
      </c>
      <c r="AP491">
        <f ca="1"/>
        <v>3.7854350000000001</v>
      </c>
      <c r="AQ491">
        <f ca="1"/>
        <v>2.875032</v>
      </c>
      <c r="AR491">
        <f ca="1"/>
        <v>7.3622720170478875</v>
      </c>
      <c r="AS491">
        <f ca="1"/>
        <v>0.64180599999999999</v>
      </c>
      <c r="AT491">
        <f ca="1"/>
        <v>2.5129350000000001</v>
      </c>
      <c r="AU491">
        <f ca="1"/>
        <v>3.7579720000000001</v>
      </c>
    </row>
    <row r="492" spans="1:47">
      <c r="A492" s="43">
        <f>TBL_TEV[[#This Row],[Data2]]</f>
        <v>45993</v>
      </c>
      <c r="B492" cm="1">
        <f t="array" ref="B492">_xlfn.XLOOKUP(_xlfn.ANCHORARRAY(A492), TBL_Limiti_CDA[Data], TBL_Limiti_CDA[Etica Rendita Bilanciata], , -1)</f>
        <v>2.5</v>
      </c>
      <c r="C492" cm="1">
        <f t="array" ref="C492">_xlfn.XLOOKUP(_xlfn.ANCHORARRAY(A492), TBL_Limiti_CDA[Data], TBL_Limiti_CDA[Etica Obbligazionario Breve Termine], , -1)</f>
        <v>0.5</v>
      </c>
      <c r="D492" cm="1">
        <f t="array" ref="D492">_xlfn.XLOOKUP(_xlfn.ANCHORARRAY(A492), TBL_Limiti_CDA[Data], TBL_Limiti_CDA[Etica Obbligazionario Misto], , -1)</f>
        <v>1</v>
      </c>
      <c r="E492" cm="1">
        <f t="array" ref="E492">_xlfn.XLOOKUP(_xlfn.ANCHORARRAY(A492), TBL_Limiti_CDA[Data], TBL_Limiti_CDA[Etica Bilanciato], , -1)</f>
        <v>3</v>
      </c>
      <c r="F492" cm="1">
        <f t="array" ref="F492">_xlfn.XLOOKUP(_xlfn.ANCHORARRAY(A492), TBL_Limiti_CDA[Data], TBL_Limiti_CDA[Etica Azionario], , -1)</f>
        <v>4.5</v>
      </c>
      <c r="G492" cm="1">
        <f t="array" ref="G492">_xlfn.XLOOKUP(_xlfn.ANCHORARRAY(A492), TBL_Limiti_CDA[Data], TBL_Limiti_CDA[Etica Transizione Climatica], , -1)</f>
        <v>3.5</v>
      </c>
      <c r="H492" cm="1">
        <f t="array" ref="H492">_xlfn.XLOOKUP(_xlfn.ANCHORARRAY(A492), TBL_Limiti_CDA[Data], TBL_Limiti_CDA[Etica Obiettivo Sociale], , -1)</f>
        <v>9.99</v>
      </c>
      <c r="I492" cm="1">
        <f t="array" ref="I492">_xlfn.XLOOKUP(_xlfn.ANCHORARRAY(A492), TBL_Limiti_CDA[Data], TBL_Limiti_CDA[Etica Conservative Allocation], , -1)</f>
        <v>1</v>
      </c>
      <c r="J492" cm="1">
        <f t="array" ref="J492">_xlfn.XLOOKUP(_xlfn.ANCHORARRAY(A492), TBL_Limiti_CDA[Data], TBL_Limiti_CDA[Etica Dynamic Allocation], , -1)</f>
        <v>3</v>
      </c>
      <c r="K492" cm="1">
        <f t="array" ref="K492">_xlfn.XLOOKUP(_xlfn.ANCHORARRAY(A492), TBL_Limiti_CDA[Data], TBL_Limiti_CDA[Etica Global Equity], , -1)</f>
        <v>4.5</v>
      </c>
      <c r="L492" cm="1">
        <f t="array" ref="L492">_xlfn.ANCHORARRAY(B492)+0.15</f>
        <v>2.65</v>
      </c>
      <c r="M492" cm="1">
        <f t="array" ref="M492">_xlfn.ANCHORARRAY(C492)+0.1</f>
        <v>0.6</v>
      </c>
      <c r="N492" cm="1">
        <f t="array" ref="N492">_xlfn.ANCHORARRAY(D492)+0.15</f>
        <v>1.1499999999999999</v>
      </c>
      <c r="O492" cm="1">
        <f t="array" ref="O492">_xlfn.ANCHORARRAY(E492)+0.15</f>
        <v>3.15</v>
      </c>
      <c r="P492" cm="1">
        <f t="array" ref="P492">_xlfn.ANCHORARRAY(F492)+0.15</f>
        <v>4.6500000000000004</v>
      </c>
      <c r="Q492" cm="1">
        <f t="array" ref="Q492">_xlfn.ANCHORARRAY(G492)+0.15</f>
        <v>3.65</v>
      </c>
      <c r="R492" cm="1">
        <f t="array" ref="R492">_xlfn.ANCHORARRAY(H492)</f>
        <v>9.99</v>
      </c>
      <c r="S492" cm="1">
        <f t="array" ref="S492">_xlfn.ANCHORARRAY(R492)+0.15</f>
        <v>10.14</v>
      </c>
      <c r="T492" cm="1">
        <f t="array" ref="T492">_xlfn.ANCHORARRAY(I492)+0.15</f>
        <v>1.1499999999999999</v>
      </c>
      <c r="U492" cm="1">
        <f t="array" ref="U492">_xlfn.ANCHORARRAY(J492)+0.15</f>
        <v>3.15</v>
      </c>
      <c r="V492" cm="1">
        <f t="array" ref="V492">_xlfn.ANCHORARRAY(K492)+0.15</f>
        <v>4.6500000000000004</v>
      </c>
      <c r="W492">
        <f>TBL_TEV[[#This Row],[Etica Rendita Bilanciata]]</f>
        <v>1.6325339999999999</v>
      </c>
      <c r="X492">
        <f>TBL_TEV[[#This Row],[Etica Obbligazionario Breve Termine]]</f>
        <v>0.21002000000000001</v>
      </c>
      <c r="Y492">
        <f>TBL_TEV[[#This Row],[Etica Obbligazionario Misto]]</f>
        <v>0.86293799999999998</v>
      </c>
      <c r="Z492">
        <f>TBL_TEV[[#This Row],[Etica Bilanciato]]</f>
        <v>2.5831</v>
      </c>
      <c r="AA492">
        <f>TBL_TEV[[#This Row],[Etica Azionario]]</f>
        <v>3.7854350000000001</v>
      </c>
      <c r="AB492">
        <f>TBL_TEV[[#This Row],[Etica Transizione Climatica]]</f>
        <v>2.875032</v>
      </c>
      <c r="AC492">
        <f>TBL_TEV[[#This Row],[Etica Obiettivo Sociale]]</f>
        <v>7.3622720170478875</v>
      </c>
      <c r="AD492">
        <f>TBL_TEV[[#This Row],[Etica Conservative Allocation]]</f>
        <v>0.64180599999999999</v>
      </c>
      <c r="AE492">
        <f>TBL_TEV[[#This Row],[Etica Dynamic Allocation]]</f>
        <v>2.5129350000000001</v>
      </c>
      <c r="AF492">
        <f>TBL_TEV[[#This Row],[Etica Global Equity]]</f>
        <v>3.7579720000000001</v>
      </c>
      <c r="AL492">
        <f ca="1"/>
        <v>1.638884</v>
      </c>
      <c r="AM492">
        <f ca="1"/>
        <v>0.20938499999999999</v>
      </c>
      <c r="AN492">
        <f ca="1"/>
        <v>0.86770099999999994</v>
      </c>
      <c r="AO492">
        <f ca="1"/>
        <v>2.5891320000000002</v>
      </c>
      <c r="AP492">
        <f ca="1"/>
        <v>3.791309</v>
      </c>
      <c r="AQ492">
        <f ca="1"/>
        <v>2.9410699999999999</v>
      </c>
      <c r="AR492">
        <f ca="1"/>
        <v>7.3440380907744167</v>
      </c>
      <c r="AS492">
        <f ca="1"/>
        <v>0.64387000000000005</v>
      </c>
      <c r="AT492">
        <f ca="1"/>
        <v>2.5238879999999999</v>
      </c>
      <c r="AU492">
        <f ca="1"/>
        <v>3.7701959999999999</v>
      </c>
    </row>
    <row r="493" spans="1:47">
      <c r="A493" s="43">
        <f>TBL_TEV[[#This Row],[Data2]]</f>
        <v>45994</v>
      </c>
      <c r="B493" cm="1">
        <f t="array" ref="B493">_xlfn.XLOOKUP(_xlfn.ANCHORARRAY(A493), TBL_Limiti_CDA[Data], TBL_Limiti_CDA[Etica Rendita Bilanciata], , -1)</f>
        <v>2.5</v>
      </c>
      <c r="C493" cm="1">
        <f t="array" ref="C493">_xlfn.XLOOKUP(_xlfn.ANCHORARRAY(A493), TBL_Limiti_CDA[Data], TBL_Limiti_CDA[Etica Obbligazionario Breve Termine], , -1)</f>
        <v>0.5</v>
      </c>
      <c r="D493" cm="1">
        <f t="array" ref="D493">_xlfn.XLOOKUP(_xlfn.ANCHORARRAY(A493), TBL_Limiti_CDA[Data], TBL_Limiti_CDA[Etica Obbligazionario Misto], , -1)</f>
        <v>1</v>
      </c>
      <c r="E493" cm="1">
        <f t="array" ref="E493">_xlfn.XLOOKUP(_xlfn.ANCHORARRAY(A493), TBL_Limiti_CDA[Data], TBL_Limiti_CDA[Etica Bilanciato], , -1)</f>
        <v>3</v>
      </c>
      <c r="F493" cm="1">
        <f t="array" ref="F493">_xlfn.XLOOKUP(_xlfn.ANCHORARRAY(A493), TBL_Limiti_CDA[Data], TBL_Limiti_CDA[Etica Azionario], , -1)</f>
        <v>4.5</v>
      </c>
      <c r="G493" cm="1">
        <f t="array" ref="G493">_xlfn.XLOOKUP(_xlfn.ANCHORARRAY(A493), TBL_Limiti_CDA[Data], TBL_Limiti_CDA[Etica Transizione Climatica], , -1)</f>
        <v>3.5</v>
      </c>
      <c r="H493" cm="1">
        <f t="array" ref="H493">_xlfn.XLOOKUP(_xlfn.ANCHORARRAY(A493), TBL_Limiti_CDA[Data], TBL_Limiti_CDA[Etica Obiettivo Sociale], , -1)</f>
        <v>9.99</v>
      </c>
      <c r="I493" cm="1">
        <f t="array" ref="I493">_xlfn.XLOOKUP(_xlfn.ANCHORARRAY(A493), TBL_Limiti_CDA[Data], TBL_Limiti_CDA[Etica Conservative Allocation], , -1)</f>
        <v>1</v>
      </c>
      <c r="J493" cm="1">
        <f t="array" ref="J493">_xlfn.XLOOKUP(_xlfn.ANCHORARRAY(A493), TBL_Limiti_CDA[Data], TBL_Limiti_CDA[Etica Dynamic Allocation], , -1)</f>
        <v>3</v>
      </c>
      <c r="K493" cm="1">
        <f t="array" ref="K493">_xlfn.XLOOKUP(_xlfn.ANCHORARRAY(A493), TBL_Limiti_CDA[Data], TBL_Limiti_CDA[Etica Global Equity], , -1)</f>
        <v>4.5</v>
      </c>
      <c r="L493" cm="1">
        <f t="array" ref="L493">_xlfn.ANCHORARRAY(B493)+0.15</f>
        <v>2.65</v>
      </c>
      <c r="M493" cm="1">
        <f t="array" ref="M493">_xlfn.ANCHORARRAY(C493)+0.1</f>
        <v>0.6</v>
      </c>
      <c r="N493" cm="1">
        <f t="array" ref="N493">_xlfn.ANCHORARRAY(D493)+0.15</f>
        <v>1.1499999999999999</v>
      </c>
      <c r="O493" cm="1">
        <f t="array" ref="O493">_xlfn.ANCHORARRAY(E493)+0.15</f>
        <v>3.15</v>
      </c>
      <c r="P493" cm="1">
        <f t="array" ref="P493">_xlfn.ANCHORARRAY(F493)+0.15</f>
        <v>4.6500000000000004</v>
      </c>
      <c r="Q493" cm="1">
        <f t="array" ref="Q493">_xlfn.ANCHORARRAY(G493)+0.15</f>
        <v>3.65</v>
      </c>
      <c r="R493" cm="1">
        <f t="array" ref="R493">_xlfn.ANCHORARRAY(H493)</f>
        <v>9.99</v>
      </c>
      <c r="S493" cm="1">
        <f t="array" ref="S493">_xlfn.ANCHORARRAY(R493)+0.15</f>
        <v>10.14</v>
      </c>
      <c r="T493" cm="1">
        <f t="array" ref="T493">_xlfn.ANCHORARRAY(I493)+0.15</f>
        <v>1.1499999999999999</v>
      </c>
      <c r="U493" cm="1">
        <f t="array" ref="U493">_xlfn.ANCHORARRAY(J493)+0.15</f>
        <v>3.15</v>
      </c>
      <c r="V493" cm="1">
        <f t="array" ref="V493">_xlfn.ANCHORARRAY(K493)+0.15</f>
        <v>4.6500000000000004</v>
      </c>
      <c r="W493">
        <f>TBL_TEV[[#This Row],[Etica Rendita Bilanciata]]</f>
        <v>1.638884</v>
      </c>
      <c r="X493">
        <f>TBL_TEV[[#This Row],[Etica Obbligazionario Breve Termine]]</f>
        <v>0.20938499999999999</v>
      </c>
      <c r="Y493">
        <f>TBL_TEV[[#This Row],[Etica Obbligazionario Misto]]</f>
        <v>0.86770099999999994</v>
      </c>
      <c r="Z493">
        <f>TBL_TEV[[#This Row],[Etica Bilanciato]]</f>
        <v>2.5891320000000002</v>
      </c>
      <c r="AA493">
        <f>TBL_TEV[[#This Row],[Etica Azionario]]</f>
        <v>3.791309</v>
      </c>
      <c r="AB493">
        <f>TBL_TEV[[#This Row],[Etica Transizione Climatica]]</f>
        <v>2.9410699999999999</v>
      </c>
      <c r="AC493">
        <f>TBL_TEV[[#This Row],[Etica Obiettivo Sociale]]</f>
        <v>7.3440380907744167</v>
      </c>
      <c r="AD493">
        <f>TBL_TEV[[#This Row],[Etica Conservative Allocation]]</f>
        <v>0.64387000000000005</v>
      </c>
      <c r="AE493">
        <f>TBL_TEV[[#This Row],[Etica Dynamic Allocation]]</f>
        <v>2.5238879999999999</v>
      </c>
      <c r="AF493">
        <f>TBL_TEV[[#This Row],[Etica Global Equity]]</f>
        <v>3.7701959999999999</v>
      </c>
      <c r="AL493">
        <f ca="1"/>
        <v>1.6331690000000001</v>
      </c>
      <c r="AM493">
        <f ca="1"/>
        <v>0.20938499999999999</v>
      </c>
      <c r="AN493">
        <f ca="1"/>
        <v>0.86531899999999995</v>
      </c>
      <c r="AO493">
        <f ca="1"/>
        <v>2.5746859999999998</v>
      </c>
      <c r="AP493">
        <f ca="1"/>
        <v>3.7721010000000001</v>
      </c>
      <c r="AQ493">
        <f ca="1"/>
        <v>2.9558330000000002</v>
      </c>
      <c r="AR493">
        <f ca="1"/>
        <v>7.2923526063073441</v>
      </c>
      <c r="AS493">
        <f ca="1"/>
        <v>0.63974299999999995</v>
      </c>
      <c r="AT493">
        <f ca="1"/>
        <v>2.509601</v>
      </c>
      <c r="AU493">
        <f ca="1"/>
        <v>3.740669</v>
      </c>
    </row>
    <row r="494" spans="1:47">
      <c r="A494" s="43">
        <f>TBL_TEV[[#This Row],[Data2]]</f>
        <v>45995</v>
      </c>
      <c r="B494" cm="1">
        <f t="array" ref="B494">_xlfn.XLOOKUP(_xlfn.ANCHORARRAY(A494), TBL_Limiti_CDA[Data], TBL_Limiti_CDA[Etica Rendita Bilanciata], , -1)</f>
        <v>2.5</v>
      </c>
      <c r="C494" cm="1">
        <f t="array" ref="C494">_xlfn.XLOOKUP(_xlfn.ANCHORARRAY(A494), TBL_Limiti_CDA[Data], TBL_Limiti_CDA[Etica Obbligazionario Breve Termine], , -1)</f>
        <v>0.5</v>
      </c>
      <c r="D494" cm="1">
        <f t="array" ref="D494">_xlfn.XLOOKUP(_xlfn.ANCHORARRAY(A494), TBL_Limiti_CDA[Data], TBL_Limiti_CDA[Etica Obbligazionario Misto], , -1)</f>
        <v>1</v>
      </c>
      <c r="E494" cm="1">
        <f t="array" ref="E494">_xlfn.XLOOKUP(_xlfn.ANCHORARRAY(A494), TBL_Limiti_CDA[Data], TBL_Limiti_CDA[Etica Bilanciato], , -1)</f>
        <v>3</v>
      </c>
      <c r="F494" cm="1">
        <f t="array" ref="F494">_xlfn.XLOOKUP(_xlfn.ANCHORARRAY(A494), TBL_Limiti_CDA[Data], TBL_Limiti_CDA[Etica Azionario], , -1)</f>
        <v>4.5</v>
      </c>
      <c r="G494" cm="1">
        <f t="array" ref="G494">_xlfn.XLOOKUP(_xlfn.ANCHORARRAY(A494), TBL_Limiti_CDA[Data], TBL_Limiti_CDA[Etica Transizione Climatica], , -1)</f>
        <v>3.5</v>
      </c>
      <c r="H494" cm="1">
        <f t="array" ref="H494">_xlfn.XLOOKUP(_xlfn.ANCHORARRAY(A494), TBL_Limiti_CDA[Data], TBL_Limiti_CDA[Etica Obiettivo Sociale], , -1)</f>
        <v>9.99</v>
      </c>
      <c r="I494" cm="1">
        <f t="array" ref="I494">_xlfn.XLOOKUP(_xlfn.ANCHORARRAY(A494), TBL_Limiti_CDA[Data], TBL_Limiti_CDA[Etica Conservative Allocation], , -1)</f>
        <v>1</v>
      </c>
      <c r="J494" cm="1">
        <f t="array" ref="J494">_xlfn.XLOOKUP(_xlfn.ANCHORARRAY(A494), TBL_Limiti_CDA[Data], TBL_Limiti_CDA[Etica Dynamic Allocation], , -1)</f>
        <v>3</v>
      </c>
      <c r="K494" cm="1">
        <f t="array" ref="K494">_xlfn.XLOOKUP(_xlfn.ANCHORARRAY(A494), TBL_Limiti_CDA[Data], TBL_Limiti_CDA[Etica Global Equity], , -1)</f>
        <v>4.5</v>
      </c>
      <c r="L494" cm="1">
        <f t="array" ref="L494">_xlfn.ANCHORARRAY(B494)+0.15</f>
        <v>2.65</v>
      </c>
      <c r="M494" cm="1">
        <f t="array" ref="M494">_xlfn.ANCHORARRAY(C494)+0.1</f>
        <v>0.6</v>
      </c>
      <c r="N494" cm="1">
        <f t="array" ref="N494">_xlfn.ANCHORARRAY(D494)+0.15</f>
        <v>1.1499999999999999</v>
      </c>
      <c r="O494" cm="1">
        <f t="array" ref="O494">_xlfn.ANCHORARRAY(E494)+0.15</f>
        <v>3.15</v>
      </c>
      <c r="P494" cm="1">
        <f t="array" ref="P494">_xlfn.ANCHORARRAY(F494)+0.15</f>
        <v>4.6500000000000004</v>
      </c>
      <c r="Q494" cm="1">
        <f t="array" ref="Q494">_xlfn.ANCHORARRAY(G494)+0.15</f>
        <v>3.65</v>
      </c>
      <c r="R494" cm="1">
        <f t="array" ref="R494">_xlfn.ANCHORARRAY(H494)</f>
        <v>9.99</v>
      </c>
      <c r="S494" cm="1">
        <f t="array" ref="S494">_xlfn.ANCHORARRAY(R494)+0.15</f>
        <v>10.14</v>
      </c>
      <c r="T494" cm="1">
        <f t="array" ref="T494">_xlfn.ANCHORARRAY(I494)+0.15</f>
        <v>1.1499999999999999</v>
      </c>
      <c r="U494" cm="1">
        <f t="array" ref="U494">_xlfn.ANCHORARRAY(J494)+0.15</f>
        <v>3.15</v>
      </c>
      <c r="V494" cm="1">
        <f t="array" ref="V494">_xlfn.ANCHORARRAY(K494)+0.15</f>
        <v>4.6500000000000004</v>
      </c>
      <c r="W494">
        <f>TBL_TEV[[#This Row],[Etica Rendita Bilanciata]]</f>
        <v>1.6331690000000001</v>
      </c>
      <c r="X494">
        <f>TBL_TEV[[#This Row],[Etica Obbligazionario Breve Termine]]</f>
        <v>0.20938499999999999</v>
      </c>
      <c r="Y494">
        <f>TBL_TEV[[#This Row],[Etica Obbligazionario Misto]]</f>
        <v>0.86531899999999995</v>
      </c>
      <c r="Z494">
        <f>TBL_TEV[[#This Row],[Etica Bilanciato]]</f>
        <v>2.5746859999999998</v>
      </c>
      <c r="AA494">
        <f>TBL_TEV[[#This Row],[Etica Azionario]]</f>
        <v>3.7721010000000001</v>
      </c>
      <c r="AB494">
        <f>TBL_TEV[[#This Row],[Etica Transizione Climatica]]</f>
        <v>2.9558330000000002</v>
      </c>
      <c r="AC494">
        <f>TBL_TEV[[#This Row],[Etica Obiettivo Sociale]]</f>
        <v>7.2923526063073441</v>
      </c>
      <c r="AD494">
        <f>TBL_TEV[[#This Row],[Etica Conservative Allocation]]</f>
        <v>0.63974299999999995</v>
      </c>
      <c r="AE494">
        <f>TBL_TEV[[#This Row],[Etica Dynamic Allocation]]</f>
        <v>2.509601</v>
      </c>
      <c r="AF494">
        <f>TBL_TEV[[#This Row],[Etica Global Equity]]</f>
        <v>3.740669</v>
      </c>
      <c r="AL494">
        <f ca="1"/>
        <v>1.629359</v>
      </c>
      <c r="AM494">
        <f ca="1"/>
        <v>0.20874999999999999</v>
      </c>
      <c r="AN494">
        <f ca="1"/>
        <v>0.86119199999999996</v>
      </c>
      <c r="AO494">
        <f ca="1"/>
        <v>2.5797659999999998</v>
      </c>
      <c r="AP494">
        <f ca="1"/>
        <v>3.7692429999999999</v>
      </c>
      <c r="AQ494">
        <f ca="1"/>
        <v>2.962818</v>
      </c>
      <c r="AR494">
        <f ca="1"/>
        <v>7.2851249909776969</v>
      </c>
      <c r="AS494">
        <f ca="1"/>
        <v>0.637679</v>
      </c>
      <c r="AT494">
        <f ca="1"/>
        <v>2.5126170000000001</v>
      </c>
      <c r="AU494">
        <f ca="1"/>
        <v>3.741304</v>
      </c>
    </row>
    <row r="495" spans="1:47">
      <c r="A495" s="43">
        <f>TBL_TEV[[#This Row],[Data2]]</f>
        <v>45996</v>
      </c>
      <c r="B495" cm="1">
        <f t="array" ref="B495">_xlfn.XLOOKUP(_xlfn.ANCHORARRAY(A495), TBL_Limiti_CDA[Data], TBL_Limiti_CDA[Etica Rendita Bilanciata], , -1)</f>
        <v>2.5</v>
      </c>
      <c r="C495" cm="1">
        <f t="array" ref="C495">_xlfn.XLOOKUP(_xlfn.ANCHORARRAY(A495), TBL_Limiti_CDA[Data], TBL_Limiti_CDA[Etica Obbligazionario Breve Termine], , -1)</f>
        <v>0.5</v>
      </c>
      <c r="D495" cm="1">
        <f t="array" ref="D495">_xlfn.XLOOKUP(_xlfn.ANCHORARRAY(A495), TBL_Limiti_CDA[Data], TBL_Limiti_CDA[Etica Obbligazionario Misto], , -1)</f>
        <v>1</v>
      </c>
      <c r="E495" cm="1">
        <f t="array" ref="E495">_xlfn.XLOOKUP(_xlfn.ANCHORARRAY(A495), TBL_Limiti_CDA[Data], TBL_Limiti_CDA[Etica Bilanciato], , -1)</f>
        <v>3</v>
      </c>
      <c r="F495" cm="1">
        <f t="array" ref="F495">_xlfn.XLOOKUP(_xlfn.ANCHORARRAY(A495), TBL_Limiti_CDA[Data], TBL_Limiti_CDA[Etica Azionario], , -1)</f>
        <v>4.5</v>
      </c>
      <c r="G495" cm="1">
        <f t="array" ref="G495">_xlfn.XLOOKUP(_xlfn.ANCHORARRAY(A495), TBL_Limiti_CDA[Data], TBL_Limiti_CDA[Etica Transizione Climatica], , -1)</f>
        <v>3.5</v>
      </c>
      <c r="H495" cm="1">
        <f t="array" ref="H495">_xlfn.XLOOKUP(_xlfn.ANCHORARRAY(A495), TBL_Limiti_CDA[Data], TBL_Limiti_CDA[Etica Obiettivo Sociale], , -1)</f>
        <v>9.99</v>
      </c>
      <c r="I495" cm="1">
        <f t="array" ref="I495">_xlfn.XLOOKUP(_xlfn.ANCHORARRAY(A495), TBL_Limiti_CDA[Data], TBL_Limiti_CDA[Etica Conservative Allocation], , -1)</f>
        <v>1</v>
      </c>
      <c r="J495" cm="1">
        <f t="array" ref="J495">_xlfn.XLOOKUP(_xlfn.ANCHORARRAY(A495), TBL_Limiti_CDA[Data], TBL_Limiti_CDA[Etica Dynamic Allocation], , -1)</f>
        <v>3</v>
      </c>
      <c r="K495" cm="1">
        <f t="array" ref="K495">_xlfn.XLOOKUP(_xlfn.ANCHORARRAY(A495), TBL_Limiti_CDA[Data], TBL_Limiti_CDA[Etica Global Equity], , -1)</f>
        <v>4.5</v>
      </c>
      <c r="L495" cm="1">
        <f t="array" ref="L495">_xlfn.ANCHORARRAY(B495)+0.15</f>
        <v>2.65</v>
      </c>
      <c r="M495" cm="1">
        <f t="array" ref="M495">_xlfn.ANCHORARRAY(C495)+0.1</f>
        <v>0.6</v>
      </c>
      <c r="N495" cm="1">
        <f t="array" ref="N495">_xlfn.ANCHORARRAY(D495)+0.15</f>
        <v>1.1499999999999999</v>
      </c>
      <c r="O495" cm="1">
        <f t="array" ref="O495">_xlfn.ANCHORARRAY(E495)+0.15</f>
        <v>3.15</v>
      </c>
      <c r="P495" cm="1">
        <f t="array" ref="P495">_xlfn.ANCHORARRAY(F495)+0.15</f>
        <v>4.6500000000000004</v>
      </c>
      <c r="Q495" cm="1">
        <f t="array" ref="Q495">_xlfn.ANCHORARRAY(G495)+0.15</f>
        <v>3.65</v>
      </c>
      <c r="R495" cm="1">
        <f t="array" ref="R495">_xlfn.ANCHORARRAY(H495)</f>
        <v>9.99</v>
      </c>
      <c r="S495" cm="1">
        <f t="array" ref="S495">_xlfn.ANCHORARRAY(R495)+0.15</f>
        <v>10.14</v>
      </c>
      <c r="T495" cm="1">
        <f t="array" ref="T495">_xlfn.ANCHORARRAY(I495)+0.15</f>
        <v>1.1499999999999999</v>
      </c>
      <c r="U495" cm="1">
        <f t="array" ref="U495">_xlfn.ANCHORARRAY(J495)+0.15</f>
        <v>3.15</v>
      </c>
      <c r="V495" cm="1">
        <f t="array" ref="V495">_xlfn.ANCHORARRAY(K495)+0.15</f>
        <v>4.6500000000000004</v>
      </c>
      <c r="W495">
        <f>TBL_TEV[[#This Row],[Etica Rendita Bilanciata]]</f>
        <v>1.629359</v>
      </c>
      <c r="X495">
        <f>TBL_TEV[[#This Row],[Etica Obbligazionario Breve Termine]]</f>
        <v>0.20874999999999999</v>
      </c>
      <c r="Y495">
        <f>TBL_TEV[[#This Row],[Etica Obbligazionario Misto]]</f>
        <v>0.86119199999999996</v>
      </c>
      <c r="Z495">
        <f>TBL_TEV[[#This Row],[Etica Bilanciato]]</f>
        <v>2.5797659999999998</v>
      </c>
      <c r="AA495">
        <f>TBL_TEV[[#This Row],[Etica Azionario]]</f>
        <v>3.7692429999999999</v>
      </c>
      <c r="AB495">
        <f>TBL_TEV[[#This Row],[Etica Transizione Climatica]]</f>
        <v>2.962818</v>
      </c>
      <c r="AC495">
        <f>TBL_TEV[[#This Row],[Etica Obiettivo Sociale]]</f>
        <v>7.2851249909776969</v>
      </c>
      <c r="AD495">
        <f>TBL_TEV[[#This Row],[Etica Conservative Allocation]]</f>
        <v>0.637679</v>
      </c>
      <c r="AE495">
        <f>TBL_TEV[[#This Row],[Etica Dynamic Allocation]]</f>
        <v>2.5126170000000001</v>
      </c>
      <c r="AF495">
        <f>TBL_TEV[[#This Row],[Etica Global Equity]]</f>
        <v>3.741304</v>
      </c>
      <c r="AL495">
        <f ca="1"/>
        <v>1.6309469999999999</v>
      </c>
      <c r="AM495">
        <f ca="1"/>
        <v>0.21160699999999999</v>
      </c>
      <c r="AN495">
        <f ca="1"/>
        <v>0.87611399999999995</v>
      </c>
      <c r="AO495">
        <f ca="1"/>
        <v>2.5896080000000001</v>
      </c>
      <c r="AP495">
        <f ca="1"/>
        <v>3.7925789999999999</v>
      </c>
      <c r="AQ495">
        <f ca="1"/>
        <v>2.9820259999999998</v>
      </c>
      <c r="AR495">
        <f ca="1"/>
        <v>7.204698479434164</v>
      </c>
      <c r="AS495">
        <f ca="1"/>
        <v>0.64228300000000005</v>
      </c>
      <c r="AT495">
        <f ca="1"/>
        <v>2.5202369999999998</v>
      </c>
      <c r="AU495">
        <f ca="1"/>
        <v>3.7532100000000002</v>
      </c>
    </row>
    <row r="496" spans="1:47">
      <c r="A496" s="43">
        <f>TBL_TEV[[#This Row],[Data2]]</f>
        <v>46000</v>
      </c>
      <c r="B496" cm="1">
        <f t="array" ref="B496">_xlfn.XLOOKUP(_xlfn.ANCHORARRAY(A496), TBL_Limiti_CDA[Data], TBL_Limiti_CDA[Etica Rendita Bilanciata], , -1)</f>
        <v>2.5</v>
      </c>
      <c r="C496" cm="1">
        <f t="array" ref="C496">_xlfn.XLOOKUP(_xlfn.ANCHORARRAY(A496), TBL_Limiti_CDA[Data], TBL_Limiti_CDA[Etica Obbligazionario Breve Termine], , -1)</f>
        <v>0.5</v>
      </c>
      <c r="D496" cm="1">
        <f t="array" ref="D496">_xlfn.XLOOKUP(_xlfn.ANCHORARRAY(A496), TBL_Limiti_CDA[Data], TBL_Limiti_CDA[Etica Obbligazionario Misto], , -1)</f>
        <v>1</v>
      </c>
      <c r="E496" cm="1">
        <f t="array" ref="E496">_xlfn.XLOOKUP(_xlfn.ANCHORARRAY(A496), TBL_Limiti_CDA[Data], TBL_Limiti_CDA[Etica Bilanciato], , -1)</f>
        <v>3</v>
      </c>
      <c r="F496" cm="1">
        <f t="array" ref="F496">_xlfn.XLOOKUP(_xlfn.ANCHORARRAY(A496), TBL_Limiti_CDA[Data], TBL_Limiti_CDA[Etica Azionario], , -1)</f>
        <v>4.5</v>
      </c>
      <c r="G496" cm="1">
        <f t="array" ref="G496">_xlfn.XLOOKUP(_xlfn.ANCHORARRAY(A496), TBL_Limiti_CDA[Data], TBL_Limiti_CDA[Etica Transizione Climatica], , -1)</f>
        <v>3.5</v>
      </c>
      <c r="H496" cm="1">
        <f t="array" ref="H496">_xlfn.XLOOKUP(_xlfn.ANCHORARRAY(A496), TBL_Limiti_CDA[Data], TBL_Limiti_CDA[Etica Obiettivo Sociale], , -1)</f>
        <v>9.99</v>
      </c>
      <c r="I496" cm="1">
        <f t="array" ref="I496">_xlfn.XLOOKUP(_xlfn.ANCHORARRAY(A496), TBL_Limiti_CDA[Data], TBL_Limiti_CDA[Etica Conservative Allocation], , -1)</f>
        <v>1</v>
      </c>
      <c r="J496" cm="1">
        <f t="array" ref="J496">_xlfn.XLOOKUP(_xlfn.ANCHORARRAY(A496), TBL_Limiti_CDA[Data], TBL_Limiti_CDA[Etica Dynamic Allocation], , -1)</f>
        <v>3</v>
      </c>
      <c r="K496" cm="1">
        <f t="array" ref="K496">_xlfn.XLOOKUP(_xlfn.ANCHORARRAY(A496), TBL_Limiti_CDA[Data], TBL_Limiti_CDA[Etica Global Equity], , -1)</f>
        <v>4.5</v>
      </c>
      <c r="L496" cm="1">
        <f t="array" ref="L496">_xlfn.ANCHORARRAY(B496)+0.15</f>
        <v>2.65</v>
      </c>
      <c r="M496" cm="1">
        <f t="array" ref="M496">_xlfn.ANCHORARRAY(C496)+0.1</f>
        <v>0.6</v>
      </c>
      <c r="N496" cm="1">
        <f t="array" ref="N496">_xlfn.ANCHORARRAY(D496)+0.15</f>
        <v>1.1499999999999999</v>
      </c>
      <c r="O496" cm="1">
        <f t="array" ref="O496">_xlfn.ANCHORARRAY(E496)+0.15</f>
        <v>3.15</v>
      </c>
      <c r="P496" cm="1">
        <f t="array" ref="P496">_xlfn.ANCHORARRAY(F496)+0.15</f>
        <v>4.6500000000000004</v>
      </c>
      <c r="Q496" cm="1">
        <f t="array" ref="Q496">_xlfn.ANCHORARRAY(G496)+0.15</f>
        <v>3.65</v>
      </c>
      <c r="R496" cm="1">
        <f t="array" ref="R496">_xlfn.ANCHORARRAY(H496)</f>
        <v>9.99</v>
      </c>
      <c r="S496" cm="1">
        <f t="array" ref="S496">_xlfn.ANCHORARRAY(R496)+0.15</f>
        <v>10.14</v>
      </c>
      <c r="T496" cm="1">
        <f t="array" ref="T496">_xlfn.ANCHORARRAY(I496)+0.15</f>
        <v>1.1499999999999999</v>
      </c>
      <c r="U496" cm="1">
        <f t="array" ref="U496">_xlfn.ANCHORARRAY(J496)+0.15</f>
        <v>3.15</v>
      </c>
      <c r="V496" cm="1">
        <f t="array" ref="V496">_xlfn.ANCHORARRAY(K496)+0.15</f>
        <v>4.6500000000000004</v>
      </c>
      <c r="W496">
        <f>TBL_TEV[[#This Row],[Etica Rendita Bilanciata]]</f>
        <v>1.6309469999999999</v>
      </c>
      <c r="X496">
        <f>TBL_TEV[[#This Row],[Etica Obbligazionario Breve Termine]]</f>
        <v>0.21160699999999999</v>
      </c>
      <c r="Y496">
        <f>TBL_TEV[[#This Row],[Etica Obbligazionario Misto]]</f>
        <v>0.87611399999999995</v>
      </c>
      <c r="Z496">
        <f>TBL_TEV[[#This Row],[Etica Bilanciato]]</f>
        <v>2.5896080000000001</v>
      </c>
      <c r="AA496">
        <f>TBL_TEV[[#This Row],[Etica Azionario]]</f>
        <v>3.7925789999999999</v>
      </c>
      <c r="AB496">
        <f>TBL_TEV[[#This Row],[Etica Transizione Climatica]]</f>
        <v>2.9820259999999998</v>
      </c>
      <c r="AC496">
        <f>TBL_TEV[[#This Row],[Etica Obiettivo Sociale]]</f>
        <v>7.204698479434164</v>
      </c>
      <c r="AD496">
        <f>TBL_TEV[[#This Row],[Etica Conservative Allocation]]</f>
        <v>0.64228300000000005</v>
      </c>
      <c r="AE496">
        <f>TBL_TEV[[#This Row],[Etica Dynamic Allocation]]</f>
        <v>2.5202369999999998</v>
      </c>
      <c r="AF496">
        <f>TBL_TEV[[#This Row],[Etica Global Equity]]</f>
        <v>3.7532100000000002</v>
      </c>
      <c r="AL496">
        <f ca="1"/>
        <v>1.6177710000000001</v>
      </c>
      <c r="AM496">
        <f ca="1"/>
        <v>0.110804</v>
      </c>
      <c r="AN496">
        <f ca="1"/>
        <v>0.87373299999999998</v>
      </c>
      <c r="AO496">
        <f ca="1"/>
        <v>2.5894499999999998</v>
      </c>
      <c r="AP496">
        <f ca="1"/>
        <v>3.7894040000000002</v>
      </c>
      <c r="AQ496">
        <f ca="1"/>
        <v>2.9777399999999998</v>
      </c>
      <c r="AR496">
        <f ca="1"/>
        <v>7.1390426590747778</v>
      </c>
      <c r="AS496">
        <f ca="1"/>
        <v>0.63831400000000005</v>
      </c>
      <c r="AT496">
        <f ca="1"/>
        <v>2.5323009999999999</v>
      </c>
      <c r="AU496">
        <f ca="1"/>
        <v>3.749876</v>
      </c>
    </row>
    <row r="497" spans="1:47">
      <c r="A497" s="43">
        <f>TBL_TEV[[#This Row],[Data2]]</f>
        <v>46001</v>
      </c>
      <c r="B497" cm="1">
        <f t="array" ref="B497">_xlfn.XLOOKUP(_xlfn.ANCHORARRAY(A497), TBL_Limiti_CDA[Data], TBL_Limiti_CDA[Etica Rendita Bilanciata], , -1)</f>
        <v>2.5</v>
      </c>
      <c r="C497" cm="1">
        <f t="array" ref="C497">_xlfn.XLOOKUP(_xlfn.ANCHORARRAY(A497), TBL_Limiti_CDA[Data], TBL_Limiti_CDA[Etica Obbligazionario Breve Termine], , -1)</f>
        <v>0.5</v>
      </c>
      <c r="D497" cm="1">
        <f t="array" ref="D497">_xlfn.XLOOKUP(_xlfn.ANCHORARRAY(A497), TBL_Limiti_CDA[Data], TBL_Limiti_CDA[Etica Obbligazionario Misto], , -1)</f>
        <v>1</v>
      </c>
      <c r="E497" cm="1">
        <f t="array" ref="E497">_xlfn.XLOOKUP(_xlfn.ANCHORARRAY(A497), TBL_Limiti_CDA[Data], TBL_Limiti_CDA[Etica Bilanciato], , -1)</f>
        <v>3</v>
      </c>
      <c r="F497" cm="1">
        <f t="array" ref="F497">_xlfn.XLOOKUP(_xlfn.ANCHORARRAY(A497), TBL_Limiti_CDA[Data], TBL_Limiti_CDA[Etica Azionario], , -1)</f>
        <v>4.5</v>
      </c>
      <c r="G497" cm="1">
        <f t="array" ref="G497">_xlfn.XLOOKUP(_xlfn.ANCHORARRAY(A497), TBL_Limiti_CDA[Data], TBL_Limiti_CDA[Etica Transizione Climatica], , -1)</f>
        <v>3.5</v>
      </c>
      <c r="H497" cm="1">
        <f t="array" ref="H497">_xlfn.XLOOKUP(_xlfn.ANCHORARRAY(A497), TBL_Limiti_CDA[Data], TBL_Limiti_CDA[Etica Obiettivo Sociale], , -1)</f>
        <v>9.99</v>
      </c>
      <c r="I497" cm="1">
        <f t="array" ref="I497">_xlfn.XLOOKUP(_xlfn.ANCHORARRAY(A497), TBL_Limiti_CDA[Data], TBL_Limiti_CDA[Etica Conservative Allocation], , -1)</f>
        <v>1</v>
      </c>
      <c r="J497" cm="1">
        <f t="array" ref="J497">_xlfn.XLOOKUP(_xlfn.ANCHORARRAY(A497), TBL_Limiti_CDA[Data], TBL_Limiti_CDA[Etica Dynamic Allocation], , -1)</f>
        <v>3</v>
      </c>
      <c r="K497" cm="1">
        <f t="array" ref="K497">_xlfn.XLOOKUP(_xlfn.ANCHORARRAY(A497), TBL_Limiti_CDA[Data], TBL_Limiti_CDA[Etica Global Equity], , -1)</f>
        <v>4.5</v>
      </c>
      <c r="L497" cm="1">
        <f t="array" ref="L497">_xlfn.ANCHORARRAY(B497)+0.15</f>
        <v>2.65</v>
      </c>
      <c r="M497" cm="1">
        <f t="array" ref="M497">_xlfn.ANCHORARRAY(C497)+0.1</f>
        <v>0.6</v>
      </c>
      <c r="N497" cm="1">
        <f t="array" ref="N497">_xlfn.ANCHORARRAY(D497)+0.15</f>
        <v>1.1499999999999999</v>
      </c>
      <c r="O497" cm="1">
        <f t="array" ref="O497">_xlfn.ANCHORARRAY(E497)+0.15</f>
        <v>3.15</v>
      </c>
      <c r="P497" cm="1">
        <f t="array" ref="P497">_xlfn.ANCHORARRAY(F497)+0.15</f>
        <v>4.6500000000000004</v>
      </c>
      <c r="Q497" cm="1">
        <f t="array" ref="Q497">_xlfn.ANCHORARRAY(G497)+0.15</f>
        <v>3.65</v>
      </c>
      <c r="R497" cm="1">
        <f t="array" ref="R497">_xlfn.ANCHORARRAY(H497)</f>
        <v>9.99</v>
      </c>
      <c r="S497" cm="1">
        <f t="array" ref="S497">_xlfn.ANCHORARRAY(R497)+0.15</f>
        <v>10.14</v>
      </c>
      <c r="T497" cm="1">
        <f t="array" ref="T497">_xlfn.ANCHORARRAY(I497)+0.15</f>
        <v>1.1499999999999999</v>
      </c>
      <c r="U497" cm="1">
        <f t="array" ref="U497">_xlfn.ANCHORARRAY(J497)+0.15</f>
        <v>3.15</v>
      </c>
      <c r="V497" cm="1">
        <f t="array" ref="V497">_xlfn.ANCHORARRAY(K497)+0.15</f>
        <v>4.6500000000000004</v>
      </c>
      <c r="W497">
        <f>TBL_TEV[[#This Row],[Etica Rendita Bilanciata]]</f>
        <v>1.6177710000000001</v>
      </c>
      <c r="X497">
        <f>TBL_TEV[[#This Row],[Etica Obbligazionario Breve Termine]]</f>
        <v>0.110804</v>
      </c>
      <c r="Y497">
        <f>TBL_TEV[[#This Row],[Etica Obbligazionario Misto]]</f>
        <v>0.87373299999999998</v>
      </c>
      <c r="Z497">
        <f>TBL_TEV[[#This Row],[Etica Bilanciato]]</f>
        <v>2.5894499999999998</v>
      </c>
      <c r="AA497">
        <f>TBL_TEV[[#This Row],[Etica Azionario]]</f>
        <v>3.7894040000000002</v>
      </c>
      <c r="AB497">
        <f>TBL_TEV[[#This Row],[Etica Transizione Climatica]]</f>
        <v>2.9777399999999998</v>
      </c>
      <c r="AC497">
        <f>TBL_TEV[[#This Row],[Etica Obiettivo Sociale]]</f>
        <v>7.1390426590747778</v>
      </c>
      <c r="AD497">
        <f>TBL_TEV[[#This Row],[Etica Conservative Allocation]]</f>
        <v>0.63831400000000005</v>
      </c>
      <c r="AE497">
        <f>TBL_TEV[[#This Row],[Etica Dynamic Allocation]]</f>
        <v>2.5323009999999999</v>
      </c>
      <c r="AF497">
        <f>TBL_TEV[[#This Row],[Etica Global Equity]]</f>
        <v>3.749876</v>
      </c>
      <c r="AL497">
        <f ca="1"/>
        <v>1.6199939999999999</v>
      </c>
      <c r="AM497">
        <f ca="1"/>
        <v>0.23367299999999999</v>
      </c>
      <c r="AN497">
        <f ca="1"/>
        <v>0.87087599999999998</v>
      </c>
      <c r="AO497">
        <f ca="1"/>
        <v>2.568495</v>
      </c>
      <c r="AP497">
        <f ca="1"/>
        <v>3.7614649999999998</v>
      </c>
      <c r="AQ497">
        <f ca="1"/>
        <v>2.9594849999999999</v>
      </c>
      <c r="AR497">
        <f ca="1"/>
        <v>7.117666225493311</v>
      </c>
      <c r="AS497">
        <f ca="1"/>
        <v>0.63386900000000002</v>
      </c>
      <c r="AT497">
        <f ca="1"/>
        <v>2.5113470000000002</v>
      </c>
      <c r="AU497">
        <f ca="1"/>
        <v>3.7263820000000001</v>
      </c>
    </row>
    <row r="498" spans="1:47">
      <c r="A498" s="43">
        <f>TBL_TEV[[#This Row],[Data2]]</f>
        <v>46002</v>
      </c>
      <c r="B498" cm="1">
        <f t="array" ref="B498">_xlfn.XLOOKUP(_xlfn.ANCHORARRAY(A498), TBL_Limiti_CDA[Data], TBL_Limiti_CDA[Etica Rendita Bilanciata], , -1)</f>
        <v>2.5</v>
      </c>
      <c r="C498" cm="1">
        <f t="array" ref="C498">_xlfn.XLOOKUP(_xlfn.ANCHORARRAY(A498), TBL_Limiti_CDA[Data], TBL_Limiti_CDA[Etica Obbligazionario Breve Termine], , -1)</f>
        <v>0.5</v>
      </c>
      <c r="D498" cm="1">
        <f t="array" ref="D498">_xlfn.XLOOKUP(_xlfn.ANCHORARRAY(A498), TBL_Limiti_CDA[Data], TBL_Limiti_CDA[Etica Obbligazionario Misto], , -1)</f>
        <v>1</v>
      </c>
      <c r="E498" cm="1">
        <f t="array" ref="E498">_xlfn.XLOOKUP(_xlfn.ANCHORARRAY(A498), TBL_Limiti_CDA[Data], TBL_Limiti_CDA[Etica Bilanciato], , -1)</f>
        <v>3</v>
      </c>
      <c r="F498" cm="1">
        <f t="array" ref="F498">_xlfn.XLOOKUP(_xlfn.ANCHORARRAY(A498), TBL_Limiti_CDA[Data], TBL_Limiti_CDA[Etica Azionario], , -1)</f>
        <v>4.5</v>
      </c>
      <c r="G498" cm="1">
        <f t="array" ref="G498">_xlfn.XLOOKUP(_xlfn.ANCHORARRAY(A498), TBL_Limiti_CDA[Data], TBL_Limiti_CDA[Etica Transizione Climatica], , -1)</f>
        <v>3.5</v>
      </c>
      <c r="H498" cm="1">
        <f t="array" ref="H498">_xlfn.XLOOKUP(_xlfn.ANCHORARRAY(A498), TBL_Limiti_CDA[Data], TBL_Limiti_CDA[Etica Obiettivo Sociale], , -1)</f>
        <v>9.99</v>
      </c>
      <c r="I498" cm="1">
        <f t="array" ref="I498">_xlfn.XLOOKUP(_xlfn.ANCHORARRAY(A498), TBL_Limiti_CDA[Data], TBL_Limiti_CDA[Etica Conservative Allocation], , -1)</f>
        <v>1</v>
      </c>
      <c r="J498" cm="1">
        <f t="array" ref="J498">_xlfn.XLOOKUP(_xlfn.ANCHORARRAY(A498), TBL_Limiti_CDA[Data], TBL_Limiti_CDA[Etica Dynamic Allocation], , -1)</f>
        <v>3</v>
      </c>
      <c r="K498" cm="1">
        <f t="array" ref="K498">_xlfn.XLOOKUP(_xlfn.ANCHORARRAY(A498), TBL_Limiti_CDA[Data], TBL_Limiti_CDA[Etica Global Equity], , -1)</f>
        <v>4.5</v>
      </c>
      <c r="L498" cm="1">
        <f t="array" ref="L498">_xlfn.ANCHORARRAY(B498)+0.15</f>
        <v>2.65</v>
      </c>
      <c r="M498" cm="1">
        <f t="array" ref="M498">_xlfn.ANCHORARRAY(C498)+0.1</f>
        <v>0.6</v>
      </c>
      <c r="N498" cm="1">
        <f t="array" ref="N498">_xlfn.ANCHORARRAY(D498)+0.15</f>
        <v>1.1499999999999999</v>
      </c>
      <c r="O498" cm="1">
        <f t="array" ref="O498">_xlfn.ANCHORARRAY(E498)+0.15</f>
        <v>3.15</v>
      </c>
      <c r="P498" cm="1">
        <f t="array" ref="P498">_xlfn.ANCHORARRAY(F498)+0.15</f>
        <v>4.6500000000000004</v>
      </c>
      <c r="Q498" cm="1">
        <f t="array" ref="Q498">_xlfn.ANCHORARRAY(G498)+0.15</f>
        <v>3.65</v>
      </c>
      <c r="R498" cm="1">
        <f t="array" ref="R498">_xlfn.ANCHORARRAY(H498)</f>
        <v>9.99</v>
      </c>
      <c r="S498" cm="1">
        <f t="array" ref="S498">_xlfn.ANCHORARRAY(R498)+0.15</f>
        <v>10.14</v>
      </c>
      <c r="T498" cm="1">
        <f t="array" ref="T498">_xlfn.ANCHORARRAY(I498)+0.15</f>
        <v>1.1499999999999999</v>
      </c>
      <c r="U498" cm="1">
        <f t="array" ref="U498">_xlfn.ANCHORARRAY(J498)+0.15</f>
        <v>3.15</v>
      </c>
      <c r="V498" cm="1">
        <f t="array" ref="V498">_xlfn.ANCHORARRAY(K498)+0.15</f>
        <v>4.6500000000000004</v>
      </c>
      <c r="W498">
        <f>TBL_TEV[[#This Row],[Etica Rendita Bilanciata]]</f>
        <v>1.6199939999999999</v>
      </c>
      <c r="X498">
        <f>TBL_TEV[[#This Row],[Etica Obbligazionario Breve Termine]]</f>
        <v>0.23367299999999999</v>
      </c>
      <c r="Y498">
        <f>TBL_TEV[[#This Row],[Etica Obbligazionario Misto]]</f>
        <v>0.87087599999999998</v>
      </c>
      <c r="Z498">
        <f>TBL_TEV[[#This Row],[Etica Bilanciato]]</f>
        <v>2.568495</v>
      </c>
      <c r="AA498">
        <f>TBL_TEV[[#This Row],[Etica Azionario]]</f>
        <v>3.7614649999999998</v>
      </c>
      <c r="AB498">
        <f>TBL_TEV[[#This Row],[Etica Transizione Climatica]]</f>
        <v>2.9594849999999999</v>
      </c>
      <c r="AC498">
        <f>TBL_TEV[[#This Row],[Etica Obiettivo Sociale]]</f>
        <v>7.117666225493311</v>
      </c>
      <c r="AD498">
        <f>TBL_TEV[[#This Row],[Etica Conservative Allocation]]</f>
        <v>0.63386900000000002</v>
      </c>
      <c r="AE498">
        <f>TBL_TEV[[#This Row],[Etica Dynamic Allocation]]</f>
        <v>2.5113470000000002</v>
      </c>
      <c r="AF498">
        <f>TBL_TEV[[#This Row],[Etica Global Equity]]</f>
        <v>3.7263820000000001</v>
      </c>
      <c r="AL498">
        <f ca="1"/>
        <v>1.6136440000000001</v>
      </c>
      <c r="AM498">
        <f ca="1"/>
        <v>0.232879</v>
      </c>
      <c r="AN498">
        <f ca="1"/>
        <v>0.87087599999999998</v>
      </c>
      <c r="AO498">
        <f ca="1"/>
        <v>2.5492870000000001</v>
      </c>
      <c r="AP498">
        <f ca="1"/>
        <v>3.7324139999999999</v>
      </c>
      <c r="AQ498">
        <f ca="1"/>
        <v>2.9207510000000001</v>
      </c>
      <c r="AR498">
        <f ca="1"/>
        <v>7.1693203767268061</v>
      </c>
      <c r="AS498">
        <f ca="1"/>
        <v>0.86277999999999999</v>
      </c>
      <c r="AT498">
        <f ca="1"/>
        <v>2.4805510000000002</v>
      </c>
      <c r="AU498">
        <f ca="1"/>
        <v>3.68241</v>
      </c>
    </row>
    <row r="499" spans="1:47">
      <c r="A499" s="43">
        <f>TBL_TEV[[#This Row],[Data2]]</f>
        <v>46003</v>
      </c>
      <c r="B499" cm="1">
        <f t="array" ref="B499">_xlfn.XLOOKUP(_xlfn.ANCHORARRAY(A499), TBL_Limiti_CDA[Data], TBL_Limiti_CDA[Etica Rendita Bilanciata], , -1)</f>
        <v>2.5</v>
      </c>
      <c r="C499" cm="1">
        <f t="array" ref="C499">_xlfn.XLOOKUP(_xlfn.ANCHORARRAY(A499), TBL_Limiti_CDA[Data], TBL_Limiti_CDA[Etica Obbligazionario Breve Termine], , -1)</f>
        <v>0.5</v>
      </c>
      <c r="D499" cm="1">
        <f t="array" ref="D499">_xlfn.XLOOKUP(_xlfn.ANCHORARRAY(A499), TBL_Limiti_CDA[Data], TBL_Limiti_CDA[Etica Obbligazionario Misto], , -1)</f>
        <v>1</v>
      </c>
      <c r="E499" cm="1">
        <f t="array" ref="E499">_xlfn.XLOOKUP(_xlfn.ANCHORARRAY(A499), TBL_Limiti_CDA[Data], TBL_Limiti_CDA[Etica Bilanciato], , -1)</f>
        <v>3</v>
      </c>
      <c r="F499" cm="1">
        <f t="array" ref="F499">_xlfn.XLOOKUP(_xlfn.ANCHORARRAY(A499), TBL_Limiti_CDA[Data], TBL_Limiti_CDA[Etica Azionario], , -1)</f>
        <v>4.5</v>
      </c>
      <c r="G499" cm="1">
        <f t="array" ref="G499">_xlfn.XLOOKUP(_xlfn.ANCHORARRAY(A499), TBL_Limiti_CDA[Data], TBL_Limiti_CDA[Etica Transizione Climatica], , -1)</f>
        <v>3.5</v>
      </c>
      <c r="H499" cm="1">
        <f t="array" ref="H499">_xlfn.XLOOKUP(_xlfn.ANCHORARRAY(A499), TBL_Limiti_CDA[Data], TBL_Limiti_CDA[Etica Obiettivo Sociale], , -1)</f>
        <v>9.99</v>
      </c>
      <c r="I499" cm="1">
        <f t="array" ref="I499">_xlfn.XLOOKUP(_xlfn.ANCHORARRAY(A499), TBL_Limiti_CDA[Data], TBL_Limiti_CDA[Etica Conservative Allocation], , -1)</f>
        <v>1</v>
      </c>
      <c r="J499" cm="1">
        <f t="array" ref="J499">_xlfn.XLOOKUP(_xlfn.ANCHORARRAY(A499), TBL_Limiti_CDA[Data], TBL_Limiti_CDA[Etica Dynamic Allocation], , -1)</f>
        <v>3</v>
      </c>
      <c r="K499" cm="1">
        <f t="array" ref="K499">_xlfn.XLOOKUP(_xlfn.ANCHORARRAY(A499), TBL_Limiti_CDA[Data], TBL_Limiti_CDA[Etica Global Equity], , -1)</f>
        <v>4.5</v>
      </c>
      <c r="L499" cm="1">
        <f t="array" ref="L499">_xlfn.ANCHORARRAY(B499)+0.15</f>
        <v>2.65</v>
      </c>
      <c r="M499" cm="1">
        <f t="array" ref="M499">_xlfn.ANCHORARRAY(C499)+0.1</f>
        <v>0.6</v>
      </c>
      <c r="N499" cm="1">
        <f t="array" ref="N499">_xlfn.ANCHORARRAY(D499)+0.15</f>
        <v>1.1499999999999999</v>
      </c>
      <c r="O499" cm="1">
        <f t="array" ref="O499">_xlfn.ANCHORARRAY(E499)+0.15</f>
        <v>3.15</v>
      </c>
      <c r="P499" cm="1">
        <f t="array" ref="P499">_xlfn.ANCHORARRAY(F499)+0.15</f>
        <v>4.6500000000000004</v>
      </c>
      <c r="Q499" cm="1">
        <f t="array" ref="Q499">_xlfn.ANCHORARRAY(G499)+0.15</f>
        <v>3.65</v>
      </c>
      <c r="R499" cm="1">
        <f t="array" ref="R499">_xlfn.ANCHORARRAY(H499)</f>
        <v>9.99</v>
      </c>
      <c r="S499" cm="1">
        <f t="array" ref="S499">_xlfn.ANCHORARRAY(R499)+0.15</f>
        <v>10.14</v>
      </c>
      <c r="T499" cm="1">
        <f t="array" ref="T499">_xlfn.ANCHORARRAY(I499)+0.15</f>
        <v>1.1499999999999999</v>
      </c>
      <c r="U499" cm="1">
        <f t="array" ref="U499">_xlfn.ANCHORARRAY(J499)+0.15</f>
        <v>3.15</v>
      </c>
      <c r="V499" cm="1">
        <f t="array" ref="V499">_xlfn.ANCHORARRAY(K499)+0.15</f>
        <v>4.6500000000000004</v>
      </c>
      <c r="W499">
        <f>TBL_TEV[[#This Row],[Etica Rendita Bilanciata]]</f>
        <v>1.6136440000000001</v>
      </c>
      <c r="X499">
        <f>TBL_TEV[[#This Row],[Etica Obbligazionario Breve Termine]]</f>
        <v>0.232879</v>
      </c>
      <c r="Y499">
        <f>TBL_TEV[[#This Row],[Etica Obbligazionario Misto]]</f>
        <v>0.87087599999999998</v>
      </c>
      <c r="Z499">
        <f>TBL_TEV[[#This Row],[Etica Bilanciato]]</f>
        <v>2.5492870000000001</v>
      </c>
      <c r="AA499">
        <f>TBL_TEV[[#This Row],[Etica Azionario]]</f>
        <v>3.7324139999999999</v>
      </c>
      <c r="AB499">
        <f>TBL_TEV[[#This Row],[Etica Transizione Climatica]]</f>
        <v>2.9207510000000001</v>
      </c>
      <c r="AC499">
        <f>TBL_TEV[[#This Row],[Etica Obiettivo Sociale]]</f>
        <v>7.1693203767268061</v>
      </c>
      <c r="AD499">
        <f>TBL_TEV[[#This Row],[Etica Conservative Allocation]]</f>
        <v>0.86277999999999999</v>
      </c>
      <c r="AE499">
        <f>TBL_TEV[[#This Row],[Etica Dynamic Allocation]]</f>
        <v>2.4805510000000002</v>
      </c>
      <c r="AF499">
        <f>TBL_TEV[[#This Row],[Etica Global Equity]]</f>
        <v>3.68241</v>
      </c>
    </row>
    <row r="500" spans="1:47">
      <c r="A500" s="43" t="e">
        <f>TBL_TEV[[#This Row],[Data2]]</f>
        <v>#VALUE!</v>
      </c>
      <c r="B500" t="e" cm="1">
        <f t="array" ref="B500">_xlfn.XLOOKUP(_xlfn.ANCHORARRAY(A500), TBL_Limiti_CDA[Data], TBL_Limiti_CDA[Etica Rendita Bilanciata], , -1)</f>
        <v>#VALUE!</v>
      </c>
      <c r="C500" t="e" cm="1">
        <f t="array" ref="C500">_xlfn.XLOOKUP(_xlfn.ANCHORARRAY(A500), TBL_Limiti_CDA[Data], TBL_Limiti_CDA[Etica Obbligazionario Breve Termine], , -1)</f>
        <v>#VALUE!</v>
      </c>
      <c r="D500" t="e" cm="1">
        <f t="array" ref="D500">_xlfn.XLOOKUP(_xlfn.ANCHORARRAY(A500), TBL_Limiti_CDA[Data], TBL_Limiti_CDA[Etica Obbligazionario Misto], , -1)</f>
        <v>#VALUE!</v>
      </c>
      <c r="E500" t="e" cm="1">
        <f t="array" ref="E500">_xlfn.XLOOKUP(_xlfn.ANCHORARRAY(A500), TBL_Limiti_CDA[Data], TBL_Limiti_CDA[Etica Bilanciato], , -1)</f>
        <v>#VALUE!</v>
      </c>
      <c r="F500" t="e" cm="1">
        <f t="array" ref="F500">_xlfn.XLOOKUP(_xlfn.ANCHORARRAY(A500), TBL_Limiti_CDA[Data], TBL_Limiti_CDA[Etica Azionario], , -1)</f>
        <v>#VALUE!</v>
      </c>
      <c r="G500" t="e" cm="1">
        <f t="array" ref="G500">_xlfn.XLOOKUP(_xlfn.ANCHORARRAY(A500), TBL_Limiti_CDA[Data], TBL_Limiti_CDA[Etica Transizione Climatica], , -1)</f>
        <v>#VALUE!</v>
      </c>
      <c r="H500" t="e" cm="1">
        <f t="array" ref="H500">_xlfn.XLOOKUP(_xlfn.ANCHORARRAY(A500), TBL_Limiti_CDA[Data], TBL_Limiti_CDA[Etica Obiettivo Sociale], , -1)</f>
        <v>#VALUE!</v>
      </c>
      <c r="I500" t="e" cm="1">
        <f t="array" ref="I500">_xlfn.XLOOKUP(_xlfn.ANCHORARRAY(A500), TBL_Limiti_CDA[Data], TBL_Limiti_CDA[Etica Conservative Allocation], , -1)</f>
        <v>#VALUE!</v>
      </c>
      <c r="J500" t="e" cm="1">
        <f t="array" ref="J500">_xlfn.XLOOKUP(_xlfn.ANCHORARRAY(A500), TBL_Limiti_CDA[Data], TBL_Limiti_CDA[Etica Dynamic Allocation], , -1)</f>
        <v>#VALUE!</v>
      </c>
      <c r="K500" t="e" cm="1">
        <f t="array" ref="K500">_xlfn.XLOOKUP(_xlfn.ANCHORARRAY(A500), TBL_Limiti_CDA[Data], TBL_Limiti_CDA[Etica Global Equity], , -1)</f>
        <v>#VALUE!</v>
      </c>
      <c r="L500" t="e" cm="1">
        <f t="array" ref="L500">_xlfn.ANCHORARRAY(B500)+0.15</f>
        <v>#VALUE!</v>
      </c>
      <c r="M500" t="e" cm="1">
        <f t="array" ref="M500">_xlfn.ANCHORARRAY(C500)+0.1</f>
        <v>#VALUE!</v>
      </c>
      <c r="N500" t="e" cm="1">
        <f t="array" ref="N500">_xlfn.ANCHORARRAY(D500)+0.15</f>
        <v>#VALUE!</v>
      </c>
      <c r="O500" t="e" cm="1">
        <f t="array" ref="O500">_xlfn.ANCHORARRAY(E500)+0.15</f>
        <v>#VALUE!</v>
      </c>
      <c r="P500" t="e" cm="1">
        <f t="array" ref="P500">_xlfn.ANCHORARRAY(F500)+0.15</f>
        <v>#VALUE!</v>
      </c>
      <c r="Q500" t="e" cm="1">
        <f t="array" ref="Q500">_xlfn.ANCHORARRAY(G500)+0.15</f>
        <v>#VALUE!</v>
      </c>
      <c r="R500" t="e" cm="1">
        <f t="array" ref="R500">_xlfn.ANCHORARRAY(H500)</f>
        <v>#VALUE!</v>
      </c>
      <c r="S500" t="e" cm="1">
        <f t="array" ref="S500">_xlfn.ANCHORARRAY(R500)+0.15</f>
        <v>#VALUE!</v>
      </c>
      <c r="T500" t="e" cm="1">
        <f t="array" ref="T500">_xlfn.ANCHORARRAY(I500)+0.15</f>
        <v>#VALUE!</v>
      </c>
      <c r="U500" t="e" cm="1">
        <f t="array" ref="U500">_xlfn.ANCHORARRAY(J500)+0.15</f>
        <v>#VALUE!</v>
      </c>
      <c r="V500" t="e" cm="1">
        <f t="array" ref="V500">_xlfn.ANCHORARRAY(K500)+0.15</f>
        <v>#VALUE!</v>
      </c>
      <c r="W500" t="e">
        <f>TBL_TEV[[#This Row],[Etica Rendita Bilanciata]]</f>
        <v>#VALUE!</v>
      </c>
      <c r="X500" t="e">
        <f>TBL_TEV[[#This Row],[Etica Obbligazionario Breve Termine]]</f>
        <v>#VALUE!</v>
      </c>
      <c r="Y500" t="e">
        <f>TBL_TEV[[#This Row],[Etica Obbligazionario Misto]]</f>
        <v>#VALUE!</v>
      </c>
      <c r="Z500" t="e">
        <f>TBL_TEV[[#This Row],[Etica Bilanciato]]</f>
        <v>#VALUE!</v>
      </c>
      <c r="AA500" t="e">
        <f>TBL_TEV[[#This Row],[Etica Azionario]]</f>
        <v>#VALUE!</v>
      </c>
      <c r="AB500" t="e">
        <f>TBL_TEV[[#This Row],[Etica Transizione Climatica]]</f>
        <v>#VALUE!</v>
      </c>
      <c r="AC500" t="e">
        <f>TBL_TEV[[#This Row],[Etica Obiettivo Sociale]]</f>
        <v>#VALUE!</v>
      </c>
      <c r="AD500" t="e">
        <f>TBL_TEV[[#This Row],[Etica Conservative Allocation]]</f>
        <v>#VALUE!</v>
      </c>
      <c r="AE500" t="e">
        <f>TBL_TEV[[#This Row],[Etica Dynamic Allocation]]</f>
        <v>#VALUE!</v>
      </c>
      <c r="AF500" t="e">
        <f>TBL_TEV[[#This Row],[Etica Global Equity]]</f>
        <v>#VALUE!</v>
      </c>
    </row>
    <row r="501" spans="1:47">
      <c r="A501" s="43" t="e">
        <f>TBL_TEV[[#This Row],[Data2]]</f>
        <v>#VALUE!</v>
      </c>
      <c r="B501" t="e" cm="1">
        <f t="array" ref="B501">_xlfn.XLOOKUP(_xlfn.ANCHORARRAY(A501), TBL_Limiti_CDA[Data], TBL_Limiti_CDA[Etica Rendita Bilanciata], , -1)</f>
        <v>#VALUE!</v>
      </c>
      <c r="C501" t="e" cm="1">
        <f t="array" ref="C501">_xlfn.XLOOKUP(_xlfn.ANCHORARRAY(A501), TBL_Limiti_CDA[Data], TBL_Limiti_CDA[Etica Obbligazionario Breve Termine], , -1)</f>
        <v>#VALUE!</v>
      </c>
      <c r="D501" t="e" cm="1">
        <f t="array" ref="D501">_xlfn.XLOOKUP(_xlfn.ANCHORARRAY(A501), TBL_Limiti_CDA[Data], TBL_Limiti_CDA[Etica Obbligazionario Misto], , -1)</f>
        <v>#VALUE!</v>
      </c>
      <c r="E501" t="e" cm="1">
        <f t="array" ref="E501">_xlfn.XLOOKUP(_xlfn.ANCHORARRAY(A501), TBL_Limiti_CDA[Data], TBL_Limiti_CDA[Etica Bilanciato], , -1)</f>
        <v>#VALUE!</v>
      </c>
      <c r="F501" t="e" cm="1">
        <f t="array" ref="F501">_xlfn.XLOOKUP(_xlfn.ANCHORARRAY(A501), TBL_Limiti_CDA[Data], TBL_Limiti_CDA[Etica Azionario], , -1)</f>
        <v>#VALUE!</v>
      </c>
      <c r="G501" t="e" cm="1">
        <f t="array" ref="G501">_xlfn.XLOOKUP(_xlfn.ANCHORARRAY(A501), TBL_Limiti_CDA[Data], TBL_Limiti_CDA[Etica Transizione Climatica], , -1)</f>
        <v>#VALUE!</v>
      </c>
      <c r="H501" t="e" cm="1">
        <f t="array" ref="H501">_xlfn.XLOOKUP(_xlfn.ANCHORARRAY(A501), TBL_Limiti_CDA[Data], TBL_Limiti_CDA[Etica Obiettivo Sociale], , -1)</f>
        <v>#VALUE!</v>
      </c>
      <c r="I501" t="e" cm="1">
        <f t="array" ref="I501">_xlfn.XLOOKUP(_xlfn.ANCHORARRAY(A501), TBL_Limiti_CDA[Data], TBL_Limiti_CDA[Etica Conservative Allocation], , -1)</f>
        <v>#VALUE!</v>
      </c>
      <c r="J501" t="e" cm="1">
        <f t="array" ref="J501">_xlfn.XLOOKUP(_xlfn.ANCHORARRAY(A501), TBL_Limiti_CDA[Data], TBL_Limiti_CDA[Etica Dynamic Allocation], , -1)</f>
        <v>#VALUE!</v>
      </c>
      <c r="K501" t="e" cm="1">
        <f t="array" ref="K501">_xlfn.XLOOKUP(_xlfn.ANCHORARRAY(A501), TBL_Limiti_CDA[Data], TBL_Limiti_CDA[Etica Global Equity], , -1)</f>
        <v>#VALUE!</v>
      </c>
      <c r="L501" t="e" cm="1">
        <f t="array" ref="L501">_xlfn.ANCHORARRAY(B501)+0.15</f>
        <v>#VALUE!</v>
      </c>
      <c r="M501" t="e" cm="1">
        <f t="array" ref="M501">_xlfn.ANCHORARRAY(C501)+0.1</f>
        <v>#VALUE!</v>
      </c>
      <c r="N501" t="e" cm="1">
        <f t="array" ref="N501">_xlfn.ANCHORARRAY(D501)+0.15</f>
        <v>#VALUE!</v>
      </c>
      <c r="O501" t="e" cm="1">
        <f t="array" ref="O501">_xlfn.ANCHORARRAY(E501)+0.15</f>
        <v>#VALUE!</v>
      </c>
      <c r="P501" t="e" cm="1">
        <f t="array" ref="P501">_xlfn.ANCHORARRAY(F501)+0.15</f>
        <v>#VALUE!</v>
      </c>
      <c r="Q501" t="e" cm="1">
        <f t="array" ref="Q501">_xlfn.ANCHORARRAY(G501)+0.15</f>
        <v>#VALUE!</v>
      </c>
      <c r="R501" t="e" cm="1">
        <f t="array" ref="R501">_xlfn.ANCHORARRAY(H501)</f>
        <v>#VALUE!</v>
      </c>
      <c r="S501" t="e" cm="1">
        <f t="array" ref="S501">_xlfn.ANCHORARRAY(R501)+0.15</f>
        <v>#VALUE!</v>
      </c>
      <c r="T501" t="e" cm="1">
        <f t="array" ref="T501">_xlfn.ANCHORARRAY(I501)+0.15</f>
        <v>#VALUE!</v>
      </c>
      <c r="U501" t="e" cm="1">
        <f t="array" ref="U501">_xlfn.ANCHORARRAY(J501)+0.15</f>
        <v>#VALUE!</v>
      </c>
      <c r="V501" t="e" cm="1">
        <f t="array" ref="V501">_xlfn.ANCHORARRAY(K501)+0.15</f>
        <v>#VALUE!</v>
      </c>
      <c r="W501" t="e">
        <f>TBL_TEV[[#This Row],[Etica Rendita Bilanciata]]</f>
        <v>#VALUE!</v>
      </c>
      <c r="X501" t="e">
        <f>TBL_TEV[[#This Row],[Etica Obbligazionario Breve Termine]]</f>
        <v>#VALUE!</v>
      </c>
      <c r="Y501" t="e">
        <f>TBL_TEV[[#This Row],[Etica Obbligazionario Misto]]</f>
        <v>#VALUE!</v>
      </c>
      <c r="Z501" t="e">
        <f>TBL_TEV[[#This Row],[Etica Bilanciato]]</f>
        <v>#VALUE!</v>
      </c>
      <c r="AA501" t="e">
        <f>TBL_TEV[[#This Row],[Etica Azionario]]</f>
        <v>#VALUE!</v>
      </c>
      <c r="AB501" t="e">
        <f>TBL_TEV[[#This Row],[Etica Transizione Climatica]]</f>
        <v>#VALUE!</v>
      </c>
      <c r="AC501" t="e">
        <f>TBL_TEV[[#This Row],[Etica Obiettivo Sociale]]</f>
        <v>#VALUE!</v>
      </c>
      <c r="AD501" t="e">
        <f>TBL_TEV[[#This Row],[Etica Conservative Allocation]]</f>
        <v>#VALUE!</v>
      </c>
      <c r="AE501" t="e">
        <f>TBL_TEV[[#This Row],[Etica Dynamic Allocation]]</f>
        <v>#VALUE!</v>
      </c>
      <c r="AF501" t="e">
        <f>TBL_TEV[[#This Row],[Etica Global Equity]]</f>
        <v>#VALUE!</v>
      </c>
    </row>
    <row r="502" spans="1:47">
      <c r="A502" s="43" t="e">
        <f>TBL_TEV[[#This Row],[Data2]]</f>
        <v>#VALUE!</v>
      </c>
      <c r="B502" t="e" cm="1">
        <f t="array" ref="B502">_xlfn.XLOOKUP(_xlfn.ANCHORARRAY(A502), TBL_Limiti_CDA[Data], TBL_Limiti_CDA[Etica Rendita Bilanciata], , -1)</f>
        <v>#VALUE!</v>
      </c>
      <c r="C502" t="e" cm="1">
        <f t="array" ref="C502">_xlfn.XLOOKUP(_xlfn.ANCHORARRAY(A502), TBL_Limiti_CDA[Data], TBL_Limiti_CDA[Etica Obbligazionario Breve Termine], , -1)</f>
        <v>#VALUE!</v>
      </c>
      <c r="D502" t="e" cm="1">
        <f t="array" ref="D502">_xlfn.XLOOKUP(_xlfn.ANCHORARRAY(A502), TBL_Limiti_CDA[Data], TBL_Limiti_CDA[Etica Obbligazionario Misto], , -1)</f>
        <v>#VALUE!</v>
      </c>
      <c r="E502" t="e" cm="1">
        <f t="array" ref="E502">_xlfn.XLOOKUP(_xlfn.ANCHORARRAY(A502), TBL_Limiti_CDA[Data], TBL_Limiti_CDA[Etica Bilanciato], , -1)</f>
        <v>#VALUE!</v>
      </c>
      <c r="F502" t="e" cm="1">
        <f t="array" ref="F502">_xlfn.XLOOKUP(_xlfn.ANCHORARRAY(A502), TBL_Limiti_CDA[Data], TBL_Limiti_CDA[Etica Azionario], , -1)</f>
        <v>#VALUE!</v>
      </c>
      <c r="G502" t="e" cm="1">
        <f t="array" ref="G502">_xlfn.XLOOKUP(_xlfn.ANCHORARRAY(A502), TBL_Limiti_CDA[Data], TBL_Limiti_CDA[Etica Transizione Climatica], , -1)</f>
        <v>#VALUE!</v>
      </c>
      <c r="H502" t="e" cm="1">
        <f t="array" ref="H502">_xlfn.XLOOKUP(_xlfn.ANCHORARRAY(A502), TBL_Limiti_CDA[Data], TBL_Limiti_CDA[Etica Obiettivo Sociale], , -1)</f>
        <v>#VALUE!</v>
      </c>
      <c r="I502" t="e" cm="1">
        <f t="array" ref="I502">_xlfn.XLOOKUP(_xlfn.ANCHORARRAY(A502), TBL_Limiti_CDA[Data], TBL_Limiti_CDA[Etica Conservative Allocation], , -1)</f>
        <v>#VALUE!</v>
      </c>
      <c r="J502" t="e" cm="1">
        <f t="array" ref="J502">_xlfn.XLOOKUP(_xlfn.ANCHORARRAY(A502), TBL_Limiti_CDA[Data], TBL_Limiti_CDA[Etica Dynamic Allocation], , -1)</f>
        <v>#VALUE!</v>
      </c>
      <c r="K502" t="e" cm="1">
        <f t="array" ref="K502">_xlfn.XLOOKUP(_xlfn.ANCHORARRAY(A502), TBL_Limiti_CDA[Data], TBL_Limiti_CDA[Etica Global Equity], , -1)</f>
        <v>#VALUE!</v>
      </c>
      <c r="L502" t="e" cm="1">
        <f t="array" ref="L502">_xlfn.ANCHORARRAY(B502)+0.15</f>
        <v>#VALUE!</v>
      </c>
      <c r="M502" t="e" cm="1">
        <f t="array" ref="M502">_xlfn.ANCHORARRAY(C502)+0.1</f>
        <v>#VALUE!</v>
      </c>
      <c r="N502" t="e" cm="1">
        <f t="array" ref="N502">_xlfn.ANCHORARRAY(D502)+0.15</f>
        <v>#VALUE!</v>
      </c>
      <c r="O502" t="e" cm="1">
        <f t="array" ref="O502">_xlfn.ANCHORARRAY(E502)+0.15</f>
        <v>#VALUE!</v>
      </c>
      <c r="P502" t="e" cm="1">
        <f t="array" ref="P502">_xlfn.ANCHORARRAY(F502)+0.15</f>
        <v>#VALUE!</v>
      </c>
      <c r="Q502" t="e" cm="1">
        <f t="array" ref="Q502">_xlfn.ANCHORARRAY(G502)+0.15</f>
        <v>#VALUE!</v>
      </c>
      <c r="R502" t="e" cm="1">
        <f t="array" ref="R502">_xlfn.ANCHORARRAY(H502)</f>
        <v>#VALUE!</v>
      </c>
      <c r="S502" t="e" cm="1">
        <f t="array" ref="S502">_xlfn.ANCHORARRAY(R502)+0.15</f>
        <v>#VALUE!</v>
      </c>
      <c r="T502" t="e" cm="1">
        <f t="array" ref="T502">_xlfn.ANCHORARRAY(I502)+0.15</f>
        <v>#VALUE!</v>
      </c>
      <c r="U502" t="e" cm="1">
        <f t="array" ref="U502">_xlfn.ANCHORARRAY(J502)+0.15</f>
        <v>#VALUE!</v>
      </c>
      <c r="V502" t="e" cm="1">
        <f t="array" ref="V502">_xlfn.ANCHORARRAY(K502)+0.15</f>
        <v>#VALUE!</v>
      </c>
      <c r="W502" t="e">
        <f>TBL_TEV[[#This Row],[Etica Rendita Bilanciata]]</f>
        <v>#VALUE!</v>
      </c>
      <c r="X502" t="e">
        <f>TBL_TEV[[#This Row],[Etica Obbligazionario Breve Termine]]</f>
        <v>#VALUE!</v>
      </c>
      <c r="Y502" t="e">
        <f>TBL_TEV[[#This Row],[Etica Obbligazionario Misto]]</f>
        <v>#VALUE!</v>
      </c>
      <c r="Z502" t="e">
        <f>TBL_TEV[[#This Row],[Etica Bilanciato]]</f>
        <v>#VALUE!</v>
      </c>
      <c r="AA502" t="e">
        <f>TBL_TEV[[#This Row],[Etica Azionario]]</f>
        <v>#VALUE!</v>
      </c>
      <c r="AB502" t="e">
        <f>TBL_TEV[[#This Row],[Etica Transizione Climatica]]</f>
        <v>#VALUE!</v>
      </c>
      <c r="AC502" t="e">
        <f>TBL_TEV[[#This Row],[Etica Obiettivo Sociale]]</f>
        <v>#VALUE!</v>
      </c>
      <c r="AD502" t="e">
        <f>TBL_TEV[[#This Row],[Etica Conservative Allocation]]</f>
        <v>#VALUE!</v>
      </c>
      <c r="AE502" t="e">
        <f>TBL_TEV[[#This Row],[Etica Dynamic Allocation]]</f>
        <v>#VALUE!</v>
      </c>
      <c r="AF502" t="e">
        <f>TBL_TEV[[#This Row],[Etica Global Equity]]</f>
        <v>#VALUE!</v>
      </c>
    </row>
    <row r="503" spans="1:47">
      <c r="A503" s="43" t="e">
        <f>TBL_TEV[[#This Row],[Data2]]</f>
        <v>#VALUE!</v>
      </c>
      <c r="B503" t="e" cm="1">
        <f t="array" ref="B503">_xlfn.XLOOKUP(_xlfn.ANCHORARRAY(A503), TBL_Limiti_CDA[Data], TBL_Limiti_CDA[Etica Rendita Bilanciata], , -1)</f>
        <v>#VALUE!</v>
      </c>
      <c r="C503" t="e" cm="1">
        <f t="array" ref="C503">_xlfn.XLOOKUP(_xlfn.ANCHORARRAY(A503), TBL_Limiti_CDA[Data], TBL_Limiti_CDA[Etica Obbligazionario Breve Termine], , -1)</f>
        <v>#VALUE!</v>
      </c>
      <c r="D503" t="e" cm="1">
        <f t="array" ref="D503">_xlfn.XLOOKUP(_xlfn.ANCHORARRAY(A503), TBL_Limiti_CDA[Data], TBL_Limiti_CDA[Etica Obbligazionario Misto], , -1)</f>
        <v>#VALUE!</v>
      </c>
      <c r="E503" t="e" cm="1">
        <f t="array" ref="E503">_xlfn.XLOOKUP(_xlfn.ANCHORARRAY(A503), TBL_Limiti_CDA[Data], TBL_Limiti_CDA[Etica Bilanciato], , -1)</f>
        <v>#VALUE!</v>
      </c>
      <c r="F503" t="e" cm="1">
        <f t="array" ref="F503">_xlfn.XLOOKUP(_xlfn.ANCHORARRAY(A503), TBL_Limiti_CDA[Data], TBL_Limiti_CDA[Etica Azionario], , -1)</f>
        <v>#VALUE!</v>
      </c>
      <c r="G503" t="e" cm="1">
        <f t="array" ref="G503">_xlfn.XLOOKUP(_xlfn.ANCHORARRAY(A503), TBL_Limiti_CDA[Data], TBL_Limiti_CDA[Etica Transizione Climatica], , -1)</f>
        <v>#VALUE!</v>
      </c>
      <c r="H503" t="e" cm="1">
        <f t="array" ref="H503">_xlfn.XLOOKUP(_xlfn.ANCHORARRAY(A503), TBL_Limiti_CDA[Data], TBL_Limiti_CDA[Etica Obiettivo Sociale], , -1)</f>
        <v>#VALUE!</v>
      </c>
      <c r="I503" t="e" cm="1">
        <f t="array" ref="I503">_xlfn.XLOOKUP(_xlfn.ANCHORARRAY(A503), TBL_Limiti_CDA[Data], TBL_Limiti_CDA[Etica Conservative Allocation], , -1)</f>
        <v>#VALUE!</v>
      </c>
      <c r="J503" t="e" cm="1">
        <f t="array" ref="J503">_xlfn.XLOOKUP(_xlfn.ANCHORARRAY(A503), TBL_Limiti_CDA[Data], TBL_Limiti_CDA[Etica Dynamic Allocation], , -1)</f>
        <v>#VALUE!</v>
      </c>
      <c r="K503" t="e" cm="1">
        <f t="array" ref="K503">_xlfn.XLOOKUP(_xlfn.ANCHORARRAY(A503), TBL_Limiti_CDA[Data], TBL_Limiti_CDA[Etica Global Equity], , -1)</f>
        <v>#VALUE!</v>
      </c>
      <c r="L503" t="e" cm="1">
        <f t="array" ref="L503">_xlfn.ANCHORARRAY(B503)+0.15</f>
        <v>#VALUE!</v>
      </c>
      <c r="M503" t="e" cm="1">
        <f t="array" ref="M503">_xlfn.ANCHORARRAY(C503)+0.1</f>
        <v>#VALUE!</v>
      </c>
      <c r="N503" t="e" cm="1">
        <f t="array" ref="N503">_xlfn.ANCHORARRAY(D503)+0.15</f>
        <v>#VALUE!</v>
      </c>
      <c r="O503" t="e" cm="1">
        <f t="array" ref="O503">_xlfn.ANCHORARRAY(E503)+0.15</f>
        <v>#VALUE!</v>
      </c>
      <c r="P503" t="e" cm="1">
        <f t="array" ref="P503">_xlfn.ANCHORARRAY(F503)+0.15</f>
        <v>#VALUE!</v>
      </c>
      <c r="Q503" t="e" cm="1">
        <f t="array" ref="Q503">_xlfn.ANCHORARRAY(G503)+0.15</f>
        <v>#VALUE!</v>
      </c>
      <c r="R503" t="e" cm="1">
        <f t="array" ref="R503">_xlfn.ANCHORARRAY(H503)</f>
        <v>#VALUE!</v>
      </c>
      <c r="S503" t="e" cm="1">
        <f t="array" ref="S503">_xlfn.ANCHORARRAY(R503)+0.15</f>
        <v>#VALUE!</v>
      </c>
      <c r="T503" t="e" cm="1">
        <f t="array" ref="T503">_xlfn.ANCHORARRAY(I503)+0.15</f>
        <v>#VALUE!</v>
      </c>
      <c r="U503" t="e" cm="1">
        <f t="array" ref="U503">_xlfn.ANCHORARRAY(J503)+0.15</f>
        <v>#VALUE!</v>
      </c>
      <c r="V503" t="e" cm="1">
        <f t="array" ref="V503">_xlfn.ANCHORARRAY(K503)+0.15</f>
        <v>#VALUE!</v>
      </c>
      <c r="W503" t="e">
        <f>TBL_TEV[[#This Row],[Etica Rendita Bilanciata]]</f>
        <v>#VALUE!</v>
      </c>
      <c r="X503" t="e">
        <f>TBL_TEV[[#This Row],[Etica Obbligazionario Breve Termine]]</f>
        <v>#VALUE!</v>
      </c>
      <c r="Y503" t="e">
        <f>TBL_TEV[[#This Row],[Etica Obbligazionario Misto]]</f>
        <v>#VALUE!</v>
      </c>
      <c r="Z503" t="e">
        <f>TBL_TEV[[#This Row],[Etica Bilanciato]]</f>
        <v>#VALUE!</v>
      </c>
      <c r="AA503" t="e">
        <f>TBL_TEV[[#This Row],[Etica Azionario]]</f>
        <v>#VALUE!</v>
      </c>
      <c r="AB503" t="e">
        <f>TBL_TEV[[#This Row],[Etica Transizione Climatica]]</f>
        <v>#VALUE!</v>
      </c>
      <c r="AC503" t="e">
        <f>TBL_TEV[[#This Row],[Etica Obiettivo Sociale]]</f>
        <v>#VALUE!</v>
      </c>
      <c r="AD503" t="e">
        <f>TBL_TEV[[#This Row],[Etica Conservative Allocation]]</f>
        <v>#VALUE!</v>
      </c>
      <c r="AE503" t="e">
        <f>TBL_TEV[[#This Row],[Etica Dynamic Allocation]]</f>
        <v>#VALUE!</v>
      </c>
      <c r="AF503" t="e">
        <f>TBL_TEV[[#This Row],[Etica Global Equity]]</f>
        <v>#VALUE!</v>
      </c>
    </row>
    <row r="504" spans="1:47">
      <c r="A504" s="43" t="e">
        <f>TBL_TEV[[#This Row],[Data2]]</f>
        <v>#VALUE!</v>
      </c>
      <c r="B504" t="e" cm="1">
        <f t="array" ref="B504">_xlfn.XLOOKUP(_xlfn.ANCHORARRAY(A504), TBL_Limiti_CDA[Data], TBL_Limiti_CDA[Etica Rendita Bilanciata], , -1)</f>
        <v>#VALUE!</v>
      </c>
      <c r="C504" t="e" cm="1">
        <f t="array" ref="C504">_xlfn.XLOOKUP(_xlfn.ANCHORARRAY(A504), TBL_Limiti_CDA[Data], TBL_Limiti_CDA[Etica Obbligazionario Breve Termine], , -1)</f>
        <v>#VALUE!</v>
      </c>
      <c r="D504" t="e" cm="1">
        <f t="array" ref="D504">_xlfn.XLOOKUP(_xlfn.ANCHORARRAY(A504), TBL_Limiti_CDA[Data], TBL_Limiti_CDA[Etica Obbligazionario Misto], , -1)</f>
        <v>#VALUE!</v>
      </c>
      <c r="E504" t="e" cm="1">
        <f t="array" ref="E504">_xlfn.XLOOKUP(_xlfn.ANCHORARRAY(A504), TBL_Limiti_CDA[Data], TBL_Limiti_CDA[Etica Bilanciato], , -1)</f>
        <v>#VALUE!</v>
      </c>
      <c r="F504" t="e" cm="1">
        <f t="array" ref="F504">_xlfn.XLOOKUP(_xlfn.ANCHORARRAY(A504), TBL_Limiti_CDA[Data], TBL_Limiti_CDA[Etica Azionario], , -1)</f>
        <v>#VALUE!</v>
      </c>
      <c r="G504" t="e" cm="1">
        <f t="array" ref="G504">_xlfn.XLOOKUP(_xlfn.ANCHORARRAY(A504), TBL_Limiti_CDA[Data], TBL_Limiti_CDA[Etica Transizione Climatica], , -1)</f>
        <v>#VALUE!</v>
      </c>
      <c r="H504" t="e" cm="1">
        <f t="array" ref="H504">_xlfn.XLOOKUP(_xlfn.ANCHORARRAY(A504), TBL_Limiti_CDA[Data], TBL_Limiti_CDA[Etica Obiettivo Sociale], , -1)</f>
        <v>#VALUE!</v>
      </c>
      <c r="I504" t="e" cm="1">
        <f t="array" ref="I504">_xlfn.XLOOKUP(_xlfn.ANCHORARRAY(A504), TBL_Limiti_CDA[Data], TBL_Limiti_CDA[Etica Conservative Allocation], , -1)</f>
        <v>#VALUE!</v>
      </c>
      <c r="J504" t="e" cm="1">
        <f t="array" ref="J504">_xlfn.XLOOKUP(_xlfn.ANCHORARRAY(A504), TBL_Limiti_CDA[Data], TBL_Limiti_CDA[Etica Dynamic Allocation], , -1)</f>
        <v>#VALUE!</v>
      </c>
      <c r="K504" t="e" cm="1">
        <f t="array" ref="K504">_xlfn.XLOOKUP(_xlfn.ANCHORARRAY(A504), TBL_Limiti_CDA[Data], TBL_Limiti_CDA[Etica Global Equity], , -1)</f>
        <v>#VALUE!</v>
      </c>
      <c r="L504" t="e" cm="1">
        <f t="array" ref="L504">_xlfn.ANCHORARRAY(B504)+0.15</f>
        <v>#VALUE!</v>
      </c>
      <c r="M504" t="e" cm="1">
        <f t="array" ref="M504">_xlfn.ANCHORARRAY(C504)+0.1</f>
        <v>#VALUE!</v>
      </c>
      <c r="N504" t="e" cm="1">
        <f t="array" ref="N504">_xlfn.ANCHORARRAY(D504)+0.15</f>
        <v>#VALUE!</v>
      </c>
      <c r="O504" t="e" cm="1">
        <f t="array" ref="O504">_xlfn.ANCHORARRAY(E504)+0.15</f>
        <v>#VALUE!</v>
      </c>
      <c r="P504" t="e" cm="1">
        <f t="array" ref="P504">_xlfn.ANCHORARRAY(F504)+0.15</f>
        <v>#VALUE!</v>
      </c>
      <c r="Q504" t="e" cm="1">
        <f t="array" ref="Q504">_xlfn.ANCHORARRAY(G504)+0.15</f>
        <v>#VALUE!</v>
      </c>
      <c r="R504" t="e" cm="1">
        <f t="array" ref="R504">_xlfn.ANCHORARRAY(H504)</f>
        <v>#VALUE!</v>
      </c>
      <c r="S504" t="e" cm="1">
        <f t="array" ref="S504">_xlfn.ANCHORARRAY(R504)+0.15</f>
        <v>#VALUE!</v>
      </c>
      <c r="T504" t="e" cm="1">
        <f t="array" ref="T504">_xlfn.ANCHORARRAY(I504)+0.15</f>
        <v>#VALUE!</v>
      </c>
      <c r="U504" t="e" cm="1">
        <f t="array" ref="U504">_xlfn.ANCHORARRAY(J504)+0.15</f>
        <v>#VALUE!</v>
      </c>
      <c r="V504" t="e" cm="1">
        <f t="array" ref="V504">_xlfn.ANCHORARRAY(K504)+0.15</f>
        <v>#VALUE!</v>
      </c>
      <c r="W504" t="e">
        <f>TBL_TEV[[#This Row],[Etica Rendita Bilanciata]]</f>
        <v>#VALUE!</v>
      </c>
      <c r="X504" t="e">
        <f>TBL_TEV[[#This Row],[Etica Obbligazionario Breve Termine]]</f>
        <v>#VALUE!</v>
      </c>
      <c r="Y504" t="e">
        <f>TBL_TEV[[#This Row],[Etica Obbligazionario Misto]]</f>
        <v>#VALUE!</v>
      </c>
      <c r="Z504" t="e">
        <f>TBL_TEV[[#This Row],[Etica Bilanciato]]</f>
        <v>#VALUE!</v>
      </c>
      <c r="AA504" t="e">
        <f>TBL_TEV[[#This Row],[Etica Azionario]]</f>
        <v>#VALUE!</v>
      </c>
      <c r="AB504" t="e">
        <f>TBL_TEV[[#This Row],[Etica Transizione Climatica]]</f>
        <v>#VALUE!</v>
      </c>
      <c r="AC504" t="e">
        <f>TBL_TEV[[#This Row],[Etica Obiettivo Sociale]]</f>
        <v>#VALUE!</v>
      </c>
      <c r="AD504" t="e">
        <f>TBL_TEV[[#This Row],[Etica Conservative Allocation]]</f>
        <v>#VALUE!</v>
      </c>
      <c r="AE504" t="e">
        <f>TBL_TEV[[#This Row],[Etica Dynamic Allocation]]</f>
        <v>#VALUE!</v>
      </c>
      <c r="AF504" t="e">
        <f>TBL_TEV[[#This Row],[Etica Global Equity]]</f>
        <v>#VALUE!</v>
      </c>
    </row>
    <row r="505" spans="1:47">
      <c r="A505" s="43" t="e">
        <f>TBL_TEV[[#This Row],[Data2]]</f>
        <v>#VALUE!</v>
      </c>
      <c r="B505" s="45" t="e" cm="1">
        <f t="array" ref="B505">_xlfn.XLOOKUP(_xlfn.ANCHORARRAY(A505), TBL_Limiti_CDA[Data], TBL_Limiti_CDA[Etica Rendita Bilanciata], , -1)</f>
        <v>#VALUE!</v>
      </c>
      <c r="C505" s="45" t="e" cm="1">
        <f t="array" ref="C505">_xlfn.XLOOKUP(_xlfn.ANCHORARRAY(A505), TBL_Limiti_CDA[Data], TBL_Limiti_CDA[Etica Obbligazionario Breve Termine], , -1)</f>
        <v>#VALUE!</v>
      </c>
      <c r="D505" s="45" t="e" cm="1">
        <f t="array" ref="D505">_xlfn.XLOOKUP(_xlfn.ANCHORARRAY(A505), TBL_Limiti_CDA[Data], TBL_Limiti_CDA[Etica Obbligazionario Misto], , -1)</f>
        <v>#VALUE!</v>
      </c>
      <c r="E505" s="45" t="e" cm="1">
        <f t="array" ref="E505">_xlfn.XLOOKUP(_xlfn.ANCHORARRAY(A505), TBL_Limiti_CDA[Data], TBL_Limiti_CDA[Etica Bilanciato], , -1)</f>
        <v>#VALUE!</v>
      </c>
      <c r="F505" s="45" t="e" cm="1">
        <f t="array" ref="F505">_xlfn.XLOOKUP(_xlfn.ANCHORARRAY(A505), TBL_Limiti_CDA[Data], TBL_Limiti_CDA[Etica Azionario], , -1)</f>
        <v>#VALUE!</v>
      </c>
      <c r="G505" s="45" t="e" cm="1">
        <f t="array" ref="G505">_xlfn.XLOOKUP(_xlfn.ANCHORARRAY(A505), TBL_Limiti_CDA[Data], TBL_Limiti_CDA[Etica Transizione Climatica], , -1)</f>
        <v>#VALUE!</v>
      </c>
      <c r="H505" s="45" t="e" cm="1">
        <f t="array" ref="H505">_xlfn.XLOOKUP(_xlfn.ANCHORARRAY(A505), TBL_Limiti_CDA[Data], TBL_Limiti_CDA[Etica Obiettivo Sociale], , -1)</f>
        <v>#VALUE!</v>
      </c>
      <c r="I505" s="45" t="e" cm="1">
        <f t="array" ref="I505">_xlfn.XLOOKUP(_xlfn.ANCHORARRAY(A505), TBL_Limiti_CDA[Data], TBL_Limiti_CDA[Etica Conservative Allocation], , -1)</f>
        <v>#VALUE!</v>
      </c>
      <c r="J505" s="45" t="e" cm="1">
        <f t="array" ref="J505">_xlfn.XLOOKUP(_xlfn.ANCHORARRAY(A505), TBL_Limiti_CDA[Data], TBL_Limiti_CDA[Etica Dynamic Allocation], , -1)</f>
        <v>#VALUE!</v>
      </c>
      <c r="K505" s="45" t="e" cm="1">
        <f t="array" ref="K505">_xlfn.XLOOKUP(_xlfn.ANCHORARRAY(A505), TBL_Limiti_CDA[Data], TBL_Limiti_CDA[Etica Global Equity], , -1)</f>
        <v>#VALUE!</v>
      </c>
      <c r="L505" s="45" t="e" cm="1">
        <f t="array" ref="L505">_xlfn.ANCHORARRAY(B505)+0.15</f>
        <v>#VALUE!</v>
      </c>
      <c r="M505" s="45" t="e" cm="1">
        <f t="array" ref="M505">_xlfn.ANCHORARRAY(C505)+0.1</f>
        <v>#VALUE!</v>
      </c>
      <c r="N505" s="45" t="e" cm="1">
        <f t="array" ref="N505">_xlfn.ANCHORARRAY(D505)+0.15</f>
        <v>#VALUE!</v>
      </c>
      <c r="O505" s="45" t="e" cm="1">
        <f t="array" ref="O505">_xlfn.ANCHORARRAY(E505)+0.15</f>
        <v>#VALUE!</v>
      </c>
      <c r="P505" s="45" t="e" cm="1">
        <f t="array" ref="P505">_xlfn.ANCHORARRAY(F505)+0.15</f>
        <v>#VALUE!</v>
      </c>
      <c r="Q505" s="45" t="e" cm="1">
        <f t="array" ref="Q505">_xlfn.ANCHORARRAY(G505)+0.15</f>
        <v>#VALUE!</v>
      </c>
      <c r="R505" s="45" t="e" cm="1">
        <f t="array" ref="R505">_xlfn.ANCHORARRAY(H505)</f>
        <v>#VALUE!</v>
      </c>
      <c r="S505" s="45" t="e" cm="1">
        <f t="array" ref="S505">_xlfn.ANCHORARRAY(R505)+0.15</f>
        <v>#VALUE!</v>
      </c>
      <c r="T505" s="45" t="e" cm="1">
        <f t="array" ref="T505">_xlfn.ANCHORARRAY(I505)+0.15</f>
        <v>#VALUE!</v>
      </c>
      <c r="U505" s="45" t="e" cm="1">
        <f t="array" ref="U505">_xlfn.ANCHORARRAY(J505)+0.15</f>
        <v>#VALUE!</v>
      </c>
      <c r="V505" s="45" t="e" cm="1">
        <f t="array" ref="V505">_xlfn.ANCHORARRAY(K505)+0.15</f>
        <v>#VALUE!</v>
      </c>
      <c r="W505" s="45" t="e">
        <f>TBL_TEV[[#This Row],[Etica Rendita Bilanciata]]</f>
        <v>#VALUE!</v>
      </c>
      <c r="X505" s="45" t="e">
        <f>TBL_TEV[[#This Row],[Etica Obbligazionario Breve Termine]]</f>
        <v>#VALUE!</v>
      </c>
      <c r="Y505" s="45" t="e">
        <f>TBL_TEV[[#This Row],[Etica Obbligazionario Misto]]</f>
        <v>#VALUE!</v>
      </c>
      <c r="Z505" s="45" t="e">
        <f>TBL_TEV[[#This Row],[Etica Bilanciato]]</f>
        <v>#VALUE!</v>
      </c>
      <c r="AA505" s="45" t="e">
        <f>TBL_TEV[[#This Row],[Etica Azionario]]</f>
        <v>#VALUE!</v>
      </c>
      <c r="AB505" s="45" t="e">
        <f>TBL_TEV[[#This Row],[Etica Transizione Climatica]]</f>
        <v>#VALUE!</v>
      </c>
      <c r="AC505" s="45" t="e">
        <f>TBL_TEV[[#This Row],[Etica Obiettivo Sociale]]</f>
        <v>#VALUE!</v>
      </c>
      <c r="AD505" s="45" t="e">
        <f>TBL_TEV[[#This Row],[Etica Conservative Allocation]]</f>
        <v>#VALUE!</v>
      </c>
      <c r="AE505" s="45" t="e">
        <f>TBL_TEV[[#This Row],[Etica Dynamic Allocation]]</f>
        <v>#VALUE!</v>
      </c>
      <c r="AF505" s="45" t="e">
        <f>TBL_TEV[[#This Row],[Etica Global Equity]]</f>
        <v>#VALUE!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BAF7-EDD9-488E-B0C3-53A1C84EB1B8}">
  <sheetPr codeName="Foglio8"/>
  <dimension ref="A1:F11"/>
  <sheetViews>
    <sheetView workbookViewId="0">
      <selection activeCell="C19" sqref="C19"/>
    </sheetView>
  </sheetViews>
  <sheetFormatPr defaultColWidth="8.86328125" defaultRowHeight="14.75"/>
  <cols>
    <col min="1" max="1" width="33.86328125" bestFit="1" customWidth="1"/>
    <col min="2" max="2" width="13.26953125" bestFit="1" customWidth="1"/>
    <col min="3" max="3" width="16.7265625" bestFit="1" customWidth="1"/>
    <col min="4" max="4" width="14.40625" bestFit="1" customWidth="1"/>
    <col min="5" max="5" width="15" bestFit="1" customWidth="1"/>
    <col min="6" max="6" width="12.26953125" bestFit="1" customWidth="1"/>
  </cols>
  <sheetData>
    <row r="1" spans="1:6">
      <c r="A1" s="39" t="s">
        <v>40</v>
      </c>
      <c r="B1" s="40" t="s">
        <v>41</v>
      </c>
      <c r="C1" s="40" t="s">
        <v>42</v>
      </c>
      <c r="D1" s="40" t="s">
        <v>43</v>
      </c>
      <c r="E1" s="40" t="s">
        <v>44</v>
      </c>
      <c r="F1" s="40" t="s">
        <v>45</v>
      </c>
    </row>
    <row r="2" spans="1:6">
      <c r="A2" s="41" t="s">
        <v>5</v>
      </c>
      <c r="B2" s="42">
        <v>2.5</v>
      </c>
      <c r="C2" s="42">
        <v>3.5</v>
      </c>
      <c r="D2" s="42">
        <v>4.5</v>
      </c>
      <c r="E2" s="42">
        <v>6</v>
      </c>
      <c r="F2" s="42">
        <v>8</v>
      </c>
    </row>
    <row r="3" spans="1:6">
      <c r="A3" s="41" t="s">
        <v>4</v>
      </c>
      <c r="B3" s="42">
        <v>1.75</v>
      </c>
      <c r="C3" s="42">
        <v>2.5</v>
      </c>
      <c r="D3" s="42">
        <v>3</v>
      </c>
      <c r="E3" s="42">
        <v>4</v>
      </c>
      <c r="F3" s="42">
        <v>5.5</v>
      </c>
    </row>
    <row r="4" spans="1:6">
      <c r="A4" s="41" t="s">
        <v>6</v>
      </c>
      <c r="B4" s="42">
        <v>1.5</v>
      </c>
      <c r="C4" s="42">
        <v>2</v>
      </c>
      <c r="D4" s="42">
        <v>2.75</v>
      </c>
      <c r="E4" s="42">
        <v>3.5</v>
      </c>
      <c r="F4" s="42">
        <v>4.75</v>
      </c>
    </row>
    <row r="5" spans="1:6">
      <c r="A5" s="41" t="s">
        <v>1</v>
      </c>
      <c r="B5" s="42">
        <v>0.75</v>
      </c>
      <c r="C5" s="42">
        <v>1.25</v>
      </c>
      <c r="D5" s="42">
        <v>1.75</v>
      </c>
      <c r="E5" s="42">
        <v>2.5</v>
      </c>
      <c r="F5" s="42">
        <v>3.75</v>
      </c>
    </row>
    <row r="6" spans="1:6">
      <c r="A6" s="41" t="s">
        <v>3</v>
      </c>
      <c r="B6" s="42">
        <v>0.5</v>
      </c>
      <c r="C6" s="42">
        <v>0.75</v>
      </c>
      <c r="D6" s="42">
        <v>1</v>
      </c>
      <c r="E6" s="42">
        <v>1.5</v>
      </c>
      <c r="F6" s="42">
        <v>2.25</v>
      </c>
    </row>
    <row r="7" spans="1:6">
      <c r="A7" s="41" t="s">
        <v>2</v>
      </c>
      <c r="B7" s="42">
        <v>0.15</v>
      </c>
      <c r="C7" s="42">
        <v>0.25</v>
      </c>
      <c r="D7" s="42">
        <v>0.5</v>
      </c>
      <c r="E7" s="42">
        <v>0.75</v>
      </c>
      <c r="F7" s="42">
        <v>1.25</v>
      </c>
    </row>
    <row r="8" spans="1:6">
      <c r="A8" s="41" t="s">
        <v>10</v>
      </c>
      <c r="B8" s="42">
        <v>2.5</v>
      </c>
      <c r="C8" s="42">
        <v>3.5</v>
      </c>
      <c r="D8" s="42">
        <v>4.5</v>
      </c>
      <c r="E8" s="42">
        <v>6</v>
      </c>
      <c r="F8" s="42">
        <v>8</v>
      </c>
    </row>
    <row r="9" spans="1:6">
      <c r="A9" s="41" t="s">
        <v>9</v>
      </c>
      <c r="B9" s="42">
        <v>1.75</v>
      </c>
      <c r="C9" s="42">
        <v>2.5</v>
      </c>
      <c r="D9" s="42">
        <v>3</v>
      </c>
      <c r="E9" s="42">
        <v>4</v>
      </c>
      <c r="F9" s="42">
        <v>5.5</v>
      </c>
    </row>
    <row r="10" spans="1:6">
      <c r="A10" s="41" t="s">
        <v>8</v>
      </c>
      <c r="B10" s="42">
        <v>0.5</v>
      </c>
      <c r="C10" s="42">
        <v>0.75</v>
      </c>
      <c r="D10" s="42">
        <v>1</v>
      </c>
      <c r="E10" s="42">
        <v>1.5</v>
      </c>
      <c r="F10" s="42">
        <v>2.25</v>
      </c>
    </row>
    <row r="11" spans="1:6">
      <c r="A11" s="41" t="s">
        <v>7</v>
      </c>
      <c r="B11" s="42">
        <v>2.5</v>
      </c>
      <c r="C11" s="42">
        <v>5</v>
      </c>
      <c r="D11" s="42">
        <v>7.49</v>
      </c>
      <c r="E11" s="42">
        <v>9.99</v>
      </c>
      <c r="F11" s="42">
        <v>12.49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F864-F8A3-4B02-83D4-A03D901B9672}">
  <sheetPr codeName="Foglio4"/>
  <dimension ref="A3:AB439"/>
  <sheetViews>
    <sheetView topLeftCell="S1" workbookViewId="0">
      <selection activeCell="X4" sqref="X4"/>
    </sheetView>
  </sheetViews>
  <sheetFormatPr defaultColWidth="8.86328125" defaultRowHeight="14.75"/>
  <cols>
    <col min="1" max="1" width="18.26953125" bestFit="1" customWidth="1"/>
    <col min="2" max="2" width="6.40625" bestFit="1" customWidth="1"/>
    <col min="3" max="3" width="17.26953125" bestFit="1" customWidth="1"/>
    <col min="4" max="4" width="17" bestFit="1" customWidth="1"/>
    <col min="5" max="5" width="18.26953125" bestFit="1" customWidth="1"/>
    <col min="6" max="6" width="6.40625" bestFit="1" customWidth="1"/>
    <col min="7" max="7" width="17.26953125" bestFit="1" customWidth="1"/>
    <col min="8" max="8" width="14.1328125" bestFit="1" customWidth="1"/>
    <col min="9" max="9" width="18.26953125" bestFit="1" customWidth="1"/>
    <col min="10" max="10" width="6.40625" bestFit="1" customWidth="1"/>
    <col min="11" max="11" width="17.26953125" bestFit="1" customWidth="1"/>
    <col min="12" max="12" width="20.86328125" bestFit="1" customWidth="1"/>
    <col min="13" max="13" width="18.26953125" bestFit="1" customWidth="1"/>
    <col min="14" max="14" width="6.40625" bestFit="1" customWidth="1"/>
    <col min="15" max="15" width="17.26953125" bestFit="1" customWidth="1"/>
    <col min="16" max="16" width="11" bestFit="1" customWidth="1"/>
    <col min="17" max="17" width="18.26953125" bestFit="1" customWidth="1"/>
    <col min="18" max="18" width="7" bestFit="1" customWidth="1"/>
    <col min="19" max="19" width="17.26953125" bestFit="1" customWidth="1"/>
    <col min="20" max="20" width="12" bestFit="1" customWidth="1"/>
    <col min="21" max="21" width="18.26953125" bestFit="1" customWidth="1"/>
    <col min="22" max="22" width="8" bestFit="1" customWidth="1"/>
    <col min="23" max="23" width="17.26953125" bestFit="1" customWidth="1"/>
    <col min="24" max="24" width="20" bestFit="1" customWidth="1"/>
    <col min="25" max="25" width="18.26953125" bestFit="1" customWidth="1"/>
    <col min="26" max="26" width="8" bestFit="1" customWidth="1"/>
    <col min="27" max="27" width="16.26953125" bestFit="1" customWidth="1"/>
    <col min="28" max="28" width="17.40625" bestFit="1" customWidth="1"/>
  </cols>
  <sheetData>
    <row r="3" spans="1:28">
      <c r="A3" s="13" t="s">
        <v>46</v>
      </c>
      <c r="B3" t="s">
        <v>47</v>
      </c>
      <c r="C3" t="s">
        <v>48</v>
      </c>
      <c r="D3" t="s">
        <v>49</v>
      </c>
      <c r="E3" s="13" t="s">
        <v>46</v>
      </c>
      <c r="F3" t="s">
        <v>47</v>
      </c>
      <c r="G3" t="s">
        <v>48</v>
      </c>
      <c r="H3" t="s">
        <v>50</v>
      </c>
      <c r="I3" s="13" t="s">
        <v>46</v>
      </c>
      <c r="J3" t="s">
        <v>47</v>
      </c>
      <c r="K3" t="s">
        <v>48</v>
      </c>
      <c r="L3" t="s">
        <v>51</v>
      </c>
      <c r="M3" s="13" t="s">
        <v>46</v>
      </c>
      <c r="N3" t="s">
        <v>47</v>
      </c>
      <c r="O3" t="s">
        <v>48</v>
      </c>
      <c r="P3" t="s">
        <v>52</v>
      </c>
      <c r="Q3" s="13" t="s">
        <v>46</v>
      </c>
      <c r="R3" t="s">
        <v>47</v>
      </c>
      <c r="S3" t="s">
        <v>48</v>
      </c>
      <c r="T3" t="s">
        <v>53</v>
      </c>
      <c r="U3" s="13" t="s">
        <v>46</v>
      </c>
      <c r="V3" t="s">
        <v>47</v>
      </c>
      <c r="W3" t="s">
        <v>48</v>
      </c>
      <c r="X3" t="s">
        <v>54</v>
      </c>
      <c r="Y3" s="13" t="s">
        <v>46</v>
      </c>
      <c r="Z3" t="s">
        <v>47</v>
      </c>
      <c r="AA3" t="s">
        <v>55</v>
      </c>
      <c r="AB3" t="s">
        <v>56</v>
      </c>
    </row>
    <row r="4" spans="1:28">
      <c r="A4" s="23">
        <v>45293</v>
      </c>
      <c r="B4">
        <v>1.75</v>
      </c>
      <c r="C4">
        <v>1.9</v>
      </c>
      <c r="D4">
        <v>1.3382210000000001</v>
      </c>
      <c r="E4" s="23">
        <v>45293</v>
      </c>
      <c r="F4">
        <v>0.5</v>
      </c>
      <c r="G4">
        <v>0.6</v>
      </c>
      <c r="H4">
        <v>0.181446</v>
      </c>
      <c r="I4" s="23">
        <v>45293</v>
      </c>
      <c r="J4">
        <v>1</v>
      </c>
      <c r="K4">
        <v>1.1499999999999999</v>
      </c>
      <c r="L4">
        <v>0.63847299999999996</v>
      </c>
      <c r="M4" s="23">
        <v>45293</v>
      </c>
      <c r="N4">
        <v>3</v>
      </c>
      <c r="O4">
        <v>3.15</v>
      </c>
      <c r="P4">
        <v>2.0379689999999999</v>
      </c>
      <c r="Q4" s="23">
        <v>45293</v>
      </c>
      <c r="R4">
        <v>4.5</v>
      </c>
      <c r="S4">
        <v>4.6500000000000004</v>
      </c>
      <c r="T4">
        <v>2.9639289999999998</v>
      </c>
      <c r="U4" s="23">
        <v>45293</v>
      </c>
      <c r="V4">
        <v>2.75</v>
      </c>
      <c r="W4">
        <v>2.9</v>
      </c>
      <c r="X4">
        <v>1.8141389999999999</v>
      </c>
      <c r="Y4" s="23">
        <v>45293</v>
      </c>
      <c r="Z4">
        <v>7.49</v>
      </c>
      <c r="AA4">
        <v>6.0357310402110356</v>
      </c>
      <c r="AB4">
        <v>7.6400000000000006</v>
      </c>
    </row>
    <row r="5" spans="1:28">
      <c r="A5" s="23">
        <v>45294</v>
      </c>
      <c r="B5">
        <v>1.75</v>
      </c>
      <c r="C5">
        <v>1.9</v>
      </c>
      <c r="D5">
        <v>1.3948929999999999</v>
      </c>
      <c r="E5" s="23">
        <v>45294</v>
      </c>
      <c r="F5">
        <v>0.5</v>
      </c>
      <c r="G5">
        <v>0.6</v>
      </c>
      <c r="H5">
        <v>0.18112800000000001</v>
      </c>
      <c r="I5" s="23">
        <v>45294</v>
      </c>
      <c r="J5">
        <v>1</v>
      </c>
      <c r="K5">
        <v>1.1499999999999999</v>
      </c>
      <c r="L5">
        <v>0.68165100000000001</v>
      </c>
      <c r="M5" s="23">
        <v>45294</v>
      </c>
      <c r="N5">
        <v>3</v>
      </c>
      <c r="O5">
        <v>3.15</v>
      </c>
      <c r="P5">
        <v>2.0944829999999999</v>
      </c>
      <c r="Q5" s="23">
        <v>45294</v>
      </c>
      <c r="R5">
        <v>4.5</v>
      </c>
      <c r="S5">
        <v>4.6500000000000004</v>
      </c>
      <c r="T5">
        <v>3.0148869999999999</v>
      </c>
      <c r="U5" s="23">
        <v>45294</v>
      </c>
      <c r="V5">
        <v>2.75</v>
      </c>
      <c r="W5">
        <v>2.9</v>
      </c>
      <c r="X5">
        <v>1.8509679999999999</v>
      </c>
      <c r="Y5" s="23">
        <v>45294</v>
      </c>
      <c r="Z5">
        <v>7.49</v>
      </c>
      <c r="AA5">
        <v>6.0119643541636583</v>
      </c>
      <c r="AB5">
        <v>7.6400000000000006</v>
      </c>
    </row>
    <row r="6" spans="1:28">
      <c r="A6" s="23">
        <v>45295</v>
      </c>
      <c r="B6">
        <v>1.75</v>
      </c>
      <c r="C6">
        <v>1.9</v>
      </c>
      <c r="D6">
        <v>1.3766370000000001</v>
      </c>
      <c r="E6" s="23">
        <v>45295</v>
      </c>
      <c r="F6">
        <v>0.5</v>
      </c>
      <c r="G6">
        <v>0.6</v>
      </c>
      <c r="H6">
        <v>0.17922299999999999</v>
      </c>
      <c r="I6" s="23">
        <v>45295</v>
      </c>
      <c r="J6">
        <v>1</v>
      </c>
      <c r="K6">
        <v>1.1499999999999999</v>
      </c>
      <c r="L6">
        <v>0.67736499999999999</v>
      </c>
      <c r="M6" s="23">
        <v>45295</v>
      </c>
      <c r="N6">
        <v>3</v>
      </c>
      <c r="O6">
        <v>3.15</v>
      </c>
      <c r="P6">
        <v>2.0670199999999999</v>
      </c>
      <c r="Q6" s="23">
        <v>45295</v>
      </c>
      <c r="R6">
        <v>4.5</v>
      </c>
      <c r="S6">
        <v>4.6500000000000004</v>
      </c>
      <c r="T6">
        <v>2.9783750000000002</v>
      </c>
      <c r="U6" s="23">
        <v>45295</v>
      </c>
      <c r="V6">
        <v>2.75</v>
      </c>
      <c r="W6">
        <v>2.9</v>
      </c>
      <c r="X6">
        <v>1.842554</v>
      </c>
      <c r="Y6" s="23">
        <v>45295</v>
      </c>
      <c r="Z6">
        <v>7.49</v>
      </c>
      <c r="AA6">
        <v>6.0124200032349355</v>
      </c>
      <c r="AB6">
        <v>7.6400000000000006</v>
      </c>
    </row>
    <row r="7" spans="1:28">
      <c r="A7" s="23">
        <v>45296</v>
      </c>
      <c r="B7">
        <v>1.75</v>
      </c>
      <c r="C7">
        <v>1.9</v>
      </c>
      <c r="D7">
        <v>1.3674299999999999</v>
      </c>
      <c r="E7" s="23">
        <v>45296</v>
      </c>
      <c r="F7">
        <v>0.5</v>
      </c>
      <c r="G7">
        <v>0.6</v>
      </c>
      <c r="H7">
        <v>0.177318</v>
      </c>
      <c r="I7" s="23">
        <v>45296</v>
      </c>
      <c r="J7">
        <v>1</v>
      </c>
      <c r="K7">
        <v>1.1499999999999999</v>
      </c>
      <c r="L7">
        <v>0.67133299999999996</v>
      </c>
      <c r="M7" s="23">
        <v>45296</v>
      </c>
      <c r="N7">
        <v>3</v>
      </c>
      <c r="O7">
        <v>3.15</v>
      </c>
      <c r="P7">
        <v>2.0549550000000001</v>
      </c>
      <c r="Q7" s="23">
        <v>45296</v>
      </c>
      <c r="R7">
        <v>4.5</v>
      </c>
      <c r="S7">
        <v>4.6500000000000004</v>
      </c>
      <c r="T7">
        <v>2.962342</v>
      </c>
      <c r="U7" s="23">
        <v>45296</v>
      </c>
      <c r="V7">
        <v>2.75</v>
      </c>
      <c r="W7">
        <v>2.9</v>
      </c>
      <c r="X7">
        <v>1.840808</v>
      </c>
      <c r="Y7" s="23">
        <v>45296</v>
      </c>
      <c r="Z7">
        <v>7.49</v>
      </c>
      <c r="AA7">
        <v>5.9834841183883647</v>
      </c>
      <c r="AB7">
        <v>7.6400000000000006</v>
      </c>
    </row>
    <row r="8" spans="1:28">
      <c r="A8" s="23">
        <v>45299</v>
      </c>
      <c r="B8">
        <v>1.75</v>
      </c>
      <c r="C8">
        <v>1.9</v>
      </c>
      <c r="D8">
        <v>1.36616</v>
      </c>
      <c r="E8" s="23">
        <v>45299</v>
      </c>
      <c r="F8">
        <v>0.5</v>
      </c>
      <c r="G8">
        <v>0.6</v>
      </c>
      <c r="H8">
        <v>0.17700099999999999</v>
      </c>
      <c r="I8" s="23">
        <v>45299</v>
      </c>
      <c r="J8">
        <v>1</v>
      </c>
      <c r="K8">
        <v>1.1499999999999999</v>
      </c>
      <c r="L8">
        <v>0.67371400000000004</v>
      </c>
      <c r="M8" s="23">
        <v>45299</v>
      </c>
      <c r="N8">
        <v>3</v>
      </c>
      <c r="O8">
        <v>3.15</v>
      </c>
      <c r="P8">
        <v>2.0440019999999999</v>
      </c>
      <c r="Q8" s="23">
        <v>45299</v>
      </c>
      <c r="R8">
        <v>4.5</v>
      </c>
      <c r="S8">
        <v>4.6500000000000004</v>
      </c>
      <c r="T8">
        <v>2.9428160000000001</v>
      </c>
      <c r="U8" s="23">
        <v>45299</v>
      </c>
      <c r="V8">
        <v>2.75</v>
      </c>
      <c r="W8">
        <v>2.9</v>
      </c>
      <c r="X8">
        <v>1.8506499999999999</v>
      </c>
      <c r="Y8" s="23">
        <v>45299</v>
      </c>
      <c r="Z8">
        <v>7.49</v>
      </c>
      <c r="AA8">
        <v>5.9795534815140243</v>
      </c>
      <c r="AB8">
        <v>7.6400000000000006</v>
      </c>
    </row>
    <row r="9" spans="1:28">
      <c r="A9" s="23">
        <v>45300</v>
      </c>
      <c r="B9">
        <v>1.75</v>
      </c>
      <c r="C9">
        <v>1.9</v>
      </c>
      <c r="D9">
        <v>1.3623499999999999</v>
      </c>
      <c r="E9" s="23">
        <v>45300</v>
      </c>
      <c r="F9">
        <v>0.5</v>
      </c>
      <c r="G9">
        <v>0.6</v>
      </c>
      <c r="H9">
        <v>0.17588999999999999</v>
      </c>
      <c r="I9" s="23">
        <v>45300</v>
      </c>
      <c r="J9">
        <v>1</v>
      </c>
      <c r="K9">
        <v>1.1499999999999999</v>
      </c>
      <c r="L9">
        <v>0.66688800000000004</v>
      </c>
      <c r="M9" s="23">
        <v>45300</v>
      </c>
      <c r="N9">
        <v>3</v>
      </c>
      <c r="O9">
        <v>3.15</v>
      </c>
      <c r="P9">
        <v>2.0506690000000001</v>
      </c>
      <c r="Q9" s="23">
        <v>45300</v>
      </c>
      <c r="R9">
        <v>4.5</v>
      </c>
      <c r="S9">
        <v>4.6500000000000004</v>
      </c>
      <c r="T9">
        <v>2.9591669999999999</v>
      </c>
      <c r="U9" s="23">
        <v>45300</v>
      </c>
      <c r="V9">
        <v>2.75</v>
      </c>
      <c r="W9">
        <v>2.9</v>
      </c>
      <c r="X9">
        <v>1.86208</v>
      </c>
      <c r="Y9" s="23">
        <v>45300</v>
      </c>
      <c r="Z9">
        <v>7.49</v>
      </c>
      <c r="AA9">
        <v>5.8988179380230985</v>
      </c>
      <c r="AB9">
        <v>7.6400000000000006</v>
      </c>
    </row>
    <row r="10" spans="1:28">
      <c r="A10" s="23">
        <v>45301</v>
      </c>
      <c r="B10">
        <v>1.75</v>
      </c>
      <c r="C10">
        <v>1.9</v>
      </c>
      <c r="D10">
        <v>1.353461</v>
      </c>
      <c r="E10" s="23">
        <v>45301</v>
      </c>
      <c r="F10">
        <v>0.5</v>
      </c>
      <c r="G10">
        <v>0.6</v>
      </c>
      <c r="H10">
        <v>0.177477</v>
      </c>
      <c r="I10" s="23">
        <v>45301</v>
      </c>
      <c r="J10">
        <v>1</v>
      </c>
      <c r="K10">
        <v>1.1499999999999999</v>
      </c>
      <c r="L10">
        <v>0.65990300000000002</v>
      </c>
      <c r="M10" s="23">
        <v>45301</v>
      </c>
      <c r="N10">
        <v>3</v>
      </c>
      <c r="O10">
        <v>3.15</v>
      </c>
      <c r="P10">
        <v>2.0343179999999998</v>
      </c>
      <c r="Q10" s="23">
        <v>45301</v>
      </c>
      <c r="R10">
        <v>4.5</v>
      </c>
      <c r="S10">
        <v>4.6500000000000004</v>
      </c>
      <c r="T10">
        <v>2.939006</v>
      </c>
      <c r="U10" s="23">
        <v>45301</v>
      </c>
      <c r="V10">
        <v>2.75</v>
      </c>
      <c r="W10">
        <v>2.9</v>
      </c>
      <c r="X10">
        <v>1.859381</v>
      </c>
      <c r="Y10" s="23">
        <v>45301</v>
      </c>
      <c r="Z10">
        <v>7.49</v>
      </c>
      <c r="AA10">
        <v>5.8304006116530749</v>
      </c>
      <c r="AB10">
        <v>7.6400000000000006</v>
      </c>
    </row>
    <row r="11" spans="1:28">
      <c r="A11" s="23">
        <v>45302</v>
      </c>
      <c r="B11">
        <v>1.75</v>
      </c>
      <c r="C11">
        <v>1.9</v>
      </c>
      <c r="D11">
        <v>1.3448880000000001</v>
      </c>
      <c r="E11" s="23">
        <v>45302</v>
      </c>
      <c r="F11">
        <v>0.5</v>
      </c>
      <c r="G11">
        <v>0.6</v>
      </c>
      <c r="H11">
        <v>0.177318</v>
      </c>
      <c r="I11" s="23">
        <v>45302</v>
      </c>
      <c r="J11">
        <v>1</v>
      </c>
      <c r="K11">
        <v>1.1499999999999999</v>
      </c>
      <c r="L11">
        <v>0.65704600000000002</v>
      </c>
      <c r="M11" s="23">
        <v>45302</v>
      </c>
      <c r="N11">
        <v>3</v>
      </c>
      <c r="O11">
        <v>3.15</v>
      </c>
      <c r="P11">
        <v>2.0182850000000001</v>
      </c>
      <c r="Q11" s="23">
        <v>45302</v>
      </c>
      <c r="R11">
        <v>4.5</v>
      </c>
      <c r="S11">
        <v>4.6500000000000004</v>
      </c>
      <c r="T11">
        <v>2.9147180000000001</v>
      </c>
      <c r="U11" s="23">
        <v>45302</v>
      </c>
      <c r="V11">
        <v>2.75</v>
      </c>
      <c r="W11">
        <v>2.9</v>
      </c>
      <c r="X11">
        <v>1.854619</v>
      </c>
      <c r="Y11" s="23">
        <v>45302</v>
      </c>
      <c r="Z11">
        <v>7.49</v>
      </c>
      <c r="AA11">
        <v>5.7935550932780311</v>
      </c>
      <c r="AB11">
        <v>7.6400000000000006</v>
      </c>
    </row>
    <row r="12" spans="1:28">
      <c r="A12" s="23">
        <v>45303</v>
      </c>
      <c r="B12">
        <v>1.75</v>
      </c>
      <c r="C12">
        <v>1.9</v>
      </c>
      <c r="D12">
        <v>1.329966</v>
      </c>
      <c r="E12" s="23">
        <v>45303</v>
      </c>
      <c r="F12">
        <v>0.5</v>
      </c>
      <c r="G12">
        <v>0.6</v>
      </c>
      <c r="H12">
        <v>0.17779400000000001</v>
      </c>
      <c r="I12" s="23">
        <v>45303</v>
      </c>
      <c r="J12">
        <v>1</v>
      </c>
      <c r="K12">
        <v>1.1499999999999999</v>
      </c>
      <c r="L12">
        <v>0.65434700000000001</v>
      </c>
      <c r="M12" s="23">
        <v>45303</v>
      </c>
      <c r="N12">
        <v>3</v>
      </c>
      <c r="O12">
        <v>3.15</v>
      </c>
      <c r="P12">
        <v>1.9901869999999999</v>
      </c>
      <c r="Q12" s="23">
        <v>45303</v>
      </c>
      <c r="R12">
        <v>4.5</v>
      </c>
      <c r="S12">
        <v>4.6500000000000004</v>
      </c>
      <c r="T12">
        <v>2.8726509999999998</v>
      </c>
      <c r="U12" s="23">
        <v>45303</v>
      </c>
      <c r="V12">
        <v>2.75</v>
      </c>
      <c r="W12">
        <v>2.9</v>
      </c>
      <c r="X12">
        <v>1.831601</v>
      </c>
      <c r="Y12" s="23">
        <v>45303</v>
      </c>
      <c r="Z12">
        <v>7.49</v>
      </c>
      <c r="AA12">
        <v>5.7776225880288496</v>
      </c>
      <c r="AB12">
        <v>7.6400000000000006</v>
      </c>
    </row>
    <row r="13" spans="1:28">
      <c r="A13" s="23">
        <v>45306</v>
      </c>
      <c r="B13">
        <v>1.75</v>
      </c>
      <c r="C13">
        <v>1.9</v>
      </c>
      <c r="D13">
        <v>1.319807</v>
      </c>
      <c r="E13" s="23">
        <v>45306</v>
      </c>
      <c r="F13">
        <v>0.5</v>
      </c>
      <c r="G13">
        <v>0.6</v>
      </c>
      <c r="H13">
        <v>0.17636599999999999</v>
      </c>
      <c r="I13" s="23">
        <v>45306</v>
      </c>
      <c r="J13">
        <v>1</v>
      </c>
      <c r="K13">
        <v>1.1499999999999999</v>
      </c>
      <c r="L13">
        <v>0.64688599999999996</v>
      </c>
      <c r="M13" s="23">
        <v>45306</v>
      </c>
      <c r="N13">
        <v>3</v>
      </c>
      <c r="O13">
        <v>3.15</v>
      </c>
      <c r="P13">
        <v>1.975741</v>
      </c>
      <c r="Q13" s="23">
        <v>45306</v>
      </c>
      <c r="R13">
        <v>4.5</v>
      </c>
      <c r="S13">
        <v>4.6500000000000004</v>
      </c>
      <c r="T13">
        <v>2.8540779999999999</v>
      </c>
      <c r="U13" s="23">
        <v>45306</v>
      </c>
      <c r="V13">
        <v>2.75</v>
      </c>
      <c r="W13">
        <v>2.9</v>
      </c>
      <c r="X13">
        <v>1.813504</v>
      </c>
      <c r="Y13" s="23">
        <v>45306</v>
      </c>
      <c r="Z13">
        <v>7.49</v>
      </c>
      <c r="AA13">
        <v>5.7513380734199684</v>
      </c>
      <c r="AB13">
        <v>7.6400000000000006</v>
      </c>
    </row>
    <row r="14" spans="1:28">
      <c r="A14" s="23">
        <v>45307</v>
      </c>
      <c r="B14">
        <v>1.75</v>
      </c>
      <c r="C14">
        <v>1.9</v>
      </c>
      <c r="D14">
        <v>1.3105990000000001</v>
      </c>
      <c r="E14" s="23">
        <v>45307</v>
      </c>
      <c r="F14">
        <v>0.5</v>
      </c>
      <c r="G14">
        <v>0.6</v>
      </c>
      <c r="H14">
        <v>0.175096</v>
      </c>
      <c r="I14" s="23">
        <v>45307</v>
      </c>
      <c r="J14">
        <v>1</v>
      </c>
      <c r="K14">
        <v>1.1499999999999999</v>
      </c>
      <c r="L14">
        <v>0.64418799999999998</v>
      </c>
      <c r="M14" s="23">
        <v>45307</v>
      </c>
      <c r="N14">
        <v>3</v>
      </c>
      <c r="O14">
        <v>3.15</v>
      </c>
      <c r="P14">
        <v>1.963994</v>
      </c>
      <c r="Q14" s="23">
        <v>45307</v>
      </c>
      <c r="R14">
        <v>4.5</v>
      </c>
      <c r="S14">
        <v>4.6500000000000004</v>
      </c>
      <c r="T14">
        <v>2.8366159999999998</v>
      </c>
      <c r="U14" s="23">
        <v>45307</v>
      </c>
      <c r="V14">
        <v>2.75</v>
      </c>
      <c r="W14">
        <v>2.9</v>
      </c>
      <c r="X14">
        <v>1.7965180000000001</v>
      </c>
      <c r="Y14" s="23">
        <v>45307</v>
      </c>
      <c r="Z14">
        <v>7.49</v>
      </c>
      <c r="AA14">
        <v>5.7679622276370752</v>
      </c>
      <c r="AB14">
        <v>7.6400000000000006</v>
      </c>
    </row>
    <row r="15" spans="1:28">
      <c r="A15" s="23">
        <v>45308</v>
      </c>
      <c r="B15">
        <v>1.75</v>
      </c>
      <c r="C15">
        <v>1.9</v>
      </c>
      <c r="D15">
        <v>1.316155</v>
      </c>
      <c r="E15" s="23">
        <v>45308</v>
      </c>
      <c r="F15">
        <v>0.5</v>
      </c>
      <c r="G15">
        <v>0.6</v>
      </c>
      <c r="H15">
        <v>0.172873</v>
      </c>
      <c r="I15" s="23">
        <v>45308</v>
      </c>
      <c r="J15">
        <v>1</v>
      </c>
      <c r="K15">
        <v>1.1499999999999999</v>
      </c>
      <c r="L15">
        <v>0.64768000000000003</v>
      </c>
      <c r="M15" s="23">
        <v>45308</v>
      </c>
      <c r="N15">
        <v>3</v>
      </c>
      <c r="O15">
        <v>3.15</v>
      </c>
      <c r="P15">
        <v>1.9593910000000001</v>
      </c>
      <c r="Q15" s="23">
        <v>45308</v>
      </c>
      <c r="R15">
        <v>4.5</v>
      </c>
      <c r="S15">
        <v>4.6500000000000004</v>
      </c>
      <c r="T15">
        <v>2.8262969999999998</v>
      </c>
      <c r="U15" s="23">
        <v>45308</v>
      </c>
      <c r="V15">
        <v>2.75</v>
      </c>
      <c r="W15">
        <v>2.9</v>
      </c>
      <c r="X15">
        <v>1.787946</v>
      </c>
      <c r="Y15" s="23">
        <v>45308</v>
      </c>
      <c r="Z15">
        <v>7.49</v>
      </c>
      <c r="AA15">
        <v>5.7293044297161684</v>
      </c>
      <c r="AB15">
        <v>7.6400000000000006</v>
      </c>
    </row>
    <row r="16" spans="1:28">
      <c r="A16" s="23">
        <v>45309</v>
      </c>
      <c r="B16">
        <v>1.75</v>
      </c>
      <c r="C16">
        <v>1.9</v>
      </c>
      <c r="D16">
        <v>1.334252</v>
      </c>
      <c r="E16" s="23">
        <v>45309</v>
      </c>
      <c r="F16">
        <v>0.5</v>
      </c>
      <c r="G16">
        <v>0.6</v>
      </c>
      <c r="H16">
        <v>0.17255599999999999</v>
      </c>
      <c r="I16" s="23">
        <v>45309</v>
      </c>
      <c r="J16">
        <v>1</v>
      </c>
      <c r="K16">
        <v>1.1499999999999999</v>
      </c>
      <c r="L16">
        <v>0.69800200000000001</v>
      </c>
      <c r="M16" s="23">
        <v>45309</v>
      </c>
      <c r="N16">
        <v>3</v>
      </c>
      <c r="O16">
        <v>3.15</v>
      </c>
      <c r="P16">
        <v>1.973201</v>
      </c>
      <c r="Q16" s="23">
        <v>45309</v>
      </c>
      <c r="R16">
        <v>4.5</v>
      </c>
      <c r="S16">
        <v>4.6500000000000004</v>
      </c>
      <c r="T16">
        <v>2.8239160000000001</v>
      </c>
      <c r="U16" s="23">
        <v>45309</v>
      </c>
      <c r="V16">
        <v>2.75</v>
      </c>
      <c r="W16">
        <v>2.9</v>
      </c>
      <c r="X16">
        <v>1.7908029999999999</v>
      </c>
      <c r="Y16" s="23">
        <v>45309</v>
      </c>
      <c r="Z16">
        <v>7.49</v>
      </c>
      <c r="AA16">
        <v>5.9096074137105399</v>
      </c>
      <c r="AB16">
        <v>7.6400000000000006</v>
      </c>
    </row>
    <row r="17" spans="1:28">
      <c r="A17" s="23">
        <v>45310</v>
      </c>
      <c r="B17">
        <v>1.75</v>
      </c>
      <c r="C17">
        <v>1.9</v>
      </c>
      <c r="D17">
        <v>1.3339350000000001</v>
      </c>
      <c r="E17" s="23">
        <v>45310</v>
      </c>
      <c r="F17">
        <v>0.5</v>
      </c>
      <c r="G17">
        <v>0.6</v>
      </c>
      <c r="H17">
        <v>0.17255599999999999</v>
      </c>
      <c r="I17" s="23">
        <v>45310</v>
      </c>
      <c r="J17">
        <v>1</v>
      </c>
      <c r="K17">
        <v>1.1499999999999999</v>
      </c>
      <c r="L17">
        <v>0.70165299999999997</v>
      </c>
      <c r="M17" s="23">
        <v>45310</v>
      </c>
      <c r="N17">
        <v>3</v>
      </c>
      <c r="O17">
        <v>3.15</v>
      </c>
      <c r="P17">
        <v>1.9651050000000001</v>
      </c>
      <c r="Q17" s="23">
        <v>45310</v>
      </c>
      <c r="R17">
        <v>4.5</v>
      </c>
      <c r="S17">
        <v>4.6500000000000004</v>
      </c>
      <c r="T17">
        <v>2.8123279999999999</v>
      </c>
      <c r="U17" s="23">
        <v>45310</v>
      </c>
      <c r="V17">
        <v>2.75</v>
      </c>
      <c r="W17">
        <v>2.9</v>
      </c>
      <c r="X17">
        <v>1.7942959999999999</v>
      </c>
      <c r="Y17" s="23">
        <v>45310</v>
      </c>
      <c r="Z17">
        <v>7.49</v>
      </c>
      <c r="AA17">
        <v>5.9294479171696892</v>
      </c>
      <c r="AB17">
        <v>7.6400000000000006</v>
      </c>
    </row>
    <row r="18" spans="1:28">
      <c r="A18" s="23">
        <v>45313</v>
      </c>
      <c r="B18">
        <v>1.75</v>
      </c>
      <c r="C18">
        <v>1.9</v>
      </c>
      <c r="D18">
        <v>1.3253630000000001</v>
      </c>
      <c r="E18" s="23">
        <v>45313</v>
      </c>
      <c r="F18">
        <v>0.5</v>
      </c>
      <c r="G18">
        <v>0.6</v>
      </c>
      <c r="H18">
        <v>0.17255599999999999</v>
      </c>
      <c r="I18" s="23">
        <v>45313</v>
      </c>
      <c r="J18">
        <v>1</v>
      </c>
      <c r="K18">
        <v>1.1499999999999999</v>
      </c>
      <c r="L18">
        <v>0.70276400000000006</v>
      </c>
      <c r="M18" s="23">
        <v>45313</v>
      </c>
      <c r="N18">
        <v>3</v>
      </c>
      <c r="O18">
        <v>3.15</v>
      </c>
      <c r="P18">
        <v>1.9455800000000001</v>
      </c>
      <c r="Q18" s="23">
        <v>45313</v>
      </c>
      <c r="R18">
        <v>4.5</v>
      </c>
      <c r="S18">
        <v>4.6500000000000004</v>
      </c>
      <c r="T18">
        <v>2.7553380000000001</v>
      </c>
      <c r="U18" s="23">
        <v>45313</v>
      </c>
      <c r="V18">
        <v>2.75</v>
      </c>
      <c r="W18">
        <v>2.9</v>
      </c>
      <c r="X18">
        <v>1.7893749999999999</v>
      </c>
      <c r="Y18" s="23">
        <v>45313</v>
      </c>
      <c r="Z18">
        <v>7.49</v>
      </c>
      <c r="AA18">
        <v>6.0664129226383654</v>
      </c>
      <c r="AB18">
        <v>7.6400000000000006</v>
      </c>
    </row>
    <row r="19" spans="1:28">
      <c r="A19" s="23">
        <v>45314</v>
      </c>
      <c r="B19">
        <v>1.75</v>
      </c>
      <c r="C19">
        <v>1.9</v>
      </c>
      <c r="D19">
        <v>1.3236159999999999</v>
      </c>
      <c r="E19" s="23">
        <v>45314</v>
      </c>
      <c r="F19">
        <v>0.5</v>
      </c>
      <c r="G19">
        <v>0.6</v>
      </c>
      <c r="H19">
        <v>0.17128599999999999</v>
      </c>
      <c r="I19" s="23">
        <v>45314</v>
      </c>
      <c r="J19">
        <v>1</v>
      </c>
      <c r="K19">
        <v>1.1499999999999999</v>
      </c>
      <c r="L19">
        <v>0.69847800000000004</v>
      </c>
      <c r="M19" s="23">
        <v>45314</v>
      </c>
      <c r="N19">
        <v>3</v>
      </c>
      <c r="O19">
        <v>3.15</v>
      </c>
      <c r="P19">
        <v>1.946215</v>
      </c>
      <c r="Q19" s="23">
        <v>45314</v>
      </c>
      <c r="R19">
        <v>4.5</v>
      </c>
      <c r="S19">
        <v>4.6500000000000004</v>
      </c>
      <c r="T19">
        <v>2.7578779999999998</v>
      </c>
      <c r="U19" s="23">
        <v>45314</v>
      </c>
      <c r="V19">
        <v>2.75</v>
      </c>
      <c r="W19">
        <v>2.9</v>
      </c>
      <c r="X19">
        <v>1.799534</v>
      </c>
      <c r="Y19" s="23">
        <v>45314</v>
      </c>
      <c r="Z19">
        <v>7.49</v>
      </c>
      <c r="AA19">
        <v>6.0374497830877818</v>
      </c>
      <c r="AB19">
        <v>7.6400000000000006</v>
      </c>
    </row>
    <row r="20" spans="1:28">
      <c r="A20" s="23">
        <v>45315</v>
      </c>
      <c r="B20">
        <v>1.75</v>
      </c>
      <c r="C20">
        <v>1.9</v>
      </c>
      <c r="D20">
        <v>1.322505</v>
      </c>
      <c r="E20" s="23">
        <v>45315</v>
      </c>
      <c r="F20">
        <v>0.5</v>
      </c>
      <c r="G20">
        <v>0.6</v>
      </c>
      <c r="H20">
        <v>0.170492</v>
      </c>
      <c r="I20" s="23">
        <v>45315</v>
      </c>
      <c r="J20">
        <v>1</v>
      </c>
      <c r="K20">
        <v>1.1499999999999999</v>
      </c>
      <c r="L20">
        <v>0.69863699999999995</v>
      </c>
      <c r="M20" s="23">
        <v>45315</v>
      </c>
      <c r="N20">
        <v>3</v>
      </c>
      <c r="O20">
        <v>3.15</v>
      </c>
      <c r="P20">
        <v>1.954469</v>
      </c>
      <c r="Q20" s="23">
        <v>45315</v>
      </c>
      <c r="R20">
        <v>3.5</v>
      </c>
      <c r="S20">
        <v>3.65</v>
      </c>
      <c r="T20">
        <v>2.7681969999999998</v>
      </c>
      <c r="U20" s="23">
        <v>45315</v>
      </c>
      <c r="V20">
        <v>2.75</v>
      </c>
      <c r="W20">
        <v>2.9</v>
      </c>
      <c r="X20">
        <v>1.7933429999999999</v>
      </c>
      <c r="Y20" s="23">
        <v>45315</v>
      </c>
      <c r="Z20">
        <v>7.49</v>
      </c>
      <c r="AA20">
        <v>6.0074912734185082</v>
      </c>
      <c r="AB20">
        <v>7.6400000000000006</v>
      </c>
    </row>
    <row r="21" spans="1:28">
      <c r="A21" s="23">
        <v>45316</v>
      </c>
      <c r="B21">
        <v>1.75</v>
      </c>
      <c r="C21">
        <v>1.9</v>
      </c>
      <c r="D21">
        <v>1.247736</v>
      </c>
      <c r="E21" s="23">
        <v>45316</v>
      </c>
      <c r="F21">
        <v>0.5</v>
      </c>
      <c r="G21">
        <v>0.6</v>
      </c>
      <c r="H21">
        <v>0.16985700000000001</v>
      </c>
      <c r="I21" s="23">
        <v>45316</v>
      </c>
      <c r="J21">
        <v>1</v>
      </c>
      <c r="K21">
        <v>1.1499999999999999</v>
      </c>
      <c r="L21">
        <v>0.66069699999999998</v>
      </c>
      <c r="M21" s="23">
        <v>45316</v>
      </c>
      <c r="N21">
        <v>3</v>
      </c>
      <c r="O21">
        <v>3.15</v>
      </c>
      <c r="P21">
        <v>1.9508179999999999</v>
      </c>
      <c r="Q21" s="23">
        <v>45316</v>
      </c>
      <c r="R21">
        <v>3.5</v>
      </c>
      <c r="S21">
        <v>3.65</v>
      </c>
      <c r="T21">
        <v>2.756291</v>
      </c>
      <c r="U21" s="23">
        <v>45316</v>
      </c>
      <c r="V21">
        <v>2.75</v>
      </c>
      <c r="W21">
        <v>2.9</v>
      </c>
      <c r="X21">
        <v>1.7908029999999999</v>
      </c>
      <c r="Y21" s="23">
        <v>45316</v>
      </c>
      <c r="Z21">
        <v>7.49</v>
      </c>
      <c r="AA21">
        <v>6.0148773964993936</v>
      </c>
      <c r="AB21">
        <v>7.6400000000000006</v>
      </c>
    </row>
    <row r="22" spans="1:28">
      <c r="A22" s="23">
        <v>45317</v>
      </c>
      <c r="B22">
        <v>1.75</v>
      </c>
      <c r="C22">
        <v>1.9</v>
      </c>
      <c r="D22">
        <v>1.229163</v>
      </c>
      <c r="E22" s="23">
        <v>45317</v>
      </c>
      <c r="F22">
        <v>0.5</v>
      </c>
      <c r="G22">
        <v>0.6</v>
      </c>
      <c r="H22">
        <v>0.167794</v>
      </c>
      <c r="I22" s="23">
        <v>45317</v>
      </c>
      <c r="J22">
        <v>1</v>
      </c>
      <c r="K22">
        <v>1.1499999999999999</v>
      </c>
      <c r="L22">
        <v>0.65037900000000004</v>
      </c>
      <c r="M22" s="23">
        <v>45317</v>
      </c>
      <c r="N22">
        <v>3</v>
      </c>
      <c r="O22">
        <v>3.15</v>
      </c>
      <c r="P22">
        <v>1.9311339999999999</v>
      </c>
      <c r="Q22" s="23">
        <v>45317</v>
      </c>
      <c r="R22">
        <v>3.5</v>
      </c>
      <c r="S22">
        <v>3.65</v>
      </c>
      <c r="T22">
        <v>2.7323200000000001</v>
      </c>
      <c r="U22" s="23">
        <v>45317</v>
      </c>
      <c r="V22">
        <v>2.75</v>
      </c>
      <c r="W22">
        <v>2.9</v>
      </c>
      <c r="X22">
        <v>1.7693730000000001</v>
      </c>
      <c r="Y22" s="23">
        <v>45317</v>
      </c>
      <c r="Z22">
        <v>7.49</v>
      </c>
      <c r="AA22">
        <v>5.9937775485109466</v>
      </c>
      <c r="AB22">
        <v>7.6400000000000006</v>
      </c>
    </row>
    <row r="23" spans="1:28">
      <c r="A23" s="23">
        <v>45320</v>
      </c>
      <c r="B23">
        <v>1.75</v>
      </c>
      <c r="C23">
        <v>1.9</v>
      </c>
      <c r="D23">
        <v>1.228369</v>
      </c>
      <c r="E23" s="23">
        <v>45320</v>
      </c>
      <c r="F23">
        <v>0.5</v>
      </c>
      <c r="G23">
        <v>0.6</v>
      </c>
      <c r="H23">
        <v>0.16652400000000001</v>
      </c>
      <c r="I23" s="23">
        <v>45320</v>
      </c>
      <c r="J23">
        <v>1</v>
      </c>
      <c r="K23">
        <v>1.1499999999999999</v>
      </c>
      <c r="L23">
        <v>0.65085499999999996</v>
      </c>
      <c r="M23" s="23">
        <v>45320</v>
      </c>
      <c r="N23">
        <v>3</v>
      </c>
      <c r="O23">
        <v>3.15</v>
      </c>
      <c r="P23">
        <v>1.9301809999999999</v>
      </c>
      <c r="Q23" s="23">
        <v>45320</v>
      </c>
      <c r="R23">
        <v>3.5</v>
      </c>
      <c r="S23">
        <v>3.65</v>
      </c>
      <c r="T23">
        <v>2.7289870000000001</v>
      </c>
      <c r="U23" s="23">
        <v>45320</v>
      </c>
      <c r="V23">
        <v>2.75</v>
      </c>
      <c r="W23">
        <v>2.9</v>
      </c>
      <c r="X23">
        <v>1.7849299999999999</v>
      </c>
      <c r="Y23" s="23">
        <v>45320</v>
      </c>
      <c r="Z23">
        <v>7.49</v>
      </c>
      <c r="AA23">
        <v>5.9801709161744832</v>
      </c>
      <c r="AB23">
        <v>7.6400000000000006</v>
      </c>
    </row>
    <row r="24" spans="1:28">
      <c r="A24" s="23">
        <v>45321</v>
      </c>
      <c r="B24">
        <v>1.75</v>
      </c>
      <c r="C24">
        <v>1.9</v>
      </c>
      <c r="D24">
        <v>1.2193210000000001</v>
      </c>
      <c r="E24" s="23">
        <v>45321</v>
      </c>
      <c r="F24">
        <v>0.5</v>
      </c>
      <c r="G24">
        <v>0.6</v>
      </c>
      <c r="H24">
        <v>0.16509499999999999</v>
      </c>
      <c r="I24" s="23">
        <v>45321</v>
      </c>
      <c r="J24">
        <v>1</v>
      </c>
      <c r="K24">
        <v>1.1499999999999999</v>
      </c>
      <c r="L24">
        <v>0.66006200000000004</v>
      </c>
      <c r="M24" s="23">
        <v>45321</v>
      </c>
      <c r="N24">
        <v>3</v>
      </c>
      <c r="O24">
        <v>3.15</v>
      </c>
      <c r="P24">
        <v>1.952564</v>
      </c>
      <c r="Q24" s="23">
        <v>45321</v>
      </c>
      <c r="R24">
        <v>3.5</v>
      </c>
      <c r="S24">
        <v>3.65</v>
      </c>
      <c r="T24">
        <v>2.7267640000000002</v>
      </c>
      <c r="U24" s="23">
        <v>45321</v>
      </c>
      <c r="V24">
        <v>2.75</v>
      </c>
      <c r="W24">
        <v>2.9</v>
      </c>
      <c r="X24">
        <v>1.795248</v>
      </c>
      <c r="Y24" s="23">
        <v>45321</v>
      </c>
      <c r="Z24">
        <v>7.49</v>
      </c>
      <c r="AA24">
        <v>5.949747534948</v>
      </c>
      <c r="AB24">
        <v>7.6400000000000006</v>
      </c>
    </row>
    <row r="25" spans="1:28">
      <c r="A25" s="23">
        <v>45322</v>
      </c>
      <c r="B25">
        <v>1.75</v>
      </c>
      <c r="C25">
        <v>1.9</v>
      </c>
      <c r="D25">
        <v>1.21567</v>
      </c>
      <c r="E25" s="23">
        <v>45322</v>
      </c>
      <c r="F25">
        <v>0.5</v>
      </c>
      <c r="G25">
        <v>0.6</v>
      </c>
      <c r="H25">
        <v>0.16446</v>
      </c>
      <c r="I25" s="23">
        <v>45322</v>
      </c>
      <c r="J25">
        <v>1</v>
      </c>
      <c r="K25">
        <v>1.1499999999999999</v>
      </c>
      <c r="L25">
        <v>0.67403199999999996</v>
      </c>
      <c r="M25" s="23">
        <v>45322</v>
      </c>
      <c r="N25">
        <v>3</v>
      </c>
      <c r="O25">
        <v>3.15</v>
      </c>
      <c r="P25">
        <v>1.958121</v>
      </c>
      <c r="Q25" s="23">
        <v>45322</v>
      </c>
      <c r="R25">
        <v>3.5</v>
      </c>
      <c r="S25">
        <v>3.65</v>
      </c>
      <c r="T25">
        <v>2.7416860000000001</v>
      </c>
      <c r="U25" s="23">
        <v>45322</v>
      </c>
      <c r="V25">
        <v>2.75</v>
      </c>
      <c r="W25">
        <v>2.9</v>
      </c>
      <c r="X25">
        <v>1.8112809999999999</v>
      </c>
      <c r="Y25" s="23">
        <v>45322</v>
      </c>
      <c r="Z25">
        <v>7.49</v>
      </c>
      <c r="AA25">
        <v>6.3447127283348053</v>
      </c>
      <c r="AB25">
        <v>7.6400000000000006</v>
      </c>
    </row>
    <row r="26" spans="1:28">
      <c r="A26" s="23">
        <v>45323</v>
      </c>
      <c r="B26">
        <v>1.75</v>
      </c>
      <c r="C26">
        <v>1.9</v>
      </c>
      <c r="D26">
        <v>1.230909</v>
      </c>
      <c r="E26" s="23">
        <v>45323</v>
      </c>
      <c r="F26">
        <v>0.5</v>
      </c>
      <c r="G26">
        <v>0.6</v>
      </c>
      <c r="H26">
        <v>0.16700000000000001</v>
      </c>
      <c r="I26" s="23">
        <v>45323</v>
      </c>
      <c r="J26">
        <v>1</v>
      </c>
      <c r="K26">
        <v>1.1499999999999999</v>
      </c>
      <c r="L26">
        <v>0.69450999999999996</v>
      </c>
      <c r="M26" s="23">
        <v>45323</v>
      </c>
      <c r="N26">
        <v>3</v>
      </c>
      <c r="O26">
        <v>3.15</v>
      </c>
      <c r="P26">
        <v>1.944151</v>
      </c>
      <c r="Q26" s="23">
        <v>45323</v>
      </c>
      <c r="R26">
        <v>3.5</v>
      </c>
      <c r="S26">
        <v>3.65</v>
      </c>
      <c r="T26">
        <v>2.7045400000000002</v>
      </c>
      <c r="U26" s="23">
        <v>45323</v>
      </c>
      <c r="V26">
        <v>2.75</v>
      </c>
      <c r="W26">
        <v>2.9</v>
      </c>
      <c r="X26">
        <v>1.8173140000000001</v>
      </c>
      <c r="Y26" s="23">
        <v>45323</v>
      </c>
      <c r="Z26">
        <v>7.49</v>
      </c>
      <c r="AA26">
        <v>6.6788607001160702</v>
      </c>
      <c r="AB26">
        <v>7.6400000000000006</v>
      </c>
    </row>
    <row r="27" spans="1:28">
      <c r="A27" s="23">
        <v>45324</v>
      </c>
      <c r="B27">
        <v>1.75</v>
      </c>
      <c r="C27">
        <v>1.9</v>
      </c>
      <c r="D27">
        <v>1.314727</v>
      </c>
      <c r="E27" s="23">
        <v>45324</v>
      </c>
      <c r="F27">
        <v>0.5</v>
      </c>
      <c r="G27">
        <v>0.6</v>
      </c>
      <c r="H27">
        <v>0.17144499999999999</v>
      </c>
      <c r="I27" s="23">
        <v>45324</v>
      </c>
      <c r="J27">
        <v>1</v>
      </c>
      <c r="K27">
        <v>1.1499999999999999</v>
      </c>
      <c r="L27">
        <v>0.69800200000000001</v>
      </c>
      <c r="M27" s="23">
        <v>45324</v>
      </c>
      <c r="N27">
        <v>3</v>
      </c>
      <c r="O27">
        <v>3.15</v>
      </c>
      <c r="P27">
        <v>2.0465420000000001</v>
      </c>
      <c r="Q27" s="23">
        <v>45324</v>
      </c>
      <c r="R27">
        <v>3.5</v>
      </c>
      <c r="S27">
        <v>3.65</v>
      </c>
      <c r="T27">
        <v>2.8545539999999998</v>
      </c>
      <c r="U27" s="23">
        <v>45324</v>
      </c>
      <c r="V27">
        <v>2.75</v>
      </c>
      <c r="W27">
        <v>2.9</v>
      </c>
      <c r="X27">
        <v>1.941611</v>
      </c>
      <c r="Y27" s="23">
        <v>45324</v>
      </c>
      <c r="Z27">
        <v>7.49</v>
      </c>
      <c r="AA27">
        <v>6.4421934237441372</v>
      </c>
      <c r="AB27">
        <v>7.6400000000000006</v>
      </c>
    </row>
    <row r="28" spans="1:28">
      <c r="A28" s="23">
        <v>45327</v>
      </c>
      <c r="B28">
        <v>1.75</v>
      </c>
      <c r="C28">
        <v>1.9</v>
      </c>
      <c r="D28">
        <v>1.3023450000000001</v>
      </c>
      <c r="E28" s="23">
        <v>45327</v>
      </c>
      <c r="F28">
        <v>0.5</v>
      </c>
      <c r="G28">
        <v>0.6</v>
      </c>
      <c r="H28">
        <v>0.16954</v>
      </c>
      <c r="I28" s="23">
        <v>45327</v>
      </c>
      <c r="J28">
        <v>1</v>
      </c>
      <c r="K28">
        <v>1.1499999999999999</v>
      </c>
      <c r="L28">
        <v>0.69133500000000003</v>
      </c>
      <c r="M28" s="23">
        <v>45327</v>
      </c>
      <c r="N28">
        <v>3</v>
      </c>
      <c r="O28">
        <v>3.15</v>
      </c>
      <c r="P28">
        <v>2.0228890000000002</v>
      </c>
      <c r="Q28" s="23">
        <v>45327</v>
      </c>
      <c r="R28">
        <v>3.5</v>
      </c>
      <c r="S28">
        <v>3.65</v>
      </c>
      <c r="T28">
        <v>2.8247100000000001</v>
      </c>
      <c r="U28" s="23">
        <v>45327</v>
      </c>
      <c r="V28">
        <v>2.75</v>
      </c>
      <c r="W28">
        <v>2.9</v>
      </c>
      <c r="X28">
        <v>1.9549460000000001</v>
      </c>
      <c r="Y28" s="23">
        <v>45327</v>
      </c>
      <c r="Z28">
        <v>7.49</v>
      </c>
      <c r="AA28">
        <v>6.4247180254204137</v>
      </c>
      <c r="AB28">
        <v>7.6400000000000006</v>
      </c>
    </row>
    <row r="29" spans="1:28">
      <c r="A29" s="23">
        <v>45328</v>
      </c>
      <c r="B29">
        <v>1.75</v>
      </c>
      <c r="C29">
        <v>1.9</v>
      </c>
      <c r="D29">
        <v>1.307901</v>
      </c>
      <c r="E29" s="23">
        <v>45328</v>
      </c>
      <c r="F29">
        <v>0.5</v>
      </c>
      <c r="G29">
        <v>0.6</v>
      </c>
      <c r="H29">
        <v>0.16811100000000001</v>
      </c>
      <c r="I29" s="23">
        <v>45328</v>
      </c>
      <c r="J29">
        <v>1</v>
      </c>
      <c r="K29">
        <v>1.1499999999999999</v>
      </c>
      <c r="L29">
        <v>0.69308099999999995</v>
      </c>
      <c r="M29" s="23">
        <v>45328</v>
      </c>
      <c r="N29">
        <v>3</v>
      </c>
      <c r="O29">
        <v>3.15</v>
      </c>
      <c r="P29">
        <v>2.0411440000000001</v>
      </c>
      <c r="Q29" s="23">
        <v>45328</v>
      </c>
      <c r="R29">
        <v>3.5</v>
      </c>
      <c r="S29">
        <v>3.65</v>
      </c>
      <c r="T29">
        <v>2.8467750000000001</v>
      </c>
      <c r="U29" s="23">
        <v>45328</v>
      </c>
      <c r="V29">
        <v>2.75</v>
      </c>
      <c r="W29">
        <v>2.9</v>
      </c>
      <c r="X29">
        <v>1.9759</v>
      </c>
      <c r="Y29" s="23">
        <v>45328</v>
      </c>
      <c r="Z29">
        <v>7.49</v>
      </c>
      <c r="AA29">
        <v>6.4284845130961106</v>
      </c>
      <c r="AB29">
        <v>7.6400000000000006</v>
      </c>
    </row>
    <row r="30" spans="1:28">
      <c r="A30" s="23">
        <v>45329</v>
      </c>
      <c r="B30">
        <v>1.75</v>
      </c>
      <c r="C30">
        <v>1.9</v>
      </c>
      <c r="D30">
        <v>1.307107</v>
      </c>
      <c r="E30" s="23">
        <v>45329</v>
      </c>
      <c r="F30">
        <v>0.5</v>
      </c>
      <c r="G30">
        <v>0.6</v>
      </c>
      <c r="H30">
        <v>0.16700000000000001</v>
      </c>
      <c r="I30" s="23">
        <v>45329</v>
      </c>
      <c r="J30">
        <v>1</v>
      </c>
      <c r="K30">
        <v>1.1499999999999999</v>
      </c>
      <c r="L30">
        <v>0.68831900000000001</v>
      </c>
      <c r="M30" s="23">
        <v>45329</v>
      </c>
      <c r="N30">
        <v>3</v>
      </c>
      <c r="O30">
        <v>3.15</v>
      </c>
      <c r="P30">
        <v>2.0405090000000001</v>
      </c>
      <c r="Q30" s="23">
        <v>45329</v>
      </c>
      <c r="R30">
        <v>3.5</v>
      </c>
      <c r="S30">
        <v>3.65</v>
      </c>
      <c r="T30">
        <v>2.8548710000000002</v>
      </c>
      <c r="U30" s="23">
        <v>45329</v>
      </c>
      <c r="V30">
        <v>2.75</v>
      </c>
      <c r="W30">
        <v>2.9</v>
      </c>
      <c r="X30">
        <v>1.9730430000000001</v>
      </c>
      <c r="Y30" s="23">
        <v>45329</v>
      </c>
      <c r="Z30">
        <v>7.49</v>
      </c>
      <c r="AA30">
        <v>6.3873902590837552</v>
      </c>
      <c r="AB30">
        <v>7.6400000000000006</v>
      </c>
    </row>
    <row r="31" spans="1:28">
      <c r="A31" s="23">
        <v>45330</v>
      </c>
      <c r="B31">
        <v>1.75</v>
      </c>
      <c r="C31">
        <v>1.9</v>
      </c>
      <c r="D31">
        <v>1.3347290000000001</v>
      </c>
      <c r="E31" s="23">
        <v>45330</v>
      </c>
      <c r="F31">
        <v>0.5</v>
      </c>
      <c r="G31">
        <v>0.6</v>
      </c>
      <c r="H31">
        <v>0.16620599999999999</v>
      </c>
      <c r="I31" s="23">
        <v>45330</v>
      </c>
      <c r="J31">
        <v>1</v>
      </c>
      <c r="K31">
        <v>1.1499999999999999</v>
      </c>
      <c r="L31">
        <v>0.72244900000000001</v>
      </c>
      <c r="M31" s="23">
        <v>45330</v>
      </c>
      <c r="N31">
        <v>3</v>
      </c>
      <c r="O31">
        <v>3.15</v>
      </c>
      <c r="P31">
        <v>2.0474939999999999</v>
      </c>
      <c r="Q31" s="23">
        <v>45330</v>
      </c>
      <c r="R31">
        <v>3.5</v>
      </c>
      <c r="S31">
        <v>3.65</v>
      </c>
      <c r="T31">
        <v>2.871381</v>
      </c>
      <c r="U31" s="23">
        <v>45330</v>
      </c>
      <c r="V31">
        <v>2.75</v>
      </c>
      <c r="W31">
        <v>2.9</v>
      </c>
      <c r="X31">
        <v>1.964788</v>
      </c>
      <c r="Y31" s="23">
        <v>45330</v>
      </c>
      <c r="Z31">
        <v>7.49</v>
      </c>
      <c r="AA31">
        <v>6.3201944681726863</v>
      </c>
      <c r="AB31">
        <v>7.6400000000000006</v>
      </c>
    </row>
    <row r="32" spans="1:28">
      <c r="A32" s="23">
        <v>45331</v>
      </c>
      <c r="B32">
        <v>1.75</v>
      </c>
      <c r="C32">
        <v>1.9</v>
      </c>
      <c r="D32">
        <v>1.3290139999999999</v>
      </c>
      <c r="E32" s="23">
        <v>45331</v>
      </c>
      <c r="F32">
        <v>0.5</v>
      </c>
      <c r="G32">
        <v>0.6</v>
      </c>
      <c r="H32">
        <v>0.166047</v>
      </c>
      <c r="I32" s="23">
        <v>45331</v>
      </c>
      <c r="J32">
        <v>1</v>
      </c>
      <c r="K32">
        <v>1.1499999999999999</v>
      </c>
      <c r="L32">
        <v>0.68942999999999999</v>
      </c>
      <c r="M32" s="23">
        <v>45331</v>
      </c>
      <c r="N32">
        <v>3</v>
      </c>
      <c r="O32">
        <v>3.15</v>
      </c>
      <c r="P32">
        <v>2.0379689999999999</v>
      </c>
      <c r="Q32" s="23">
        <v>45331</v>
      </c>
      <c r="R32">
        <v>3.5</v>
      </c>
      <c r="S32">
        <v>3.65</v>
      </c>
      <c r="T32">
        <v>2.862174</v>
      </c>
      <c r="U32" s="23">
        <v>45331</v>
      </c>
      <c r="V32">
        <v>2.75</v>
      </c>
      <c r="W32">
        <v>2.9</v>
      </c>
      <c r="X32">
        <v>1.969233</v>
      </c>
      <c r="Y32" s="23">
        <v>45331</v>
      </c>
      <c r="Z32">
        <v>7.49</v>
      </c>
      <c r="AA32">
        <v>6.2917411862284398</v>
      </c>
      <c r="AB32">
        <v>7.6400000000000006</v>
      </c>
    </row>
    <row r="33" spans="1:28">
      <c r="A33" s="23">
        <v>45334</v>
      </c>
      <c r="B33">
        <v>1.75</v>
      </c>
      <c r="C33">
        <v>1.9</v>
      </c>
      <c r="D33">
        <v>1.3364750000000001</v>
      </c>
      <c r="E33" s="23">
        <v>45334</v>
      </c>
      <c r="F33">
        <v>0.5</v>
      </c>
      <c r="G33">
        <v>0.6</v>
      </c>
      <c r="H33">
        <v>0.16477700000000001</v>
      </c>
      <c r="I33" s="23">
        <v>45334</v>
      </c>
      <c r="J33">
        <v>1</v>
      </c>
      <c r="K33">
        <v>1.1499999999999999</v>
      </c>
      <c r="L33">
        <v>0.69593799999999995</v>
      </c>
      <c r="M33" s="23">
        <v>45334</v>
      </c>
      <c r="N33">
        <v>3</v>
      </c>
      <c r="O33">
        <v>3.15</v>
      </c>
      <c r="P33">
        <v>2.050351</v>
      </c>
      <c r="Q33" s="23">
        <v>45334</v>
      </c>
      <c r="R33">
        <v>3.5</v>
      </c>
      <c r="S33">
        <v>3.65</v>
      </c>
      <c r="T33">
        <v>2.8794770000000001</v>
      </c>
      <c r="U33" s="23">
        <v>45334</v>
      </c>
      <c r="V33">
        <v>2.75</v>
      </c>
      <c r="W33">
        <v>2.9</v>
      </c>
      <c r="X33">
        <v>1.966852</v>
      </c>
      <c r="Y33" s="23">
        <v>45334</v>
      </c>
      <c r="Z33">
        <v>7.49</v>
      </c>
      <c r="AA33">
        <v>6.2895713571095246</v>
      </c>
      <c r="AB33">
        <v>7.6400000000000006</v>
      </c>
    </row>
    <row r="34" spans="1:28">
      <c r="A34" s="23">
        <v>45335</v>
      </c>
      <c r="B34">
        <v>1.75</v>
      </c>
      <c r="C34">
        <v>1.9</v>
      </c>
      <c r="D34">
        <v>1.33203</v>
      </c>
      <c r="E34" s="23">
        <v>45335</v>
      </c>
      <c r="F34">
        <v>0.5</v>
      </c>
      <c r="G34">
        <v>0.6</v>
      </c>
      <c r="H34">
        <v>0.19763800000000001</v>
      </c>
      <c r="I34" s="23">
        <v>45335</v>
      </c>
      <c r="J34">
        <v>1</v>
      </c>
      <c r="K34">
        <v>1.1499999999999999</v>
      </c>
      <c r="L34">
        <v>0.73451299999999997</v>
      </c>
      <c r="M34" s="23">
        <v>45335</v>
      </c>
      <c r="N34">
        <v>3</v>
      </c>
      <c r="O34">
        <v>3.15</v>
      </c>
      <c r="P34">
        <v>2.0493990000000002</v>
      </c>
      <c r="Q34" s="23">
        <v>45335</v>
      </c>
      <c r="R34">
        <v>3.5</v>
      </c>
      <c r="S34">
        <v>3.65</v>
      </c>
      <c r="T34">
        <v>2.8740800000000002</v>
      </c>
      <c r="U34" s="23">
        <v>45335</v>
      </c>
      <c r="V34">
        <v>2.75</v>
      </c>
      <c r="W34">
        <v>2.9</v>
      </c>
      <c r="X34">
        <v>1.964947</v>
      </c>
      <c r="Y34" s="23">
        <v>45335</v>
      </c>
      <c r="Z34">
        <v>7.49</v>
      </c>
      <c r="AA34">
        <v>6.3020853060032485</v>
      </c>
      <c r="AB34">
        <v>7.6400000000000006</v>
      </c>
    </row>
    <row r="35" spans="1:28">
      <c r="A35" s="23">
        <v>45336</v>
      </c>
      <c r="B35">
        <v>1.75</v>
      </c>
      <c r="C35">
        <v>1.9</v>
      </c>
      <c r="D35">
        <v>1.3433010000000001</v>
      </c>
      <c r="E35" s="23">
        <v>45336</v>
      </c>
      <c r="F35">
        <v>0.5</v>
      </c>
      <c r="G35">
        <v>0.6</v>
      </c>
      <c r="H35">
        <v>0.19684399999999999</v>
      </c>
      <c r="I35" s="23">
        <v>45336</v>
      </c>
      <c r="J35">
        <v>1</v>
      </c>
      <c r="K35">
        <v>1.1499999999999999</v>
      </c>
      <c r="L35">
        <v>0.74070499999999995</v>
      </c>
      <c r="M35" s="23">
        <v>45336</v>
      </c>
      <c r="N35">
        <v>3</v>
      </c>
      <c r="O35">
        <v>3.15</v>
      </c>
      <c r="P35">
        <v>2.065591</v>
      </c>
      <c r="Q35" s="23">
        <v>45336</v>
      </c>
      <c r="R35">
        <v>3.5</v>
      </c>
      <c r="S35">
        <v>3.65</v>
      </c>
      <c r="T35">
        <v>2.9056700000000002</v>
      </c>
      <c r="U35" s="23">
        <v>45336</v>
      </c>
      <c r="V35">
        <v>2.75</v>
      </c>
      <c r="W35">
        <v>2.9</v>
      </c>
      <c r="X35">
        <v>1.9603429999999999</v>
      </c>
      <c r="Y35" s="23">
        <v>45336</v>
      </c>
      <c r="Z35">
        <v>7.49</v>
      </c>
      <c r="AA35">
        <v>6.3419128308431274</v>
      </c>
      <c r="AB35">
        <v>7.6400000000000006</v>
      </c>
    </row>
    <row r="36" spans="1:28">
      <c r="A36" s="23">
        <v>45337</v>
      </c>
      <c r="B36">
        <v>1.75</v>
      </c>
      <c r="C36">
        <v>1.9</v>
      </c>
      <c r="D36">
        <v>1.4001319999999999</v>
      </c>
      <c r="E36" s="23">
        <v>45337</v>
      </c>
      <c r="F36">
        <v>0.5</v>
      </c>
      <c r="G36">
        <v>0.6</v>
      </c>
      <c r="H36">
        <v>0.19636799999999999</v>
      </c>
      <c r="I36" s="23">
        <v>45337</v>
      </c>
      <c r="J36">
        <v>1</v>
      </c>
      <c r="K36">
        <v>1.1499999999999999</v>
      </c>
      <c r="L36">
        <v>0.80198000000000003</v>
      </c>
      <c r="M36" s="23">
        <v>45337</v>
      </c>
      <c r="N36">
        <v>3</v>
      </c>
      <c r="O36">
        <v>3.15</v>
      </c>
      <c r="P36">
        <v>2.0962290000000001</v>
      </c>
      <c r="Q36" s="23">
        <v>45337</v>
      </c>
      <c r="R36">
        <v>3.5</v>
      </c>
      <c r="S36">
        <v>3.65</v>
      </c>
      <c r="T36">
        <v>2.9331330000000002</v>
      </c>
      <c r="U36" s="23">
        <v>45337</v>
      </c>
      <c r="V36">
        <v>2.75</v>
      </c>
      <c r="W36">
        <v>2.9</v>
      </c>
      <c r="X36">
        <v>1.9746300000000001</v>
      </c>
      <c r="Y36" s="23">
        <v>45337</v>
      </c>
      <c r="Z36">
        <v>7.49</v>
      </c>
      <c r="AA36">
        <v>6.4048441780000926</v>
      </c>
      <c r="AB36">
        <v>7.6400000000000006</v>
      </c>
    </row>
    <row r="37" spans="1:28">
      <c r="A37" s="23">
        <v>45338</v>
      </c>
      <c r="B37">
        <v>1.75</v>
      </c>
      <c r="C37">
        <v>1.9</v>
      </c>
      <c r="D37">
        <v>1.3972739999999999</v>
      </c>
      <c r="E37" s="23">
        <v>45338</v>
      </c>
      <c r="F37">
        <v>0.5</v>
      </c>
      <c r="G37">
        <v>0.6</v>
      </c>
      <c r="H37">
        <v>0.19986000000000001</v>
      </c>
      <c r="I37" s="23">
        <v>45338</v>
      </c>
      <c r="J37">
        <v>1</v>
      </c>
      <c r="K37">
        <v>1.1499999999999999</v>
      </c>
      <c r="L37">
        <v>0.80086900000000005</v>
      </c>
      <c r="M37" s="23">
        <v>45338</v>
      </c>
      <c r="N37">
        <v>3</v>
      </c>
      <c r="O37">
        <v>3.15</v>
      </c>
      <c r="P37">
        <v>2.1094050000000002</v>
      </c>
      <c r="Q37" s="23">
        <v>45338</v>
      </c>
      <c r="R37">
        <v>3.5</v>
      </c>
      <c r="S37">
        <v>3.65</v>
      </c>
      <c r="T37">
        <v>2.9374189999999998</v>
      </c>
      <c r="U37" s="23">
        <v>45338</v>
      </c>
      <c r="V37">
        <v>2.75</v>
      </c>
      <c r="W37">
        <v>2.9</v>
      </c>
      <c r="X37">
        <v>1.969074</v>
      </c>
      <c r="Y37" s="23">
        <v>45338</v>
      </c>
      <c r="Z37">
        <v>7.49</v>
      </c>
      <c r="AA37">
        <v>6.3777221901828947</v>
      </c>
      <c r="AB37">
        <v>7.6400000000000006</v>
      </c>
    </row>
    <row r="38" spans="1:28">
      <c r="A38" s="23">
        <v>45341</v>
      </c>
      <c r="B38">
        <v>1.75</v>
      </c>
      <c r="C38">
        <v>1.9</v>
      </c>
      <c r="D38">
        <v>1.396004</v>
      </c>
      <c r="E38" s="23">
        <v>45341</v>
      </c>
      <c r="F38">
        <v>0.5</v>
      </c>
      <c r="G38">
        <v>0.6</v>
      </c>
      <c r="H38">
        <v>0.20017799999999999</v>
      </c>
      <c r="I38" s="23">
        <v>45341</v>
      </c>
      <c r="J38">
        <v>1</v>
      </c>
      <c r="K38">
        <v>1.1499999999999999</v>
      </c>
      <c r="L38">
        <v>0.79959899999999995</v>
      </c>
      <c r="M38" s="23">
        <v>45341</v>
      </c>
      <c r="N38">
        <v>3</v>
      </c>
      <c r="O38">
        <v>3.15</v>
      </c>
      <c r="P38">
        <v>2.1052770000000001</v>
      </c>
      <c r="Q38" s="23">
        <v>45341</v>
      </c>
      <c r="R38">
        <v>3.5</v>
      </c>
      <c r="S38">
        <v>3.65</v>
      </c>
      <c r="T38">
        <v>2.9345620000000001</v>
      </c>
      <c r="U38" s="23">
        <v>45341</v>
      </c>
      <c r="V38">
        <v>2.75</v>
      </c>
      <c r="W38">
        <v>2.9</v>
      </c>
      <c r="X38">
        <v>1.962248</v>
      </c>
      <c r="Y38" s="23">
        <v>45341</v>
      </c>
      <c r="Z38">
        <v>7.49</v>
      </c>
      <c r="AA38">
        <v>6.3405936144719188</v>
      </c>
      <c r="AB38">
        <v>7.6400000000000006</v>
      </c>
    </row>
    <row r="39" spans="1:28">
      <c r="A39" s="23">
        <v>45342</v>
      </c>
      <c r="B39">
        <v>1.75</v>
      </c>
      <c r="C39">
        <v>1.9</v>
      </c>
      <c r="D39">
        <v>1.3586990000000001</v>
      </c>
      <c r="E39" s="23">
        <v>45342</v>
      </c>
      <c r="F39">
        <v>0.5</v>
      </c>
      <c r="G39">
        <v>0.6</v>
      </c>
      <c r="H39">
        <v>0.191605</v>
      </c>
      <c r="I39" s="23">
        <v>45342</v>
      </c>
      <c r="J39">
        <v>1</v>
      </c>
      <c r="K39">
        <v>1.1499999999999999</v>
      </c>
      <c r="L39">
        <v>0.78483599999999998</v>
      </c>
      <c r="M39" s="23">
        <v>45342</v>
      </c>
      <c r="N39">
        <v>3</v>
      </c>
      <c r="O39">
        <v>3.15</v>
      </c>
      <c r="P39">
        <v>2.042573</v>
      </c>
      <c r="Q39" s="23">
        <v>45342</v>
      </c>
      <c r="R39">
        <v>3.5</v>
      </c>
      <c r="S39">
        <v>3.65</v>
      </c>
      <c r="T39">
        <v>2.8610630000000001</v>
      </c>
      <c r="U39" s="23">
        <v>45342</v>
      </c>
      <c r="V39">
        <v>2.75</v>
      </c>
      <c r="W39">
        <v>2.9</v>
      </c>
      <c r="X39">
        <v>1.871604</v>
      </c>
      <c r="Y39" s="23">
        <v>45342</v>
      </c>
      <c r="Z39">
        <v>7.49</v>
      </c>
      <c r="AA39">
        <v>6.2406896421939404</v>
      </c>
      <c r="AB39">
        <v>7.6400000000000006</v>
      </c>
    </row>
    <row r="40" spans="1:28">
      <c r="A40" s="23">
        <v>45343</v>
      </c>
      <c r="B40">
        <v>1.75</v>
      </c>
      <c r="C40">
        <v>1.9</v>
      </c>
      <c r="D40">
        <v>1.353461</v>
      </c>
      <c r="E40" s="23">
        <v>45343</v>
      </c>
      <c r="F40">
        <v>0.5</v>
      </c>
      <c r="G40">
        <v>0.6</v>
      </c>
      <c r="H40">
        <v>0.18604899999999999</v>
      </c>
      <c r="I40" s="23">
        <v>45343</v>
      </c>
      <c r="J40">
        <v>1</v>
      </c>
      <c r="K40">
        <v>1.1499999999999999</v>
      </c>
      <c r="L40">
        <v>0.77769200000000005</v>
      </c>
      <c r="M40" s="23">
        <v>45343</v>
      </c>
      <c r="N40">
        <v>3</v>
      </c>
      <c r="O40">
        <v>3.15</v>
      </c>
      <c r="P40">
        <v>2.038287</v>
      </c>
      <c r="Q40" s="23">
        <v>45343</v>
      </c>
      <c r="R40">
        <v>3.5</v>
      </c>
      <c r="S40">
        <v>3.65</v>
      </c>
      <c r="T40">
        <v>2.8455059999999999</v>
      </c>
      <c r="U40" s="23">
        <v>45343</v>
      </c>
      <c r="V40">
        <v>2.75</v>
      </c>
      <c r="W40">
        <v>2.9</v>
      </c>
      <c r="X40">
        <v>1.841602</v>
      </c>
      <c r="Y40" s="23">
        <v>45343</v>
      </c>
      <c r="Z40">
        <v>7.49</v>
      </c>
      <c r="AA40">
        <v>6.1840506381446509</v>
      </c>
      <c r="AB40">
        <v>7.6400000000000006</v>
      </c>
    </row>
    <row r="41" spans="1:28">
      <c r="A41" s="23">
        <v>45344</v>
      </c>
      <c r="B41">
        <v>1.75</v>
      </c>
      <c r="C41">
        <v>1.9</v>
      </c>
      <c r="D41">
        <v>1.3493329999999999</v>
      </c>
      <c r="E41" s="23">
        <v>45344</v>
      </c>
      <c r="F41">
        <v>0.5</v>
      </c>
      <c r="G41">
        <v>0.6</v>
      </c>
      <c r="H41">
        <v>0.185414</v>
      </c>
      <c r="I41" s="23">
        <v>45344</v>
      </c>
      <c r="J41">
        <v>1</v>
      </c>
      <c r="K41">
        <v>1.1499999999999999</v>
      </c>
      <c r="L41">
        <v>0.77658099999999997</v>
      </c>
      <c r="M41" s="23">
        <v>45344</v>
      </c>
      <c r="N41">
        <v>3</v>
      </c>
      <c r="O41">
        <v>3.15</v>
      </c>
      <c r="P41">
        <v>2.042414</v>
      </c>
      <c r="Q41" s="23">
        <v>45344</v>
      </c>
      <c r="R41">
        <v>3.5</v>
      </c>
      <c r="S41">
        <v>3.65</v>
      </c>
      <c r="T41">
        <v>2.8532839999999999</v>
      </c>
      <c r="U41" s="23">
        <v>45344</v>
      </c>
      <c r="V41">
        <v>2.75</v>
      </c>
      <c r="W41">
        <v>2.9</v>
      </c>
      <c r="X41">
        <v>1.921292</v>
      </c>
      <c r="Y41" s="23">
        <v>45344</v>
      </c>
      <c r="Z41">
        <v>7.49</v>
      </c>
      <c r="AA41">
        <v>6.2062131523274049</v>
      </c>
      <c r="AB41">
        <v>7.6400000000000006</v>
      </c>
    </row>
    <row r="42" spans="1:28">
      <c r="A42" s="23">
        <v>45345</v>
      </c>
      <c r="B42">
        <v>1.75</v>
      </c>
      <c r="C42">
        <v>1.9</v>
      </c>
      <c r="D42">
        <v>1.3579049999999999</v>
      </c>
      <c r="E42" s="23">
        <v>45345</v>
      </c>
      <c r="F42">
        <v>0.5</v>
      </c>
      <c r="G42">
        <v>0.6</v>
      </c>
      <c r="H42">
        <v>0.203511</v>
      </c>
      <c r="I42" s="23">
        <v>45345</v>
      </c>
      <c r="J42">
        <v>1</v>
      </c>
      <c r="K42">
        <v>1.1499999999999999</v>
      </c>
      <c r="L42">
        <v>0.79023299999999996</v>
      </c>
      <c r="M42" s="23">
        <v>45345</v>
      </c>
      <c r="N42">
        <v>3</v>
      </c>
      <c r="O42">
        <v>3.15</v>
      </c>
      <c r="P42">
        <v>2.0516209999999999</v>
      </c>
      <c r="Q42" s="23">
        <v>45345</v>
      </c>
      <c r="R42">
        <v>3.5</v>
      </c>
      <c r="S42">
        <v>3.65</v>
      </c>
      <c r="T42">
        <v>2.8701110000000001</v>
      </c>
      <c r="U42" s="23">
        <v>45345</v>
      </c>
      <c r="V42">
        <v>2.75</v>
      </c>
      <c r="W42">
        <v>2.9</v>
      </c>
      <c r="X42">
        <v>1.9028769999999999</v>
      </c>
      <c r="Y42" s="23">
        <v>45345</v>
      </c>
      <c r="Z42">
        <v>7.49</v>
      </c>
      <c r="AA42">
        <v>6.220786109373126</v>
      </c>
      <c r="AB42">
        <v>7.6400000000000006</v>
      </c>
    </row>
    <row r="43" spans="1:28">
      <c r="A43" s="23">
        <v>45348</v>
      </c>
      <c r="B43">
        <v>1.75</v>
      </c>
      <c r="C43">
        <v>1.9</v>
      </c>
      <c r="D43">
        <v>1.347904</v>
      </c>
      <c r="E43" s="23">
        <v>45348</v>
      </c>
      <c r="F43">
        <v>0.5</v>
      </c>
      <c r="G43">
        <v>0.6</v>
      </c>
      <c r="H43">
        <v>0.20160600000000001</v>
      </c>
      <c r="I43" s="23">
        <v>45348</v>
      </c>
      <c r="J43">
        <v>1</v>
      </c>
      <c r="K43">
        <v>1.1499999999999999</v>
      </c>
      <c r="L43">
        <v>0.77721600000000002</v>
      </c>
      <c r="M43" s="23">
        <v>45348</v>
      </c>
      <c r="N43">
        <v>3</v>
      </c>
      <c r="O43">
        <v>3.15</v>
      </c>
      <c r="P43">
        <v>2.0397159999999999</v>
      </c>
      <c r="Q43" s="23">
        <v>45348</v>
      </c>
      <c r="R43">
        <v>3.5</v>
      </c>
      <c r="S43">
        <v>3.65</v>
      </c>
      <c r="T43">
        <v>2.8624909999999999</v>
      </c>
      <c r="U43" s="23">
        <v>45348</v>
      </c>
      <c r="V43">
        <v>2.75</v>
      </c>
      <c r="W43">
        <v>2.9</v>
      </c>
      <c r="X43">
        <v>1.8787480000000001</v>
      </c>
      <c r="Y43" s="23">
        <v>45348</v>
      </c>
      <c r="Z43">
        <v>7.49</v>
      </c>
      <c r="AA43">
        <v>6.1844298630390382</v>
      </c>
      <c r="AB43">
        <v>7.6400000000000006</v>
      </c>
    </row>
    <row r="44" spans="1:28">
      <c r="A44" s="23">
        <v>45349</v>
      </c>
      <c r="B44">
        <v>1.75</v>
      </c>
      <c r="C44">
        <v>1.9</v>
      </c>
      <c r="D44">
        <v>1.351397</v>
      </c>
      <c r="E44" s="23">
        <v>45349</v>
      </c>
      <c r="F44">
        <v>0.5</v>
      </c>
      <c r="G44">
        <v>0.6</v>
      </c>
      <c r="H44">
        <v>0.201765</v>
      </c>
      <c r="I44" s="23">
        <v>45349</v>
      </c>
      <c r="J44">
        <v>1</v>
      </c>
      <c r="K44">
        <v>1.1499999999999999</v>
      </c>
      <c r="L44">
        <v>0.77737500000000004</v>
      </c>
      <c r="M44" s="23">
        <v>45349</v>
      </c>
      <c r="N44">
        <v>3</v>
      </c>
      <c r="O44">
        <v>3.15</v>
      </c>
      <c r="P44">
        <v>2.046065</v>
      </c>
      <c r="Q44" s="23">
        <v>45349</v>
      </c>
      <c r="R44">
        <v>3.5</v>
      </c>
      <c r="S44">
        <v>3.65</v>
      </c>
      <c r="T44">
        <v>2.8690000000000002</v>
      </c>
      <c r="U44" s="23">
        <v>45349</v>
      </c>
      <c r="V44">
        <v>2.75</v>
      </c>
      <c r="W44">
        <v>2.9</v>
      </c>
      <c r="X44">
        <v>1.8765259999999999</v>
      </c>
      <c r="Y44" s="23">
        <v>45349</v>
      </c>
      <c r="Z44">
        <v>7.49</v>
      </c>
      <c r="AA44">
        <v>6.340451748621339</v>
      </c>
      <c r="AB44">
        <v>7.6400000000000006</v>
      </c>
    </row>
    <row r="45" spans="1:28">
      <c r="A45" s="23">
        <v>45350</v>
      </c>
      <c r="B45">
        <v>1.75</v>
      </c>
      <c r="C45">
        <v>1.9</v>
      </c>
      <c r="D45">
        <v>1.5288740000000001</v>
      </c>
      <c r="E45" s="23">
        <v>45350</v>
      </c>
      <c r="F45">
        <v>0.5</v>
      </c>
      <c r="G45">
        <v>0.6</v>
      </c>
      <c r="H45">
        <v>0.201765</v>
      </c>
      <c r="I45" s="23">
        <v>45350</v>
      </c>
      <c r="J45">
        <v>1</v>
      </c>
      <c r="K45">
        <v>1.1499999999999999</v>
      </c>
      <c r="L45">
        <v>0.79197899999999999</v>
      </c>
      <c r="M45" s="23">
        <v>45350</v>
      </c>
      <c r="N45">
        <v>3</v>
      </c>
      <c r="O45">
        <v>3.15</v>
      </c>
      <c r="P45">
        <v>2.0905140000000002</v>
      </c>
      <c r="Q45" s="23">
        <v>45350</v>
      </c>
      <c r="R45">
        <v>3.5</v>
      </c>
      <c r="S45">
        <v>3.65</v>
      </c>
      <c r="T45">
        <v>2.8601100000000002</v>
      </c>
      <c r="U45" s="23">
        <v>45350</v>
      </c>
      <c r="V45">
        <v>2.75</v>
      </c>
      <c r="W45">
        <v>2.9</v>
      </c>
      <c r="X45">
        <v>1.934626</v>
      </c>
      <c r="Y45" s="23">
        <v>45350</v>
      </c>
      <c r="Z45">
        <v>7.49</v>
      </c>
      <c r="AA45">
        <v>6.5861658665334168</v>
      </c>
      <c r="AB45">
        <v>7.6400000000000006</v>
      </c>
    </row>
    <row r="46" spans="1:28">
      <c r="A46" s="23">
        <v>45351</v>
      </c>
      <c r="B46">
        <v>1.75</v>
      </c>
      <c r="C46">
        <v>1.9</v>
      </c>
      <c r="D46">
        <v>1.503633</v>
      </c>
      <c r="E46" s="23">
        <v>45351</v>
      </c>
      <c r="F46">
        <v>0.5</v>
      </c>
      <c r="G46">
        <v>0.6</v>
      </c>
      <c r="H46">
        <v>0.173985</v>
      </c>
      <c r="I46" s="23">
        <v>45351</v>
      </c>
      <c r="J46">
        <v>1</v>
      </c>
      <c r="K46">
        <v>1.1499999999999999</v>
      </c>
      <c r="L46">
        <v>0.76435799999999998</v>
      </c>
      <c r="M46" s="23">
        <v>45351</v>
      </c>
      <c r="N46">
        <v>3</v>
      </c>
      <c r="O46">
        <v>3.15</v>
      </c>
      <c r="P46">
        <v>2.0811480000000002</v>
      </c>
      <c r="Q46" s="23">
        <v>45351</v>
      </c>
      <c r="R46">
        <v>3.5</v>
      </c>
      <c r="S46">
        <v>3.65</v>
      </c>
      <c r="T46">
        <v>2.8651900000000001</v>
      </c>
      <c r="U46" s="23">
        <v>45351</v>
      </c>
      <c r="V46">
        <v>2.75</v>
      </c>
      <c r="W46">
        <v>2.9</v>
      </c>
      <c r="X46">
        <v>1.9176409999999999</v>
      </c>
      <c r="Y46" s="23">
        <v>45351</v>
      </c>
      <c r="Z46">
        <v>7.49</v>
      </c>
      <c r="AA46">
        <v>6.5689429463550955</v>
      </c>
      <c r="AB46">
        <v>7.6400000000000006</v>
      </c>
    </row>
    <row r="47" spans="1:28">
      <c r="A47" s="23">
        <v>45352</v>
      </c>
      <c r="B47">
        <v>1.75</v>
      </c>
      <c r="C47">
        <v>1.9</v>
      </c>
      <c r="D47">
        <v>1.5050619999999999</v>
      </c>
      <c r="E47" s="23">
        <v>45352</v>
      </c>
      <c r="F47">
        <v>0.5</v>
      </c>
      <c r="G47">
        <v>0.6</v>
      </c>
      <c r="H47">
        <v>0.18684300000000001</v>
      </c>
      <c r="I47" s="23">
        <v>45352</v>
      </c>
      <c r="J47">
        <v>1</v>
      </c>
      <c r="K47">
        <v>1.1499999999999999</v>
      </c>
      <c r="L47">
        <v>0.75435700000000006</v>
      </c>
      <c r="M47" s="23">
        <v>45352</v>
      </c>
      <c r="N47">
        <v>3</v>
      </c>
      <c r="O47">
        <v>3.15</v>
      </c>
      <c r="P47">
        <v>2.0968640000000001</v>
      </c>
      <c r="Q47" s="23">
        <v>45352</v>
      </c>
      <c r="R47">
        <v>3.5</v>
      </c>
      <c r="S47">
        <v>3.65</v>
      </c>
      <c r="T47">
        <v>2.8918590000000002</v>
      </c>
      <c r="U47" s="23">
        <v>45352</v>
      </c>
      <c r="V47">
        <v>2.75</v>
      </c>
      <c r="W47">
        <v>2.9</v>
      </c>
      <c r="X47">
        <v>1.927165</v>
      </c>
      <c r="Y47" s="23">
        <v>45352</v>
      </c>
      <c r="Z47">
        <v>7.49</v>
      </c>
      <c r="AA47">
        <v>6.5694487201945968</v>
      </c>
      <c r="AB47">
        <v>7.6400000000000006</v>
      </c>
    </row>
    <row r="48" spans="1:28">
      <c r="A48" s="23">
        <v>45355</v>
      </c>
      <c r="B48">
        <v>1.75</v>
      </c>
      <c r="C48">
        <v>1.9</v>
      </c>
      <c r="D48">
        <v>1.5049030000000001</v>
      </c>
      <c r="E48" s="23">
        <v>45355</v>
      </c>
      <c r="F48">
        <v>0.5</v>
      </c>
      <c r="G48">
        <v>0.6</v>
      </c>
      <c r="H48">
        <v>0.18684300000000001</v>
      </c>
      <c r="I48" s="23">
        <v>45355</v>
      </c>
      <c r="J48">
        <v>1</v>
      </c>
      <c r="K48">
        <v>1.1499999999999999</v>
      </c>
      <c r="L48">
        <v>0.75927800000000001</v>
      </c>
      <c r="M48" s="23">
        <v>45355</v>
      </c>
      <c r="N48">
        <v>3</v>
      </c>
      <c r="O48">
        <v>3.15</v>
      </c>
      <c r="P48">
        <v>2.0895609999999998</v>
      </c>
      <c r="Q48" s="23">
        <v>45355</v>
      </c>
      <c r="R48">
        <v>3.5</v>
      </c>
      <c r="S48">
        <v>3.65</v>
      </c>
      <c r="T48">
        <v>2.8783660000000002</v>
      </c>
      <c r="U48" s="23">
        <v>45355</v>
      </c>
      <c r="V48">
        <v>2.75</v>
      </c>
      <c r="W48">
        <v>2.9</v>
      </c>
      <c r="X48">
        <v>1.9198630000000001</v>
      </c>
      <c r="Y48" s="23">
        <v>45355</v>
      </c>
      <c r="Z48">
        <v>7.49</v>
      </c>
      <c r="AA48">
        <v>6.5621155140455212</v>
      </c>
      <c r="AB48">
        <v>7.6400000000000006</v>
      </c>
    </row>
    <row r="49" spans="1:28">
      <c r="A49" s="23">
        <v>45356</v>
      </c>
      <c r="B49">
        <v>1.75</v>
      </c>
      <c r="C49">
        <v>1.9</v>
      </c>
      <c r="D49">
        <v>1.496014</v>
      </c>
      <c r="E49" s="23">
        <v>45356</v>
      </c>
      <c r="F49">
        <v>0.5</v>
      </c>
      <c r="G49">
        <v>0.6</v>
      </c>
      <c r="H49">
        <v>0.18890699999999999</v>
      </c>
      <c r="I49" s="23">
        <v>45356</v>
      </c>
      <c r="J49">
        <v>1</v>
      </c>
      <c r="K49">
        <v>1.1499999999999999</v>
      </c>
      <c r="L49">
        <v>0.75880099999999995</v>
      </c>
      <c r="M49" s="23">
        <v>45356</v>
      </c>
      <c r="N49">
        <v>3</v>
      </c>
      <c r="O49">
        <v>3.15</v>
      </c>
      <c r="P49">
        <v>2.0724170000000002</v>
      </c>
      <c r="Q49" s="23">
        <v>45356</v>
      </c>
      <c r="R49">
        <v>3.5</v>
      </c>
      <c r="S49">
        <v>3.65</v>
      </c>
      <c r="T49">
        <v>2.857888</v>
      </c>
      <c r="U49" s="23">
        <v>45356</v>
      </c>
      <c r="V49">
        <v>2.75</v>
      </c>
      <c r="W49">
        <v>2.9</v>
      </c>
      <c r="X49">
        <v>1.9198630000000001</v>
      </c>
      <c r="Y49" s="23">
        <v>45356</v>
      </c>
      <c r="Z49">
        <v>7.49</v>
      </c>
      <c r="AA49">
        <v>6.5273923357384342</v>
      </c>
      <c r="AB49">
        <v>7.6400000000000006</v>
      </c>
    </row>
    <row r="50" spans="1:28">
      <c r="A50" s="23">
        <v>45357</v>
      </c>
      <c r="B50">
        <v>1.75</v>
      </c>
      <c r="C50">
        <v>1.9</v>
      </c>
      <c r="D50">
        <v>1.5009349999999999</v>
      </c>
      <c r="E50" s="23">
        <v>45357</v>
      </c>
      <c r="F50">
        <v>0.5</v>
      </c>
      <c r="G50">
        <v>0.6</v>
      </c>
      <c r="H50">
        <v>0.189224</v>
      </c>
      <c r="I50" s="23">
        <v>45357</v>
      </c>
      <c r="J50">
        <v>1</v>
      </c>
      <c r="K50">
        <v>1.1499999999999999</v>
      </c>
      <c r="L50">
        <v>0.76372300000000004</v>
      </c>
      <c r="M50" s="23">
        <v>45357</v>
      </c>
      <c r="N50">
        <v>3</v>
      </c>
      <c r="O50">
        <v>3.15</v>
      </c>
      <c r="P50">
        <v>2.0732110000000001</v>
      </c>
      <c r="Q50" s="23">
        <v>45357</v>
      </c>
      <c r="R50">
        <v>3.5</v>
      </c>
      <c r="S50">
        <v>3.65</v>
      </c>
      <c r="T50">
        <v>2.8588399999999998</v>
      </c>
      <c r="U50" s="23">
        <v>45357</v>
      </c>
      <c r="V50">
        <v>2.75</v>
      </c>
      <c r="W50">
        <v>2.9</v>
      </c>
      <c r="X50">
        <v>1.9219269999999999</v>
      </c>
      <c r="Y50" s="23">
        <v>45357</v>
      </c>
      <c r="Z50">
        <v>7.49</v>
      </c>
      <c r="AA50">
        <v>6.5426942616508832</v>
      </c>
      <c r="AB50">
        <v>7.6400000000000006</v>
      </c>
    </row>
    <row r="51" spans="1:28">
      <c r="A51" s="23">
        <v>45358</v>
      </c>
      <c r="B51">
        <v>1.75</v>
      </c>
      <c r="C51">
        <v>1.9</v>
      </c>
      <c r="D51">
        <v>1.4955369999999999</v>
      </c>
      <c r="E51" s="23">
        <v>45358</v>
      </c>
      <c r="F51">
        <v>0.5</v>
      </c>
      <c r="G51">
        <v>0.6</v>
      </c>
      <c r="H51">
        <v>0.189383</v>
      </c>
      <c r="I51" s="23">
        <v>45358</v>
      </c>
      <c r="J51">
        <v>1</v>
      </c>
      <c r="K51">
        <v>1.1499999999999999</v>
      </c>
      <c r="L51">
        <v>0.84499999999999997</v>
      </c>
      <c r="M51" s="23">
        <v>45358</v>
      </c>
      <c r="N51">
        <v>3</v>
      </c>
      <c r="O51">
        <v>3.15</v>
      </c>
      <c r="P51">
        <v>2.0622569999999998</v>
      </c>
      <c r="Q51" s="23">
        <v>45358</v>
      </c>
      <c r="R51">
        <v>3.5</v>
      </c>
      <c r="S51">
        <v>3.65</v>
      </c>
      <c r="T51">
        <v>2.8496329999999999</v>
      </c>
      <c r="U51" s="23">
        <v>45358</v>
      </c>
      <c r="V51">
        <v>2.75</v>
      </c>
      <c r="W51">
        <v>2.9</v>
      </c>
      <c r="X51">
        <v>1.9439919999999999</v>
      </c>
      <c r="Y51" s="23">
        <v>45358</v>
      </c>
      <c r="Z51">
        <v>7.49</v>
      </c>
      <c r="AA51">
        <v>6.4706801567198884</v>
      </c>
      <c r="AB51">
        <v>7.6400000000000006</v>
      </c>
    </row>
    <row r="52" spans="1:28">
      <c r="A52" s="23">
        <v>45359</v>
      </c>
      <c r="B52">
        <v>1.75</v>
      </c>
      <c r="C52">
        <v>1.9</v>
      </c>
      <c r="D52">
        <v>1.4876</v>
      </c>
      <c r="E52" s="23">
        <v>45359</v>
      </c>
      <c r="F52">
        <v>0.5</v>
      </c>
      <c r="G52">
        <v>0.6</v>
      </c>
      <c r="H52">
        <v>0.18906500000000001</v>
      </c>
      <c r="I52" s="23">
        <v>45359</v>
      </c>
      <c r="J52">
        <v>1</v>
      </c>
      <c r="K52">
        <v>1.1499999999999999</v>
      </c>
      <c r="L52">
        <v>0.87246299999999999</v>
      </c>
      <c r="M52" s="23">
        <v>45359</v>
      </c>
      <c r="N52">
        <v>3</v>
      </c>
      <c r="O52">
        <v>3.15</v>
      </c>
      <c r="P52">
        <v>2.052098</v>
      </c>
      <c r="Q52" s="23">
        <v>45359</v>
      </c>
      <c r="R52">
        <v>3.5</v>
      </c>
      <c r="S52">
        <v>3.65</v>
      </c>
      <c r="T52">
        <v>2.838203</v>
      </c>
      <c r="U52" s="23">
        <v>45359</v>
      </c>
      <c r="V52">
        <v>2.75</v>
      </c>
      <c r="W52">
        <v>2.9</v>
      </c>
      <c r="X52">
        <v>1.94177</v>
      </c>
      <c r="Y52" s="23">
        <v>45359</v>
      </c>
      <c r="Z52">
        <v>7.49</v>
      </c>
      <c r="AA52">
        <v>6.4113478612102934</v>
      </c>
      <c r="AB52">
        <v>7.6400000000000006</v>
      </c>
    </row>
    <row r="53" spans="1:28">
      <c r="A53" s="23">
        <v>45362</v>
      </c>
      <c r="B53">
        <v>1.75</v>
      </c>
      <c r="C53">
        <v>1.9</v>
      </c>
      <c r="D53">
        <v>1.4209270000000001</v>
      </c>
      <c r="E53" s="23">
        <v>45362</v>
      </c>
      <c r="F53">
        <v>0.5</v>
      </c>
      <c r="G53">
        <v>0.6</v>
      </c>
      <c r="H53">
        <v>0.18890699999999999</v>
      </c>
      <c r="I53" s="23">
        <v>45362</v>
      </c>
      <c r="J53">
        <v>1</v>
      </c>
      <c r="K53">
        <v>1.1499999999999999</v>
      </c>
      <c r="L53">
        <v>0.79039199999999998</v>
      </c>
      <c r="M53" s="23">
        <v>45362</v>
      </c>
      <c r="N53">
        <v>3</v>
      </c>
      <c r="O53">
        <v>3.15</v>
      </c>
      <c r="P53">
        <v>2.0386039999999999</v>
      </c>
      <c r="Q53" s="23">
        <v>45362</v>
      </c>
      <c r="R53">
        <v>3.5</v>
      </c>
      <c r="S53">
        <v>3.65</v>
      </c>
      <c r="T53">
        <v>2.8418540000000001</v>
      </c>
      <c r="U53" s="23">
        <v>45362</v>
      </c>
      <c r="V53">
        <v>2.75</v>
      </c>
      <c r="W53">
        <v>2.9</v>
      </c>
      <c r="X53">
        <v>1.9166879999999999</v>
      </c>
      <c r="Y53" s="23">
        <v>45362</v>
      </c>
      <c r="Z53">
        <v>7.49</v>
      </c>
      <c r="AA53">
        <v>6.3592782896823552</v>
      </c>
      <c r="AB53">
        <v>7.6400000000000006</v>
      </c>
    </row>
    <row r="54" spans="1:28">
      <c r="A54" s="23">
        <v>45363</v>
      </c>
      <c r="B54">
        <v>1.75</v>
      </c>
      <c r="C54">
        <v>1.9</v>
      </c>
      <c r="D54">
        <v>1.35727</v>
      </c>
      <c r="E54" s="23">
        <v>45363</v>
      </c>
      <c r="F54">
        <v>0.5</v>
      </c>
      <c r="G54">
        <v>0.6</v>
      </c>
      <c r="H54">
        <v>0.188113</v>
      </c>
      <c r="I54" s="23">
        <v>45363</v>
      </c>
      <c r="J54">
        <v>1</v>
      </c>
      <c r="K54">
        <v>1.1499999999999999</v>
      </c>
      <c r="L54">
        <v>0.74737200000000004</v>
      </c>
      <c r="M54" s="23">
        <v>45363</v>
      </c>
      <c r="N54">
        <v>3</v>
      </c>
      <c r="O54">
        <v>3.15</v>
      </c>
      <c r="P54">
        <v>1.9860599999999999</v>
      </c>
      <c r="Q54" s="23">
        <v>45363</v>
      </c>
      <c r="R54">
        <v>3.5</v>
      </c>
      <c r="S54">
        <v>3.65</v>
      </c>
      <c r="T54">
        <v>2.828837</v>
      </c>
      <c r="U54" s="23">
        <v>45363</v>
      </c>
      <c r="V54">
        <v>2.75</v>
      </c>
      <c r="W54">
        <v>2.9</v>
      </c>
      <c r="X54">
        <v>1.9406589999999999</v>
      </c>
      <c r="Y54" s="23">
        <v>45363</v>
      </c>
      <c r="Z54">
        <v>7.49</v>
      </c>
      <c r="AA54">
        <v>6.3666788186148979</v>
      </c>
      <c r="AB54">
        <v>7.6400000000000006</v>
      </c>
    </row>
    <row r="55" spans="1:28">
      <c r="A55" s="23">
        <v>45364</v>
      </c>
      <c r="B55">
        <v>1.75</v>
      </c>
      <c r="C55">
        <v>1.9</v>
      </c>
      <c r="D55">
        <v>1.4477549999999999</v>
      </c>
      <c r="E55" s="23">
        <v>45364</v>
      </c>
      <c r="F55">
        <v>0.5</v>
      </c>
      <c r="G55">
        <v>0.6</v>
      </c>
      <c r="H55">
        <v>0.188113</v>
      </c>
      <c r="I55" s="23">
        <v>45364</v>
      </c>
      <c r="J55">
        <v>1</v>
      </c>
      <c r="K55">
        <v>1.1499999999999999</v>
      </c>
      <c r="L55">
        <v>0.887544</v>
      </c>
      <c r="M55" s="23">
        <v>45364</v>
      </c>
      <c r="N55">
        <v>3</v>
      </c>
      <c r="O55">
        <v>3.15</v>
      </c>
      <c r="P55">
        <v>2.0157449999999999</v>
      </c>
      <c r="Q55" s="23">
        <v>45364</v>
      </c>
      <c r="R55">
        <v>3.5</v>
      </c>
      <c r="S55">
        <v>3.65</v>
      </c>
      <c r="T55">
        <v>2.8505850000000001</v>
      </c>
      <c r="U55" s="23">
        <v>45364</v>
      </c>
      <c r="V55">
        <v>2.75</v>
      </c>
      <c r="W55">
        <v>2.9</v>
      </c>
      <c r="X55">
        <v>1.96193</v>
      </c>
      <c r="Y55" s="23">
        <v>45364</v>
      </c>
      <c r="Z55">
        <v>7.49</v>
      </c>
      <c r="AA55">
        <v>6.2312183411928919</v>
      </c>
      <c r="AB55">
        <v>7.6400000000000006</v>
      </c>
    </row>
    <row r="56" spans="1:28">
      <c r="A56" s="23">
        <v>45365</v>
      </c>
      <c r="B56">
        <v>1.75</v>
      </c>
      <c r="C56">
        <v>1.9</v>
      </c>
      <c r="D56">
        <v>1.4564859999999999</v>
      </c>
      <c r="E56" s="23">
        <v>45365</v>
      </c>
      <c r="F56">
        <v>0.5</v>
      </c>
      <c r="G56">
        <v>0.6</v>
      </c>
      <c r="H56">
        <v>0.189383</v>
      </c>
      <c r="I56" s="23">
        <v>45365</v>
      </c>
      <c r="J56">
        <v>1</v>
      </c>
      <c r="K56">
        <v>1.1499999999999999</v>
      </c>
      <c r="L56">
        <v>0.89246499999999995</v>
      </c>
      <c r="M56" s="23">
        <v>45365</v>
      </c>
      <c r="N56">
        <v>3</v>
      </c>
      <c r="O56">
        <v>3.15</v>
      </c>
      <c r="P56">
        <v>2.0181260000000001</v>
      </c>
      <c r="Q56" s="23">
        <v>45365</v>
      </c>
      <c r="R56">
        <v>3.5</v>
      </c>
      <c r="S56">
        <v>3.65</v>
      </c>
      <c r="T56">
        <v>2.8607450000000001</v>
      </c>
      <c r="U56" s="23">
        <v>45365</v>
      </c>
      <c r="V56">
        <v>2.75</v>
      </c>
      <c r="W56">
        <v>2.9</v>
      </c>
      <c r="X56">
        <v>1.950342</v>
      </c>
      <c r="Y56" s="23">
        <v>45365</v>
      </c>
      <c r="Z56">
        <v>7.49</v>
      </c>
      <c r="AA56">
        <v>6.2071778179359773</v>
      </c>
      <c r="AB56">
        <v>7.6400000000000006</v>
      </c>
    </row>
    <row r="57" spans="1:28">
      <c r="A57" s="23">
        <v>45366</v>
      </c>
      <c r="B57">
        <v>1.75</v>
      </c>
      <c r="C57">
        <v>1.9</v>
      </c>
      <c r="D57">
        <v>1.4577560000000001</v>
      </c>
      <c r="E57" s="23">
        <v>45366</v>
      </c>
      <c r="F57">
        <v>0.5</v>
      </c>
      <c r="G57">
        <v>0.6</v>
      </c>
      <c r="H57">
        <v>0.18890699999999999</v>
      </c>
      <c r="I57" s="23">
        <v>45366</v>
      </c>
      <c r="J57">
        <v>1</v>
      </c>
      <c r="K57">
        <v>1.1499999999999999</v>
      </c>
      <c r="L57">
        <v>0.89468700000000001</v>
      </c>
      <c r="M57" s="23">
        <v>45366</v>
      </c>
      <c r="N57">
        <v>3</v>
      </c>
      <c r="O57">
        <v>3.15</v>
      </c>
      <c r="P57">
        <v>2.0165389999999999</v>
      </c>
      <c r="Q57" s="23">
        <v>45366</v>
      </c>
      <c r="R57">
        <v>3.5</v>
      </c>
      <c r="S57">
        <v>3.65</v>
      </c>
      <c r="T57">
        <v>2.8556650000000001</v>
      </c>
      <c r="U57" s="23">
        <v>45366</v>
      </c>
      <c r="V57">
        <v>2.75</v>
      </c>
      <c r="W57">
        <v>2.9</v>
      </c>
      <c r="X57">
        <v>1.9627239999999999</v>
      </c>
      <c r="Y57" s="23">
        <v>45366</v>
      </c>
      <c r="Z57">
        <v>7.49</v>
      </c>
      <c r="AA57">
        <v>6.1900882031800926</v>
      </c>
      <c r="AB57">
        <v>7.6400000000000006</v>
      </c>
    </row>
    <row r="58" spans="1:28">
      <c r="A58" s="23">
        <v>45369</v>
      </c>
      <c r="B58">
        <v>1.75</v>
      </c>
      <c r="C58">
        <v>1.9</v>
      </c>
      <c r="D58">
        <v>1.4617249999999999</v>
      </c>
      <c r="E58" s="23">
        <v>45369</v>
      </c>
      <c r="F58">
        <v>0.5</v>
      </c>
      <c r="G58">
        <v>0.6</v>
      </c>
      <c r="H58">
        <v>0.188748</v>
      </c>
      <c r="I58" s="23">
        <v>45369</v>
      </c>
      <c r="J58">
        <v>1</v>
      </c>
      <c r="K58">
        <v>1.1499999999999999</v>
      </c>
      <c r="L58">
        <v>0.90357699999999996</v>
      </c>
      <c r="M58" s="23">
        <v>45369</v>
      </c>
      <c r="N58">
        <v>3</v>
      </c>
      <c r="O58">
        <v>3.15</v>
      </c>
      <c r="P58">
        <v>2.014475</v>
      </c>
      <c r="Q58" s="23">
        <v>45369</v>
      </c>
      <c r="R58">
        <v>3.5</v>
      </c>
      <c r="S58">
        <v>3.65</v>
      </c>
      <c r="T58">
        <v>2.8551890000000002</v>
      </c>
      <c r="U58" s="23">
        <v>45369</v>
      </c>
      <c r="V58">
        <v>2.75</v>
      </c>
      <c r="W58">
        <v>2.9</v>
      </c>
      <c r="X58">
        <v>1.9587559999999999</v>
      </c>
      <c r="Y58" s="23">
        <v>45369</v>
      </c>
      <c r="Z58">
        <v>7.49</v>
      </c>
      <c r="AA58">
        <v>6.2634860987447079</v>
      </c>
      <c r="AB58">
        <v>7.6400000000000006</v>
      </c>
    </row>
    <row r="59" spans="1:28">
      <c r="A59" s="23">
        <v>45370</v>
      </c>
      <c r="B59">
        <v>1.75</v>
      </c>
      <c r="C59">
        <v>1.9</v>
      </c>
      <c r="D59">
        <v>1.456169</v>
      </c>
      <c r="E59" s="23">
        <v>45370</v>
      </c>
      <c r="F59">
        <v>0.5</v>
      </c>
      <c r="G59">
        <v>0.6</v>
      </c>
      <c r="H59">
        <v>0.18842999999999999</v>
      </c>
      <c r="I59" s="23">
        <v>45370</v>
      </c>
      <c r="J59">
        <v>1</v>
      </c>
      <c r="K59">
        <v>1.1499999999999999</v>
      </c>
      <c r="L59">
        <v>0.89960799999999996</v>
      </c>
      <c r="M59" s="23">
        <v>45370</v>
      </c>
      <c r="N59">
        <v>3</v>
      </c>
      <c r="O59">
        <v>3.15</v>
      </c>
      <c r="P59">
        <v>2.0038390000000001</v>
      </c>
      <c r="Q59" s="23">
        <v>45370</v>
      </c>
      <c r="R59">
        <v>3.5</v>
      </c>
      <c r="S59">
        <v>3.65</v>
      </c>
      <c r="T59">
        <v>2.839156</v>
      </c>
      <c r="U59" s="23">
        <v>45370</v>
      </c>
      <c r="V59">
        <v>2.75</v>
      </c>
      <c r="W59">
        <v>2.9</v>
      </c>
      <c r="X59">
        <v>1.9697089999999999</v>
      </c>
      <c r="Y59" s="23">
        <v>45370</v>
      </c>
      <c r="Z59">
        <v>7.49</v>
      </c>
      <c r="AA59">
        <v>6.2482515006106256</v>
      </c>
      <c r="AB59">
        <v>7.6400000000000006</v>
      </c>
    </row>
    <row r="60" spans="1:28">
      <c r="A60" s="23">
        <v>45371</v>
      </c>
      <c r="B60">
        <v>1.75</v>
      </c>
      <c r="C60">
        <v>1.9</v>
      </c>
      <c r="D60">
        <v>1.451724</v>
      </c>
      <c r="E60" s="23">
        <v>45371</v>
      </c>
      <c r="F60">
        <v>0.5</v>
      </c>
      <c r="G60">
        <v>0.6</v>
      </c>
      <c r="H60">
        <v>0.18747800000000001</v>
      </c>
      <c r="I60" s="23">
        <v>45371</v>
      </c>
      <c r="J60">
        <v>1</v>
      </c>
      <c r="K60">
        <v>1.1499999999999999</v>
      </c>
      <c r="L60">
        <v>0.89627500000000004</v>
      </c>
      <c r="M60" s="23">
        <v>45371</v>
      </c>
      <c r="N60">
        <v>3</v>
      </c>
      <c r="O60">
        <v>3.15</v>
      </c>
      <c r="P60">
        <v>1.9917750000000001</v>
      </c>
      <c r="Q60" s="23">
        <v>45371</v>
      </c>
      <c r="R60">
        <v>3.5</v>
      </c>
      <c r="S60">
        <v>3.65</v>
      </c>
      <c r="T60">
        <v>2.8228049999999998</v>
      </c>
      <c r="U60" s="23">
        <v>45371</v>
      </c>
      <c r="V60">
        <v>2.75</v>
      </c>
      <c r="W60">
        <v>2.9</v>
      </c>
      <c r="X60">
        <v>1.9833609999999999</v>
      </c>
      <c r="Y60" s="23">
        <v>45371</v>
      </c>
      <c r="Z60">
        <v>7.49</v>
      </c>
      <c r="AA60">
        <v>6.2211991174375623</v>
      </c>
      <c r="AB60">
        <v>7.6400000000000006</v>
      </c>
    </row>
    <row r="61" spans="1:28">
      <c r="A61" s="23">
        <v>45372</v>
      </c>
      <c r="B61">
        <v>1.75</v>
      </c>
      <c r="C61">
        <v>1.9</v>
      </c>
      <c r="D61">
        <v>1.4572799999999999</v>
      </c>
      <c r="E61" s="23">
        <v>45372</v>
      </c>
      <c r="F61">
        <v>0.5</v>
      </c>
      <c r="G61">
        <v>0.6</v>
      </c>
      <c r="H61">
        <v>0.188113</v>
      </c>
      <c r="I61" s="23">
        <v>45372</v>
      </c>
      <c r="J61">
        <v>1</v>
      </c>
      <c r="K61">
        <v>1.1499999999999999</v>
      </c>
      <c r="L61">
        <v>0.90024300000000002</v>
      </c>
      <c r="M61" s="23">
        <v>45372</v>
      </c>
      <c r="N61">
        <v>3</v>
      </c>
      <c r="O61">
        <v>3.15</v>
      </c>
      <c r="P61">
        <v>1.986218</v>
      </c>
      <c r="Q61" s="23">
        <v>45372</v>
      </c>
      <c r="R61">
        <v>3.5</v>
      </c>
      <c r="S61">
        <v>3.65</v>
      </c>
      <c r="T61">
        <v>2.811534</v>
      </c>
      <c r="U61" s="23">
        <v>45372</v>
      </c>
      <c r="V61">
        <v>2.75</v>
      </c>
      <c r="W61">
        <v>2.9</v>
      </c>
      <c r="X61">
        <v>1.9824090000000001</v>
      </c>
      <c r="Y61" s="23">
        <v>45372</v>
      </c>
      <c r="Z61">
        <v>7.49</v>
      </c>
      <c r="AA61">
        <v>6.1999769425771047</v>
      </c>
      <c r="AB61">
        <v>7.6400000000000006</v>
      </c>
    </row>
    <row r="62" spans="1:28">
      <c r="A62" s="23">
        <v>45373</v>
      </c>
      <c r="B62">
        <v>1.75</v>
      </c>
      <c r="C62">
        <v>1.9</v>
      </c>
      <c r="D62">
        <v>1.465058</v>
      </c>
      <c r="E62" s="23">
        <v>45373</v>
      </c>
      <c r="F62">
        <v>0.5</v>
      </c>
      <c r="G62">
        <v>0.6</v>
      </c>
      <c r="H62">
        <v>0.18731900000000001</v>
      </c>
      <c r="I62" s="23">
        <v>45373</v>
      </c>
      <c r="J62">
        <v>1</v>
      </c>
      <c r="K62">
        <v>1.1499999999999999</v>
      </c>
      <c r="L62">
        <v>0.90421200000000002</v>
      </c>
      <c r="M62" s="23">
        <v>45373</v>
      </c>
      <c r="N62">
        <v>3</v>
      </c>
      <c r="O62">
        <v>3.15</v>
      </c>
      <c r="P62">
        <v>1.987806</v>
      </c>
      <c r="Q62" s="23">
        <v>45373</v>
      </c>
      <c r="R62">
        <v>3.5</v>
      </c>
      <c r="S62">
        <v>3.65</v>
      </c>
      <c r="T62">
        <v>2.8058190000000001</v>
      </c>
      <c r="U62" s="23">
        <v>45373</v>
      </c>
      <c r="V62">
        <v>2.75</v>
      </c>
      <c r="W62">
        <v>2.9</v>
      </c>
      <c r="X62">
        <v>2.0025689999999998</v>
      </c>
      <c r="Y62" s="23">
        <v>45373</v>
      </c>
      <c r="Z62">
        <v>7.49</v>
      </c>
      <c r="AA62">
        <v>6.3758435380745215</v>
      </c>
      <c r="AB62">
        <v>7.6400000000000006</v>
      </c>
    </row>
    <row r="63" spans="1:28">
      <c r="A63" s="23">
        <v>45376</v>
      </c>
      <c r="B63">
        <v>1.75</v>
      </c>
      <c r="C63">
        <v>1.9</v>
      </c>
      <c r="D63">
        <v>1.472996</v>
      </c>
      <c r="E63" s="23">
        <v>45376</v>
      </c>
      <c r="F63">
        <v>0.5</v>
      </c>
      <c r="G63">
        <v>0.6</v>
      </c>
      <c r="H63">
        <v>0.18573200000000001</v>
      </c>
      <c r="I63" s="23">
        <v>45376</v>
      </c>
      <c r="J63">
        <v>1</v>
      </c>
      <c r="K63">
        <v>1.1499999999999999</v>
      </c>
      <c r="L63">
        <v>0.91024400000000005</v>
      </c>
      <c r="M63" s="23">
        <v>45376</v>
      </c>
      <c r="N63">
        <v>3</v>
      </c>
      <c r="O63">
        <v>3.15</v>
      </c>
      <c r="P63">
        <v>1.9884409999999999</v>
      </c>
      <c r="Q63" s="23">
        <v>45376</v>
      </c>
      <c r="R63">
        <v>3.5</v>
      </c>
      <c r="S63">
        <v>3.65</v>
      </c>
      <c r="T63">
        <v>2.8040729999999998</v>
      </c>
      <c r="U63" s="23">
        <v>45376</v>
      </c>
      <c r="V63">
        <v>2.75</v>
      </c>
      <c r="W63">
        <v>2.9</v>
      </c>
      <c r="X63">
        <v>2.015428</v>
      </c>
      <c r="Y63" s="23">
        <v>45376</v>
      </c>
      <c r="Z63">
        <v>7.49</v>
      </c>
      <c r="AA63">
        <v>6.3174621340602135</v>
      </c>
      <c r="AB63">
        <v>7.6400000000000006</v>
      </c>
    </row>
    <row r="64" spans="1:28">
      <c r="A64" s="23">
        <v>45377</v>
      </c>
      <c r="B64">
        <v>1.75</v>
      </c>
      <c r="C64">
        <v>1.9</v>
      </c>
      <c r="D64">
        <v>1.468709</v>
      </c>
      <c r="E64" s="23">
        <v>45377</v>
      </c>
      <c r="F64">
        <v>0.5</v>
      </c>
      <c r="G64">
        <v>0.6</v>
      </c>
      <c r="H64">
        <v>0.18509700000000001</v>
      </c>
      <c r="I64" s="23">
        <v>45377</v>
      </c>
      <c r="J64">
        <v>1</v>
      </c>
      <c r="K64">
        <v>1.1499999999999999</v>
      </c>
      <c r="L64">
        <v>0.90849800000000003</v>
      </c>
      <c r="M64" s="23">
        <v>45377</v>
      </c>
      <c r="N64">
        <v>3</v>
      </c>
      <c r="O64">
        <v>3.15</v>
      </c>
      <c r="P64">
        <v>1.985107</v>
      </c>
      <c r="Q64" s="23">
        <v>45377</v>
      </c>
      <c r="R64">
        <v>3.5</v>
      </c>
      <c r="S64">
        <v>3.65</v>
      </c>
      <c r="T64">
        <v>2.8005810000000002</v>
      </c>
      <c r="U64" s="23">
        <v>45377</v>
      </c>
      <c r="V64">
        <v>2.75</v>
      </c>
      <c r="W64">
        <v>2.9</v>
      </c>
      <c r="X64">
        <v>1.994156</v>
      </c>
      <c r="Y64" s="23">
        <v>45377</v>
      </c>
      <c r="Z64">
        <v>7.49</v>
      </c>
      <c r="AA64">
        <v>6.3124206402886758</v>
      </c>
      <c r="AB64">
        <v>7.6400000000000006</v>
      </c>
    </row>
    <row r="65" spans="1:28">
      <c r="A65" s="23">
        <v>45378</v>
      </c>
      <c r="B65">
        <v>1.75</v>
      </c>
      <c r="C65">
        <v>1.9</v>
      </c>
      <c r="D65">
        <v>1.479822</v>
      </c>
      <c r="E65" s="23">
        <v>45378</v>
      </c>
      <c r="F65">
        <v>0.5</v>
      </c>
      <c r="G65">
        <v>0.6</v>
      </c>
      <c r="H65">
        <v>0.18430299999999999</v>
      </c>
      <c r="I65" s="23">
        <v>45378</v>
      </c>
      <c r="J65">
        <v>1</v>
      </c>
      <c r="K65">
        <v>1.1499999999999999</v>
      </c>
      <c r="L65">
        <v>0.921991</v>
      </c>
      <c r="M65" s="23">
        <v>45378</v>
      </c>
      <c r="N65">
        <v>3</v>
      </c>
      <c r="O65">
        <v>3.15</v>
      </c>
      <c r="P65">
        <v>2.005744</v>
      </c>
      <c r="Q65" s="23">
        <v>45378</v>
      </c>
      <c r="R65">
        <v>3.5</v>
      </c>
      <c r="S65">
        <v>3.65</v>
      </c>
      <c r="T65">
        <v>2.8135979999999998</v>
      </c>
      <c r="U65" s="23">
        <v>45378</v>
      </c>
      <c r="V65">
        <v>2.75</v>
      </c>
      <c r="W65">
        <v>2.9</v>
      </c>
      <c r="X65">
        <v>2.0138400000000001</v>
      </c>
      <c r="Y65" s="23">
        <v>45378</v>
      </c>
      <c r="Z65">
        <v>7.49</v>
      </c>
      <c r="AA65">
        <v>6.2962786559061792</v>
      </c>
      <c r="AB65">
        <v>7.6400000000000006</v>
      </c>
    </row>
    <row r="66" spans="1:28">
      <c r="A66" s="23">
        <v>45379</v>
      </c>
      <c r="B66">
        <v>1.75</v>
      </c>
      <c r="C66">
        <v>1.9</v>
      </c>
      <c r="D66">
        <v>1.442358</v>
      </c>
      <c r="E66" s="23">
        <v>45379</v>
      </c>
      <c r="F66">
        <v>0.5</v>
      </c>
      <c r="G66">
        <v>0.6</v>
      </c>
      <c r="H66">
        <v>0.16572999999999999</v>
      </c>
      <c r="I66" s="23">
        <v>45379</v>
      </c>
      <c r="J66">
        <v>1</v>
      </c>
      <c r="K66">
        <v>1.1499999999999999</v>
      </c>
      <c r="L66">
        <v>0.87214499999999995</v>
      </c>
      <c r="M66" s="23">
        <v>45379</v>
      </c>
      <c r="N66">
        <v>3</v>
      </c>
      <c r="O66">
        <v>3.15</v>
      </c>
      <c r="P66">
        <v>1.911767</v>
      </c>
      <c r="Q66" s="23">
        <v>45379</v>
      </c>
      <c r="R66">
        <v>3.5</v>
      </c>
      <c r="S66">
        <v>3.65</v>
      </c>
      <c r="T66">
        <v>2.7134299999999998</v>
      </c>
      <c r="U66" s="23">
        <v>45379</v>
      </c>
      <c r="V66">
        <v>2.75</v>
      </c>
      <c r="W66">
        <v>2.9</v>
      </c>
      <c r="X66">
        <v>1.975741</v>
      </c>
      <c r="Y66" s="23">
        <v>45379</v>
      </c>
      <c r="Z66">
        <v>7.49</v>
      </c>
      <c r="AA66">
        <v>6.2947147267397074</v>
      </c>
      <c r="AB66">
        <v>7.6400000000000006</v>
      </c>
    </row>
    <row r="67" spans="1:28">
      <c r="A67" s="23">
        <v>45380</v>
      </c>
      <c r="B67">
        <v>1.75</v>
      </c>
      <c r="C67">
        <v>1.9</v>
      </c>
      <c r="D67">
        <v>1.435214</v>
      </c>
      <c r="E67" s="23">
        <v>45380</v>
      </c>
      <c r="F67">
        <v>0.5</v>
      </c>
      <c r="G67">
        <v>0.6</v>
      </c>
      <c r="H67">
        <v>0.15684000000000001</v>
      </c>
      <c r="I67" s="23">
        <v>45380</v>
      </c>
      <c r="J67">
        <v>1</v>
      </c>
      <c r="K67">
        <v>1.1499999999999999</v>
      </c>
      <c r="L67">
        <v>0.86754200000000004</v>
      </c>
      <c r="M67" s="23">
        <v>45380</v>
      </c>
      <c r="N67">
        <v>3</v>
      </c>
      <c r="O67">
        <v>3.15</v>
      </c>
      <c r="P67">
        <v>1.9028769999999999</v>
      </c>
      <c r="Q67" s="23">
        <v>45380</v>
      </c>
      <c r="R67">
        <v>3.5</v>
      </c>
      <c r="S67">
        <v>3.65</v>
      </c>
      <c r="T67">
        <v>2.7008890000000001</v>
      </c>
      <c r="U67" s="23">
        <v>45380</v>
      </c>
      <c r="V67">
        <v>2.75</v>
      </c>
      <c r="W67">
        <v>2.9</v>
      </c>
      <c r="X67">
        <v>1.975741</v>
      </c>
      <c r="Y67" s="23">
        <v>45380</v>
      </c>
      <c r="Z67">
        <v>7.49</v>
      </c>
      <c r="AA67">
        <v>6.2947147267397074</v>
      </c>
      <c r="AB67">
        <v>7.6400000000000006</v>
      </c>
    </row>
    <row r="68" spans="1:28">
      <c r="A68" s="23">
        <v>45384</v>
      </c>
      <c r="B68">
        <v>1.75</v>
      </c>
      <c r="C68">
        <v>1.9</v>
      </c>
      <c r="D68">
        <v>1.392671</v>
      </c>
      <c r="E68" s="23">
        <v>45384</v>
      </c>
      <c r="F68">
        <v>0.5</v>
      </c>
      <c r="G68">
        <v>0.6</v>
      </c>
      <c r="H68">
        <v>0.15604599999999999</v>
      </c>
      <c r="I68" s="23">
        <v>45384</v>
      </c>
      <c r="J68">
        <v>1</v>
      </c>
      <c r="K68">
        <v>1.1499999999999999</v>
      </c>
      <c r="L68">
        <v>0.85055599999999998</v>
      </c>
      <c r="M68" s="23">
        <v>45384</v>
      </c>
      <c r="N68">
        <v>3</v>
      </c>
      <c r="O68">
        <v>3.15</v>
      </c>
      <c r="P68">
        <v>1.8325530000000001</v>
      </c>
      <c r="Q68" s="23">
        <v>45384</v>
      </c>
      <c r="R68">
        <v>3.5</v>
      </c>
      <c r="S68">
        <v>3.65</v>
      </c>
      <c r="T68">
        <v>2.6078640000000002</v>
      </c>
      <c r="U68" s="23">
        <v>45384</v>
      </c>
      <c r="V68">
        <v>2.75</v>
      </c>
      <c r="W68">
        <v>2.9</v>
      </c>
      <c r="X68">
        <v>2.0309849999999998</v>
      </c>
      <c r="Y68" s="23">
        <v>45384</v>
      </c>
      <c r="Z68">
        <v>7.49</v>
      </c>
      <c r="AA68">
        <v>6.1943378074318547</v>
      </c>
      <c r="AB68">
        <v>7.6400000000000006</v>
      </c>
    </row>
    <row r="69" spans="1:28">
      <c r="A69" s="23">
        <v>45385</v>
      </c>
      <c r="B69">
        <v>1.75</v>
      </c>
      <c r="C69">
        <v>1.9</v>
      </c>
      <c r="D69">
        <v>1.414895</v>
      </c>
      <c r="E69" s="23">
        <v>45385</v>
      </c>
      <c r="F69">
        <v>0.5</v>
      </c>
      <c r="G69">
        <v>0.6</v>
      </c>
      <c r="H69">
        <v>0.155888</v>
      </c>
      <c r="I69" s="23">
        <v>45385</v>
      </c>
      <c r="J69">
        <v>1</v>
      </c>
      <c r="K69">
        <v>1.1499999999999999</v>
      </c>
      <c r="L69">
        <v>0.85865199999999997</v>
      </c>
      <c r="M69" s="23">
        <v>45385</v>
      </c>
      <c r="N69">
        <v>3</v>
      </c>
      <c r="O69">
        <v>3.15</v>
      </c>
      <c r="P69">
        <v>1.858905</v>
      </c>
      <c r="Q69" s="23">
        <v>45385</v>
      </c>
      <c r="R69">
        <v>3.5</v>
      </c>
      <c r="S69">
        <v>3.65</v>
      </c>
      <c r="T69">
        <v>2.6404070000000002</v>
      </c>
      <c r="U69" s="23">
        <v>45385</v>
      </c>
      <c r="V69">
        <v>2.75</v>
      </c>
      <c r="W69">
        <v>2.9</v>
      </c>
      <c r="X69">
        <v>2.0262220000000002</v>
      </c>
      <c r="Y69" s="23">
        <v>45385</v>
      </c>
      <c r="Z69">
        <v>7.49</v>
      </c>
      <c r="AA69">
        <v>6.2351291594603495</v>
      </c>
      <c r="AB69">
        <v>7.6400000000000006</v>
      </c>
    </row>
    <row r="70" spans="1:28">
      <c r="A70" s="23">
        <v>45386</v>
      </c>
      <c r="B70">
        <v>1.75</v>
      </c>
      <c r="C70">
        <v>1.9</v>
      </c>
      <c r="D70">
        <v>1.426642</v>
      </c>
      <c r="E70" s="23">
        <v>45386</v>
      </c>
      <c r="F70">
        <v>0.5</v>
      </c>
      <c r="G70">
        <v>0.6</v>
      </c>
      <c r="H70">
        <v>0.15937999999999999</v>
      </c>
      <c r="I70" s="23">
        <v>45386</v>
      </c>
      <c r="J70">
        <v>1</v>
      </c>
      <c r="K70">
        <v>1.1499999999999999</v>
      </c>
      <c r="L70">
        <v>0.88548000000000004</v>
      </c>
      <c r="M70" s="23">
        <v>45386</v>
      </c>
      <c r="N70">
        <v>3</v>
      </c>
      <c r="O70">
        <v>3.15</v>
      </c>
      <c r="P70">
        <v>1.85192</v>
      </c>
      <c r="Q70" s="23">
        <v>45386</v>
      </c>
      <c r="R70">
        <v>3.5</v>
      </c>
      <c r="S70">
        <v>3.65</v>
      </c>
      <c r="T70">
        <v>2.5956410000000001</v>
      </c>
      <c r="U70" s="23">
        <v>45386</v>
      </c>
      <c r="V70">
        <v>2.75</v>
      </c>
      <c r="W70">
        <v>2.9</v>
      </c>
      <c r="X70">
        <v>2.047018</v>
      </c>
      <c r="Y70" s="23">
        <v>45386</v>
      </c>
      <c r="Z70">
        <v>7.49</v>
      </c>
      <c r="AA70">
        <v>6.2246476602788938</v>
      </c>
      <c r="AB70">
        <v>7.6400000000000006</v>
      </c>
    </row>
    <row r="71" spans="1:28">
      <c r="A71" s="23">
        <v>45387</v>
      </c>
      <c r="B71">
        <v>1.75</v>
      </c>
      <c r="C71">
        <v>1.9</v>
      </c>
      <c r="D71">
        <v>1.4390240000000001</v>
      </c>
      <c r="E71" s="23">
        <v>45387</v>
      </c>
      <c r="F71">
        <v>0.5</v>
      </c>
      <c r="G71">
        <v>0.6</v>
      </c>
      <c r="H71">
        <v>0.159856</v>
      </c>
      <c r="I71" s="23">
        <v>45387</v>
      </c>
      <c r="J71">
        <v>1</v>
      </c>
      <c r="K71">
        <v>1.1499999999999999</v>
      </c>
      <c r="L71">
        <v>0.8931</v>
      </c>
      <c r="M71" s="23">
        <v>45387</v>
      </c>
      <c r="N71">
        <v>3</v>
      </c>
      <c r="O71">
        <v>3.15</v>
      </c>
      <c r="P71">
        <v>1.8576349999999999</v>
      </c>
      <c r="Q71" s="23">
        <v>45387</v>
      </c>
      <c r="R71">
        <v>3.5</v>
      </c>
      <c r="S71">
        <v>3.65</v>
      </c>
      <c r="T71">
        <v>2.5932599999999999</v>
      </c>
      <c r="U71" s="23">
        <v>45387</v>
      </c>
      <c r="V71">
        <v>2.75</v>
      </c>
      <c r="W71">
        <v>2.9</v>
      </c>
      <c r="X71">
        <v>2.059876</v>
      </c>
      <c r="Y71" s="23">
        <v>45387</v>
      </c>
      <c r="Z71">
        <v>7.49</v>
      </c>
      <c r="AA71">
        <v>6.4385185937787606</v>
      </c>
      <c r="AB71">
        <v>7.6400000000000006</v>
      </c>
    </row>
    <row r="72" spans="1:28">
      <c r="A72" s="23">
        <v>45390</v>
      </c>
      <c r="B72">
        <v>1.75</v>
      </c>
      <c r="C72">
        <v>1.9</v>
      </c>
      <c r="D72">
        <v>1.41934</v>
      </c>
      <c r="E72" s="23">
        <v>45390</v>
      </c>
      <c r="F72">
        <v>0.5</v>
      </c>
      <c r="G72">
        <v>0.6</v>
      </c>
      <c r="H72">
        <v>0.15779299999999999</v>
      </c>
      <c r="I72" s="23">
        <v>45390</v>
      </c>
      <c r="J72">
        <v>1</v>
      </c>
      <c r="K72">
        <v>1.1499999999999999</v>
      </c>
      <c r="L72">
        <v>0.88706700000000005</v>
      </c>
      <c r="M72" s="23">
        <v>45390</v>
      </c>
      <c r="N72">
        <v>3</v>
      </c>
      <c r="O72">
        <v>3.15</v>
      </c>
      <c r="P72">
        <v>1.8344579999999999</v>
      </c>
      <c r="Q72" s="23">
        <v>45390</v>
      </c>
      <c r="R72">
        <v>3.5</v>
      </c>
      <c r="S72">
        <v>3.65</v>
      </c>
      <c r="T72">
        <v>2.5672250000000001</v>
      </c>
      <c r="U72" s="23">
        <v>45390</v>
      </c>
      <c r="V72">
        <v>2.75</v>
      </c>
      <c r="W72">
        <v>2.9</v>
      </c>
      <c r="X72">
        <v>2.0073319999999999</v>
      </c>
      <c r="Y72" s="23">
        <v>45390</v>
      </c>
      <c r="Z72">
        <v>7.49</v>
      </c>
      <c r="AA72">
        <v>6.4224736227050148</v>
      </c>
      <c r="AB72">
        <v>7.6400000000000006</v>
      </c>
    </row>
    <row r="73" spans="1:28">
      <c r="A73" s="23">
        <v>45391</v>
      </c>
      <c r="B73">
        <v>1.75</v>
      </c>
      <c r="C73">
        <v>1.9</v>
      </c>
      <c r="D73">
        <v>1.4331510000000001</v>
      </c>
      <c r="E73" s="23">
        <v>45391</v>
      </c>
      <c r="F73">
        <v>0.5</v>
      </c>
      <c r="G73">
        <v>0.6</v>
      </c>
      <c r="H73">
        <v>0.15906300000000001</v>
      </c>
      <c r="I73" s="23">
        <v>45391</v>
      </c>
      <c r="J73">
        <v>1</v>
      </c>
      <c r="K73">
        <v>1.1499999999999999</v>
      </c>
      <c r="L73">
        <v>0.89627500000000004</v>
      </c>
      <c r="M73" s="23">
        <v>45391</v>
      </c>
      <c r="N73">
        <v>3</v>
      </c>
      <c r="O73">
        <v>3.15</v>
      </c>
      <c r="P73">
        <v>1.862873</v>
      </c>
      <c r="Q73" s="23">
        <v>45391</v>
      </c>
      <c r="R73">
        <v>3.5</v>
      </c>
      <c r="S73">
        <v>3.65</v>
      </c>
      <c r="T73">
        <v>2.6059589999999999</v>
      </c>
      <c r="U73" s="23">
        <v>45391</v>
      </c>
      <c r="V73">
        <v>2.75</v>
      </c>
      <c r="W73">
        <v>2.9</v>
      </c>
      <c r="X73">
        <v>2.0295559999999999</v>
      </c>
      <c r="Y73" s="23">
        <v>45391</v>
      </c>
      <c r="Z73">
        <v>7.49</v>
      </c>
      <c r="AA73">
        <v>6.3777387856583019</v>
      </c>
      <c r="AB73">
        <v>7.6400000000000006</v>
      </c>
    </row>
    <row r="74" spans="1:28">
      <c r="A74" s="23">
        <v>45392</v>
      </c>
      <c r="B74">
        <v>1.75</v>
      </c>
      <c r="C74">
        <v>1.9</v>
      </c>
      <c r="D74">
        <v>1.4391830000000001</v>
      </c>
      <c r="E74" s="23">
        <v>45392</v>
      </c>
      <c r="F74">
        <v>0.5</v>
      </c>
      <c r="G74">
        <v>0.6</v>
      </c>
      <c r="H74">
        <v>0.15795100000000001</v>
      </c>
      <c r="I74" s="23">
        <v>45392</v>
      </c>
      <c r="J74">
        <v>1</v>
      </c>
      <c r="K74">
        <v>1.1499999999999999</v>
      </c>
      <c r="L74">
        <v>0.89532199999999995</v>
      </c>
      <c r="M74" s="23">
        <v>45392</v>
      </c>
      <c r="N74">
        <v>3</v>
      </c>
      <c r="O74">
        <v>3.15</v>
      </c>
      <c r="P74">
        <v>1.8763669999999999</v>
      </c>
      <c r="Q74" s="23">
        <v>45392</v>
      </c>
      <c r="R74">
        <v>3.5</v>
      </c>
      <c r="S74">
        <v>3.65</v>
      </c>
      <c r="T74">
        <v>2.6269140000000002</v>
      </c>
      <c r="U74" s="23">
        <v>45392</v>
      </c>
      <c r="V74">
        <v>2.75</v>
      </c>
      <c r="W74">
        <v>2.9</v>
      </c>
      <c r="X74">
        <v>1.9993939999999999</v>
      </c>
      <c r="Y74" s="23">
        <v>45392</v>
      </c>
      <c r="Z74">
        <v>7.49</v>
      </c>
      <c r="AA74">
        <v>6.3480742818745233</v>
      </c>
      <c r="AB74">
        <v>7.6400000000000006</v>
      </c>
    </row>
    <row r="75" spans="1:28">
      <c r="A75" s="23">
        <v>45393</v>
      </c>
      <c r="B75">
        <v>1.75</v>
      </c>
      <c r="C75">
        <v>1.9</v>
      </c>
      <c r="D75">
        <v>1.480615</v>
      </c>
      <c r="E75" s="23">
        <v>45393</v>
      </c>
      <c r="F75">
        <v>0.5</v>
      </c>
      <c r="G75">
        <v>0.6</v>
      </c>
      <c r="H75">
        <v>0.15795100000000001</v>
      </c>
      <c r="I75" s="23">
        <v>45393</v>
      </c>
      <c r="J75">
        <v>1</v>
      </c>
      <c r="K75">
        <v>1.1499999999999999</v>
      </c>
      <c r="L75">
        <v>0.92072100000000001</v>
      </c>
      <c r="M75" s="23">
        <v>45393</v>
      </c>
      <c r="N75">
        <v>3</v>
      </c>
      <c r="O75">
        <v>3.15</v>
      </c>
      <c r="P75">
        <v>1.8990670000000001</v>
      </c>
      <c r="Q75" s="23">
        <v>45393</v>
      </c>
      <c r="R75">
        <v>3.5</v>
      </c>
      <c r="S75">
        <v>3.65</v>
      </c>
      <c r="T75">
        <v>2.6627900000000002</v>
      </c>
      <c r="U75" s="23">
        <v>45393</v>
      </c>
      <c r="V75">
        <v>2.75</v>
      </c>
      <c r="W75">
        <v>2.9</v>
      </c>
      <c r="X75">
        <v>2.0263810000000002</v>
      </c>
      <c r="Y75" s="23">
        <v>45393</v>
      </c>
      <c r="Z75">
        <v>7.49</v>
      </c>
      <c r="AA75">
        <v>6.3402952421185335</v>
      </c>
      <c r="AB75">
        <v>7.6400000000000006</v>
      </c>
    </row>
    <row r="76" spans="1:28">
      <c r="A76" s="23">
        <v>45394</v>
      </c>
      <c r="B76">
        <v>1.75</v>
      </c>
      <c r="C76">
        <v>1.9</v>
      </c>
      <c r="D76">
        <v>1.49014</v>
      </c>
      <c r="E76" s="23">
        <v>45394</v>
      </c>
      <c r="F76">
        <v>0.5</v>
      </c>
      <c r="G76">
        <v>0.6</v>
      </c>
      <c r="H76">
        <v>0.15969800000000001</v>
      </c>
      <c r="I76" s="23">
        <v>45394</v>
      </c>
      <c r="J76">
        <v>1</v>
      </c>
      <c r="K76">
        <v>1.1499999999999999</v>
      </c>
      <c r="L76">
        <v>0.93627800000000005</v>
      </c>
      <c r="M76" s="23">
        <v>45394</v>
      </c>
      <c r="N76">
        <v>3</v>
      </c>
      <c r="O76">
        <v>3.15</v>
      </c>
      <c r="P76">
        <v>1.889384</v>
      </c>
      <c r="Q76" s="23">
        <v>45394</v>
      </c>
      <c r="R76">
        <v>3.5</v>
      </c>
      <c r="S76">
        <v>3.65</v>
      </c>
      <c r="T76">
        <v>2.6504080000000001</v>
      </c>
      <c r="U76" s="23">
        <v>45394</v>
      </c>
      <c r="V76">
        <v>2.75</v>
      </c>
      <c r="W76">
        <v>2.9</v>
      </c>
      <c r="X76">
        <v>2.0030450000000002</v>
      </c>
      <c r="Y76" s="23">
        <v>45394</v>
      </c>
      <c r="Z76">
        <v>7.49</v>
      </c>
      <c r="AA76">
        <v>6.4006020298519735</v>
      </c>
      <c r="AB76">
        <v>7.6400000000000006</v>
      </c>
    </row>
    <row r="77" spans="1:28">
      <c r="A77" s="23">
        <v>45397</v>
      </c>
      <c r="B77">
        <v>1.75</v>
      </c>
      <c r="C77">
        <v>1.9</v>
      </c>
      <c r="D77">
        <v>1.472837</v>
      </c>
      <c r="E77" s="23">
        <v>45397</v>
      </c>
      <c r="F77">
        <v>0.5</v>
      </c>
      <c r="G77">
        <v>0.6</v>
      </c>
      <c r="H77">
        <v>0.16017400000000001</v>
      </c>
      <c r="I77" s="23">
        <v>45397</v>
      </c>
      <c r="J77">
        <v>1</v>
      </c>
      <c r="K77">
        <v>1.1499999999999999</v>
      </c>
      <c r="L77">
        <v>0.93103999999999998</v>
      </c>
      <c r="M77" s="23">
        <v>45397</v>
      </c>
      <c r="N77">
        <v>3</v>
      </c>
      <c r="O77">
        <v>3.15</v>
      </c>
      <c r="P77">
        <v>1.859381</v>
      </c>
      <c r="Q77" s="23">
        <v>45397</v>
      </c>
      <c r="R77">
        <v>3.5</v>
      </c>
      <c r="S77">
        <v>3.65</v>
      </c>
      <c r="T77">
        <v>2.6035780000000002</v>
      </c>
      <c r="U77" s="23">
        <v>45397</v>
      </c>
      <c r="V77">
        <v>2.75</v>
      </c>
      <c r="W77">
        <v>2.9</v>
      </c>
      <c r="X77">
        <v>1.98733</v>
      </c>
      <c r="Y77" s="23">
        <v>45397</v>
      </c>
      <c r="Z77">
        <v>7.49</v>
      </c>
      <c r="AA77">
        <v>6.3650185453998089</v>
      </c>
      <c r="AB77">
        <v>7.6400000000000006</v>
      </c>
    </row>
    <row r="78" spans="1:28">
      <c r="A78" s="23">
        <v>45398</v>
      </c>
      <c r="B78">
        <v>1.75</v>
      </c>
      <c r="C78">
        <v>1.9</v>
      </c>
      <c r="D78">
        <v>1.4672810000000001</v>
      </c>
      <c r="E78" s="23">
        <v>45398</v>
      </c>
      <c r="F78">
        <v>0.5</v>
      </c>
      <c r="G78">
        <v>0.6</v>
      </c>
      <c r="H78">
        <v>0.15953899999999999</v>
      </c>
      <c r="I78" s="23">
        <v>45398</v>
      </c>
      <c r="J78">
        <v>1</v>
      </c>
      <c r="K78">
        <v>1.1499999999999999</v>
      </c>
      <c r="L78">
        <v>0.93659599999999998</v>
      </c>
      <c r="M78" s="23">
        <v>45398</v>
      </c>
      <c r="N78">
        <v>3</v>
      </c>
      <c r="O78">
        <v>3.15</v>
      </c>
      <c r="P78">
        <v>1.850333</v>
      </c>
      <c r="Q78" s="23">
        <v>45398</v>
      </c>
      <c r="R78">
        <v>3.5</v>
      </c>
      <c r="S78">
        <v>3.65</v>
      </c>
      <c r="T78">
        <v>2.595323</v>
      </c>
      <c r="U78" s="23">
        <v>45398</v>
      </c>
      <c r="V78">
        <v>2.75</v>
      </c>
      <c r="W78">
        <v>2.9</v>
      </c>
      <c r="X78">
        <v>1.9954259999999999</v>
      </c>
      <c r="Y78" s="23">
        <v>45398</v>
      </c>
      <c r="Z78">
        <v>7.49</v>
      </c>
      <c r="AA78">
        <v>6.2731369902453684</v>
      </c>
      <c r="AB78">
        <v>7.6400000000000006</v>
      </c>
    </row>
    <row r="79" spans="1:28">
      <c r="A79" s="23">
        <v>45399</v>
      </c>
      <c r="B79">
        <v>1.75</v>
      </c>
      <c r="C79">
        <v>1.9</v>
      </c>
      <c r="D79">
        <v>1.4642649999999999</v>
      </c>
      <c r="E79" s="23">
        <v>45399</v>
      </c>
      <c r="F79">
        <v>0.5</v>
      </c>
      <c r="G79">
        <v>0.6</v>
      </c>
      <c r="H79">
        <v>0.159856</v>
      </c>
      <c r="I79" s="23">
        <v>45399</v>
      </c>
      <c r="J79">
        <v>1</v>
      </c>
      <c r="K79">
        <v>1.1499999999999999</v>
      </c>
      <c r="L79">
        <v>0.93294500000000002</v>
      </c>
      <c r="M79" s="23">
        <v>45399</v>
      </c>
      <c r="N79">
        <v>3</v>
      </c>
      <c r="O79">
        <v>3.15</v>
      </c>
      <c r="P79">
        <v>1.851126</v>
      </c>
      <c r="Q79" s="23">
        <v>45399</v>
      </c>
      <c r="R79">
        <v>3.5</v>
      </c>
      <c r="S79">
        <v>3.65</v>
      </c>
      <c r="T79">
        <v>2.6081819999999998</v>
      </c>
      <c r="U79" s="23">
        <v>45399</v>
      </c>
      <c r="V79">
        <v>2.75</v>
      </c>
      <c r="W79">
        <v>2.9</v>
      </c>
      <c r="X79">
        <v>1.9524060000000001</v>
      </c>
      <c r="Y79" s="23">
        <v>45399</v>
      </c>
      <c r="Z79">
        <v>7.49</v>
      </c>
      <c r="AA79">
        <v>6.2501877007173796</v>
      </c>
      <c r="AB79">
        <v>7.6400000000000006</v>
      </c>
    </row>
    <row r="80" spans="1:28">
      <c r="A80" s="23">
        <v>45400</v>
      </c>
      <c r="B80">
        <v>1.75</v>
      </c>
      <c r="C80">
        <v>1.9</v>
      </c>
      <c r="D80">
        <v>1.689365</v>
      </c>
      <c r="E80" s="23">
        <v>45400</v>
      </c>
      <c r="F80">
        <v>0.5</v>
      </c>
      <c r="G80">
        <v>0.6</v>
      </c>
      <c r="H80">
        <v>0.15953899999999999</v>
      </c>
      <c r="I80" s="23">
        <v>45400</v>
      </c>
      <c r="J80">
        <v>1</v>
      </c>
      <c r="K80">
        <v>1.1499999999999999</v>
      </c>
      <c r="L80">
        <v>1.1150249999999999</v>
      </c>
      <c r="M80" s="23">
        <v>45400</v>
      </c>
      <c r="N80">
        <v>3</v>
      </c>
      <c r="O80">
        <v>3.15</v>
      </c>
      <c r="P80">
        <v>1.925419</v>
      </c>
      <c r="Q80" s="23">
        <v>45400</v>
      </c>
      <c r="R80">
        <v>3.5</v>
      </c>
      <c r="S80">
        <v>3.65</v>
      </c>
      <c r="T80">
        <v>2.5881799999999999</v>
      </c>
      <c r="U80" s="23">
        <v>45400</v>
      </c>
      <c r="V80">
        <v>2.75</v>
      </c>
      <c r="W80">
        <v>2.9</v>
      </c>
      <c r="X80">
        <v>2.0024099999999998</v>
      </c>
      <c r="Y80" s="23">
        <v>45400</v>
      </c>
      <c r="Z80">
        <v>7.49</v>
      </c>
      <c r="AA80">
        <v>6.4300296346666057</v>
      </c>
      <c r="AB80">
        <v>7.6400000000000006</v>
      </c>
    </row>
    <row r="81" spans="1:28">
      <c r="A81" s="23">
        <v>45401</v>
      </c>
      <c r="B81">
        <v>1.75</v>
      </c>
      <c r="C81">
        <v>1.9</v>
      </c>
      <c r="D81">
        <v>1.6861900000000001</v>
      </c>
      <c r="E81" s="23">
        <v>45401</v>
      </c>
      <c r="F81">
        <v>0.5</v>
      </c>
      <c r="G81">
        <v>0.6</v>
      </c>
      <c r="H81">
        <v>0.15842800000000001</v>
      </c>
      <c r="I81" s="23">
        <v>45401</v>
      </c>
      <c r="J81">
        <v>1</v>
      </c>
      <c r="K81">
        <v>1.1499999999999999</v>
      </c>
      <c r="L81">
        <v>1.118994</v>
      </c>
      <c r="M81" s="23">
        <v>45401</v>
      </c>
      <c r="N81">
        <v>3</v>
      </c>
      <c r="O81">
        <v>3.15</v>
      </c>
      <c r="P81">
        <v>1.925419</v>
      </c>
      <c r="Q81" s="23">
        <v>45401</v>
      </c>
      <c r="R81">
        <v>3.5</v>
      </c>
      <c r="S81">
        <v>3.65</v>
      </c>
      <c r="T81">
        <v>2.583259</v>
      </c>
      <c r="U81" s="23">
        <v>45401</v>
      </c>
      <c r="V81">
        <v>2.75</v>
      </c>
      <c r="W81">
        <v>2.9</v>
      </c>
      <c r="X81">
        <v>1.9498660000000001</v>
      </c>
      <c r="Y81" s="23">
        <v>45401</v>
      </c>
      <c r="Z81">
        <v>7.49</v>
      </c>
      <c r="AA81">
        <v>6.5892985248041391</v>
      </c>
      <c r="AB81">
        <v>7.6400000000000006</v>
      </c>
    </row>
    <row r="82" spans="1:28">
      <c r="A82" s="23">
        <v>45404</v>
      </c>
      <c r="B82">
        <v>1.75</v>
      </c>
      <c r="C82">
        <v>1.9</v>
      </c>
      <c r="D82">
        <v>1.6904760000000001</v>
      </c>
      <c r="E82" s="23">
        <v>45404</v>
      </c>
      <c r="F82">
        <v>0.5</v>
      </c>
      <c r="G82">
        <v>0.6</v>
      </c>
      <c r="H82">
        <v>0.15890399999999999</v>
      </c>
      <c r="I82" s="23">
        <v>45404</v>
      </c>
      <c r="J82">
        <v>1</v>
      </c>
      <c r="K82">
        <v>1.1499999999999999</v>
      </c>
      <c r="L82">
        <v>1.122169</v>
      </c>
      <c r="M82" s="23">
        <v>45404</v>
      </c>
      <c r="N82">
        <v>3</v>
      </c>
      <c r="O82">
        <v>3.15</v>
      </c>
      <c r="P82">
        <v>1.9251020000000001</v>
      </c>
      <c r="Q82" s="23">
        <v>45404</v>
      </c>
      <c r="R82">
        <v>3.5</v>
      </c>
      <c r="S82">
        <v>3.65</v>
      </c>
      <c r="T82">
        <v>2.5892909999999998</v>
      </c>
      <c r="U82" s="23">
        <v>45404</v>
      </c>
      <c r="V82">
        <v>2.75</v>
      </c>
      <c r="W82">
        <v>2.9</v>
      </c>
      <c r="X82">
        <v>1.9655819999999999</v>
      </c>
      <c r="Y82" s="23">
        <v>45404</v>
      </c>
      <c r="Z82">
        <v>7.49</v>
      </c>
      <c r="AA82">
        <v>6.533130782460236</v>
      </c>
      <c r="AB82">
        <v>7.6400000000000006</v>
      </c>
    </row>
    <row r="83" spans="1:28">
      <c r="A83" s="23">
        <v>45405</v>
      </c>
      <c r="B83">
        <v>1.75</v>
      </c>
      <c r="C83">
        <v>1.9</v>
      </c>
      <c r="D83">
        <v>1.666506</v>
      </c>
      <c r="E83" s="23">
        <v>45405</v>
      </c>
      <c r="F83">
        <v>0.5</v>
      </c>
      <c r="G83">
        <v>0.6</v>
      </c>
      <c r="H83">
        <v>0.220973</v>
      </c>
      <c r="I83" s="23">
        <v>45405</v>
      </c>
      <c r="J83">
        <v>1</v>
      </c>
      <c r="K83">
        <v>1.1499999999999999</v>
      </c>
      <c r="L83">
        <v>1.1069290000000001</v>
      </c>
      <c r="M83" s="23">
        <v>45405</v>
      </c>
      <c r="N83">
        <v>3</v>
      </c>
      <c r="O83">
        <v>3.15</v>
      </c>
      <c r="P83">
        <v>1.897797</v>
      </c>
      <c r="Q83" s="23">
        <v>45405</v>
      </c>
      <c r="R83">
        <v>3.5</v>
      </c>
      <c r="S83">
        <v>3.65</v>
      </c>
      <c r="T83">
        <v>2.5653199999999998</v>
      </c>
      <c r="U83" s="23">
        <v>45405</v>
      </c>
      <c r="V83">
        <v>2.75</v>
      </c>
      <c r="W83">
        <v>2.9</v>
      </c>
      <c r="X83">
        <v>1.9759</v>
      </c>
      <c r="Y83" s="23">
        <v>45405</v>
      </c>
      <c r="Z83">
        <v>7.49</v>
      </c>
      <c r="AA83">
        <v>6.7580658537424423</v>
      </c>
      <c r="AB83">
        <v>7.6400000000000006</v>
      </c>
    </row>
    <row r="84" spans="1:28">
      <c r="A84" s="23">
        <v>45406</v>
      </c>
      <c r="B84">
        <v>1.75</v>
      </c>
      <c r="C84">
        <v>1.9</v>
      </c>
      <c r="D84">
        <v>1.6649179999999999</v>
      </c>
      <c r="E84" s="23">
        <v>45406</v>
      </c>
      <c r="F84">
        <v>0.5</v>
      </c>
      <c r="G84">
        <v>0.6</v>
      </c>
      <c r="H84">
        <v>0.221132</v>
      </c>
      <c r="I84" s="23">
        <v>45406</v>
      </c>
      <c r="J84">
        <v>1.5</v>
      </c>
      <c r="K84">
        <v>1.65</v>
      </c>
      <c r="L84">
        <v>1.1066119999999999</v>
      </c>
      <c r="M84" s="23">
        <v>45406</v>
      </c>
      <c r="N84">
        <v>3</v>
      </c>
      <c r="O84">
        <v>3.15</v>
      </c>
      <c r="P84">
        <v>1.8949400000000001</v>
      </c>
      <c r="Q84" s="23">
        <v>45406</v>
      </c>
      <c r="R84">
        <v>3.5</v>
      </c>
      <c r="S84">
        <v>3.65</v>
      </c>
      <c r="T84">
        <v>2.5613519999999999</v>
      </c>
      <c r="U84" s="23">
        <v>45406</v>
      </c>
      <c r="V84">
        <v>2.75</v>
      </c>
      <c r="W84">
        <v>2.9</v>
      </c>
      <c r="X84">
        <v>1.916371</v>
      </c>
      <c r="Y84" s="23">
        <v>45406</v>
      </c>
      <c r="Z84">
        <v>7.49</v>
      </c>
      <c r="AA84">
        <v>6.7693923581324666</v>
      </c>
      <c r="AB84">
        <v>7.6400000000000006</v>
      </c>
    </row>
    <row r="85" spans="1:28">
      <c r="A85" s="23">
        <v>45407</v>
      </c>
      <c r="B85">
        <v>1.75</v>
      </c>
      <c r="C85">
        <v>1.9</v>
      </c>
      <c r="D85">
        <v>1.649044</v>
      </c>
      <c r="E85" s="23">
        <v>45407</v>
      </c>
      <c r="F85">
        <v>0.5</v>
      </c>
      <c r="G85">
        <v>0.6</v>
      </c>
      <c r="H85">
        <v>0.219386</v>
      </c>
      <c r="I85" s="23">
        <v>45407</v>
      </c>
      <c r="J85">
        <v>1.5</v>
      </c>
      <c r="K85">
        <v>1.65</v>
      </c>
      <c r="L85">
        <v>1.0943890000000001</v>
      </c>
      <c r="M85" s="23">
        <v>45407</v>
      </c>
      <c r="N85">
        <v>3</v>
      </c>
      <c r="O85">
        <v>3.15</v>
      </c>
      <c r="P85">
        <v>1.8830340000000001</v>
      </c>
      <c r="Q85" s="23">
        <v>45407</v>
      </c>
      <c r="R85">
        <v>3.5</v>
      </c>
      <c r="S85">
        <v>3.65</v>
      </c>
      <c r="T85">
        <v>2.5516679999999998</v>
      </c>
      <c r="U85" s="23">
        <v>45407</v>
      </c>
      <c r="V85">
        <v>2.75</v>
      </c>
      <c r="W85">
        <v>2.9</v>
      </c>
      <c r="X85">
        <v>1.9127190000000001</v>
      </c>
      <c r="Y85" s="23">
        <v>45407</v>
      </c>
      <c r="Z85">
        <v>7.49</v>
      </c>
      <c r="AA85">
        <v>6.7693923581324666</v>
      </c>
      <c r="AB85">
        <v>7.6400000000000006</v>
      </c>
    </row>
    <row r="86" spans="1:28">
      <c r="A86" s="23">
        <v>45408</v>
      </c>
      <c r="B86">
        <v>1.75</v>
      </c>
      <c r="C86">
        <v>1.9</v>
      </c>
      <c r="D86">
        <v>1.6541239999999999</v>
      </c>
      <c r="E86" s="23">
        <v>45408</v>
      </c>
      <c r="F86">
        <v>0.5</v>
      </c>
      <c r="G86">
        <v>0.6</v>
      </c>
      <c r="H86">
        <v>0.222243</v>
      </c>
      <c r="I86" s="23">
        <v>45408</v>
      </c>
      <c r="J86">
        <v>1.5</v>
      </c>
      <c r="K86">
        <v>1.65</v>
      </c>
      <c r="L86">
        <v>1.1020080000000001</v>
      </c>
      <c r="M86" s="23">
        <v>45408</v>
      </c>
      <c r="N86">
        <v>3</v>
      </c>
      <c r="O86">
        <v>3.15</v>
      </c>
      <c r="P86">
        <v>1.8847799999999999</v>
      </c>
      <c r="Q86" s="23">
        <v>45408</v>
      </c>
      <c r="R86">
        <v>3.5</v>
      </c>
      <c r="S86">
        <v>3.65</v>
      </c>
      <c r="T86">
        <v>2.558494</v>
      </c>
      <c r="U86" s="23">
        <v>45408</v>
      </c>
      <c r="V86">
        <v>2.75</v>
      </c>
      <c r="W86">
        <v>2.9</v>
      </c>
      <c r="X86">
        <v>1.9643120000000001</v>
      </c>
      <c r="Y86" s="23">
        <v>45408</v>
      </c>
      <c r="Z86">
        <v>7.49</v>
      </c>
      <c r="AA86">
        <v>6.7710457496950331</v>
      </c>
      <c r="AB86">
        <v>7.6400000000000006</v>
      </c>
    </row>
    <row r="87" spans="1:28">
      <c r="A87" s="23">
        <v>45411</v>
      </c>
      <c r="B87">
        <v>1.75</v>
      </c>
      <c r="C87">
        <v>1.9</v>
      </c>
      <c r="D87">
        <v>1.657934</v>
      </c>
      <c r="E87" s="23">
        <v>45411</v>
      </c>
      <c r="F87">
        <v>0.5</v>
      </c>
      <c r="G87">
        <v>0.6</v>
      </c>
      <c r="H87">
        <v>0.222084</v>
      </c>
      <c r="I87" s="23">
        <v>45411</v>
      </c>
      <c r="J87">
        <v>1.5</v>
      </c>
      <c r="K87">
        <v>1.65</v>
      </c>
      <c r="L87">
        <v>1.111057</v>
      </c>
      <c r="M87" s="23">
        <v>45411</v>
      </c>
      <c r="N87">
        <v>3</v>
      </c>
      <c r="O87">
        <v>3.15</v>
      </c>
      <c r="P87">
        <v>1.8830340000000001</v>
      </c>
      <c r="Q87" s="23">
        <v>45411</v>
      </c>
      <c r="R87">
        <v>3.5</v>
      </c>
      <c r="S87">
        <v>3.65</v>
      </c>
      <c r="T87">
        <v>2.545477</v>
      </c>
      <c r="U87" s="23">
        <v>45411</v>
      </c>
      <c r="V87">
        <v>2.75</v>
      </c>
      <c r="W87">
        <v>2.9</v>
      </c>
      <c r="X87">
        <v>1.950342</v>
      </c>
      <c r="Y87" s="23">
        <v>45411</v>
      </c>
      <c r="Z87">
        <v>7.49</v>
      </c>
      <c r="AA87">
        <v>6.8580296705511721</v>
      </c>
      <c r="AB87">
        <v>7.6400000000000006</v>
      </c>
    </row>
    <row r="88" spans="1:28">
      <c r="A88" s="23">
        <v>45412</v>
      </c>
      <c r="B88">
        <v>1.75</v>
      </c>
      <c r="C88">
        <v>1.9</v>
      </c>
      <c r="D88">
        <v>1.630471</v>
      </c>
      <c r="E88" s="23">
        <v>45412</v>
      </c>
      <c r="F88">
        <v>0.5</v>
      </c>
      <c r="G88">
        <v>0.6</v>
      </c>
      <c r="H88">
        <v>0.18842999999999999</v>
      </c>
      <c r="I88" s="23">
        <v>45412</v>
      </c>
      <c r="J88">
        <v>1.5</v>
      </c>
      <c r="K88">
        <v>1.65</v>
      </c>
      <c r="L88">
        <v>1.082165</v>
      </c>
      <c r="M88" s="23">
        <v>45412</v>
      </c>
      <c r="N88">
        <v>3</v>
      </c>
      <c r="O88">
        <v>3.15</v>
      </c>
      <c r="P88">
        <v>1.8696999999999999</v>
      </c>
      <c r="Q88" s="23">
        <v>45412</v>
      </c>
      <c r="R88">
        <v>3.5</v>
      </c>
      <c r="S88">
        <v>3.65</v>
      </c>
      <c r="T88">
        <v>2.554208</v>
      </c>
      <c r="U88" s="23">
        <v>45412</v>
      </c>
      <c r="V88">
        <v>2.75</v>
      </c>
      <c r="W88">
        <v>2.9</v>
      </c>
      <c r="X88">
        <v>1.934944</v>
      </c>
      <c r="Y88" s="23">
        <v>45412</v>
      </c>
      <c r="Z88">
        <v>7.49</v>
      </c>
      <c r="AA88">
        <v>6.810495819286996</v>
      </c>
      <c r="AB88">
        <v>7.6400000000000006</v>
      </c>
    </row>
    <row r="89" spans="1:28">
      <c r="A89" s="23">
        <v>45413</v>
      </c>
      <c r="B89">
        <v>1.75</v>
      </c>
      <c r="C89">
        <v>1.9</v>
      </c>
      <c r="D89">
        <v>1.627772</v>
      </c>
      <c r="E89" s="23">
        <v>45413</v>
      </c>
      <c r="F89">
        <v>0.5</v>
      </c>
      <c r="G89">
        <v>0.6</v>
      </c>
      <c r="H89">
        <v>0.18589</v>
      </c>
      <c r="I89" s="23">
        <v>45413</v>
      </c>
      <c r="J89">
        <v>1.5</v>
      </c>
      <c r="K89">
        <v>1.65</v>
      </c>
      <c r="L89">
        <v>1.073752</v>
      </c>
      <c r="M89" s="23">
        <v>45413</v>
      </c>
      <c r="N89">
        <v>3</v>
      </c>
      <c r="O89">
        <v>3.15</v>
      </c>
      <c r="P89">
        <v>1.872716</v>
      </c>
      <c r="Q89" s="23">
        <v>45413</v>
      </c>
      <c r="R89">
        <v>3.5</v>
      </c>
      <c r="S89">
        <v>3.65</v>
      </c>
      <c r="T89">
        <v>2.5624630000000002</v>
      </c>
      <c r="U89" s="23">
        <v>45413</v>
      </c>
      <c r="V89">
        <v>2.75</v>
      </c>
      <c r="W89">
        <v>2.9</v>
      </c>
      <c r="X89">
        <v>1.911449</v>
      </c>
      <c r="Y89" s="23">
        <v>45413</v>
      </c>
      <c r="Z89">
        <v>7.49</v>
      </c>
      <c r="AA89">
        <v>6.810495819286996</v>
      </c>
      <c r="AB89">
        <v>7.6400000000000006</v>
      </c>
    </row>
    <row r="90" spans="1:28">
      <c r="A90" s="23">
        <v>45414</v>
      </c>
      <c r="B90">
        <v>1.75</v>
      </c>
      <c r="C90">
        <v>1.9</v>
      </c>
      <c r="D90">
        <v>1.639837</v>
      </c>
      <c r="E90" s="23">
        <v>45414</v>
      </c>
      <c r="F90">
        <v>0.5</v>
      </c>
      <c r="G90">
        <v>0.6</v>
      </c>
      <c r="H90">
        <v>0.185414</v>
      </c>
      <c r="I90" s="23">
        <v>45414</v>
      </c>
      <c r="J90">
        <v>1.5</v>
      </c>
      <c r="K90">
        <v>1.65</v>
      </c>
      <c r="L90">
        <v>1.082641</v>
      </c>
      <c r="M90" s="23">
        <v>45414</v>
      </c>
      <c r="N90">
        <v>3</v>
      </c>
      <c r="O90">
        <v>3.15</v>
      </c>
      <c r="P90">
        <v>1.8736679999999999</v>
      </c>
      <c r="Q90" s="23">
        <v>45414</v>
      </c>
      <c r="R90">
        <v>3.5</v>
      </c>
      <c r="S90">
        <v>3.65</v>
      </c>
      <c r="T90">
        <v>2.5534150000000002</v>
      </c>
      <c r="U90" s="23">
        <v>45414</v>
      </c>
      <c r="V90">
        <v>2.75</v>
      </c>
      <c r="W90">
        <v>2.9</v>
      </c>
      <c r="X90">
        <v>1.920498</v>
      </c>
      <c r="Y90" s="23">
        <v>45414</v>
      </c>
      <c r="Z90">
        <v>7.49</v>
      </c>
      <c r="AA90">
        <v>6.789010513571859</v>
      </c>
      <c r="AB90">
        <v>7.6400000000000006</v>
      </c>
    </row>
    <row r="91" spans="1:28">
      <c r="A91" s="23">
        <v>45415</v>
      </c>
      <c r="B91">
        <v>1.75</v>
      </c>
      <c r="C91">
        <v>1.9</v>
      </c>
      <c r="D91">
        <v>1.642377</v>
      </c>
      <c r="E91" s="23">
        <v>45415</v>
      </c>
      <c r="F91">
        <v>0.5</v>
      </c>
      <c r="G91">
        <v>0.6</v>
      </c>
      <c r="H91">
        <v>0.185414</v>
      </c>
      <c r="I91" s="23">
        <v>45415</v>
      </c>
      <c r="J91">
        <v>1.5</v>
      </c>
      <c r="K91">
        <v>1.65</v>
      </c>
      <c r="L91">
        <v>1.0869279999999999</v>
      </c>
      <c r="M91" s="23">
        <v>45415</v>
      </c>
      <c r="N91">
        <v>3</v>
      </c>
      <c r="O91">
        <v>3.15</v>
      </c>
      <c r="P91">
        <v>1.867953</v>
      </c>
      <c r="Q91" s="23">
        <v>45415</v>
      </c>
      <c r="R91">
        <v>3.5</v>
      </c>
      <c r="S91">
        <v>3.65</v>
      </c>
      <c r="T91">
        <v>2.540556</v>
      </c>
      <c r="U91" s="23">
        <v>45415</v>
      </c>
      <c r="V91">
        <v>2.75</v>
      </c>
      <c r="W91">
        <v>2.9</v>
      </c>
      <c r="X91">
        <v>1.923197</v>
      </c>
      <c r="Y91" s="23">
        <v>45415</v>
      </c>
      <c r="Z91">
        <v>7.49</v>
      </c>
      <c r="AA91">
        <v>6.7991451935230955</v>
      </c>
      <c r="AB91">
        <v>7.6400000000000006</v>
      </c>
    </row>
    <row r="92" spans="1:28">
      <c r="A92" s="23">
        <v>45418</v>
      </c>
      <c r="B92">
        <v>1.75</v>
      </c>
      <c r="C92">
        <v>1.9</v>
      </c>
      <c r="D92">
        <v>1.638725</v>
      </c>
      <c r="E92" s="23">
        <v>45418</v>
      </c>
      <c r="F92">
        <v>0.5</v>
      </c>
      <c r="G92">
        <v>0.6</v>
      </c>
      <c r="H92">
        <v>0.18493799999999999</v>
      </c>
      <c r="I92" s="23">
        <v>45418</v>
      </c>
      <c r="J92">
        <v>1.5</v>
      </c>
      <c r="K92">
        <v>1.65</v>
      </c>
      <c r="L92">
        <v>1.080578</v>
      </c>
      <c r="M92" s="23">
        <v>45418</v>
      </c>
      <c r="N92">
        <v>3</v>
      </c>
      <c r="O92">
        <v>3.15</v>
      </c>
      <c r="P92">
        <v>1.873351</v>
      </c>
      <c r="Q92" s="23">
        <v>45418</v>
      </c>
      <c r="R92">
        <v>3.5</v>
      </c>
      <c r="S92">
        <v>3.65</v>
      </c>
      <c r="T92">
        <v>2.5638920000000001</v>
      </c>
      <c r="U92" s="23">
        <v>45418</v>
      </c>
      <c r="V92">
        <v>2.75</v>
      </c>
      <c r="W92">
        <v>2.9</v>
      </c>
      <c r="X92">
        <v>1.953676</v>
      </c>
      <c r="Y92" s="23">
        <v>45418</v>
      </c>
      <c r="Z92">
        <v>7.49</v>
      </c>
      <c r="AA92">
        <v>6.7927504221745112</v>
      </c>
      <c r="AB92">
        <v>7.6400000000000006</v>
      </c>
    </row>
    <row r="93" spans="1:28">
      <c r="A93" s="23">
        <v>45419</v>
      </c>
      <c r="B93">
        <v>1.75</v>
      </c>
      <c r="C93">
        <v>1.9</v>
      </c>
      <c r="D93">
        <v>1.6463449999999999</v>
      </c>
      <c r="E93" s="23">
        <v>45419</v>
      </c>
      <c r="F93">
        <v>0.5</v>
      </c>
      <c r="G93">
        <v>0.6</v>
      </c>
      <c r="H93">
        <v>0.184779</v>
      </c>
      <c r="I93" s="23">
        <v>45419</v>
      </c>
      <c r="J93">
        <v>1.5</v>
      </c>
      <c r="K93">
        <v>1.65</v>
      </c>
      <c r="L93">
        <v>1.086293</v>
      </c>
      <c r="M93" s="23">
        <v>45419</v>
      </c>
      <c r="N93">
        <v>3</v>
      </c>
      <c r="O93">
        <v>3.15</v>
      </c>
      <c r="P93">
        <v>1.879065</v>
      </c>
      <c r="Q93" s="23">
        <v>45419</v>
      </c>
      <c r="R93">
        <v>3.5</v>
      </c>
      <c r="S93">
        <v>3.65</v>
      </c>
      <c r="T93">
        <v>2.5672250000000001</v>
      </c>
      <c r="U93" s="23">
        <v>45419</v>
      </c>
      <c r="V93">
        <v>2.75</v>
      </c>
      <c r="W93">
        <v>2.9</v>
      </c>
      <c r="X93">
        <v>1.9960610000000001</v>
      </c>
      <c r="Y93" s="23">
        <v>45419</v>
      </c>
      <c r="Z93">
        <v>7.49</v>
      </c>
      <c r="AA93">
        <v>6.7413748115375469</v>
      </c>
      <c r="AB93">
        <v>7.6400000000000006</v>
      </c>
    </row>
    <row r="94" spans="1:28">
      <c r="A94" s="23">
        <v>45420</v>
      </c>
      <c r="B94">
        <v>1.75</v>
      </c>
      <c r="C94">
        <v>1.9</v>
      </c>
      <c r="D94">
        <v>1.6374550000000001</v>
      </c>
      <c r="E94" s="23">
        <v>45420</v>
      </c>
      <c r="F94">
        <v>0.5</v>
      </c>
      <c r="G94">
        <v>0.6</v>
      </c>
      <c r="H94">
        <v>0.18382699999999999</v>
      </c>
      <c r="I94" s="23">
        <v>45420</v>
      </c>
      <c r="J94">
        <v>1.5</v>
      </c>
      <c r="K94">
        <v>1.65</v>
      </c>
      <c r="L94">
        <v>1.0789899999999999</v>
      </c>
      <c r="M94" s="23">
        <v>45420</v>
      </c>
      <c r="N94">
        <v>3</v>
      </c>
      <c r="O94">
        <v>3.15</v>
      </c>
      <c r="P94">
        <v>1.866366</v>
      </c>
      <c r="Q94" s="23">
        <v>45420</v>
      </c>
      <c r="R94">
        <v>3.5</v>
      </c>
      <c r="S94">
        <v>3.65</v>
      </c>
      <c r="T94">
        <v>2.550557</v>
      </c>
      <c r="U94" s="23">
        <v>45420</v>
      </c>
      <c r="V94">
        <v>2.75</v>
      </c>
      <c r="W94">
        <v>2.9</v>
      </c>
      <c r="X94">
        <v>1.979392</v>
      </c>
      <c r="Y94" s="23">
        <v>45420</v>
      </c>
      <c r="Z94">
        <v>7.49</v>
      </c>
      <c r="AA94">
        <v>6.7206145529572776</v>
      </c>
      <c r="AB94">
        <v>7.6400000000000006</v>
      </c>
    </row>
    <row r="95" spans="1:28">
      <c r="A95" s="23">
        <v>45421</v>
      </c>
      <c r="B95">
        <v>1.75</v>
      </c>
      <c r="C95">
        <v>1.9</v>
      </c>
      <c r="D95">
        <v>1.6314230000000001</v>
      </c>
      <c r="E95" s="23">
        <v>45421</v>
      </c>
      <c r="F95">
        <v>0.5</v>
      </c>
      <c r="G95">
        <v>0.6</v>
      </c>
      <c r="H95">
        <v>0.17985799999999999</v>
      </c>
      <c r="I95" s="23">
        <v>45421</v>
      </c>
      <c r="J95">
        <v>1.5</v>
      </c>
      <c r="K95">
        <v>1.65</v>
      </c>
      <c r="L95">
        <v>1.071688</v>
      </c>
      <c r="M95" s="23">
        <v>45421</v>
      </c>
      <c r="N95">
        <v>3</v>
      </c>
      <c r="O95">
        <v>3.15</v>
      </c>
      <c r="P95">
        <v>1.8677950000000001</v>
      </c>
      <c r="Q95" s="23">
        <v>45421</v>
      </c>
      <c r="R95">
        <v>3.5</v>
      </c>
      <c r="S95">
        <v>3.65</v>
      </c>
      <c r="T95">
        <v>2.5556369999999999</v>
      </c>
      <c r="U95" s="23">
        <v>45421</v>
      </c>
      <c r="V95">
        <v>2.75</v>
      </c>
      <c r="W95">
        <v>2.9</v>
      </c>
      <c r="X95">
        <v>1.9616130000000001</v>
      </c>
      <c r="Y95" s="23">
        <v>45421</v>
      </c>
      <c r="Z95">
        <v>7.49</v>
      </c>
      <c r="AA95">
        <v>6.6933994685476268</v>
      </c>
      <c r="AB95">
        <v>7.6400000000000006</v>
      </c>
    </row>
    <row r="96" spans="1:28">
      <c r="A96" s="23">
        <v>45422</v>
      </c>
      <c r="B96">
        <v>1.75</v>
      </c>
      <c r="C96">
        <v>1.9</v>
      </c>
      <c r="D96">
        <v>1.6290420000000001</v>
      </c>
      <c r="E96" s="23">
        <v>45422</v>
      </c>
      <c r="F96">
        <v>0.5</v>
      </c>
      <c r="G96">
        <v>0.6</v>
      </c>
      <c r="H96">
        <v>0.18049299999999999</v>
      </c>
      <c r="I96" s="23">
        <v>45422</v>
      </c>
      <c r="J96">
        <v>1.5</v>
      </c>
      <c r="K96">
        <v>1.65</v>
      </c>
      <c r="L96">
        <v>1.067561</v>
      </c>
      <c r="M96" s="23">
        <v>45422</v>
      </c>
      <c r="N96">
        <v>3</v>
      </c>
      <c r="O96">
        <v>3.15</v>
      </c>
      <c r="P96">
        <v>1.870652</v>
      </c>
      <c r="Q96" s="23">
        <v>45422</v>
      </c>
      <c r="R96">
        <v>3.5</v>
      </c>
      <c r="S96">
        <v>3.65</v>
      </c>
      <c r="T96">
        <v>2.5667490000000002</v>
      </c>
      <c r="U96" s="23">
        <v>45422</v>
      </c>
      <c r="V96">
        <v>2.75</v>
      </c>
      <c r="W96">
        <v>2.9</v>
      </c>
      <c r="X96">
        <v>1.954628</v>
      </c>
      <c r="Y96" s="23">
        <v>45422</v>
      </c>
      <c r="Z96">
        <v>7.49</v>
      </c>
      <c r="AA96">
        <v>6.6841557123740722</v>
      </c>
      <c r="AB96">
        <v>7.6400000000000006</v>
      </c>
    </row>
    <row r="97" spans="1:28">
      <c r="A97" s="23">
        <v>45425</v>
      </c>
      <c r="B97">
        <v>1.75</v>
      </c>
      <c r="C97">
        <v>1.9</v>
      </c>
      <c r="D97">
        <v>1.613167</v>
      </c>
      <c r="E97" s="23">
        <v>45425</v>
      </c>
      <c r="F97">
        <v>0.5</v>
      </c>
      <c r="G97">
        <v>0.6</v>
      </c>
      <c r="H97">
        <v>0.18001700000000001</v>
      </c>
      <c r="I97" s="23">
        <v>45425</v>
      </c>
      <c r="J97">
        <v>1.5</v>
      </c>
      <c r="K97">
        <v>1.65</v>
      </c>
      <c r="L97">
        <v>1.0610520000000001</v>
      </c>
      <c r="M97" s="23">
        <v>45425</v>
      </c>
      <c r="N97">
        <v>3</v>
      </c>
      <c r="O97">
        <v>3.15</v>
      </c>
      <c r="P97">
        <v>1.8535079999999999</v>
      </c>
      <c r="Q97" s="23">
        <v>45425</v>
      </c>
      <c r="R97">
        <v>3.5</v>
      </c>
      <c r="S97">
        <v>3.65</v>
      </c>
      <c r="T97">
        <v>2.5530970000000002</v>
      </c>
      <c r="U97" s="23">
        <v>45425</v>
      </c>
      <c r="V97">
        <v>2.75</v>
      </c>
      <c r="W97">
        <v>2.9</v>
      </c>
      <c r="X97">
        <v>1.9438329999999999</v>
      </c>
      <c r="Y97" s="23">
        <v>45425</v>
      </c>
      <c r="Z97">
        <v>7.49</v>
      </c>
      <c r="AA97">
        <v>6.6170543466691782</v>
      </c>
      <c r="AB97">
        <v>7.6400000000000006</v>
      </c>
    </row>
    <row r="98" spans="1:28">
      <c r="A98" s="23">
        <v>45426</v>
      </c>
      <c r="B98">
        <v>1.75</v>
      </c>
      <c r="C98">
        <v>1.9</v>
      </c>
      <c r="D98">
        <v>1.773183</v>
      </c>
      <c r="E98" s="23">
        <v>45426</v>
      </c>
      <c r="F98">
        <v>0.5</v>
      </c>
      <c r="G98">
        <v>0.6</v>
      </c>
      <c r="H98">
        <v>0.17874699999999999</v>
      </c>
      <c r="I98" s="23">
        <v>45426</v>
      </c>
      <c r="J98">
        <v>1.5</v>
      </c>
      <c r="K98">
        <v>1.65</v>
      </c>
      <c r="L98">
        <v>1.3201240000000001</v>
      </c>
      <c r="M98" s="23">
        <v>45426</v>
      </c>
      <c r="N98">
        <v>3</v>
      </c>
      <c r="O98">
        <v>3.15</v>
      </c>
      <c r="P98">
        <v>1.8592219999999999</v>
      </c>
      <c r="Q98" s="23">
        <v>45426</v>
      </c>
      <c r="R98">
        <v>3.5</v>
      </c>
      <c r="S98">
        <v>3.65</v>
      </c>
      <c r="T98">
        <v>2.5753210000000002</v>
      </c>
      <c r="U98" s="23">
        <v>45426</v>
      </c>
      <c r="V98">
        <v>2.75</v>
      </c>
      <c r="W98">
        <v>2.9</v>
      </c>
      <c r="X98">
        <v>1.976059</v>
      </c>
      <c r="Y98" s="23">
        <v>45426</v>
      </c>
      <c r="Z98">
        <v>7.49</v>
      </c>
      <c r="AA98">
        <v>6.9717836309546053</v>
      </c>
      <c r="AB98">
        <v>7.6400000000000006</v>
      </c>
    </row>
    <row r="99" spans="1:28">
      <c r="A99" s="23">
        <v>45427</v>
      </c>
      <c r="B99">
        <v>1.75</v>
      </c>
      <c r="C99">
        <v>1.9</v>
      </c>
      <c r="D99">
        <v>1.8073129999999999</v>
      </c>
      <c r="E99" s="23">
        <v>45427</v>
      </c>
      <c r="F99">
        <v>0.5</v>
      </c>
      <c r="G99">
        <v>0.6</v>
      </c>
      <c r="H99">
        <v>0.18176300000000001</v>
      </c>
      <c r="I99" s="23">
        <v>45427</v>
      </c>
      <c r="J99">
        <v>1.5</v>
      </c>
      <c r="K99">
        <v>1.65</v>
      </c>
      <c r="L99">
        <v>1.3586990000000001</v>
      </c>
      <c r="M99" s="23">
        <v>45427</v>
      </c>
      <c r="N99">
        <v>3</v>
      </c>
      <c r="O99">
        <v>3.15</v>
      </c>
      <c r="P99">
        <v>1.8522380000000001</v>
      </c>
      <c r="Q99" s="23">
        <v>45427</v>
      </c>
      <c r="R99">
        <v>3.5</v>
      </c>
      <c r="S99">
        <v>3.65</v>
      </c>
      <c r="T99">
        <v>2.5519859999999999</v>
      </c>
      <c r="U99" s="23">
        <v>45427</v>
      </c>
      <c r="V99">
        <v>2.75</v>
      </c>
      <c r="W99">
        <v>2.9</v>
      </c>
      <c r="X99">
        <v>1.9927269999999999</v>
      </c>
      <c r="Y99" s="23">
        <v>45427</v>
      </c>
      <c r="Z99">
        <v>7.49</v>
      </c>
      <c r="AA99">
        <v>6.9696174238611501</v>
      </c>
      <c r="AB99">
        <v>7.6400000000000006</v>
      </c>
    </row>
    <row r="100" spans="1:28">
      <c r="A100" s="23">
        <v>45428</v>
      </c>
      <c r="B100">
        <v>1.75</v>
      </c>
      <c r="C100">
        <v>1.9</v>
      </c>
      <c r="D100">
        <v>1.793026</v>
      </c>
      <c r="E100" s="23">
        <v>45428</v>
      </c>
      <c r="F100">
        <v>0.5</v>
      </c>
      <c r="G100">
        <v>0.6</v>
      </c>
      <c r="H100">
        <v>0.18112800000000001</v>
      </c>
      <c r="I100" s="23">
        <v>45428</v>
      </c>
      <c r="J100">
        <v>1.5</v>
      </c>
      <c r="K100">
        <v>1.65</v>
      </c>
      <c r="L100">
        <v>1.3474280000000001</v>
      </c>
      <c r="M100" s="23">
        <v>45428</v>
      </c>
      <c r="N100">
        <v>3</v>
      </c>
      <c r="O100">
        <v>3.15</v>
      </c>
      <c r="P100">
        <v>1.833188</v>
      </c>
      <c r="Q100" s="23">
        <v>45428</v>
      </c>
      <c r="R100">
        <v>3.5</v>
      </c>
      <c r="S100">
        <v>3.65</v>
      </c>
      <c r="T100">
        <v>2.5288089999999999</v>
      </c>
      <c r="U100" s="23">
        <v>45428</v>
      </c>
      <c r="V100">
        <v>2.75</v>
      </c>
      <c r="W100">
        <v>2.9</v>
      </c>
      <c r="X100">
        <v>1.967487</v>
      </c>
      <c r="Y100" s="23">
        <v>45428</v>
      </c>
      <c r="Z100">
        <v>7.49</v>
      </c>
      <c r="AA100">
        <v>6.9509555246564414</v>
      </c>
      <c r="AB100">
        <v>7.6400000000000006</v>
      </c>
    </row>
    <row r="101" spans="1:28">
      <c r="A101" s="23">
        <v>45429</v>
      </c>
      <c r="B101">
        <v>1.75</v>
      </c>
      <c r="C101">
        <v>1.9</v>
      </c>
      <c r="D101">
        <v>1.8019149999999999</v>
      </c>
      <c r="E101" s="23">
        <v>45429</v>
      </c>
      <c r="F101">
        <v>0.5</v>
      </c>
      <c r="G101">
        <v>0.6</v>
      </c>
      <c r="H101">
        <v>0.18033399999999999</v>
      </c>
      <c r="I101" s="23">
        <v>45429</v>
      </c>
      <c r="J101">
        <v>1.5</v>
      </c>
      <c r="K101">
        <v>1.65</v>
      </c>
      <c r="L101">
        <v>1.3453649999999999</v>
      </c>
      <c r="M101" s="23">
        <v>45429</v>
      </c>
      <c r="N101">
        <v>3</v>
      </c>
      <c r="O101">
        <v>3.15</v>
      </c>
      <c r="P101">
        <v>1.8419190000000001</v>
      </c>
      <c r="Q101" s="23">
        <v>45429</v>
      </c>
      <c r="R101">
        <v>3.5</v>
      </c>
      <c r="S101">
        <v>3.65</v>
      </c>
      <c r="T101">
        <v>2.5399210000000001</v>
      </c>
      <c r="U101" s="23">
        <v>45429</v>
      </c>
      <c r="V101">
        <v>2.75</v>
      </c>
      <c r="W101">
        <v>2.9</v>
      </c>
      <c r="X101">
        <v>1.9335150000000001</v>
      </c>
      <c r="Y101" s="23">
        <v>45429</v>
      </c>
      <c r="Z101">
        <v>7.49</v>
      </c>
      <c r="AA101">
        <v>6.881881554401307</v>
      </c>
      <c r="AB101">
        <v>7.6400000000000006</v>
      </c>
    </row>
    <row r="102" spans="1:28">
      <c r="A102" s="23">
        <v>45432</v>
      </c>
      <c r="B102">
        <v>1.75</v>
      </c>
      <c r="C102">
        <v>1.9</v>
      </c>
      <c r="D102">
        <v>1.7962009999999999</v>
      </c>
      <c r="E102" s="23">
        <v>45432</v>
      </c>
      <c r="F102">
        <v>0.5</v>
      </c>
      <c r="G102">
        <v>0.6</v>
      </c>
      <c r="H102">
        <v>0.17954100000000001</v>
      </c>
      <c r="I102" s="23">
        <v>45432</v>
      </c>
      <c r="J102">
        <v>1.5</v>
      </c>
      <c r="K102">
        <v>1.65</v>
      </c>
      <c r="L102">
        <v>1.343777</v>
      </c>
      <c r="M102" s="23">
        <v>45432</v>
      </c>
      <c r="N102">
        <v>3</v>
      </c>
      <c r="O102">
        <v>3.15</v>
      </c>
      <c r="P102">
        <v>1.8393790000000001</v>
      </c>
      <c r="Q102" s="23">
        <v>45432</v>
      </c>
      <c r="R102">
        <v>3.5</v>
      </c>
      <c r="S102">
        <v>3.65</v>
      </c>
      <c r="T102">
        <v>2.5396040000000002</v>
      </c>
      <c r="U102" s="23">
        <v>45432</v>
      </c>
      <c r="V102">
        <v>2.75</v>
      </c>
      <c r="W102">
        <v>2.9</v>
      </c>
      <c r="X102">
        <v>1.939865</v>
      </c>
      <c r="Y102" s="23">
        <v>45432</v>
      </c>
      <c r="Z102">
        <v>7.49</v>
      </c>
      <c r="AA102">
        <v>6.8565969963888467</v>
      </c>
      <c r="AB102">
        <v>7.6400000000000006</v>
      </c>
    </row>
    <row r="103" spans="1:28">
      <c r="A103" s="23">
        <v>45433</v>
      </c>
      <c r="B103">
        <v>1.75</v>
      </c>
      <c r="C103">
        <v>1.9</v>
      </c>
      <c r="D103">
        <v>1.8001689999999999</v>
      </c>
      <c r="E103" s="23">
        <v>45433</v>
      </c>
      <c r="F103">
        <v>0.5</v>
      </c>
      <c r="G103">
        <v>0.6</v>
      </c>
      <c r="H103">
        <v>0.179064</v>
      </c>
      <c r="I103" s="23">
        <v>45433</v>
      </c>
      <c r="J103">
        <v>1.5</v>
      </c>
      <c r="K103">
        <v>1.65</v>
      </c>
      <c r="L103">
        <v>1.3444119999999999</v>
      </c>
      <c r="M103" s="23">
        <v>45433</v>
      </c>
      <c r="N103">
        <v>3</v>
      </c>
      <c r="O103">
        <v>3.15</v>
      </c>
      <c r="P103">
        <v>1.859064</v>
      </c>
      <c r="Q103" s="23">
        <v>45433</v>
      </c>
      <c r="R103">
        <v>3.5</v>
      </c>
      <c r="S103">
        <v>3.65</v>
      </c>
      <c r="T103">
        <v>2.5761150000000002</v>
      </c>
      <c r="U103" s="23">
        <v>45433</v>
      </c>
      <c r="V103">
        <v>2.75</v>
      </c>
      <c r="W103">
        <v>2.9</v>
      </c>
      <c r="X103">
        <v>1.953676</v>
      </c>
      <c r="Y103" s="23">
        <v>45433</v>
      </c>
      <c r="Z103">
        <v>7.49</v>
      </c>
      <c r="AA103">
        <v>6.8328660036803184</v>
      </c>
      <c r="AB103">
        <v>7.6400000000000006</v>
      </c>
    </row>
    <row r="104" spans="1:28">
      <c r="A104" s="23">
        <v>45434</v>
      </c>
      <c r="B104">
        <v>2.5</v>
      </c>
      <c r="C104">
        <v>2.65</v>
      </c>
      <c r="D104">
        <v>1.804297</v>
      </c>
      <c r="E104" s="23">
        <v>45434</v>
      </c>
      <c r="F104">
        <v>0.5</v>
      </c>
      <c r="G104">
        <v>0.6</v>
      </c>
      <c r="H104">
        <v>0.17779400000000001</v>
      </c>
      <c r="I104" s="23">
        <v>45434</v>
      </c>
      <c r="J104">
        <v>1.5</v>
      </c>
      <c r="K104">
        <v>1.65</v>
      </c>
      <c r="L104">
        <v>1.3417129999999999</v>
      </c>
      <c r="M104" s="23">
        <v>45434</v>
      </c>
      <c r="N104">
        <v>3</v>
      </c>
      <c r="O104">
        <v>3.15</v>
      </c>
      <c r="P104">
        <v>1.885257</v>
      </c>
      <c r="Q104" s="23">
        <v>45434</v>
      </c>
      <c r="R104">
        <v>3.5</v>
      </c>
      <c r="S104">
        <v>3.65</v>
      </c>
      <c r="T104">
        <v>2.6154839999999999</v>
      </c>
      <c r="U104" s="23">
        <v>45434</v>
      </c>
      <c r="V104">
        <v>2.75</v>
      </c>
      <c r="W104">
        <v>2.9</v>
      </c>
      <c r="X104">
        <v>1.9859009999999999</v>
      </c>
      <c r="Y104" s="23">
        <v>45434</v>
      </c>
      <c r="Z104">
        <v>7.49</v>
      </c>
      <c r="AA104">
        <v>6.7764080264352318</v>
      </c>
      <c r="AB104">
        <v>7.6400000000000006</v>
      </c>
    </row>
    <row r="105" spans="1:28">
      <c r="A105" s="23">
        <v>45435</v>
      </c>
      <c r="B105">
        <v>2.5</v>
      </c>
      <c r="C105">
        <v>2.65</v>
      </c>
      <c r="D105">
        <v>1.8173140000000001</v>
      </c>
      <c r="E105" s="23">
        <v>45435</v>
      </c>
      <c r="F105">
        <v>0.5</v>
      </c>
      <c r="G105">
        <v>0.6</v>
      </c>
      <c r="H105">
        <v>0.17763599999999999</v>
      </c>
      <c r="I105" s="23">
        <v>45435</v>
      </c>
      <c r="J105">
        <v>1.5</v>
      </c>
      <c r="K105">
        <v>1.65</v>
      </c>
      <c r="L105">
        <v>1.3380620000000001</v>
      </c>
      <c r="M105" s="23">
        <v>45435</v>
      </c>
      <c r="N105">
        <v>3</v>
      </c>
      <c r="O105">
        <v>3.15</v>
      </c>
      <c r="P105">
        <v>1.9225620000000001</v>
      </c>
      <c r="Q105" s="23">
        <v>45435</v>
      </c>
      <c r="R105">
        <v>3.5</v>
      </c>
      <c r="S105">
        <v>3.65</v>
      </c>
      <c r="T105">
        <v>2.6896179999999998</v>
      </c>
      <c r="U105" s="23">
        <v>45435</v>
      </c>
      <c r="V105">
        <v>2.75</v>
      </c>
      <c r="W105">
        <v>2.9</v>
      </c>
      <c r="X105">
        <v>2.1033719999999998</v>
      </c>
      <c r="Y105" s="23">
        <v>45435</v>
      </c>
      <c r="Z105">
        <v>7.49</v>
      </c>
      <c r="AA105">
        <v>6.7515791998211192</v>
      </c>
      <c r="AB105">
        <v>7.6400000000000006</v>
      </c>
    </row>
    <row r="106" spans="1:28">
      <c r="A106" s="23">
        <v>45436</v>
      </c>
      <c r="B106">
        <v>2.5</v>
      </c>
      <c r="C106">
        <v>2.65</v>
      </c>
      <c r="D106">
        <v>1.824298</v>
      </c>
      <c r="E106" s="23">
        <v>45436</v>
      </c>
      <c r="F106">
        <v>0.5</v>
      </c>
      <c r="G106">
        <v>0.6</v>
      </c>
      <c r="H106">
        <v>0.25081700000000001</v>
      </c>
      <c r="I106" s="23">
        <v>45436</v>
      </c>
      <c r="J106">
        <v>1.5</v>
      </c>
      <c r="K106">
        <v>1.65</v>
      </c>
      <c r="L106">
        <v>1.3336170000000001</v>
      </c>
      <c r="M106" s="23">
        <v>45436</v>
      </c>
      <c r="N106">
        <v>3</v>
      </c>
      <c r="O106">
        <v>3.15</v>
      </c>
      <c r="P106">
        <v>1.9566920000000001</v>
      </c>
      <c r="Q106" s="23">
        <v>45436</v>
      </c>
      <c r="R106">
        <v>3.5</v>
      </c>
      <c r="S106">
        <v>3.65</v>
      </c>
      <c r="T106">
        <v>2.761371</v>
      </c>
      <c r="U106" s="23">
        <v>45436</v>
      </c>
      <c r="V106">
        <v>2.75</v>
      </c>
      <c r="W106">
        <v>2.9</v>
      </c>
      <c r="X106">
        <v>2.1525829999999999</v>
      </c>
      <c r="Y106" s="23">
        <v>45436</v>
      </c>
      <c r="Z106">
        <v>7.49</v>
      </c>
      <c r="AA106">
        <v>6.8506282300092725</v>
      </c>
      <c r="AB106">
        <v>7.6400000000000006</v>
      </c>
    </row>
    <row r="107" spans="1:28">
      <c r="A107" s="23">
        <v>45439</v>
      </c>
      <c r="B107">
        <v>2.5</v>
      </c>
      <c r="C107">
        <v>2.65</v>
      </c>
      <c r="D107">
        <v>1.8238220000000001</v>
      </c>
      <c r="E107" s="23">
        <v>45439</v>
      </c>
      <c r="F107">
        <v>0.5</v>
      </c>
      <c r="G107">
        <v>0.6</v>
      </c>
      <c r="H107">
        <v>0.27748600000000001</v>
      </c>
      <c r="I107" s="23">
        <v>45439</v>
      </c>
      <c r="J107">
        <v>1.5</v>
      </c>
      <c r="K107">
        <v>1.65</v>
      </c>
      <c r="L107">
        <v>1.335364</v>
      </c>
      <c r="M107" s="23">
        <v>45439</v>
      </c>
      <c r="N107">
        <v>3</v>
      </c>
      <c r="O107">
        <v>3.15</v>
      </c>
      <c r="P107">
        <v>1.9516119999999999</v>
      </c>
      <c r="Q107" s="23">
        <v>45439</v>
      </c>
      <c r="R107">
        <v>3.5</v>
      </c>
      <c r="S107">
        <v>3.65</v>
      </c>
      <c r="T107">
        <v>2.7535919999999998</v>
      </c>
      <c r="U107" s="23">
        <v>45439</v>
      </c>
      <c r="V107">
        <v>2.75</v>
      </c>
      <c r="W107">
        <v>2.9</v>
      </c>
      <c r="X107">
        <v>2.142582</v>
      </c>
      <c r="Y107" s="23">
        <v>45439</v>
      </c>
      <c r="Z107">
        <v>7.49</v>
      </c>
      <c r="AA107">
        <v>6.8193312983266816</v>
      </c>
      <c r="AB107">
        <v>7.6400000000000006</v>
      </c>
    </row>
    <row r="108" spans="1:28">
      <c r="A108" s="23">
        <v>45440</v>
      </c>
      <c r="B108">
        <v>2.5</v>
      </c>
      <c r="C108">
        <v>2.65</v>
      </c>
      <c r="D108">
        <v>1.824775</v>
      </c>
      <c r="E108" s="23">
        <v>45440</v>
      </c>
      <c r="F108">
        <v>0.5</v>
      </c>
      <c r="G108">
        <v>0.6</v>
      </c>
      <c r="H108">
        <v>0.27700999999999998</v>
      </c>
      <c r="I108" s="23">
        <v>45440</v>
      </c>
      <c r="J108">
        <v>1.5</v>
      </c>
      <c r="K108">
        <v>1.65</v>
      </c>
      <c r="L108">
        <v>1.3255209999999999</v>
      </c>
      <c r="M108" s="23">
        <v>45440</v>
      </c>
      <c r="N108">
        <v>3</v>
      </c>
      <c r="O108">
        <v>3.15</v>
      </c>
      <c r="P108">
        <v>1.9695499999999999</v>
      </c>
      <c r="Q108" s="23">
        <v>45440</v>
      </c>
      <c r="R108">
        <v>3.5</v>
      </c>
      <c r="S108">
        <v>3.65</v>
      </c>
      <c r="T108">
        <v>2.78931</v>
      </c>
      <c r="U108" s="23">
        <v>45440</v>
      </c>
      <c r="V108">
        <v>2.75</v>
      </c>
      <c r="W108">
        <v>2.9</v>
      </c>
      <c r="X108">
        <v>2.207033</v>
      </c>
      <c r="Y108" s="23">
        <v>45440</v>
      </c>
      <c r="Z108">
        <v>7.49</v>
      </c>
      <c r="AA108">
        <v>6.7077902403307981</v>
      </c>
      <c r="AB108">
        <v>7.6400000000000006</v>
      </c>
    </row>
    <row r="109" spans="1:28">
      <c r="A109" s="23">
        <v>45441</v>
      </c>
      <c r="B109">
        <v>2.5</v>
      </c>
      <c r="C109">
        <v>2.65</v>
      </c>
      <c r="D109">
        <v>1.8257270000000001</v>
      </c>
      <c r="E109" s="23">
        <v>45441</v>
      </c>
      <c r="F109">
        <v>0.5</v>
      </c>
      <c r="G109">
        <v>0.6</v>
      </c>
      <c r="H109">
        <v>0.27542299999999997</v>
      </c>
      <c r="I109" s="23">
        <v>45441</v>
      </c>
      <c r="J109">
        <v>1.5</v>
      </c>
      <c r="K109">
        <v>1.65</v>
      </c>
      <c r="L109">
        <v>1.3237749999999999</v>
      </c>
      <c r="M109" s="23">
        <v>45441</v>
      </c>
      <c r="N109">
        <v>3</v>
      </c>
      <c r="O109">
        <v>3.15</v>
      </c>
      <c r="P109">
        <v>1.9658990000000001</v>
      </c>
      <c r="Q109" s="23">
        <v>45441</v>
      </c>
      <c r="R109">
        <v>3.5</v>
      </c>
      <c r="S109">
        <v>3.65</v>
      </c>
      <c r="T109">
        <v>2.778991</v>
      </c>
      <c r="U109" s="23">
        <v>45441</v>
      </c>
      <c r="V109">
        <v>2.75</v>
      </c>
      <c r="W109">
        <v>2.9</v>
      </c>
      <c r="X109">
        <v>2.221479</v>
      </c>
      <c r="Y109" s="23">
        <v>45441</v>
      </c>
      <c r="Z109">
        <v>7.49</v>
      </c>
      <c r="AA109">
        <v>6.7527393878549518</v>
      </c>
      <c r="AB109">
        <v>7.6400000000000006</v>
      </c>
    </row>
    <row r="110" spans="1:28">
      <c r="A110" s="23">
        <v>45442</v>
      </c>
      <c r="B110">
        <v>2.5</v>
      </c>
      <c r="C110">
        <v>2.65</v>
      </c>
      <c r="D110">
        <v>1.820171</v>
      </c>
      <c r="E110" s="23">
        <v>45442</v>
      </c>
      <c r="F110">
        <v>0.5</v>
      </c>
      <c r="G110">
        <v>0.6</v>
      </c>
      <c r="H110">
        <v>0.273835</v>
      </c>
      <c r="I110" s="23">
        <v>45442</v>
      </c>
      <c r="J110">
        <v>1.5</v>
      </c>
      <c r="K110">
        <v>1.65</v>
      </c>
      <c r="L110">
        <v>1.3271090000000001</v>
      </c>
      <c r="M110" s="23">
        <v>45442</v>
      </c>
      <c r="N110">
        <v>3</v>
      </c>
      <c r="O110">
        <v>3.15</v>
      </c>
      <c r="P110">
        <v>1.945262</v>
      </c>
      <c r="Q110" s="23">
        <v>45442</v>
      </c>
      <c r="R110">
        <v>3.5</v>
      </c>
      <c r="S110">
        <v>3.65</v>
      </c>
      <c r="T110">
        <v>2.7505760000000001</v>
      </c>
      <c r="U110" s="23">
        <v>45442</v>
      </c>
      <c r="V110">
        <v>2.75</v>
      </c>
      <c r="W110">
        <v>2.9</v>
      </c>
      <c r="X110">
        <v>2.1875070000000001</v>
      </c>
      <c r="Y110" s="23">
        <v>45442</v>
      </c>
      <c r="Z110">
        <v>7.49</v>
      </c>
      <c r="AA110">
        <v>6.7373004919101787</v>
      </c>
      <c r="AB110">
        <v>7.6400000000000006</v>
      </c>
    </row>
    <row r="111" spans="1:28">
      <c r="A111" s="23">
        <v>45443</v>
      </c>
      <c r="B111">
        <v>2.5</v>
      </c>
      <c r="C111">
        <v>2.65</v>
      </c>
      <c r="D111">
        <v>1.7915970000000001</v>
      </c>
      <c r="E111" s="23">
        <v>45443</v>
      </c>
      <c r="F111">
        <v>0.5</v>
      </c>
      <c r="G111">
        <v>0.6</v>
      </c>
      <c r="H111">
        <v>0.32320500000000002</v>
      </c>
      <c r="I111" s="23">
        <v>45443</v>
      </c>
      <c r="J111">
        <v>1.5</v>
      </c>
      <c r="K111">
        <v>1.65</v>
      </c>
      <c r="L111">
        <v>1.284089</v>
      </c>
      <c r="M111" s="23">
        <v>45443</v>
      </c>
      <c r="N111">
        <v>3</v>
      </c>
      <c r="O111">
        <v>3.15</v>
      </c>
      <c r="P111">
        <v>1.9516119999999999</v>
      </c>
      <c r="Q111" s="23">
        <v>45443</v>
      </c>
      <c r="R111">
        <v>3.5</v>
      </c>
      <c r="S111">
        <v>3.65</v>
      </c>
      <c r="T111">
        <v>2.733908</v>
      </c>
      <c r="U111" s="23">
        <v>45443</v>
      </c>
      <c r="V111">
        <v>2.75</v>
      </c>
      <c r="W111">
        <v>2.9</v>
      </c>
      <c r="X111">
        <v>2.1597270000000002</v>
      </c>
      <c r="Y111" s="23">
        <v>45443</v>
      </c>
      <c r="Z111">
        <v>7.49</v>
      </c>
      <c r="AA111">
        <v>6.702355283125125</v>
      </c>
      <c r="AB111">
        <v>7.6400000000000006</v>
      </c>
    </row>
    <row r="112" spans="1:28">
      <c r="A112" s="23">
        <v>45446</v>
      </c>
      <c r="B112">
        <v>2.5</v>
      </c>
      <c r="C112">
        <v>2.65</v>
      </c>
      <c r="D112">
        <v>1.829696</v>
      </c>
      <c r="E112" s="23">
        <v>45446</v>
      </c>
      <c r="F112">
        <v>0.5</v>
      </c>
      <c r="G112">
        <v>0.6</v>
      </c>
      <c r="H112">
        <v>0.32828499999999999</v>
      </c>
      <c r="I112" s="23">
        <v>45446</v>
      </c>
      <c r="J112">
        <v>1.5</v>
      </c>
      <c r="K112">
        <v>1.65</v>
      </c>
      <c r="L112">
        <v>1.297582</v>
      </c>
      <c r="M112" s="23">
        <v>45446</v>
      </c>
      <c r="N112">
        <v>3</v>
      </c>
      <c r="O112">
        <v>3.15</v>
      </c>
      <c r="P112">
        <v>2.0255869999999998</v>
      </c>
      <c r="Q112" s="23">
        <v>45446</v>
      </c>
      <c r="R112">
        <v>3.5</v>
      </c>
      <c r="S112">
        <v>3.65</v>
      </c>
      <c r="T112">
        <v>2.8505850000000001</v>
      </c>
      <c r="U112" s="23">
        <v>45446</v>
      </c>
      <c r="V112">
        <v>2.75</v>
      </c>
      <c r="W112">
        <v>2.9</v>
      </c>
      <c r="X112">
        <v>2.1927460000000001</v>
      </c>
      <c r="Y112" s="23">
        <v>45446</v>
      </c>
      <c r="Z112">
        <v>7.49</v>
      </c>
      <c r="AA112">
        <v>6.7132743148718665</v>
      </c>
      <c r="AB112">
        <v>7.6400000000000006</v>
      </c>
    </row>
    <row r="113" spans="1:28">
      <c r="A113" s="23">
        <v>45447</v>
      </c>
      <c r="B113">
        <v>2.5</v>
      </c>
      <c r="C113">
        <v>2.65</v>
      </c>
      <c r="D113">
        <v>1.8208059999999999</v>
      </c>
      <c r="E113" s="23">
        <v>45447</v>
      </c>
      <c r="F113">
        <v>0.5</v>
      </c>
      <c r="G113">
        <v>0.6</v>
      </c>
      <c r="H113">
        <v>0.32669700000000002</v>
      </c>
      <c r="I113" s="23">
        <v>45447</v>
      </c>
      <c r="J113">
        <v>1.5</v>
      </c>
      <c r="K113">
        <v>1.65</v>
      </c>
      <c r="L113">
        <v>1.28901</v>
      </c>
      <c r="M113" s="23">
        <v>45447</v>
      </c>
      <c r="N113">
        <v>3</v>
      </c>
      <c r="O113">
        <v>3.15</v>
      </c>
      <c r="P113">
        <v>2.0319370000000001</v>
      </c>
      <c r="Q113" s="23">
        <v>45447</v>
      </c>
      <c r="R113">
        <v>3.5</v>
      </c>
      <c r="S113">
        <v>3.65</v>
      </c>
      <c r="T113">
        <v>2.8836040000000001</v>
      </c>
      <c r="U113" s="23">
        <v>45447</v>
      </c>
      <c r="V113">
        <v>2.75</v>
      </c>
      <c r="W113">
        <v>2.9</v>
      </c>
      <c r="X113">
        <v>2.207668</v>
      </c>
      <c r="Y113" s="23">
        <v>45447</v>
      </c>
      <c r="Z113">
        <v>7.49</v>
      </c>
      <c r="AA113">
        <v>6.791708940572696</v>
      </c>
      <c r="AB113">
        <v>7.6400000000000006</v>
      </c>
    </row>
    <row r="114" spans="1:28">
      <c r="A114" s="23">
        <v>45448</v>
      </c>
      <c r="B114">
        <v>2.5</v>
      </c>
      <c r="C114">
        <v>2.65</v>
      </c>
      <c r="D114">
        <v>1.835728</v>
      </c>
      <c r="E114" s="23">
        <v>45448</v>
      </c>
      <c r="F114">
        <v>0.5</v>
      </c>
      <c r="G114">
        <v>0.6</v>
      </c>
      <c r="H114">
        <v>0.32384000000000002</v>
      </c>
      <c r="I114" s="23">
        <v>45448</v>
      </c>
      <c r="J114">
        <v>1.5</v>
      </c>
      <c r="K114">
        <v>1.65</v>
      </c>
      <c r="L114">
        <v>1.2945660000000001</v>
      </c>
      <c r="M114" s="23">
        <v>45448</v>
      </c>
      <c r="N114">
        <v>3</v>
      </c>
      <c r="O114">
        <v>3.15</v>
      </c>
      <c r="P114">
        <v>2.046859</v>
      </c>
      <c r="Q114" s="23">
        <v>45448</v>
      </c>
      <c r="R114">
        <v>3.5</v>
      </c>
      <c r="S114">
        <v>3.65</v>
      </c>
      <c r="T114">
        <v>2.8966210000000001</v>
      </c>
      <c r="U114" s="23">
        <v>45448</v>
      </c>
      <c r="V114">
        <v>2.75</v>
      </c>
      <c r="W114">
        <v>2.9</v>
      </c>
      <c r="X114">
        <v>2.2211609999999999</v>
      </c>
      <c r="Y114" s="23">
        <v>45448</v>
      </c>
      <c r="Z114">
        <v>7.49</v>
      </c>
      <c r="AA114">
        <v>6.7977750976317237</v>
      </c>
      <c r="AB114">
        <v>7.6400000000000006</v>
      </c>
    </row>
    <row r="115" spans="1:28">
      <c r="A115" s="23">
        <v>45449</v>
      </c>
      <c r="B115">
        <v>2.5</v>
      </c>
      <c r="C115">
        <v>2.65</v>
      </c>
      <c r="D115">
        <v>1.822076</v>
      </c>
      <c r="E115" s="23">
        <v>45449</v>
      </c>
      <c r="F115">
        <v>0.5</v>
      </c>
      <c r="G115">
        <v>0.6</v>
      </c>
      <c r="H115">
        <v>0.32114100000000001</v>
      </c>
      <c r="I115" s="23">
        <v>45449</v>
      </c>
      <c r="J115">
        <v>1.5</v>
      </c>
      <c r="K115">
        <v>1.65</v>
      </c>
      <c r="L115">
        <v>1.291391</v>
      </c>
      <c r="M115" s="23">
        <v>45449</v>
      </c>
      <c r="N115">
        <v>3</v>
      </c>
      <c r="O115">
        <v>3.15</v>
      </c>
      <c r="P115">
        <v>2.0244759999999999</v>
      </c>
      <c r="Q115" s="23">
        <v>45449</v>
      </c>
      <c r="R115">
        <v>3.5</v>
      </c>
      <c r="S115">
        <v>3.65</v>
      </c>
      <c r="T115">
        <v>2.862015</v>
      </c>
      <c r="U115" s="23">
        <v>45449</v>
      </c>
      <c r="V115">
        <v>2.75</v>
      </c>
      <c r="W115">
        <v>2.9</v>
      </c>
      <c r="X115">
        <v>2.1956030000000002</v>
      </c>
      <c r="Y115" s="23">
        <v>45449</v>
      </c>
      <c r="Z115">
        <v>7.49</v>
      </c>
      <c r="AA115">
        <v>6.74095538236402</v>
      </c>
      <c r="AB115">
        <v>7.6400000000000006</v>
      </c>
    </row>
    <row r="116" spans="1:28">
      <c r="A116" s="23">
        <v>45450</v>
      </c>
      <c r="B116">
        <v>2.5</v>
      </c>
      <c r="C116">
        <v>2.65</v>
      </c>
      <c r="D116">
        <v>1.8033440000000001</v>
      </c>
      <c r="E116" s="23">
        <v>45450</v>
      </c>
      <c r="F116">
        <v>0.5</v>
      </c>
      <c r="G116">
        <v>0.6</v>
      </c>
      <c r="H116">
        <v>0.32034800000000002</v>
      </c>
      <c r="I116" s="23">
        <v>45450</v>
      </c>
      <c r="J116">
        <v>1.5</v>
      </c>
      <c r="K116">
        <v>1.65</v>
      </c>
      <c r="L116">
        <v>1.284089</v>
      </c>
      <c r="M116" s="23">
        <v>45450</v>
      </c>
      <c r="N116">
        <v>3</v>
      </c>
      <c r="O116">
        <v>3.15</v>
      </c>
      <c r="P116">
        <v>1.9916160000000001</v>
      </c>
      <c r="Q116" s="23">
        <v>45450</v>
      </c>
      <c r="R116">
        <v>3.5</v>
      </c>
      <c r="S116">
        <v>3.65</v>
      </c>
      <c r="T116">
        <v>2.815979</v>
      </c>
      <c r="U116" s="23">
        <v>45450</v>
      </c>
      <c r="V116">
        <v>2.75</v>
      </c>
      <c r="W116">
        <v>2.9</v>
      </c>
      <c r="X116">
        <v>2.1748080000000001</v>
      </c>
      <c r="Y116" s="23">
        <v>45450</v>
      </c>
      <c r="Z116">
        <v>7.49</v>
      </c>
      <c r="AA116">
        <v>6.7028998750579927</v>
      </c>
      <c r="AB116">
        <v>7.6400000000000006</v>
      </c>
    </row>
    <row r="117" spans="1:28">
      <c r="A117" s="23">
        <v>45453</v>
      </c>
      <c r="B117">
        <v>2.5</v>
      </c>
      <c r="C117">
        <v>2.65</v>
      </c>
      <c r="D117">
        <v>1.7915970000000001</v>
      </c>
      <c r="E117" s="23">
        <v>45453</v>
      </c>
      <c r="F117">
        <v>0.5</v>
      </c>
      <c r="G117">
        <v>0.6</v>
      </c>
      <c r="H117">
        <v>0.31717299999999998</v>
      </c>
      <c r="I117" s="23">
        <v>45453</v>
      </c>
      <c r="J117">
        <v>1.5</v>
      </c>
      <c r="K117">
        <v>1.65</v>
      </c>
      <c r="L117">
        <v>1.2844059999999999</v>
      </c>
      <c r="M117" s="23">
        <v>45453</v>
      </c>
      <c r="N117">
        <v>3</v>
      </c>
      <c r="O117">
        <v>3.15</v>
      </c>
      <c r="P117">
        <v>1.9860599999999999</v>
      </c>
      <c r="Q117" s="23">
        <v>45453</v>
      </c>
      <c r="R117">
        <v>3.5</v>
      </c>
      <c r="S117">
        <v>3.65</v>
      </c>
      <c r="T117">
        <v>2.797882</v>
      </c>
      <c r="U117" s="23">
        <v>45453</v>
      </c>
      <c r="V117">
        <v>2.75</v>
      </c>
      <c r="W117">
        <v>2.9</v>
      </c>
      <c r="X117">
        <v>2.184809</v>
      </c>
      <c r="Y117" s="23">
        <v>45453</v>
      </c>
      <c r="Z117">
        <v>7.49</v>
      </c>
      <c r="AA117">
        <v>6.6680630863130421</v>
      </c>
      <c r="AB117">
        <v>7.6400000000000006</v>
      </c>
    </row>
    <row r="118" spans="1:28">
      <c r="A118" s="23">
        <v>45454</v>
      </c>
      <c r="B118">
        <v>2.5</v>
      </c>
      <c r="C118">
        <v>2.65</v>
      </c>
      <c r="D118">
        <v>1.802392</v>
      </c>
      <c r="E118" s="23">
        <v>45454</v>
      </c>
      <c r="F118">
        <v>0.5</v>
      </c>
      <c r="G118">
        <v>0.6</v>
      </c>
      <c r="H118">
        <v>0.28034399999999998</v>
      </c>
      <c r="I118" s="23">
        <v>45454</v>
      </c>
      <c r="J118">
        <v>1.5</v>
      </c>
      <c r="K118">
        <v>1.65</v>
      </c>
      <c r="L118">
        <v>1.2850410000000001</v>
      </c>
      <c r="M118" s="23">
        <v>45454</v>
      </c>
      <c r="N118">
        <v>3</v>
      </c>
      <c r="O118">
        <v>3.15</v>
      </c>
      <c r="P118">
        <v>2.0244759999999999</v>
      </c>
      <c r="Q118" s="23">
        <v>45454</v>
      </c>
      <c r="R118">
        <v>3.5</v>
      </c>
      <c r="S118">
        <v>3.65</v>
      </c>
      <c r="T118">
        <v>2.871381</v>
      </c>
      <c r="U118" s="23">
        <v>45454</v>
      </c>
      <c r="V118">
        <v>2.75</v>
      </c>
      <c r="W118">
        <v>2.9</v>
      </c>
      <c r="X118">
        <v>2.184015</v>
      </c>
      <c r="Y118" s="23">
        <v>45454</v>
      </c>
      <c r="Z118">
        <v>7.49</v>
      </c>
      <c r="AA118">
        <v>6.6487866603743475</v>
      </c>
      <c r="AB118">
        <v>7.6400000000000006</v>
      </c>
    </row>
    <row r="119" spans="1:28">
      <c r="A119" s="23">
        <v>45455</v>
      </c>
      <c r="B119">
        <v>2.5</v>
      </c>
      <c r="C119">
        <v>2.65</v>
      </c>
      <c r="D119">
        <v>1.8420780000000001</v>
      </c>
      <c r="E119" s="23">
        <v>45455</v>
      </c>
      <c r="F119">
        <v>0.5</v>
      </c>
      <c r="G119">
        <v>0.6</v>
      </c>
      <c r="H119">
        <v>0.27812100000000001</v>
      </c>
      <c r="I119" s="23">
        <v>45455</v>
      </c>
      <c r="J119">
        <v>1.5</v>
      </c>
      <c r="K119">
        <v>1.65</v>
      </c>
      <c r="L119">
        <v>1.313933</v>
      </c>
      <c r="M119" s="23">
        <v>45455</v>
      </c>
      <c r="N119">
        <v>3</v>
      </c>
      <c r="O119">
        <v>3.15</v>
      </c>
      <c r="P119">
        <v>2.0551140000000001</v>
      </c>
      <c r="Q119" s="23">
        <v>45455</v>
      </c>
      <c r="R119">
        <v>3.5</v>
      </c>
      <c r="S119">
        <v>3.65</v>
      </c>
      <c r="T119">
        <v>2.911543</v>
      </c>
      <c r="U119" s="23">
        <v>45455</v>
      </c>
      <c r="V119">
        <v>2.75</v>
      </c>
      <c r="W119">
        <v>2.9</v>
      </c>
      <c r="X119">
        <v>2.1892529999999999</v>
      </c>
      <c r="Y119" s="23">
        <v>45455</v>
      </c>
      <c r="Z119">
        <v>7.49</v>
      </c>
      <c r="AA119">
        <v>6.6114794987547842</v>
      </c>
      <c r="AB119">
        <v>7.6400000000000006</v>
      </c>
    </row>
    <row r="120" spans="1:28">
      <c r="A120" s="23">
        <v>45456</v>
      </c>
      <c r="B120">
        <v>2.5</v>
      </c>
      <c r="C120">
        <v>2.65</v>
      </c>
      <c r="D120">
        <v>1.840967</v>
      </c>
      <c r="E120" s="23">
        <v>45456</v>
      </c>
      <c r="F120">
        <v>0.5</v>
      </c>
      <c r="G120">
        <v>0.6</v>
      </c>
      <c r="H120">
        <v>0.28034399999999998</v>
      </c>
      <c r="I120" s="23">
        <v>45456</v>
      </c>
      <c r="J120">
        <v>1.5</v>
      </c>
      <c r="K120">
        <v>1.65</v>
      </c>
      <c r="L120">
        <v>1.31552</v>
      </c>
      <c r="M120" s="23">
        <v>45456</v>
      </c>
      <c r="N120">
        <v>3</v>
      </c>
      <c r="O120">
        <v>3.15</v>
      </c>
      <c r="P120">
        <v>2.0527329999999999</v>
      </c>
      <c r="Q120" s="23">
        <v>45456</v>
      </c>
      <c r="R120">
        <v>3.5</v>
      </c>
      <c r="S120">
        <v>3.65</v>
      </c>
      <c r="T120">
        <v>2.9110670000000001</v>
      </c>
      <c r="U120" s="23">
        <v>45456</v>
      </c>
      <c r="V120">
        <v>2.75</v>
      </c>
      <c r="W120">
        <v>2.9</v>
      </c>
      <c r="X120">
        <v>2.2270349999999999</v>
      </c>
      <c r="Y120" s="23">
        <v>45456</v>
      </c>
      <c r="Z120">
        <v>7.49</v>
      </c>
      <c r="AA120">
        <v>6.6057856713707706</v>
      </c>
      <c r="AB120">
        <v>7.6400000000000006</v>
      </c>
    </row>
    <row r="121" spans="1:28">
      <c r="A121" s="23">
        <v>45457</v>
      </c>
      <c r="B121">
        <v>2.5</v>
      </c>
      <c r="C121">
        <v>2.65</v>
      </c>
      <c r="D121">
        <v>1.822711</v>
      </c>
      <c r="E121" s="23">
        <v>45457</v>
      </c>
      <c r="F121">
        <v>0.5</v>
      </c>
      <c r="G121">
        <v>0.6</v>
      </c>
      <c r="H121">
        <v>0.28510600000000003</v>
      </c>
      <c r="I121" s="23">
        <v>45457</v>
      </c>
      <c r="J121">
        <v>1.5</v>
      </c>
      <c r="K121">
        <v>1.65</v>
      </c>
      <c r="L121">
        <v>1.30552</v>
      </c>
      <c r="M121" s="23">
        <v>45457</v>
      </c>
      <c r="N121">
        <v>3</v>
      </c>
      <c r="O121">
        <v>3.15</v>
      </c>
      <c r="P121">
        <v>2.0106649999999999</v>
      </c>
      <c r="Q121" s="23">
        <v>45457</v>
      </c>
      <c r="R121">
        <v>3.5</v>
      </c>
      <c r="S121">
        <v>3.65</v>
      </c>
      <c r="T121">
        <v>2.9363079999999999</v>
      </c>
      <c r="U121" s="23">
        <v>45457</v>
      </c>
      <c r="V121">
        <v>2.75</v>
      </c>
      <c r="W121">
        <v>2.9</v>
      </c>
      <c r="X121">
        <v>2.2608470000000001</v>
      </c>
      <c r="Y121" s="23">
        <v>45457</v>
      </c>
      <c r="Z121">
        <v>7.49</v>
      </c>
      <c r="AA121">
        <v>6.4272456464875605</v>
      </c>
      <c r="AB121">
        <v>7.6400000000000006</v>
      </c>
    </row>
    <row r="122" spans="1:28">
      <c r="A122" s="23">
        <v>45460</v>
      </c>
      <c r="B122">
        <v>2.5</v>
      </c>
      <c r="C122">
        <v>2.65</v>
      </c>
      <c r="D122">
        <v>1.8206469999999999</v>
      </c>
      <c r="E122" s="23">
        <v>45460</v>
      </c>
      <c r="F122">
        <v>0.5</v>
      </c>
      <c r="G122">
        <v>0.6</v>
      </c>
      <c r="H122">
        <v>0.28304200000000002</v>
      </c>
      <c r="I122" s="23">
        <v>45460</v>
      </c>
      <c r="J122">
        <v>1.5</v>
      </c>
      <c r="K122">
        <v>1.65</v>
      </c>
      <c r="L122">
        <v>1.480615</v>
      </c>
      <c r="M122" s="23">
        <v>45460</v>
      </c>
      <c r="N122">
        <v>3</v>
      </c>
      <c r="O122">
        <v>3.15</v>
      </c>
      <c r="P122">
        <v>2.0074900000000002</v>
      </c>
      <c r="Q122" s="23">
        <v>45460</v>
      </c>
      <c r="R122">
        <v>3.5</v>
      </c>
      <c r="S122">
        <v>3.65</v>
      </c>
      <c r="T122">
        <v>2.9088449999999999</v>
      </c>
      <c r="U122" s="23">
        <v>45460</v>
      </c>
      <c r="V122">
        <v>2.75</v>
      </c>
      <c r="W122">
        <v>2.9</v>
      </c>
      <c r="X122">
        <v>2.2492589999999999</v>
      </c>
      <c r="Y122" s="23">
        <v>45460</v>
      </c>
      <c r="Z122">
        <v>7.49</v>
      </c>
      <c r="AA122">
        <v>6.4098919533445953</v>
      </c>
      <c r="AB122">
        <v>7.6400000000000006</v>
      </c>
    </row>
    <row r="123" spans="1:28">
      <c r="A123" s="23">
        <v>45461</v>
      </c>
      <c r="B123">
        <v>2.5</v>
      </c>
      <c r="C123">
        <v>2.65</v>
      </c>
      <c r="D123">
        <v>2.0717819999999998</v>
      </c>
      <c r="E123" s="23">
        <v>45461</v>
      </c>
      <c r="F123">
        <v>0.5</v>
      </c>
      <c r="G123">
        <v>0.6</v>
      </c>
      <c r="H123">
        <v>0.28145500000000001</v>
      </c>
      <c r="I123" s="23">
        <v>45461</v>
      </c>
      <c r="J123">
        <v>1.5</v>
      </c>
      <c r="K123">
        <v>1.65</v>
      </c>
      <c r="L123">
        <v>1.3982270000000001</v>
      </c>
      <c r="M123" s="23">
        <v>45461</v>
      </c>
      <c r="N123">
        <v>3</v>
      </c>
      <c r="O123">
        <v>3.15</v>
      </c>
      <c r="P123">
        <v>2.0532089999999998</v>
      </c>
      <c r="Q123" s="23">
        <v>45461</v>
      </c>
      <c r="R123">
        <v>3.5</v>
      </c>
      <c r="S123">
        <v>3.65</v>
      </c>
      <c r="T123">
        <v>2.9515470000000001</v>
      </c>
      <c r="U123" s="23">
        <v>45461</v>
      </c>
      <c r="V123">
        <v>2.75</v>
      </c>
      <c r="W123">
        <v>2.9</v>
      </c>
      <c r="X123">
        <v>2.265927</v>
      </c>
      <c r="Y123" s="23">
        <v>45461</v>
      </c>
      <c r="Z123">
        <v>7.49</v>
      </c>
      <c r="AA123">
        <v>6.4313746969077208</v>
      </c>
      <c r="AB123">
        <v>7.6400000000000006</v>
      </c>
    </row>
    <row r="124" spans="1:28">
      <c r="A124" s="23">
        <v>45462</v>
      </c>
      <c r="B124">
        <v>2.5</v>
      </c>
      <c r="C124">
        <v>2.65</v>
      </c>
      <c r="D124">
        <v>2.0676549999999998</v>
      </c>
      <c r="E124" s="23">
        <v>45462</v>
      </c>
      <c r="F124">
        <v>0.5</v>
      </c>
      <c r="G124">
        <v>0.6</v>
      </c>
      <c r="H124">
        <v>0.27970899999999999</v>
      </c>
      <c r="I124" s="23">
        <v>45462</v>
      </c>
      <c r="J124">
        <v>1.5</v>
      </c>
      <c r="K124">
        <v>1.65</v>
      </c>
      <c r="L124">
        <v>1.4552160000000001</v>
      </c>
      <c r="M124" s="23">
        <v>45462</v>
      </c>
      <c r="N124">
        <v>3</v>
      </c>
      <c r="O124">
        <v>3.15</v>
      </c>
      <c r="P124">
        <v>2.1352799999999998</v>
      </c>
      <c r="Q124" s="23">
        <v>45462</v>
      </c>
      <c r="R124">
        <v>3.5</v>
      </c>
      <c r="S124">
        <v>3.65</v>
      </c>
      <c r="T124">
        <v>2.9505949999999999</v>
      </c>
      <c r="U124" s="23">
        <v>45462</v>
      </c>
      <c r="V124">
        <v>2.75</v>
      </c>
      <c r="W124">
        <v>2.9</v>
      </c>
      <c r="X124">
        <v>2.3299020000000001</v>
      </c>
      <c r="Y124" s="23">
        <v>45462</v>
      </c>
      <c r="Z124">
        <v>7.49</v>
      </c>
      <c r="AA124">
        <v>6.4402573239018279</v>
      </c>
      <c r="AB124">
        <v>7.6400000000000006</v>
      </c>
    </row>
    <row r="125" spans="1:28">
      <c r="A125" s="23">
        <v>45463</v>
      </c>
      <c r="B125">
        <v>2.5</v>
      </c>
      <c r="C125">
        <v>2.65</v>
      </c>
      <c r="D125">
        <v>2.0459070000000001</v>
      </c>
      <c r="E125" s="23">
        <v>45463</v>
      </c>
      <c r="F125">
        <v>0.5</v>
      </c>
      <c r="G125">
        <v>0.6</v>
      </c>
      <c r="H125">
        <v>0.27732800000000002</v>
      </c>
      <c r="I125" s="23">
        <v>45463</v>
      </c>
      <c r="J125">
        <v>1.5</v>
      </c>
      <c r="K125">
        <v>1.65</v>
      </c>
      <c r="L125">
        <v>1.4456910000000001</v>
      </c>
      <c r="M125" s="23">
        <v>45463</v>
      </c>
      <c r="N125">
        <v>3</v>
      </c>
      <c r="O125">
        <v>3.15</v>
      </c>
      <c r="P125">
        <v>2.1100400000000001</v>
      </c>
      <c r="Q125" s="23">
        <v>45463</v>
      </c>
      <c r="R125">
        <v>3.5</v>
      </c>
      <c r="S125">
        <v>3.65</v>
      </c>
      <c r="T125">
        <v>2.885351</v>
      </c>
      <c r="U125" s="23">
        <v>45463</v>
      </c>
      <c r="V125">
        <v>2.75</v>
      </c>
      <c r="W125">
        <v>2.9</v>
      </c>
      <c r="X125">
        <v>2.307518</v>
      </c>
      <c r="Y125" s="23">
        <v>45463</v>
      </c>
      <c r="Z125">
        <v>7.49</v>
      </c>
      <c r="AA125">
        <v>6.3739567704682472</v>
      </c>
      <c r="AB125">
        <v>7.6400000000000006</v>
      </c>
    </row>
    <row r="126" spans="1:28">
      <c r="A126" s="23">
        <v>45464</v>
      </c>
      <c r="B126">
        <v>2.5</v>
      </c>
      <c r="C126">
        <v>2.65</v>
      </c>
      <c r="D126">
        <v>2.0300319999999998</v>
      </c>
      <c r="E126" s="23">
        <v>45464</v>
      </c>
      <c r="F126">
        <v>0.5</v>
      </c>
      <c r="G126">
        <v>0.6</v>
      </c>
      <c r="H126">
        <v>0.27589900000000001</v>
      </c>
      <c r="I126" s="23">
        <v>45464</v>
      </c>
      <c r="J126">
        <v>1.5</v>
      </c>
      <c r="K126">
        <v>1.65</v>
      </c>
      <c r="L126">
        <v>1.437119</v>
      </c>
      <c r="M126" s="23">
        <v>45464</v>
      </c>
      <c r="N126">
        <v>3</v>
      </c>
      <c r="O126">
        <v>3.15</v>
      </c>
      <c r="P126">
        <v>2.0952760000000001</v>
      </c>
      <c r="Q126" s="23">
        <v>45464</v>
      </c>
      <c r="R126">
        <v>3.5</v>
      </c>
      <c r="S126">
        <v>3.65</v>
      </c>
      <c r="T126">
        <v>2.8658250000000001</v>
      </c>
      <c r="U126" s="23">
        <v>45464</v>
      </c>
      <c r="V126">
        <v>2.75</v>
      </c>
      <c r="W126">
        <v>2.9</v>
      </c>
      <c r="X126">
        <v>2.2967240000000002</v>
      </c>
      <c r="Y126" s="23">
        <v>45464</v>
      </c>
      <c r="Z126">
        <v>7.49</v>
      </c>
      <c r="AA126">
        <v>6.3167578737966732</v>
      </c>
      <c r="AB126">
        <v>7.6400000000000006</v>
      </c>
    </row>
    <row r="127" spans="1:28">
      <c r="A127" s="23">
        <v>45467</v>
      </c>
      <c r="B127">
        <v>2.5</v>
      </c>
      <c r="C127">
        <v>2.65</v>
      </c>
      <c r="D127">
        <v>2.0030450000000002</v>
      </c>
      <c r="E127" s="23">
        <v>45467</v>
      </c>
      <c r="F127">
        <v>0.5</v>
      </c>
      <c r="G127">
        <v>0.6</v>
      </c>
      <c r="H127">
        <v>0.273835</v>
      </c>
      <c r="I127" s="23">
        <v>45467</v>
      </c>
      <c r="J127">
        <v>1.5</v>
      </c>
      <c r="K127">
        <v>1.65</v>
      </c>
      <c r="L127">
        <v>1.434579</v>
      </c>
      <c r="M127" s="23">
        <v>45467</v>
      </c>
      <c r="N127">
        <v>3</v>
      </c>
      <c r="O127">
        <v>3.15</v>
      </c>
      <c r="P127">
        <v>2.1117859999999999</v>
      </c>
      <c r="Q127" s="23">
        <v>45467</v>
      </c>
      <c r="R127">
        <v>3.5</v>
      </c>
      <c r="S127">
        <v>3.65</v>
      </c>
      <c r="T127">
        <v>2.9063050000000001</v>
      </c>
      <c r="U127" s="23">
        <v>45467</v>
      </c>
      <c r="V127">
        <v>2.75</v>
      </c>
      <c r="W127">
        <v>2.9</v>
      </c>
      <c r="X127">
        <v>2.238464</v>
      </c>
      <c r="Y127" s="23">
        <v>45467</v>
      </c>
      <c r="Z127">
        <v>7.49</v>
      </c>
      <c r="AA127">
        <v>6.2509061722066077</v>
      </c>
      <c r="AB127">
        <v>7.6400000000000006</v>
      </c>
    </row>
    <row r="128" spans="1:28">
      <c r="A128" s="23">
        <v>45468</v>
      </c>
      <c r="B128">
        <v>2.5</v>
      </c>
      <c r="C128">
        <v>2.65</v>
      </c>
      <c r="D128">
        <v>1.827315</v>
      </c>
      <c r="E128" s="23">
        <v>45468</v>
      </c>
      <c r="F128">
        <v>0.5</v>
      </c>
      <c r="G128">
        <v>0.6</v>
      </c>
      <c r="H128">
        <v>0.27240700000000001</v>
      </c>
      <c r="I128" s="23">
        <v>45468</v>
      </c>
      <c r="J128">
        <v>1.5</v>
      </c>
      <c r="K128">
        <v>1.65</v>
      </c>
      <c r="L128">
        <v>1.413942</v>
      </c>
      <c r="M128" s="23">
        <v>45468</v>
      </c>
      <c r="N128">
        <v>3</v>
      </c>
      <c r="O128">
        <v>3.15</v>
      </c>
      <c r="P128">
        <v>2.1260729999999999</v>
      </c>
      <c r="Q128" s="23">
        <v>45468</v>
      </c>
      <c r="R128">
        <v>3.5</v>
      </c>
      <c r="S128">
        <v>3.65</v>
      </c>
      <c r="T128">
        <v>2.9334500000000001</v>
      </c>
      <c r="U128" s="23">
        <v>45468</v>
      </c>
      <c r="V128">
        <v>2.75</v>
      </c>
      <c r="W128">
        <v>2.9</v>
      </c>
      <c r="X128">
        <v>2.36673</v>
      </c>
      <c r="Y128" s="23">
        <v>45468</v>
      </c>
      <c r="Z128">
        <v>7.49</v>
      </c>
      <c r="AA128">
        <v>6.2442968235562146</v>
      </c>
      <c r="AB128">
        <v>7.6400000000000006</v>
      </c>
    </row>
    <row r="129" spans="1:28">
      <c r="A129" s="23">
        <v>45469</v>
      </c>
      <c r="B129">
        <v>2.5</v>
      </c>
      <c r="C129">
        <v>2.65</v>
      </c>
      <c r="D129">
        <v>1.8190599999999999</v>
      </c>
      <c r="E129" s="23">
        <v>45469</v>
      </c>
      <c r="F129">
        <v>0.5</v>
      </c>
      <c r="G129">
        <v>0.6</v>
      </c>
      <c r="H129">
        <v>0.27081899999999998</v>
      </c>
      <c r="I129" s="23">
        <v>45469</v>
      </c>
      <c r="J129">
        <v>1.5</v>
      </c>
      <c r="K129">
        <v>1.65</v>
      </c>
      <c r="L129">
        <v>1.4179109999999999</v>
      </c>
      <c r="M129" s="23">
        <v>45469</v>
      </c>
      <c r="N129">
        <v>3</v>
      </c>
      <c r="O129">
        <v>3.15</v>
      </c>
      <c r="P129">
        <v>2.1413120000000001</v>
      </c>
      <c r="Q129" s="23">
        <v>45469</v>
      </c>
      <c r="R129">
        <v>3.5</v>
      </c>
      <c r="S129">
        <v>3.65</v>
      </c>
      <c r="T129">
        <v>2.9548809999999999</v>
      </c>
      <c r="U129" s="23">
        <v>45469</v>
      </c>
      <c r="V129">
        <v>2.75</v>
      </c>
      <c r="W129">
        <v>2.9</v>
      </c>
      <c r="X129">
        <v>2.3375210000000002</v>
      </c>
      <c r="Y129" s="23">
        <v>45469</v>
      </c>
      <c r="Z129">
        <v>7.49</v>
      </c>
      <c r="AA129">
        <v>6.199367075968417</v>
      </c>
      <c r="AB129">
        <v>7.6400000000000006</v>
      </c>
    </row>
    <row r="130" spans="1:28">
      <c r="A130" s="23">
        <v>45470</v>
      </c>
      <c r="B130">
        <v>2.5</v>
      </c>
      <c r="C130">
        <v>2.65</v>
      </c>
      <c r="D130">
        <v>1.8250919999999999</v>
      </c>
      <c r="E130" s="23">
        <v>45470</v>
      </c>
      <c r="F130">
        <v>0.5</v>
      </c>
      <c r="G130">
        <v>0.6</v>
      </c>
      <c r="H130">
        <v>0.26986700000000002</v>
      </c>
      <c r="I130" s="23">
        <v>45470</v>
      </c>
      <c r="J130">
        <v>1.5</v>
      </c>
      <c r="K130">
        <v>1.65</v>
      </c>
      <c r="L130">
        <v>1.399497</v>
      </c>
      <c r="M130" s="23">
        <v>45470</v>
      </c>
      <c r="N130">
        <v>3</v>
      </c>
      <c r="O130">
        <v>3.15</v>
      </c>
      <c r="P130">
        <v>2.176078</v>
      </c>
      <c r="Q130" s="23">
        <v>45470</v>
      </c>
      <c r="R130">
        <v>3.5</v>
      </c>
      <c r="S130">
        <v>3.65</v>
      </c>
      <c r="T130">
        <v>3.0096479999999999</v>
      </c>
      <c r="U130" s="23">
        <v>45470</v>
      </c>
      <c r="V130">
        <v>2.75</v>
      </c>
      <c r="W130">
        <v>2.9</v>
      </c>
      <c r="X130">
        <v>2.2864049999999998</v>
      </c>
      <c r="Y130" s="23">
        <v>45470</v>
      </c>
      <c r="Z130">
        <v>7.49</v>
      </c>
      <c r="AA130">
        <v>6.1203094970191136</v>
      </c>
      <c r="AB130">
        <v>7.6400000000000006</v>
      </c>
    </row>
    <row r="131" spans="1:28">
      <c r="A131" s="23">
        <v>45471</v>
      </c>
      <c r="B131">
        <v>2.5</v>
      </c>
      <c r="C131">
        <v>2.65</v>
      </c>
      <c r="D131">
        <v>1.8019149999999999</v>
      </c>
      <c r="E131" s="23">
        <v>45471</v>
      </c>
      <c r="F131">
        <v>0.5</v>
      </c>
      <c r="G131">
        <v>0.6</v>
      </c>
      <c r="H131">
        <v>0.289551</v>
      </c>
      <c r="I131" s="23">
        <v>45471</v>
      </c>
      <c r="J131">
        <v>1.5</v>
      </c>
      <c r="K131">
        <v>1.65</v>
      </c>
      <c r="L131">
        <v>1.3494919999999999</v>
      </c>
      <c r="M131" s="23">
        <v>45471</v>
      </c>
      <c r="N131">
        <v>3</v>
      </c>
      <c r="O131">
        <v>3.15</v>
      </c>
      <c r="P131">
        <v>2.160679</v>
      </c>
      <c r="Q131" s="23">
        <v>45471</v>
      </c>
      <c r="R131">
        <v>3.5</v>
      </c>
      <c r="S131">
        <v>3.65</v>
      </c>
      <c r="T131">
        <v>2.99552</v>
      </c>
      <c r="U131" s="23">
        <v>45471</v>
      </c>
      <c r="V131">
        <v>2.75</v>
      </c>
      <c r="W131">
        <v>2.9</v>
      </c>
      <c r="X131">
        <v>2.2605300000000002</v>
      </c>
      <c r="Y131" s="23">
        <v>45471</v>
      </c>
      <c r="Z131">
        <v>7.49</v>
      </c>
      <c r="AA131">
        <v>6.115514926467772</v>
      </c>
      <c r="AB131">
        <v>7.6400000000000006</v>
      </c>
    </row>
    <row r="132" spans="1:28">
      <c r="A132" s="23">
        <v>45474</v>
      </c>
      <c r="B132">
        <v>2.5</v>
      </c>
      <c r="C132">
        <v>2.65</v>
      </c>
      <c r="D132">
        <v>1.824775</v>
      </c>
      <c r="E132" s="23">
        <v>45474</v>
      </c>
      <c r="F132">
        <v>0.5</v>
      </c>
      <c r="G132">
        <v>0.6</v>
      </c>
      <c r="H132">
        <v>0.29510700000000001</v>
      </c>
      <c r="I132" s="23">
        <v>45474</v>
      </c>
      <c r="J132">
        <v>1.5</v>
      </c>
      <c r="K132">
        <v>1.65</v>
      </c>
      <c r="L132">
        <v>1.345682</v>
      </c>
      <c r="M132" s="23">
        <v>45474</v>
      </c>
      <c r="N132">
        <v>3</v>
      </c>
      <c r="O132">
        <v>3.15</v>
      </c>
      <c r="P132">
        <v>2.2065570000000001</v>
      </c>
      <c r="Q132" s="23">
        <v>45474</v>
      </c>
      <c r="R132">
        <v>3.5</v>
      </c>
      <c r="S132">
        <v>3.65</v>
      </c>
      <c r="T132">
        <v>3.0572710000000001</v>
      </c>
      <c r="U132" s="23">
        <v>45474</v>
      </c>
      <c r="V132">
        <v>2.75</v>
      </c>
      <c r="W132">
        <v>2.9</v>
      </c>
      <c r="X132">
        <v>2.3243450000000001</v>
      </c>
      <c r="Y132" s="23">
        <v>45474</v>
      </c>
      <c r="Z132">
        <v>7.49</v>
      </c>
      <c r="AA132">
        <v>6.0651288531730421</v>
      </c>
      <c r="AB132">
        <v>7.6400000000000006</v>
      </c>
    </row>
    <row r="133" spans="1:28">
      <c r="A133" s="23">
        <v>45475</v>
      </c>
      <c r="B133">
        <v>2.5</v>
      </c>
      <c r="C133">
        <v>2.65</v>
      </c>
      <c r="D133">
        <v>1.8282670000000001</v>
      </c>
      <c r="E133" s="23">
        <v>45475</v>
      </c>
      <c r="F133">
        <v>0.5</v>
      </c>
      <c r="G133">
        <v>0.6</v>
      </c>
      <c r="H133">
        <v>0.29320200000000002</v>
      </c>
      <c r="I133" s="23">
        <v>45475</v>
      </c>
      <c r="J133">
        <v>1.5</v>
      </c>
      <c r="K133">
        <v>1.65</v>
      </c>
      <c r="L133">
        <v>1.348063</v>
      </c>
      <c r="M133" s="23">
        <v>45475</v>
      </c>
      <c r="N133">
        <v>3</v>
      </c>
      <c r="O133">
        <v>3.15</v>
      </c>
      <c r="P133">
        <v>2.2178270000000002</v>
      </c>
      <c r="Q133" s="23">
        <v>45475</v>
      </c>
      <c r="R133">
        <v>3.5</v>
      </c>
      <c r="S133">
        <v>3.65</v>
      </c>
      <c r="T133">
        <v>3.072352</v>
      </c>
      <c r="U133" s="23">
        <v>45475</v>
      </c>
      <c r="V133">
        <v>2.75</v>
      </c>
      <c r="W133">
        <v>2.9</v>
      </c>
      <c r="X133">
        <v>2.30355</v>
      </c>
      <c r="Y133" s="23">
        <v>45475</v>
      </c>
      <c r="Z133">
        <v>7.49</v>
      </c>
      <c r="AA133">
        <v>6.052151531876639</v>
      </c>
      <c r="AB133">
        <v>7.6400000000000006</v>
      </c>
    </row>
    <row r="134" spans="1:28">
      <c r="A134" s="23">
        <v>45476</v>
      </c>
      <c r="B134">
        <v>2.5</v>
      </c>
      <c r="C134">
        <v>2.65</v>
      </c>
      <c r="D134">
        <v>1.818584</v>
      </c>
      <c r="E134" s="23">
        <v>45476</v>
      </c>
      <c r="F134">
        <v>0.5</v>
      </c>
      <c r="G134">
        <v>0.6</v>
      </c>
      <c r="H134">
        <v>0.29161500000000001</v>
      </c>
      <c r="I134" s="23">
        <v>45476</v>
      </c>
      <c r="J134">
        <v>1.5</v>
      </c>
      <c r="K134">
        <v>1.65</v>
      </c>
      <c r="L134">
        <v>1.3310770000000001</v>
      </c>
      <c r="M134" s="23">
        <v>45476</v>
      </c>
      <c r="N134">
        <v>3</v>
      </c>
      <c r="O134">
        <v>3.15</v>
      </c>
      <c r="P134">
        <v>2.2311619999999999</v>
      </c>
      <c r="Q134" s="23">
        <v>45476</v>
      </c>
      <c r="R134">
        <v>3.5</v>
      </c>
      <c r="S134">
        <v>3.65</v>
      </c>
      <c r="T134">
        <v>3.0794959999999998</v>
      </c>
      <c r="U134" s="23">
        <v>45476</v>
      </c>
      <c r="V134">
        <v>2.75</v>
      </c>
      <c r="W134">
        <v>2.9</v>
      </c>
      <c r="X134">
        <v>2.3325999999999998</v>
      </c>
      <c r="Y134" s="23">
        <v>45476</v>
      </c>
      <c r="Z134">
        <v>7.49</v>
      </c>
      <c r="AA134">
        <v>6.0246174557906489</v>
      </c>
      <c r="AB134">
        <v>7.6400000000000006</v>
      </c>
    </row>
    <row r="135" spans="1:28">
      <c r="A135" s="23">
        <v>45477</v>
      </c>
      <c r="B135">
        <v>2.5</v>
      </c>
      <c r="C135">
        <v>2.65</v>
      </c>
      <c r="D135">
        <v>1.8096939999999999</v>
      </c>
      <c r="E135" s="23">
        <v>45477</v>
      </c>
      <c r="F135">
        <v>0.5</v>
      </c>
      <c r="G135">
        <v>0.6</v>
      </c>
      <c r="H135">
        <v>0.29002699999999998</v>
      </c>
      <c r="I135" s="23">
        <v>45477</v>
      </c>
      <c r="J135">
        <v>1.5</v>
      </c>
      <c r="K135">
        <v>1.65</v>
      </c>
      <c r="L135">
        <v>1.323299</v>
      </c>
      <c r="M135" s="23">
        <v>45477</v>
      </c>
      <c r="N135">
        <v>3</v>
      </c>
      <c r="O135">
        <v>3.15</v>
      </c>
      <c r="P135">
        <v>2.2222719999999998</v>
      </c>
      <c r="Q135" s="23">
        <v>45477</v>
      </c>
      <c r="R135">
        <v>3.5</v>
      </c>
      <c r="S135">
        <v>3.65</v>
      </c>
      <c r="T135">
        <v>3.0655260000000002</v>
      </c>
      <c r="U135" s="23">
        <v>45477</v>
      </c>
      <c r="V135">
        <v>2.75</v>
      </c>
      <c r="W135">
        <v>2.9</v>
      </c>
      <c r="X135">
        <v>2.3195830000000002</v>
      </c>
      <c r="Y135" s="23">
        <v>45477</v>
      </c>
      <c r="Z135">
        <v>7.49</v>
      </c>
      <c r="AA135">
        <v>6.0140154344872476</v>
      </c>
      <c r="AB135">
        <v>7.6400000000000006</v>
      </c>
    </row>
    <row r="136" spans="1:28">
      <c r="A136" s="23">
        <v>45478</v>
      </c>
      <c r="B136">
        <v>2.5</v>
      </c>
      <c r="C136">
        <v>2.65</v>
      </c>
      <c r="D136">
        <v>1.777469</v>
      </c>
      <c r="E136" s="23">
        <v>45478</v>
      </c>
      <c r="F136">
        <v>0.5</v>
      </c>
      <c r="G136">
        <v>0.6</v>
      </c>
      <c r="H136">
        <v>0.28907500000000003</v>
      </c>
      <c r="I136" s="23">
        <v>45478</v>
      </c>
      <c r="J136">
        <v>1.5</v>
      </c>
      <c r="K136">
        <v>1.65</v>
      </c>
      <c r="L136">
        <v>1.288375</v>
      </c>
      <c r="M136" s="23">
        <v>45478</v>
      </c>
      <c r="N136">
        <v>3</v>
      </c>
      <c r="O136">
        <v>3.15</v>
      </c>
      <c r="P136">
        <v>2.2075089999999999</v>
      </c>
      <c r="Q136" s="23">
        <v>45478</v>
      </c>
      <c r="R136">
        <v>3.5</v>
      </c>
      <c r="S136">
        <v>3.65</v>
      </c>
      <c r="T136">
        <v>3.0428259999999998</v>
      </c>
      <c r="U136" s="23">
        <v>45478</v>
      </c>
      <c r="V136">
        <v>2.75</v>
      </c>
      <c r="W136">
        <v>2.9</v>
      </c>
      <c r="X136">
        <v>2.3057720000000002</v>
      </c>
      <c r="Y136" s="23">
        <v>45478</v>
      </c>
      <c r="Z136">
        <v>7.49</v>
      </c>
      <c r="AA136">
        <v>5.9801700398220747</v>
      </c>
      <c r="AB136">
        <v>7.6400000000000006</v>
      </c>
    </row>
    <row r="137" spans="1:28">
      <c r="A137" s="23">
        <v>45481</v>
      </c>
      <c r="B137">
        <v>2.5</v>
      </c>
      <c r="C137">
        <v>2.65</v>
      </c>
      <c r="D137">
        <v>1.785088</v>
      </c>
      <c r="E137" s="23">
        <v>45481</v>
      </c>
      <c r="F137">
        <v>0.5</v>
      </c>
      <c r="G137">
        <v>0.6</v>
      </c>
      <c r="H137">
        <v>0.28605900000000001</v>
      </c>
      <c r="I137" s="23">
        <v>45481</v>
      </c>
      <c r="J137">
        <v>1.5</v>
      </c>
      <c r="K137">
        <v>1.65</v>
      </c>
      <c r="L137">
        <v>1.296154</v>
      </c>
      <c r="M137" s="23">
        <v>45481</v>
      </c>
      <c r="N137">
        <v>3</v>
      </c>
      <c r="O137">
        <v>3.15</v>
      </c>
      <c r="P137">
        <v>2.2092550000000002</v>
      </c>
      <c r="Q137" s="23">
        <v>45481</v>
      </c>
      <c r="R137">
        <v>3.5</v>
      </c>
      <c r="S137">
        <v>3.65</v>
      </c>
      <c r="T137">
        <v>3.0433020000000002</v>
      </c>
      <c r="U137" s="23">
        <v>45481</v>
      </c>
      <c r="V137">
        <v>2.75</v>
      </c>
      <c r="W137">
        <v>2.9</v>
      </c>
      <c r="X137">
        <v>2.3159320000000001</v>
      </c>
      <c r="Y137" s="23">
        <v>45481</v>
      </c>
      <c r="Z137">
        <v>7.49</v>
      </c>
      <c r="AA137">
        <v>5.957366756222271</v>
      </c>
      <c r="AB137">
        <v>7.6400000000000006</v>
      </c>
    </row>
    <row r="138" spans="1:28">
      <c r="A138" s="23">
        <v>45482</v>
      </c>
      <c r="B138">
        <v>2.5</v>
      </c>
      <c r="C138">
        <v>2.65</v>
      </c>
      <c r="D138">
        <v>1.7822309999999999</v>
      </c>
      <c r="E138" s="23">
        <v>45482</v>
      </c>
      <c r="F138">
        <v>0.5</v>
      </c>
      <c r="G138">
        <v>0.6</v>
      </c>
      <c r="H138">
        <v>0.28462999999999999</v>
      </c>
      <c r="I138" s="23">
        <v>45482</v>
      </c>
      <c r="J138">
        <v>1.5</v>
      </c>
      <c r="K138">
        <v>1.65</v>
      </c>
      <c r="L138">
        <v>1.2920259999999999</v>
      </c>
      <c r="M138" s="23">
        <v>45482</v>
      </c>
      <c r="N138">
        <v>3</v>
      </c>
      <c r="O138">
        <v>3.15</v>
      </c>
      <c r="P138">
        <v>2.2051280000000002</v>
      </c>
      <c r="Q138" s="23">
        <v>45482</v>
      </c>
      <c r="R138">
        <v>3.5</v>
      </c>
      <c r="S138">
        <v>3.65</v>
      </c>
      <c r="T138">
        <v>3.040286</v>
      </c>
      <c r="U138" s="23">
        <v>45482</v>
      </c>
      <c r="V138">
        <v>2.75</v>
      </c>
      <c r="W138">
        <v>2.9</v>
      </c>
      <c r="X138">
        <v>2.3537129999999999</v>
      </c>
      <c r="Y138" s="23">
        <v>45482</v>
      </c>
      <c r="Z138">
        <v>7.49</v>
      </c>
      <c r="AA138">
        <v>5.931608354379172</v>
      </c>
      <c r="AB138">
        <v>7.6400000000000006</v>
      </c>
    </row>
    <row r="139" spans="1:28">
      <c r="A139" s="23">
        <v>45483</v>
      </c>
      <c r="B139">
        <v>2.5</v>
      </c>
      <c r="C139">
        <v>2.65</v>
      </c>
      <c r="D139">
        <v>1.774929</v>
      </c>
      <c r="E139" s="23">
        <v>45483</v>
      </c>
      <c r="F139">
        <v>0.5</v>
      </c>
      <c r="G139">
        <v>0.6</v>
      </c>
      <c r="H139">
        <v>0.28240700000000002</v>
      </c>
      <c r="I139" s="23">
        <v>45483</v>
      </c>
      <c r="J139">
        <v>1.5</v>
      </c>
      <c r="K139">
        <v>1.65</v>
      </c>
      <c r="L139">
        <v>1.2994870000000001</v>
      </c>
      <c r="M139" s="23">
        <v>45483</v>
      </c>
      <c r="N139">
        <v>3</v>
      </c>
      <c r="O139">
        <v>3.15</v>
      </c>
      <c r="P139">
        <v>2.1808399999999999</v>
      </c>
      <c r="Q139" s="23">
        <v>45483</v>
      </c>
      <c r="R139">
        <v>3.5</v>
      </c>
      <c r="S139">
        <v>3.65</v>
      </c>
      <c r="T139">
        <v>3.0012340000000002</v>
      </c>
      <c r="U139" s="23">
        <v>45483</v>
      </c>
      <c r="V139">
        <v>2.75</v>
      </c>
      <c r="W139">
        <v>2.9</v>
      </c>
      <c r="X139">
        <v>2.361809</v>
      </c>
      <c r="Y139" s="23">
        <v>45483</v>
      </c>
      <c r="Z139">
        <v>7.49</v>
      </c>
      <c r="AA139">
        <v>7.6069913169426151</v>
      </c>
      <c r="AB139">
        <v>7.6400000000000006</v>
      </c>
    </row>
    <row r="140" spans="1:28">
      <c r="A140" s="23">
        <v>45484</v>
      </c>
      <c r="B140">
        <v>2.5</v>
      </c>
      <c r="C140">
        <v>2.65</v>
      </c>
      <c r="D140">
        <v>1.7668330000000001</v>
      </c>
      <c r="E140" s="23">
        <v>45484</v>
      </c>
      <c r="F140">
        <v>0.5</v>
      </c>
      <c r="G140">
        <v>0.6</v>
      </c>
      <c r="H140">
        <v>0.28574100000000002</v>
      </c>
      <c r="I140" s="23">
        <v>45484</v>
      </c>
      <c r="J140">
        <v>1.5</v>
      </c>
      <c r="K140">
        <v>1.65</v>
      </c>
      <c r="L140">
        <v>1.290915</v>
      </c>
      <c r="M140" s="23">
        <v>45484</v>
      </c>
      <c r="N140">
        <v>3</v>
      </c>
      <c r="O140">
        <v>3.15</v>
      </c>
      <c r="P140">
        <v>2.1433759999999999</v>
      </c>
      <c r="Q140" s="23">
        <v>45484</v>
      </c>
      <c r="R140">
        <v>3.5</v>
      </c>
      <c r="S140">
        <v>3.65</v>
      </c>
      <c r="T140">
        <v>3.0005989999999998</v>
      </c>
      <c r="U140" s="23">
        <v>45484</v>
      </c>
      <c r="V140">
        <v>2.75</v>
      </c>
      <c r="W140">
        <v>2.9</v>
      </c>
      <c r="X140">
        <v>2.5076960000000001</v>
      </c>
      <c r="Y140" s="23">
        <v>45484</v>
      </c>
      <c r="Z140">
        <v>7.49</v>
      </c>
      <c r="AA140">
        <v>7.6257425458183015</v>
      </c>
      <c r="AB140">
        <v>7.6400000000000006</v>
      </c>
    </row>
    <row r="141" spans="1:28">
      <c r="A141" s="23">
        <v>45485</v>
      </c>
      <c r="B141">
        <v>2.5</v>
      </c>
      <c r="C141">
        <v>2.65</v>
      </c>
      <c r="D141">
        <v>1.7709600000000001</v>
      </c>
      <c r="E141" s="23">
        <v>45485</v>
      </c>
      <c r="F141">
        <v>0.5</v>
      </c>
      <c r="G141">
        <v>0.6</v>
      </c>
      <c r="H141">
        <v>0.28383599999999998</v>
      </c>
      <c r="I141" s="23">
        <v>45485</v>
      </c>
      <c r="J141">
        <v>1.5</v>
      </c>
      <c r="K141">
        <v>1.65</v>
      </c>
      <c r="L141">
        <v>1.2886930000000001</v>
      </c>
      <c r="M141" s="23">
        <v>45485</v>
      </c>
      <c r="N141">
        <v>3</v>
      </c>
      <c r="O141">
        <v>3.15</v>
      </c>
      <c r="P141">
        <v>2.1527419999999999</v>
      </c>
      <c r="Q141" s="23">
        <v>45485</v>
      </c>
      <c r="R141">
        <v>3.5</v>
      </c>
      <c r="S141">
        <v>3.65</v>
      </c>
      <c r="T141">
        <v>3.0132989999999999</v>
      </c>
      <c r="U141" s="23">
        <v>45485</v>
      </c>
      <c r="V141">
        <v>2.75</v>
      </c>
      <c r="W141">
        <v>2.9</v>
      </c>
      <c r="X141">
        <v>2.5175380000000001</v>
      </c>
      <c r="Y141" s="23">
        <v>45485</v>
      </c>
      <c r="Z141">
        <v>7.49</v>
      </c>
      <c r="AA141">
        <v>7.960712243344747</v>
      </c>
      <c r="AB141">
        <v>7.6400000000000006</v>
      </c>
    </row>
    <row r="142" spans="1:28">
      <c r="A142" s="23">
        <v>45488</v>
      </c>
      <c r="B142">
        <v>2.5</v>
      </c>
      <c r="C142">
        <v>2.65</v>
      </c>
      <c r="D142">
        <v>1.7711190000000001</v>
      </c>
      <c r="E142" s="23">
        <v>45488</v>
      </c>
      <c r="F142">
        <v>0.5</v>
      </c>
      <c r="G142">
        <v>0.6</v>
      </c>
      <c r="H142">
        <v>0.281773</v>
      </c>
      <c r="I142" s="23">
        <v>45488</v>
      </c>
      <c r="J142">
        <v>1.5</v>
      </c>
      <c r="K142">
        <v>1.65</v>
      </c>
      <c r="L142">
        <v>1.29155</v>
      </c>
      <c r="M142" s="23">
        <v>45488</v>
      </c>
      <c r="N142">
        <v>3</v>
      </c>
      <c r="O142">
        <v>3.15</v>
      </c>
      <c r="P142">
        <v>2.1541709999999998</v>
      </c>
      <c r="Q142" s="23">
        <v>45488</v>
      </c>
      <c r="R142">
        <v>3.5</v>
      </c>
      <c r="S142">
        <v>3.65</v>
      </c>
      <c r="T142">
        <v>3.0226649999999999</v>
      </c>
      <c r="U142" s="23">
        <v>45488</v>
      </c>
      <c r="V142">
        <v>2.75</v>
      </c>
      <c r="W142">
        <v>2.9</v>
      </c>
      <c r="X142">
        <v>2.5110299999999999</v>
      </c>
      <c r="Y142" s="23">
        <v>45488</v>
      </c>
      <c r="Z142">
        <v>7.49</v>
      </c>
      <c r="AA142">
        <v>7.7452638800970606</v>
      </c>
      <c r="AB142">
        <v>7.6400000000000006</v>
      </c>
    </row>
    <row r="143" spans="1:28">
      <c r="A143" s="23">
        <v>45489</v>
      </c>
      <c r="B143">
        <v>2.5</v>
      </c>
      <c r="C143">
        <v>2.65</v>
      </c>
      <c r="D143">
        <v>1.5812600000000001</v>
      </c>
      <c r="E143" s="23">
        <v>45489</v>
      </c>
      <c r="F143">
        <v>0.5</v>
      </c>
      <c r="G143">
        <v>0.6</v>
      </c>
      <c r="H143">
        <v>0.28097899999999998</v>
      </c>
      <c r="I143" s="23">
        <v>45489</v>
      </c>
      <c r="J143">
        <v>1.5</v>
      </c>
      <c r="K143">
        <v>1.65</v>
      </c>
      <c r="L143">
        <v>0.97787000000000002</v>
      </c>
      <c r="M143" s="23">
        <v>45489</v>
      </c>
      <c r="N143">
        <v>3</v>
      </c>
      <c r="O143">
        <v>3.15</v>
      </c>
      <c r="P143">
        <v>2.1171829999999998</v>
      </c>
      <c r="Q143" s="23">
        <v>45489</v>
      </c>
      <c r="R143">
        <v>3.5</v>
      </c>
      <c r="S143">
        <v>3.65</v>
      </c>
      <c r="T143">
        <v>2.9885350000000002</v>
      </c>
      <c r="U143" s="23">
        <v>45489</v>
      </c>
      <c r="V143">
        <v>2.75</v>
      </c>
      <c r="W143">
        <v>2.9</v>
      </c>
      <c r="X143">
        <v>2.504839</v>
      </c>
      <c r="Y143" s="23">
        <v>45489</v>
      </c>
      <c r="Z143">
        <v>7.49</v>
      </c>
      <c r="AA143">
        <v>7.8047770055385444</v>
      </c>
      <c r="AB143">
        <v>7.6400000000000006</v>
      </c>
    </row>
    <row r="144" spans="1:28">
      <c r="A144" s="23">
        <v>45490</v>
      </c>
      <c r="B144">
        <v>2.5</v>
      </c>
      <c r="C144">
        <v>2.65</v>
      </c>
      <c r="D144">
        <v>1.5274449999999999</v>
      </c>
      <c r="E144" s="23">
        <v>45490</v>
      </c>
      <c r="F144">
        <v>0.5</v>
      </c>
      <c r="G144">
        <v>0.6</v>
      </c>
      <c r="H144">
        <v>0.28066099999999999</v>
      </c>
      <c r="I144" s="23">
        <v>45490</v>
      </c>
      <c r="J144">
        <v>1.5</v>
      </c>
      <c r="K144">
        <v>1.65</v>
      </c>
      <c r="L144">
        <v>0.93389699999999998</v>
      </c>
      <c r="M144" s="23">
        <v>45490</v>
      </c>
      <c r="N144">
        <v>3</v>
      </c>
      <c r="O144">
        <v>3.15</v>
      </c>
      <c r="P144">
        <v>2.1046420000000001</v>
      </c>
      <c r="Q144" s="23">
        <v>45490</v>
      </c>
      <c r="R144">
        <v>3.5</v>
      </c>
      <c r="S144">
        <v>3.65</v>
      </c>
      <c r="T144">
        <v>2.962342</v>
      </c>
      <c r="U144" s="23">
        <v>45490</v>
      </c>
      <c r="V144">
        <v>2.75</v>
      </c>
      <c r="W144">
        <v>2.9</v>
      </c>
      <c r="X144">
        <v>2.5435720000000002</v>
      </c>
      <c r="Y144" s="23">
        <v>45490</v>
      </c>
      <c r="Z144">
        <v>7.49</v>
      </c>
      <c r="AA144">
        <v>7.9002189572416102</v>
      </c>
      <c r="AB144">
        <v>7.6400000000000006</v>
      </c>
    </row>
    <row r="145" spans="1:28">
      <c r="A145" s="23">
        <v>45491</v>
      </c>
      <c r="B145">
        <v>2.5</v>
      </c>
      <c r="C145">
        <v>2.65</v>
      </c>
      <c r="D145">
        <v>1.4914099999999999</v>
      </c>
      <c r="E145" s="23">
        <v>45491</v>
      </c>
      <c r="F145">
        <v>0.5</v>
      </c>
      <c r="G145">
        <v>0.6</v>
      </c>
      <c r="H145">
        <v>0.278756</v>
      </c>
      <c r="I145" s="23">
        <v>45491</v>
      </c>
      <c r="J145">
        <v>1.5</v>
      </c>
      <c r="K145">
        <v>1.65</v>
      </c>
      <c r="L145">
        <v>0.86087499999999995</v>
      </c>
      <c r="M145" s="23">
        <v>45491</v>
      </c>
      <c r="N145">
        <v>3</v>
      </c>
      <c r="O145">
        <v>3.15</v>
      </c>
      <c r="P145">
        <v>2.1054360000000001</v>
      </c>
      <c r="Q145" s="23">
        <v>45491</v>
      </c>
      <c r="R145">
        <v>3.5</v>
      </c>
      <c r="S145">
        <v>3.65</v>
      </c>
      <c r="T145">
        <v>2.9678979999999999</v>
      </c>
      <c r="U145" s="23">
        <v>45491</v>
      </c>
      <c r="V145">
        <v>2.75</v>
      </c>
      <c r="W145">
        <v>2.9</v>
      </c>
      <c r="X145">
        <v>2.5634160000000001</v>
      </c>
      <c r="Y145" s="23">
        <v>45491</v>
      </c>
      <c r="Z145">
        <v>7.49</v>
      </c>
      <c r="AA145">
        <v>7.9011486152981432</v>
      </c>
      <c r="AB145">
        <v>7.6400000000000006</v>
      </c>
    </row>
    <row r="146" spans="1:28">
      <c r="A146" s="23">
        <v>45492</v>
      </c>
      <c r="B146">
        <v>2.5</v>
      </c>
      <c r="C146">
        <v>2.65</v>
      </c>
      <c r="D146">
        <v>1.5233179999999999</v>
      </c>
      <c r="E146" s="23">
        <v>45492</v>
      </c>
      <c r="F146">
        <v>0.5</v>
      </c>
      <c r="G146">
        <v>0.6</v>
      </c>
      <c r="H146">
        <v>0.28526499999999999</v>
      </c>
      <c r="I146" s="23">
        <v>45492</v>
      </c>
      <c r="J146">
        <v>1.5</v>
      </c>
      <c r="K146">
        <v>1.65</v>
      </c>
      <c r="L146">
        <v>0.89230600000000004</v>
      </c>
      <c r="M146" s="23">
        <v>45492</v>
      </c>
      <c r="N146">
        <v>3</v>
      </c>
      <c r="O146">
        <v>3.15</v>
      </c>
      <c r="P146">
        <v>2.1275019999999998</v>
      </c>
      <c r="Q146" s="23">
        <v>45492</v>
      </c>
      <c r="R146">
        <v>3.5</v>
      </c>
      <c r="S146">
        <v>3.65</v>
      </c>
      <c r="T146">
        <v>2.981868</v>
      </c>
      <c r="U146" s="23">
        <v>45492</v>
      </c>
      <c r="V146">
        <v>2.75</v>
      </c>
      <c r="W146">
        <v>2.9</v>
      </c>
      <c r="X146">
        <v>2.5437310000000002</v>
      </c>
      <c r="Y146" s="23">
        <v>45492</v>
      </c>
      <c r="Z146">
        <v>7.49</v>
      </c>
      <c r="AA146">
        <v>7.8455948988846282</v>
      </c>
      <c r="AB146">
        <v>7.6400000000000006</v>
      </c>
    </row>
    <row r="147" spans="1:28">
      <c r="A147" s="23">
        <v>45495</v>
      </c>
      <c r="B147">
        <v>2.5</v>
      </c>
      <c r="C147">
        <v>2.65</v>
      </c>
      <c r="D147">
        <v>1.53443</v>
      </c>
      <c r="E147" s="23">
        <v>45495</v>
      </c>
      <c r="F147">
        <v>0.5</v>
      </c>
      <c r="G147">
        <v>0.6</v>
      </c>
      <c r="H147">
        <v>0.28383599999999998</v>
      </c>
      <c r="I147" s="23">
        <v>45495</v>
      </c>
      <c r="J147">
        <v>1.5</v>
      </c>
      <c r="K147">
        <v>1.65</v>
      </c>
      <c r="L147">
        <v>0.88849599999999995</v>
      </c>
      <c r="M147" s="23">
        <v>45495</v>
      </c>
      <c r="N147">
        <v>3</v>
      </c>
      <c r="O147">
        <v>3.15</v>
      </c>
      <c r="P147">
        <v>2.1395659999999999</v>
      </c>
      <c r="Q147" s="23">
        <v>45495</v>
      </c>
      <c r="R147">
        <v>3.5</v>
      </c>
      <c r="S147">
        <v>3.65</v>
      </c>
      <c r="T147">
        <v>3.0045679999999999</v>
      </c>
      <c r="U147" s="23">
        <v>45495</v>
      </c>
      <c r="V147">
        <v>2.75</v>
      </c>
      <c r="W147">
        <v>2.9</v>
      </c>
      <c r="X147">
        <v>2.5621459999999998</v>
      </c>
      <c r="Y147" s="23">
        <v>45495</v>
      </c>
      <c r="Z147">
        <v>7.49</v>
      </c>
      <c r="AA147">
        <v>7.9272340695504981</v>
      </c>
      <c r="AB147">
        <v>7.6400000000000006</v>
      </c>
    </row>
    <row r="148" spans="1:28">
      <c r="A148" s="23">
        <v>45496</v>
      </c>
      <c r="B148">
        <v>2.5</v>
      </c>
      <c r="C148">
        <v>2.65</v>
      </c>
      <c r="D148">
        <v>1.543002</v>
      </c>
      <c r="E148" s="23">
        <v>45496</v>
      </c>
      <c r="F148">
        <v>0.5</v>
      </c>
      <c r="G148">
        <v>0.6</v>
      </c>
      <c r="H148">
        <v>0.283995</v>
      </c>
      <c r="I148" s="23">
        <v>45496</v>
      </c>
      <c r="J148">
        <v>1.5</v>
      </c>
      <c r="K148">
        <v>1.65</v>
      </c>
      <c r="L148">
        <v>0.89452900000000002</v>
      </c>
      <c r="M148" s="23">
        <v>45496</v>
      </c>
      <c r="N148">
        <v>3</v>
      </c>
      <c r="O148">
        <v>3.15</v>
      </c>
      <c r="P148">
        <v>2.1643300000000001</v>
      </c>
      <c r="Q148" s="23">
        <v>45496</v>
      </c>
      <c r="R148">
        <v>3.5</v>
      </c>
      <c r="S148">
        <v>3.65</v>
      </c>
      <c r="T148">
        <v>3.045207</v>
      </c>
      <c r="U148" s="23">
        <v>45496</v>
      </c>
      <c r="V148">
        <v>2.75</v>
      </c>
      <c r="W148">
        <v>2.9</v>
      </c>
      <c r="X148">
        <v>2.5640510000000001</v>
      </c>
      <c r="Y148" s="23">
        <v>45496</v>
      </c>
      <c r="Z148">
        <v>7.49</v>
      </c>
      <c r="AA148">
        <v>7.9129805876108055</v>
      </c>
      <c r="AB148">
        <v>7.6400000000000006</v>
      </c>
    </row>
    <row r="149" spans="1:28">
      <c r="A149" s="23">
        <v>45497</v>
      </c>
      <c r="B149">
        <v>2.5</v>
      </c>
      <c r="C149">
        <v>2.65</v>
      </c>
      <c r="D149">
        <v>1.513952</v>
      </c>
      <c r="E149" s="23">
        <v>45497</v>
      </c>
      <c r="F149">
        <v>0.5</v>
      </c>
      <c r="G149">
        <v>0.6</v>
      </c>
      <c r="H149">
        <v>0.28462999999999999</v>
      </c>
      <c r="I149" s="23">
        <v>45497</v>
      </c>
      <c r="J149">
        <v>1.5</v>
      </c>
      <c r="K149">
        <v>1.65</v>
      </c>
      <c r="L149">
        <v>0.88516300000000003</v>
      </c>
      <c r="M149" s="23">
        <v>45497</v>
      </c>
      <c r="N149">
        <v>3</v>
      </c>
      <c r="O149">
        <v>3.15</v>
      </c>
      <c r="P149">
        <v>2.1276600000000001</v>
      </c>
      <c r="Q149" s="23">
        <v>45497</v>
      </c>
      <c r="R149">
        <v>3.5</v>
      </c>
      <c r="S149">
        <v>3.65</v>
      </c>
      <c r="T149">
        <v>2.9934560000000001</v>
      </c>
      <c r="U149" s="23">
        <v>45497</v>
      </c>
      <c r="V149">
        <v>2.75</v>
      </c>
      <c r="W149">
        <v>2.9</v>
      </c>
      <c r="X149">
        <v>2.545477</v>
      </c>
      <c r="Y149" s="23">
        <v>45497</v>
      </c>
      <c r="Z149">
        <v>7.49</v>
      </c>
      <c r="AA149">
        <v>7.7693925528861989</v>
      </c>
      <c r="AB149">
        <v>7.6400000000000006</v>
      </c>
    </row>
    <row r="150" spans="1:28">
      <c r="A150" s="23">
        <v>45498</v>
      </c>
      <c r="B150">
        <v>2.5</v>
      </c>
      <c r="C150">
        <v>2.65</v>
      </c>
      <c r="D150">
        <v>1.5290330000000001</v>
      </c>
      <c r="E150" s="23">
        <v>45498</v>
      </c>
      <c r="F150">
        <v>0.5</v>
      </c>
      <c r="G150">
        <v>0.6</v>
      </c>
      <c r="H150">
        <v>0.285582</v>
      </c>
      <c r="I150" s="23">
        <v>45498</v>
      </c>
      <c r="J150">
        <v>1.5</v>
      </c>
      <c r="K150">
        <v>1.65</v>
      </c>
      <c r="L150">
        <v>0.92246799999999995</v>
      </c>
      <c r="M150" s="23">
        <v>45498</v>
      </c>
      <c r="N150">
        <v>3</v>
      </c>
      <c r="O150">
        <v>3.15</v>
      </c>
      <c r="P150">
        <v>2.0976569999999999</v>
      </c>
      <c r="Q150" s="23">
        <v>45498</v>
      </c>
      <c r="R150">
        <v>3.5</v>
      </c>
      <c r="S150">
        <v>3.65</v>
      </c>
      <c r="T150">
        <v>2.9510710000000002</v>
      </c>
      <c r="U150" s="23">
        <v>45498</v>
      </c>
      <c r="V150">
        <v>2.75</v>
      </c>
      <c r="W150">
        <v>2.9</v>
      </c>
      <c r="X150">
        <v>2.522459</v>
      </c>
      <c r="Y150" s="23">
        <v>45498</v>
      </c>
      <c r="Z150">
        <v>7.49</v>
      </c>
      <c r="AA150">
        <v>7.6338603323537493</v>
      </c>
      <c r="AB150">
        <v>7.6400000000000006</v>
      </c>
    </row>
    <row r="151" spans="1:28">
      <c r="A151" s="23">
        <v>45499</v>
      </c>
      <c r="B151">
        <v>2.5</v>
      </c>
      <c r="C151">
        <v>2.65</v>
      </c>
      <c r="D151">
        <v>1.5229999999999999</v>
      </c>
      <c r="E151" s="23">
        <v>45499</v>
      </c>
      <c r="F151">
        <v>0.5</v>
      </c>
      <c r="G151">
        <v>0.6</v>
      </c>
      <c r="H151">
        <v>0.28320099999999998</v>
      </c>
      <c r="I151" s="23">
        <v>45499</v>
      </c>
      <c r="J151">
        <v>1.5</v>
      </c>
      <c r="K151">
        <v>1.65</v>
      </c>
      <c r="L151">
        <v>0.91961000000000004</v>
      </c>
      <c r="M151" s="23">
        <v>45499</v>
      </c>
      <c r="N151">
        <v>3</v>
      </c>
      <c r="O151">
        <v>3.15</v>
      </c>
      <c r="P151">
        <v>2.0832120000000001</v>
      </c>
      <c r="Q151" s="23">
        <v>45499</v>
      </c>
      <c r="R151">
        <v>3.5</v>
      </c>
      <c r="S151">
        <v>3.65</v>
      </c>
      <c r="T151">
        <v>2.9282119999999998</v>
      </c>
      <c r="U151" s="23">
        <v>45499</v>
      </c>
      <c r="V151">
        <v>2.75</v>
      </c>
      <c r="W151">
        <v>2.9</v>
      </c>
      <c r="X151">
        <v>2.5030920000000001</v>
      </c>
      <c r="Y151" s="23">
        <v>45499</v>
      </c>
      <c r="Z151">
        <v>7.49</v>
      </c>
      <c r="AA151">
        <v>7.7120369341446429</v>
      </c>
      <c r="AB151">
        <v>7.6400000000000006</v>
      </c>
    </row>
    <row r="152" spans="1:28">
      <c r="A152" s="23">
        <v>45502</v>
      </c>
      <c r="B152">
        <v>2.5</v>
      </c>
      <c r="C152">
        <v>2.65</v>
      </c>
      <c r="D152">
        <v>1.462995</v>
      </c>
      <c r="E152" s="23">
        <v>45502</v>
      </c>
      <c r="F152">
        <v>0.5</v>
      </c>
      <c r="G152">
        <v>0.6</v>
      </c>
      <c r="H152">
        <v>0.27955000000000002</v>
      </c>
      <c r="I152" s="23">
        <v>45502</v>
      </c>
      <c r="J152">
        <v>1.5</v>
      </c>
      <c r="K152">
        <v>1.65</v>
      </c>
      <c r="L152">
        <v>0.79785300000000003</v>
      </c>
      <c r="M152" s="23">
        <v>45502</v>
      </c>
      <c r="N152">
        <v>3</v>
      </c>
      <c r="O152">
        <v>3.15</v>
      </c>
      <c r="P152">
        <v>2.0909900000000001</v>
      </c>
      <c r="Q152" s="23">
        <v>45502</v>
      </c>
      <c r="R152">
        <v>3.5</v>
      </c>
      <c r="S152">
        <v>3.65</v>
      </c>
      <c r="T152">
        <v>2.9402759999999999</v>
      </c>
      <c r="U152" s="23">
        <v>45502</v>
      </c>
      <c r="V152">
        <v>2.75</v>
      </c>
      <c r="W152">
        <v>2.9</v>
      </c>
      <c r="X152">
        <v>2.5123000000000002</v>
      </c>
      <c r="Y152" s="23">
        <v>45502</v>
      </c>
      <c r="Z152">
        <v>7.49</v>
      </c>
      <c r="AA152">
        <v>7.6652846386393447</v>
      </c>
      <c r="AB152">
        <v>7.6400000000000006</v>
      </c>
    </row>
    <row r="153" spans="1:28">
      <c r="A153" s="23">
        <v>45503</v>
      </c>
      <c r="B153">
        <v>2.5</v>
      </c>
      <c r="C153">
        <v>2.65</v>
      </c>
      <c r="D153">
        <v>1.467916</v>
      </c>
      <c r="E153" s="23">
        <v>45503</v>
      </c>
      <c r="F153">
        <v>0.5</v>
      </c>
      <c r="G153">
        <v>0.6</v>
      </c>
      <c r="H153">
        <v>0.27955000000000002</v>
      </c>
      <c r="I153" s="23">
        <v>45503</v>
      </c>
      <c r="J153">
        <v>1.5</v>
      </c>
      <c r="K153">
        <v>1.65</v>
      </c>
      <c r="L153">
        <v>0.79086800000000002</v>
      </c>
      <c r="M153" s="23">
        <v>45503</v>
      </c>
      <c r="N153">
        <v>3</v>
      </c>
      <c r="O153">
        <v>3.15</v>
      </c>
      <c r="P153">
        <v>2.1243270000000001</v>
      </c>
      <c r="Q153" s="23">
        <v>45503</v>
      </c>
      <c r="R153">
        <v>3.5</v>
      </c>
      <c r="S153">
        <v>3.65</v>
      </c>
      <c r="T153">
        <v>3.0058379999999998</v>
      </c>
      <c r="U153" s="23">
        <v>45503</v>
      </c>
      <c r="V153">
        <v>2.75</v>
      </c>
      <c r="W153">
        <v>2.9</v>
      </c>
      <c r="X153">
        <v>2.435308</v>
      </c>
      <c r="Y153" s="23">
        <v>45503</v>
      </c>
      <c r="Z153">
        <v>7.49</v>
      </c>
      <c r="AA153">
        <v>7.6912823241105759</v>
      </c>
      <c r="AB153">
        <v>7.6400000000000006</v>
      </c>
    </row>
    <row r="154" spans="1:28">
      <c r="A154" s="23">
        <v>45504</v>
      </c>
      <c r="B154">
        <v>2.5</v>
      </c>
      <c r="C154">
        <v>2.65</v>
      </c>
      <c r="D154">
        <v>1.5852280000000001</v>
      </c>
      <c r="E154" s="23">
        <v>45504</v>
      </c>
      <c r="F154">
        <v>0.5</v>
      </c>
      <c r="G154">
        <v>0.6</v>
      </c>
      <c r="H154">
        <v>0.33368199999999998</v>
      </c>
      <c r="I154" s="23">
        <v>45504</v>
      </c>
      <c r="J154">
        <v>1.5</v>
      </c>
      <c r="K154">
        <v>1.65</v>
      </c>
      <c r="L154">
        <v>0.78896299999999997</v>
      </c>
      <c r="M154" s="23">
        <v>45504</v>
      </c>
      <c r="N154">
        <v>3</v>
      </c>
      <c r="O154">
        <v>3.15</v>
      </c>
      <c r="P154">
        <v>2.2335430000000001</v>
      </c>
      <c r="Q154" s="23">
        <v>45504</v>
      </c>
      <c r="R154">
        <v>3.5</v>
      </c>
      <c r="S154">
        <v>3.65</v>
      </c>
      <c r="T154">
        <v>3.2063329999999999</v>
      </c>
      <c r="U154" s="23">
        <v>45504</v>
      </c>
      <c r="V154">
        <v>2.75</v>
      </c>
      <c r="W154">
        <v>2.9</v>
      </c>
      <c r="X154">
        <v>2.5019809999999998</v>
      </c>
      <c r="Y154" s="23">
        <v>45504</v>
      </c>
      <c r="Z154">
        <v>7.49</v>
      </c>
      <c r="AA154">
        <v>7.5548637393167031</v>
      </c>
      <c r="AB154">
        <v>7.6400000000000006</v>
      </c>
    </row>
    <row r="155" spans="1:28">
      <c r="A155" s="23">
        <v>45505</v>
      </c>
      <c r="B155">
        <v>2.5</v>
      </c>
      <c r="C155">
        <v>2.65</v>
      </c>
      <c r="D155">
        <v>1.497601</v>
      </c>
      <c r="E155" s="23">
        <v>45505</v>
      </c>
      <c r="F155">
        <v>0.5</v>
      </c>
      <c r="G155">
        <v>0.6</v>
      </c>
      <c r="H155">
        <v>0.33400000000000002</v>
      </c>
      <c r="I155" s="23">
        <v>45505</v>
      </c>
      <c r="J155">
        <v>1.5</v>
      </c>
      <c r="K155">
        <v>1.65</v>
      </c>
      <c r="L155">
        <v>0.68085799999999996</v>
      </c>
      <c r="M155" s="23">
        <v>45505</v>
      </c>
      <c r="N155">
        <v>3</v>
      </c>
      <c r="O155">
        <v>3.15</v>
      </c>
      <c r="P155">
        <v>2.1852849999999999</v>
      </c>
      <c r="Q155" s="23">
        <v>45505</v>
      </c>
      <c r="R155">
        <v>3.5</v>
      </c>
      <c r="S155">
        <v>3.65</v>
      </c>
      <c r="T155">
        <v>3.1564869999999998</v>
      </c>
      <c r="U155" s="23">
        <v>45505</v>
      </c>
      <c r="V155">
        <v>2.75</v>
      </c>
      <c r="W155">
        <v>2.9</v>
      </c>
      <c r="X155">
        <v>2.4945200000000001</v>
      </c>
      <c r="Y155" s="23">
        <v>45505</v>
      </c>
      <c r="Z155">
        <v>7.49</v>
      </c>
      <c r="AA155">
        <v>7.5573549246942049</v>
      </c>
      <c r="AB155">
        <v>7.6400000000000006</v>
      </c>
    </row>
    <row r="156" spans="1:28">
      <c r="A156" s="23">
        <v>45506</v>
      </c>
      <c r="B156">
        <v>2.5</v>
      </c>
      <c r="C156">
        <v>2.65</v>
      </c>
      <c r="D156">
        <v>1.466963</v>
      </c>
      <c r="E156" s="23">
        <v>45506</v>
      </c>
      <c r="F156">
        <v>0.5</v>
      </c>
      <c r="G156">
        <v>0.6</v>
      </c>
      <c r="H156">
        <v>0.34606399999999998</v>
      </c>
      <c r="I156" s="23">
        <v>45506</v>
      </c>
      <c r="J156">
        <v>1.5</v>
      </c>
      <c r="K156">
        <v>1.65</v>
      </c>
      <c r="L156">
        <v>0.67974599999999996</v>
      </c>
      <c r="M156" s="23">
        <v>45506</v>
      </c>
      <c r="N156">
        <v>3</v>
      </c>
      <c r="O156">
        <v>3.15</v>
      </c>
      <c r="P156">
        <v>2.1498849999999998</v>
      </c>
      <c r="Q156" s="23">
        <v>45506</v>
      </c>
      <c r="R156">
        <v>3.5</v>
      </c>
      <c r="S156">
        <v>3.65</v>
      </c>
      <c r="T156">
        <v>3.1123560000000001</v>
      </c>
      <c r="U156" s="23">
        <v>45506</v>
      </c>
      <c r="V156">
        <v>2.75</v>
      </c>
      <c r="W156">
        <v>2.9</v>
      </c>
      <c r="X156">
        <v>2.4870589999999999</v>
      </c>
      <c r="Y156" s="23">
        <v>45506</v>
      </c>
      <c r="Z156">
        <v>7.49</v>
      </c>
      <c r="AA156">
        <v>7.5672671981121598</v>
      </c>
      <c r="AB156">
        <v>7.6400000000000006</v>
      </c>
    </row>
    <row r="157" spans="1:28">
      <c r="A157" s="23">
        <v>45509</v>
      </c>
      <c r="B157">
        <v>2.5</v>
      </c>
      <c r="C157">
        <v>2.65</v>
      </c>
      <c r="D157">
        <v>1.4366429999999999</v>
      </c>
      <c r="E157" s="23">
        <v>45509</v>
      </c>
      <c r="F157">
        <v>0.5</v>
      </c>
      <c r="G157">
        <v>0.6</v>
      </c>
      <c r="H157">
        <v>0.34908</v>
      </c>
      <c r="I157" s="23">
        <v>45509</v>
      </c>
      <c r="J157">
        <v>1.5</v>
      </c>
      <c r="K157">
        <v>1.65</v>
      </c>
      <c r="L157">
        <v>0.682921</v>
      </c>
      <c r="M157" s="23">
        <v>45509</v>
      </c>
      <c r="N157">
        <v>3</v>
      </c>
      <c r="O157">
        <v>3.15</v>
      </c>
      <c r="P157">
        <v>2.124962</v>
      </c>
      <c r="Q157" s="23">
        <v>45509</v>
      </c>
      <c r="R157">
        <v>3.5</v>
      </c>
      <c r="S157">
        <v>3.65</v>
      </c>
      <c r="T157">
        <v>3.1039430000000001</v>
      </c>
      <c r="U157" s="23">
        <v>45509</v>
      </c>
      <c r="V157">
        <v>2.75</v>
      </c>
      <c r="W157">
        <v>2.9</v>
      </c>
      <c r="X157">
        <v>2.4341970000000002</v>
      </c>
      <c r="Y157" s="23">
        <v>45509</v>
      </c>
      <c r="Z157">
        <v>7.49</v>
      </c>
      <c r="AA157">
        <v>7.7653740971011427</v>
      </c>
      <c r="AB157">
        <v>7.6400000000000006</v>
      </c>
    </row>
    <row r="158" spans="1:28">
      <c r="A158" s="23">
        <v>45510</v>
      </c>
      <c r="B158">
        <v>2.5</v>
      </c>
      <c r="C158">
        <v>2.65</v>
      </c>
      <c r="D158">
        <v>1.4777579999999999</v>
      </c>
      <c r="E158" s="23">
        <v>45510</v>
      </c>
      <c r="F158">
        <v>0.5</v>
      </c>
      <c r="G158">
        <v>0.6</v>
      </c>
      <c r="H158">
        <v>0.34765200000000002</v>
      </c>
      <c r="I158" s="23">
        <v>45510</v>
      </c>
      <c r="J158">
        <v>1.5</v>
      </c>
      <c r="K158">
        <v>1.65</v>
      </c>
      <c r="L158">
        <v>0.69816100000000003</v>
      </c>
      <c r="M158" s="23">
        <v>45510</v>
      </c>
      <c r="N158">
        <v>3</v>
      </c>
      <c r="O158">
        <v>3.15</v>
      </c>
      <c r="P158">
        <v>2.1811569999999998</v>
      </c>
      <c r="Q158" s="23">
        <v>45510</v>
      </c>
      <c r="R158">
        <v>3.5</v>
      </c>
      <c r="S158">
        <v>3.65</v>
      </c>
      <c r="T158">
        <v>3.2015709999999999</v>
      </c>
      <c r="U158" s="23">
        <v>45510</v>
      </c>
      <c r="V158">
        <v>2.75</v>
      </c>
      <c r="W158">
        <v>2.9</v>
      </c>
      <c r="X158">
        <v>2.4622950000000001</v>
      </c>
      <c r="Y158" s="23">
        <v>45510</v>
      </c>
      <c r="Z158">
        <v>7.49</v>
      </c>
      <c r="AA158">
        <v>8.053783222655392</v>
      </c>
      <c r="AB158">
        <v>7.6400000000000006</v>
      </c>
    </row>
    <row r="159" spans="1:28">
      <c r="A159" s="23">
        <v>45511</v>
      </c>
      <c r="B159">
        <v>2.5</v>
      </c>
      <c r="C159">
        <v>2.65</v>
      </c>
      <c r="D159">
        <v>1.509666</v>
      </c>
      <c r="E159" s="23">
        <v>45511</v>
      </c>
      <c r="F159">
        <v>0.5</v>
      </c>
      <c r="G159">
        <v>0.6</v>
      </c>
      <c r="H159">
        <v>0.34860400000000002</v>
      </c>
      <c r="I159" s="23">
        <v>45511</v>
      </c>
      <c r="J159">
        <v>1.5</v>
      </c>
      <c r="K159">
        <v>1.65</v>
      </c>
      <c r="L159">
        <v>0.70832099999999998</v>
      </c>
      <c r="M159" s="23">
        <v>45511</v>
      </c>
      <c r="N159">
        <v>3</v>
      </c>
      <c r="O159">
        <v>3.15</v>
      </c>
      <c r="P159">
        <v>2.239258</v>
      </c>
      <c r="Q159" s="23">
        <v>45511</v>
      </c>
      <c r="R159">
        <v>3.5</v>
      </c>
      <c r="S159">
        <v>3.65</v>
      </c>
      <c r="T159">
        <v>3.2704659999999999</v>
      </c>
      <c r="U159" s="23">
        <v>45511</v>
      </c>
      <c r="V159">
        <v>2.75</v>
      </c>
      <c r="W159">
        <v>2.9</v>
      </c>
      <c r="X159">
        <v>2.4305460000000001</v>
      </c>
      <c r="Y159" s="23">
        <v>45511</v>
      </c>
      <c r="Z159">
        <v>7.49</v>
      </c>
      <c r="AA159">
        <v>7.9427921429789734</v>
      </c>
      <c r="AB159">
        <v>7.6400000000000006</v>
      </c>
    </row>
    <row r="160" spans="1:28">
      <c r="A160" s="23">
        <v>45512</v>
      </c>
      <c r="B160">
        <v>2.5</v>
      </c>
      <c r="C160">
        <v>2.65</v>
      </c>
      <c r="D160">
        <v>1.5222070000000001</v>
      </c>
      <c r="E160" s="23">
        <v>45512</v>
      </c>
      <c r="F160">
        <v>0.5</v>
      </c>
      <c r="G160">
        <v>0.6</v>
      </c>
      <c r="H160">
        <v>0.346858</v>
      </c>
      <c r="I160" s="23">
        <v>45512</v>
      </c>
      <c r="J160">
        <v>1.5</v>
      </c>
      <c r="K160">
        <v>1.65</v>
      </c>
      <c r="L160">
        <v>0.71070199999999994</v>
      </c>
      <c r="M160" s="23">
        <v>45512</v>
      </c>
      <c r="N160">
        <v>3</v>
      </c>
      <c r="O160">
        <v>3.15</v>
      </c>
      <c r="P160">
        <v>2.243862</v>
      </c>
      <c r="Q160" s="23">
        <v>45512</v>
      </c>
      <c r="R160">
        <v>3.5</v>
      </c>
      <c r="S160">
        <v>3.65</v>
      </c>
      <c r="T160">
        <v>3.2669739999999998</v>
      </c>
      <c r="U160" s="23">
        <v>45512</v>
      </c>
      <c r="V160">
        <v>2.75</v>
      </c>
      <c r="W160">
        <v>2.9</v>
      </c>
      <c r="X160">
        <v>2.482297</v>
      </c>
      <c r="Y160" s="23">
        <v>45512</v>
      </c>
      <c r="Z160">
        <v>7.49</v>
      </c>
      <c r="AA160">
        <v>8.2433568804668056</v>
      </c>
      <c r="AB160">
        <v>7.6400000000000006</v>
      </c>
    </row>
    <row r="161" spans="1:28">
      <c r="A161" s="23">
        <v>45513</v>
      </c>
      <c r="B161">
        <v>2.5</v>
      </c>
      <c r="C161">
        <v>2.65</v>
      </c>
      <c r="D161">
        <v>1.53189</v>
      </c>
      <c r="E161" s="23">
        <v>45513</v>
      </c>
      <c r="F161">
        <v>0.5</v>
      </c>
      <c r="G161">
        <v>0.6</v>
      </c>
      <c r="H161">
        <v>0.34511199999999997</v>
      </c>
      <c r="I161" s="23">
        <v>45513</v>
      </c>
      <c r="J161">
        <v>1.5</v>
      </c>
      <c r="K161">
        <v>1.65</v>
      </c>
      <c r="L161">
        <v>0.712924</v>
      </c>
      <c r="M161" s="23">
        <v>45513</v>
      </c>
      <c r="N161">
        <v>3</v>
      </c>
      <c r="O161">
        <v>3.15</v>
      </c>
      <c r="P161">
        <v>2.253228</v>
      </c>
      <c r="Q161" s="23">
        <v>45513</v>
      </c>
      <c r="R161">
        <v>3.5</v>
      </c>
      <c r="S161">
        <v>3.65</v>
      </c>
      <c r="T161">
        <v>3.2899919999999998</v>
      </c>
      <c r="U161" s="23">
        <v>45513</v>
      </c>
      <c r="V161">
        <v>2.75</v>
      </c>
      <c r="W161">
        <v>2.9</v>
      </c>
      <c r="X161">
        <v>2.468486</v>
      </c>
      <c r="Y161" s="23">
        <v>45513</v>
      </c>
      <c r="Z161">
        <v>7.49</v>
      </c>
      <c r="AA161">
        <v>8.1190776287659467</v>
      </c>
      <c r="AB161">
        <v>7.6400000000000006</v>
      </c>
    </row>
    <row r="162" spans="1:28">
      <c r="A162" s="23">
        <v>45516</v>
      </c>
      <c r="B162">
        <v>2.5</v>
      </c>
      <c r="C162">
        <v>2.65</v>
      </c>
      <c r="D162">
        <v>1.5382400000000001</v>
      </c>
      <c r="E162" s="23">
        <v>45516</v>
      </c>
      <c r="F162">
        <v>0.5</v>
      </c>
      <c r="G162">
        <v>0.6</v>
      </c>
      <c r="H162">
        <v>0.34114299999999997</v>
      </c>
      <c r="I162" s="23">
        <v>45516</v>
      </c>
      <c r="J162">
        <v>1.5</v>
      </c>
      <c r="K162">
        <v>1.65</v>
      </c>
      <c r="L162">
        <v>0.71578200000000003</v>
      </c>
      <c r="M162" s="23">
        <v>45516</v>
      </c>
      <c r="N162">
        <v>3</v>
      </c>
      <c r="O162">
        <v>3.15</v>
      </c>
      <c r="P162">
        <v>2.2587839999999999</v>
      </c>
      <c r="Q162" s="23">
        <v>45516</v>
      </c>
      <c r="R162">
        <v>3.5</v>
      </c>
      <c r="S162">
        <v>3.65</v>
      </c>
      <c r="T162">
        <v>3.3076120000000002</v>
      </c>
      <c r="U162" s="23">
        <v>45516</v>
      </c>
      <c r="V162">
        <v>2.75</v>
      </c>
      <c r="W162">
        <v>2.9</v>
      </c>
      <c r="X162">
        <v>2.5111880000000002</v>
      </c>
      <c r="Y162" s="23">
        <v>45516</v>
      </c>
      <c r="Z162">
        <v>7.49</v>
      </c>
      <c r="AA162">
        <v>8.0690069440459649</v>
      </c>
      <c r="AB162">
        <v>7.6400000000000006</v>
      </c>
    </row>
    <row r="163" spans="1:28">
      <c r="A163" s="23">
        <v>45517</v>
      </c>
      <c r="B163">
        <v>2.5</v>
      </c>
      <c r="C163">
        <v>2.65</v>
      </c>
      <c r="D163">
        <v>1.5760209999999999</v>
      </c>
      <c r="E163" s="23">
        <v>45517</v>
      </c>
      <c r="F163">
        <v>0.5</v>
      </c>
      <c r="G163">
        <v>0.6</v>
      </c>
      <c r="H163">
        <v>0.340667</v>
      </c>
      <c r="I163" s="23">
        <v>45517</v>
      </c>
      <c r="J163">
        <v>1.5</v>
      </c>
      <c r="K163">
        <v>1.65</v>
      </c>
      <c r="L163">
        <v>0.73197400000000001</v>
      </c>
      <c r="M163" s="23">
        <v>45517</v>
      </c>
      <c r="N163">
        <v>3</v>
      </c>
      <c r="O163">
        <v>3.15</v>
      </c>
      <c r="P163">
        <v>2.2952949999999999</v>
      </c>
      <c r="Q163" s="23">
        <v>45517</v>
      </c>
      <c r="R163">
        <v>3.5</v>
      </c>
      <c r="S163">
        <v>3.65</v>
      </c>
      <c r="T163">
        <v>3.3596810000000001</v>
      </c>
      <c r="U163" s="23">
        <v>45517</v>
      </c>
      <c r="V163">
        <v>2.75</v>
      </c>
      <c r="W163">
        <v>2.9</v>
      </c>
      <c r="X163">
        <v>2.5659550000000002</v>
      </c>
      <c r="Y163" s="23">
        <v>45517</v>
      </c>
      <c r="Z163">
        <v>7.49</v>
      </c>
      <c r="AA163">
        <v>8.3782527845144621</v>
      </c>
      <c r="AB163">
        <v>7.6400000000000006</v>
      </c>
    </row>
    <row r="164" spans="1:28">
      <c r="A164" s="23">
        <v>45518</v>
      </c>
      <c r="B164">
        <v>2.5</v>
      </c>
      <c r="C164">
        <v>2.65</v>
      </c>
      <c r="D164">
        <v>1.573005</v>
      </c>
      <c r="E164" s="23">
        <v>45518</v>
      </c>
      <c r="F164">
        <v>0.5</v>
      </c>
      <c r="G164">
        <v>0.6</v>
      </c>
      <c r="H164">
        <v>0.33828599999999998</v>
      </c>
      <c r="I164" s="23">
        <v>45518</v>
      </c>
      <c r="J164">
        <v>1.5</v>
      </c>
      <c r="K164">
        <v>1.65</v>
      </c>
      <c r="L164">
        <v>0.73197400000000001</v>
      </c>
      <c r="M164" s="23">
        <v>45518</v>
      </c>
      <c r="N164">
        <v>3</v>
      </c>
      <c r="O164">
        <v>3.15</v>
      </c>
      <c r="P164">
        <v>2.289898</v>
      </c>
      <c r="Q164" s="23">
        <v>45518</v>
      </c>
      <c r="R164">
        <v>3.5</v>
      </c>
      <c r="S164">
        <v>3.65</v>
      </c>
      <c r="T164">
        <v>3.3503150000000002</v>
      </c>
      <c r="U164" s="23">
        <v>45518</v>
      </c>
      <c r="V164">
        <v>2.75</v>
      </c>
      <c r="W164">
        <v>2.9</v>
      </c>
      <c r="X164">
        <v>2.5613519999999999</v>
      </c>
      <c r="Y164" s="23">
        <v>45518</v>
      </c>
      <c r="Z164">
        <v>7.49</v>
      </c>
      <c r="AA164">
        <v>8.3473488693364057</v>
      </c>
      <c r="AB164">
        <v>7.6400000000000006</v>
      </c>
    </row>
    <row r="165" spans="1:28">
      <c r="A165" s="23">
        <v>45519</v>
      </c>
      <c r="B165">
        <v>2.5</v>
      </c>
      <c r="C165">
        <v>2.65</v>
      </c>
      <c r="D165">
        <v>1.586657</v>
      </c>
      <c r="E165" s="23">
        <v>45519</v>
      </c>
      <c r="F165">
        <v>0.5</v>
      </c>
      <c r="G165">
        <v>0.6</v>
      </c>
      <c r="H165">
        <v>0.342254</v>
      </c>
      <c r="I165" s="23">
        <v>45519</v>
      </c>
      <c r="J165">
        <v>1.5</v>
      </c>
      <c r="K165">
        <v>1.65</v>
      </c>
      <c r="L165">
        <v>0.73229100000000003</v>
      </c>
      <c r="M165" s="23">
        <v>45519</v>
      </c>
      <c r="N165">
        <v>3</v>
      </c>
      <c r="O165">
        <v>3.15</v>
      </c>
      <c r="P165">
        <v>2.2959299999999998</v>
      </c>
      <c r="Q165" s="23">
        <v>45519</v>
      </c>
      <c r="R165">
        <v>3.5</v>
      </c>
      <c r="S165">
        <v>3.65</v>
      </c>
      <c r="T165">
        <v>3.3434889999999999</v>
      </c>
      <c r="U165" s="23">
        <v>45519</v>
      </c>
      <c r="V165">
        <v>2.75</v>
      </c>
      <c r="W165">
        <v>2.9</v>
      </c>
      <c r="X165">
        <v>2.5792899999999999</v>
      </c>
      <c r="Y165" s="23">
        <v>45519</v>
      </c>
      <c r="Z165">
        <v>7.49</v>
      </c>
      <c r="AA165">
        <v>8.3473488693364057</v>
      </c>
      <c r="AB165">
        <v>7.6400000000000006</v>
      </c>
    </row>
    <row r="166" spans="1:28">
      <c r="A166" s="23">
        <v>45520</v>
      </c>
      <c r="B166">
        <v>2.5</v>
      </c>
      <c r="C166">
        <v>2.65</v>
      </c>
      <c r="D166">
        <v>1.6018969999999999</v>
      </c>
      <c r="E166" s="23">
        <v>45520</v>
      </c>
      <c r="F166">
        <v>0.5</v>
      </c>
      <c r="G166">
        <v>0.6</v>
      </c>
      <c r="H166">
        <v>0.33987299999999998</v>
      </c>
      <c r="I166" s="23">
        <v>45520</v>
      </c>
      <c r="J166">
        <v>1.5</v>
      </c>
      <c r="K166">
        <v>1.65</v>
      </c>
      <c r="L166">
        <v>0.73435499999999998</v>
      </c>
      <c r="M166" s="23">
        <v>45520</v>
      </c>
      <c r="N166">
        <v>3</v>
      </c>
      <c r="O166">
        <v>3.15</v>
      </c>
      <c r="P166">
        <v>2.3140269999999998</v>
      </c>
      <c r="Q166" s="23">
        <v>45520</v>
      </c>
      <c r="R166">
        <v>3.5</v>
      </c>
      <c r="S166">
        <v>3.65</v>
      </c>
      <c r="T166">
        <v>3.3661889999999999</v>
      </c>
      <c r="U166" s="23">
        <v>45520</v>
      </c>
      <c r="V166">
        <v>2.75</v>
      </c>
      <c r="W166">
        <v>2.9</v>
      </c>
      <c r="X166">
        <v>2.5764330000000002</v>
      </c>
      <c r="Y166" s="23">
        <v>45520</v>
      </c>
      <c r="Z166">
        <v>7.49</v>
      </c>
      <c r="AA166">
        <v>8.428614653581203</v>
      </c>
      <c r="AB166">
        <v>7.6400000000000006</v>
      </c>
    </row>
    <row r="167" spans="1:28">
      <c r="A167" s="23">
        <v>45523</v>
      </c>
      <c r="B167">
        <v>2.5</v>
      </c>
      <c r="C167">
        <v>2.65</v>
      </c>
      <c r="D167">
        <v>1.6042780000000001</v>
      </c>
      <c r="E167" s="23">
        <v>45523</v>
      </c>
      <c r="F167">
        <v>0.5</v>
      </c>
      <c r="G167">
        <v>0.6</v>
      </c>
      <c r="H167">
        <v>0.33638099999999999</v>
      </c>
      <c r="I167" s="23">
        <v>45523</v>
      </c>
      <c r="J167">
        <v>1.5</v>
      </c>
      <c r="K167">
        <v>1.65</v>
      </c>
      <c r="L167">
        <v>0.73530700000000004</v>
      </c>
      <c r="M167" s="23">
        <v>45523</v>
      </c>
      <c r="N167">
        <v>3</v>
      </c>
      <c r="O167">
        <v>3.15</v>
      </c>
      <c r="P167">
        <v>2.3060900000000002</v>
      </c>
      <c r="Q167" s="23">
        <v>45523</v>
      </c>
      <c r="R167">
        <v>3.5</v>
      </c>
      <c r="S167">
        <v>3.65</v>
      </c>
      <c r="T167">
        <v>3.3534899999999999</v>
      </c>
      <c r="U167" s="23">
        <v>45523</v>
      </c>
      <c r="V167">
        <v>2.75</v>
      </c>
      <c r="W167">
        <v>2.9</v>
      </c>
      <c r="X167">
        <v>2.5937359999999998</v>
      </c>
      <c r="Y167" s="23">
        <v>45523</v>
      </c>
      <c r="Z167">
        <v>7.49</v>
      </c>
      <c r="AA167">
        <v>8.4402237980497006</v>
      </c>
      <c r="AB167">
        <v>7.6400000000000006</v>
      </c>
    </row>
    <row r="168" spans="1:28">
      <c r="A168" s="23">
        <v>45524</v>
      </c>
      <c r="B168">
        <v>2.5</v>
      </c>
      <c r="C168">
        <v>2.65</v>
      </c>
      <c r="D168">
        <v>1.5818950000000001</v>
      </c>
      <c r="E168" s="23">
        <v>45524</v>
      </c>
      <c r="F168">
        <v>0.5</v>
      </c>
      <c r="G168">
        <v>0.6</v>
      </c>
      <c r="H168">
        <v>0.33511099999999999</v>
      </c>
      <c r="I168" s="23">
        <v>45524</v>
      </c>
      <c r="J168">
        <v>1.5</v>
      </c>
      <c r="K168">
        <v>1.65</v>
      </c>
      <c r="L168">
        <v>0.73086200000000001</v>
      </c>
      <c r="M168" s="23">
        <v>45524</v>
      </c>
      <c r="N168">
        <v>3</v>
      </c>
      <c r="O168">
        <v>3.15</v>
      </c>
      <c r="P168">
        <v>2.274499</v>
      </c>
      <c r="Q168" s="23">
        <v>45524</v>
      </c>
      <c r="R168">
        <v>3.5</v>
      </c>
      <c r="S168">
        <v>3.65</v>
      </c>
      <c r="T168">
        <v>3.2730060000000001</v>
      </c>
      <c r="U168" s="23">
        <v>45524</v>
      </c>
      <c r="V168">
        <v>2.75</v>
      </c>
      <c r="W168">
        <v>2.9</v>
      </c>
      <c r="X168">
        <v>2.6083400000000001</v>
      </c>
      <c r="Y168" s="23">
        <v>45524</v>
      </c>
      <c r="Z168">
        <v>7.49</v>
      </c>
      <c r="AA168">
        <v>8.4355138205479161</v>
      </c>
      <c r="AB168">
        <v>7.6400000000000006</v>
      </c>
    </row>
    <row r="169" spans="1:28">
      <c r="A169" s="23">
        <v>45525</v>
      </c>
      <c r="B169">
        <v>2.5</v>
      </c>
      <c r="C169">
        <v>2.65</v>
      </c>
      <c r="D169">
        <v>1.578244</v>
      </c>
      <c r="E169" s="23">
        <v>45525</v>
      </c>
      <c r="F169">
        <v>0.5</v>
      </c>
      <c r="G169">
        <v>0.6</v>
      </c>
      <c r="H169">
        <v>0.33273000000000003</v>
      </c>
      <c r="I169" s="23">
        <v>45525</v>
      </c>
      <c r="J169">
        <v>1.5</v>
      </c>
      <c r="K169">
        <v>1.65</v>
      </c>
      <c r="L169">
        <v>0.73260899999999995</v>
      </c>
      <c r="M169" s="23">
        <v>45525</v>
      </c>
      <c r="N169">
        <v>3</v>
      </c>
      <c r="O169">
        <v>3.15</v>
      </c>
      <c r="P169">
        <v>2.262276</v>
      </c>
      <c r="Q169" s="23">
        <v>45525</v>
      </c>
      <c r="R169">
        <v>3.5</v>
      </c>
      <c r="S169">
        <v>3.65</v>
      </c>
      <c r="T169">
        <v>3.2509399999999999</v>
      </c>
      <c r="U169" s="23">
        <v>45525</v>
      </c>
      <c r="V169">
        <v>2.75</v>
      </c>
      <c r="W169">
        <v>2.9</v>
      </c>
      <c r="X169">
        <v>2.601197</v>
      </c>
      <c r="Y169" s="23">
        <v>45525</v>
      </c>
      <c r="Z169">
        <v>7.49</v>
      </c>
      <c r="AA169">
        <v>8.3349283088163464</v>
      </c>
      <c r="AB169">
        <v>7.6400000000000006</v>
      </c>
    </row>
    <row r="170" spans="1:28">
      <c r="A170" s="23">
        <v>45526</v>
      </c>
      <c r="B170">
        <v>2.5</v>
      </c>
      <c r="C170">
        <v>2.65</v>
      </c>
      <c r="D170">
        <v>1.5558609999999999</v>
      </c>
      <c r="E170" s="23">
        <v>45526</v>
      </c>
      <c r="F170">
        <v>0.5</v>
      </c>
      <c r="G170">
        <v>0.6</v>
      </c>
      <c r="H170">
        <v>0.33145999999999998</v>
      </c>
      <c r="I170" s="23">
        <v>45526</v>
      </c>
      <c r="J170">
        <v>1.5</v>
      </c>
      <c r="K170">
        <v>1.65</v>
      </c>
      <c r="L170">
        <v>0.72324299999999997</v>
      </c>
      <c r="M170" s="23">
        <v>45526</v>
      </c>
      <c r="N170">
        <v>3</v>
      </c>
      <c r="O170">
        <v>3.15</v>
      </c>
      <c r="P170">
        <v>2.2379880000000001</v>
      </c>
      <c r="Q170" s="23">
        <v>45526</v>
      </c>
      <c r="R170">
        <v>3.5</v>
      </c>
      <c r="S170">
        <v>3.65</v>
      </c>
      <c r="T170">
        <v>3.219033</v>
      </c>
      <c r="U170" s="23">
        <v>45526</v>
      </c>
      <c r="V170">
        <v>2.75</v>
      </c>
      <c r="W170">
        <v>2.9</v>
      </c>
      <c r="X170">
        <v>2.5648439999999999</v>
      </c>
      <c r="Y170" s="23">
        <v>45526</v>
      </c>
      <c r="Z170">
        <v>7.49</v>
      </c>
      <c r="AA170">
        <v>8.2028768821223697</v>
      </c>
      <c r="AB170">
        <v>7.6400000000000006</v>
      </c>
    </row>
    <row r="171" spans="1:28">
      <c r="A171" s="23">
        <v>45527</v>
      </c>
      <c r="B171">
        <v>2.5</v>
      </c>
      <c r="C171">
        <v>2.65</v>
      </c>
      <c r="D171">
        <v>1.5698300000000001</v>
      </c>
      <c r="E171" s="23">
        <v>45527</v>
      </c>
      <c r="F171">
        <v>0.5</v>
      </c>
      <c r="G171">
        <v>0.6</v>
      </c>
      <c r="H171">
        <v>0.329237</v>
      </c>
      <c r="I171" s="23">
        <v>45527</v>
      </c>
      <c r="J171">
        <v>1.5</v>
      </c>
      <c r="K171">
        <v>1.65</v>
      </c>
      <c r="L171">
        <v>0.72975100000000004</v>
      </c>
      <c r="M171" s="23">
        <v>45527</v>
      </c>
      <c r="N171">
        <v>3</v>
      </c>
      <c r="O171">
        <v>3.15</v>
      </c>
      <c r="P171">
        <v>2.2497349999999998</v>
      </c>
      <c r="Q171" s="23">
        <v>45527</v>
      </c>
      <c r="R171">
        <v>3.5</v>
      </c>
      <c r="S171">
        <v>3.65</v>
      </c>
      <c r="T171">
        <v>3.2318910000000001</v>
      </c>
      <c r="U171" s="23">
        <v>45527</v>
      </c>
      <c r="V171">
        <v>2.75</v>
      </c>
      <c r="W171">
        <v>2.9</v>
      </c>
      <c r="X171">
        <v>2.5870690000000001</v>
      </c>
      <c r="Y171" s="23">
        <v>45527</v>
      </c>
      <c r="Z171">
        <v>7.49</v>
      </c>
      <c r="AA171">
        <v>8.2126407098167906</v>
      </c>
      <c r="AB171">
        <v>7.6400000000000006</v>
      </c>
    </row>
    <row r="172" spans="1:28">
      <c r="A172" s="23">
        <v>45530</v>
      </c>
      <c r="B172">
        <v>2.5</v>
      </c>
      <c r="C172">
        <v>2.65</v>
      </c>
      <c r="D172">
        <v>1.554273</v>
      </c>
      <c r="E172" s="23">
        <v>45530</v>
      </c>
      <c r="F172">
        <v>0.5</v>
      </c>
      <c r="G172">
        <v>0.6</v>
      </c>
      <c r="H172">
        <v>0.32622099999999998</v>
      </c>
      <c r="I172" s="23">
        <v>45530</v>
      </c>
      <c r="J172">
        <v>1.5</v>
      </c>
      <c r="K172">
        <v>1.65</v>
      </c>
      <c r="L172">
        <v>0.72355999999999998</v>
      </c>
      <c r="M172" s="23">
        <v>45530</v>
      </c>
      <c r="N172">
        <v>3</v>
      </c>
      <c r="O172">
        <v>3.15</v>
      </c>
      <c r="P172">
        <v>2.234178</v>
      </c>
      <c r="Q172" s="23">
        <v>45530</v>
      </c>
      <c r="R172">
        <v>3.5</v>
      </c>
      <c r="S172">
        <v>3.65</v>
      </c>
      <c r="T172">
        <v>3.2112539999999998</v>
      </c>
      <c r="U172" s="23">
        <v>45530</v>
      </c>
      <c r="V172">
        <v>2.75</v>
      </c>
      <c r="W172">
        <v>2.9</v>
      </c>
      <c r="X172">
        <v>2.5615109999999999</v>
      </c>
      <c r="Y172" s="23">
        <v>45530</v>
      </c>
      <c r="Z172">
        <v>7.49</v>
      </c>
      <c r="AA172">
        <v>8.1239165341947146</v>
      </c>
      <c r="AB172">
        <v>7.6400000000000006</v>
      </c>
    </row>
    <row r="173" spans="1:28">
      <c r="A173" s="23">
        <v>45531</v>
      </c>
      <c r="B173">
        <v>2.5</v>
      </c>
      <c r="C173">
        <v>2.65</v>
      </c>
      <c r="D173">
        <v>1.5485580000000001</v>
      </c>
      <c r="E173" s="23">
        <v>45531</v>
      </c>
      <c r="F173">
        <v>0.5</v>
      </c>
      <c r="G173">
        <v>0.6</v>
      </c>
      <c r="H173">
        <v>0.32161800000000001</v>
      </c>
      <c r="I173" s="23">
        <v>45531</v>
      </c>
      <c r="J173">
        <v>1.5</v>
      </c>
      <c r="K173">
        <v>1.65</v>
      </c>
      <c r="L173">
        <v>0.72228999999999999</v>
      </c>
      <c r="M173" s="23">
        <v>45531</v>
      </c>
      <c r="N173">
        <v>3</v>
      </c>
      <c r="O173">
        <v>3.15</v>
      </c>
      <c r="P173">
        <v>2.2152880000000001</v>
      </c>
      <c r="Q173" s="23">
        <v>45531</v>
      </c>
      <c r="R173">
        <v>3.5</v>
      </c>
      <c r="S173">
        <v>3.65</v>
      </c>
      <c r="T173">
        <v>3.173473</v>
      </c>
      <c r="U173" s="23">
        <v>45531</v>
      </c>
      <c r="V173">
        <v>2.75</v>
      </c>
      <c r="W173">
        <v>2.9</v>
      </c>
      <c r="X173">
        <v>2.5626220000000002</v>
      </c>
      <c r="Y173" s="23">
        <v>45531</v>
      </c>
      <c r="Z173">
        <v>7.49</v>
      </c>
      <c r="AA173">
        <v>8.1381943213218371</v>
      </c>
      <c r="AB173">
        <v>7.6400000000000006</v>
      </c>
    </row>
    <row r="174" spans="1:28">
      <c r="A174" s="23">
        <v>45532</v>
      </c>
      <c r="B174">
        <v>2.5</v>
      </c>
      <c r="C174">
        <v>2.65</v>
      </c>
      <c r="D174">
        <v>1.533954</v>
      </c>
      <c r="E174" s="23">
        <v>45532</v>
      </c>
      <c r="F174">
        <v>0.5</v>
      </c>
      <c r="G174">
        <v>0.6</v>
      </c>
      <c r="H174">
        <v>0.31971300000000002</v>
      </c>
      <c r="I174" s="23">
        <v>45532</v>
      </c>
      <c r="J174">
        <v>1.5</v>
      </c>
      <c r="K174">
        <v>1.65</v>
      </c>
      <c r="L174">
        <v>0.71832099999999999</v>
      </c>
      <c r="M174" s="23">
        <v>45532</v>
      </c>
      <c r="N174">
        <v>3</v>
      </c>
      <c r="O174">
        <v>3.15</v>
      </c>
      <c r="P174">
        <v>2.1963970000000002</v>
      </c>
      <c r="Q174" s="23">
        <v>45532</v>
      </c>
      <c r="R174">
        <v>3.5</v>
      </c>
      <c r="S174">
        <v>3.65</v>
      </c>
      <c r="T174">
        <v>3.1493440000000001</v>
      </c>
      <c r="U174" s="23">
        <v>45532</v>
      </c>
      <c r="V174">
        <v>2.75</v>
      </c>
      <c r="W174">
        <v>2.9</v>
      </c>
      <c r="X174">
        <v>2.532778</v>
      </c>
      <c r="Y174" s="23">
        <v>45532</v>
      </c>
      <c r="Z174">
        <v>7.49</v>
      </c>
      <c r="AA174">
        <v>7.7874708578690157</v>
      </c>
      <c r="AB174">
        <v>7.6400000000000006</v>
      </c>
    </row>
    <row r="175" spans="1:28">
      <c r="A175" s="23">
        <v>45533</v>
      </c>
      <c r="B175">
        <v>2.5</v>
      </c>
      <c r="C175">
        <v>2.65</v>
      </c>
      <c r="D175">
        <v>1.518238</v>
      </c>
      <c r="E175" s="23">
        <v>45533</v>
      </c>
      <c r="F175">
        <v>0.5</v>
      </c>
      <c r="G175">
        <v>0.6</v>
      </c>
      <c r="H175">
        <v>0.31828400000000001</v>
      </c>
      <c r="I175" s="23">
        <v>45533</v>
      </c>
      <c r="J175">
        <v>1.5</v>
      </c>
      <c r="K175">
        <v>1.65</v>
      </c>
      <c r="L175">
        <v>0.71641699999999997</v>
      </c>
      <c r="M175" s="23">
        <v>45533</v>
      </c>
      <c r="N175">
        <v>3</v>
      </c>
      <c r="O175">
        <v>3.15</v>
      </c>
      <c r="P175">
        <v>2.1768709999999998</v>
      </c>
      <c r="Q175" s="23">
        <v>45533</v>
      </c>
      <c r="R175">
        <v>3.5</v>
      </c>
      <c r="S175">
        <v>3.65</v>
      </c>
      <c r="T175">
        <v>3.1098159999999999</v>
      </c>
      <c r="U175" s="23">
        <v>45533</v>
      </c>
      <c r="V175">
        <v>2.75</v>
      </c>
      <c r="W175">
        <v>2.9</v>
      </c>
      <c r="X175">
        <v>2.477217</v>
      </c>
      <c r="Y175" s="23">
        <v>45533</v>
      </c>
      <c r="Z175">
        <v>7.49</v>
      </c>
      <c r="AA175">
        <v>8.0872545533716451</v>
      </c>
      <c r="AB175">
        <v>7.6400000000000006</v>
      </c>
    </row>
    <row r="176" spans="1:28">
      <c r="A176" s="23">
        <v>45534</v>
      </c>
      <c r="B176">
        <v>2.5</v>
      </c>
      <c r="C176">
        <v>2.65</v>
      </c>
      <c r="D176">
        <v>1.509031</v>
      </c>
      <c r="E176" s="23">
        <v>45534</v>
      </c>
      <c r="F176">
        <v>0.5</v>
      </c>
      <c r="G176">
        <v>0.6</v>
      </c>
      <c r="H176">
        <v>0.36479600000000001</v>
      </c>
      <c r="I176" s="23">
        <v>45534</v>
      </c>
      <c r="J176">
        <v>1.5</v>
      </c>
      <c r="K176">
        <v>1.65</v>
      </c>
      <c r="L176">
        <v>0.68609600000000004</v>
      </c>
      <c r="M176" s="23">
        <v>45534</v>
      </c>
      <c r="N176">
        <v>3</v>
      </c>
      <c r="O176">
        <v>3.15</v>
      </c>
      <c r="P176">
        <v>2.165124</v>
      </c>
      <c r="Q176" s="23">
        <v>45534</v>
      </c>
      <c r="R176">
        <v>3.5</v>
      </c>
      <c r="S176">
        <v>3.65</v>
      </c>
      <c r="T176">
        <v>3.0950530000000001</v>
      </c>
      <c r="U176" s="23">
        <v>45534</v>
      </c>
      <c r="V176">
        <v>2.75</v>
      </c>
      <c r="W176">
        <v>2.9</v>
      </c>
      <c r="X176">
        <v>2.4662639999999998</v>
      </c>
      <c r="Y176" s="23">
        <v>45534</v>
      </c>
      <c r="Z176">
        <v>7.49</v>
      </c>
      <c r="AA176">
        <v>8.0511737429014563</v>
      </c>
      <c r="AB176">
        <v>7.6400000000000006</v>
      </c>
    </row>
    <row r="177" spans="1:28">
      <c r="A177" s="23">
        <v>45537</v>
      </c>
      <c r="B177">
        <v>2.5</v>
      </c>
      <c r="C177">
        <v>2.65</v>
      </c>
      <c r="D177">
        <v>1.5074430000000001</v>
      </c>
      <c r="E177" s="23">
        <v>45537</v>
      </c>
      <c r="F177">
        <v>0.5</v>
      </c>
      <c r="G177">
        <v>0.6</v>
      </c>
      <c r="H177">
        <v>0.366701</v>
      </c>
      <c r="I177" s="23">
        <v>45537</v>
      </c>
      <c r="J177">
        <v>1.5</v>
      </c>
      <c r="K177">
        <v>1.65</v>
      </c>
      <c r="L177">
        <v>0.68387399999999998</v>
      </c>
      <c r="M177" s="23">
        <v>45537</v>
      </c>
      <c r="N177">
        <v>3</v>
      </c>
      <c r="O177">
        <v>3.15</v>
      </c>
      <c r="P177">
        <v>2.1581389999999998</v>
      </c>
      <c r="Q177" s="23">
        <v>45537</v>
      </c>
      <c r="R177">
        <v>3.5</v>
      </c>
      <c r="S177">
        <v>3.65</v>
      </c>
      <c r="T177">
        <v>3.0790199999999999</v>
      </c>
      <c r="U177" s="23">
        <v>45537</v>
      </c>
      <c r="V177">
        <v>2.75</v>
      </c>
      <c r="W177">
        <v>2.9</v>
      </c>
      <c r="X177">
        <v>2.4586440000000001</v>
      </c>
      <c r="Y177" s="23">
        <v>45537</v>
      </c>
      <c r="Z177">
        <v>7.49</v>
      </c>
      <c r="AA177">
        <v>7.8824401661900172</v>
      </c>
      <c r="AB177">
        <v>7.6400000000000006</v>
      </c>
    </row>
    <row r="178" spans="1:28">
      <c r="A178" s="23">
        <v>45538</v>
      </c>
      <c r="B178">
        <v>2.5</v>
      </c>
      <c r="C178">
        <v>2.65</v>
      </c>
      <c r="D178">
        <v>1.4672810000000001</v>
      </c>
      <c r="E178" s="23">
        <v>45538</v>
      </c>
      <c r="F178">
        <v>0.5</v>
      </c>
      <c r="G178">
        <v>0.6</v>
      </c>
      <c r="H178">
        <v>0.36527199999999999</v>
      </c>
      <c r="I178" s="23">
        <v>45538</v>
      </c>
      <c r="J178">
        <v>1.5</v>
      </c>
      <c r="K178">
        <v>1.65</v>
      </c>
      <c r="L178">
        <v>0.67260299999999995</v>
      </c>
      <c r="M178" s="23">
        <v>45538</v>
      </c>
      <c r="N178">
        <v>3</v>
      </c>
      <c r="O178">
        <v>3.15</v>
      </c>
      <c r="P178">
        <v>2.1208339999999999</v>
      </c>
      <c r="Q178" s="23">
        <v>45538</v>
      </c>
      <c r="R178">
        <v>3.5</v>
      </c>
      <c r="S178">
        <v>3.65</v>
      </c>
      <c r="T178">
        <v>3.0390160000000002</v>
      </c>
      <c r="U178" s="23">
        <v>45538</v>
      </c>
      <c r="V178">
        <v>2.75</v>
      </c>
      <c r="W178">
        <v>2.9</v>
      </c>
      <c r="X178">
        <v>2.398479</v>
      </c>
      <c r="Y178" s="23">
        <v>45538</v>
      </c>
      <c r="Z178">
        <v>7.49</v>
      </c>
      <c r="AA178">
        <v>7.7238496566245347</v>
      </c>
      <c r="AB178">
        <v>7.6400000000000006</v>
      </c>
    </row>
    <row r="179" spans="1:28">
      <c r="A179" s="23">
        <v>45539</v>
      </c>
      <c r="B179">
        <v>2.5</v>
      </c>
      <c r="C179">
        <v>2.65</v>
      </c>
      <c r="D179">
        <v>1.450771</v>
      </c>
      <c r="E179" s="23">
        <v>45539</v>
      </c>
      <c r="F179">
        <v>0.5</v>
      </c>
      <c r="G179">
        <v>0.6</v>
      </c>
      <c r="H179">
        <v>0.36511399999999999</v>
      </c>
      <c r="I179" s="23">
        <v>45539</v>
      </c>
      <c r="J179">
        <v>1.5</v>
      </c>
      <c r="K179">
        <v>1.65</v>
      </c>
      <c r="L179">
        <v>0.64402899999999996</v>
      </c>
      <c r="M179" s="23">
        <v>45539</v>
      </c>
      <c r="N179">
        <v>3</v>
      </c>
      <c r="O179">
        <v>3.15</v>
      </c>
      <c r="P179">
        <v>2.1035309999999998</v>
      </c>
      <c r="Q179" s="23">
        <v>45539</v>
      </c>
      <c r="R179">
        <v>3.5</v>
      </c>
      <c r="S179">
        <v>3.65</v>
      </c>
      <c r="T179">
        <v>3.0093299999999998</v>
      </c>
      <c r="U179" s="23">
        <v>45539</v>
      </c>
      <c r="V179">
        <v>2.75</v>
      </c>
      <c r="W179">
        <v>2.9</v>
      </c>
      <c r="X179">
        <v>2.3435540000000001</v>
      </c>
      <c r="Y179" s="23">
        <v>45539</v>
      </c>
      <c r="Z179">
        <v>9.99</v>
      </c>
      <c r="AA179">
        <v>7.8403702341596615</v>
      </c>
      <c r="AB179">
        <v>10.14</v>
      </c>
    </row>
    <row r="180" spans="1:28">
      <c r="A180" s="23">
        <v>45540</v>
      </c>
      <c r="B180">
        <v>2.5</v>
      </c>
      <c r="C180">
        <v>2.65</v>
      </c>
      <c r="D180">
        <v>1.460137</v>
      </c>
      <c r="E180" s="23">
        <v>45540</v>
      </c>
      <c r="F180">
        <v>0.5</v>
      </c>
      <c r="G180">
        <v>0.6</v>
      </c>
      <c r="H180">
        <v>0.42908800000000002</v>
      </c>
      <c r="I180" s="23">
        <v>45540</v>
      </c>
      <c r="J180">
        <v>1.5</v>
      </c>
      <c r="K180">
        <v>1.65</v>
      </c>
      <c r="L180">
        <v>0.66974500000000003</v>
      </c>
      <c r="M180" s="23">
        <v>45540</v>
      </c>
      <c r="N180">
        <v>3</v>
      </c>
      <c r="O180">
        <v>3.15</v>
      </c>
      <c r="P180">
        <v>2.111151</v>
      </c>
      <c r="Q180" s="23">
        <v>45540</v>
      </c>
      <c r="R180">
        <v>3.5</v>
      </c>
      <c r="S180">
        <v>3.65</v>
      </c>
      <c r="T180">
        <v>3.0142519999999999</v>
      </c>
      <c r="U180" s="23">
        <v>45540</v>
      </c>
      <c r="V180">
        <v>2.75</v>
      </c>
      <c r="W180">
        <v>2.9</v>
      </c>
      <c r="X180">
        <v>2.3089469999999999</v>
      </c>
      <c r="Y180" s="23">
        <v>45540</v>
      </c>
      <c r="Z180">
        <v>9.99</v>
      </c>
      <c r="AA180">
        <v>7.875516067774603</v>
      </c>
      <c r="AB180">
        <v>10.14</v>
      </c>
    </row>
    <row r="181" spans="1:28">
      <c r="A181" s="23">
        <v>45541</v>
      </c>
      <c r="B181">
        <v>2.5</v>
      </c>
      <c r="C181">
        <v>2.65</v>
      </c>
      <c r="D181">
        <v>1.473948</v>
      </c>
      <c r="E181" s="23">
        <v>45541</v>
      </c>
      <c r="F181">
        <v>0.5</v>
      </c>
      <c r="G181">
        <v>0.6</v>
      </c>
      <c r="H181">
        <v>0.430199</v>
      </c>
      <c r="I181" s="23">
        <v>45541</v>
      </c>
      <c r="J181">
        <v>1.5</v>
      </c>
      <c r="K181">
        <v>1.65</v>
      </c>
      <c r="L181">
        <v>0.67879400000000001</v>
      </c>
      <c r="M181" s="23">
        <v>45541</v>
      </c>
      <c r="N181">
        <v>3</v>
      </c>
      <c r="O181">
        <v>3.15</v>
      </c>
      <c r="P181">
        <v>2.1313110000000002</v>
      </c>
      <c r="Q181" s="23">
        <v>45541</v>
      </c>
      <c r="R181">
        <v>3.5</v>
      </c>
      <c r="S181">
        <v>3.65</v>
      </c>
      <c r="T181">
        <v>3.0461589999999998</v>
      </c>
      <c r="U181" s="23">
        <v>45541</v>
      </c>
      <c r="V181">
        <v>2.75</v>
      </c>
      <c r="W181">
        <v>2.9</v>
      </c>
      <c r="X181">
        <v>2.3273619999999999</v>
      </c>
      <c r="Y181" s="23">
        <v>45541</v>
      </c>
      <c r="Z181">
        <v>9.99</v>
      </c>
      <c r="AA181">
        <v>7.6493599219594826</v>
      </c>
      <c r="AB181">
        <v>10.14</v>
      </c>
    </row>
    <row r="182" spans="1:28">
      <c r="A182" s="23">
        <v>45544</v>
      </c>
      <c r="B182">
        <v>2.5</v>
      </c>
      <c r="C182">
        <v>2.65</v>
      </c>
      <c r="D182">
        <v>1.4799800000000001</v>
      </c>
      <c r="E182" s="23">
        <v>45544</v>
      </c>
      <c r="F182">
        <v>0.5</v>
      </c>
      <c r="G182">
        <v>0.6</v>
      </c>
      <c r="H182">
        <v>0.42543700000000001</v>
      </c>
      <c r="I182" s="23">
        <v>45544</v>
      </c>
      <c r="J182">
        <v>1.5</v>
      </c>
      <c r="K182">
        <v>1.65</v>
      </c>
      <c r="L182">
        <v>0.68212799999999996</v>
      </c>
      <c r="M182" s="23">
        <v>45544</v>
      </c>
      <c r="N182">
        <v>3</v>
      </c>
      <c r="O182">
        <v>3.15</v>
      </c>
      <c r="P182">
        <v>2.1316290000000002</v>
      </c>
      <c r="Q182" s="23">
        <v>45544</v>
      </c>
      <c r="R182">
        <v>3.5</v>
      </c>
      <c r="S182">
        <v>3.65</v>
      </c>
      <c r="T182">
        <v>3.0434610000000002</v>
      </c>
      <c r="U182" s="23">
        <v>45544</v>
      </c>
      <c r="V182">
        <v>2.75</v>
      </c>
      <c r="W182">
        <v>2.9</v>
      </c>
      <c r="X182">
        <v>2.3500619999999999</v>
      </c>
      <c r="Y182" s="23">
        <v>45544</v>
      </c>
      <c r="Z182">
        <v>9.99</v>
      </c>
      <c r="AA182">
        <v>7.5656010524404662</v>
      </c>
      <c r="AB182">
        <v>10.14</v>
      </c>
    </row>
    <row r="183" spans="1:28">
      <c r="A183" s="23">
        <v>45545</v>
      </c>
      <c r="B183">
        <v>2.5</v>
      </c>
      <c r="C183">
        <v>2.65</v>
      </c>
      <c r="D183">
        <v>1.4769639999999999</v>
      </c>
      <c r="E183" s="23">
        <v>45545</v>
      </c>
      <c r="F183">
        <v>0.5</v>
      </c>
      <c r="G183">
        <v>0.6</v>
      </c>
      <c r="H183">
        <v>0.42289700000000002</v>
      </c>
      <c r="I183" s="23">
        <v>45545</v>
      </c>
      <c r="J183">
        <v>1.5</v>
      </c>
      <c r="K183">
        <v>1.65</v>
      </c>
      <c r="L183">
        <v>0.68339799999999995</v>
      </c>
      <c r="M183" s="23">
        <v>45545</v>
      </c>
      <c r="N183">
        <v>3</v>
      </c>
      <c r="O183">
        <v>3.15</v>
      </c>
      <c r="P183">
        <v>2.1209929999999999</v>
      </c>
      <c r="Q183" s="23">
        <v>45545</v>
      </c>
      <c r="R183">
        <v>3.5</v>
      </c>
      <c r="S183">
        <v>3.65</v>
      </c>
      <c r="T183">
        <v>3.0340950000000002</v>
      </c>
      <c r="U183" s="23">
        <v>45545</v>
      </c>
      <c r="V183">
        <v>2.75</v>
      </c>
      <c r="W183">
        <v>2.9</v>
      </c>
      <c r="X183">
        <v>2.3687939999999998</v>
      </c>
      <c r="Y183" s="23">
        <v>45545</v>
      </c>
      <c r="Z183">
        <v>9.99</v>
      </c>
      <c r="AA183">
        <v>7.5606850319327989</v>
      </c>
      <c r="AB183">
        <v>10.14</v>
      </c>
    </row>
    <row r="184" spans="1:28">
      <c r="A184" s="23">
        <v>45546</v>
      </c>
      <c r="B184">
        <v>2.5</v>
      </c>
      <c r="C184">
        <v>2.65</v>
      </c>
      <c r="D184">
        <v>1.4844250000000001</v>
      </c>
      <c r="E184" s="23">
        <v>45546</v>
      </c>
      <c r="F184">
        <v>0.5</v>
      </c>
      <c r="G184">
        <v>0.6</v>
      </c>
      <c r="H184">
        <v>0.42226200000000003</v>
      </c>
      <c r="I184" s="23">
        <v>45546</v>
      </c>
      <c r="J184">
        <v>1.5</v>
      </c>
      <c r="K184">
        <v>1.65</v>
      </c>
      <c r="L184">
        <v>0.68276300000000001</v>
      </c>
      <c r="M184" s="23">
        <v>45546</v>
      </c>
      <c r="N184">
        <v>3</v>
      </c>
      <c r="O184">
        <v>3.15</v>
      </c>
      <c r="P184">
        <v>2.120676</v>
      </c>
      <c r="Q184" s="23">
        <v>45546</v>
      </c>
      <c r="R184">
        <v>3.5</v>
      </c>
      <c r="S184">
        <v>3.65</v>
      </c>
      <c r="T184">
        <v>3.0377459999999998</v>
      </c>
      <c r="U184" s="23">
        <v>45546</v>
      </c>
      <c r="V184">
        <v>2.75</v>
      </c>
      <c r="W184">
        <v>2.9</v>
      </c>
      <c r="X184">
        <v>2.4837259999999999</v>
      </c>
      <c r="Y184" s="23">
        <v>45546</v>
      </c>
      <c r="Z184">
        <v>9.99</v>
      </c>
      <c r="AA184">
        <v>7.6150929838996966</v>
      </c>
      <c r="AB184">
        <v>10.14</v>
      </c>
    </row>
    <row r="185" spans="1:28">
      <c r="A185" s="23">
        <v>45547</v>
      </c>
      <c r="B185">
        <v>2.5</v>
      </c>
      <c r="C185">
        <v>2.65</v>
      </c>
      <c r="D185">
        <v>1.531255</v>
      </c>
      <c r="E185" s="23">
        <v>45547</v>
      </c>
      <c r="F185">
        <v>0.5</v>
      </c>
      <c r="G185">
        <v>0.6</v>
      </c>
      <c r="H185">
        <v>0.43035800000000002</v>
      </c>
      <c r="I185" s="23">
        <v>45547</v>
      </c>
      <c r="J185">
        <v>1.5</v>
      </c>
      <c r="K185">
        <v>1.65</v>
      </c>
      <c r="L185">
        <v>0.70419299999999996</v>
      </c>
      <c r="M185" s="23">
        <v>45547</v>
      </c>
      <c r="N185">
        <v>3</v>
      </c>
      <c r="O185">
        <v>3.15</v>
      </c>
      <c r="P185">
        <v>2.115278</v>
      </c>
      <c r="Q185" s="23">
        <v>45547</v>
      </c>
      <c r="R185">
        <v>3.5</v>
      </c>
      <c r="S185">
        <v>3.65</v>
      </c>
      <c r="T185">
        <v>3.0283799999999998</v>
      </c>
      <c r="U185" s="23">
        <v>45547</v>
      </c>
      <c r="V185">
        <v>2.75</v>
      </c>
      <c r="W185">
        <v>2.9</v>
      </c>
      <c r="X185">
        <v>2.482297</v>
      </c>
      <c r="Y185" s="23">
        <v>45547</v>
      </c>
      <c r="Z185">
        <v>9.99</v>
      </c>
      <c r="AA185">
        <v>7.7869553859326883</v>
      </c>
      <c r="AB185">
        <v>10.14</v>
      </c>
    </row>
    <row r="186" spans="1:28">
      <c r="A186" s="23">
        <v>45548</v>
      </c>
      <c r="B186">
        <v>2.5</v>
      </c>
      <c r="C186">
        <v>2.65</v>
      </c>
      <c r="D186">
        <v>1.4945850000000001</v>
      </c>
      <c r="E186" s="23">
        <v>45548</v>
      </c>
      <c r="F186">
        <v>0.5</v>
      </c>
      <c r="G186">
        <v>0.6</v>
      </c>
      <c r="H186">
        <v>0.42781799999999998</v>
      </c>
      <c r="I186" s="23">
        <v>45548</v>
      </c>
      <c r="J186">
        <v>1.5</v>
      </c>
      <c r="K186">
        <v>1.65</v>
      </c>
      <c r="L186">
        <v>0.70990799999999998</v>
      </c>
      <c r="M186" s="23">
        <v>45548</v>
      </c>
      <c r="N186">
        <v>3</v>
      </c>
      <c r="O186">
        <v>3.15</v>
      </c>
      <c r="P186">
        <v>2.1100400000000001</v>
      </c>
      <c r="Q186" s="23">
        <v>45548</v>
      </c>
      <c r="R186">
        <v>3.5</v>
      </c>
      <c r="S186">
        <v>3.65</v>
      </c>
      <c r="T186">
        <v>3.0158390000000002</v>
      </c>
      <c r="U186" s="23">
        <v>45548</v>
      </c>
      <c r="V186">
        <v>2.75</v>
      </c>
      <c r="W186">
        <v>2.9</v>
      </c>
      <c r="X186">
        <v>2.4524530000000002</v>
      </c>
      <c r="Y186" s="23">
        <v>45548</v>
      </c>
      <c r="Z186">
        <v>9.99</v>
      </c>
      <c r="AA186">
        <v>7.7462438944674306</v>
      </c>
      <c r="AB186">
        <v>10.14</v>
      </c>
    </row>
    <row r="187" spans="1:28">
      <c r="A187" s="23">
        <v>45551</v>
      </c>
      <c r="B187">
        <v>2.5</v>
      </c>
      <c r="C187">
        <v>2.65</v>
      </c>
      <c r="D187">
        <v>1.484108</v>
      </c>
      <c r="E187" s="23">
        <v>45551</v>
      </c>
      <c r="F187">
        <v>0.5</v>
      </c>
      <c r="G187">
        <v>0.6</v>
      </c>
      <c r="H187">
        <v>0.423373</v>
      </c>
      <c r="I187" s="23">
        <v>45551</v>
      </c>
      <c r="J187">
        <v>1.5</v>
      </c>
      <c r="K187">
        <v>1.65</v>
      </c>
      <c r="L187">
        <v>0.70705099999999999</v>
      </c>
      <c r="M187" s="23">
        <v>45551</v>
      </c>
      <c r="N187">
        <v>3</v>
      </c>
      <c r="O187">
        <v>3.15</v>
      </c>
      <c r="P187">
        <v>2.0987689999999999</v>
      </c>
      <c r="Q187" s="23">
        <v>45551</v>
      </c>
      <c r="R187">
        <v>3.5</v>
      </c>
      <c r="S187">
        <v>3.65</v>
      </c>
      <c r="T187">
        <v>3.0182199999999999</v>
      </c>
      <c r="U187" s="23">
        <v>45551</v>
      </c>
      <c r="V187">
        <v>2.75</v>
      </c>
      <c r="W187">
        <v>2.9</v>
      </c>
      <c r="X187">
        <v>2.4327679999999998</v>
      </c>
      <c r="Y187" s="23">
        <v>45551</v>
      </c>
      <c r="Z187">
        <v>9.99</v>
      </c>
      <c r="AA187">
        <v>7.8567296906895754</v>
      </c>
      <c r="AB187">
        <v>10.14</v>
      </c>
    </row>
    <row r="188" spans="1:28">
      <c r="A188" s="23">
        <v>45552</v>
      </c>
      <c r="B188">
        <v>2.5</v>
      </c>
      <c r="C188">
        <v>2.65</v>
      </c>
      <c r="D188">
        <v>1.4571210000000001</v>
      </c>
      <c r="E188" s="23">
        <v>45552</v>
      </c>
      <c r="F188">
        <v>0.5</v>
      </c>
      <c r="G188">
        <v>0.6</v>
      </c>
      <c r="H188">
        <v>0.420516</v>
      </c>
      <c r="I188" s="23">
        <v>45552</v>
      </c>
      <c r="J188">
        <v>1.5</v>
      </c>
      <c r="K188">
        <v>1.65</v>
      </c>
      <c r="L188">
        <v>0.66672900000000002</v>
      </c>
      <c r="M188" s="23">
        <v>45552</v>
      </c>
      <c r="N188">
        <v>3</v>
      </c>
      <c r="O188">
        <v>3.15</v>
      </c>
      <c r="P188">
        <v>2.09226</v>
      </c>
      <c r="Q188" s="23">
        <v>45552</v>
      </c>
      <c r="R188">
        <v>3.5</v>
      </c>
      <c r="S188">
        <v>3.65</v>
      </c>
      <c r="T188">
        <v>3.026475</v>
      </c>
      <c r="U188" s="23">
        <v>45552</v>
      </c>
      <c r="V188">
        <v>2.75</v>
      </c>
      <c r="W188">
        <v>2.9</v>
      </c>
      <c r="X188">
        <v>2.4146709999999998</v>
      </c>
      <c r="Y188" s="23">
        <v>45552</v>
      </c>
      <c r="Z188">
        <v>9.99</v>
      </c>
      <c r="AA188">
        <v>7.7604907954485469</v>
      </c>
      <c r="AB188">
        <v>10.14</v>
      </c>
    </row>
    <row r="189" spans="1:28">
      <c r="A189" s="23">
        <v>45553</v>
      </c>
      <c r="B189">
        <v>2.5</v>
      </c>
      <c r="C189">
        <v>2.65</v>
      </c>
      <c r="D189">
        <v>1.4460090000000001</v>
      </c>
      <c r="E189" s="23">
        <v>45553</v>
      </c>
      <c r="F189">
        <v>0.5</v>
      </c>
      <c r="G189">
        <v>0.6</v>
      </c>
      <c r="H189">
        <v>0.423373</v>
      </c>
      <c r="I189" s="23">
        <v>45553</v>
      </c>
      <c r="J189">
        <v>1.5</v>
      </c>
      <c r="K189">
        <v>1.65</v>
      </c>
      <c r="L189">
        <v>0.66149100000000005</v>
      </c>
      <c r="M189" s="23">
        <v>45553</v>
      </c>
      <c r="N189">
        <v>3</v>
      </c>
      <c r="O189">
        <v>3.15</v>
      </c>
      <c r="P189">
        <v>2.0814650000000001</v>
      </c>
      <c r="Q189" s="23">
        <v>45553</v>
      </c>
      <c r="R189">
        <v>3.5</v>
      </c>
      <c r="S189">
        <v>3.65</v>
      </c>
      <c r="T189">
        <v>3.0045679999999999</v>
      </c>
      <c r="U189" s="23">
        <v>45553</v>
      </c>
      <c r="V189">
        <v>2.75</v>
      </c>
      <c r="W189">
        <v>2.9</v>
      </c>
      <c r="X189">
        <v>2.3914949999999999</v>
      </c>
      <c r="Y189" s="23">
        <v>45553</v>
      </c>
      <c r="Z189">
        <v>9.99</v>
      </c>
      <c r="AA189">
        <v>7.6180757161974535</v>
      </c>
      <c r="AB189">
        <v>10.14</v>
      </c>
    </row>
    <row r="190" spans="1:28">
      <c r="A190" s="23">
        <v>45554</v>
      </c>
      <c r="B190">
        <v>2.5</v>
      </c>
      <c r="C190">
        <v>2.65</v>
      </c>
      <c r="D190">
        <v>1.5274449999999999</v>
      </c>
      <c r="E190" s="23">
        <v>45554</v>
      </c>
      <c r="F190">
        <v>0.5</v>
      </c>
      <c r="G190">
        <v>0.6</v>
      </c>
      <c r="H190">
        <v>0.420516</v>
      </c>
      <c r="I190" s="23">
        <v>45554</v>
      </c>
      <c r="J190">
        <v>1.5</v>
      </c>
      <c r="K190">
        <v>1.65</v>
      </c>
      <c r="L190">
        <v>0.74070499999999995</v>
      </c>
      <c r="M190" s="23">
        <v>45554</v>
      </c>
      <c r="N190">
        <v>3</v>
      </c>
      <c r="O190">
        <v>3.15</v>
      </c>
      <c r="P190">
        <v>2.1217869999999999</v>
      </c>
      <c r="Q190" s="23">
        <v>45554</v>
      </c>
      <c r="R190">
        <v>3.5</v>
      </c>
      <c r="S190">
        <v>3.65</v>
      </c>
      <c r="T190">
        <v>3.0213950000000001</v>
      </c>
      <c r="U190" s="23">
        <v>45554</v>
      </c>
      <c r="V190">
        <v>2.75</v>
      </c>
      <c r="W190">
        <v>2.9</v>
      </c>
      <c r="X190">
        <v>2.3892720000000001</v>
      </c>
      <c r="Y190" s="23">
        <v>45554</v>
      </c>
      <c r="Z190">
        <v>9.99</v>
      </c>
      <c r="AA190">
        <v>7.736903412557635</v>
      </c>
      <c r="AB190">
        <v>10.14</v>
      </c>
    </row>
    <row r="191" spans="1:28">
      <c r="A191" s="23">
        <v>45555</v>
      </c>
      <c r="B191">
        <v>2.5</v>
      </c>
      <c r="C191">
        <v>2.65</v>
      </c>
      <c r="D191">
        <v>1.555067</v>
      </c>
      <c r="E191" s="23">
        <v>45555</v>
      </c>
      <c r="F191">
        <v>0.5</v>
      </c>
      <c r="G191">
        <v>0.6</v>
      </c>
      <c r="H191">
        <v>0.41892800000000002</v>
      </c>
      <c r="I191" s="23">
        <v>45555</v>
      </c>
      <c r="J191">
        <v>1.5</v>
      </c>
      <c r="K191">
        <v>1.65</v>
      </c>
      <c r="L191">
        <v>0.72784599999999999</v>
      </c>
      <c r="M191" s="23">
        <v>45555</v>
      </c>
      <c r="N191">
        <v>3</v>
      </c>
      <c r="O191">
        <v>3.15</v>
      </c>
      <c r="P191">
        <v>2.105912</v>
      </c>
      <c r="Q191" s="23">
        <v>45555</v>
      </c>
      <c r="R191">
        <v>3.5</v>
      </c>
      <c r="S191">
        <v>3.65</v>
      </c>
      <c r="T191">
        <v>3.1034660000000001</v>
      </c>
      <c r="U191" s="23">
        <v>45555</v>
      </c>
      <c r="V191">
        <v>2.75</v>
      </c>
      <c r="W191">
        <v>2.9</v>
      </c>
      <c r="X191">
        <v>2.4054639999999998</v>
      </c>
      <c r="Y191" s="23">
        <v>45555</v>
      </c>
      <c r="Z191">
        <v>9.99</v>
      </c>
      <c r="AA191">
        <v>7.5369544957843448</v>
      </c>
      <c r="AB191">
        <v>10.14</v>
      </c>
    </row>
    <row r="192" spans="1:28">
      <c r="A192" s="23">
        <v>45558</v>
      </c>
      <c r="B192">
        <v>2.5</v>
      </c>
      <c r="C192">
        <v>2.65</v>
      </c>
      <c r="D192">
        <v>1.5495110000000001</v>
      </c>
      <c r="E192" s="23">
        <v>45558</v>
      </c>
      <c r="F192">
        <v>0.5</v>
      </c>
      <c r="G192">
        <v>0.6</v>
      </c>
      <c r="H192">
        <v>0.42654799999999998</v>
      </c>
      <c r="I192" s="23">
        <v>45558</v>
      </c>
      <c r="J192">
        <v>1.5</v>
      </c>
      <c r="K192">
        <v>1.65</v>
      </c>
      <c r="L192">
        <v>0.72879899999999997</v>
      </c>
      <c r="M192" s="23">
        <v>45558</v>
      </c>
      <c r="N192">
        <v>3</v>
      </c>
      <c r="O192">
        <v>3.15</v>
      </c>
      <c r="P192">
        <v>2.0936889999999999</v>
      </c>
      <c r="Q192" s="23">
        <v>45558</v>
      </c>
      <c r="R192">
        <v>3.5</v>
      </c>
      <c r="S192">
        <v>3.65</v>
      </c>
      <c r="T192">
        <v>3.0837819999999998</v>
      </c>
      <c r="U192" s="23">
        <v>45558</v>
      </c>
      <c r="V192">
        <v>2.75</v>
      </c>
      <c r="W192">
        <v>2.9</v>
      </c>
      <c r="X192">
        <v>2.3946700000000001</v>
      </c>
      <c r="Y192" s="23">
        <v>45558</v>
      </c>
      <c r="Z192">
        <v>9.99</v>
      </c>
      <c r="AA192">
        <v>7.4799435832432337</v>
      </c>
      <c r="AB192">
        <v>10.14</v>
      </c>
    </row>
    <row r="193" spans="1:28">
      <c r="A193" s="23">
        <v>45559</v>
      </c>
      <c r="B193">
        <v>2.5</v>
      </c>
      <c r="C193">
        <v>2.65</v>
      </c>
      <c r="D193">
        <v>1.5626869999999999</v>
      </c>
      <c r="E193" s="23">
        <v>45559</v>
      </c>
      <c r="F193">
        <v>0.5</v>
      </c>
      <c r="G193">
        <v>0.6</v>
      </c>
      <c r="H193">
        <v>0.427342</v>
      </c>
      <c r="I193" s="23">
        <v>45559</v>
      </c>
      <c r="J193">
        <v>1.5</v>
      </c>
      <c r="K193">
        <v>1.65</v>
      </c>
      <c r="L193">
        <v>0.73308499999999999</v>
      </c>
      <c r="M193" s="23">
        <v>45559</v>
      </c>
      <c r="N193">
        <v>3</v>
      </c>
      <c r="O193">
        <v>3.15</v>
      </c>
      <c r="P193">
        <v>2.0997210000000002</v>
      </c>
      <c r="Q193" s="23">
        <v>45559</v>
      </c>
      <c r="R193">
        <v>3.5</v>
      </c>
      <c r="S193">
        <v>3.65</v>
      </c>
      <c r="T193">
        <v>3.0891790000000001</v>
      </c>
      <c r="U193" s="23">
        <v>45559</v>
      </c>
      <c r="V193">
        <v>2.75</v>
      </c>
      <c r="W193">
        <v>2.9</v>
      </c>
      <c r="X193">
        <v>2.4200689999999998</v>
      </c>
      <c r="Y193" s="23">
        <v>45559</v>
      </c>
      <c r="Z193">
        <v>9.99</v>
      </c>
      <c r="AA193">
        <v>7.4882306206946572</v>
      </c>
      <c r="AB193">
        <v>10.14</v>
      </c>
    </row>
    <row r="194" spans="1:28">
      <c r="A194" s="23">
        <v>45560</v>
      </c>
      <c r="B194">
        <v>2.5</v>
      </c>
      <c r="C194">
        <v>2.65</v>
      </c>
      <c r="D194">
        <v>1.5657030000000001</v>
      </c>
      <c r="E194" s="23">
        <v>45560</v>
      </c>
      <c r="F194">
        <v>0.5</v>
      </c>
      <c r="G194">
        <v>0.6</v>
      </c>
      <c r="H194">
        <v>0.280503</v>
      </c>
      <c r="I194" s="23">
        <v>45560</v>
      </c>
      <c r="J194">
        <v>1.5</v>
      </c>
      <c r="K194">
        <v>1.65</v>
      </c>
      <c r="L194">
        <v>0.73419599999999996</v>
      </c>
      <c r="M194" s="23">
        <v>45560</v>
      </c>
      <c r="N194">
        <v>3</v>
      </c>
      <c r="O194">
        <v>3.15</v>
      </c>
      <c r="P194">
        <v>2.1086109999999998</v>
      </c>
      <c r="Q194" s="23">
        <v>45560</v>
      </c>
      <c r="R194">
        <v>3.5</v>
      </c>
      <c r="S194">
        <v>3.65</v>
      </c>
      <c r="T194">
        <v>3.1025140000000002</v>
      </c>
      <c r="U194" s="23">
        <v>45560</v>
      </c>
      <c r="V194">
        <v>2.75</v>
      </c>
      <c r="W194">
        <v>2.9</v>
      </c>
      <c r="X194">
        <v>2.42753</v>
      </c>
      <c r="Y194" s="23">
        <v>45560</v>
      </c>
      <c r="Z194">
        <v>9.99</v>
      </c>
      <c r="AA194">
        <v>7.5116527187066389</v>
      </c>
      <c r="AB194">
        <v>10.14</v>
      </c>
    </row>
    <row r="195" spans="1:28">
      <c r="A195" s="23">
        <v>45561</v>
      </c>
      <c r="B195">
        <v>2.5</v>
      </c>
      <c r="C195">
        <v>2.65</v>
      </c>
      <c r="D195">
        <v>1.6192</v>
      </c>
      <c r="E195" s="23">
        <v>45561</v>
      </c>
      <c r="F195">
        <v>0.5</v>
      </c>
      <c r="G195">
        <v>0.6</v>
      </c>
      <c r="H195">
        <v>0.278756</v>
      </c>
      <c r="I195" s="23">
        <v>45561</v>
      </c>
      <c r="J195">
        <v>1.5</v>
      </c>
      <c r="K195">
        <v>1.65</v>
      </c>
      <c r="L195">
        <v>0.745784</v>
      </c>
      <c r="M195" s="23">
        <v>45561</v>
      </c>
      <c r="N195">
        <v>3</v>
      </c>
      <c r="O195">
        <v>3.15</v>
      </c>
      <c r="P195">
        <v>2.2054450000000001</v>
      </c>
      <c r="Q195" s="23">
        <v>45561</v>
      </c>
      <c r="R195">
        <v>3.5</v>
      </c>
      <c r="S195">
        <v>3.65</v>
      </c>
      <c r="T195">
        <v>3.2444320000000002</v>
      </c>
      <c r="U195" s="23">
        <v>45561</v>
      </c>
      <c r="V195">
        <v>2.75</v>
      </c>
      <c r="W195">
        <v>2.9</v>
      </c>
      <c r="X195">
        <v>2.4919799999999999</v>
      </c>
      <c r="Y195" s="23">
        <v>45561</v>
      </c>
      <c r="Z195">
        <v>9.99</v>
      </c>
      <c r="AA195">
        <v>7.7620847372948614</v>
      </c>
      <c r="AB195">
        <v>10.14</v>
      </c>
    </row>
    <row r="196" spans="1:28">
      <c r="A196" s="23">
        <v>45562</v>
      </c>
      <c r="B196">
        <v>2.5</v>
      </c>
      <c r="C196">
        <v>2.65</v>
      </c>
      <c r="D196">
        <v>1.6393599999999999</v>
      </c>
      <c r="E196" s="23">
        <v>45562</v>
      </c>
      <c r="F196">
        <v>0.5</v>
      </c>
      <c r="G196">
        <v>0.6</v>
      </c>
      <c r="H196">
        <v>0.27986800000000001</v>
      </c>
      <c r="I196" s="23">
        <v>45562</v>
      </c>
      <c r="J196">
        <v>1.5</v>
      </c>
      <c r="K196">
        <v>1.65</v>
      </c>
      <c r="L196">
        <v>0.76229400000000003</v>
      </c>
      <c r="M196" s="23">
        <v>45562</v>
      </c>
      <c r="N196">
        <v>3</v>
      </c>
      <c r="O196">
        <v>3.15</v>
      </c>
      <c r="P196">
        <v>2.2348129999999999</v>
      </c>
      <c r="Q196" s="23">
        <v>45562</v>
      </c>
      <c r="R196">
        <v>3.5</v>
      </c>
      <c r="S196">
        <v>3.65</v>
      </c>
      <c r="T196">
        <v>3.268561</v>
      </c>
      <c r="U196" s="23">
        <v>45562</v>
      </c>
      <c r="V196">
        <v>2.75</v>
      </c>
      <c r="W196">
        <v>2.9</v>
      </c>
      <c r="X196">
        <v>2.5038860000000001</v>
      </c>
      <c r="Y196" s="23">
        <v>45562</v>
      </c>
      <c r="Z196">
        <v>9.99</v>
      </c>
      <c r="AA196">
        <v>7.6336438946712759</v>
      </c>
      <c r="AB196">
        <v>10.14</v>
      </c>
    </row>
    <row r="197" spans="1:28">
      <c r="A197" s="23">
        <v>45565</v>
      </c>
      <c r="B197">
        <v>2.5</v>
      </c>
      <c r="C197">
        <v>2.65</v>
      </c>
      <c r="D197">
        <v>1.650631</v>
      </c>
      <c r="E197" s="23">
        <v>45565</v>
      </c>
      <c r="F197">
        <v>0.5</v>
      </c>
      <c r="G197">
        <v>0.6</v>
      </c>
      <c r="H197">
        <v>0.31526799999999999</v>
      </c>
      <c r="I197" s="23">
        <v>45565</v>
      </c>
      <c r="J197">
        <v>1.5</v>
      </c>
      <c r="K197">
        <v>1.65</v>
      </c>
      <c r="L197">
        <v>0.74768900000000005</v>
      </c>
      <c r="M197" s="23">
        <v>45565</v>
      </c>
      <c r="N197">
        <v>3</v>
      </c>
      <c r="O197">
        <v>3.15</v>
      </c>
      <c r="P197">
        <v>2.2867229999999998</v>
      </c>
      <c r="Q197" s="23">
        <v>45565</v>
      </c>
      <c r="R197">
        <v>3.5</v>
      </c>
      <c r="S197">
        <v>3.65</v>
      </c>
      <c r="T197">
        <v>3.3223760000000002</v>
      </c>
      <c r="U197" s="23">
        <v>45565</v>
      </c>
      <c r="V197">
        <v>2.75</v>
      </c>
      <c r="W197">
        <v>2.9</v>
      </c>
      <c r="X197">
        <v>2.5105529999999998</v>
      </c>
      <c r="Y197" s="23">
        <v>45565</v>
      </c>
      <c r="Z197">
        <v>9.99</v>
      </c>
      <c r="AA197">
        <v>7.6746509238449159</v>
      </c>
      <c r="AB197">
        <v>10.14</v>
      </c>
    </row>
    <row r="198" spans="1:28">
      <c r="A198" s="23">
        <v>45566</v>
      </c>
      <c r="B198">
        <v>2.5</v>
      </c>
      <c r="C198">
        <v>2.65</v>
      </c>
      <c r="D198">
        <v>1.6382490000000001</v>
      </c>
      <c r="E198" s="23">
        <v>45566</v>
      </c>
      <c r="F198">
        <v>0.5</v>
      </c>
      <c r="G198">
        <v>0.6</v>
      </c>
      <c r="H198">
        <v>0.31907799999999997</v>
      </c>
      <c r="I198" s="23">
        <v>45566</v>
      </c>
      <c r="J198">
        <v>1.5</v>
      </c>
      <c r="K198">
        <v>1.65</v>
      </c>
      <c r="L198">
        <v>0.74340300000000004</v>
      </c>
      <c r="M198" s="23">
        <v>45566</v>
      </c>
      <c r="N198">
        <v>3</v>
      </c>
      <c r="O198">
        <v>3.15</v>
      </c>
      <c r="P198">
        <v>2.2714829999999999</v>
      </c>
      <c r="Q198" s="23">
        <v>45566</v>
      </c>
      <c r="R198">
        <v>3.5</v>
      </c>
      <c r="S198">
        <v>3.65</v>
      </c>
      <c r="T198">
        <v>3.3698410000000001</v>
      </c>
      <c r="U198" s="23">
        <v>45566</v>
      </c>
      <c r="V198">
        <v>2.75</v>
      </c>
      <c r="W198">
        <v>2.9</v>
      </c>
      <c r="X198">
        <v>2.495949</v>
      </c>
      <c r="Y198" s="23">
        <v>45566</v>
      </c>
      <c r="Z198">
        <v>9.99</v>
      </c>
      <c r="AA198">
        <v>7.710956385664991</v>
      </c>
      <c r="AB198">
        <v>10.14</v>
      </c>
    </row>
    <row r="199" spans="1:28">
      <c r="A199" s="23">
        <v>45567</v>
      </c>
      <c r="B199">
        <v>2.5</v>
      </c>
      <c r="C199">
        <v>2.65</v>
      </c>
      <c r="D199">
        <v>1.6333279999999999</v>
      </c>
      <c r="E199" s="23">
        <v>45567</v>
      </c>
      <c r="F199">
        <v>0.5</v>
      </c>
      <c r="G199">
        <v>0.6</v>
      </c>
      <c r="H199">
        <v>0.31669599999999998</v>
      </c>
      <c r="I199" s="23">
        <v>45567</v>
      </c>
      <c r="J199">
        <v>1.5</v>
      </c>
      <c r="K199">
        <v>1.65</v>
      </c>
      <c r="L199">
        <v>0.74276799999999998</v>
      </c>
      <c r="M199" s="23">
        <v>45567</v>
      </c>
      <c r="N199">
        <v>3</v>
      </c>
      <c r="O199">
        <v>3.15</v>
      </c>
      <c r="P199">
        <v>2.2651340000000002</v>
      </c>
      <c r="Q199" s="23">
        <v>45567</v>
      </c>
      <c r="R199">
        <v>3.5</v>
      </c>
      <c r="S199">
        <v>3.65</v>
      </c>
      <c r="T199">
        <v>3.351426</v>
      </c>
      <c r="U199" s="23">
        <v>45567</v>
      </c>
      <c r="V199">
        <v>2.75</v>
      </c>
      <c r="W199">
        <v>2.9</v>
      </c>
      <c r="X199">
        <v>2.491028</v>
      </c>
      <c r="Y199" s="23">
        <v>45567</v>
      </c>
      <c r="Z199">
        <v>9.99</v>
      </c>
      <c r="AA199">
        <v>7.5149403048974701</v>
      </c>
      <c r="AB199">
        <v>10.14</v>
      </c>
    </row>
    <row r="200" spans="1:28">
      <c r="A200" s="23">
        <v>45568</v>
      </c>
      <c r="B200">
        <v>2.5</v>
      </c>
      <c r="C200">
        <v>2.65</v>
      </c>
      <c r="D200">
        <v>1.627613</v>
      </c>
      <c r="E200" s="23">
        <v>45568</v>
      </c>
      <c r="F200">
        <v>0.5</v>
      </c>
      <c r="G200">
        <v>0.6</v>
      </c>
      <c r="H200">
        <v>0.31193399999999999</v>
      </c>
      <c r="I200" s="23">
        <v>45568</v>
      </c>
      <c r="J200">
        <v>1.5</v>
      </c>
      <c r="K200">
        <v>1.65</v>
      </c>
      <c r="L200">
        <v>0.73768800000000001</v>
      </c>
      <c r="M200" s="23">
        <v>45568</v>
      </c>
      <c r="N200">
        <v>3</v>
      </c>
      <c r="O200">
        <v>3.15</v>
      </c>
      <c r="P200">
        <v>2.2359239999999998</v>
      </c>
      <c r="Q200" s="23">
        <v>45568</v>
      </c>
      <c r="R200">
        <v>3.5</v>
      </c>
      <c r="S200">
        <v>3.65</v>
      </c>
      <c r="T200">
        <v>3.3149150000000001</v>
      </c>
      <c r="U200" s="23">
        <v>45568</v>
      </c>
      <c r="V200">
        <v>2.75</v>
      </c>
      <c r="W200">
        <v>2.9</v>
      </c>
      <c r="X200">
        <v>2.50468</v>
      </c>
      <c r="Y200" s="23">
        <v>45568</v>
      </c>
      <c r="Z200">
        <v>9.99</v>
      </c>
      <c r="AA200">
        <v>7.5782370099457168</v>
      </c>
      <c r="AB200">
        <v>10.14</v>
      </c>
    </row>
    <row r="201" spans="1:28">
      <c r="A201" s="23">
        <v>45569</v>
      </c>
      <c r="B201">
        <v>2.5</v>
      </c>
      <c r="C201">
        <v>2.65</v>
      </c>
      <c r="D201">
        <v>1.6379319999999999</v>
      </c>
      <c r="E201" s="23">
        <v>45569</v>
      </c>
      <c r="F201">
        <v>0.5</v>
      </c>
      <c r="G201">
        <v>0.6</v>
      </c>
      <c r="H201">
        <v>0.323681</v>
      </c>
      <c r="I201" s="23">
        <v>45569</v>
      </c>
      <c r="J201">
        <v>1.5</v>
      </c>
      <c r="K201">
        <v>1.65</v>
      </c>
      <c r="L201">
        <v>0.73959299999999994</v>
      </c>
      <c r="M201" s="23">
        <v>45569</v>
      </c>
      <c r="N201">
        <v>3</v>
      </c>
      <c r="O201">
        <v>3.15</v>
      </c>
      <c r="P201">
        <v>2.2490999999999999</v>
      </c>
      <c r="Q201" s="23">
        <v>45569</v>
      </c>
      <c r="R201">
        <v>3.5</v>
      </c>
      <c r="S201">
        <v>3.65</v>
      </c>
      <c r="T201">
        <v>3.3253919999999999</v>
      </c>
      <c r="U201" s="23">
        <v>45569</v>
      </c>
      <c r="V201">
        <v>2.75</v>
      </c>
      <c r="W201">
        <v>2.9</v>
      </c>
      <c r="X201">
        <v>2.508807</v>
      </c>
      <c r="Y201" s="23">
        <v>45569</v>
      </c>
      <c r="Z201">
        <v>9.99</v>
      </c>
      <c r="AA201">
        <v>7.5738113429114016</v>
      </c>
      <c r="AB201">
        <v>10.14</v>
      </c>
    </row>
    <row r="202" spans="1:28">
      <c r="A202" s="23">
        <v>45572</v>
      </c>
      <c r="B202">
        <v>2.5</v>
      </c>
      <c r="C202">
        <v>2.65</v>
      </c>
      <c r="D202">
        <v>1.6453930000000001</v>
      </c>
      <c r="E202" s="23">
        <v>45572</v>
      </c>
      <c r="F202">
        <v>0.5</v>
      </c>
      <c r="G202">
        <v>0.6</v>
      </c>
      <c r="H202">
        <v>0.32177600000000001</v>
      </c>
      <c r="I202" s="23">
        <v>45572</v>
      </c>
      <c r="J202">
        <v>1.5</v>
      </c>
      <c r="K202">
        <v>1.65</v>
      </c>
      <c r="L202">
        <v>0.73880000000000001</v>
      </c>
      <c r="M202" s="23">
        <v>45572</v>
      </c>
      <c r="N202">
        <v>3</v>
      </c>
      <c r="O202">
        <v>3.15</v>
      </c>
      <c r="P202">
        <v>2.253069</v>
      </c>
      <c r="Q202" s="23">
        <v>45572</v>
      </c>
      <c r="R202">
        <v>3.5</v>
      </c>
      <c r="S202">
        <v>3.65</v>
      </c>
      <c r="T202">
        <v>3.3309479999999998</v>
      </c>
      <c r="U202" s="23">
        <v>45572</v>
      </c>
      <c r="V202">
        <v>2.75</v>
      </c>
      <c r="W202">
        <v>2.9</v>
      </c>
      <c r="X202">
        <v>2.51484</v>
      </c>
      <c r="Y202" s="23">
        <v>45572</v>
      </c>
      <c r="Z202">
        <v>9.99</v>
      </c>
      <c r="AA202">
        <v>7.5679862011697239</v>
      </c>
      <c r="AB202">
        <v>10.14</v>
      </c>
    </row>
    <row r="203" spans="1:28">
      <c r="A203" s="23">
        <v>45573</v>
      </c>
      <c r="B203">
        <v>2.5</v>
      </c>
      <c r="C203">
        <v>2.65</v>
      </c>
      <c r="D203">
        <v>1.6536470000000001</v>
      </c>
      <c r="E203" s="23">
        <v>45573</v>
      </c>
      <c r="F203">
        <v>0.5</v>
      </c>
      <c r="G203">
        <v>0.6</v>
      </c>
      <c r="H203">
        <v>0.319554</v>
      </c>
      <c r="I203" s="23">
        <v>45573</v>
      </c>
      <c r="J203">
        <v>1.5</v>
      </c>
      <c r="K203">
        <v>1.65</v>
      </c>
      <c r="L203">
        <v>0.79277299999999995</v>
      </c>
      <c r="M203" s="23">
        <v>45573</v>
      </c>
      <c r="N203">
        <v>3</v>
      </c>
      <c r="O203">
        <v>3.15</v>
      </c>
      <c r="P203">
        <v>2.2295750000000001</v>
      </c>
      <c r="Q203" s="23">
        <v>45573</v>
      </c>
      <c r="R203">
        <v>3.5</v>
      </c>
      <c r="S203">
        <v>3.65</v>
      </c>
      <c r="T203">
        <v>3.2849119999999998</v>
      </c>
      <c r="U203" s="23">
        <v>45573</v>
      </c>
      <c r="V203">
        <v>2.75</v>
      </c>
      <c r="W203">
        <v>2.9</v>
      </c>
      <c r="X203">
        <v>2.5407150000000001</v>
      </c>
      <c r="Y203" s="23">
        <v>45573</v>
      </c>
      <c r="Z203">
        <v>9.99</v>
      </c>
      <c r="AA203">
        <v>7.6907795738826747</v>
      </c>
      <c r="AB203">
        <v>10.14</v>
      </c>
    </row>
    <row r="204" spans="1:28">
      <c r="A204" s="23">
        <v>45574</v>
      </c>
      <c r="B204">
        <v>2.5</v>
      </c>
      <c r="C204">
        <v>2.65</v>
      </c>
      <c r="D204">
        <v>1.6512659999999999</v>
      </c>
      <c r="E204" s="23">
        <v>45574</v>
      </c>
      <c r="F204">
        <v>0.5</v>
      </c>
      <c r="G204">
        <v>0.6</v>
      </c>
      <c r="H204">
        <v>0.26986700000000002</v>
      </c>
      <c r="I204" s="23">
        <v>45574</v>
      </c>
      <c r="J204">
        <v>1.5</v>
      </c>
      <c r="K204">
        <v>1.65</v>
      </c>
      <c r="L204">
        <v>0.78896299999999997</v>
      </c>
      <c r="M204" s="23">
        <v>45574</v>
      </c>
      <c r="N204">
        <v>3</v>
      </c>
      <c r="O204">
        <v>3.15</v>
      </c>
      <c r="P204">
        <v>2.2270349999999999</v>
      </c>
      <c r="Q204" s="23">
        <v>45574</v>
      </c>
      <c r="R204">
        <v>3.5</v>
      </c>
      <c r="S204">
        <v>3.65</v>
      </c>
      <c r="T204">
        <v>3.2668149999999998</v>
      </c>
      <c r="U204" s="23">
        <v>45574</v>
      </c>
      <c r="V204">
        <v>2.75</v>
      </c>
      <c r="W204">
        <v>2.9</v>
      </c>
      <c r="X204">
        <v>2.5354760000000001</v>
      </c>
      <c r="Y204" s="23">
        <v>45574</v>
      </c>
      <c r="Z204">
        <v>9.99</v>
      </c>
      <c r="AA204">
        <v>7.5878144367412306</v>
      </c>
      <c r="AB204">
        <v>10.14</v>
      </c>
    </row>
    <row r="205" spans="1:28">
      <c r="A205" s="23">
        <v>45575</v>
      </c>
      <c r="B205">
        <v>2.5</v>
      </c>
      <c r="C205">
        <v>2.65</v>
      </c>
      <c r="D205">
        <v>1.6522190000000001</v>
      </c>
      <c r="E205" s="23">
        <v>45575</v>
      </c>
      <c r="F205">
        <v>0.5</v>
      </c>
      <c r="G205">
        <v>0.6</v>
      </c>
      <c r="H205">
        <v>0.27955000000000002</v>
      </c>
      <c r="I205" s="23">
        <v>45575</v>
      </c>
      <c r="J205">
        <v>1.5</v>
      </c>
      <c r="K205">
        <v>1.65</v>
      </c>
      <c r="L205">
        <v>0.79023299999999996</v>
      </c>
      <c r="M205" s="23">
        <v>45575</v>
      </c>
      <c r="N205">
        <v>3</v>
      </c>
      <c r="O205">
        <v>3.15</v>
      </c>
      <c r="P205">
        <v>2.2225899999999998</v>
      </c>
      <c r="Q205" s="23">
        <v>45575</v>
      </c>
      <c r="R205">
        <v>3.5</v>
      </c>
      <c r="S205">
        <v>3.65</v>
      </c>
      <c r="T205">
        <v>3.2609409999999999</v>
      </c>
      <c r="U205" s="23">
        <v>45575</v>
      </c>
      <c r="V205">
        <v>2.75</v>
      </c>
      <c r="W205">
        <v>2.9</v>
      </c>
      <c r="X205">
        <v>2.5099179999999999</v>
      </c>
      <c r="Y205" s="23">
        <v>45575</v>
      </c>
      <c r="Z205">
        <v>9.99</v>
      </c>
      <c r="AA205">
        <v>7.5492116488963852</v>
      </c>
      <c r="AB205">
        <v>10.14</v>
      </c>
    </row>
    <row r="206" spans="1:28">
      <c r="A206" s="23">
        <v>45576</v>
      </c>
      <c r="B206">
        <v>2.5</v>
      </c>
      <c r="C206">
        <v>2.65</v>
      </c>
      <c r="D206">
        <v>1.6245970000000001</v>
      </c>
      <c r="E206" s="23">
        <v>45576</v>
      </c>
      <c r="F206">
        <v>0.5</v>
      </c>
      <c r="G206">
        <v>0.6</v>
      </c>
      <c r="H206">
        <v>0.27859800000000001</v>
      </c>
      <c r="I206" s="23">
        <v>45576</v>
      </c>
      <c r="J206">
        <v>1.5</v>
      </c>
      <c r="K206">
        <v>1.65</v>
      </c>
      <c r="L206">
        <v>0.781026</v>
      </c>
      <c r="M206" s="23">
        <v>45576</v>
      </c>
      <c r="N206">
        <v>3</v>
      </c>
      <c r="O206">
        <v>3.15</v>
      </c>
      <c r="P206">
        <v>2.1733790000000002</v>
      </c>
      <c r="Q206" s="23">
        <v>45576</v>
      </c>
      <c r="R206">
        <v>3.5</v>
      </c>
      <c r="S206">
        <v>3.65</v>
      </c>
      <c r="T206">
        <v>3.1825209999999999</v>
      </c>
      <c r="U206" s="23">
        <v>45576</v>
      </c>
      <c r="V206">
        <v>2.75</v>
      </c>
      <c r="W206">
        <v>2.9</v>
      </c>
      <c r="X206">
        <v>2.458485</v>
      </c>
      <c r="Y206" s="23">
        <v>45576</v>
      </c>
      <c r="Z206">
        <v>9.99</v>
      </c>
      <c r="AA206">
        <v>7.6142028050476833</v>
      </c>
      <c r="AB206">
        <v>10.14</v>
      </c>
    </row>
    <row r="207" spans="1:28">
      <c r="A207" s="23">
        <v>45579</v>
      </c>
      <c r="B207">
        <v>2.5</v>
      </c>
      <c r="C207">
        <v>2.65</v>
      </c>
      <c r="D207">
        <v>1.6452340000000001</v>
      </c>
      <c r="E207" s="23">
        <v>45579</v>
      </c>
      <c r="F207">
        <v>0.5</v>
      </c>
      <c r="G207">
        <v>0.6</v>
      </c>
      <c r="H207">
        <v>0.27748600000000001</v>
      </c>
      <c r="I207" s="23">
        <v>45579</v>
      </c>
      <c r="J207">
        <v>1.5</v>
      </c>
      <c r="K207">
        <v>1.65</v>
      </c>
      <c r="L207">
        <v>0.79039199999999998</v>
      </c>
      <c r="M207" s="23">
        <v>45579</v>
      </c>
      <c r="N207">
        <v>3</v>
      </c>
      <c r="O207">
        <v>3.15</v>
      </c>
      <c r="P207">
        <v>2.1871900000000002</v>
      </c>
      <c r="Q207" s="23">
        <v>45579</v>
      </c>
      <c r="R207">
        <v>3.5</v>
      </c>
      <c r="S207">
        <v>3.65</v>
      </c>
      <c r="T207">
        <v>3.186172</v>
      </c>
      <c r="U207" s="23">
        <v>45579</v>
      </c>
      <c r="V207">
        <v>2.75</v>
      </c>
      <c r="W207">
        <v>2.9</v>
      </c>
      <c r="X207">
        <v>2.45404</v>
      </c>
      <c r="Y207" s="23">
        <v>45579</v>
      </c>
      <c r="Z207">
        <v>9.99</v>
      </c>
      <c r="AA207">
        <v>7.4612397808837612</v>
      </c>
      <c r="AB207">
        <v>10.14</v>
      </c>
    </row>
    <row r="208" spans="1:28">
      <c r="A208" s="23">
        <v>45580</v>
      </c>
      <c r="B208">
        <v>2.5</v>
      </c>
      <c r="C208">
        <v>2.65</v>
      </c>
      <c r="D208">
        <v>1.6245970000000001</v>
      </c>
      <c r="E208" s="23">
        <v>45580</v>
      </c>
      <c r="F208">
        <v>0.5</v>
      </c>
      <c r="G208">
        <v>0.6</v>
      </c>
      <c r="H208">
        <v>0.28320099999999998</v>
      </c>
      <c r="I208" s="23">
        <v>45580</v>
      </c>
      <c r="J208">
        <v>1.5</v>
      </c>
      <c r="K208">
        <v>1.65</v>
      </c>
      <c r="L208">
        <v>0.78213699999999997</v>
      </c>
      <c r="M208" s="23">
        <v>45580</v>
      </c>
      <c r="N208">
        <v>3</v>
      </c>
      <c r="O208">
        <v>3.15</v>
      </c>
      <c r="P208">
        <v>2.1636950000000001</v>
      </c>
      <c r="Q208" s="23">
        <v>45580</v>
      </c>
      <c r="R208">
        <v>3.5</v>
      </c>
      <c r="S208">
        <v>3.65</v>
      </c>
      <c r="T208">
        <v>3.181886</v>
      </c>
      <c r="U208" s="23">
        <v>45580</v>
      </c>
      <c r="V208">
        <v>2.75</v>
      </c>
      <c r="W208">
        <v>2.9</v>
      </c>
      <c r="X208">
        <v>2.4227669999999999</v>
      </c>
      <c r="Y208" s="23">
        <v>45580</v>
      </c>
      <c r="Z208">
        <v>9.99</v>
      </c>
      <c r="AA208">
        <v>7.3550501132065014</v>
      </c>
      <c r="AB208">
        <v>10.14</v>
      </c>
    </row>
    <row r="209" spans="1:28">
      <c r="A209" s="23">
        <v>45581</v>
      </c>
      <c r="B209">
        <v>2.5</v>
      </c>
      <c r="C209">
        <v>2.65</v>
      </c>
      <c r="D209">
        <v>1.6241209999999999</v>
      </c>
      <c r="E209" s="23">
        <v>45581</v>
      </c>
      <c r="F209">
        <v>0.5</v>
      </c>
      <c r="G209">
        <v>0.6</v>
      </c>
      <c r="H209">
        <v>0.282725</v>
      </c>
      <c r="I209" s="23">
        <v>45581</v>
      </c>
      <c r="J209">
        <v>1.5</v>
      </c>
      <c r="K209">
        <v>1.65</v>
      </c>
      <c r="L209">
        <v>0.78293100000000004</v>
      </c>
      <c r="M209" s="23">
        <v>45581</v>
      </c>
      <c r="N209">
        <v>3</v>
      </c>
      <c r="O209">
        <v>3.15</v>
      </c>
      <c r="P209">
        <v>2.1559170000000001</v>
      </c>
      <c r="Q209" s="23">
        <v>45581</v>
      </c>
      <c r="R209">
        <v>3.5</v>
      </c>
      <c r="S209">
        <v>3.65</v>
      </c>
      <c r="T209">
        <v>3.1696629999999999</v>
      </c>
      <c r="U209" s="23">
        <v>45581</v>
      </c>
      <c r="V209">
        <v>2.75</v>
      </c>
      <c r="W209">
        <v>2.9</v>
      </c>
      <c r="X209">
        <v>2.4287999999999998</v>
      </c>
      <c r="Y209" s="23">
        <v>45581</v>
      </c>
      <c r="Z209">
        <v>9.99</v>
      </c>
      <c r="AA209">
        <v>7.3879407693735448</v>
      </c>
      <c r="AB209">
        <v>10.14</v>
      </c>
    </row>
    <row r="210" spans="1:28">
      <c r="A210" s="23">
        <v>45582</v>
      </c>
      <c r="B210">
        <v>2.5</v>
      </c>
      <c r="C210">
        <v>2.65</v>
      </c>
      <c r="D210">
        <v>1.6239619999999999</v>
      </c>
      <c r="E210" s="23">
        <v>45582</v>
      </c>
      <c r="F210">
        <v>0.5</v>
      </c>
      <c r="G210">
        <v>0.6</v>
      </c>
      <c r="H210">
        <v>0.28288400000000002</v>
      </c>
      <c r="I210" s="23">
        <v>45582</v>
      </c>
      <c r="J210">
        <v>1.5</v>
      </c>
      <c r="K210">
        <v>1.65</v>
      </c>
      <c r="L210">
        <v>0.78531200000000001</v>
      </c>
      <c r="M210" s="23">
        <v>45582</v>
      </c>
      <c r="N210">
        <v>3</v>
      </c>
      <c r="O210">
        <v>3.15</v>
      </c>
      <c r="P210">
        <v>2.1508370000000001</v>
      </c>
      <c r="Q210" s="23">
        <v>45582</v>
      </c>
      <c r="R210">
        <v>3.5</v>
      </c>
      <c r="S210">
        <v>3.65</v>
      </c>
      <c r="T210">
        <v>3.163948</v>
      </c>
      <c r="U210" s="23">
        <v>45582</v>
      </c>
      <c r="V210">
        <v>2.75</v>
      </c>
      <c r="W210">
        <v>2.9</v>
      </c>
      <c r="X210">
        <v>2.4314979999999999</v>
      </c>
      <c r="Y210" s="23">
        <v>45582</v>
      </c>
      <c r="Z210">
        <v>9.99</v>
      </c>
      <c r="AA210">
        <v>7.3907406487136127</v>
      </c>
      <c r="AB210">
        <v>10.14</v>
      </c>
    </row>
    <row r="211" spans="1:28">
      <c r="A211" s="23">
        <v>45583</v>
      </c>
      <c r="B211">
        <v>2.5</v>
      </c>
      <c r="C211">
        <v>2.65</v>
      </c>
      <c r="D211">
        <v>1.6214219999999999</v>
      </c>
      <c r="E211" s="23">
        <v>45583</v>
      </c>
      <c r="F211">
        <v>0.5</v>
      </c>
      <c r="G211">
        <v>0.6</v>
      </c>
      <c r="H211">
        <v>0.28240700000000002</v>
      </c>
      <c r="I211" s="23">
        <v>45583</v>
      </c>
      <c r="J211">
        <v>1.5</v>
      </c>
      <c r="K211">
        <v>1.65</v>
      </c>
      <c r="L211">
        <v>0.78674100000000002</v>
      </c>
      <c r="M211" s="23">
        <v>45583</v>
      </c>
      <c r="N211">
        <v>3</v>
      </c>
      <c r="O211">
        <v>3.15</v>
      </c>
      <c r="P211">
        <v>2.1433759999999999</v>
      </c>
      <c r="Q211" s="23">
        <v>45583</v>
      </c>
      <c r="R211">
        <v>3.5</v>
      </c>
      <c r="S211">
        <v>3.65</v>
      </c>
      <c r="T211">
        <v>3.1561699999999999</v>
      </c>
      <c r="U211" s="23">
        <v>45583</v>
      </c>
      <c r="V211">
        <v>2.75</v>
      </c>
      <c r="W211">
        <v>2.9</v>
      </c>
      <c r="X211">
        <v>2.4291170000000002</v>
      </c>
      <c r="Y211" s="23">
        <v>45583</v>
      </c>
      <c r="Z211">
        <v>9.99</v>
      </c>
      <c r="AA211">
        <v>7.5157331104145619</v>
      </c>
      <c r="AB211">
        <v>10.14</v>
      </c>
    </row>
    <row r="212" spans="1:28">
      <c r="A212" s="23">
        <v>45586</v>
      </c>
      <c r="B212">
        <v>2.5</v>
      </c>
      <c r="C212">
        <v>2.65</v>
      </c>
      <c r="D212">
        <v>1.626026</v>
      </c>
      <c r="E212" s="23">
        <v>45586</v>
      </c>
      <c r="F212">
        <v>0.5</v>
      </c>
      <c r="G212">
        <v>0.6</v>
      </c>
      <c r="H212">
        <v>0.28812199999999999</v>
      </c>
      <c r="I212" s="23">
        <v>45586</v>
      </c>
      <c r="J212">
        <v>1.5</v>
      </c>
      <c r="K212">
        <v>1.65</v>
      </c>
      <c r="L212">
        <v>0.78467699999999996</v>
      </c>
      <c r="M212" s="23">
        <v>45586</v>
      </c>
      <c r="N212">
        <v>3</v>
      </c>
      <c r="O212">
        <v>3.15</v>
      </c>
      <c r="P212">
        <v>2.1473450000000001</v>
      </c>
      <c r="Q212" s="23">
        <v>45586</v>
      </c>
      <c r="R212">
        <v>3.5</v>
      </c>
      <c r="S212">
        <v>3.65</v>
      </c>
      <c r="T212">
        <v>3.1536300000000002</v>
      </c>
      <c r="U212" s="23">
        <v>45586</v>
      </c>
      <c r="V212">
        <v>2.75</v>
      </c>
      <c r="W212">
        <v>2.9</v>
      </c>
      <c r="X212">
        <v>2.5062669999999998</v>
      </c>
      <c r="Y212" s="23">
        <v>45586</v>
      </c>
      <c r="Z212">
        <v>9.99</v>
      </c>
      <c r="AA212">
        <v>7.4729489969470579</v>
      </c>
      <c r="AB212">
        <v>10.14</v>
      </c>
    </row>
    <row r="213" spans="1:28">
      <c r="A213" s="23">
        <v>45587</v>
      </c>
      <c r="B213">
        <v>2.5</v>
      </c>
      <c r="C213">
        <v>2.65</v>
      </c>
      <c r="D213">
        <v>1.549193</v>
      </c>
      <c r="E213" s="23">
        <v>45587</v>
      </c>
      <c r="F213">
        <v>0.5</v>
      </c>
      <c r="G213">
        <v>0.6</v>
      </c>
      <c r="H213">
        <v>0.28701100000000002</v>
      </c>
      <c r="I213" s="23">
        <v>45587</v>
      </c>
      <c r="J213">
        <v>1.5</v>
      </c>
      <c r="K213">
        <v>1.65</v>
      </c>
      <c r="L213">
        <v>0.76753199999999999</v>
      </c>
      <c r="M213" s="23">
        <v>45587</v>
      </c>
      <c r="N213">
        <v>3</v>
      </c>
      <c r="O213">
        <v>3.15</v>
      </c>
      <c r="P213">
        <v>2.041779</v>
      </c>
      <c r="Q213" s="23">
        <v>45587</v>
      </c>
      <c r="R213">
        <v>3.5</v>
      </c>
      <c r="S213">
        <v>3.65</v>
      </c>
      <c r="T213">
        <v>3.0172680000000001</v>
      </c>
      <c r="U213" s="23">
        <v>45587</v>
      </c>
      <c r="V213">
        <v>2.75</v>
      </c>
      <c r="W213">
        <v>2.9</v>
      </c>
      <c r="X213">
        <v>2.5103949999999999</v>
      </c>
      <c r="Y213" s="23">
        <v>45587</v>
      </c>
      <c r="Z213">
        <v>9.99</v>
      </c>
      <c r="AA213">
        <v>7.5603074252607287</v>
      </c>
      <c r="AB213">
        <v>10.14</v>
      </c>
    </row>
    <row r="214" spans="1:28">
      <c r="A214" s="23">
        <v>45588</v>
      </c>
      <c r="B214">
        <v>2.5</v>
      </c>
      <c r="C214">
        <v>2.65</v>
      </c>
      <c r="D214">
        <v>1.52935</v>
      </c>
      <c r="E214" s="23">
        <v>45588</v>
      </c>
      <c r="F214">
        <v>0.5</v>
      </c>
      <c r="G214">
        <v>0.6</v>
      </c>
      <c r="H214">
        <v>0.28653499999999998</v>
      </c>
      <c r="I214" s="23">
        <v>45588</v>
      </c>
      <c r="J214">
        <v>1.5</v>
      </c>
      <c r="K214">
        <v>1.65</v>
      </c>
      <c r="L214">
        <v>0.76642100000000002</v>
      </c>
      <c r="M214" s="23">
        <v>45588</v>
      </c>
      <c r="N214">
        <v>3</v>
      </c>
      <c r="O214">
        <v>3.15</v>
      </c>
      <c r="P214">
        <v>2.0135230000000002</v>
      </c>
      <c r="Q214" s="23">
        <v>45588</v>
      </c>
      <c r="R214">
        <v>3.5</v>
      </c>
      <c r="S214">
        <v>3.65</v>
      </c>
      <c r="T214">
        <v>2.9832960000000002</v>
      </c>
      <c r="U214" s="23">
        <v>45588</v>
      </c>
      <c r="V214">
        <v>2.75</v>
      </c>
      <c r="W214">
        <v>2.9</v>
      </c>
      <c r="X214">
        <v>2.4716610000000001</v>
      </c>
      <c r="Y214" s="23">
        <v>45588</v>
      </c>
      <c r="Z214">
        <v>9.99</v>
      </c>
      <c r="AA214">
        <v>7.3996720305470642</v>
      </c>
      <c r="AB214">
        <v>10.14</v>
      </c>
    </row>
    <row r="215" spans="1:28">
      <c r="A215" s="23">
        <v>45589</v>
      </c>
      <c r="B215">
        <v>2.5</v>
      </c>
      <c r="C215">
        <v>2.65</v>
      </c>
      <c r="D215">
        <v>1.5272859999999999</v>
      </c>
      <c r="E215" s="23">
        <v>45589</v>
      </c>
      <c r="F215">
        <v>0.5</v>
      </c>
      <c r="G215">
        <v>0.6</v>
      </c>
      <c r="H215">
        <v>0.28828100000000001</v>
      </c>
      <c r="I215" s="23">
        <v>45589</v>
      </c>
      <c r="J215">
        <v>1.5</v>
      </c>
      <c r="K215">
        <v>1.65</v>
      </c>
      <c r="L215">
        <v>0.76292899999999997</v>
      </c>
      <c r="M215" s="23">
        <v>45589</v>
      </c>
      <c r="N215">
        <v>3</v>
      </c>
      <c r="O215">
        <v>3.15</v>
      </c>
      <c r="P215">
        <v>2.009395</v>
      </c>
      <c r="Q215" s="23">
        <v>45589</v>
      </c>
      <c r="R215">
        <v>3.5</v>
      </c>
      <c r="S215">
        <v>3.65</v>
      </c>
      <c r="T215">
        <v>2.9923449999999998</v>
      </c>
      <c r="U215" s="23">
        <v>45589</v>
      </c>
      <c r="V215">
        <v>2.75</v>
      </c>
      <c r="W215">
        <v>2.9</v>
      </c>
      <c r="X215">
        <v>2.4753120000000002</v>
      </c>
      <c r="Y215" s="23">
        <v>45589</v>
      </c>
      <c r="Z215">
        <v>9.99</v>
      </c>
      <c r="AA215">
        <v>7.2667092049025355</v>
      </c>
      <c r="AB215">
        <v>10.14</v>
      </c>
    </row>
    <row r="216" spans="1:28">
      <c r="A216" s="23">
        <v>45590</v>
      </c>
      <c r="B216">
        <v>2.5</v>
      </c>
      <c r="C216">
        <v>2.65</v>
      </c>
      <c r="D216">
        <v>1.524905</v>
      </c>
      <c r="E216" s="23">
        <v>45590</v>
      </c>
      <c r="F216">
        <v>0.5</v>
      </c>
      <c r="G216">
        <v>0.6</v>
      </c>
      <c r="H216">
        <v>0.28748699999999999</v>
      </c>
      <c r="I216" s="23">
        <v>45590</v>
      </c>
      <c r="J216">
        <v>1.5</v>
      </c>
      <c r="K216">
        <v>1.65</v>
      </c>
      <c r="L216">
        <v>0.761818</v>
      </c>
      <c r="M216" s="23">
        <v>45590</v>
      </c>
      <c r="N216">
        <v>3</v>
      </c>
      <c r="O216">
        <v>3.15</v>
      </c>
      <c r="P216">
        <v>2.0081250000000002</v>
      </c>
      <c r="Q216" s="23">
        <v>45590</v>
      </c>
      <c r="R216">
        <v>3.5</v>
      </c>
      <c r="S216">
        <v>3.65</v>
      </c>
      <c r="T216">
        <v>2.9966309999999998</v>
      </c>
      <c r="U216" s="23">
        <v>45590</v>
      </c>
      <c r="V216">
        <v>2.75</v>
      </c>
      <c r="W216">
        <v>2.9</v>
      </c>
      <c r="X216">
        <v>2.4921389999999999</v>
      </c>
      <c r="Y216" s="23">
        <v>45590</v>
      </c>
      <c r="Z216">
        <v>9.99</v>
      </c>
      <c r="AA216">
        <v>7.3458986907870356</v>
      </c>
      <c r="AB216">
        <v>10.14</v>
      </c>
    </row>
    <row r="217" spans="1:28">
      <c r="A217" s="23">
        <v>45593</v>
      </c>
      <c r="B217">
        <v>2.5</v>
      </c>
      <c r="C217">
        <v>2.65</v>
      </c>
      <c r="D217">
        <v>1.522524</v>
      </c>
      <c r="E217" s="23">
        <v>45593</v>
      </c>
      <c r="F217">
        <v>0.5</v>
      </c>
      <c r="G217">
        <v>0.6</v>
      </c>
      <c r="H217">
        <v>0.286694</v>
      </c>
      <c r="I217" s="23">
        <v>45593</v>
      </c>
      <c r="J217">
        <v>1.5</v>
      </c>
      <c r="K217">
        <v>1.65</v>
      </c>
      <c r="L217">
        <v>0.76213500000000001</v>
      </c>
      <c r="M217" s="23">
        <v>45593</v>
      </c>
      <c r="N217">
        <v>3</v>
      </c>
      <c r="O217">
        <v>3.15</v>
      </c>
      <c r="P217">
        <v>2.0020929999999999</v>
      </c>
      <c r="Q217" s="23">
        <v>45593</v>
      </c>
      <c r="R217">
        <v>3.5</v>
      </c>
      <c r="S217">
        <v>3.65</v>
      </c>
      <c r="T217">
        <v>2.9871059999999998</v>
      </c>
      <c r="U217" s="23">
        <v>45593</v>
      </c>
      <c r="V217">
        <v>2.75</v>
      </c>
      <c r="W217">
        <v>2.9</v>
      </c>
      <c r="X217">
        <v>2.4724550000000001</v>
      </c>
      <c r="Y217" s="23">
        <v>45593</v>
      </c>
      <c r="Z217">
        <v>9.99</v>
      </c>
      <c r="AA217">
        <v>7.4330167413059387</v>
      </c>
      <c r="AB217">
        <v>10.14</v>
      </c>
    </row>
    <row r="218" spans="1:28">
      <c r="A218" s="23">
        <v>45594</v>
      </c>
      <c r="B218">
        <v>2.5</v>
      </c>
      <c r="C218">
        <v>2.65</v>
      </c>
      <c r="D218">
        <v>1.5229999999999999</v>
      </c>
      <c r="E218" s="23">
        <v>45594</v>
      </c>
      <c r="F218">
        <v>0.5</v>
      </c>
      <c r="G218">
        <v>0.6</v>
      </c>
      <c r="H218">
        <v>0.28716999999999998</v>
      </c>
      <c r="I218" s="23">
        <v>45594</v>
      </c>
      <c r="J218">
        <v>1.5</v>
      </c>
      <c r="K218">
        <v>1.65</v>
      </c>
      <c r="L218">
        <v>0.76276999999999995</v>
      </c>
      <c r="M218" s="23">
        <v>45594</v>
      </c>
      <c r="N218">
        <v>3</v>
      </c>
      <c r="O218">
        <v>3.15</v>
      </c>
      <c r="P218">
        <v>1.993679</v>
      </c>
      <c r="Q218" s="23">
        <v>45594</v>
      </c>
      <c r="R218">
        <v>3.5</v>
      </c>
      <c r="S218">
        <v>3.65</v>
      </c>
      <c r="T218">
        <v>2.9705970000000002</v>
      </c>
      <c r="U218" s="23">
        <v>45594</v>
      </c>
      <c r="V218">
        <v>2.75</v>
      </c>
      <c r="W218">
        <v>2.9</v>
      </c>
      <c r="X218">
        <v>2.4667400000000002</v>
      </c>
      <c r="Y218" s="23">
        <v>45594</v>
      </c>
      <c r="Z218">
        <v>9.99</v>
      </c>
      <c r="AA218">
        <v>7.37193651579486</v>
      </c>
      <c r="AB218">
        <v>10.14</v>
      </c>
    </row>
    <row r="219" spans="1:28">
      <c r="A219" s="23">
        <v>45595</v>
      </c>
      <c r="B219">
        <v>2.5</v>
      </c>
      <c r="C219">
        <v>2.65</v>
      </c>
      <c r="D219">
        <v>1.484901</v>
      </c>
      <c r="E219" s="23">
        <v>45595</v>
      </c>
      <c r="F219">
        <v>0.5</v>
      </c>
      <c r="G219">
        <v>0.6</v>
      </c>
      <c r="H219">
        <v>0.32034800000000002</v>
      </c>
      <c r="I219" s="23">
        <v>45595</v>
      </c>
      <c r="J219">
        <v>1.5</v>
      </c>
      <c r="K219">
        <v>1.65</v>
      </c>
      <c r="L219">
        <v>0.76880199999999999</v>
      </c>
      <c r="M219" s="23">
        <v>45595</v>
      </c>
      <c r="N219">
        <v>3</v>
      </c>
      <c r="O219">
        <v>3.15</v>
      </c>
      <c r="P219">
        <v>1.937484</v>
      </c>
      <c r="Q219" s="23">
        <v>45595</v>
      </c>
      <c r="R219">
        <v>3.5</v>
      </c>
      <c r="S219">
        <v>3.65</v>
      </c>
      <c r="T219">
        <v>2.8901129999999999</v>
      </c>
      <c r="U219" s="23">
        <v>45595</v>
      </c>
      <c r="V219">
        <v>2.75</v>
      </c>
      <c r="W219">
        <v>2.9</v>
      </c>
      <c r="X219">
        <v>2.439594</v>
      </c>
      <c r="Y219" s="23">
        <v>45595</v>
      </c>
      <c r="Z219">
        <v>9.99</v>
      </c>
      <c r="AA219">
        <v>7.2639666361435697</v>
      </c>
      <c r="AB219">
        <v>10.14</v>
      </c>
    </row>
    <row r="220" spans="1:28">
      <c r="A220" s="23">
        <v>45596</v>
      </c>
      <c r="B220">
        <v>2.5</v>
      </c>
      <c r="C220">
        <v>2.65</v>
      </c>
      <c r="D220">
        <v>1.462677</v>
      </c>
      <c r="E220" s="23">
        <v>45596</v>
      </c>
      <c r="F220">
        <v>0.5</v>
      </c>
      <c r="G220">
        <v>0.6</v>
      </c>
      <c r="H220">
        <v>0.25192799999999999</v>
      </c>
      <c r="I220" s="23">
        <v>45596</v>
      </c>
      <c r="J220">
        <v>1.5</v>
      </c>
      <c r="K220">
        <v>1.65</v>
      </c>
      <c r="L220">
        <v>0.747054</v>
      </c>
      <c r="M220" s="23">
        <v>45596</v>
      </c>
      <c r="N220">
        <v>3</v>
      </c>
      <c r="O220">
        <v>3.15</v>
      </c>
      <c r="P220">
        <v>1.9179580000000001</v>
      </c>
      <c r="Q220" s="23">
        <v>45596</v>
      </c>
      <c r="R220">
        <v>3.5</v>
      </c>
      <c r="S220">
        <v>3.65</v>
      </c>
      <c r="T220">
        <v>2.8875730000000002</v>
      </c>
      <c r="U220" s="23">
        <v>45596</v>
      </c>
      <c r="V220">
        <v>2.75</v>
      </c>
      <c r="W220">
        <v>2.9</v>
      </c>
      <c r="X220">
        <v>2.4278469999999999</v>
      </c>
      <c r="Y220" s="23">
        <v>45596</v>
      </c>
      <c r="Z220">
        <v>9.99</v>
      </c>
      <c r="AA220">
        <v>7.2360939419953265</v>
      </c>
      <c r="AB220">
        <v>10.14</v>
      </c>
    </row>
    <row r="221" spans="1:28">
      <c r="A221" s="23">
        <v>45597</v>
      </c>
      <c r="B221">
        <v>2.5</v>
      </c>
      <c r="C221">
        <v>2.65</v>
      </c>
      <c r="D221">
        <v>1.454264</v>
      </c>
      <c r="E221" s="23">
        <v>45597</v>
      </c>
      <c r="F221">
        <v>0.5</v>
      </c>
      <c r="G221">
        <v>0.6</v>
      </c>
      <c r="H221">
        <v>0.24970600000000001</v>
      </c>
      <c r="I221" s="23">
        <v>45597</v>
      </c>
      <c r="J221">
        <v>1.5</v>
      </c>
      <c r="K221">
        <v>1.65</v>
      </c>
      <c r="L221">
        <v>0.73832299999999995</v>
      </c>
      <c r="M221" s="23">
        <v>45597</v>
      </c>
      <c r="N221">
        <v>3</v>
      </c>
      <c r="O221">
        <v>3.15</v>
      </c>
      <c r="P221">
        <v>1.903195</v>
      </c>
      <c r="Q221" s="23">
        <v>45597</v>
      </c>
      <c r="R221">
        <v>3.5</v>
      </c>
      <c r="S221">
        <v>3.65</v>
      </c>
      <c r="T221">
        <v>2.8615390000000001</v>
      </c>
      <c r="U221" s="23">
        <v>45597</v>
      </c>
      <c r="V221">
        <v>2.75</v>
      </c>
      <c r="W221">
        <v>2.9</v>
      </c>
      <c r="X221">
        <v>2.4241959999999998</v>
      </c>
      <c r="Y221" s="23">
        <v>45597</v>
      </c>
      <c r="Z221">
        <v>9.99</v>
      </c>
      <c r="AA221">
        <v>7.2360939419953265</v>
      </c>
      <c r="AB221">
        <v>10.14</v>
      </c>
    </row>
    <row r="222" spans="1:28">
      <c r="A222" s="23">
        <v>45600</v>
      </c>
      <c r="B222">
        <v>2.5</v>
      </c>
      <c r="C222">
        <v>2.65</v>
      </c>
      <c r="D222">
        <v>1.445533</v>
      </c>
      <c r="E222" s="23">
        <v>45600</v>
      </c>
      <c r="F222">
        <v>0.5</v>
      </c>
      <c r="G222">
        <v>0.6</v>
      </c>
      <c r="H222">
        <v>0.249389</v>
      </c>
      <c r="I222" s="23">
        <v>45600</v>
      </c>
      <c r="J222">
        <v>1.5</v>
      </c>
      <c r="K222">
        <v>1.65</v>
      </c>
      <c r="L222">
        <v>0.73387800000000003</v>
      </c>
      <c r="M222" s="23">
        <v>45600</v>
      </c>
      <c r="N222">
        <v>3</v>
      </c>
      <c r="O222">
        <v>3.15</v>
      </c>
      <c r="P222">
        <v>1.8882730000000001</v>
      </c>
      <c r="Q222" s="23">
        <v>45600</v>
      </c>
      <c r="R222">
        <v>3.5</v>
      </c>
      <c r="S222">
        <v>3.65</v>
      </c>
      <c r="T222">
        <v>2.844236</v>
      </c>
      <c r="U222" s="23">
        <v>45600</v>
      </c>
      <c r="V222">
        <v>2.75</v>
      </c>
      <c r="W222">
        <v>2.9</v>
      </c>
      <c r="X222">
        <v>2.4135599999999999</v>
      </c>
      <c r="Y222" s="23">
        <v>45600</v>
      </c>
      <c r="Z222">
        <v>9.99</v>
      </c>
      <c r="AA222">
        <v>7.218014994811254</v>
      </c>
      <c r="AB222">
        <v>10.14</v>
      </c>
    </row>
    <row r="223" spans="1:28">
      <c r="A223" s="23">
        <v>45601</v>
      </c>
      <c r="B223">
        <v>2.5</v>
      </c>
      <c r="C223">
        <v>2.65</v>
      </c>
      <c r="D223">
        <v>1.458391</v>
      </c>
      <c r="E223" s="23">
        <v>45601</v>
      </c>
      <c r="F223">
        <v>0.5</v>
      </c>
      <c r="G223">
        <v>0.6</v>
      </c>
      <c r="H223">
        <v>0.24811900000000001</v>
      </c>
      <c r="I223" s="23">
        <v>45601</v>
      </c>
      <c r="J223">
        <v>1.5</v>
      </c>
      <c r="K223">
        <v>1.65</v>
      </c>
      <c r="L223">
        <v>0.737371</v>
      </c>
      <c r="M223" s="23">
        <v>45601</v>
      </c>
      <c r="N223">
        <v>3</v>
      </c>
      <c r="O223">
        <v>3.15</v>
      </c>
      <c r="P223">
        <v>1.908433</v>
      </c>
      <c r="Q223" s="23">
        <v>45601</v>
      </c>
      <c r="R223">
        <v>3.5</v>
      </c>
      <c r="S223">
        <v>3.65</v>
      </c>
      <c r="T223">
        <v>2.862333</v>
      </c>
      <c r="U223" s="23">
        <v>45601</v>
      </c>
      <c r="V223">
        <v>2.75</v>
      </c>
      <c r="W223">
        <v>2.9</v>
      </c>
      <c r="X223">
        <v>2.4468969999999999</v>
      </c>
      <c r="Y223" s="23">
        <v>45601</v>
      </c>
      <c r="Z223">
        <v>9.99</v>
      </c>
      <c r="AA223">
        <v>7.2498854550893199</v>
      </c>
      <c r="AB223">
        <v>10.14</v>
      </c>
    </row>
    <row r="224" spans="1:28">
      <c r="A224" s="23">
        <v>45602</v>
      </c>
      <c r="B224">
        <v>2.5</v>
      </c>
      <c r="C224">
        <v>2.65</v>
      </c>
      <c r="D224">
        <v>1.548082</v>
      </c>
      <c r="E224" s="23">
        <v>45602</v>
      </c>
      <c r="F224">
        <v>0.5</v>
      </c>
      <c r="G224">
        <v>0.6</v>
      </c>
      <c r="H224">
        <v>0.24970600000000001</v>
      </c>
      <c r="I224" s="23">
        <v>45602</v>
      </c>
      <c r="J224">
        <v>1.5</v>
      </c>
      <c r="K224">
        <v>1.65</v>
      </c>
      <c r="L224">
        <v>0.748166</v>
      </c>
      <c r="M224" s="23">
        <v>45602</v>
      </c>
      <c r="N224">
        <v>3</v>
      </c>
      <c r="O224">
        <v>3.15</v>
      </c>
      <c r="P224">
        <v>2.15306</v>
      </c>
      <c r="Q224" s="23">
        <v>45602</v>
      </c>
      <c r="R224">
        <v>3.5</v>
      </c>
      <c r="S224">
        <v>3.65</v>
      </c>
      <c r="T224">
        <v>3.2357010000000002</v>
      </c>
      <c r="U224" s="23">
        <v>45602</v>
      </c>
      <c r="V224">
        <v>2.75</v>
      </c>
      <c r="W224">
        <v>2.9</v>
      </c>
      <c r="X224">
        <v>2.5015049999999999</v>
      </c>
      <c r="Y224" s="23">
        <v>45602</v>
      </c>
      <c r="Z224">
        <v>9.99</v>
      </c>
      <c r="AA224">
        <v>7.5101422797740049</v>
      </c>
      <c r="AB224">
        <v>10.14</v>
      </c>
    </row>
    <row r="225" spans="1:28">
      <c r="A225" s="23">
        <v>45603</v>
      </c>
      <c r="B225">
        <v>2.5</v>
      </c>
      <c r="C225">
        <v>2.65</v>
      </c>
      <c r="D225">
        <v>1.5625279999999999</v>
      </c>
      <c r="E225" s="23">
        <v>45603</v>
      </c>
      <c r="F225">
        <v>0.5</v>
      </c>
      <c r="G225">
        <v>0.6</v>
      </c>
      <c r="H225">
        <v>0.24954699999999999</v>
      </c>
      <c r="I225" s="23">
        <v>45603</v>
      </c>
      <c r="J225">
        <v>1.5</v>
      </c>
      <c r="K225">
        <v>1.65</v>
      </c>
      <c r="L225">
        <v>0.75387999999999999</v>
      </c>
      <c r="M225" s="23">
        <v>45603</v>
      </c>
      <c r="N225">
        <v>3</v>
      </c>
      <c r="O225">
        <v>3.15</v>
      </c>
      <c r="P225">
        <v>2.1746490000000001</v>
      </c>
      <c r="Q225" s="23">
        <v>45603</v>
      </c>
      <c r="R225">
        <v>3.5</v>
      </c>
      <c r="S225">
        <v>3.65</v>
      </c>
      <c r="T225">
        <v>3.2655449999999999</v>
      </c>
      <c r="U225" s="23">
        <v>45603</v>
      </c>
      <c r="V225">
        <v>2.75</v>
      </c>
      <c r="W225">
        <v>2.9</v>
      </c>
      <c r="X225">
        <v>2.509125</v>
      </c>
      <c r="Y225" s="23">
        <v>45603</v>
      </c>
      <c r="Z225">
        <v>9.99</v>
      </c>
      <c r="AA225">
        <v>7.476463984947844</v>
      </c>
      <c r="AB225">
        <v>10.14</v>
      </c>
    </row>
    <row r="226" spans="1:28">
      <c r="A226" s="23">
        <v>45604</v>
      </c>
      <c r="B226">
        <v>2.5</v>
      </c>
      <c r="C226">
        <v>2.65</v>
      </c>
      <c r="D226">
        <v>1.5349060000000001</v>
      </c>
      <c r="E226" s="23">
        <v>45604</v>
      </c>
      <c r="F226">
        <v>0.5</v>
      </c>
      <c r="G226">
        <v>0.6</v>
      </c>
      <c r="H226">
        <v>0.249389</v>
      </c>
      <c r="I226" s="23">
        <v>45604</v>
      </c>
      <c r="J226">
        <v>1.5</v>
      </c>
      <c r="K226">
        <v>1.65</v>
      </c>
      <c r="L226">
        <v>0.74721300000000002</v>
      </c>
      <c r="M226" s="23">
        <v>45604</v>
      </c>
      <c r="N226">
        <v>3</v>
      </c>
      <c r="O226">
        <v>3.15</v>
      </c>
      <c r="P226">
        <v>2.176078</v>
      </c>
      <c r="Q226" s="23">
        <v>45604</v>
      </c>
      <c r="R226">
        <v>3.5</v>
      </c>
      <c r="S226">
        <v>3.65</v>
      </c>
      <c r="T226">
        <v>3.3646020000000001</v>
      </c>
      <c r="U226" s="23">
        <v>45604</v>
      </c>
      <c r="V226">
        <v>2.75</v>
      </c>
      <c r="W226">
        <v>2.9</v>
      </c>
      <c r="X226">
        <v>2.5202369999999998</v>
      </c>
      <c r="Y226" s="23">
        <v>45604</v>
      </c>
      <c r="Z226">
        <v>9.99</v>
      </c>
      <c r="AA226">
        <v>7.7199642726871973</v>
      </c>
      <c r="AB226">
        <v>10.14</v>
      </c>
    </row>
    <row r="227" spans="1:28">
      <c r="A227" s="23">
        <v>45607</v>
      </c>
      <c r="B227">
        <v>2.5</v>
      </c>
      <c r="C227">
        <v>2.65</v>
      </c>
      <c r="D227">
        <v>1.539034</v>
      </c>
      <c r="E227" s="23">
        <v>45607</v>
      </c>
      <c r="F227">
        <v>0.5</v>
      </c>
      <c r="G227">
        <v>0.6</v>
      </c>
      <c r="H227">
        <v>0.25208700000000001</v>
      </c>
      <c r="I227" s="23">
        <v>45607</v>
      </c>
      <c r="J227">
        <v>1.5</v>
      </c>
      <c r="K227">
        <v>1.65</v>
      </c>
      <c r="L227">
        <v>0.74800699999999998</v>
      </c>
      <c r="M227" s="23">
        <v>45607</v>
      </c>
      <c r="N227">
        <v>3</v>
      </c>
      <c r="O227">
        <v>3.15</v>
      </c>
      <c r="P227">
        <v>2.1943329999999999</v>
      </c>
      <c r="Q227" s="23">
        <v>45607</v>
      </c>
      <c r="R227">
        <v>3.5</v>
      </c>
      <c r="S227">
        <v>3.65</v>
      </c>
      <c r="T227">
        <v>3.3998430000000002</v>
      </c>
      <c r="U227" s="23">
        <v>45607</v>
      </c>
      <c r="V227">
        <v>2.75</v>
      </c>
      <c r="W227">
        <v>2.9</v>
      </c>
      <c r="X227">
        <v>2.4927739999999998</v>
      </c>
      <c r="Y227" s="23">
        <v>45607</v>
      </c>
      <c r="Z227">
        <v>9.99</v>
      </c>
      <c r="AA227">
        <v>7.9834134312447098</v>
      </c>
      <c r="AB227">
        <v>10.14</v>
      </c>
    </row>
    <row r="228" spans="1:28">
      <c r="A228" s="23">
        <v>45608</v>
      </c>
      <c r="B228">
        <v>2.5</v>
      </c>
      <c r="C228">
        <v>2.65</v>
      </c>
      <c r="D228">
        <v>1.5263340000000001</v>
      </c>
      <c r="E228" s="23">
        <v>45608</v>
      </c>
      <c r="F228">
        <v>0.5</v>
      </c>
      <c r="G228">
        <v>0.6</v>
      </c>
      <c r="H228">
        <v>0.252722</v>
      </c>
      <c r="I228" s="23">
        <v>45608</v>
      </c>
      <c r="J228">
        <v>1.5</v>
      </c>
      <c r="K228">
        <v>1.65</v>
      </c>
      <c r="L228">
        <v>0.74102199999999996</v>
      </c>
      <c r="M228" s="23">
        <v>45608</v>
      </c>
      <c r="N228">
        <v>3</v>
      </c>
      <c r="O228">
        <v>3.15</v>
      </c>
      <c r="P228">
        <v>2.176078</v>
      </c>
      <c r="Q228" s="23">
        <v>45608</v>
      </c>
      <c r="R228">
        <v>3.5</v>
      </c>
      <c r="S228">
        <v>3.65</v>
      </c>
      <c r="T228">
        <v>3.3822230000000002</v>
      </c>
      <c r="U228" s="23">
        <v>45608</v>
      </c>
      <c r="V228">
        <v>2.75</v>
      </c>
      <c r="W228">
        <v>2.9</v>
      </c>
      <c r="X228">
        <v>2.541032</v>
      </c>
      <c r="Y228" s="23">
        <v>45608</v>
      </c>
      <c r="Z228">
        <v>9.99</v>
      </c>
      <c r="AA228">
        <v>7.6633581542069136</v>
      </c>
      <c r="AB228">
        <v>10.14</v>
      </c>
    </row>
    <row r="229" spans="1:28">
      <c r="A229" s="23">
        <v>45609</v>
      </c>
      <c r="B229">
        <v>2.5</v>
      </c>
      <c r="C229">
        <v>2.65</v>
      </c>
      <c r="D229">
        <v>1.5557019999999999</v>
      </c>
      <c r="E229" s="23">
        <v>45609</v>
      </c>
      <c r="F229">
        <v>0.5</v>
      </c>
      <c r="G229">
        <v>0.6</v>
      </c>
      <c r="H229">
        <v>0.29685299999999998</v>
      </c>
      <c r="I229" s="23">
        <v>45609</v>
      </c>
      <c r="J229">
        <v>1.5</v>
      </c>
      <c r="K229">
        <v>1.65</v>
      </c>
      <c r="L229">
        <v>0.77483500000000005</v>
      </c>
      <c r="M229" s="23">
        <v>45609</v>
      </c>
      <c r="N229">
        <v>3</v>
      </c>
      <c r="O229">
        <v>3.15</v>
      </c>
      <c r="P229">
        <v>2.1813159999999998</v>
      </c>
      <c r="Q229" s="23">
        <v>45609</v>
      </c>
      <c r="R229">
        <v>3.5</v>
      </c>
      <c r="S229">
        <v>3.65</v>
      </c>
      <c r="T229">
        <v>3.3988909999999999</v>
      </c>
      <c r="U229" s="23">
        <v>45609</v>
      </c>
      <c r="V229">
        <v>2.75</v>
      </c>
      <c r="W229">
        <v>2.9</v>
      </c>
      <c r="X229">
        <v>2.5300790000000002</v>
      </c>
      <c r="Y229" s="23">
        <v>45609</v>
      </c>
      <c r="Z229">
        <v>9.99</v>
      </c>
      <c r="AA229">
        <v>7.7396537912346748</v>
      </c>
      <c r="AB229">
        <v>10.14</v>
      </c>
    </row>
    <row r="230" spans="1:28">
      <c r="A230" s="23">
        <v>45610</v>
      </c>
      <c r="B230">
        <v>2.5</v>
      </c>
      <c r="C230">
        <v>2.65</v>
      </c>
      <c r="D230">
        <v>1.5555429999999999</v>
      </c>
      <c r="E230" s="23">
        <v>45610</v>
      </c>
      <c r="F230">
        <v>0.5</v>
      </c>
      <c r="G230">
        <v>0.6</v>
      </c>
      <c r="H230">
        <v>0.31304500000000002</v>
      </c>
      <c r="I230" s="23">
        <v>45610</v>
      </c>
      <c r="J230">
        <v>1.5</v>
      </c>
      <c r="K230">
        <v>1.65</v>
      </c>
      <c r="L230">
        <v>0.77927999999999997</v>
      </c>
      <c r="M230" s="23">
        <v>45610</v>
      </c>
      <c r="N230">
        <v>3</v>
      </c>
      <c r="O230">
        <v>3.15</v>
      </c>
      <c r="P230">
        <v>2.1706799999999999</v>
      </c>
      <c r="Q230" s="23">
        <v>45610</v>
      </c>
      <c r="R230">
        <v>3.5</v>
      </c>
      <c r="S230">
        <v>3.65</v>
      </c>
      <c r="T230">
        <v>3.393494</v>
      </c>
      <c r="U230" s="23">
        <v>45610</v>
      </c>
      <c r="V230">
        <v>2.75</v>
      </c>
      <c r="W230">
        <v>2.9</v>
      </c>
      <c r="X230">
        <v>2.5299200000000002</v>
      </c>
      <c r="Y230" s="23">
        <v>45610</v>
      </c>
      <c r="Z230">
        <v>9.99</v>
      </c>
      <c r="AA230">
        <v>7.8514837782128266</v>
      </c>
      <c r="AB230">
        <v>10.14</v>
      </c>
    </row>
    <row r="231" spans="1:28">
      <c r="A231" s="23">
        <v>45611</v>
      </c>
      <c r="B231">
        <v>2.5</v>
      </c>
      <c r="C231">
        <v>2.65</v>
      </c>
      <c r="D231">
        <v>1.575545</v>
      </c>
      <c r="E231" s="23">
        <v>45611</v>
      </c>
      <c r="F231">
        <v>0.5</v>
      </c>
      <c r="G231">
        <v>0.6</v>
      </c>
      <c r="H231">
        <v>0.31272800000000001</v>
      </c>
      <c r="I231" s="23">
        <v>45611</v>
      </c>
      <c r="J231">
        <v>1.5</v>
      </c>
      <c r="K231">
        <v>1.65</v>
      </c>
      <c r="L231">
        <v>0.82769700000000002</v>
      </c>
      <c r="M231" s="23">
        <v>45611</v>
      </c>
      <c r="N231">
        <v>3</v>
      </c>
      <c r="O231">
        <v>3.15</v>
      </c>
      <c r="P231">
        <v>2.1906819999999998</v>
      </c>
      <c r="Q231" s="23">
        <v>45611</v>
      </c>
      <c r="R231">
        <v>3.5</v>
      </c>
      <c r="S231">
        <v>3.65</v>
      </c>
      <c r="T231">
        <v>3.4101620000000001</v>
      </c>
      <c r="U231" s="23">
        <v>45611</v>
      </c>
      <c r="V231">
        <v>2.75</v>
      </c>
      <c r="W231">
        <v>2.9</v>
      </c>
      <c r="X231">
        <v>2.5170620000000001</v>
      </c>
      <c r="Y231" s="23">
        <v>45611</v>
      </c>
      <c r="Z231">
        <v>9.99</v>
      </c>
      <c r="AA231">
        <v>7.6337609334881478</v>
      </c>
      <c r="AB231">
        <v>10.14</v>
      </c>
    </row>
    <row r="232" spans="1:28">
      <c r="A232" s="23">
        <v>45614</v>
      </c>
      <c r="B232">
        <v>2.5</v>
      </c>
      <c r="C232">
        <v>2.65</v>
      </c>
      <c r="D232">
        <v>1.557607</v>
      </c>
      <c r="E232" s="23">
        <v>45614</v>
      </c>
      <c r="F232">
        <v>0.5</v>
      </c>
      <c r="G232">
        <v>0.6</v>
      </c>
      <c r="H232">
        <v>0.31161699999999998</v>
      </c>
      <c r="I232" s="23">
        <v>45614</v>
      </c>
      <c r="J232">
        <v>1.5</v>
      </c>
      <c r="K232">
        <v>1.65</v>
      </c>
      <c r="L232">
        <v>0.82499800000000001</v>
      </c>
      <c r="M232" s="23">
        <v>45614</v>
      </c>
      <c r="N232">
        <v>3</v>
      </c>
      <c r="O232">
        <v>3.15</v>
      </c>
      <c r="P232">
        <v>2.1779820000000001</v>
      </c>
      <c r="Q232" s="23">
        <v>45614</v>
      </c>
      <c r="R232">
        <v>3.5</v>
      </c>
      <c r="S232">
        <v>3.65</v>
      </c>
      <c r="T232">
        <v>3.38381</v>
      </c>
      <c r="U232" s="23">
        <v>45614</v>
      </c>
      <c r="V232">
        <v>2.75</v>
      </c>
      <c r="W232">
        <v>2.9</v>
      </c>
      <c r="X232">
        <v>2.4791219999999998</v>
      </c>
      <c r="Y232" s="23">
        <v>45614</v>
      </c>
      <c r="Z232">
        <v>9.99</v>
      </c>
      <c r="AA232">
        <v>7.7858204896628074</v>
      </c>
      <c r="AB232">
        <v>10.14</v>
      </c>
    </row>
    <row r="233" spans="1:28">
      <c r="A233" s="23">
        <v>45615</v>
      </c>
      <c r="B233">
        <v>2.5</v>
      </c>
      <c r="C233">
        <v>2.65</v>
      </c>
      <c r="D233">
        <v>1.5598289999999999</v>
      </c>
      <c r="E233" s="23">
        <v>45615</v>
      </c>
      <c r="F233">
        <v>0.5</v>
      </c>
      <c r="G233">
        <v>0.6</v>
      </c>
      <c r="H233">
        <v>0.31193399999999999</v>
      </c>
      <c r="I233" s="23">
        <v>45615</v>
      </c>
      <c r="J233">
        <v>1.5</v>
      </c>
      <c r="K233">
        <v>1.65</v>
      </c>
      <c r="L233">
        <v>0.82531600000000005</v>
      </c>
      <c r="M233" s="23">
        <v>45615</v>
      </c>
      <c r="N233">
        <v>3</v>
      </c>
      <c r="O233">
        <v>3.15</v>
      </c>
      <c r="P233">
        <v>2.174331</v>
      </c>
      <c r="Q233" s="23">
        <v>45615</v>
      </c>
      <c r="R233">
        <v>3.5</v>
      </c>
      <c r="S233">
        <v>3.65</v>
      </c>
      <c r="T233">
        <v>3.3823810000000001</v>
      </c>
      <c r="U233" s="23">
        <v>45615</v>
      </c>
      <c r="V233">
        <v>2.75</v>
      </c>
      <c r="W233">
        <v>2.9</v>
      </c>
      <c r="X233">
        <v>2.5438900000000002</v>
      </c>
      <c r="Y233" s="23">
        <v>45615</v>
      </c>
      <c r="Z233">
        <v>9.99</v>
      </c>
      <c r="AA233">
        <v>7.7950422803451245</v>
      </c>
      <c r="AB233">
        <v>10.14</v>
      </c>
    </row>
    <row r="234" spans="1:28">
      <c r="A234" s="23">
        <v>45616</v>
      </c>
      <c r="B234">
        <v>2.5</v>
      </c>
      <c r="C234">
        <v>2.65</v>
      </c>
      <c r="D234">
        <v>1.5539559999999999</v>
      </c>
      <c r="E234" s="23">
        <v>45616</v>
      </c>
      <c r="F234">
        <v>0.5</v>
      </c>
      <c r="G234">
        <v>0.6</v>
      </c>
      <c r="H234">
        <v>0.31050499999999998</v>
      </c>
      <c r="I234" s="23">
        <v>45616</v>
      </c>
      <c r="J234">
        <v>1.5</v>
      </c>
      <c r="K234">
        <v>1.65</v>
      </c>
      <c r="L234">
        <v>0.82309299999999996</v>
      </c>
      <c r="M234" s="23">
        <v>45616</v>
      </c>
      <c r="N234">
        <v>3</v>
      </c>
      <c r="O234">
        <v>3.15</v>
      </c>
      <c r="P234">
        <v>2.166553</v>
      </c>
      <c r="Q234" s="23">
        <v>45616</v>
      </c>
      <c r="R234">
        <v>3.5</v>
      </c>
      <c r="S234">
        <v>3.65</v>
      </c>
      <c r="T234">
        <v>3.3676179999999998</v>
      </c>
      <c r="U234" s="23">
        <v>45616</v>
      </c>
      <c r="V234">
        <v>2.75</v>
      </c>
      <c r="W234">
        <v>2.9</v>
      </c>
      <c r="X234">
        <v>2.518014</v>
      </c>
      <c r="Y234" s="23">
        <v>45616</v>
      </c>
      <c r="Z234">
        <v>9.99</v>
      </c>
      <c r="AA234">
        <v>7.7285303638665628</v>
      </c>
      <c r="AB234">
        <v>10.14</v>
      </c>
    </row>
    <row r="235" spans="1:28">
      <c r="A235" s="23">
        <v>45617</v>
      </c>
      <c r="B235">
        <v>2.5</v>
      </c>
      <c r="C235">
        <v>2.65</v>
      </c>
      <c r="D235">
        <v>1.5547489999999999</v>
      </c>
      <c r="E235" s="23">
        <v>45617</v>
      </c>
      <c r="F235">
        <v>0.5</v>
      </c>
      <c r="G235">
        <v>0.6</v>
      </c>
      <c r="H235">
        <v>0.310664</v>
      </c>
      <c r="I235" s="23">
        <v>45617</v>
      </c>
      <c r="J235">
        <v>1.5</v>
      </c>
      <c r="K235">
        <v>1.65</v>
      </c>
      <c r="L235">
        <v>0.82198199999999999</v>
      </c>
      <c r="M235" s="23">
        <v>45617</v>
      </c>
      <c r="N235">
        <v>3</v>
      </c>
      <c r="O235">
        <v>3.15</v>
      </c>
      <c r="P235">
        <v>2.1575039999999999</v>
      </c>
      <c r="Q235" s="23">
        <v>45617</v>
      </c>
      <c r="R235">
        <v>3.5</v>
      </c>
      <c r="S235">
        <v>3.65</v>
      </c>
      <c r="T235">
        <v>3.3550770000000001</v>
      </c>
      <c r="U235" s="23">
        <v>45617</v>
      </c>
      <c r="V235">
        <v>2.75</v>
      </c>
      <c r="W235">
        <v>2.9</v>
      </c>
      <c r="X235">
        <v>2.513252</v>
      </c>
      <c r="Y235" s="23">
        <v>45617</v>
      </c>
      <c r="Z235">
        <v>9.99</v>
      </c>
      <c r="AA235">
        <v>7.8137241446036523</v>
      </c>
      <c r="AB235">
        <v>10.14</v>
      </c>
    </row>
    <row r="236" spans="1:28">
      <c r="A236" s="23">
        <v>45618</v>
      </c>
      <c r="B236">
        <v>2.5</v>
      </c>
      <c r="C236">
        <v>2.65</v>
      </c>
      <c r="D236">
        <v>1.5588770000000001</v>
      </c>
      <c r="E236" s="23">
        <v>45618</v>
      </c>
      <c r="F236">
        <v>0.5</v>
      </c>
      <c r="G236">
        <v>0.6</v>
      </c>
      <c r="H236">
        <v>0.31114000000000003</v>
      </c>
      <c r="I236" s="23">
        <v>45618</v>
      </c>
      <c r="J236">
        <v>1.5</v>
      </c>
      <c r="K236">
        <v>1.65</v>
      </c>
      <c r="L236">
        <v>0.82563299999999995</v>
      </c>
      <c r="M236" s="23">
        <v>45618</v>
      </c>
      <c r="N236">
        <v>3</v>
      </c>
      <c r="O236">
        <v>3.15</v>
      </c>
      <c r="P236">
        <v>2.1719499999999998</v>
      </c>
      <c r="Q236" s="23">
        <v>45618</v>
      </c>
      <c r="R236">
        <v>3.5</v>
      </c>
      <c r="S236">
        <v>3.65</v>
      </c>
      <c r="T236">
        <v>3.3625379999999998</v>
      </c>
      <c r="U236" s="23">
        <v>45618</v>
      </c>
      <c r="V236">
        <v>2.75</v>
      </c>
      <c r="W236">
        <v>2.9</v>
      </c>
      <c r="X236">
        <v>2.5283329999999999</v>
      </c>
      <c r="Y236" s="23">
        <v>45618</v>
      </c>
      <c r="Z236">
        <v>9.99</v>
      </c>
      <c r="AA236">
        <v>7.6378470460606467</v>
      </c>
      <c r="AB236">
        <v>10.14</v>
      </c>
    </row>
    <row r="237" spans="1:28">
      <c r="A237" s="23">
        <v>45621</v>
      </c>
      <c r="B237">
        <v>2.5</v>
      </c>
      <c r="C237">
        <v>2.65</v>
      </c>
      <c r="D237">
        <v>1.5436369999999999</v>
      </c>
      <c r="E237" s="23">
        <v>45621</v>
      </c>
      <c r="F237">
        <v>0.5</v>
      </c>
      <c r="G237">
        <v>0.6</v>
      </c>
      <c r="H237">
        <v>0.31161699999999998</v>
      </c>
      <c r="I237" s="23">
        <v>45621</v>
      </c>
      <c r="J237">
        <v>1.5</v>
      </c>
      <c r="K237">
        <v>1.65</v>
      </c>
      <c r="L237">
        <v>0.81467999999999996</v>
      </c>
      <c r="M237" s="23">
        <v>45621</v>
      </c>
      <c r="N237">
        <v>3</v>
      </c>
      <c r="O237">
        <v>3.15</v>
      </c>
      <c r="P237">
        <v>2.2543389999999999</v>
      </c>
      <c r="Q237" s="23">
        <v>45621</v>
      </c>
      <c r="R237">
        <v>3.5</v>
      </c>
      <c r="S237">
        <v>3.65</v>
      </c>
      <c r="T237">
        <v>3.3453940000000002</v>
      </c>
      <c r="U237" s="23">
        <v>45621</v>
      </c>
      <c r="V237">
        <v>2.75</v>
      </c>
      <c r="W237">
        <v>2.9</v>
      </c>
      <c r="X237">
        <v>2.5491280000000001</v>
      </c>
      <c r="Y237" s="23">
        <v>45621</v>
      </c>
      <c r="Z237">
        <v>9.99</v>
      </c>
      <c r="AA237">
        <v>7.5912345765369764</v>
      </c>
      <c r="AB237">
        <v>10.14</v>
      </c>
    </row>
    <row r="238" spans="1:28">
      <c r="A238" s="23">
        <v>45622</v>
      </c>
      <c r="B238">
        <v>2.5</v>
      </c>
      <c r="C238">
        <v>2.65</v>
      </c>
      <c r="D238">
        <v>1.533795</v>
      </c>
      <c r="E238" s="23">
        <v>45622</v>
      </c>
      <c r="F238">
        <v>0.5</v>
      </c>
      <c r="G238">
        <v>0.6</v>
      </c>
      <c r="H238">
        <v>0.26827899999999999</v>
      </c>
      <c r="I238" s="23">
        <v>45622</v>
      </c>
      <c r="J238">
        <v>1.5</v>
      </c>
      <c r="K238">
        <v>1.65</v>
      </c>
      <c r="L238">
        <v>0.77181900000000003</v>
      </c>
      <c r="M238" s="23">
        <v>45622</v>
      </c>
      <c r="N238">
        <v>3</v>
      </c>
      <c r="O238">
        <v>3.15</v>
      </c>
      <c r="P238">
        <v>2.4738829999999998</v>
      </c>
      <c r="Q238" s="23">
        <v>45622</v>
      </c>
      <c r="R238">
        <v>3.5</v>
      </c>
      <c r="S238">
        <v>3.65</v>
      </c>
      <c r="T238">
        <v>3.6385960000000002</v>
      </c>
      <c r="U238" s="23">
        <v>45622</v>
      </c>
      <c r="V238">
        <v>2.75</v>
      </c>
      <c r="W238">
        <v>2.9</v>
      </c>
      <c r="X238">
        <v>2.3387910000000001</v>
      </c>
      <c r="Y238" s="23">
        <v>45622</v>
      </c>
      <c r="Z238">
        <v>9.99</v>
      </c>
      <c r="AA238">
        <v>7.6901282788913825</v>
      </c>
      <c r="AB238">
        <v>10.14</v>
      </c>
    </row>
    <row r="239" spans="1:28">
      <c r="A239" s="23">
        <v>45623</v>
      </c>
      <c r="B239">
        <v>1.75</v>
      </c>
      <c r="C239">
        <v>1.9</v>
      </c>
      <c r="D239">
        <v>1.51919</v>
      </c>
      <c r="E239" s="23">
        <v>45623</v>
      </c>
      <c r="F239">
        <v>0.5</v>
      </c>
      <c r="G239">
        <v>0.6</v>
      </c>
      <c r="H239">
        <v>0.27066000000000001</v>
      </c>
      <c r="I239" s="23">
        <v>45623</v>
      </c>
      <c r="J239">
        <v>1</v>
      </c>
      <c r="K239">
        <v>1.1499999999999999</v>
      </c>
      <c r="L239">
        <v>0.73070400000000002</v>
      </c>
      <c r="M239" s="23">
        <v>45623</v>
      </c>
      <c r="N239">
        <v>3</v>
      </c>
      <c r="O239">
        <v>3.15</v>
      </c>
      <c r="P239">
        <v>2.4518179999999998</v>
      </c>
      <c r="Q239" s="23">
        <v>45623</v>
      </c>
      <c r="R239">
        <v>3.5</v>
      </c>
      <c r="S239">
        <v>3.65</v>
      </c>
      <c r="T239">
        <v>3.620816</v>
      </c>
      <c r="U239" s="23">
        <v>45623</v>
      </c>
      <c r="V239">
        <v>2.75</v>
      </c>
      <c r="W239">
        <v>2.9</v>
      </c>
      <c r="X239">
        <v>2.3279969999999999</v>
      </c>
      <c r="Y239" s="23">
        <v>45623</v>
      </c>
      <c r="Z239">
        <v>9.99</v>
      </c>
      <c r="AA239">
        <v>7.6342893737293522</v>
      </c>
      <c r="AB239">
        <v>10.14</v>
      </c>
    </row>
    <row r="240" spans="1:28">
      <c r="A240" s="23">
        <v>45624</v>
      </c>
      <c r="B240">
        <v>1.75</v>
      </c>
      <c r="C240">
        <v>1.9</v>
      </c>
      <c r="D240">
        <v>1.504586</v>
      </c>
      <c r="E240" s="23">
        <v>45624</v>
      </c>
      <c r="F240">
        <v>0.5</v>
      </c>
      <c r="G240">
        <v>0.6</v>
      </c>
      <c r="H240">
        <v>0.27081899999999998</v>
      </c>
      <c r="I240" s="23">
        <v>45624</v>
      </c>
      <c r="J240">
        <v>1</v>
      </c>
      <c r="K240">
        <v>1.1499999999999999</v>
      </c>
      <c r="L240">
        <v>0.71467000000000003</v>
      </c>
      <c r="M240" s="23">
        <v>45624</v>
      </c>
      <c r="N240">
        <v>3</v>
      </c>
      <c r="O240">
        <v>3.15</v>
      </c>
      <c r="P240">
        <v>2.4470550000000002</v>
      </c>
      <c r="Q240" s="23">
        <v>45624</v>
      </c>
      <c r="R240">
        <v>3.5</v>
      </c>
      <c r="S240">
        <v>3.65</v>
      </c>
      <c r="T240">
        <v>3.6160540000000001</v>
      </c>
      <c r="U240" s="23">
        <v>45624</v>
      </c>
      <c r="V240">
        <v>2.75</v>
      </c>
      <c r="W240">
        <v>2.9</v>
      </c>
      <c r="X240">
        <v>2.3100580000000002</v>
      </c>
      <c r="Y240" s="23">
        <v>45624</v>
      </c>
      <c r="Z240">
        <v>9.99</v>
      </c>
      <c r="AA240">
        <v>7.5321991318111996</v>
      </c>
      <c r="AB240">
        <v>10.14</v>
      </c>
    </row>
    <row r="241" spans="1:28">
      <c r="A241" s="23">
        <v>45625</v>
      </c>
      <c r="B241">
        <v>1.75</v>
      </c>
      <c r="C241">
        <v>1.9</v>
      </c>
      <c r="D241">
        <v>1.497125</v>
      </c>
      <c r="E241" s="23">
        <v>45625</v>
      </c>
      <c r="F241">
        <v>0.5</v>
      </c>
      <c r="G241">
        <v>0.6</v>
      </c>
      <c r="H241">
        <v>0.25208700000000001</v>
      </c>
      <c r="I241" s="23">
        <v>45625</v>
      </c>
      <c r="J241">
        <v>1</v>
      </c>
      <c r="K241">
        <v>1.1499999999999999</v>
      </c>
      <c r="L241">
        <v>0.69546200000000002</v>
      </c>
      <c r="M241" s="23">
        <v>45625</v>
      </c>
      <c r="N241">
        <v>3</v>
      </c>
      <c r="O241">
        <v>3.15</v>
      </c>
      <c r="P241">
        <v>2.4451499999999999</v>
      </c>
      <c r="Q241" s="23">
        <v>45625</v>
      </c>
      <c r="R241">
        <v>3.5</v>
      </c>
      <c r="S241">
        <v>3.65</v>
      </c>
      <c r="T241">
        <v>3.6152600000000001</v>
      </c>
      <c r="U241" s="23">
        <v>45625</v>
      </c>
      <c r="V241">
        <v>2.75</v>
      </c>
      <c r="W241">
        <v>2.9</v>
      </c>
      <c r="X241">
        <v>2.3046609999999998</v>
      </c>
      <c r="Y241" s="23">
        <v>45625</v>
      </c>
      <c r="Z241">
        <v>9.99</v>
      </c>
      <c r="AA241">
        <v>7.4490190193628969</v>
      </c>
      <c r="AB241">
        <v>10.14</v>
      </c>
    </row>
    <row r="242" spans="1:28">
      <c r="A242" s="23">
        <v>45628</v>
      </c>
      <c r="B242">
        <v>1.75</v>
      </c>
      <c r="C242">
        <v>1.9</v>
      </c>
      <c r="D242">
        <v>1.5004580000000001</v>
      </c>
      <c r="E242" s="23">
        <v>45628</v>
      </c>
      <c r="F242">
        <v>0.5</v>
      </c>
      <c r="G242">
        <v>0.6</v>
      </c>
      <c r="H242">
        <v>0.25161099999999997</v>
      </c>
      <c r="I242" s="23">
        <v>45628</v>
      </c>
      <c r="J242">
        <v>1</v>
      </c>
      <c r="K242">
        <v>1.1499999999999999</v>
      </c>
      <c r="L242">
        <v>0.693716</v>
      </c>
      <c r="M242" s="23">
        <v>45628</v>
      </c>
      <c r="N242">
        <v>3</v>
      </c>
      <c r="O242">
        <v>3.15</v>
      </c>
      <c r="P242">
        <v>2.4422929999999998</v>
      </c>
      <c r="Q242" s="23">
        <v>45628</v>
      </c>
      <c r="R242">
        <v>3.5</v>
      </c>
      <c r="S242">
        <v>3.65</v>
      </c>
      <c r="T242">
        <v>3.599227</v>
      </c>
      <c r="U242" s="23">
        <v>45628</v>
      </c>
      <c r="V242">
        <v>2.75</v>
      </c>
      <c r="W242">
        <v>2.9</v>
      </c>
      <c r="X242">
        <v>2.3106930000000001</v>
      </c>
      <c r="Y242" s="23">
        <v>45628</v>
      </c>
      <c r="Z242">
        <v>9.99</v>
      </c>
      <c r="AA242">
        <v>7.6131641427235168</v>
      </c>
      <c r="AB242">
        <v>10.14</v>
      </c>
    </row>
    <row r="243" spans="1:28">
      <c r="A243" s="23">
        <v>45629</v>
      </c>
      <c r="B243">
        <v>1.75</v>
      </c>
      <c r="C243">
        <v>1.9</v>
      </c>
      <c r="D243">
        <v>1.4974419999999999</v>
      </c>
      <c r="E243" s="23">
        <v>45629</v>
      </c>
      <c r="F243">
        <v>0.5</v>
      </c>
      <c r="G243">
        <v>0.6</v>
      </c>
      <c r="H243">
        <v>0.25097599999999998</v>
      </c>
      <c r="I243" s="23">
        <v>45629</v>
      </c>
      <c r="J243">
        <v>1</v>
      </c>
      <c r="K243">
        <v>1.1499999999999999</v>
      </c>
      <c r="L243">
        <v>0.69165200000000004</v>
      </c>
      <c r="M243" s="23">
        <v>45629</v>
      </c>
      <c r="N243">
        <v>3</v>
      </c>
      <c r="O243">
        <v>3.15</v>
      </c>
      <c r="P243">
        <v>2.4335619999999998</v>
      </c>
      <c r="Q243" s="23">
        <v>45629</v>
      </c>
      <c r="R243">
        <v>3.5</v>
      </c>
      <c r="S243">
        <v>3.65</v>
      </c>
      <c r="T243">
        <v>3.5897019999999999</v>
      </c>
      <c r="U243" s="23">
        <v>45629</v>
      </c>
      <c r="V243">
        <v>2.75</v>
      </c>
      <c r="W243">
        <v>2.9</v>
      </c>
      <c r="X243">
        <v>2.3327589999999998</v>
      </c>
      <c r="Y243" s="23">
        <v>45629</v>
      </c>
      <c r="Z243">
        <v>9.99</v>
      </c>
      <c r="AA243">
        <v>7.5782963591583199</v>
      </c>
      <c r="AB243">
        <v>10.14</v>
      </c>
    </row>
    <row r="244" spans="1:28">
      <c r="A244" s="23">
        <v>45630</v>
      </c>
      <c r="B244">
        <v>1.75</v>
      </c>
      <c r="C244">
        <v>1.9</v>
      </c>
      <c r="D244">
        <v>1.495379</v>
      </c>
      <c r="E244" s="23">
        <v>45630</v>
      </c>
      <c r="F244">
        <v>0.5</v>
      </c>
      <c r="G244">
        <v>0.6</v>
      </c>
      <c r="H244">
        <v>0.25034099999999998</v>
      </c>
      <c r="I244" s="23">
        <v>45630</v>
      </c>
      <c r="J244">
        <v>1</v>
      </c>
      <c r="K244">
        <v>1.1499999999999999</v>
      </c>
      <c r="L244">
        <v>0.68323900000000004</v>
      </c>
      <c r="M244" s="23">
        <v>45630</v>
      </c>
      <c r="N244">
        <v>3</v>
      </c>
      <c r="O244">
        <v>3.15</v>
      </c>
      <c r="P244">
        <v>2.4238789999999999</v>
      </c>
      <c r="Q244" s="23">
        <v>45630</v>
      </c>
      <c r="R244">
        <v>3.5</v>
      </c>
      <c r="S244">
        <v>3.65</v>
      </c>
      <c r="T244">
        <v>3.572082</v>
      </c>
      <c r="U244" s="23">
        <v>45630</v>
      </c>
      <c r="V244">
        <v>2.75</v>
      </c>
      <c r="W244">
        <v>2.9</v>
      </c>
      <c r="X244">
        <v>2.3203770000000001</v>
      </c>
      <c r="Y244" s="23">
        <v>45630</v>
      </c>
      <c r="Z244">
        <v>9.99</v>
      </c>
      <c r="AA244">
        <v>7.5539143549245962</v>
      </c>
      <c r="AB244">
        <v>10.14</v>
      </c>
    </row>
    <row r="245" spans="1:28">
      <c r="A245" s="23">
        <v>45631</v>
      </c>
      <c r="B245">
        <v>1.75</v>
      </c>
      <c r="C245">
        <v>1.9</v>
      </c>
      <c r="D245">
        <v>1.494267</v>
      </c>
      <c r="E245" s="23">
        <v>45631</v>
      </c>
      <c r="F245">
        <v>0.5</v>
      </c>
      <c r="G245">
        <v>0.6</v>
      </c>
      <c r="H245">
        <v>0.25065799999999999</v>
      </c>
      <c r="I245" s="23">
        <v>45631</v>
      </c>
      <c r="J245">
        <v>1</v>
      </c>
      <c r="K245">
        <v>1.1499999999999999</v>
      </c>
      <c r="L245">
        <v>0.67736499999999999</v>
      </c>
      <c r="M245" s="23">
        <v>45631</v>
      </c>
      <c r="N245">
        <v>3</v>
      </c>
      <c r="O245">
        <v>3.15</v>
      </c>
      <c r="P245">
        <v>2.425942</v>
      </c>
      <c r="Q245" s="23">
        <v>45631</v>
      </c>
      <c r="R245">
        <v>3.5</v>
      </c>
      <c r="S245">
        <v>3.65</v>
      </c>
      <c r="T245">
        <v>3.5895440000000001</v>
      </c>
      <c r="U245" s="23">
        <v>45631</v>
      </c>
      <c r="V245">
        <v>2.75</v>
      </c>
      <c r="W245">
        <v>2.9</v>
      </c>
      <c r="X245">
        <v>2.3475220000000001</v>
      </c>
      <c r="Y245" s="23">
        <v>45631</v>
      </c>
      <c r="Z245">
        <v>9.99</v>
      </c>
      <c r="AA245">
        <v>7.6063715790763116</v>
      </c>
      <c r="AB245">
        <v>10.14</v>
      </c>
    </row>
    <row r="246" spans="1:28">
      <c r="A246" s="23">
        <v>45632</v>
      </c>
      <c r="B246">
        <v>1.75</v>
      </c>
      <c r="C246">
        <v>1.9</v>
      </c>
      <c r="D246">
        <v>1.4955369999999999</v>
      </c>
      <c r="E246" s="23">
        <v>45632</v>
      </c>
      <c r="F246">
        <v>0.5</v>
      </c>
      <c r="G246">
        <v>0.6</v>
      </c>
      <c r="H246">
        <v>0.249389</v>
      </c>
      <c r="I246" s="23">
        <v>45632</v>
      </c>
      <c r="J246">
        <v>1</v>
      </c>
      <c r="K246">
        <v>1.1499999999999999</v>
      </c>
      <c r="L246">
        <v>0.67879400000000001</v>
      </c>
      <c r="M246" s="23">
        <v>45632</v>
      </c>
      <c r="N246">
        <v>3</v>
      </c>
      <c r="O246">
        <v>3.15</v>
      </c>
      <c r="P246">
        <v>2.4156240000000002</v>
      </c>
      <c r="Q246" s="23">
        <v>45632</v>
      </c>
      <c r="R246">
        <v>3.5</v>
      </c>
      <c r="S246">
        <v>3.65</v>
      </c>
      <c r="T246">
        <v>3.5739869999999998</v>
      </c>
      <c r="U246" s="23">
        <v>45632</v>
      </c>
      <c r="V246">
        <v>2.75</v>
      </c>
      <c r="W246">
        <v>2.9</v>
      </c>
      <c r="X246">
        <v>2.3419660000000002</v>
      </c>
      <c r="Y246" s="23">
        <v>45632</v>
      </c>
      <c r="Z246">
        <v>9.99</v>
      </c>
      <c r="AA246">
        <v>7.5181670929987172</v>
      </c>
      <c r="AB246">
        <v>10.14</v>
      </c>
    </row>
    <row r="247" spans="1:28">
      <c r="A247" s="23">
        <v>45635</v>
      </c>
      <c r="B247">
        <v>1.75</v>
      </c>
      <c r="C247">
        <v>1.9</v>
      </c>
      <c r="D247">
        <v>1.48125</v>
      </c>
      <c r="E247" s="23">
        <v>45635</v>
      </c>
      <c r="F247">
        <v>0.5</v>
      </c>
      <c r="G247">
        <v>0.6</v>
      </c>
      <c r="H247">
        <v>0.248277</v>
      </c>
      <c r="I247" s="23">
        <v>45635</v>
      </c>
      <c r="J247">
        <v>1</v>
      </c>
      <c r="K247">
        <v>1.1499999999999999</v>
      </c>
      <c r="L247">
        <v>0.67434899999999998</v>
      </c>
      <c r="M247" s="23">
        <v>45635</v>
      </c>
      <c r="N247">
        <v>3</v>
      </c>
      <c r="O247">
        <v>3.15</v>
      </c>
      <c r="P247">
        <v>2.3802240000000001</v>
      </c>
      <c r="Q247" s="23">
        <v>45635</v>
      </c>
      <c r="R247">
        <v>3.5</v>
      </c>
      <c r="S247">
        <v>3.65</v>
      </c>
      <c r="T247">
        <v>3.5284270000000002</v>
      </c>
      <c r="U247" s="23">
        <v>45635</v>
      </c>
      <c r="V247">
        <v>2.75</v>
      </c>
      <c r="W247">
        <v>2.9</v>
      </c>
      <c r="X247">
        <v>2.3303780000000001</v>
      </c>
      <c r="Y247" s="23">
        <v>45635</v>
      </c>
      <c r="Z247">
        <v>9.99</v>
      </c>
      <c r="AA247">
        <v>7.3835635993218727</v>
      </c>
      <c r="AB247">
        <v>10.14</v>
      </c>
    </row>
    <row r="248" spans="1:28">
      <c r="A248" s="23">
        <v>45636</v>
      </c>
      <c r="B248">
        <v>1.75</v>
      </c>
      <c r="C248">
        <v>1.9</v>
      </c>
      <c r="D248">
        <v>1.4709319999999999</v>
      </c>
      <c r="E248" s="23">
        <v>45636</v>
      </c>
      <c r="F248">
        <v>0.5</v>
      </c>
      <c r="G248">
        <v>0.6</v>
      </c>
      <c r="H248">
        <v>0.247166</v>
      </c>
      <c r="I248" s="23">
        <v>45636</v>
      </c>
      <c r="J248">
        <v>1</v>
      </c>
      <c r="K248">
        <v>1.1499999999999999</v>
      </c>
      <c r="L248">
        <v>0.67101500000000003</v>
      </c>
      <c r="M248" s="23">
        <v>45636</v>
      </c>
      <c r="N248">
        <v>3</v>
      </c>
      <c r="O248">
        <v>3.15</v>
      </c>
      <c r="P248">
        <v>2.344347</v>
      </c>
      <c r="Q248" s="23">
        <v>45636</v>
      </c>
      <c r="R248">
        <v>3.5</v>
      </c>
      <c r="S248">
        <v>3.65</v>
      </c>
      <c r="T248">
        <v>3.539698</v>
      </c>
      <c r="U248" s="23">
        <v>45636</v>
      </c>
      <c r="V248">
        <v>2.75</v>
      </c>
      <c r="W248">
        <v>2.9</v>
      </c>
      <c r="X248">
        <v>2.3152970000000002</v>
      </c>
      <c r="Y248" s="23">
        <v>45636</v>
      </c>
      <c r="Z248">
        <v>9.99</v>
      </c>
      <c r="AA248">
        <v>7.3883515152864492</v>
      </c>
      <c r="AB248">
        <v>10.14</v>
      </c>
    </row>
    <row r="249" spans="1:28">
      <c r="A249" s="23">
        <v>45637</v>
      </c>
      <c r="B249">
        <v>1.75</v>
      </c>
      <c r="C249">
        <v>1.9</v>
      </c>
      <c r="D249">
        <v>1.4836320000000001</v>
      </c>
      <c r="E249" s="23">
        <v>45637</v>
      </c>
      <c r="F249">
        <v>0.5</v>
      </c>
      <c r="G249">
        <v>0.6</v>
      </c>
      <c r="H249">
        <v>0.24684900000000001</v>
      </c>
      <c r="I249" s="23">
        <v>45637</v>
      </c>
      <c r="J249">
        <v>1</v>
      </c>
      <c r="K249">
        <v>1.1499999999999999</v>
      </c>
      <c r="L249">
        <v>0.67371400000000004</v>
      </c>
      <c r="M249" s="23">
        <v>45637</v>
      </c>
      <c r="N249">
        <v>3</v>
      </c>
      <c r="O249">
        <v>3.15</v>
      </c>
      <c r="P249">
        <v>2.3645079999999998</v>
      </c>
      <c r="Q249" s="23">
        <v>45637</v>
      </c>
      <c r="R249">
        <v>3.5</v>
      </c>
      <c r="S249">
        <v>3.65</v>
      </c>
      <c r="T249">
        <v>3.56351</v>
      </c>
      <c r="U249" s="23">
        <v>45637</v>
      </c>
      <c r="V249">
        <v>2.75</v>
      </c>
      <c r="W249">
        <v>2.9</v>
      </c>
      <c r="X249">
        <v>2.3606980000000002</v>
      </c>
      <c r="Y249" s="23">
        <v>45637</v>
      </c>
      <c r="Z249">
        <v>9.99</v>
      </c>
      <c r="AA249">
        <v>7.3182795465715849</v>
      </c>
      <c r="AB249">
        <v>10.14</v>
      </c>
    </row>
    <row r="250" spans="1:28">
      <c r="A250" s="23">
        <v>45638</v>
      </c>
      <c r="B250">
        <v>1.75</v>
      </c>
      <c r="C250">
        <v>1.9</v>
      </c>
      <c r="D250">
        <v>1.4810920000000001</v>
      </c>
      <c r="E250" s="23">
        <v>45638</v>
      </c>
      <c r="F250">
        <v>0.5</v>
      </c>
      <c r="G250">
        <v>0.6</v>
      </c>
      <c r="H250">
        <v>0.25192799999999999</v>
      </c>
      <c r="I250" s="23">
        <v>45638</v>
      </c>
      <c r="J250">
        <v>1</v>
      </c>
      <c r="K250">
        <v>1.1499999999999999</v>
      </c>
      <c r="L250">
        <v>0.66260200000000002</v>
      </c>
      <c r="M250" s="23">
        <v>45638</v>
      </c>
      <c r="N250">
        <v>3</v>
      </c>
      <c r="O250">
        <v>3.15</v>
      </c>
      <c r="P250">
        <v>2.3657780000000002</v>
      </c>
      <c r="Q250" s="23">
        <v>45638</v>
      </c>
      <c r="R250">
        <v>3.5</v>
      </c>
      <c r="S250">
        <v>3.65</v>
      </c>
      <c r="T250">
        <v>3.5596999999999999</v>
      </c>
      <c r="U250" s="23">
        <v>45638</v>
      </c>
      <c r="V250">
        <v>2.75</v>
      </c>
      <c r="W250">
        <v>2.9</v>
      </c>
      <c r="X250">
        <v>2.3464109999999998</v>
      </c>
      <c r="Y250" s="23">
        <v>45638</v>
      </c>
      <c r="Z250">
        <v>9.99</v>
      </c>
      <c r="AA250">
        <v>7.1882540267221975</v>
      </c>
      <c r="AB250">
        <v>10.14</v>
      </c>
    </row>
    <row r="251" spans="1:28">
      <c r="A251" s="23">
        <v>45639</v>
      </c>
      <c r="B251">
        <v>1.75</v>
      </c>
      <c r="C251">
        <v>1.9</v>
      </c>
      <c r="D251">
        <v>1.5374460000000001</v>
      </c>
      <c r="E251" s="23">
        <v>45639</v>
      </c>
      <c r="F251">
        <v>0.5</v>
      </c>
      <c r="G251">
        <v>0.6</v>
      </c>
      <c r="H251">
        <v>0.25097599999999998</v>
      </c>
      <c r="I251" s="23">
        <v>45639</v>
      </c>
      <c r="J251">
        <v>1</v>
      </c>
      <c r="K251">
        <v>1.1499999999999999</v>
      </c>
      <c r="L251">
        <v>0.68165100000000001</v>
      </c>
      <c r="M251" s="23">
        <v>45639</v>
      </c>
      <c r="N251">
        <v>3</v>
      </c>
      <c r="O251">
        <v>3.15</v>
      </c>
      <c r="P251">
        <v>2.4118140000000001</v>
      </c>
      <c r="Q251" s="23">
        <v>45639</v>
      </c>
      <c r="R251">
        <v>3.5</v>
      </c>
      <c r="S251">
        <v>3.65</v>
      </c>
      <c r="T251">
        <v>3.6300240000000001</v>
      </c>
      <c r="U251" s="23">
        <v>45639</v>
      </c>
      <c r="V251">
        <v>2.75</v>
      </c>
      <c r="W251">
        <v>2.9</v>
      </c>
      <c r="X251">
        <v>2.3616510000000002</v>
      </c>
      <c r="Y251" s="23">
        <v>45639</v>
      </c>
      <c r="Z251">
        <v>9.99</v>
      </c>
      <c r="AA251">
        <v>7.2360166313193188</v>
      </c>
      <c r="AB251">
        <v>10.14</v>
      </c>
    </row>
    <row r="252" spans="1:28">
      <c r="A252" s="23">
        <v>45642</v>
      </c>
      <c r="B252">
        <v>1.75</v>
      </c>
      <c r="C252">
        <v>1.9</v>
      </c>
      <c r="D252">
        <v>1.570465</v>
      </c>
      <c r="E252" s="23">
        <v>45642</v>
      </c>
      <c r="F252">
        <v>0.5</v>
      </c>
      <c r="G252">
        <v>0.6</v>
      </c>
      <c r="H252">
        <v>0.24923000000000001</v>
      </c>
      <c r="I252" s="23">
        <v>45642</v>
      </c>
      <c r="J252">
        <v>1</v>
      </c>
      <c r="K252">
        <v>1.1499999999999999</v>
      </c>
      <c r="L252">
        <v>0.69133500000000003</v>
      </c>
      <c r="M252" s="23">
        <v>45642</v>
      </c>
      <c r="N252">
        <v>3</v>
      </c>
      <c r="O252">
        <v>3.15</v>
      </c>
      <c r="P252">
        <v>2.4408639999999999</v>
      </c>
      <c r="Q252" s="23">
        <v>45642</v>
      </c>
      <c r="R252">
        <v>3.5</v>
      </c>
      <c r="S252">
        <v>3.65</v>
      </c>
      <c r="T252">
        <v>3.7357480000000001</v>
      </c>
      <c r="U252" s="23">
        <v>45642</v>
      </c>
      <c r="V252">
        <v>2.75</v>
      </c>
      <c r="W252">
        <v>2.9</v>
      </c>
      <c r="X252">
        <v>2.3743500000000002</v>
      </c>
      <c r="Y252" s="23">
        <v>45642</v>
      </c>
      <c r="Z252">
        <v>9.99</v>
      </c>
      <c r="AA252">
        <v>6.9379985585142707</v>
      </c>
      <c r="AB252">
        <v>10.14</v>
      </c>
    </row>
    <row r="253" spans="1:28">
      <c r="A253" s="23">
        <v>45643</v>
      </c>
      <c r="B253">
        <v>1.75</v>
      </c>
      <c r="C253">
        <v>1.9</v>
      </c>
      <c r="D253">
        <v>1.577291</v>
      </c>
      <c r="E253" s="23">
        <v>45643</v>
      </c>
      <c r="F253">
        <v>0.5</v>
      </c>
      <c r="G253">
        <v>0.6</v>
      </c>
      <c r="H253">
        <v>0.24780099999999999</v>
      </c>
      <c r="I253" s="23">
        <v>45643</v>
      </c>
      <c r="J253">
        <v>1</v>
      </c>
      <c r="K253">
        <v>1.1499999999999999</v>
      </c>
      <c r="L253">
        <v>0.69593799999999995</v>
      </c>
      <c r="M253" s="23">
        <v>45643</v>
      </c>
      <c r="N253">
        <v>3</v>
      </c>
      <c r="O253">
        <v>3.15</v>
      </c>
      <c r="P253">
        <v>2.472137</v>
      </c>
      <c r="Q253" s="23">
        <v>45643</v>
      </c>
      <c r="R253">
        <v>3.5</v>
      </c>
      <c r="S253">
        <v>3.65</v>
      </c>
      <c r="T253">
        <v>3.7522570000000002</v>
      </c>
      <c r="U253" s="23">
        <v>45643</v>
      </c>
      <c r="V253">
        <v>2.75</v>
      </c>
      <c r="W253">
        <v>2.9</v>
      </c>
      <c r="X253">
        <v>2.36673</v>
      </c>
      <c r="Y253" s="23">
        <v>45643</v>
      </c>
      <c r="Z253">
        <v>9.99</v>
      </c>
      <c r="AA253">
        <v>7.2846818507254714</v>
      </c>
      <c r="AB253">
        <v>10.14</v>
      </c>
    </row>
    <row r="254" spans="1:28">
      <c r="A254" s="23">
        <v>45644</v>
      </c>
      <c r="B254">
        <v>1.75</v>
      </c>
      <c r="C254">
        <v>1.9</v>
      </c>
      <c r="D254">
        <v>1.5904670000000001</v>
      </c>
      <c r="E254" s="23">
        <v>45644</v>
      </c>
      <c r="F254">
        <v>0.5</v>
      </c>
      <c r="G254">
        <v>0.6</v>
      </c>
      <c r="H254">
        <v>0.248754</v>
      </c>
      <c r="I254" s="23">
        <v>45644</v>
      </c>
      <c r="J254">
        <v>1</v>
      </c>
      <c r="K254">
        <v>1.1499999999999999</v>
      </c>
      <c r="L254">
        <v>0.69577999999999995</v>
      </c>
      <c r="M254" s="23">
        <v>45644</v>
      </c>
      <c r="N254">
        <v>3</v>
      </c>
      <c r="O254">
        <v>3.15</v>
      </c>
      <c r="P254">
        <v>2.4988060000000001</v>
      </c>
      <c r="Q254" s="23">
        <v>45644</v>
      </c>
      <c r="R254">
        <v>3.5</v>
      </c>
      <c r="S254">
        <v>3.65</v>
      </c>
      <c r="T254">
        <v>3.8009919999999999</v>
      </c>
      <c r="U254" s="23">
        <v>45644</v>
      </c>
      <c r="V254">
        <v>2.75</v>
      </c>
      <c r="W254">
        <v>2.9</v>
      </c>
      <c r="X254">
        <v>2.358476</v>
      </c>
      <c r="Y254" s="23">
        <v>45644</v>
      </c>
      <c r="Z254">
        <v>9.99</v>
      </c>
      <c r="AA254">
        <v>7.5344920550611008</v>
      </c>
      <c r="AB254">
        <v>10.14</v>
      </c>
    </row>
    <row r="255" spans="1:28">
      <c r="A255" s="23">
        <v>45645</v>
      </c>
      <c r="B255">
        <v>1.75</v>
      </c>
      <c r="C255">
        <v>1.9</v>
      </c>
      <c r="D255">
        <v>1.601262</v>
      </c>
      <c r="E255" s="23">
        <v>45645</v>
      </c>
      <c r="F255">
        <v>0.5</v>
      </c>
      <c r="G255">
        <v>0.6</v>
      </c>
      <c r="H255">
        <v>0.24923000000000001</v>
      </c>
      <c r="I255" s="23">
        <v>45645</v>
      </c>
      <c r="J255">
        <v>1</v>
      </c>
      <c r="K255">
        <v>1.1499999999999999</v>
      </c>
      <c r="L255">
        <v>0.70435199999999998</v>
      </c>
      <c r="M255" s="23">
        <v>45645</v>
      </c>
      <c r="N255">
        <v>3</v>
      </c>
      <c r="O255">
        <v>3.15</v>
      </c>
      <c r="P255">
        <v>2.504362</v>
      </c>
      <c r="Q255" s="23">
        <v>45645</v>
      </c>
      <c r="R255">
        <v>3.5</v>
      </c>
      <c r="S255">
        <v>3.65</v>
      </c>
      <c r="T255">
        <v>3.8008329999999999</v>
      </c>
      <c r="U255" s="23">
        <v>45645</v>
      </c>
      <c r="V255">
        <v>2.75</v>
      </c>
      <c r="W255">
        <v>2.9</v>
      </c>
      <c r="X255">
        <v>2.3940350000000001</v>
      </c>
      <c r="Y255" s="23">
        <v>45645</v>
      </c>
      <c r="Z255">
        <v>9.99</v>
      </c>
      <c r="AA255">
        <v>7.4731754304780029</v>
      </c>
      <c r="AB255">
        <v>10.14</v>
      </c>
    </row>
    <row r="256" spans="1:28">
      <c r="A256" s="23">
        <v>45646</v>
      </c>
      <c r="B256">
        <v>1.75</v>
      </c>
      <c r="C256">
        <v>1.9</v>
      </c>
      <c r="D256">
        <v>1.5896729999999999</v>
      </c>
      <c r="E256" s="23">
        <v>45646</v>
      </c>
      <c r="F256">
        <v>0.5</v>
      </c>
      <c r="G256">
        <v>0.6</v>
      </c>
      <c r="H256">
        <v>0.248754</v>
      </c>
      <c r="I256" s="23">
        <v>45646</v>
      </c>
      <c r="J256">
        <v>1</v>
      </c>
      <c r="K256">
        <v>1.1499999999999999</v>
      </c>
      <c r="L256">
        <v>0.703399</v>
      </c>
      <c r="M256" s="23">
        <v>45646</v>
      </c>
      <c r="N256">
        <v>3</v>
      </c>
      <c r="O256">
        <v>3.15</v>
      </c>
      <c r="P256">
        <v>2.494996</v>
      </c>
      <c r="Q256" s="23">
        <v>45646</v>
      </c>
      <c r="R256">
        <v>3.5</v>
      </c>
      <c r="S256">
        <v>3.65</v>
      </c>
      <c r="T256">
        <v>3.7813080000000001</v>
      </c>
      <c r="U256" s="23">
        <v>45646</v>
      </c>
      <c r="V256">
        <v>2.75</v>
      </c>
      <c r="W256">
        <v>2.9</v>
      </c>
      <c r="X256">
        <v>2.4022890000000001</v>
      </c>
      <c r="Y256" s="23">
        <v>45646</v>
      </c>
      <c r="Z256">
        <v>9.99</v>
      </c>
      <c r="AA256">
        <v>7.5018382792057121</v>
      </c>
      <c r="AB256">
        <v>10.14</v>
      </c>
    </row>
    <row r="257" spans="1:28">
      <c r="A257" s="23">
        <v>45649</v>
      </c>
      <c r="B257">
        <v>1.75</v>
      </c>
      <c r="C257">
        <v>1.9</v>
      </c>
      <c r="D257">
        <v>1.588721</v>
      </c>
      <c r="E257" s="23">
        <v>45649</v>
      </c>
      <c r="F257">
        <v>0.5</v>
      </c>
      <c r="G257">
        <v>0.6</v>
      </c>
      <c r="H257">
        <v>0.248277</v>
      </c>
      <c r="I257" s="23">
        <v>45649</v>
      </c>
      <c r="J257">
        <v>1</v>
      </c>
      <c r="K257">
        <v>1.1499999999999999</v>
      </c>
      <c r="L257">
        <v>0.70149499999999998</v>
      </c>
      <c r="M257" s="23">
        <v>45649</v>
      </c>
      <c r="N257">
        <v>3</v>
      </c>
      <c r="O257">
        <v>3.15</v>
      </c>
      <c r="P257">
        <v>2.5111880000000002</v>
      </c>
      <c r="Q257" s="23">
        <v>45649</v>
      </c>
      <c r="R257">
        <v>3.5</v>
      </c>
      <c r="S257">
        <v>3.65</v>
      </c>
      <c r="T257">
        <v>3.7979759999999998</v>
      </c>
      <c r="U257" s="23">
        <v>45649</v>
      </c>
      <c r="V257">
        <v>2.75</v>
      </c>
      <c r="W257">
        <v>2.9</v>
      </c>
      <c r="X257">
        <v>2.4156240000000002</v>
      </c>
      <c r="Y257" s="23">
        <v>45649</v>
      </c>
      <c r="Z257">
        <v>9.99</v>
      </c>
      <c r="AA257">
        <v>7.5432810698021138</v>
      </c>
      <c r="AB257">
        <v>10.14</v>
      </c>
    </row>
    <row r="258" spans="1:28">
      <c r="A258" s="23">
        <v>45650</v>
      </c>
      <c r="B258">
        <v>1.75</v>
      </c>
      <c r="C258">
        <v>1.9</v>
      </c>
      <c r="D258">
        <v>1.602373</v>
      </c>
      <c r="E258" s="23">
        <v>45650</v>
      </c>
      <c r="F258">
        <v>0.5</v>
      </c>
      <c r="G258">
        <v>0.6</v>
      </c>
      <c r="H258">
        <v>0.24954699999999999</v>
      </c>
      <c r="I258" s="23">
        <v>45650</v>
      </c>
      <c r="J258">
        <v>1</v>
      </c>
      <c r="K258">
        <v>1.1499999999999999</v>
      </c>
      <c r="L258">
        <v>0.70482800000000001</v>
      </c>
      <c r="M258" s="23">
        <v>45650</v>
      </c>
      <c r="N258">
        <v>3</v>
      </c>
      <c r="O258">
        <v>3.15</v>
      </c>
      <c r="P258">
        <v>2.5240469999999999</v>
      </c>
      <c r="Q258" s="23">
        <v>45650</v>
      </c>
      <c r="R258">
        <v>3.5</v>
      </c>
      <c r="S258">
        <v>3.65</v>
      </c>
      <c r="T258">
        <v>3.6649479999999999</v>
      </c>
      <c r="U258" s="23">
        <v>45650</v>
      </c>
      <c r="V258">
        <v>2.75</v>
      </c>
      <c r="W258">
        <v>2.9</v>
      </c>
      <c r="X258">
        <v>2.4186399999999999</v>
      </c>
      <c r="Y258" s="23">
        <v>45650</v>
      </c>
      <c r="Z258">
        <v>9.99</v>
      </c>
      <c r="AA258">
        <v>7.5432810698020987</v>
      </c>
      <c r="AB258">
        <v>10.14</v>
      </c>
    </row>
    <row r="259" spans="1:28">
      <c r="A259" s="23">
        <v>45653</v>
      </c>
      <c r="B259">
        <v>1.75</v>
      </c>
      <c r="C259">
        <v>1.9</v>
      </c>
      <c r="D259">
        <v>1.589197</v>
      </c>
      <c r="E259" s="23">
        <v>45653</v>
      </c>
      <c r="F259">
        <v>0.5</v>
      </c>
      <c r="G259">
        <v>0.6</v>
      </c>
      <c r="H259">
        <v>0.24923000000000001</v>
      </c>
      <c r="I259" s="23">
        <v>45653</v>
      </c>
      <c r="J259">
        <v>1</v>
      </c>
      <c r="K259">
        <v>1.1499999999999999</v>
      </c>
      <c r="L259">
        <v>0.69720800000000005</v>
      </c>
      <c r="M259" s="23">
        <v>45653</v>
      </c>
      <c r="N259">
        <v>3</v>
      </c>
      <c r="O259">
        <v>3.15</v>
      </c>
      <c r="P259">
        <v>2.491187</v>
      </c>
      <c r="Q259" s="23">
        <v>45653</v>
      </c>
      <c r="R259">
        <v>3.5</v>
      </c>
      <c r="S259">
        <v>3.65</v>
      </c>
      <c r="T259">
        <v>3.5673189999999999</v>
      </c>
      <c r="U259" s="23">
        <v>45653</v>
      </c>
      <c r="V259">
        <v>2.75</v>
      </c>
      <c r="W259">
        <v>2.9</v>
      </c>
      <c r="X259">
        <v>2.3878430000000002</v>
      </c>
      <c r="Y259" s="23">
        <v>45653</v>
      </c>
      <c r="Z259">
        <v>9.99</v>
      </c>
      <c r="AA259">
        <v>7.1782330492582496</v>
      </c>
      <c r="AB259">
        <v>10.14</v>
      </c>
    </row>
    <row r="260" spans="1:28">
      <c r="A260" s="23">
        <v>45656</v>
      </c>
      <c r="B260">
        <v>1.75</v>
      </c>
      <c r="C260">
        <v>1.9</v>
      </c>
      <c r="D260">
        <v>1.582212</v>
      </c>
      <c r="E260" s="23">
        <v>45656</v>
      </c>
      <c r="F260">
        <v>0.5</v>
      </c>
      <c r="G260">
        <v>0.6</v>
      </c>
      <c r="H260">
        <v>0.24811900000000001</v>
      </c>
      <c r="I260" s="23">
        <v>45656</v>
      </c>
      <c r="J260">
        <v>1</v>
      </c>
      <c r="K260">
        <v>1.1499999999999999</v>
      </c>
      <c r="L260">
        <v>0.69609699999999997</v>
      </c>
      <c r="M260" s="23">
        <v>45656</v>
      </c>
      <c r="N260">
        <v>3</v>
      </c>
      <c r="O260">
        <v>3.15</v>
      </c>
      <c r="P260">
        <v>2.481344</v>
      </c>
      <c r="Q260" s="23">
        <v>45656</v>
      </c>
      <c r="R260">
        <v>3.5</v>
      </c>
      <c r="S260">
        <v>3.65</v>
      </c>
      <c r="T260">
        <v>3.552556</v>
      </c>
      <c r="U260" s="23">
        <v>45656</v>
      </c>
      <c r="V260">
        <v>2.75</v>
      </c>
      <c r="W260">
        <v>2.9</v>
      </c>
      <c r="X260">
        <v>2.3816519999999999</v>
      </c>
      <c r="Y260" s="23">
        <v>45656</v>
      </c>
      <c r="Z260">
        <v>9.99</v>
      </c>
      <c r="AA260">
        <v>7.1903330415571052</v>
      </c>
      <c r="AB260">
        <v>10.14</v>
      </c>
    </row>
    <row r="261" spans="1:28">
      <c r="A261" s="23">
        <v>45657</v>
      </c>
      <c r="B261">
        <v>1.75</v>
      </c>
      <c r="C261">
        <v>1.9</v>
      </c>
      <c r="D261">
        <v>1.565385</v>
      </c>
      <c r="E261" s="23">
        <v>45657</v>
      </c>
      <c r="F261">
        <v>0.5</v>
      </c>
      <c r="G261">
        <v>0.6</v>
      </c>
      <c r="H261">
        <v>0.239705</v>
      </c>
      <c r="I261" s="23">
        <v>45657</v>
      </c>
      <c r="J261">
        <v>1</v>
      </c>
      <c r="K261">
        <v>1.1499999999999999</v>
      </c>
      <c r="L261">
        <v>0.67815899999999996</v>
      </c>
      <c r="M261" s="23">
        <v>45657</v>
      </c>
      <c r="N261">
        <v>3</v>
      </c>
      <c r="O261">
        <v>3.15</v>
      </c>
      <c r="P261">
        <v>2.4557859999999998</v>
      </c>
      <c r="Q261" s="23">
        <v>45657</v>
      </c>
      <c r="R261">
        <v>3.5</v>
      </c>
      <c r="S261">
        <v>3.65</v>
      </c>
      <c r="T261">
        <v>3.5235059999999998</v>
      </c>
      <c r="U261" s="23">
        <v>45657</v>
      </c>
      <c r="V261">
        <v>2.75</v>
      </c>
      <c r="W261">
        <v>2.9</v>
      </c>
      <c r="X261">
        <v>2.3713340000000001</v>
      </c>
      <c r="Y261" s="23">
        <v>45657</v>
      </c>
      <c r="Z261">
        <v>9.99</v>
      </c>
      <c r="AA261">
        <v>7.2519446357708848</v>
      </c>
      <c r="AB261">
        <v>10.14</v>
      </c>
    </row>
    <row r="262" spans="1:28">
      <c r="A262" s="23">
        <v>45659</v>
      </c>
      <c r="B262">
        <v>1.75</v>
      </c>
      <c r="C262">
        <v>1.9</v>
      </c>
      <c r="D262">
        <v>1.554273</v>
      </c>
      <c r="E262" s="23">
        <v>45659</v>
      </c>
      <c r="F262">
        <v>0.5</v>
      </c>
      <c r="G262">
        <v>0.6</v>
      </c>
      <c r="H262">
        <v>0.237959</v>
      </c>
      <c r="I262" s="23">
        <v>45659</v>
      </c>
      <c r="J262">
        <v>1</v>
      </c>
      <c r="K262">
        <v>1.1499999999999999</v>
      </c>
      <c r="L262">
        <v>0.66815800000000003</v>
      </c>
      <c r="M262" s="23">
        <v>45659</v>
      </c>
      <c r="N262">
        <v>3</v>
      </c>
      <c r="O262">
        <v>3.15</v>
      </c>
      <c r="P262">
        <v>2.4513419999999999</v>
      </c>
      <c r="Q262" s="23">
        <v>45659</v>
      </c>
      <c r="R262">
        <v>3.5</v>
      </c>
      <c r="S262">
        <v>3.65</v>
      </c>
      <c r="T262">
        <v>3.4981070000000001</v>
      </c>
      <c r="U262" s="23">
        <v>45659</v>
      </c>
      <c r="V262">
        <v>2.75</v>
      </c>
      <c r="W262">
        <v>2.9</v>
      </c>
      <c r="X262">
        <v>2.3529200000000001</v>
      </c>
      <c r="Y262" s="23">
        <v>45659</v>
      </c>
      <c r="Z262">
        <v>9.99</v>
      </c>
      <c r="AA262">
        <v>7.1181686635014296</v>
      </c>
      <c r="AB262">
        <v>10.14</v>
      </c>
    </row>
    <row r="263" spans="1:28">
      <c r="A263" s="23">
        <v>45660</v>
      </c>
      <c r="B263">
        <v>1.75</v>
      </c>
      <c r="C263">
        <v>1.9</v>
      </c>
      <c r="D263">
        <v>1.5682430000000001</v>
      </c>
      <c r="E263" s="23">
        <v>45660</v>
      </c>
      <c r="F263">
        <v>0.5</v>
      </c>
      <c r="G263">
        <v>0.6</v>
      </c>
      <c r="H263">
        <v>0.23621300000000001</v>
      </c>
      <c r="I263" s="23">
        <v>45660</v>
      </c>
      <c r="J263">
        <v>1</v>
      </c>
      <c r="K263">
        <v>1.1499999999999999</v>
      </c>
      <c r="L263">
        <v>0.67371400000000004</v>
      </c>
      <c r="M263" s="23">
        <v>45660</v>
      </c>
      <c r="N263">
        <v>3</v>
      </c>
      <c r="O263">
        <v>3.15</v>
      </c>
      <c r="P263">
        <v>2.476264</v>
      </c>
      <c r="Q263" s="23">
        <v>45660</v>
      </c>
      <c r="R263">
        <v>3.5</v>
      </c>
      <c r="S263">
        <v>3.65</v>
      </c>
      <c r="T263">
        <v>3.5227119999999998</v>
      </c>
      <c r="U263" s="23">
        <v>45660</v>
      </c>
      <c r="V263">
        <v>2.75</v>
      </c>
      <c r="W263">
        <v>2.9</v>
      </c>
      <c r="X263">
        <v>2.3978440000000001</v>
      </c>
      <c r="Y263" s="23">
        <v>45660</v>
      </c>
      <c r="Z263">
        <v>9.99</v>
      </c>
      <c r="AA263">
        <v>7.2006429161174053</v>
      </c>
      <c r="AB263">
        <v>10.14</v>
      </c>
    </row>
    <row r="264" spans="1:28">
      <c r="A264" s="23">
        <v>45663</v>
      </c>
      <c r="B264">
        <v>1.75</v>
      </c>
      <c r="C264">
        <v>1.9</v>
      </c>
      <c r="D264">
        <v>1.5699890000000001</v>
      </c>
      <c r="E264" s="23">
        <v>45663</v>
      </c>
      <c r="F264">
        <v>0.5</v>
      </c>
      <c r="G264">
        <v>0.6</v>
      </c>
      <c r="H264">
        <v>0.238594</v>
      </c>
      <c r="I264" s="23">
        <v>45663</v>
      </c>
      <c r="J264">
        <v>1</v>
      </c>
      <c r="K264">
        <v>1.1499999999999999</v>
      </c>
      <c r="L264">
        <v>0.67276199999999997</v>
      </c>
      <c r="M264" s="23">
        <v>45663</v>
      </c>
      <c r="N264">
        <v>3</v>
      </c>
      <c r="O264">
        <v>3.15</v>
      </c>
      <c r="P264">
        <v>2.4889640000000002</v>
      </c>
      <c r="Q264" s="23">
        <v>45663</v>
      </c>
      <c r="R264">
        <v>3.5</v>
      </c>
      <c r="S264">
        <v>3.65</v>
      </c>
      <c r="T264">
        <v>3.5373169999999998</v>
      </c>
      <c r="U264" s="23">
        <v>45663</v>
      </c>
      <c r="V264">
        <v>2.75</v>
      </c>
      <c r="W264">
        <v>2.9</v>
      </c>
      <c r="X264">
        <v>2.4199099999999998</v>
      </c>
      <c r="Y264" s="23">
        <v>45663</v>
      </c>
      <c r="Z264">
        <v>9.99</v>
      </c>
      <c r="AA264">
        <v>7.2006429161174053</v>
      </c>
      <c r="AB264">
        <v>10.14</v>
      </c>
    </row>
    <row r="265" spans="1:28">
      <c r="A265" s="23">
        <v>45664</v>
      </c>
      <c r="B265">
        <v>1.75</v>
      </c>
      <c r="C265">
        <v>1.9</v>
      </c>
      <c r="D265">
        <v>1.5590349999999999</v>
      </c>
      <c r="E265" s="23">
        <v>45664</v>
      </c>
      <c r="F265">
        <v>0.5</v>
      </c>
      <c r="G265">
        <v>0.6</v>
      </c>
      <c r="H265">
        <v>0.23732400000000001</v>
      </c>
      <c r="I265" s="23">
        <v>45664</v>
      </c>
      <c r="J265">
        <v>1</v>
      </c>
      <c r="K265">
        <v>1.1499999999999999</v>
      </c>
      <c r="L265">
        <v>0.66657100000000002</v>
      </c>
      <c r="M265" s="23">
        <v>45664</v>
      </c>
      <c r="N265">
        <v>3</v>
      </c>
      <c r="O265">
        <v>3.15</v>
      </c>
      <c r="P265">
        <v>2.449754</v>
      </c>
      <c r="Q265" s="23">
        <v>45664</v>
      </c>
      <c r="R265">
        <v>3.5</v>
      </c>
      <c r="S265">
        <v>3.65</v>
      </c>
      <c r="T265">
        <v>3.5039799999999999</v>
      </c>
      <c r="U265" s="23">
        <v>45664</v>
      </c>
      <c r="V265">
        <v>2.75</v>
      </c>
      <c r="W265">
        <v>2.9</v>
      </c>
      <c r="X265">
        <v>2.4472139999999998</v>
      </c>
      <c r="Y265" s="23">
        <v>45664</v>
      </c>
      <c r="Z265">
        <v>9.99</v>
      </c>
      <c r="AA265">
        <v>7.3681825711398785</v>
      </c>
      <c r="AB265">
        <v>10.14</v>
      </c>
    </row>
    <row r="266" spans="1:28">
      <c r="A266" s="23">
        <v>45665</v>
      </c>
      <c r="B266">
        <v>1.75</v>
      </c>
      <c r="C266">
        <v>1.9</v>
      </c>
      <c r="D266">
        <v>1.539669</v>
      </c>
      <c r="E266" s="23">
        <v>45665</v>
      </c>
      <c r="F266">
        <v>0.5</v>
      </c>
      <c r="G266">
        <v>0.6</v>
      </c>
      <c r="H266">
        <v>0.23605400000000001</v>
      </c>
      <c r="I266" s="23">
        <v>45665</v>
      </c>
      <c r="J266">
        <v>1</v>
      </c>
      <c r="K266">
        <v>1.1499999999999999</v>
      </c>
      <c r="L266">
        <v>0.65799799999999997</v>
      </c>
      <c r="M266" s="23">
        <v>45665</v>
      </c>
      <c r="N266">
        <v>3</v>
      </c>
      <c r="O266">
        <v>3.15</v>
      </c>
      <c r="P266">
        <v>2.4151479999999999</v>
      </c>
      <c r="Q266" s="23">
        <v>45665</v>
      </c>
      <c r="R266">
        <v>3.5</v>
      </c>
      <c r="S266">
        <v>3.65</v>
      </c>
      <c r="T266">
        <v>3.4749300000000001</v>
      </c>
      <c r="U266" s="23">
        <v>45665</v>
      </c>
      <c r="V266">
        <v>2.75</v>
      </c>
      <c r="W266">
        <v>2.9</v>
      </c>
      <c r="X266">
        <v>2.4187989999999999</v>
      </c>
      <c r="Y266" s="23">
        <v>45665</v>
      </c>
      <c r="Z266">
        <v>9.99</v>
      </c>
      <c r="AA266">
        <v>7.3209106340204446</v>
      </c>
      <c r="AB266">
        <v>10.14</v>
      </c>
    </row>
    <row r="267" spans="1:28">
      <c r="A267" s="23">
        <v>45666</v>
      </c>
      <c r="B267">
        <v>1.75</v>
      </c>
      <c r="C267">
        <v>1.9</v>
      </c>
      <c r="D267">
        <v>1.496807</v>
      </c>
      <c r="E267" s="23">
        <v>45666</v>
      </c>
      <c r="F267">
        <v>0.5</v>
      </c>
      <c r="G267">
        <v>0.6</v>
      </c>
      <c r="H267">
        <v>0.23526</v>
      </c>
      <c r="I267" s="23">
        <v>45666</v>
      </c>
      <c r="J267">
        <v>1</v>
      </c>
      <c r="K267">
        <v>1.1499999999999999</v>
      </c>
      <c r="L267">
        <v>0.61990000000000001</v>
      </c>
      <c r="M267" s="23">
        <v>45666</v>
      </c>
      <c r="N267">
        <v>3</v>
      </c>
      <c r="O267">
        <v>3.15</v>
      </c>
      <c r="P267">
        <v>2.3781599999999998</v>
      </c>
      <c r="Q267" s="23">
        <v>45666</v>
      </c>
      <c r="R267">
        <v>3.5</v>
      </c>
      <c r="S267">
        <v>3.65</v>
      </c>
      <c r="T267">
        <v>3.420798</v>
      </c>
      <c r="U267" s="23">
        <v>45666</v>
      </c>
      <c r="V267">
        <v>2.75</v>
      </c>
      <c r="W267">
        <v>2.9</v>
      </c>
      <c r="X267">
        <v>2.3775249999999999</v>
      </c>
      <c r="Y267" s="23">
        <v>45666</v>
      </c>
      <c r="Z267">
        <v>9.99</v>
      </c>
      <c r="AA267">
        <v>7.2457948865664195</v>
      </c>
      <c r="AB267">
        <v>10.14</v>
      </c>
    </row>
    <row r="268" spans="1:28">
      <c r="A268" s="23">
        <v>45667</v>
      </c>
      <c r="B268">
        <v>1.75</v>
      </c>
      <c r="C268">
        <v>1.9</v>
      </c>
      <c r="D268">
        <v>1.49522</v>
      </c>
      <c r="E268" s="23">
        <v>45667</v>
      </c>
      <c r="F268">
        <v>0.5</v>
      </c>
      <c r="G268">
        <v>0.6</v>
      </c>
      <c r="H268">
        <v>0.23446600000000001</v>
      </c>
      <c r="I268" s="23">
        <v>45667</v>
      </c>
      <c r="J268">
        <v>1</v>
      </c>
      <c r="K268">
        <v>1.1499999999999999</v>
      </c>
      <c r="L268">
        <v>0.62751900000000005</v>
      </c>
      <c r="M268" s="23">
        <v>45667</v>
      </c>
      <c r="N268">
        <v>3</v>
      </c>
      <c r="O268">
        <v>3.15</v>
      </c>
      <c r="P268">
        <v>2.3662540000000001</v>
      </c>
      <c r="Q268" s="23">
        <v>45667</v>
      </c>
      <c r="R268">
        <v>3.5</v>
      </c>
      <c r="S268">
        <v>3.65</v>
      </c>
      <c r="T268">
        <v>3.4103210000000002</v>
      </c>
      <c r="U268" s="23">
        <v>45667</v>
      </c>
      <c r="V268">
        <v>2.75</v>
      </c>
      <c r="W268">
        <v>2.9</v>
      </c>
      <c r="X268">
        <v>2.371969</v>
      </c>
      <c r="Y268" s="23">
        <v>45667</v>
      </c>
      <c r="Z268">
        <v>9.99</v>
      </c>
      <c r="AA268">
        <v>7.1877611125549157</v>
      </c>
      <c r="AB268">
        <v>10.14</v>
      </c>
    </row>
    <row r="269" spans="1:28">
      <c r="A269" s="23">
        <v>45670</v>
      </c>
      <c r="B269">
        <v>1.75</v>
      </c>
      <c r="C269">
        <v>1.9</v>
      </c>
      <c r="D269">
        <v>1.488394</v>
      </c>
      <c r="E269" s="23">
        <v>45670</v>
      </c>
      <c r="F269">
        <v>0.5</v>
      </c>
      <c r="G269">
        <v>0.6</v>
      </c>
      <c r="H269">
        <v>0.23383200000000001</v>
      </c>
      <c r="I269" s="23">
        <v>45670</v>
      </c>
      <c r="J269">
        <v>1</v>
      </c>
      <c r="K269">
        <v>1.1499999999999999</v>
      </c>
      <c r="L269">
        <v>0.62640799999999996</v>
      </c>
      <c r="M269" s="23">
        <v>45670</v>
      </c>
      <c r="N269">
        <v>3</v>
      </c>
      <c r="O269">
        <v>3.15</v>
      </c>
      <c r="P269">
        <v>2.35419</v>
      </c>
      <c r="Q269" s="23">
        <v>45670</v>
      </c>
      <c r="R269">
        <v>3.5</v>
      </c>
      <c r="S269">
        <v>3.65</v>
      </c>
      <c r="T269">
        <v>3.3915890000000002</v>
      </c>
      <c r="U269" s="23">
        <v>45670</v>
      </c>
      <c r="V269">
        <v>2.75</v>
      </c>
      <c r="W269">
        <v>2.9</v>
      </c>
      <c r="X269">
        <v>2.3700640000000002</v>
      </c>
      <c r="Y269" s="23">
        <v>45670</v>
      </c>
      <c r="Z269">
        <v>9.99</v>
      </c>
      <c r="AA269">
        <v>7.0612032657579196</v>
      </c>
      <c r="AB269">
        <v>10.14</v>
      </c>
    </row>
    <row r="270" spans="1:28">
      <c r="A270" s="23">
        <v>45671</v>
      </c>
      <c r="B270">
        <v>1.75</v>
      </c>
      <c r="C270">
        <v>1.9</v>
      </c>
      <c r="D270">
        <v>1.471249</v>
      </c>
      <c r="E270" s="23">
        <v>45671</v>
      </c>
      <c r="F270">
        <v>0.5</v>
      </c>
      <c r="G270">
        <v>0.6</v>
      </c>
      <c r="H270">
        <v>0.23224400000000001</v>
      </c>
      <c r="I270" s="23">
        <v>45671</v>
      </c>
      <c r="J270">
        <v>1</v>
      </c>
      <c r="K270">
        <v>1.1499999999999999</v>
      </c>
      <c r="L270">
        <v>0.61958199999999997</v>
      </c>
      <c r="M270" s="23">
        <v>45671</v>
      </c>
      <c r="N270">
        <v>3</v>
      </c>
      <c r="O270">
        <v>3.15</v>
      </c>
      <c r="P270">
        <v>2.3291080000000002</v>
      </c>
      <c r="Q270" s="23">
        <v>45671</v>
      </c>
      <c r="R270">
        <v>3.5</v>
      </c>
      <c r="S270">
        <v>3.65</v>
      </c>
      <c r="T270">
        <v>3.3623799999999999</v>
      </c>
      <c r="U270" s="23">
        <v>45671</v>
      </c>
      <c r="V270">
        <v>2.75</v>
      </c>
      <c r="W270">
        <v>2.9</v>
      </c>
      <c r="X270">
        <v>2.3381560000000001</v>
      </c>
      <c r="Y270" s="23">
        <v>45671</v>
      </c>
      <c r="Z270">
        <v>9.99</v>
      </c>
      <c r="AA270">
        <v>7.0789773603606241</v>
      </c>
      <c r="AB270">
        <v>10.14</v>
      </c>
    </row>
    <row r="271" spans="1:28">
      <c r="A271" s="23">
        <v>45672</v>
      </c>
      <c r="B271">
        <v>1.75</v>
      </c>
      <c r="C271">
        <v>1.9</v>
      </c>
      <c r="D271">
        <v>1.488553</v>
      </c>
      <c r="E271" s="23">
        <v>45672</v>
      </c>
      <c r="F271">
        <v>0.5</v>
      </c>
      <c r="G271">
        <v>0.6</v>
      </c>
      <c r="H271">
        <v>0.26113599999999998</v>
      </c>
      <c r="I271" s="23">
        <v>45672</v>
      </c>
      <c r="J271">
        <v>1</v>
      </c>
      <c r="K271">
        <v>1.1499999999999999</v>
      </c>
      <c r="L271">
        <v>0.62291600000000003</v>
      </c>
      <c r="M271" s="23">
        <v>45672</v>
      </c>
      <c r="N271">
        <v>3</v>
      </c>
      <c r="O271">
        <v>3.15</v>
      </c>
      <c r="P271">
        <v>2.359111</v>
      </c>
      <c r="Q271" s="23">
        <v>45672</v>
      </c>
      <c r="R271">
        <v>3.5</v>
      </c>
      <c r="S271">
        <v>3.65</v>
      </c>
      <c r="T271">
        <v>3.4077809999999999</v>
      </c>
      <c r="U271" s="23">
        <v>45672</v>
      </c>
      <c r="V271">
        <v>2.75</v>
      </c>
      <c r="W271">
        <v>2.9</v>
      </c>
      <c r="X271">
        <v>2.372128</v>
      </c>
      <c r="Y271" s="23">
        <v>45672</v>
      </c>
      <c r="Z271">
        <v>9.99</v>
      </c>
      <c r="AA271">
        <v>7.0087273820366391</v>
      </c>
      <c r="AB271">
        <v>10.14</v>
      </c>
    </row>
    <row r="272" spans="1:28">
      <c r="A272" s="23">
        <v>45673</v>
      </c>
      <c r="B272">
        <v>1.75</v>
      </c>
      <c r="C272">
        <v>1.9</v>
      </c>
      <c r="D272">
        <v>1.4876</v>
      </c>
      <c r="E272" s="23">
        <v>45673</v>
      </c>
      <c r="F272">
        <v>0.5</v>
      </c>
      <c r="G272">
        <v>0.6</v>
      </c>
      <c r="H272">
        <v>0.26034200000000002</v>
      </c>
      <c r="I272" s="23">
        <v>45673</v>
      </c>
      <c r="J272">
        <v>1</v>
      </c>
      <c r="K272">
        <v>1.1499999999999999</v>
      </c>
      <c r="L272">
        <v>0.624027</v>
      </c>
      <c r="M272" s="23">
        <v>45673</v>
      </c>
      <c r="N272">
        <v>3</v>
      </c>
      <c r="O272">
        <v>3.15</v>
      </c>
      <c r="P272">
        <v>2.335934</v>
      </c>
      <c r="Q272" s="23">
        <v>45673</v>
      </c>
      <c r="R272">
        <v>3.5</v>
      </c>
      <c r="S272">
        <v>3.65</v>
      </c>
      <c r="T272">
        <v>3.3822230000000002</v>
      </c>
      <c r="U272" s="23">
        <v>45673</v>
      </c>
      <c r="V272">
        <v>2.75</v>
      </c>
      <c r="W272">
        <v>2.9</v>
      </c>
      <c r="X272">
        <v>2.3510149999999999</v>
      </c>
      <c r="Y272" s="23">
        <v>45673</v>
      </c>
      <c r="Z272">
        <v>9.99</v>
      </c>
      <c r="AA272">
        <v>7.1914653681544571</v>
      </c>
      <c r="AB272">
        <v>10.14</v>
      </c>
    </row>
    <row r="273" spans="1:28">
      <c r="A273" s="23">
        <v>45674</v>
      </c>
      <c r="B273">
        <v>1.75</v>
      </c>
      <c r="C273">
        <v>1.9</v>
      </c>
      <c r="D273">
        <v>1.4917279999999999</v>
      </c>
      <c r="E273" s="23">
        <v>45674</v>
      </c>
      <c r="F273">
        <v>0.5</v>
      </c>
      <c r="G273">
        <v>0.6</v>
      </c>
      <c r="H273">
        <v>0.26002399999999998</v>
      </c>
      <c r="I273" s="23">
        <v>45674</v>
      </c>
      <c r="J273">
        <v>1</v>
      </c>
      <c r="K273">
        <v>1.1499999999999999</v>
      </c>
      <c r="L273">
        <v>0.62894799999999995</v>
      </c>
      <c r="M273" s="23">
        <v>45674</v>
      </c>
      <c r="N273">
        <v>3</v>
      </c>
      <c r="O273">
        <v>3.15</v>
      </c>
      <c r="P273">
        <v>2.344824</v>
      </c>
      <c r="Q273" s="23">
        <v>45674</v>
      </c>
      <c r="R273">
        <v>3.5</v>
      </c>
      <c r="S273">
        <v>3.65</v>
      </c>
      <c r="T273">
        <v>3.3868260000000001</v>
      </c>
      <c r="U273" s="23">
        <v>45674</v>
      </c>
      <c r="V273">
        <v>2.75</v>
      </c>
      <c r="W273">
        <v>2.9</v>
      </c>
      <c r="X273">
        <v>2.3537129999999999</v>
      </c>
      <c r="Y273" s="23">
        <v>45674</v>
      </c>
      <c r="Z273">
        <v>9.99</v>
      </c>
      <c r="AA273">
        <v>6.9919029333107314</v>
      </c>
      <c r="AB273">
        <v>10.14</v>
      </c>
    </row>
    <row r="274" spans="1:28">
      <c r="A274" s="23">
        <v>45677</v>
      </c>
      <c r="B274">
        <v>1.75</v>
      </c>
      <c r="C274">
        <v>1.9</v>
      </c>
      <c r="D274">
        <v>1.486013</v>
      </c>
      <c r="E274" s="23">
        <v>45677</v>
      </c>
      <c r="F274">
        <v>0.5</v>
      </c>
      <c r="G274">
        <v>0.6</v>
      </c>
      <c r="H274">
        <v>0.259548</v>
      </c>
      <c r="I274" s="23">
        <v>45677</v>
      </c>
      <c r="J274">
        <v>1</v>
      </c>
      <c r="K274">
        <v>1.1499999999999999</v>
      </c>
      <c r="L274">
        <v>0.62863100000000005</v>
      </c>
      <c r="M274" s="23">
        <v>45677</v>
      </c>
      <c r="N274">
        <v>3</v>
      </c>
      <c r="O274">
        <v>3.15</v>
      </c>
      <c r="P274">
        <v>2.33514</v>
      </c>
      <c r="Q274" s="23">
        <v>45677</v>
      </c>
      <c r="R274">
        <v>3.5</v>
      </c>
      <c r="S274">
        <v>3.65</v>
      </c>
      <c r="T274">
        <v>3.378889</v>
      </c>
      <c r="U274" s="23">
        <v>45677</v>
      </c>
      <c r="V274">
        <v>2.75</v>
      </c>
      <c r="W274">
        <v>2.9</v>
      </c>
      <c r="X274">
        <v>2.3464109999999998</v>
      </c>
      <c r="Y274" s="23">
        <v>45677</v>
      </c>
      <c r="Z274">
        <v>9.99</v>
      </c>
      <c r="AA274">
        <v>7.0686404108785528</v>
      </c>
      <c r="AB274">
        <v>10.14</v>
      </c>
    </row>
    <row r="275" spans="1:28">
      <c r="A275" s="23">
        <v>45678</v>
      </c>
      <c r="B275">
        <v>1.75</v>
      </c>
      <c r="C275">
        <v>1.9</v>
      </c>
      <c r="D275">
        <v>1.504745</v>
      </c>
      <c r="E275" s="23">
        <v>45678</v>
      </c>
      <c r="F275">
        <v>0.5</v>
      </c>
      <c r="G275">
        <v>0.6</v>
      </c>
      <c r="H275">
        <v>0.25938899999999998</v>
      </c>
      <c r="I275" s="23">
        <v>45678</v>
      </c>
      <c r="J275">
        <v>1</v>
      </c>
      <c r="K275">
        <v>1.1499999999999999</v>
      </c>
      <c r="L275">
        <v>0.63910800000000001</v>
      </c>
      <c r="M275" s="23">
        <v>45678</v>
      </c>
      <c r="N275">
        <v>3</v>
      </c>
      <c r="O275">
        <v>3.15</v>
      </c>
      <c r="P275">
        <v>2.3875259999999998</v>
      </c>
      <c r="Q275" s="23">
        <v>45678</v>
      </c>
      <c r="R275">
        <v>3.5</v>
      </c>
      <c r="S275">
        <v>3.65</v>
      </c>
      <c r="T275">
        <v>3.4231790000000002</v>
      </c>
      <c r="U275" s="23">
        <v>45678</v>
      </c>
      <c r="V275">
        <v>2.75</v>
      </c>
      <c r="W275">
        <v>2.9</v>
      </c>
      <c r="X275">
        <v>2.3853040000000001</v>
      </c>
      <c r="Y275" s="23">
        <v>45678</v>
      </c>
      <c r="Z275">
        <v>9.99</v>
      </c>
      <c r="AA275">
        <v>7.3288775916097917</v>
      </c>
      <c r="AB275">
        <v>10.14</v>
      </c>
    </row>
    <row r="276" spans="1:28">
      <c r="A276" s="23">
        <v>45679</v>
      </c>
      <c r="B276">
        <v>1.75</v>
      </c>
      <c r="C276">
        <v>1.9</v>
      </c>
      <c r="D276">
        <v>1.495061</v>
      </c>
      <c r="E276" s="23">
        <v>45679</v>
      </c>
      <c r="F276">
        <v>0.5</v>
      </c>
      <c r="G276">
        <v>0.6</v>
      </c>
      <c r="H276">
        <v>0.27955000000000002</v>
      </c>
      <c r="I276" s="23">
        <v>45679</v>
      </c>
      <c r="J276">
        <v>1</v>
      </c>
      <c r="K276">
        <v>1.1499999999999999</v>
      </c>
      <c r="L276">
        <v>0.63497999999999999</v>
      </c>
      <c r="M276" s="23">
        <v>45679</v>
      </c>
      <c r="N276">
        <v>3</v>
      </c>
      <c r="O276">
        <v>3.15</v>
      </c>
      <c r="P276">
        <v>2.3746679999999998</v>
      </c>
      <c r="Q276" s="23">
        <v>45679</v>
      </c>
      <c r="R276">
        <v>3.5</v>
      </c>
      <c r="S276">
        <v>3.65</v>
      </c>
      <c r="T276">
        <v>3.4269889999999998</v>
      </c>
      <c r="U276" s="23">
        <v>45679</v>
      </c>
      <c r="V276">
        <v>2.75</v>
      </c>
      <c r="W276">
        <v>2.9</v>
      </c>
      <c r="X276">
        <v>2.3868909999999999</v>
      </c>
      <c r="Y276" s="23">
        <v>45679</v>
      </c>
      <c r="Z276">
        <v>9.99</v>
      </c>
      <c r="AA276">
        <v>7.3933089731716191</v>
      </c>
      <c r="AB276">
        <v>10.14</v>
      </c>
    </row>
    <row r="277" spans="1:28">
      <c r="A277" s="23">
        <v>45680</v>
      </c>
      <c r="B277">
        <v>1.75</v>
      </c>
      <c r="C277">
        <v>1.9</v>
      </c>
      <c r="D277">
        <v>1.492362</v>
      </c>
      <c r="E277" s="23">
        <v>45680</v>
      </c>
      <c r="F277">
        <v>0.5</v>
      </c>
      <c r="G277">
        <v>0.6</v>
      </c>
      <c r="H277">
        <v>0.28462999999999999</v>
      </c>
      <c r="I277" s="23">
        <v>45680</v>
      </c>
      <c r="J277">
        <v>1</v>
      </c>
      <c r="K277">
        <v>1.1499999999999999</v>
      </c>
      <c r="L277">
        <v>0.63688500000000003</v>
      </c>
      <c r="M277" s="23">
        <v>45680</v>
      </c>
      <c r="N277">
        <v>3</v>
      </c>
      <c r="O277">
        <v>3.15</v>
      </c>
      <c r="P277">
        <v>2.3791120000000001</v>
      </c>
      <c r="Q277" s="23">
        <v>45680</v>
      </c>
      <c r="R277">
        <v>3.5</v>
      </c>
      <c r="S277">
        <v>3.65</v>
      </c>
      <c r="T277">
        <v>3.4176229999999999</v>
      </c>
      <c r="U277" s="23">
        <v>45680</v>
      </c>
      <c r="V277">
        <v>2.75</v>
      </c>
      <c r="W277">
        <v>2.9</v>
      </c>
      <c r="X277">
        <v>2.3819699999999999</v>
      </c>
      <c r="Y277" s="23">
        <v>45680</v>
      </c>
      <c r="Z277">
        <v>9.99</v>
      </c>
      <c r="AA277">
        <v>7.417752516168779</v>
      </c>
      <c r="AB277">
        <v>10.14</v>
      </c>
    </row>
    <row r="278" spans="1:28">
      <c r="A278" s="23">
        <v>45681</v>
      </c>
      <c r="B278">
        <v>1.75</v>
      </c>
      <c r="C278">
        <v>1.9</v>
      </c>
      <c r="D278">
        <v>1.489981</v>
      </c>
      <c r="E278" s="23">
        <v>45681</v>
      </c>
      <c r="F278">
        <v>0.5</v>
      </c>
      <c r="G278">
        <v>0.6</v>
      </c>
      <c r="H278">
        <v>0.28383599999999998</v>
      </c>
      <c r="I278" s="23">
        <v>45681</v>
      </c>
      <c r="J278">
        <v>1</v>
      </c>
      <c r="K278">
        <v>1.1499999999999999</v>
      </c>
      <c r="L278">
        <v>0.63783800000000002</v>
      </c>
      <c r="M278" s="23">
        <v>45681</v>
      </c>
      <c r="N278">
        <v>3</v>
      </c>
      <c r="O278">
        <v>3.15</v>
      </c>
      <c r="P278">
        <v>2.3595869999999999</v>
      </c>
      <c r="Q278" s="23">
        <v>45681</v>
      </c>
      <c r="R278">
        <v>3.5</v>
      </c>
      <c r="S278">
        <v>3.65</v>
      </c>
      <c r="T278">
        <v>3.4117489999999999</v>
      </c>
      <c r="U278" s="23">
        <v>45681</v>
      </c>
      <c r="V278">
        <v>2.75</v>
      </c>
      <c r="W278">
        <v>2.9</v>
      </c>
      <c r="X278">
        <v>2.3506969999999998</v>
      </c>
      <c r="Y278" s="23">
        <v>45681</v>
      </c>
      <c r="Z278">
        <v>9.99</v>
      </c>
      <c r="AA278">
        <v>7.2723740488331767</v>
      </c>
      <c r="AB278">
        <v>10.14</v>
      </c>
    </row>
    <row r="279" spans="1:28">
      <c r="A279" s="23">
        <v>45684</v>
      </c>
      <c r="B279">
        <v>1.75</v>
      </c>
      <c r="C279">
        <v>1.9</v>
      </c>
      <c r="D279">
        <v>1.4706140000000001</v>
      </c>
      <c r="E279" s="23">
        <v>45684</v>
      </c>
      <c r="F279">
        <v>0.5</v>
      </c>
      <c r="G279">
        <v>0.6</v>
      </c>
      <c r="H279">
        <v>0.28383599999999998</v>
      </c>
      <c r="I279" s="23">
        <v>45684</v>
      </c>
      <c r="J279">
        <v>1</v>
      </c>
      <c r="K279">
        <v>1.1499999999999999</v>
      </c>
      <c r="L279">
        <v>0.64117100000000005</v>
      </c>
      <c r="M279" s="23">
        <v>45684</v>
      </c>
      <c r="N279">
        <v>3</v>
      </c>
      <c r="O279">
        <v>3.15</v>
      </c>
      <c r="P279">
        <v>2.3205360000000002</v>
      </c>
      <c r="Q279" s="23">
        <v>45684</v>
      </c>
      <c r="R279">
        <v>3.5</v>
      </c>
      <c r="S279">
        <v>3.65</v>
      </c>
      <c r="T279">
        <v>3.4149240000000001</v>
      </c>
      <c r="U279" s="23">
        <v>45684</v>
      </c>
      <c r="V279">
        <v>2.75</v>
      </c>
      <c r="W279">
        <v>2.9</v>
      </c>
      <c r="X279">
        <v>2.3098999999999998</v>
      </c>
      <c r="Y279" s="23">
        <v>45684</v>
      </c>
      <c r="Z279">
        <v>9.99</v>
      </c>
      <c r="AA279">
        <v>7.2467560775366815</v>
      </c>
      <c r="AB279">
        <v>10.14</v>
      </c>
    </row>
    <row r="280" spans="1:28">
      <c r="A280" s="23">
        <v>45685</v>
      </c>
      <c r="B280">
        <v>1.75</v>
      </c>
      <c r="C280">
        <v>1.9</v>
      </c>
      <c r="D280">
        <v>1.4779169999999999</v>
      </c>
      <c r="E280" s="23">
        <v>45685</v>
      </c>
      <c r="F280">
        <v>0.5</v>
      </c>
      <c r="G280">
        <v>0.6</v>
      </c>
      <c r="H280">
        <v>0.314633</v>
      </c>
      <c r="I280" s="23">
        <v>45685</v>
      </c>
      <c r="J280">
        <v>1</v>
      </c>
      <c r="K280">
        <v>1.1499999999999999</v>
      </c>
      <c r="L280">
        <v>0.64228300000000005</v>
      </c>
      <c r="M280" s="23">
        <v>45685</v>
      </c>
      <c r="N280">
        <v>3</v>
      </c>
      <c r="O280">
        <v>3.15</v>
      </c>
      <c r="P280">
        <v>2.353237</v>
      </c>
      <c r="Q280" s="23">
        <v>45685</v>
      </c>
      <c r="R280">
        <v>3.5</v>
      </c>
      <c r="S280">
        <v>3.65</v>
      </c>
      <c r="T280">
        <v>3.4360369999999998</v>
      </c>
      <c r="U280" s="23">
        <v>45685</v>
      </c>
      <c r="V280">
        <v>2.75</v>
      </c>
      <c r="W280">
        <v>2.9</v>
      </c>
      <c r="X280">
        <v>2.3983210000000001</v>
      </c>
      <c r="Y280" s="23">
        <v>45685</v>
      </c>
      <c r="Z280">
        <v>9.99</v>
      </c>
      <c r="AA280">
        <v>7.5058966207984339</v>
      </c>
      <c r="AB280">
        <v>10.14</v>
      </c>
    </row>
    <row r="281" spans="1:28">
      <c r="A281" s="23">
        <v>45686</v>
      </c>
      <c r="B281">
        <v>1.75</v>
      </c>
      <c r="C281">
        <v>1.9</v>
      </c>
      <c r="D281">
        <v>1.4741070000000001</v>
      </c>
      <c r="E281" s="23">
        <v>45686</v>
      </c>
      <c r="F281">
        <v>0.5</v>
      </c>
      <c r="G281">
        <v>0.6</v>
      </c>
      <c r="H281">
        <v>0.32606200000000002</v>
      </c>
      <c r="I281" s="23">
        <v>45686</v>
      </c>
      <c r="J281">
        <v>1</v>
      </c>
      <c r="K281">
        <v>1.1499999999999999</v>
      </c>
      <c r="L281">
        <v>0.64021899999999998</v>
      </c>
      <c r="M281" s="23">
        <v>45686</v>
      </c>
      <c r="N281">
        <v>3</v>
      </c>
      <c r="O281">
        <v>3.15</v>
      </c>
      <c r="P281">
        <v>2.3406959999999999</v>
      </c>
      <c r="Q281" s="23">
        <v>45686</v>
      </c>
      <c r="R281">
        <v>4.5</v>
      </c>
      <c r="S281">
        <v>4.6500000000000004</v>
      </c>
      <c r="T281">
        <v>3.4263539999999999</v>
      </c>
      <c r="U281" s="23">
        <v>45686</v>
      </c>
      <c r="V281">
        <v>2.75</v>
      </c>
      <c r="W281">
        <v>2.9</v>
      </c>
      <c r="X281">
        <v>2.3589519999999999</v>
      </c>
      <c r="Y281" s="23">
        <v>45686</v>
      </c>
      <c r="Z281">
        <v>9.99</v>
      </c>
      <c r="AA281">
        <v>7.3811539329168125</v>
      </c>
      <c r="AB281">
        <v>10.14</v>
      </c>
    </row>
    <row r="282" spans="1:28">
      <c r="A282" s="23">
        <v>45687</v>
      </c>
      <c r="B282">
        <v>1.75</v>
      </c>
      <c r="C282">
        <v>1.9</v>
      </c>
      <c r="D282">
        <v>1.473948</v>
      </c>
      <c r="E282" s="23">
        <v>45687</v>
      </c>
      <c r="F282">
        <v>0.5</v>
      </c>
      <c r="G282">
        <v>0.6</v>
      </c>
      <c r="H282">
        <v>0.32717400000000002</v>
      </c>
      <c r="I282" s="23">
        <v>45687</v>
      </c>
      <c r="J282">
        <v>1</v>
      </c>
      <c r="K282">
        <v>1.1499999999999999</v>
      </c>
      <c r="L282">
        <v>0.68514399999999998</v>
      </c>
      <c r="M282" s="23">
        <v>45687</v>
      </c>
      <c r="N282">
        <v>3</v>
      </c>
      <c r="O282">
        <v>3.15</v>
      </c>
      <c r="P282">
        <v>2.3375210000000002</v>
      </c>
      <c r="Q282" s="23">
        <v>45687</v>
      </c>
      <c r="R282">
        <v>4.5</v>
      </c>
      <c r="S282">
        <v>4.6500000000000004</v>
      </c>
      <c r="T282">
        <v>3.4246080000000001</v>
      </c>
      <c r="U282" s="23">
        <v>45687</v>
      </c>
      <c r="V282">
        <v>2.75</v>
      </c>
      <c r="W282">
        <v>2.9</v>
      </c>
      <c r="X282">
        <v>2.3408549999999999</v>
      </c>
      <c r="Y282" s="23">
        <v>45687</v>
      </c>
      <c r="Z282">
        <v>9.99</v>
      </c>
      <c r="AA282">
        <v>7.4347140771324751</v>
      </c>
      <c r="AB282">
        <v>10.14</v>
      </c>
    </row>
    <row r="283" spans="1:28">
      <c r="A283" s="23">
        <v>45688</v>
      </c>
      <c r="B283">
        <v>1.75</v>
      </c>
      <c r="C283">
        <v>1.9</v>
      </c>
      <c r="D283">
        <v>1.4658519999999999</v>
      </c>
      <c r="E283" s="23">
        <v>45688</v>
      </c>
      <c r="F283">
        <v>0.5</v>
      </c>
      <c r="G283">
        <v>0.6</v>
      </c>
      <c r="H283">
        <v>0.29129699999999997</v>
      </c>
      <c r="I283" s="23">
        <v>45688</v>
      </c>
      <c r="J283">
        <v>1</v>
      </c>
      <c r="K283">
        <v>1.1499999999999999</v>
      </c>
      <c r="L283">
        <v>0.67196800000000001</v>
      </c>
      <c r="M283" s="23">
        <v>45688</v>
      </c>
      <c r="N283">
        <v>3</v>
      </c>
      <c r="O283">
        <v>3.15</v>
      </c>
      <c r="P283">
        <v>2.326092</v>
      </c>
      <c r="Q283" s="23">
        <v>45688</v>
      </c>
      <c r="R283">
        <v>4.5</v>
      </c>
      <c r="S283">
        <v>4.6500000000000004</v>
      </c>
      <c r="T283">
        <v>3.415718</v>
      </c>
      <c r="U283" s="23">
        <v>45688</v>
      </c>
      <c r="V283">
        <v>2.75</v>
      </c>
      <c r="W283">
        <v>2.9</v>
      </c>
      <c r="X283">
        <v>2.299264</v>
      </c>
      <c r="Y283" s="23">
        <v>45688</v>
      </c>
      <c r="Z283">
        <v>9.99</v>
      </c>
      <c r="AA283">
        <v>7.1456410983291683</v>
      </c>
      <c r="AB283">
        <v>10.14</v>
      </c>
    </row>
    <row r="284" spans="1:28">
      <c r="A284" s="23">
        <v>45691</v>
      </c>
      <c r="B284">
        <v>1.75</v>
      </c>
      <c r="C284">
        <v>1.9</v>
      </c>
      <c r="D284">
        <v>1.4183870000000001</v>
      </c>
      <c r="E284" s="23">
        <v>45691</v>
      </c>
      <c r="F284">
        <v>0.5</v>
      </c>
      <c r="G284">
        <v>0.6</v>
      </c>
      <c r="H284">
        <v>0.28907500000000003</v>
      </c>
      <c r="I284" s="23">
        <v>45691</v>
      </c>
      <c r="J284">
        <v>1</v>
      </c>
      <c r="K284">
        <v>1.1499999999999999</v>
      </c>
      <c r="L284">
        <v>0.62656699999999999</v>
      </c>
      <c r="M284" s="23">
        <v>45691</v>
      </c>
      <c r="N284">
        <v>3</v>
      </c>
      <c r="O284">
        <v>3.15</v>
      </c>
      <c r="P284">
        <v>2.2916439999999998</v>
      </c>
      <c r="Q284" s="23">
        <v>45691</v>
      </c>
      <c r="R284">
        <v>4.5</v>
      </c>
      <c r="S284">
        <v>4.6500000000000004</v>
      </c>
      <c r="T284">
        <v>3.370317</v>
      </c>
      <c r="U284" s="23">
        <v>45691</v>
      </c>
      <c r="V284">
        <v>2.75</v>
      </c>
      <c r="W284">
        <v>2.9</v>
      </c>
      <c r="X284">
        <v>2.283865</v>
      </c>
      <c r="Y284" s="23">
        <v>45691</v>
      </c>
      <c r="Z284">
        <v>9.99</v>
      </c>
      <c r="AA284">
        <v>7.1890411642455376</v>
      </c>
      <c r="AB284">
        <v>10.14</v>
      </c>
    </row>
    <row r="285" spans="1:28">
      <c r="A285" s="23">
        <v>45692</v>
      </c>
      <c r="B285">
        <v>1.75</v>
      </c>
      <c r="C285">
        <v>1.9</v>
      </c>
      <c r="D285">
        <v>1.428547</v>
      </c>
      <c r="E285" s="23">
        <v>45692</v>
      </c>
      <c r="F285">
        <v>0.5</v>
      </c>
      <c r="G285">
        <v>0.6</v>
      </c>
      <c r="H285">
        <v>0.28780499999999998</v>
      </c>
      <c r="I285" s="23">
        <v>45692</v>
      </c>
      <c r="J285">
        <v>1</v>
      </c>
      <c r="K285">
        <v>1.1499999999999999</v>
      </c>
      <c r="L285">
        <v>0.630853</v>
      </c>
      <c r="M285" s="23">
        <v>45692</v>
      </c>
      <c r="N285">
        <v>3</v>
      </c>
      <c r="O285">
        <v>3.15</v>
      </c>
      <c r="P285">
        <v>2.2987869999999999</v>
      </c>
      <c r="Q285" s="23">
        <v>45692</v>
      </c>
      <c r="R285">
        <v>4.5</v>
      </c>
      <c r="S285">
        <v>4.6500000000000004</v>
      </c>
      <c r="T285">
        <v>3.375238</v>
      </c>
      <c r="U285" s="23">
        <v>45692</v>
      </c>
      <c r="V285">
        <v>2.75</v>
      </c>
      <c r="W285">
        <v>2.9</v>
      </c>
      <c r="X285">
        <v>2.302597</v>
      </c>
      <c r="Y285" s="23">
        <v>45692</v>
      </c>
      <c r="Z285">
        <v>9.99</v>
      </c>
      <c r="AA285">
        <v>7.2170583208829884</v>
      </c>
      <c r="AB285">
        <v>10.14</v>
      </c>
    </row>
    <row r="286" spans="1:28">
      <c r="A286" s="23">
        <v>45693</v>
      </c>
      <c r="B286">
        <v>1.75</v>
      </c>
      <c r="C286">
        <v>1.9</v>
      </c>
      <c r="D286">
        <v>1.4469609999999999</v>
      </c>
      <c r="E286" s="23">
        <v>45693</v>
      </c>
      <c r="F286">
        <v>0.5</v>
      </c>
      <c r="G286">
        <v>0.6</v>
      </c>
      <c r="H286">
        <v>0.28923399999999999</v>
      </c>
      <c r="I286" s="23">
        <v>45693</v>
      </c>
      <c r="J286">
        <v>1</v>
      </c>
      <c r="K286">
        <v>1.1499999999999999</v>
      </c>
      <c r="L286">
        <v>0.64148899999999998</v>
      </c>
      <c r="M286" s="23">
        <v>45693</v>
      </c>
      <c r="N286">
        <v>3</v>
      </c>
      <c r="O286">
        <v>3.15</v>
      </c>
      <c r="P286">
        <v>2.3413309999999998</v>
      </c>
      <c r="Q286" s="23">
        <v>45693</v>
      </c>
      <c r="R286">
        <v>4.5</v>
      </c>
      <c r="S286">
        <v>4.6500000000000004</v>
      </c>
      <c r="T286">
        <v>3.3936519999999999</v>
      </c>
      <c r="U286" s="23">
        <v>45693</v>
      </c>
      <c r="V286">
        <v>2.75</v>
      </c>
      <c r="W286">
        <v>2.9</v>
      </c>
      <c r="X286">
        <v>2.2913260000000002</v>
      </c>
      <c r="Y286" s="23">
        <v>45693</v>
      </c>
      <c r="Z286">
        <v>9.99</v>
      </c>
      <c r="AA286">
        <v>7.2892992796109786</v>
      </c>
      <c r="AB286">
        <v>10.14</v>
      </c>
    </row>
    <row r="287" spans="1:28">
      <c r="A287" s="23">
        <v>45694</v>
      </c>
      <c r="B287">
        <v>1.75</v>
      </c>
      <c r="C287">
        <v>1.9</v>
      </c>
      <c r="D287">
        <v>1.447438</v>
      </c>
      <c r="E287" s="23">
        <v>45694</v>
      </c>
      <c r="F287">
        <v>0.5</v>
      </c>
      <c r="G287">
        <v>0.6</v>
      </c>
      <c r="H287">
        <v>0.28986899999999999</v>
      </c>
      <c r="I287" s="23">
        <v>45694</v>
      </c>
      <c r="J287">
        <v>1</v>
      </c>
      <c r="K287">
        <v>1.1499999999999999</v>
      </c>
      <c r="L287">
        <v>0.643235</v>
      </c>
      <c r="M287" s="23">
        <v>45694</v>
      </c>
      <c r="N287">
        <v>3</v>
      </c>
      <c r="O287">
        <v>3.15</v>
      </c>
      <c r="P287">
        <v>2.3546659999999999</v>
      </c>
      <c r="Q287" s="23">
        <v>45694</v>
      </c>
      <c r="R287">
        <v>4.5</v>
      </c>
      <c r="S287">
        <v>4.6500000000000004</v>
      </c>
      <c r="T287">
        <v>3.393176</v>
      </c>
      <c r="U287" s="23">
        <v>45694</v>
      </c>
      <c r="V287">
        <v>2.75</v>
      </c>
      <c r="W287">
        <v>2.9</v>
      </c>
      <c r="X287">
        <v>2.2818019999999999</v>
      </c>
      <c r="Y287" s="23">
        <v>45694</v>
      </c>
      <c r="Z287">
        <v>9.99</v>
      </c>
      <c r="AA287">
        <v>7.6135794176513283</v>
      </c>
      <c r="AB287">
        <v>10.14</v>
      </c>
    </row>
    <row r="288" spans="1:28">
      <c r="A288" s="23">
        <v>45695</v>
      </c>
      <c r="B288">
        <v>1.75</v>
      </c>
      <c r="C288">
        <v>1.9</v>
      </c>
      <c r="D288">
        <v>1.438072</v>
      </c>
      <c r="E288" s="23">
        <v>45695</v>
      </c>
      <c r="F288">
        <v>0.5</v>
      </c>
      <c r="G288">
        <v>0.6</v>
      </c>
      <c r="H288">
        <v>0.29288500000000001</v>
      </c>
      <c r="I288" s="23">
        <v>45695</v>
      </c>
      <c r="J288">
        <v>1</v>
      </c>
      <c r="K288">
        <v>1.1499999999999999</v>
      </c>
      <c r="L288">
        <v>0.64863199999999999</v>
      </c>
      <c r="M288" s="23">
        <v>45695</v>
      </c>
      <c r="N288">
        <v>3</v>
      </c>
      <c r="O288">
        <v>3.15</v>
      </c>
      <c r="P288">
        <v>2.3614920000000001</v>
      </c>
      <c r="Q288" s="23">
        <v>45695</v>
      </c>
      <c r="R288">
        <v>4.5</v>
      </c>
      <c r="S288">
        <v>4.6500000000000004</v>
      </c>
      <c r="T288">
        <v>3.4088919999999998</v>
      </c>
      <c r="U288" s="23">
        <v>45695</v>
      </c>
      <c r="V288">
        <v>2.75</v>
      </c>
      <c r="W288">
        <v>2.9</v>
      </c>
      <c r="X288">
        <v>2.26688</v>
      </c>
      <c r="Y288" s="23">
        <v>45695</v>
      </c>
      <c r="Z288">
        <v>9.99</v>
      </c>
      <c r="AA288">
        <v>7.2597351079071517</v>
      </c>
      <c r="AB288">
        <v>10.14</v>
      </c>
    </row>
    <row r="289" spans="1:28">
      <c r="A289" s="23">
        <v>45698</v>
      </c>
      <c r="B289">
        <v>1.75</v>
      </c>
      <c r="C289">
        <v>1.9</v>
      </c>
      <c r="D289">
        <v>1.453311</v>
      </c>
      <c r="E289" s="23">
        <v>45698</v>
      </c>
      <c r="F289">
        <v>0.5</v>
      </c>
      <c r="G289">
        <v>0.6</v>
      </c>
      <c r="H289">
        <v>0.29288500000000001</v>
      </c>
      <c r="I289" s="23">
        <v>45698</v>
      </c>
      <c r="J289">
        <v>1</v>
      </c>
      <c r="K289">
        <v>1.1499999999999999</v>
      </c>
      <c r="L289">
        <v>0.663713</v>
      </c>
      <c r="M289" s="23">
        <v>45698</v>
      </c>
      <c r="N289">
        <v>3</v>
      </c>
      <c r="O289">
        <v>3.15</v>
      </c>
      <c r="P289">
        <v>2.409592</v>
      </c>
      <c r="Q289" s="23">
        <v>45698</v>
      </c>
      <c r="R289">
        <v>4.5</v>
      </c>
      <c r="S289">
        <v>4.6500000000000004</v>
      </c>
      <c r="T289">
        <v>3.438418</v>
      </c>
      <c r="U289" s="23">
        <v>45698</v>
      </c>
      <c r="V289">
        <v>2.75</v>
      </c>
      <c r="W289">
        <v>2.9</v>
      </c>
      <c r="X289">
        <v>2.2902149999999999</v>
      </c>
      <c r="Y289" s="23">
        <v>45698</v>
      </c>
      <c r="Z289">
        <v>9.99</v>
      </c>
      <c r="AA289">
        <v>7.413965809895755</v>
      </c>
      <c r="AB289">
        <v>10.14</v>
      </c>
    </row>
    <row r="290" spans="1:28">
      <c r="A290" s="23">
        <v>45699</v>
      </c>
      <c r="B290">
        <v>1.75</v>
      </c>
      <c r="C290">
        <v>1.9</v>
      </c>
      <c r="D290">
        <v>1.4442630000000001</v>
      </c>
      <c r="E290" s="23">
        <v>45699</v>
      </c>
      <c r="F290">
        <v>0.5</v>
      </c>
      <c r="G290">
        <v>0.6</v>
      </c>
      <c r="H290">
        <v>0.29399599999999998</v>
      </c>
      <c r="I290" s="23">
        <v>45699</v>
      </c>
      <c r="J290">
        <v>1</v>
      </c>
      <c r="K290">
        <v>1.1499999999999999</v>
      </c>
      <c r="L290">
        <v>0.66418900000000003</v>
      </c>
      <c r="M290" s="23">
        <v>45699</v>
      </c>
      <c r="N290">
        <v>3</v>
      </c>
      <c r="O290">
        <v>3.15</v>
      </c>
      <c r="P290">
        <v>2.40848</v>
      </c>
      <c r="Q290" s="23">
        <v>45699</v>
      </c>
      <c r="R290">
        <v>4.5</v>
      </c>
      <c r="S290">
        <v>4.6500000000000004</v>
      </c>
      <c r="T290">
        <v>3.4323860000000002</v>
      </c>
      <c r="U290" s="23">
        <v>45699</v>
      </c>
      <c r="V290">
        <v>2.75</v>
      </c>
      <c r="W290">
        <v>2.9</v>
      </c>
      <c r="X290">
        <v>2.2764039999999999</v>
      </c>
      <c r="Y290" s="23">
        <v>45699</v>
      </c>
      <c r="Z290">
        <v>9.99</v>
      </c>
      <c r="AA290">
        <v>7.4600799810682856</v>
      </c>
      <c r="AB290">
        <v>10.14</v>
      </c>
    </row>
    <row r="291" spans="1:28">
      <c r="A291" s="23">
        <v>45700</v>
      </c>
      <c r="B291">
        <v>1.75</v>
      </c>
      <c r="C291">
        <v>1.9</v>
      </c>
      <c r="D291">
        <v>1.4479139999999999</v>
      </c>
      <c r="E291" s="23">
        <v>45700</v>
      </c>
      <c r="F291">
        <v>0.5</v>
      </c>
      <c r="G291">
        <v>0.6</v>
      </c>
      <c r="H291">
        <v>0.29383700000000001</v>
      </c>
      <c r="I291" s="23">
        <v>45700</v>
      </c>
      <c r="J291">
        <v>1</v>
      </c>
      <c r="K291">
        <v>1.1499999999999999</v>
      </c>
      <c r="L291">
        <v>0.66672900000000002</v>
      </c>
      <c r="M291" s="23">
        <v>45700</v>
      </c>
      <c r="N291">
        <v>3</v>
      </c>
      <c r="O291">
        <v>3.15</v>
      </c>
      <c r="P291">
        <v>2.4054639999999998</v>
      </c>
      <c r="Q291" s="23">
        <v>45700</v>
      </c>
      <c r="R291">
        <v>4.5</v>
      </c>
      <c r="S291">
        <v>4.6500000000000004</v>
      </c>
      <c r="T291">
        <v>3.43953</v>
      </c>
      <c r="U291" s="23">
        <v>45700</v>
      </c>
      <c r="V291">
        <v>2.75</v>
      </c>
      <c r="W291">
        <v>2.9</v>
      </c>
      <c r="X291">
        <v>2.2876750000000001</v>
      </c>
      <c r="Y291" s="23">
        <v>45700</v>
      </c>
      <c r="Z291">
        <v>9.99</v>
      </c>
      <c r="AA291">
        <v>7.685680888955674</v>
      </c>
      <c r="AB291">
        <v>10.14</v>
      </c>
    </row>
    <row r="292" spans="1:28">
      <c r="A292" s="23">
        <v>45701</v>
      </c>
      <c r="B292">
        <v>1.75</v>
      </c>
      <c r="C292">
        <v>1.9</v>
      </c>
      <c r="D292">
        <v>1.488235</v>
      </c>
      <c r="E292" s="23">
        <v>45701</v>
      </c>
      <c r="F292">
        <v>0.5</v>
      </c>
      <c r="G292">
        <v>0.6</v>
      </c>
      <c r="H292">
        <v>0.29732999999999998</v>
      </c>
      <c r="I292" s="23">
        <v>45701</v>
      </c>
      <c r="J292">
        <v>1</v>
      </c>
      <c r="K292">
        <v>1.1499999999999999</v>
      </c>
      <c r="L292">
        <v>0.69752599999999998</v>
      </c>
      <c r="M292" s="23">
        <v>45701</v>
      </c>
      <c r="N292">
        <v>3</v>
      </c>
      <c r="O292">
        <v>3.15</v>
      </c>
      <c r="P292">
        <v>2.4519760000000002</v>
      </c>
      <c r="Q292" s="23">
        <v>45701</v>
      </c>
      <c r="R292">
        <v>4.5</v>
      </c>
      <c r="S292">
        <v>4.6500000000000004</v>
      </c>
      <c r="T292">
        <v>3.4903279999999999</v>
      </c>
      <c r="U292" s="23">
        <v>45701</v>
      </c>
      <c r="V292">
        <v>2.75</v>
      </c>
      <c r="W292">
        <v>2.9</v>
      </c>
      <c r="X292">
        <v>2.3067250000000001</v>
      </c>
      <c r="Y292" s="23">
        <v>45701</v>
      </c>
      <c r="Z292">
        <v>9.99</v>
      </c>
      <c r="AA292">
        <v>7.5132957042119504</v>
      </c>
      <c r="AB292">
        <v>10.14</v>
      </c>
    </row>
    <row r="293" spans="1:28">
      <c r="A293" s="23">
        <v>45702</v>
      </c>
      <c r="B293">
        <v>1.75</v>
      </c>
      <c r="C293">
        <v>1.9</v>
      </c>
      <c r="D293">
        <v>1.494902</v>
      </c>
      <c r="E293" s="23">
        <v>45702</v>
      </c>
      <c r="F293">
        <v>0.5</v>
      </c>
      <c r="G293">
        <v>0.6</v>
      </c>
      <c r="H293">
        <v>0.29796499999999998</v>
      </c>
      <c r="I293" s="23">
        <v>45702</v>
      </c>
      <c r="J293">
        <v>1</v>
      </c>
      <c r="K293">
        <v>1.1499999999999999</v>
      </c>
      <c r="L293">
        <v>0.70181199999999999</v>
      </c>
      <c r="M293" s="23">
        <v>45702</v>
      </c>
      <c r="N293">
        <v>3</v>
      </c>
      <c r="O293">
        <v>3.15</v>
      </c>
      <c r="P293">
        <v>2.4775339999999999</v>
      </c>
      <c r="Q293" s="23">
        <v>45702</v>
      </c>
      <c r="R293">
        <v>4.5</v>
      </c>
      <c r="S293">
        <v>4.6500000000000004</v>
      </c>
      <c r="T293">
        <v>3.5169969999999999</v>
      </c>
      <c r="U293" s="23">
        <v>45702</v>
      </c>
      <c r="V293">
        <v>2.75</v>
      </c>
      <c r="W293">
        <v>2.9</v>
      </c>
      <c r="X293">
        <v>2.317202</v>
      </c>
      <c r="Y293" s="23">
        <v>45702</v>
      </c>
      <c r="Z293">
        <v>9.99</v>
      </c>
      <c r="AA293">
        <v>7.5181332368886711</v>
      </c>
      <c r="AB293">
        <v>10.14</v>
      </c>
    </row>
    <row r="294" spans="1:28">
      <c r="A294" s="23">
        <v>45705</v>
      </c>
      <c r="B294">
        <v>1.75</v>
      </c>
      <c r="C294">
        <v>1.9</v>
      </c>
      <c r="D294">
        <v>1.490934</v>
      </c>
      <c r="E294" s="23">
        <v>45705</v>
      </c>
      <c r="F294">
        <v>0.5</v>
      </c>
      <c r="G294">
        <v>0.6</v>
      </c>
      <c r="H294">
        <v>0.29828199999999999</v>
      </c>
      <c r="I294" s="23">
        <v>45705</v>
      </c>
      <c r="J294">
        <v>1</v>
      </c>
      <c r="K294">
        <v>1.1499999999999999</v>
      </c>
      <c r="L294">
        <v>0.70149499999999998</v>
      </c>
      <c r="M294" s="23">
        <v>45705</v>
      </c>
      <c r="N294">
        <v>3</v>
      </c>
      <c r="O294">
        <v>3.15</v>
      </c>
      <c r="P294">
        <v>2.4872179999999999</v>
      </c>
      <c r="Q294" s="23">
        <v>45705</v>
      </c>
      <c r="R294">
        <v>4.5</v>
      </c>
      <c r="S294">
        <v>4.6500000000000004</v>
      </c>
      <c r="T294">
        <v>3.5149339999999998</v>
      </c>
      <c r="U294" s="23">
        <v>45705</v>
      </c>
      <c r="V294">
        <v>2.75</v>
      </c>
      <c r="W294">
        <v>2.9</v>
      </c>
      <c r="X294">
        <v>2.3054549999999998</v>
      </c>
      <c r="Y294" s="23">
        <v>45705</v>
      </c>
      <c r="Z294">
        <v>9.99</v>
      </c>
      <c r="AA294">
        <v>7.5990340401177292</v>
      </c>
      <c r="AB294">
        <v>10.14</v>
      </c>
    </row>
    <row r="295" spans="1:28">
      <c r="A295" s="23">
        <v>45706</v>
      </c>
      <c r="B295">
        <v>1.75</v>
      </c>
      <c r="C295">
        <v>1.9</v>
      </c>
      <c r="D295">
        <v>1.4775990000000001</v>
      </c>
      <c r="E295" s="23">
        <v>45706</v>
      </c>
      <c r="F295">
        <v>0.5</v>
      </c>
      <c r="G295">
        <v>0.6</v>
      </c>
      <c r="H295">
        <v>0.29875800000000002</v>
      </c>
      <c r="I295" s="23">
        <v>45706</v>
      </c>
      <c r="J295">
        <v>1</v>
      </c>
      <c r="K295">
        <v>1.1499999999999999</v>
      </c>
      <c r="L295">
        <v>0.69625599999999999</v>
      </c>
      <c r="M295" s="23">
        <v>45706</v>
      </c>
      <c r="N295">
        <v>3</v>
      </c>
      <c r="O295">
        <v>3.15</v>
      </c>
      <c r="P295">
        <v>2.4807090000000001</v>
      </c>
      <c r="Q295" s="23">
        <v>45706</v>
      </c>
      <c r="R295">
        <v>4.5</v>
      </c>
      <c r="S295">
        <v>4.6500000000000004</v>
      </c>
      <c r="T295">
        <v>3.5054090000000002</v>
      </c>
      <c r="U295" s="23">
        <v>45706</v>
      </c>
      <c r="V295">
        <v>2.75</v>
      </c>
      <c r="W295">
        <v>2.9</v>
      </c>
      <c r="X295">
        <v>2.2924380000000002</v>
      </c>
      <c r="Y295" s="23">
        <v>45706</v>
      </c>
      <c r="Z295">
        <v>9.99</v>
      </c>
      <c r="AA295">
        <v>7.4544339902121344</v>
      </c>
      <c r="AB295">
        <v>10.14</v>
      </c>
    </row>
    <row r="296" spans="1:28">
      <c r="A296" s="23">
        <v>45707</v>
      </c>
      <c r="B296">
        <v>1.75</v>
      </c>
      <c r="C296">
        <v>1.9</v>
      </c>
      <c r="D296">
        <v>1.465376</v>
      </c>
      <c r="E296" s="23">
        <v>45707</v>
      </c>
      <c r="F296">
        <v>0.5</v>
      </c>
      <c r="G296">
        <v>0.6</v>
      </c>
      <c r="H296">
        <v>0.35939900000000002</v>
      </c>
      <c r="I296" s="23">
        <v>45707</v>
      </c>
      <c r="J296">
        <v>1</v>
      </c>
      <c r="K296">
        <v>1.1499999999999999</v>
      </c>
      <c r="L296">
        <v>0.67514300000000005</v>
      </c>
      <c r="M296" s="23">
        <v>45707</v>
      </c>
      <c r="N296">
        <v>3</v>
      </c>
      <c r="O296">
        <v>3.15</v>
      </c>
      <c r="P296">
        <v>2.486583</v>
      </c>
      <c r="Q296" s="23">
        <v>45707</v>
      </c>
      <c r="R296">
        <v>4.5</v>
      </c>
      <c r="S296">
        <v>4.6500000000000004</v>
      </c>
      <c r="T296">
        <v>3.4938199999999999</v>
      </c>
      <c r="U296" s="23">
        <v>45707</v>
      </c>
      <c r="V296">
        <v>2.75</v>
      </c>
      <c r="W296">
        <v>2.9</v>
      </c>
      <c r="X296">
        <v>2.3006920000000002</v>
      </c>
      <c r="Y296" s="23">
        <v>45707</v>
      </c>
      <c r="Z296">
        <v>9.99</v>
      </c>
      <c r="AA296">
        <v>7.4926533355738538</v>
      </c>
      <c r="AB296">
        <v>10.14</v>
      </c>
    </row>
    <row r="297" spans="1:28">
      <c r="A297" s="23">
        <v>45708</v>
      </c>
      <c r="B297">
        <v>1.75</v>
      </c>
      <c r="C297">
        <v>1.9</v>
      </c>
      <c r="D297">
        <v>1.518397</v>
      </c>
      <c r="E297" s="23">
        <v>45708</v>
      </c>
      <c r="F297">
        <v>0.5</v>
      </c>
      <c r="G297">
        <v>0.6</v>
      </c>
      <c r="H297">
        <v>0.36590699999999998</v>
      </c>
      <c r="I297" s="23">
        <v>45708</v>
      </c>
      <c r="J297">
        <v>1</v>
      </c>
      <c r="K297">
        <v>1.1499999999999999</v>
      </c>
      <c r="L297">
        <v>0.74054600000000004</v>
      </c>
      <c r="M297" s="23">
        <v>45708</v>
      </c>
      <c r="N297">
        <v>3</v>
      </c>
      <c r="O297">
        <v>3.15</v>
      </c>
      <c r="P297">
        <v>2.4830909999999999</v>
      </c>
      <c r="Q297" s="23">
        <v>45708</v>
      </c>
      <c r="R297">
        <v>4.5</v>
      </c>
      <c r="S297">
        <v>4.6500000000000004</v>
      </c>
      <c r="T297">
        <v>3.5033449999999999</v>
      </c>
      <c r="U297" s="23">
        <v>45708</v>
      </c>
      <c r="V297">
        <v>2.75</v>
      </c>
      <c r="W297">
        <v>2.9</v>
      </c>
      <c r="X297">
        <v>2.3225989999999999</v>
      </c>
      <c r="Y297" s="23">
        <v>45708</v>
      </c>
      <c r="Z297">
        <v>9.99</v>
      </c>
      <c r="AA297">
        <v>7.4465862220150996</v>
      </c>
      <c r="AB297">
        <v>10.14</v>
      </c>
    </row>
    <row r="298" spans="1:28">
      <c r="A298" s="23">
        <v>45709</v>
      </c>
      <c r="B298">
        <v>1.75</v>
      </c>
      <c r="C298">
        <v>1.9</v>
      </c>
      <c r="D298">
        <v>1.5479229999999999</v>
      </c>
      <c r="E298" s="23">
        <v>45709</v>
      </c>
      <c r="F298">
        <v>0.5</v>
      </c>
      <c r="G298">
        <v>0.6</v>
      </c>
      <c r="H298">
        <v>0.36686000000000002</v>
      </c>
      <c r="I298" s="23">
        <v>45709</v>
      </c>
      <c r="J298">
        <v>1</v>
      </c>
      <c r="K298">
        <v>1.1499999999999999</v>
      </c>
      <c r="L298">
        <v>0.76038899999999998</v>
      </c>
      <c r="M298" s="23">
        <v>45709</v>
      </c>
      <c r="N298">
        <v>3</v>
      </c>
      <c r="O298">
        <v>3.15</v>
      </c>
      <c r="P298">
        <v>2.4878529999999999</v>
      </c>
      <c r="Q298" s="23">
        <v>45709</v>
      </c>
      <c r="R298">
        <v>4.5</v>
      </c>
      <c r="S298">
        <v>4.6500000000000004</v>
      </c>
      <c r="T298">
        <v>3.5327130000000002</v>
      </c>
      <c r="U298" s="23">
        <v>45709</v>
      </c>
      <c r="V298">
        <v>2.75</v>
      </c>
      <c r="W298">
        <v>2.9</v>
      </c>
      <c r="X298">
        <v>2.3145030000000002</v>
      </c>
      <c r="Y298" s="23">
        <v>45709</v>
      </c>
      <c r="Z298">
        <v>9.99</v>
      </c>
      <c r="AA298">
        <v>7.4414247791712187</v>
      </c>
      <c r="AB298">
        <v>10.14</v>
      </c>
    </row>
    <row r="299" spans="1:28">
      <c r="A299" s="23">
        <v>45712</v>
      </c>
      <c r="B299">
        <v>1.75</v>
      </c>
      <c r="C299">
        <v>1.9</v>
      </c>
      <c r="D299">
        <v>1.534589</v>
      </c>
      <c r="E299" s="23">
        <v>45712</v>
      </c>
      <c r="F299">
        <v>0.5</v>
      </c>
      <c r="G299">
        <v>0.6</v>
      </c>
      <c r="H299">
        <v>0.36590699999999998</v>
      </c>
      <c r="I299" s="23">
        <v>45712</v>
      </c>
      <c r="J299">
        <v>1</v>
      </c>
      <c r="K299">
        <v>1.1499999999999999</v>
      </c>
      <c r="L299">
        <v>0.76102400000000003</v>
      </c>
      <c r="M299" s="23">
        <v>45712</v>
      </c>
      <c r="N299">
        <v>3</v>
      </c>
      <c r="O299">
        <v>3.15</v>
      </c>
      <c r="P299">
        <v>2.4607070000000002</v>
      </c>
      <c r="Q299" s="23">
        <v>45712</v>
      </c>
      <c r="R299">
        <v>4.5</v>
      </c>
      <c r="S299">
        <v>4.6500000000000004</v>
      </c>
      <c r="T299">
        <v>3.493185</v>
      </c>
      <c r="U299" s="23">
        <v>45712</v>
      </c>
      <c r="V299">
        <v>2.75</v>
      </c>
      <c r="W299">
        <v>2.9</v>
      </c>
      <c r="X299">
        <v>2.3089469999999999</v>
      </c>
      <c r="Y299" s="23">
        <v>45712</v>
      </c>
      <c r="Z299">
        <v>9.99</v>
      </c>
      <c r="AA299">
        <v>7.4089966059973067</v>
      </c>
      <c r="AB299">
        <v>10.14</v>
      </c>
    </row>
    <row r="300" spans="1:28">
      <c r="A300" s="23">
        <v>45713</v>
      </c>
      <c r="B300">
        <v>1.75</v>
      </c>
      <c r="C300">
        <v>1.9</v>
      </c>
      <c r="D300">
        <v>1.5110939999999999</v>
      </c>
      <c r="E300" s="23">
        <v>45713</v>
      </c>
      <c r="F300">
        <v>0.5</v>
      </c>
      <c r="G300">
        <v>0.6</v>
      </c>
      <c r="H300">
        <v>0.36559000000000003</v>
      </c>
      <c r="I300" s="23">
        <v>45713</v>
      </c>
      <c r="J300">
        <v>1</v>
      </c>
      <c r="K300">
        <v>1.1499999999999999</v>
      </c>
      <c r="L300">
        <v>0.75959500000000002</v>
      </c>
      <c r="M300" s="23">
        <v>45713</v>
      </c>
      <c r="N300">
        <v>3</v>
      </c>
      <c r="O300">
        <v>3.15</v>
      </c>
      <c r="P300">
        <v>2.4219740000000001</v>
      </c>
      <c r="Q300" s="23">
        <v>45713</v>
      </c>
      <c r="R300">
        <v>4.5</v>
      </c>
      <c r="S300">
        <v>4.6500000000000004</v>
      </c>
      <c r="T300">
        <v>3.438895</v>
      </c>
      <c r="U300" s="23">
        <v>45713</v>
      </c>
      <c r="V300">
        <v>2.75</v>
      </c>
      <c r="W300">
        <v>2.9</v>
      </c>
      <c r="X300">
        <v>2.2748170000000001</v>
      </c>
      <c r="Y300" s="23">
        <v>45713</v>
      </c>
      <c r="Z300">
        <v>9.99</v>
      </c>
      <c r="AA300">
        <v>7.4506998642294571</v>
      </c>
      <c r="AB300">
        <v>10.14</v>
      </c>
    </row>
    <row r="301" spans="1:28">
      <c r="A301" s="23">
        <v>45714</v>
      </c>
      <c r="B301">
        <v>1.75</v>
      </c>
      <c r="C301">
        <v>1.9</v>
      </c>
      <c r="D301">
        <v>1.5215719999999999</v>
      </c>
      <c r="E301" s="23">
        <v>45714</v>
      </c>
      <c r="F301">
        <v>0.5</v>
      </c>
      <c r="G301">
        <v>0.6</v>
      </c>
      <c r="H301">
        <v>0.36701899999999998</v>
      </c>
      <c r="I301" s="23">
        <v>45714</v>
      </c>
      <c r="J301">
        <v>1</v>
      </c>
      <c r="K301">
        <v>1.1499999999999999</v>
      </c>
      <c r="L301">
        <v>0.76959599999999995</v>
      </c>
      <c r="M301" s="23">
        <v>45714</v>
      </c>
      <c r="N301">
        <v>3</v>
      </c>
      <c r="O301">
        <v>3.15</v>
      </c>
      <c r="P301">
        <v>2.4662639999999998</v>
      </c>
      <c r="Q301" s="23">
        <v>45714</v>
      </c>
      <c r="R301">
        <v>4.5</v>
      </c>
      <c r="S301">
        <v>4.6500000000000004</v>
      </c>
      <c r="T301">
        <v>3.4684210000000002</v>
      </c>
      <c r="U301" s="23">
        <v>45714</v>
      </c>
      <c r="V301">
        <v>2.75</v>
      </c>
      <c r="W301">
        <v>2.9</v>
      </c>
      <c r="X301">
        <v>2.2864049999999998</v>
      </c>
      <c r="Y301" s="23">
        <v>45714</v>
      </c>
      <c r="Z301">
        <v>9.99</v>
      </c>
      <c r="AA301">
        <v>7.3562218455797845</v>
      </c>
      <c r="AB301">
        <v>10.14</v>
      </c>
    </row>
    <row r="302" spans="1:28">
      <c r="A302" s="23">
        <v>45715</v>
      </c>
      <c r="B302">
        <v>1.75</v>
      </c>
      <c r="C302">
        <v>1.9</v>
      </c>
      <c r="D302">
        <v>1.50665</v>
      </c>
      <c r="E302" s="23">
        <v>45715</v>
      </c>
      <c r="F302">
        <v>0.5</v>
      </c>
      <c r="G302">
        <v>0.6</v>
      </c>
      <c r="H302">
        <v>0.367336</v>
      </c>
      <c r="I302" s="23">
        <v>45715</v>
      </c>
      <c r="J302">
        <v>1</v>
      </c>
      <c r="K302">
        <v>1.1499999999999999</v>
      </c>
      <c r="L302">
        <v>0.76594499999999999</v>
      </c>
      <c r="M302" s="23">
        <v>45715</v>
      </c>
      <c r="N302">
        <v>3</v>
      </c>
      <c r="O302">
        <v>3.15</v>
      </c>
      <c r="P302">
        <v>2.4410229999999999</v>
      </c>
      <c r="Q302" s="23">
        <v>45715</v>
      </c>
      <c r="R302">
        <v>4.5</v>
      </c>
      <c r="S302">
        <v>4.6500000000000004</v>
      </c>
      <c r="T302">
        <v>3.4501659999999998</v>
      </c>
      <c r="U302" s="23">
        <v>45715</v>
      </c>
      <c r="V302">
        <v>2.75</v>
      </c>
      <c r="W302">
        <v>2.9</v>
      </c>
      <c r="X302">
        <v>2.2484649999999999</v>
      </c>
      <c r="Y302" s="23">
        <v>45715</v>
      </c>
      <c r="Z302">
        <v>9.99</v>
      </c>
      <c r="AA302">
        <v>7.3796952730608432</v>
      </c>
      <c r="AB302">
        <v>10.14</v>
      </c>
    </row>
    <row r="303" spans="1:28">
      <c r="A303" s="23">
        <v>45716</v>
      </c>
      <c r="B303">
        <v>1.75</v>
      </c>
      <c r="C303">
        <v>1.9</v>
      </c>
      <c r="D303">
        <v>1.5441130000000001</v>
      </c>
      <c r="E303" s="23">
        <v>45716</v>
      </c>
      <c r="F303">
        <v>0.5</v>
      </c>
      <c r="G303">
        <v>0.6</v>
      </c>
      <c r="H303">
        <v>0.33368199999999998</v>
      </c>
      <c r="I303" s="23">
        <v>45716</v>
      </c>
      <c r="J303">
        <v>1</v>
      </c>
      <c r="K303">
        <v>1.1499999999999999</v>
      </c>
      <c r="L303">
        <v>0.74054600000000004</v>
      </c>
      <c r="M303" s="23">
        <v>45716</v>
      </c>
      <c r="N303">
        <v>3</v>
      </c>
      <c r="O303">
        <v>3.15</v>
      </c>
      <c r="P303">
        <v>2.4919799999999999</v>
      </c>
      <c r="Q303" s="23">
        <v>45716</v>
      </c>
      <c r="R303">
        <v>4.5</v>
      </c>
      <c r="S303">
        <v>4.6500000000000004</v>
      </c>
      <c r="T303">
        <v>3.5062030000000002</v>
      </c>
      <c r="U303" s="23">
        <v>45716</v>
      </c>
      <c r="V303">
        <v>2.75</v>
      </c>
      <c r="W303">
        <v>2.9</v>
      </c>
      <c r="X303">
        <v>2.2945009999999999</v>
      </c>
      <c r="Y303" s="23">
        <v>45716</v>
      </c>
      <c r="Z303">
        <v>9.99</v>
      </c>
      <c r="AA303">
        <v>7.495661270799217</v>
      </c>
      <c r="AB303">
        <v>10.14</v>
      </c>
    </row>
    <row r="304" spans="1:28">
      <c r="A304" s="23">
        <v>45719</v>
      </c>
      <c r="B304">
        <v>1.75</v>
      </c>
      <c r="C304">
        <v>1.9</v>
      </c>
      <c r="D304">
        <v>1.52173</v>
      </c>
      <c r="E304" s="23">
        <v>45719</v>
      </c>
      <c r="F304">
        <v>0.5</v>
      </c>
      <c r="G304">
        <v>0.6</v>
      </c>
      <c r="H304">
        <v>0.33082499999999998</v>
      </c>
      <c r="I304" s="23">
        <v>45719</v>
      </c>
      <c r="J304">
        <v>1</v>
      </c>
      <c r="K304">
        <v>1.1499999999999999</v>
      </c>
      <c r="L304">
        <v>0.73657700000000004</v>
      </c>
      <c r="M304" s="23">
        <v>45719</v>
      </c>
      <c r="N304">
        <v>3</v>
      </c>
      <c r="O304">
        <v>3.15</v>
      </c>
      <c r="P304">
        <v>2.3272029999999999</v>
      </c>
      <c r="Q304" s="23">
        <v>45719</v>
      </c>
      <c r="R304">
        <v>4.5</v>
      </c>
      <c r="S304">
        <v>4.6500000000000004</v>
      </c>
      <c r="T304">
        <v>3.4366720000000002</v>
      </c>
      <c r="U304" s="23">
        <v>45719</v>
      </c>
      <c r="V304">
        <v>2.75</v>
      </c>
      <c r="W304">
        <v>2.9</v>
      </c>
      <c r="X304">
        <v>2.2722769999999999</v>
      </c>
      <c r="Y304" s="23">
        <v>45719</v>
      </c>
      <c r="Z304">
        <v>9.99</v>
      </c>
      <c r="AA304">
        <v>7.3773728453819283</v>
      </c>
      <c r="AB304">
        <v>10.14</v>
      </c>
    </row>
    <row r="305" spans="1:28">
      <c r="A305" s="23">
        <v>45720</v>
      </c>
      <c r="B305">
        <v>1.75</v>
      </c>
      <c r="C305">
        <v>1.9</v>
      </c>
      <c r="D305">
        <v>1.504586</v>
      </c>
      <c r="E305" s="23">
        <v>45720</v>
      </c>
      <c r="F305">
        <v>0.5</v>
      </c>
      <c r="G305">
        <v>0.6</v>
      </c>
      <c r="H305">
        <v>0.330507</v>
      </c>
      <c r="I305" s="23">
        <v>45720</v>
      </c>
      <c r="J305">
        <v>1</v>
      </c>
      <c r="K305">
        <v>1.1499999999999999</v>
      </c>
      <c r="L305">
        <v>0.73070400000000002</v>
      </c>
      <c r="M305" s="23">
        <v>45720</v>
      </c>
      <c r="N305">
        <v>3</v>
      </c>
      <c r="O305">
        <v>3.15</v>
      </c>
      <c r="P305">
        <v>2.3032319999999999</v>
      </c>
      <c r="Q305" s="23">
        <v>45720</v>
      </c>
      <c r="R305">
        <v>4.5</v>
      </c>
      <c r="S305">
        <v>4.6500000000000004</v>
      </c>
      <c r="T305">
        <v>3.4109560000000001</v>
      </c>
      <c r="U305" s="23">
        <v>45720</v>
      </c>
      <c r="V305">
        <v>2.75</v>
      </c>
      <c r="W305">
        <v>2.9</v>
      </c>
      <c r="X305">
        <v>2.2732299999999999</v>
      </c>
      <c r="Y305" s="23">
        <v>45720</v>
      </c>
      <c r="Z305">
        <v>9.99</v>
      </c>
      <c r="AA305">
        <v>7.3903948119928282</v>
      </c>
      <c r="AB305">
        <v>10.14</v>
      </c>
    </row>
    <row r="306" spans="1:28">
      <c r="A306" s="23">
        <v>45721</v>
      </c>
      <c r="B306">
        <v>1.75</v>
      </c>
      <c r="C306">
        <v>1.9</v>
      </c>
      <c r="D306">
        <v>1.541415</v>
      </c>
      <c r="E306" s="23">
        <v>45721</v>
      </c>
      <c r="F306">
        <v>0.5</v>
      </c>
      <c r="G306">
        <v>0.6</v>
      </c>
      <c r="H306">
        <v>0.37559100000000001</v>
      </c>
      <c r="I306" s="23">
        <v>45721</v>
      </c>
      <c r="J306">
        <v>1</v>
      </c>
      <c r="K306">
        <v>1.1499999999999999</v>
      </c>
      <c r="L306">
        <v>0.77896200000000004</v>
      </c>
      <c r="M306" s="23">
        <v>45721</v>
      </c>
      <c r="N306">
        <v>3</v>
      </c>
      <c r="O306">
        <v>3.15</v>
      </c>
      <c r="P306">
        <v>2.2916439999999998</v>
      </c>
      <c r="Q306" s="23">
        <v>45721</v>
      </c>
      <c r="R306">
        <v>4.5</v>
      </c>
      <c r="S306">
        <v>4.6500000000000004</v>
      </c>
      <c r="T306">
        <v>3.375238</v>
      </c>
      <c r="U306" s="23">
        <v>45721</v>
      </c>
      <c r="V306">
        <v>2.75</v>
      </c>
      <c r="W306">
        <v>2.9</v>
      </c>
      <c r="X306">
        <v>2.265927</v>
      </c>
      <c r="Y306" s="23">
        <v>45721</v>
      </c>
      <c r="Z306">
        <v>9.99</v>
      </c>
      <c r="AA306">
        <v>7.512018204814372</v>
      </c>
      <c r="AB306">
        <v>10.14</v>
      </c>
    </row>
    <row r="307" spans="1:28">
      <c r="A307" s="23">
        <v>45722</v>
      </c>
      <c r="B307">
        <v>1.75</v>
      </c>
      <c r="C307">
        <v>1.9</v>
      </c>
      <c r="D307">
        <v>1.57491</v>
      </c>
      <c r="E307" s="23">
        <v>45722</v>
      </c>
      <c r="F307">
        <v>0.5</v>
      </c>
      <c r="G307">
        <v>0.6</v>
      </c>
      <c r="H307">
        <v>0.38130599999999998</v>
      </c>
      <c r="I307" s="23">
        <v>45722</v>
      </c>
      <c r="J307">
        <v>1</v>
      </c>
      <c r="K307">
        <v>1.1499999999999999</v>
      </c>
      <c r="L307">
        <v>0.79499500000000001</v>
      </c>
      <c r="M307" s="23">
        <v>45722</v>
      </c>
      <c r="N307">
        <v>3</v>
      </c>
      <c r="O307">
        <v>3.15</v>
      </c>
      <c r="P307">
        <v>2.2694200000000002</v>
      </c>
      <c r="Q307" s="23">
        <v>45722</v>
      </c>
      <c r="R307">
        <v>4.5</v>
      </c>
      <c r="S307">
        <v>4.6500000000000004</v>
      </c>
      <c r="T307">
        <v>3.3590460000000002</v>
      </c>
      <c r="U307" s="23">
        <v>45722</v>
      </c>
      <c r="V307">
        <v>2.75</v>
      </c>
      <c r="W307">
        <v>2.9</v>
      </c>
      <c r="X307">
        <v>2.2602120000000001</v>
      </c>
      <c r="Y307" s="23">
        <v>45722</v>
      </c>
      <c r="Z307">
        <v>9.99</v>
      </c>
      <c r="AA307">
        <v>7.5801251017474547</v>
      </c>
      <c r="AB307">
        <v>10.14</v>
      </c>
    </row>
    <row r="308" spans="1:28">
      <c r="A308" s="23">
        <v>45723</v>
      </c>
      <c r="B308">
        <v>1.75</v>
      </c>
      <c r="C308">
        <v>1.9</v>
      </c>
      <c r="D308">
        <v>1.565544</v>
      </c>
      <c r="E308" s="23">
        <v>45723</v>
      </c>
      <c r="F308">
        <v>0.5</v>
      </c>
      <c r="G308">
        <v>0.6</v>
      </c>
      <c r="H308">
        <v>0.38575100000000001</v>
      </c>
      <c r="I308" s="23">
        <v>45723</v>
      </c>
      <c r="J308">
        <v>1</v>
      </c>
      <c r="K308">
        <v>1.1499999999999999</v>
      </c>
      <c r="L308">
        <v>0.79785300000000003</v>
      </c>
      <c r="M308" s="23">
        <v>45723</v>
      </c>
      <c r="N308">
        <v>3</v>
      </c>
      <c r="O308">
        <v>3.15</v>
      </c>
      <c r="P308">
        <v>2.3054549999999998</v>
      </c>
      <c r="Q308" s="23">
        <v>45723</v>
      </c>
      <c r="R308">
        <v>4.5</v>
      </c>
      <c r="S308">
        <v>4.6500000000000004</v>
      </c>
      <c r="T308">
        <v>3.3987319999999999</v>
      </c>
      <c r="U308" s="23">
        <v>45723</v>
      </c>
      <c r="V308">
        <v>2.75</v>
      </c>
      <c r="W308">
        <v>2.9</v>
      </c>
      <c r="X308">
        <v>2.2792620000000001</v>
      </c>
      <c r="Y308" s="23">
        <v>45723</v>
      </c>
      <c r="Z308">
        <v>9.99</v>
      </c>
      <c r="AA308">
        <v>7.5869073117988242</v>
      </c>
      <c r="AB308">
        <v>10.14</v>
      </c>
    </row>
    <row r="309" spans="1:28">
      <c r="A309" s="23">
        <v>45726</v>
      </c>
      <c r="B309">
        <v>1.75</v>
      </c>
      <c r="C309">
        <v>1.9</v>
      </c>
      <c r="D309">
        <v>1.578244</v>
      </c>
      <c r="E309" s="23">
        <v>45726</v>
      </c>
      <c r="F309">
        <v>0.5</v>
      </c>
      <c r="G309">
        <v>0.6</v>
      </c>
      <c r="H309">
        <v>0.38829000000000002</v>
      </c>
      <c r="I309" s="23">
        <v>45726</v>
      </c>
      <c r="J309">
        <v>1</v>
      </c>
      <c r="K309">
        <v>1.1499999999999999</v>
      </c>
      <c r="L309">
        <v>0.80356799999999995</v>
      </c>
      <c r="M309" s="23">
        <v>45726</v>
      </c>
      <c r="N309">
        <v>3</v>
      </c>
      <c r="O309">
        <v>3.15</v>
      </c>
      <c r="P309">
        <v>2.289898</v>
      </c>
      <c r="Q309" s="23">
        <v>45726</v>
      </c>
      <c r="R309">
        <v>4.5</v>
      </c>
      <c r="S309">
        <v>4.6500000000000004</v>
      </c>
      <c r="T309">
        <v>3.3790480000000001</v>
      </c>
      <c r="U309" s="23">
        <v>45726</v>
      </c>
      <c r="V309">
        <v>2.75</v>
      </c>
      <c r="W309">
        <v>2.9</v>
      </c>
      <c r="X309">
        <v>2.2564030000000002</v>
      </c>
      <c r="Y309" s="23">
        <v>45726</v>
      </c>
      <c r="Z309">
        <v>9.99</v>
      </c>
      <c r="AA309">
        <v>7.7174082099507153</v>
      </c>
      <c r="AB309">
        <v>10.14</v>
      </c>
    </row>
    <row r="310" spans="1:28">
      <c r="A310" s="23">
        <v>45727</v>
      </c>
      <c r="B310">
        <v>1.75</v>
      </c>
      <c r="C310">
        <v>1.9</v>
      </c>
      <c r="D310">
        <v>1.6033249999999999</v>
      </c>
      <c r="E310" s="23">
        <v>45727</v>
      </c>
      <c r="F310">
        <v>0.5</v>
      </c>
      <c r="G310">
        <v>0.6</v>
      </c>
      <c r="H310">
        <v>0.385909</v>
      </c>
      <c r="I310" s="23">
        <v>45727</v>
      </c>
      <c r="J310">
        <v>1</v>
      </c>
      <c r="K310">
        <v>1.1499999999999999</v>
      </c>
      <c r="L310">
        <v>0.81721999999999995</v>
      </c>
      <c r="M310" s="23">
        <v>45727</v>
      </c>
      <c r="N310">
        <v>3</v>
      </c>
      <c r="O310">
        <v>3.15</v>
      </c>
      <c r="P310">
        <v>2.3013270000000001</v>
      </c>
      <c r="Q310" s="23">
        <v>45727</v>
      </c>
      <c r="R310">
        <v>4.5</v>
      </c>
      <c r="S310">
        <v>4.6500000000000004</v>
      </c>
      <c r="T310">
        <v>3.3963510000000001</v>
      </c>
      <c r="U310" s="23">
        <v>45727</v>
      </c>
      <c r="V310">
        <v>2.75</v>
      </c>
      <c r="W310">
        <v>2.9</v>
      </c>
      <c r="X310">
        <v>2.3002159999999998</v>
      </c>
      <c r="Y310" s="23">
        <v>45727</v>
      </c>
      <c r="Z310">
        <v>9.99</v>
      </c>
      <c r="AA310">
        <v>7.6621744601918431</v>
      </c>
      <c r="AB310">
        <v>10.14</v>
      </c>
    </row>
    <row r="311" spans="1:28">
      <c r="A311" s="23">
        <v>45728</v>
      </c>
      <c r="B311">
        <v>1.75</v>
      </c>
      <c r="C311">
        <v>1.9</v>
      </c>
      <c r="D311">
        <v>1.606976</v>
      </c>
      <c r="E311" s="23">
        <v>45728</v>
      </c>
      <c r="F311">
        <v>0.5</v>
      </c>
      <c r="G311">
        <v>0.6</v>
      </c>
      <c r="H311">
        <v>0.384322</v>
      </c>
      <c r="I311" s="23">
        <v>45728</v>
      </c>
      <c r="J311">
        <v>1</v>
      </c>
      <c r="K311">
        <v>1.1499999999999999</v>
      </c>
      <c r="L311">
        <v>0.82261700000000004</v>
      </c>
      <c r="M311" s="23">
        <v>45728</v>
      </c>
      <c r="N311">
        <v>3</v>
      </c>
      <c r="O311">
        <v>3.15</v>
      </c>
      <c r="P311">
        <v>2.3097409999999998</v>
      </c>
      <c r="Q311" s="23">
        <v>45728</v>
      </c>
      <c r="R311">
        <v>4.5</v>
      </c>
      <c r="S311">
        <v>4.6500000000000004</v>
      </c>
      <c r="T311">
        <v>3.4049230000000001</v>
      </c>
      <c r="U311" s="23">
        <v>45728</v>
      </c>
      <c r="V311">
        <v>2.75</v>
      </c>
      <c r="W311">
        <v>2.9</v>
      </c>
      <c r="X311">
        <v>2.3478400000000001</v>
      </c>
      <c r="Y311" s="23">
        <v>45728</v>
      </c>
      <c r="Z311">
        <v>9.99</v>
      </c>
      <c r="AA311">
        <v>7.7531930049474189</v>
      </c>
      <c r="AB311">
        <v>10.14</v>
      </c>
    </row>
    <row r="312" spans="1:28">
      <c r="A312" s="23">
        <v>45729</v>
      </c>
      <c r="B312">
        <v>1.75</v>
      </c>
      <c r="C312">
        <v>1.9</v>
      </c>
      <c r="D312">
        <v>1.6360269999999999</v>
      </c>
      <c r="E312" s="23">
        <v>45729</v>
      </c>
      <c r="F312">
        <v>0.5</v>
      </c>
      <c r="G312">
        <v>0.6</v>
      </c>
      <c r="H312">
        <v>0.38321100000000002</v>
      </c>
      <c r="I312" s="23">
        <v>45729</v>
      </c>
      <c r="J312">
        <v>1</v>
      </c>
      <c r="K312">
        <v>1.1499999999999999</v>
      </c>
      <c r="L312">
        <v>0.94373899999999999</v>
      </c>
      <c r="M312" s="23">
        <v>45729</v>
      </c>
      <c r="N312">
        <v>3</v>
      </c>
      <c r="O312">
        <v>3.15</v>
      </c>
      <c r="P312">
        <v>2.3106930000000001</v>
      </c>
      <c r="Q312" s="23">
        <v>45729</v>
      </c>
      <c r="R312">
        <v>4.5</v>
      </c>
      <c r="S312">
        <v>4.6500000000000004</v>
      </c>
      <c r="T312">
        <v>3.4082569999999999</v>
      </c>
      <c r="U312" s="23">
        <v>45729</v>
      </c>
      <c r="V312">
        <v>2.75</v>
      </c>
      <c r="W312">
        <v>2.9</v>
      </c>
      <c r="X312">
        <v>2.3472050000000002</v>
      </c>
      <c r="Y312" s="23">
        <v>45729</v>
      </c>
      <c r="Z312">
        <v>9.99</v>
      </c>
      <c r="AA312">
        <v>7.6198486149070881</v>
      </c>
      <c r="AB312">
        <v>10.14</v>
      </c>
    </row>
    <row r="313" spans="1:28">
      <c r="A313" s="23">
        <v>45730</v>
      </c>
      <c r="B313">
        <v>1.75</v>
      </c>
      <c r="C313">
        <v>1.9</v>
      </c>
      <c r="D313">
        <v>1.629677</v>
      </c>
      <c r="E313" s="23">
        <v>45730</v>
      </c>
      <c r="F313">
        <v>0.5</v>
      </c>
      <c r="G313">
        <v>0.6</v>
      </c>
      <c r="H313">
        <v>0.38194099999999997</v>
      </c>
      <c r="I313" s="23">
        <v>45730</v>
      </c>
      <c r="J313">
        <v>1</v>
      </c>
      <c r="K313">
        <v>1.1499999999999999</v>
      </c>
      <c r="L313">
        <v>0.94500899999999999</v>
      </c>
      <c r="M313" s="23">
        <v>45730</v>
      </c>
      <c r="N313">
        <v>3</v>
      </c>
      <c r="O313">
        <v>3.15</v>
      </c>
      <c r="P313">
        <v>2.2924380000000002</v>
      </c>
      <c r="Q313" s="23">
        <v>45730</v>
      </c>
      <c r="R313">
        <v>4.5</v>
      </c>
      <c r="S313">
        <v>4.6500000000000004</v>
      </c>
      <c r="T313">
        <v>3.3585699999999998</v>
      </c>
      <c r="U313" s="23">
        <v>45730</v>
      </c>
      <c r="V313">
        <v>2.75</v>
      </c>
      <c r="W313">
        <v>2.9</v>
      </c>
      <c r="X313">
        <v>2.3695879999999998</v>
      </c>
      <c r="Y313" s="23">
        <v>45730</v>
      </c>
      <c r="Z313">
        <v>9.99</v>
      </c>
      <c r="AA313">
        <v>7.8219860364202418</v>
      </c>
      <c r="AB313">
        <v>10.14</v>
      </c>
    </row>
    <row r="314" spans="1:28">
      <c r="A314" s="23">
        <v>45734</v>
      </c>
      <c r="B314">
        <v>1.75</v>
      </c>
      <c r="C314">
        <v>1.9</v>
      </c>
      <c r="D314">
        <v>1.613961</v>
      </c>
      <c r="E314" s="23">
        <v>45734</v>
      </c>
      <c r="F314">
        <v>0.5</v>
      </c>
      <c r="G314">
        <v>0.6</v>
      </c>
      <c r="H314">
        <v>0.383687</v>
      </c>
      <c r="I314" s="23">
        <v>45734</v>
      </c>
      <c r="J314">
        <v>1</v>
      </c>
      <c r="K314">
        <v>1.1499999999999999</v>
      </c>
      <c r="L314">
        <v>0.953264</v>
      </c>
      <c r="M314" s="23">
        <v>45734</v>
      </c>
      <c r="N314">
        <v>3</v>
      </c>
      <c r="O314">
        <v>3.15</v>
      </c>
      <c r="P314">
        <v>2.2630699999999999</v>
      </c>
      <c r="Q314" s="23">
        <v>45734</v>
      </c>
      <c r="R314">
        <v>4.5</v>
      </c>
      <c r="S314">
        <v>4.6500000000000004</v>
      </c>
      <c r="T314">
        <v>3.296977</v>
      </c>
      <c r="U314" s="23">
        <v>45734</v>
      </c>
      <c r="V314">
        <v>2.75</v>
      </c>
      <c r="W314">
        <v>2.9</v>
      </c>
      <c r="X314">
        <v>2.3243450000000001</v>
      </c>
      <c r="Y314" s="23">
        <v>45734</v>
      </c>
      <c r="Z314">
        <v>9.99</v>
      </c>
      <c r="AA314">
        <v>7.9218481129408396</v>
      </c>
      <c r="AB314">
        <v>10.14</v>
      </c>
    </row>
    <row r="315" spans="1:28">
      <c r="A315" s="23">
        <v>45733</v>
      </c>
      <c r="B315">
        <v>1.75</v>
      </c>
      <c r="C315">
        <v>1.9</v>
      </c>
      <c r="D315">
        <v>1.634757</v>
      </c>
      <c r="E315" s="23">
        <v>45733</v>
      </c>
      <c r="F315">
        <v>0.5</v>
      </c>
      <c r="G315">
        <v>0.6</v>
      </c>
      <c r="H315">
        <v>0.38463900000000001</v>
      </c>
      <c r="I315" s="23">
        <v>45733</v>
      </c>
      <c r="J315">
        <v>1</v>
      </c>
      <c r="K315">
        <v>1.1499999999999999</v>
      </c>
      <c r="L315">
        <v>0.95770900000000003</v>
      </c>
      <c r="M315" s="23">
        <v>45733</v>
      </c>
      <c r="N315">
        <v>3</v>
      </c>
      <c r="O315">
        <v>3.15</v>
      </c>
      <c r="P315">
        <v>2.2921200000000002</v>
      </c>
      <c r="Q315" s="23">
        <v>45733</v>
      </c>
      <c r="R315">
        <v>4.5</v>
      </c>
      <c r="S315">
        <v>4.6500000000000004</v>
      </c>
      <c r="T315">
        <v>3.3380920000000001</v>
      </c>
      <c r="U315" s="23">
        <v>45733</v>
      </c>
      <c r="V315">
        <v>2.75</v>
      </c>
      <c r="W315">
        <v>2.9</v>
      </c>
      <c r="X315">
        <v>2.3892720000000001</v>
      </c>
      <c r="Y315" s="23">
        <v>45733</v>
      </c>
      <c r="Z315">
        <v>9.99</v>
      </c>
      <c r="AA315">
        <v>7.8400368301231866</v>
      </c>
      <c r="AB315">
        <v>10.14</v>
      </c>
    </row>
    <row r="316" spans="1:28">
      <c r="A316" s="23">
        <v>45735</v>
      </c>
      <c r="B316">
        <v>1.75</v>
      </c>
      <c r="C316">
        <v>1.9</v>
      </c>
      <c r="D316">
        <v>1.582212</v>
      </c>
      <c r="E316" s="23">
        <v>45735</v>
      </c>
      <c r="F316">
        <v>0.5</v>
      </c>
      <c r="G316">
        <v>0.6</v>
      </c>
      <c r="H316">
        <v>0.38543300000000003</v>
      </c>
      <c r="I316" s="23">
        <v>45735</v>
      </c>
      <c r="J316">
        <v>1</v>
      </c>
      <c r="K316">
        <v>1.1499999999999999</v>
      </c>
      <c r="L316">
        <v>0.94516800000000001</v>
      </c>
      <c r="M316" s="23">
        <v>45735</v>
      </c>
      <c r="N316">
        <v>3</v>
      </c>
      <c r="O316">
        <v>3.15</v>
      </c>
      <c r="P316">
        <v>2.24275</v>
      </c>
      <c r="Q316" s="23">
        <v>45735</v>
      </c>
      <c r="R316">
        <v>4.5</v>
      </c>
      <c r="S316">
        <v>4.6500000000000004</v>
      </c>
      <c r="T316">
        <v>3.2891979999999998</v>
      </c>
      <c r="U316" s="23">
        <v>45735</v>
      </c>
      <c r="V316">
        <v>2.75</v>
      </c>
      <c r="W316">
        <v>2.9</v>
      </c>
      <c r="X316">
        <v>2.2976760000000001</v>
      </c>
      <c r="Y316" s="23">
        <v>45735</v>
      </c>
      <c r="Z316">
        <v>9.99</v>
      </c>
      <c r="AA316">
        <v>7.7372537528634435</v>
      </c>
      <c r="AB316">
        <v>10.14</v>
      </c>
    </row>
    <row r="317" spans="1:28">
      <c r="A317" s="23">
        <v>45736</v>
      </c>
      <c r="B317">
        <v>1.75</v>
      </c>
      <c r="C317">
        <v>1.9</v>
      </c>
      <c r="D317">
        <v>1.5736399999999999</v>
      </c>
      <c r="E317" s="23">
        <v>45736</v>
      </c>
      <c r="F317">
        <v>0.5</v>
      </c>
      <c r="G317">
        <v>0.6</v>
      </c>
      <c r="H317">
        <v>0.38622699999999999</v>
      </c>
      <c r="I317" s="23">
        <v>45736</v>
      </c>
      <c r="J317">
        <v>1</v>
      </c>
      <c r="K317">
        <v>1.1499999999999999</v>
      </c>
      <c r="L317">
        <v>0.94564400000000004</v>
      </c>
      <c r="M317" s="23">
        <v>45736</v>
      </c>
      <c r="N317">
        <v>3</v>
      </c>
      <c r="O317">
        <v>3.15</v>
      </c>
      <c r="P317">
        <v>2.216399</v>
      </c>
      <c r="Q317" s="23">
        <v>45736</v>
      </c>
      <c r="R317">
        <v>4.5</v>
      </c>
      <c r="S317">
        <v>4.6500000000000004</v>
      </c>
      <c r="T317">
        <v>3.2391930000000002</v>
      </c>
      <c r="U317" s="23">
        <v>45736</v>
      </c>
      <c r="V317">
        <v>2.75</v>
      </c>
      <c r="W317">
        <v>2.9</v>
      </c>
      <c r="X317">
        <v>2.2090969999999999</v>
      </c>
      <c r="Y317" s="23">
        <v>45736</v>
      </c>
      <c r="Z317">
        <v>9.99</v>
      </c>
      <c r="AA317">
        <v>7.6894913445915547</v>
      </c>
      <c r="AB317">
        <v>10.14</v>
      </c>
    </row>
    <row r="318" spans="1:28">
      <c r="A318" s="23">
        <v>45737</v>
      </c>
      <c r="B318">
        <v>1.75</v>
      </c>
      <c r="C318">
        <v>1.9</v>
      </c>
      <c r="D318">
        <v>1.5914189999999999</v>
      </c>
      <c r="E318" s="23">
        <v>45737</v>
      </c>
      <c r="F318">
        <v>0.5</v>
      </c>
      <c r="G318">
        <v>0.6</v>
      </c>
      <c r="H318">
        <v>0.38749699999999998</v>
      </c>
      <c r="I318" s="23">
        <v>45737</v>
      </c>
      <c r="J318">
        <v>1</v>
      </c>
      <c r="K318">
        <v>1.1499999999999999</v>
      </c>
      <c r="L318">
        <v>0.94881899999999997</v>
      </c>
      <c r="M318" s="23">
        <v>45737</v>
      </c>
      <c r="N318">
        <v>3</v>
      </c>
      <c r="O318">
        <v>3.15</v>
      </c>
      <c r="P318">
        <v>2.2471950000000001</v>
      </c>
      <c r="Q318" s="23">
        <v>45737</v>
      </c>
      <c r="R318">
        <v>4.5</v>
      </c>
      <c r="S318">
        <v>4.6500000000000004</v>
      </c>
      <c r="T318">
        <v>3.2709419999999998</v>
      </c>
      <c r="U318" s="23">
        <v>45737</v>
      </c>
      <c r="V318">
        <v>2.75</v>
      </c>
      <c r="W318">
        <v>2.9</v>
      </c>
      <c r="X318">
        <v>2.2265579999999998</v>
      </c>
      <c r="Y318" s="23">
        <v>45737</v>
      </c>
      <c r="Z318">
        <v>9.99</v>
      </c>
      <c r="AA318">
        <v>7.4842955691604542</v>
      </c>
      <c r="AB318">
        <v>10.14</v>
      </c>
    </row>
    <row r="319" spans="1:28">
      <c r="A319" s="23">
        <v>45740</v>
      </c>
      <c r="B319">
        <v>1.75</v>
      </c>
      <c r="C319">
        <v>1.9</v>
      </c>
      <c r="D319">
        <v>1.5949120000000001</v>
      </c>
      <c r="E319" s="23">
        <v>45740</v>
      </c>
      <c r="F319">
        <v>0.5</v>
      </c>
      <c r="G319">
        <v>0.6</v>
      </c>
      <c r="H319">
        <v>0.393847</v>
      </c>
      <c r="I319" s="23">
        <v>45740</v>
      </c>
      <c r="J319">
        <v>1</v>
      </c>
      <c r="K319">
        <v>1.1499999999999999</v>
      </c>
      <c r="L319">
        <v>0.95802699999999996</v>
      </c>
      <c r="M319" s="23">
        <v>45740</v>
      </c>
      <c r="N319">
        <v>3</v>
      </c>
      <c r="O319">
        <v>3.15</v>
      </c>
      <c r="P319">
        <v>2.2648160000000002</v>
      </c>
      <c r="Q319" s="23">
        <v>45740</v>
      </c>
      <c r="R319">
        <v>4.5</v>
      </c>
      <c r="S319">
        <v>4.6500000000000004</v>
      </c>
      <c r="T319">
        <v>3.287928</v>
      </c>
      <c r="U319" s="23">
        <v>45740</v>
      </c>
      <c r="V319">
        <v>2.75</v>
      </c>
      <c r="W319">
        <v>2.9</v>
      </c>
      <c r="X319">
        <v>2.2278280000000001</v>
      </c>
      <c r="Y319" s="23">
        <v>45740</v>
      </c>
      <c r="Z319">
        <v>9.99</v>
      </c>
      <c r="AA319">
        <v>7.4942011768814671</v>
      </c>
      <c r="AB319">
        <v>10.14</v>
      </c>
    </row>
    <row r="320" spans="1:28">
      <c r="A320" s="23">
        <v>45741</v>
      </c>
      <c r="B320">
        <v>1.75</v>
      </c>
      <c r="C320">
        <v>1.9</v>
      </c>
      <c r="D320">
        <v>1.6085640000000001</v>
      </c>
      <c r="E320" s="23">
        <v>45741</v>
      </c>
      <c r="F320">
        <v>0.5</v>
      </c>
      <c r="G320">
        <v>0.6</v>
      </c>
      <c r="H320">
        <v>0.40114899999999998</v>
      </c>
      <c r="I320" s="23">
        <v>45741</v>
      </c>
      <c r="J320">
        <v>1</v>
      </c>
      <c r="K320">
        <v>1.1499999999999999</v>
      </c>
      <c r="L320">
        <v>0.96326500000000004</v>
      </c>
      <c r="M320" s="23">
        <v>45741</v>
      </c>
      <c r="N320">
        <v>3</v>
      </c>
      <c r="O320">
        <v>3.15</v>
      </c>
      <c r="P320">
        <v>2.2894220000000001</v>
      </c>
      <c r="Q320" s="23">
        <v>45741</v>
      </c>
      <c r="R320">
        <v>4.5</v>
      </c>
      <c r="S320">
        <v>4.6500000000000004</v>
      </c>
      <c r="T320">
        <v>3.3044380000000002</v>
      </c>
      <c r="U320" s="23">
        <v>45741</v>
      </c>
      <c r="V320">
        <v>2.75</v>
      </c>
      <c r="W320">
        <v>2.9</v>
      </c>
      <c r="X320">
        <v>2.207668</v>
      </c>
      <c r="Y320" s="23">
        <v>45741</v>
      </c>
      <c r="Z320">
        <v>9.99</v>
      </c>
      <c r="AA320">
        <v>7.3968360905732506</v>
      </c>
      <c r="AB320">
        <v>10.14</v>
      </c>
    </row>
    <row r="321" spans="1:28">
      <c r="A321" s="23">
        <v>45742</v>
      </c>
      <c r="B321">
        <v>1.75</v>
      </c>
      <c r="C321">
        <v>1.9</v>
      </c>
      <c r="D321">
        <v>1.5906260000000001</v>
      </c>
      <c r="E321" s="23">
        <v>45742</v>
      </c>
      <c r="F321">
        <v>0.5</v>
      </c>
      <c r="G321">
        <v>0.6</v>
      </c>
      <c r="H321">
        <v>0.40035500000000002</v>
      </c>
      <c r="I321" s="23">
        <v>45742</v>
      </c>
      <c r="J321">
        <v>1</v>
      </c>
      <c r="K321">
        <v>1.1499999999999999</v>
      </c>
      <c r="L321">
        <v>0.96247099999999997</v>
      </c>
      <c r="M321" s="23">
        <v>45742</v>
      </c>
      <c r="N321">
        <v>3</v>
      </c>
      <c r="O321">
        <v>3.15</v>
      </c>
      <c r="P321">
        <v>2.24783</v>
      </c>
      <c r="Q321" s="23">
        <v>45742</v>
      </c>
      <c r="R321">
        <v>4.5</v>
      </c>
      <c r="S321">
        <v>4.6500000000000004</v>
      </c>
      <c r="T321">
        <v>3.2399870000000002</v>
      </c>
      <c r="U321" s="23">
        <v>45742</v>
      </c>
      <c r="V321">
        <v>2.75</v>
      </c>
      <c r="W321">
        <v>2.9</v>
      </c>
      <c r="X321">
        <v>2.1775060000000002</v>
      </c>
      <c r="Y321" s="23">
        <v>45742</v>
      </c>
      <c r="Z321">
        <v>9.99</v>
      </c>
      <c r="AA321">
        <v>7.2494628474767318</v>
      </c>
      <c r="AB321">
        <v>10.14</v>
      </c>
    </row>
    <row r="322" spans="1:28">
      <c r="A322" s="23">
        <v>45743</v>
      </c>
      <c r="B322">
        <v>1.75</v>
      </c>
      <c r="C322">
        <v>1.9</v>
      </c>
      <c r="D322">
        <v>1.581736</v>
      </c>
      <c r="E322" s="23">
        <v>45743</v>
      </c>
      <c r="F322">
        <v>0.5</v>
      </c>
      <c r="G322">
        <v>0.6</v>
      </c>
      <c r="H322">
        <v>0.39987899999999998</v>
      </c>
      <c r="I322" s="23">
        <v>45743</v>
      </c>
      <c r="J322">
        <v>1</v>
      </c>
      <c r="K322">
        <v>1.1499999999999999</v>
      </c>
      <c r="L322">
        <v>0.96310600000000002</v>
      </c>
      <c r="M322" s="23">
        <v>45743</v>
      </c>
      <c r="N322">
        <v>3</v>
      </c>
      <c r="O322">
        <v>3.15</v>
      </c>
      <c r="P322">
        <v>2.216081</v>
      </c>
      <c r="Q322" s="23">
        <v>45743</v>
      </c>
      <c r="R322">
        <v>4.5</v>
      </c>
      <c r="S322">
        <v>4.6500000000000004</v>
      </c>
      <c r="T322">
        <v>3.191252</v>
      </c>
      <c r="U322" s="23">
        <v>45743</v>
      </c>
      <c r="V322">
        <v>2.75</v>
      </c>
      <c r="W322">
        <v>2.9</v>
      </c>
      <c r="X322">
        <v>2.1675049999999998</v>
      </c>
      <c r="Y322" s="23">
        <v>45743</v>
      </c>
      <c r="Z322">
        <v>9.99</v>
      </c>
      <c r="AA322">
        <v>7.3276771266031488</v>
      </c>
      <c r="AB322">
        <v>10.14</v>
      </c>
    </row>
    <row r="323" spans="1:28">
      <c r="A323" s="23">
        <v>45744</v>
      </c>
      <c r="B323">
        <v>1.75</v>
      </c>
      <c r="C323">
        <v>1.9</v>
      </c>
      <c r="D323">
        <v>1.582212</v>
      </c>
      <c r="E323" s="23">
        <v>45744</v>
      </c>
      <c r="F323">
        <v>0.5</v>
      </c>
      <c r="G323">
        <v>0.6</v>
      </c>
      <c r="H323">
        <v>0.400038</v>
      </c>
      <c r="I323" s="23">
        <v>45744</v>
      </c>
      <c r="J323">
        <v>1</v>
      </c>
      <c r="K323">
        <v>1.1499999999999999</v>
      </c>
      <c r="L323">
        <v>0.96818599999999999</v>
      </c>
      <c r="M323" s="23">
        <v>45744</v>
      </c>
      <c r="N323">
        <v>3</v>
      </c>
      <c r="O323">
        <v>3.15</v>
      </c>
      <c r="P323">
        <v>2.2008420000000002</v>
      </c>
      <c r="Q323" s="23">
        <v>45744</v>
      </c>
      <c r="R323">
        <v>4.5</v>
      </c>
      <c r="S323">
        <v>4.6500000000000004</v>
      </c>
      <c r="T323">
        <v>3.1650589999999998</v>
      </c>
      <c r="U323" s="23">
        <v>45744</v>
      </c>
      <c r="V323">
        <v>2.75</v>
      </c>
      <c r="W323">
        <v>2.9</v>
      </c>
      <c r="X323">
        <v>2.1630600000000002</v>
      </c>
      <c r="Y323" s="23">
        <v>45744</v>
      </c>
      <c r="Z323">
        <v>9.99</v>
      </c>
      <c r="AA323">
        <v>7.31768199546406</v>
      </c>
      <c r="AB323">
        <v>10.14</v>
      </c>
    </row>
    <row r="324" spans="1:28">
      <c r="A324" s="23">
        <v>45747</v>
      </c>
      <c r="B324">
        <v>1.75</v>
      </c>
      <c r="C324">
        <v>1.9</v>
      </c>
      <c r="D324">
        <v>1.51919</v>
      </c>
      <c r="E324" s="23">
        <v>45747</v>
      </c>
      <c r="F324">
        <v>0.5</v>
      </c>
      <c r="G324">
        <v>0.6</v>
      </c>
      <c r="H324">
        <v>0.33527000000000001</v>
      </c>
      <c r="I324" s="23">
        <v>45747</v>
      </c>
      <c r="J324">
        <v>1</v>
      </c>
      <c r="K324">
        <v>1.1499999999999999</v>
      </c>
      <c r="L324">
        <v>0.88230500000000001</v>
      </c>
      <c r="M324" s="23">
        <v>45747</v>
      </c>
      <c r="N324">
        <v>3</v>
      </c>
      <c r="O324">
        <v>3.15</v>
      </c>
      <c r="P324">
        <v>2.1694100000000001</v>
      </c>
      <c r="Q324" s="23">
        <v>45747</v>
      </c>
      <c r="R324">
        <v>4.5</v>
      </c>
      <c r="S324">
        <v>4.6500000000000004</v>
      </c>
      <c r="T324">
        <v>3.1385489999999998</v>
      </c>
      <c r="U324" s="23">
        <v>45747</v>
      </c>
      <c r="V324">
        <v>2.75</v>
      </c>
      <c r="W324">
        <v>2.9</v>
      </c>
      <c r="X324">
        <v>2.1224219999999998</v>
      </c>
      <c r="Y324" s="23">
        <v>45747</v>
      </c>
      <c r="Z324">
        <v>9.99</v>
      </c>
      <c r="AA324">
        <v>7.2497634355052742</v>
      </c>
      <c r="AB324">
        <v>10.14</v>
      </c>
    </row>
    <row r="325" spans="1:28">
      <c r="A325" s="23">
        <v>45748</v>
      </c>
      <c r="B325">
        <v>1.75</v>
      </c>
      <c r="C325">
        <v>1.9</v>
      </c>
      <c r="D325">
        <v>1.5236350000000001</v>
      </c>
      <c r="E325" s="23">
        <v>45748</v>
      </c>
      <c r="F325">
        <v>0.5</v>
      </c>
      <c r="G325">
        <v>0.6</v>
      </c>
      <c r="H325">
        <v>0.32590400000000003</v>
      </c>
      <c r="I325" s="23">
        <v>45748</v>
      </c>
      <c r="J325">
        <v>1</v>
      </c>
      <c r="K325">
        <v>1.1499999999999999</v>
      </c>
      <c r="L325">
        <v>0.88690899999999995</v>
      </c>
      <c r="M325" s="23">
        <v>45748</v>
      </c>
      <c r="N325">
        <v>3</v>
      </c>
      <c r="O325">
        <v>3.15</v>
      </c>
      <c r="P325">
        <v>2.202429</v>
      </c>
      <c r="Q325" s="23">
        <v>45748</v>
      </c>
      <c r="R325">
        <v>4.5</v>
      </c>
      <c r="S325">
        <v>4.6500000000000004</v>
      </c>
      <c r="T325">
        <v>3.1874419999999999</v>
      </c>
      <c r="U325" s="23">
        <v>45748</v>
      </c>
      <c r="V325">
        <v>2.75</v>
      </c>
      <c r="W325">
        <v>2.9</v>
      </c>
      <c r="X325">
        <v>2.1525829999999999</v>
      </c>
      <c r="Y325" s="23">
        <v>45748</v>
      </c>
      <c r="Z325">
        <v>9.99</v>
      </c>
      <c r="AA325">
        <v>7.1686841251688866</v>
      </c>
      <c r="AB325">
        <v>10.14</v>
      </c>
    </row>
    <row r="326" spans="1:28">
      <c r="A326" s="23">
        <v>45749</v>
      </c>
      <c r="B326">
        <v>1.75</v>
      </c>
      <c r="C326">
        <v>1.9</v>
      </c>
      <c r="D326">
        <v>1.5307789999999999</v>
      </c>
      <c r="E326" s="23">
        <v>45749</v>
      </c>
      <c r="F326">
        <v>0.5</v>
      </c>
      <c r="G326">
        <v>0.6</v>
      </c>
      <c r="H326">
        <v>0.32447500000000001</v>
      </c>
      <c r="I326" s="23">
        <v>45749</v>
      </c>
      <c r="J326">
        <v>1</v>
      </c>
      <c r="K326">
        <v>1.1499999999999999</v>
      </c>
      <c r="L326">
        <v>0.88516300000000003</v>
      </c>
      <c r="M326" s="23">
        <v>45749</v>
      </c>
      <c r="N326">
        <v>3</v>
      </c>
      <c r="O326">
        <v>3.15</v>
      </c>
      <c r="P326">
        <v>2.2148110000000001</v>
      </c>
      <c r="Q326" s="23">
        <v>45749</v>
      </c>
      <c r="R326">
        <v>4.5</v>
      </c>
      <c r="S326">
        <v>4.6500000000000004</v>
      </c>
      <c r="T326">
        <v>3.2022059999999999</v>
      </c>
      <c r="U326" s="23">
        <v>45749</v>
      </c>
      <c r="V326">
        <v>2.75</v>
      </c>
      <c r="W326">
        <v>2.9</v>
      </c>
      <c r="X326">
        <v>2.1502020000000002</v>
      </c>
      <c r="Y326" s="23">
        <v>45749</v>
      </c>
      <c r="Z326">
        <v>9.99</v>
      </c>
      <c r="AA326">
        <v>7.1553475372925348</v>
      </c>
      <c r="AB326">
        <v>10.14</v>
      </c>
    </row>
    <row r="327" spans="1:28">
      <c r="A327" s="23">
        <v>45750</v>
      </c>
      <c r="B327">
        <v>1.75</v>
      </c>
      <c r="C327">
        <v>1.9</v>
      </c>
      <c r="D327">
        <v>1.551733</v>
      </c>
      <c r="E327" s="23">
        <v>45750</v>
      </c>
      <c r="F327">
        <v>0.5</v>
      </c>
      <c r="G327">
        <v>0.6</v>
      </c>
      <c r="H327">
        <v>0.32590400000000003</v>
      </c>
      <c r="I327" s="23">
        <v>45750</v>
      </c>
      <c r="J327">
        <v>1</v>
      </c>
      <c r="K327">
        <v>1.1499999999999999</v>
      </c>
      <c r="L327">
        <v>0.72800500000000001</v>
      </c>
      <c r="M327" s="23">
        <v>45750</v>
      </c>
      <c r="N327">
        <v>3</v>
      </c>
      <c r="O327">
        <v>3.15</v>
      </c>
      <c r="P327">
        <v>2.1173419999999998</v>
      </c>
      <c r="Q327" s="23">
        <v>45750</v>
      </c>
      <c r="R327">
        <v>4.5</v>
      </c>
      <c r="S327">
        <v>4.6500000000000004</v>
      </c>
      <c r="T327">
        <v>3.1075940000000002</v>
      </c>
      <c r="U327" s="23">
        <v>45750</v>
      </c>
      <c r="V327">
        <v>2.75</v>
      </c>
      <c r="W327">
        <v>2.9</v>
      </c>
      <c r="X327">
        <v>2.2656100000000001</v>
      </c>
      <c r="Y327" s="23">
        <v>45750</v>
      </c>
      <c r="Z327">
        <v>9.99</v>
      </c>
      <c r="AA327">
        <v>7.4315006091545266</v>
      </c>
      <c r="AB327">
        <v>10.14</v>
      </c>
    </row>
    <row r="328" spans="1:28">
      <c r="A328" s="23">
        <v>45751</v>
      </c>
      <c r="B328">
        <v>1.75</v>
      </c>
      <c r="C328">
        <v>1.9</v>
      </c>
      <c r="D328">
        <v>1.639043</v>
      </c>
      <c r="E328" s="23">
        <v>45751</v>
      </c>
      <c r="F328">
        <v>0.5</v>
      </c>
      <c r="G328">
        <v>0.6</v>
      </c>
      <c r="H328">
        <v>0.32606200000000002</v>
      </c>
      <c r="I328" s="23">
        <v>45751</v>
      </c>
      <c r="J328">
        <v>1</v>
      </c>
      <c r="K328">
        <v>1.1499999999999999</v>
      </c>
      <c r="L328">
        <v>0.75197499999999995</v>
      </c>
      <c r="M328" s="23">
        <v>45751</v>
      </c>
      <c r="N328">
        <v>3</v>
      </c>
      <c r="O328">
        <v>3.15</v>
      </c>
      <c r="P328">
        <v>2.152901</v>
      </c>
      <c r="Q328" s="23">
        <v>45751</v>
      </c>
      <c r="R328">
        <v>4.5</v>
      </c>
      <c r="S328">
        <v>4.6500000000000004</v>
      </c>
      <c r="T328">
        <v>3.099815</v>
      </c>
      <c r="U328" s="23">
        <v>45751</v>
      </c>
      <c r="V328">
        <v>2.75</v>
      </c>
      <c r="W328">
        <v>2.9</v>
      </c>
      <c r="X328">
        <v>2.3097409999999998</v>
      </c>
      <c r="Y328" s="23">
        <v>45751</v>
      </c>
      <c r="Z328">
        <v>9.99</v>
      </c>
      <c r="AA328">
        <v>7.462037200877325</v>
      </c>
      <c r="AB328">
        <v>10.14</v>
      </c>
    </row>
    <row r="329" spans="1:28">
      <c r="A329" s="23">
        <v>45754</v>
      </c>
      <c r="B329">
        <v>1.75</v>
      </c>
      <c r="C329">
        <v>1.9</v>
      </c>
      <c r="D329">
        <v>1.728575</v>
      </c>
      <c r="E329" s="23">
        <v>45754</v>
      </c>
      <c r="F329">
        <v>0.5</v>
      </c>
      <c r="G329">
        <v>0.6</v>
      </c>
      <c r="H329">
        <v>0.33066600000000002</v>
      </c>
      <c r="I329" s="23">
        <v>45754</v>
      </c>
      <c r="J329">
        <v>1</v>
      </c>
      <c r="K329">
        <v>1.1499999999999999</v>
      </c>
      <c r="L329">
        <v>0.78737599999999996</v>
      </c>
      <c r="M329" s="23">
        <v>45754</v>
      </c>
      <c r="N329">
        <v>3</v>
      </c>
      <c r="O329">
        <v>3.15</v>
      </c>
      <c r="P329">
        <v>2.225765</v>
      </c>
      <c r="Q329" s="23">
        <v>45754</v>
      </c>
      <c r="R329">
        <v>4.5</v>
      </c>
      <c r="S329">
        <v>4.6500000000000004</v>
      </c>
      <c r="T329">
        <v>3.1660119999999998</v>
      </c>
      <c r="U329" s="23">
        <v>45754</v>
      </c>
      <c r="V329">
        <v>2.75</v>
      </c>
      <c r="W329">
        <v>2.9</v>
      </c>
      <c r="X329">
        <v>2.4494370000000001</v>
      </c>
      <c r="Y329" s="23">
        <v>45754</v>
      </c>
      <c r="Z329">
        <v>9.99</v>
      </c>
      <c r="AA329">
        <v>7.6106980085581277</v>
      </c>
      <c r="AB329">
        <v>10.14</v>
      </c>
    </row>
    <row r="330" spans="1:28">
      <c r="A330" s="23">
        <v>45755</v>
      </c>
      <c r="B330">
        <v>1.75</v>
      </c>
      <c r="C330">
        <v>1.9</v>
      </c>
      <c r="D330">
        <v>1.7139709999999999</v>
      </c>
      <c r="E330" s="23">
        <v>45755</v>
      </c>
      <c r="F330">
        <v>0.5</v>
      </c>
      <c r="G330">
        <v>0.6</v>
      </c>
      <c r="H330">
        <v>0.32780900000000002</v>
      </c>
      <c r="I330" s="23">
        <v>45755</v>
      </c>
      <c r="J330">
        <v>1</v>
      </c>
      <c r="K330">
        <v>1.1499999999999999</v>
      </c>
      <c r="L330">
        <v>0.78213699999999997</v>
      </c>
      <c r="M330" s="23">
        <v>45755</v>
      </c>
      <c r="N330">
        <v>3</v>
      </c>
      <c r="O330">
        <v>3.15</v>
      </c>
      <c r="P330">
        <v>2.2049690000000002</v>
      </c>
      <c r="Q330" s="23">
        <v>45755</v>
      </c>
      <c r="R330">
        <v>4.5</v>
      </c>
      <c r="S330">
        <v>4.6500000000000004</v>
      </c>
      <c r="T330">
        <v>3.1355330000000001</v>
      </c>
      <c r="U330" s="23">
        <v>45755</v>
      </c>
      <c r="V330">
        <v>2.75</v>
      </c>
      <c r="W330">
        <v>2.9</v>
      </c>
      <c r="X330">
        <v>2.4280059999999999</v>
      </c>
      <c r="Y330" s="23">
        <v>45755</v>
      </c>
      <c r="Z330">
        <v>9.99</v>
      </c>
      <c r="AA330">
        <v>7.8052518340757944</v>
      </c>
      <c r="AB330">
        <v>10.14</v>
      </c>
    </row>
    <row r="331" spans="1:28">
      <c r="A331" s="23">
        <v>45756</v>
      </c>
      <c r="B331">
        <v>1.75</v>
      </c>
      <c r="C331">
        <v>1.9</v>
      </c>
      <c r="D331">
        <v>1.902242</v>
      </c>
      <c r="E331" s="23">
        <v>45756</v>
      </c>
      <c r="F331">
        <v>0.5</v>
      </c>
      <c r="G331">
        <v>0.6</v>
      </c>
      <c r="H331">
        <v>0.32384000000000002</v>
      </c>
      <c r="I331" s="23">
        <v>45756</v>
      </c>
      <c r="J331">
        <v>1</v>
      </c>
      <c r="K331">
        <v>1.1499999999999999</v>
      </c>
      <c r="L331">
        <v>0.84277800000000003</v>
      </c>
      <c r="M331" s="23">
        <v>45756</v>
      </c>
      <c r="N331">
        <v>3</v>
      </c>
      <c r="O331">
        <v>3.15</v>
      </c>
      <c r="P331">
        <v>2.294184</v>
      </c>
      <c r="Q331" s="23">
        <v>45756</v>
      </c>
      <c r="R331">
        <v>4.5</v>
      </c>
      <c r="S331">
        <v>4.6500000000000004</v>
      </c>
      <c r="T331">
        <v>3.2942779999999998</v>
      </c>
      <c r="U331" s="23">
        <v>45756</v>
      </c>
      <c r="V331">
        <v>2.75</v>
      </c>
      <c r="W331">
        <v>2.9</v>
      </c>
      <c r="X331">
        <v>2.606277</v>
      </c>
      <c r="Y331" s="23">
        <v>45756</v>
      </c>
      <c r="Z331">
        <v>9.99</v>
      </c>
      <c r="AA331">
        <v>9.1259998211888806</v>
      </c>
      <c r="AB331">
        <v>10.14</v>
      </c>
    </row>
    <row r="332" spans="1:28">
      <c r="A332" s="23">
        <v>45757</v>
      </c>
      <c r="B332">
        <v>1.75</v>
      </c>
      <c r="C332">
        <v>1.9</v>
      </c>
      <c r="D332">
        <v>1.9749479999999999</v>
      </c>
      <c r="E332" s="23">
        <v>45757</v>
      </c>
      <c r="F332">
        <v>0.5</v>
      </c>
      <c r="G332">
        <v>0.6</v>
      </c>
      <c r="H332">
        <v>0.322411</v>
      </c>
      <c r="I332" s="23">
        <v>45757</v>
      </c>
      <c r="J332">
        <v>1</v>
      </c>
      <c r="K332">
        <v>1.1499999999999999</v>
      </c>
      <c r="L332">
        <v>0.87992400000000004</v>
      </c>
      <c r="M332" s="23">
        <v>45757</v>
      </c>
      <c r="N332">
        <v>3</v>
      </c>
      <c r="O332">
        <v>3.15</v>
      </c>
      <c r="P332">
        <v>2.2919610000000001</v>
      </c>
      <c r="Q332" s="23">
        <v>45757</v>
      </c>
      <c r="R332">
        <v>4.5</v>
      </c>
      <c r="S332">
        <v>4.6500000000000004</v>
      </c>
      <c r="T332">
        <v>3.2495120000000002</v>
      </c>
      <c r="U332" s="23">
        <v>45757</v>
      </c>
      <c r="V332">
        <v>2.75</v>
      </c>
      <c r="W332">
        <v>2.9</v>
      </c>
      <c r="X332">
        <v>2.6173890000000002</v>
      </c>
      <c r="Y332" s="23">
        <v>45757</v>
      </c>
      <c r="Z332">
        <v>9.99</v>
      </c>
      <c r="AA332">
        <v>9.1148689913800958</v>
      </c>
      <c r="AB332">
        <v>10.14</v>
      </c>
    </row>
    <row r="333" spans="1:28">
      <c r="A333" s="23">
        <v>45758</v>
      </c>
      <c r="B333">
        <v>1.75</v>
      </c>
      <c r="C333">
        <v>1.9</v>
      </c>
      <c r="D333">
        <v>1.9251020000000001</v>
      </c>
      <c r="E333" s="23">
        <v>45758</v>
      </c>
      <c r="F333">
        <v>0.5</v>
      </c>
      <c r="G333">
        <v>0.6</v>
      </c>
      <c r="H333">
        <v>0.32050600000000001</v>
      </c>
      <c r="I333" s="23">
        <v>45758</v>
      </c>
      <c r="J333">
        <v>1</v>
      </c>
      <c r="K333">
        <v>1.1499999999999999</v>
      </c>
      <c r="L333">
        <v>0.89865600000000001</v>
      </c>
      <c r="M333" s="23">
        <v>45758</v>
      </c>
      <c r="N333">
        <v>3</v>
      </c>
      <c r="O333">
        <v>3.15</v>
      </c>
      <c r="P333">
        <v>2.3433950000000001</v>
      </c>
      <c r="Q333" s="23">
        <v>45758</v>
      </c>
      <c r="R333">
        <v>4.5</v>
      </c>
      <c r="S333">
        <v>4.6500000000000004</v>
      </c>
      <c r="T333">
        <v>3.3163429999999998</v>
      </c>
      <c r="U333" s="23">
        <v>45758</v>
      </c>
      <c r="V333">
        <v>2.75</v>
      </c>
      <c r="W333">
        <v>2.9</v>
      </c>
      <c r="X333">
        <v>2.7175569999999998</v>
      </c>
      <c r="Y333" s="23">
        <v>45758</v>
      </c>
      <c r="Z333">
        <v>9.99</v>
      </c>
      <c r="AA333">
        <v>9.0753718350715467</v>
      </c>
      <c r="AB333">
        <v>10.14</v>
      </c>
    </row>
    <row r="334" spans="1:28">
      <c r="A334" s="23">
        <v>45761</v>
      </c>
      <c r="B334">
        <v>1.75</v>
      </c>
      <c r="C334">
        <v>1.9</v>
      </c>
      <c r="D334">
        <v>1.8496980000000001</v>
      </c>
      <c r="E334" s="23">
        <v>45761</v>
      </c>
      <c r="F334">
        <v>0.5</v>
      </c>
      <c r="G334">
        <v>0.6</v>
      </c>
      <c r="H334">
        <v>0.33828599999999998</v>
      </c>
      <c r="I334" s="23">
        <v>45761</v>
      </c>
      <c r="J334">
        <v>1</v>
      </c>
      <c r="K334">
        <v>1.1499999999999999</v>
      </c>
      <c r="L334">
        <v>0.90310100000000004</v>
      </c>
      <c r="M334" s="23">
        <v>45761</v>
      </c>
      <c r="N334">
        <v>3</v>
      </c>
      <c r="O334">
        <v>3.15</v>
      </c>
      <c r="P334">
        <v>2.325933</v>
      </c>
      <c r="Q334" s="23">
        <v>45761</v>
      </c>
      <c r="R334">
        <v>4.5</v>
      </c>
      <c r="S334">
        <v>4.6500000000000004</v>
      </c>
      <c r="T334">
        <v>3.2936429999999999</v>
      </c>
      <c r="U334" s="23">
        <v>45761</v>
      </c>
      <c r="V334">
        <v>2.75</v>
      </c>
      <c r="W334">
        <v>2.9</v>
      </c>
      <c r="X334">
        <v>2.6691400000000001</v>
      </c>
      <c r="Y334" s="23">
        <v>45761</v>
      </c>
      <c r="Z334">
        <v>9.99</v>
      </c>
      <c r="AA334">
        <v>8.9912283823524692</v>
      </c>
      <c r="AB334">
        <v>10.14</v>
      </c>
    </row>
    <row r="335" spans="1:28">
      <c r="A335" s="23">
        <v>45762</v>
      </c>
      <c r="B335">
        <v>1.75</v>
      </c>
      <c r="C335">
        <v>1.9</v>
      </c>
      <c r="D335">
        <v>1.835569</v>
      </c>
      <c r="E335" s="23">
        <v>45762</v>
      </c>
      <c r="F335">
        <v>0.5</v>
      </c>
      <c r="G335">
        <v>0.6</v>
      </c>
      <c r="H335">
        <v>0.33685700000000002</v>
      </c>
      <c r="I335" s="23">
        <v>45762</v>
      </c>
      <c r="J335">
        <v>1</v>
      </c>
      <c r="K335">
        <v>1.1499999999999999</v>
      </c>
      <c r="L335">
        <v>0.90103699999999998</v>
      </c>
      <c r="M335" s="23">
        <v>45762</v>
      </c>
      <c r="N335">
        <v>3</v>
      </c>
      <c r="O335">
        <v>3.15</v>
      </c>
      <c r="P335">
        <v>2.3065660000000001</v>
      </c>
      <c r="Q335" s="23">
        <v>45762</v>
      </c>
      <c r="R335">
        <v>4.5</v>
      </c>
      <c r="S335">
        <v>4.6500000000000004</v>
      </c>
      <c r="T335">
        <v>3.2774510000000001</v>
      </c>
      <c r="U335" s="23">
        <v>45762</v>
      </c>
      <c r="V335">
        <v>2.75</v>
      </c>
      <c r="W335">
        <v>2.9</v>
      </c>
      <c r="X335">
        <v>2.655011</v>
      </c>
      <c r="Y335" s="23">
        <v>45762</v>
      </c>
      <c r="Z335">
        <v>9.99</v>
      </c>
      <c r="AA335">
        <v>8.9704813615047705</v>
      </c>
      <c r="AB335">
        <v>10.14</v>
      </c>
    </row>
    <row r="336" spans="1:28">
      <c r="A336" s="23">
        <v>45763</v>
      </c>
      <c r="B336">
        <v>1.75</v>
      </c>
      <c r="C336">
        <v>1.9</v>
      </c>
      <c r="D336">
        <v>1.8087409999999999</v>
      </c>
      <c r="E336" s="23">
        <v>45763</v>
      </c>
      <c r="F336">
        <v>0.5</v>
      </c>
      <c r="G336">
        <v>0.6</v>
      </c>
      <c r="H336">
        <v>0.29526599999999997</v>
      </c>
      <c r="I336" s="23">
        <v>45763</v>
      </c>
      <c r="J336">
        <v>1</v>
      </c>
      <c r="K336">
        <v>1.1499999999999999</v>
      </c>
      <c r="L336">
        <v>0.82214100000000001</v>
      </c>
      <c r="M336" s="23">
        <v>45763</v>
      </c>
      <c r="N336">
        <v>3</v>
      </c>
      <c r="O336">
        <v>3.15</v>
      </c>
      <c r="P336">
        <v>2.2883100000000001</v>
      </c>
      <c r="Q336" s="23">
        <v>45763</v>
      </c>
      <c r="R336">
        <v>4.5</v>
      </c>
      <c r="S336">
        <v>4.6500000000000004</v>
      </c>
      <c r="T336">
        <v>3.2491940000000001</v>
      </c>
      <c r="U336" s="23">
        <v>45763</v>
      </c>
      <c r="V336">
        <v>2.75</v>
      </c>
      <c r="W336">
        <v>2.9</v>
      </c>
      <c r="X336">
        <v>2.536905</v>
      </c>
      <c r="Y336" s="23">
        <v>45763</v>
      </c>
      <c r="Z336">
        <v>9.99</v>
      </c>
      <c r="AA336">
        <v>8.7927394108789247</v>
      </c>
      <c r="AB336">
        <v>10.14</v>
      </c>
    </row>
    <row r="337" spans="1:28">
      <c r="A337" s="23">
        <v>45764</v>
      </c>
      <c r="B337">
        <v>1.75</v>
      </c>
      <c r="C337">
        <v>1.9</v>
      </c>
      <c r="D337">
        <v>1.7755639999999999</v>
      </c>
      <c r="E337" s="23">
        <v>45764</v>
      </c>
      <c r="F337">
        <v>0.5</v>
      </c>
      <c r="G337">
        <v>0.6</v>
      </c>
      <c r="H337">
        <v>0.29558299999999998</v>
      </c>
      <c r="I337" s="23">
        <v>45764</v>
      </c>
      <c r="J337">
        <v>1</v>
      </c>
      <c r="K337">
        <v>1.1499999999999999</v>
      </c>
      <c r="L337">
        <v>0.77531099999999997</v>
      </c>
      <c r="M337" s="23">
        <v>45764</v>
      </c>
      <c r="N337">
        <v>3</v>
      </c>
      <c r="O337">
        <v>3.15</v>
      </c>
      <c r="P337">
        <v>2.2965650000000002</v>
      </c>
      <c r="Q337" s="23">
        <v>45764</v>
      </c>
      <c r="R337">
        <v>4.5</v>
      </c>
      <c r="S337">
        <v>4.6500000000000004</v>
      </c>
      <c r="T337">
        <v>3.3096760000000001</v>
      </c>
      <c r="U337" s="23">
        <v>45764</v>
      </c>
      <c r="V337">
        <v>2.75</v>
      </c>
      <c r="W337">
        <v>2.9</v>
      </c>
      <c r="X337">
        <v>2.4641999999999999</v>
      </c>
      <c r="Y337" s="23">
        <v>45764</v>
      </c>
      <c r="Z337">
        <v>9.99</v>
      </c>
      <c r="AA337">
        <v>8.7155681340746796</v>
      </c>
      <c r="AB337">
        <v>10.14</v>
      </c>
    </row>
    <row r="338" spans="1:28">
      <c r="A338" s="23">
        <v>45769</v>
      </c>
      <c r="B338">
        <v>1.75</v>
      </c>
      <c r="C338">
        <v>1.9</v>
      </c>
      <c r="D338">
        <v>1.7888980000000001</v>
      </c>
      <c r="E338" s="23">
        <v>45769</v>
      </c>
      <c r="F338">
        <v>0.5</v>
      </c>
      <c r="G338">
        <v>0.6</v>
      </c>
      <c r="H338">
        <v>0.29336099999999998</v>
      </c>
      <c r="I338" s="23">
        <v>45769</v>
      </c>
      <c r="J338">
        <v>1</v>
      </c>
      <c r="K338">
        <v>1.1499999999999999</v>
      </c>
      <c r="L338">
        <v>0.77054900000000004</v>
      </c>
      <c r="M338" s="23">
        <v>45769</v>
      </c>
      <c r="N338">
        <v>3</v>
      </c>
      <c r="O338">
        <v>3.15</v>
      </c>
      <c r="P338">
        <v>2.2859289999999999</v>
      </c>
      <c r="Q338" s="23">
        <v>45769</v>
      </c>
      <c r="R338">
        <v>4.5</v>
      </c>
      <c r="S338">
        <v>4.6500000000000004</v>
      </c>
      <c r="T338">
        <v>3.2982459999999998</v>
      </c>
      <c r="U338" s="23">
        <v>45769</v>
      </c>
      <c r="V338">
        <v>2.75</v>
      </c>
      <c r="W338">
        <v>2.9</v>
      </c>
      <c r="X338">
        <v>2.4108619999999998</v>
      </c>
      <c r="Y338" s="23">
        <v>45769</v>
      </c>
      <c r="Z338">
        <v>9.99</v>
      </c>
      <c r="AA338">
        <v>8.6446932421470049</v>
      </c>
      <c r="AB338">
        <v>10.14</v>
      </c>
    </row>
    <row r="339" spans="1:28">
      <c r="A339" s="23">
        <v>45770</v>
      </c>
      <c r="B339">
        <v>2.5</v>
      </c>
      <c r="C339">
        <v>2.65</v>
      </c>
      <c r="D339">
        <v>1.7619119999999999</v>
      </c>
      <c r="E339" s="23">
        <v>45770</v>
      </c>
      <c r="F339">
        <v>0.5</v>
      </c>
      <c r="G339">
        <v>0.6</v>
      </c>
      <c r="H339">
        <v>0.29272599999999999</v>
      </c>
      <c r="I339" s="23">
        <v>45770</v>
      </c>
      <c r="J339">
        <v>1</v>
      </c>
      <c r="K339">
        <v>1.1499999999999999</v>
      </c>
      <c r="L339">
        <v>0.76562799999999998</v>
      </c>
      <c r="M339" s="23">
        <v>45770</v>
      </c>
      <c r="N339">
        <v>3</v>
      </c>
      <c r="O339">
        <v>3.15</v>
      </c>
      <c r="P339">
        <v>2.2687849999999998</v>
      </c>
      <c r="Q339" s="23">
        <v>45770</v>
      </c>
      <c r="R339">
        <v>4.5</v>
      </c>
      <c r="S339">
        <v>4.6500000000000004</v>
      </c>
      <c r="T339">
        <v>3.3055490000000001</v>
      </c>
      <c r="U339" s="23">
        <v>45770</v>
      </c>
      <c r="V339">
        <v>3.5</v>
      </c>
      <c r="W339">
        <v>3.65</v>
      </c>
      <c r="X339">
        <v>2.4159410000000001</v>
      </c>
      <c r="Y339" s="23">
        <v>45770</v>
      </c>
      <c r="Z339">
        <v>9.99</v>
      </c>
      <c r="AA339">
        <v>8.5555319181109066</v>
      </c>
      <c r="AB339">
        <v>10.14</v>
      </c>
    </row>
    <row r="340" spans="1:28">
      <c r="A340" s="23">
        <v>45771</v>
      </c>
      <c r="B340">
        <v>2.5</v>
      </c>
      <c r="C340">
        <v>2.65</v>
      </c>
      <c r="D340">
        <v>1.7433380000000001</v>
      </c>
      <c r="E340" s="23">
        <v>45771</v>
      </c>
      <c r="F340">
        <v>0.5</v>
      </c>
      <c r="G340">
        <v>0.6</v>
      </c>
      <c r="H340">
        <v>0.29558299999999998</v>
      </c>
      <c r="I340" s="23">
        <v>45771</v>
      </c>
      <c r="J340">
        <v>1</v>
      </c>
      <c r="K340">
        <v>1.1499999999999999</v>
      </c>
      <c r="L340">
        <v>0.76785000000000003</v>
      </c>
      <c r="M340" s="23">
        <v>45771</v>
      </c>
      <c r="N340">
        <v>3</v>
      </c>
      <c r="O340">
        <v>3.15</v>
      </c>
      <c r="P340">
        <v>2.2579899999999999</v>
      </c>
      <c r="Q340" s="23">
        <v>45771</v>
      </c>
      <c r="R340">
        <v>4.5</v>
      </c>
      <c r="S340">
        <v>4.6500000000000004</v>
      </c>
      <c r="T340">
        <v>3.2961830000000001</v>
      </c>
      <c r="U340" s="23">
        <v>45771</v>
      </c>
      <c r="V340">
        <v>3.5</v>
      </c>
      <c r="W340">
        <v>3.65</v>
      </c>
      <c r="X340">
        <v>2.4151479999999999</v>
      </c>
      <c r="Y340" s="23">
        <v>45771</v>
      </c>
      <c r="Z340">
        <v>9.99</v>
      </c>
      <c r="AA340">
        <v>8.9614647575654747</v>
      </c>
      <c r="AB340">
        <v>10.14</v>
      </c>
    </row>
    <row r="341" spans="1:28">
      <c r="A341" s="23">
        <v>45775</v>
      </c>
      <c r="B341">
        <v>2.5</v>
      </c>
      <c r="C341">
        <v>2.65</v>
      </c>
      <c r="D341">
        <v>1.724289</v>
      </c>
      <c r="E341" s="23">
        <v>45775</v>
      </c>
      <c r="F341">
        <v>0.5</v>
      </c>
      <c r="G341">
        <v>0.6</v>
      </c>
      <c r="H341">
        <v>0.29526599999999997</v>
      </c>
      <c r="I341" s="23">
        <v>45775</v>
      </c>
      <c r="J341">
        <v>1</v>
      </c>
      <c r="K341">
        <v>1.1499999999999999</v>
      </c>
      <c r="L341">
        <v>0.75753199999999998</v>
      </c>
      <c r="M341" s="23">
        <v>45775</v>
      </c>
      <c r="N341">
        <v>3</v>
      </c>
      <c r="O341">
        <v>3.15</v>
      </c>
      <c r="P341">
        <v>2.242909</v>
      </c>
      <c r="Q341" s="23">
        <v>45775</v>
      </c>
      <c r="R341">
        <v>4.5</v>
      </c>
      <c r="S341">
        <v>4.6500000000000004</v>
      </c>
      <c r="T341">
        <v>3.301104</v>
      </c>
      <c r="U341" s="23">
        <v>45775</v>
      </c>
      <c r="V341">
        <v>3.5</v>
      </c>
      <c r="W341">
        <v>3.65</v>
      </c>
      <c r="X341">
        <v>2.4241959999999998</v>
      </c>
      <c r="Y341" s="23">
        <v>45775</v>
      </c>
      <c r="Z341">
        <v>9.99</v>
      </c>
      <c r="AA341">
        <v>8.7739984821563866</v>
      </c>
      <c r="AB341">
        <v>10.14</v>
      </c>
    </row>
    <row r="342" spans="1:28">
      <c r="A342" s="23">
        <v>45776</v>
      </c>
      <c r="B342">
        <v>2.5</v>
      </c>
      <c r="C342">
        <v>2.65</v>
      </c>
      <c r="D342">
        <v>1.77477</v>
      </c>
      <c r="E342" s="23">
        <v>45776</v>
      </c>
      <c r="F342">
        <v>0.5</v>
      </c>
      <c r="G342">
        <v>0.6</v>
      </c>
      <c r="H342">
        <v>0.430199</v>
      </c>
      <c r="I342" s="23">
        <v>45776</v>
      </c>
      <c r="J342">
        <v>1</v>
      </c>
      <c r="K342">
        <v>1.1499999999999999</v>
      </c>
      <c r="L342">
        <v>0.83865000000000001</v>
      </c>
      <c r="M342" s="23">
        <v>45776</v>
      </c>
      <c r="N342">
        <v>3</v>
      </c>
      <c r="O342">
        <v>3.15</v>
      </c>
      <c r="P342">
        <v>2.239099</v>
      </c>
      <c r="Q342" s="23">
        <v>45776</v>
      </c>
      <c r="R342">
        <v>4.5</v>
      </c>
      <c r="S342">
        <v>4.6500000000000004</v>
      </c>
      <c r="T342">
        <v>3.278403</v>
      </c>
      <c r="U342" s="23">
        <v>45776</v>
      </c>
      <c r="V342">
        <v>3.5</v>
      </c>
      <c r="W342">
        <v>3.65</v>
      </c>
      <c r="X342">
        <v>2.413243</v>
      </c>
      <c r="Y342" s="23">
        <v>45776</v>
      </c>
      <c r="Z342">
        <v>9.99</v>
      </c>
      <c r="AA342">
        <v>8.6991213242216396</v>
      </c>
      <c r="AB342">
        <v>10.14</v>
      </c>
    </row>
    <row r="343" spans="1:28">
      <c r="A343" s="23">
        <v>45777</v>
      </c>
      <c r="B343">
        <v>2.5</v>
      </c>
      <c r="C343">
        <v>2.65</v>
      </c>
      <c r="D343">
        <v>1.6982550000000001</v>
      </c>
      <c r="E343" s="23">
        <v>45777</v>
      </c>
      <c r="F343">
        <v>0.5</v>
      </c>
      <c r="G343">
        <v>0.6</v>
      </c>
      <c r="H343">
        <v>0.40194299999999999</v>
      </c>
      <c r="I343" s="23">
        <v>45777</v>
      </c>
      <c r="J343">
        <v>1</v>
      </c>
      <c r="K343">
        <v>1.1499999999999999</v>
      </c>
      <c r="L343">
        <v>0.74959399999999998</v>
      </c>
      <c r="M343" s="23">
        <v>45777</v>
      </c>
      <c r="N343">
        <v>3</v>
      </c>
      <c r="O343">
        <v>3.15</v>
      </c>
      <c r="P343">
        <v>2.2362419999999998</v>
      </c>
      <c r="Q343" s="23">
        <v>45777</v>
      </c>
      <c r="R343">
        <v>4.5</v>
      </c>
      <c r="S343">
        <v>4.6500000000000004</v>
      </c>
      <c r="T343">
        <v>3.2906270000000002</v>
      </c>
      <c r="U343" s="23">
        <v>45777</v>
      </c>
      <c r="V343">
        <v>3.5</v>
      </c>
      <c r="W343">
        <v>3.65</v>
      </c>
      <c r="X343">
        <v>2.36673</v>
      </c>
      <c r="Y343" s="23">
        <v>45777</v>
      </c>
      <c r="Z343">
        <v>9.99</v>
      </c>
      <c r="AA343">
        <v>8.5767286201059356</v>
      </c>
      <c r="AB343">
        <v>10.14</v>
      </c>
    </row>
    <row r="344" spans="1:28">
      <c r="A344" s="23">
        <v>45782</v>
      </c>
      <c r="B344">
        <v>2.5</v>
      </c>
      <c r="C344">
        <v>2.65</v>
      </c>
      <c r="D344">
        <v>1.676666</v>
      </c>
      <c r="E344" s="23">
        <v>45782</v>
      </c>
      <c r="F344">
        <v>0.5</v>
      </c>
      <c r="G344">
        <v>0.6</v>
      </c>
      <c r="H344">
        <v>0.39162400000000003</v>
      </c>
      <c r="I344" s="23">
        <v>45782</v>
      </c>
      <c r="J344">
        <v>1</v>
      </c>
      <c r="K344">
        <v>1.1499999999999999</v>
      </c>
      <c r="L344">
        <v>0.74086300000000005</v>
      </c>
      <c r="M344" s="23">
        <v>45782</v>
      </c>
      <c r="N344">
        <v>3</v>
      </c>
      <c r="O344">
        <v>3.15</v>
      </c>
      <c r="P344">
        <v>2.261482</v>
      </c>
      <c r="Q344" s="23">
        <v>45782</v>
      </c>
      <c r="R344">
        <v>4.5</v>
      </c>
      <c r="S344">
        <v>4.6500000000000004</v>
      </c>
      <c r="T344">
        <v>3.3561879999999999</v>
      </c>
      <c r="U344" s="23">
        <v>45782</v>
      </c>
      <c r="V344">
        <v>3.5</v>
      </c>
      <c r="W344">
        <v>3.65</v>
      </c>
      <c r="X344">
        <v>2.380382</v>
      </c>
      <c r="Y344" s="23">
        <v>45782</v>
      </c>
      <c r="Z344">
        <v>9.99</v>
      </c>
      <c r="AA344">
        <v>8.6065391676688101</v>
      </c>
      <c r="AB344">
        <v>10.14</v>
      </c>
    </row>
    <row r="345" spans="1:28">
      <c r="A345" s="23">
        <v>45779</v>
      </c>
      <c r="B345">
        <v>2.5</v>
      </c>
      <c r="C345">
        <v>2.65</v>
      </c>
      <c r="D345">
        <v>1.692064</v>
      </c>
      <c r="E345" s="23">
        <v>45779</v>
      </c>
      <c r="F345">
        <v>0.5</v>
      </c>
      <c r="G345">
        <v>0.6</v>
      </c>
      <c r="H345">
        <v>0.39432299999999998</v>
      </c>
      <c r="I345" s="23">
        <v>45779</v>
      </c>
      <c r="J345">
        <v>1</v>
      </c>
      <c r="K345">
        <v>1.1499999999999999</v>
      </c>
      <c r="L345">
        <v>0.74657799999999996</v>
      </c>
      <c r="M345" s="23">
        <v>45779</v>
      </c>
      <c r="N345">
        <v>3</v>
      </c>
      <c r="O345">
        <v>3.15</v>
      </c>
      <c r="P345">
        <v>2.2845</v>
      </c>
      <c r="Q345" s="23">
        <v>45779</v>
      </c>
      <c r="R345">
        <v>4.5</v>
      </c>
      <c r="S345">
        <v>4.6500000000000004</v>
      </c>
      <c r="T345">
        <v>3.3903189999999999</v>
      </c>
      <c r="U345" s="23">
        <v>45779</v>
      </c>
      <c r="V345">
        <v>3.5</v>
      </c>
      <c r="W345">
        <v>3.65</v>
      </c>
      <c r="X345">
        <v>2.4032420000000001</v>
      </c>
      <c r="Y345" s="23">
        <v>45779</v>
      </c>
      <c r="Z345">
        <v>9.99</v>
      </c>
      <c r="AA345">
        <v>8.6557736631461726</v>
      </c>
      <c r="AB345">
        <v>10.14</v>
      </c>
    </row>
    <row r="346" spans="1:28">
      <c r="A346" s="23">
        <v>45783</v>
      </c>
      <c r="B346">
        <v>2.5</v>
      </c>
      <c r="C346">
        <v>2.65</v>
      </c>
      <c r="D346">
        <v>1.6674580000000001</v>
      </c>
      <c r="E346" s="23">
        <v>45783</v>
      </c>
      <c r="F346">
        <v>0.5</v>
      </c>
      <c r="G346">
        <v>0.6</v>
      </c>
      <c r="H346">
        <v>0.39083000000000001</v>
      </c>
      <c r="I346" s="23">
        <v>45783</v>
      </c>
      <c r="J346">
        <v>1</v>
      </c>
      <c r="K346">
        <v>1.1499999999999999</v>
      </c>
      <c r="L346">
        <v>0.73832299999999995</v>
      </c>
      <c r="M346" s="23">
        <v>45783</v>
      </c>
      <c r="N346">
        <v>3</v>
      </c>
      <c r="O346">
        <v>3.15</v>
      </c>
      <c r="P346">
        <v>2.2464019999999998</v>
      </c>
      <c r="Q346" s="23">
        <v>45783</v>
      </c>
      <c r="R346">
        <v>4.5</v>
      </c>
      <c r="S346">
        <v>4.6500000000000004</v>
      </c>
      <c r="T346">
        <v>3.3222170000000002</v>
      </c>
      <c r="U346" s="23">
        <v>45783</v>
      </c>
      <c r="V346">
        <v>3.5</v>
      </c>
      <c r="W346">
        <v>3.65</v>
      </c>
      <c r="X346">
        <v>2.3746679999999998</v>
      </c>
      <c r="Y346" s="23">
        <v>45783</v>
      </c>
      <c r="Z346">
        <v>9.99</v>
      </c>
      <c r="AA346">
        <v>8.4420330746134269</v>
      </c>
      <c r="AB346">
        <v>10.14</v>
      </c>
    </row>
    <row r="347" spans="1:28">
      <c r="A347" s="23">
        <v>45784</v>
      </c>
      <c r="B347">
        <v>2.5</v>
      </c>
      <c r="C347">
        <v>2.65</v>
      </c>
      <c r="D347">
        <v>1.6263430000000001</v>
      </c>
      <c r="E347" s="23">
        <v>45784</v>
      </c>
      <c r="F347">
        <v>0.5</v>
      </c>
      <c r="G347">
        <v>0.6</v>
      </c>
      <c r="H347">
        <v>0.39067200000000002</v>
      </c>
      <c r="I347" s="23">
        <v>45784</v>
      </c>
      <c r="J347">
        <v>1</v>
      </c>
      <c r="K347">
        <v>1.1499999999999999</v>
      </c>
      <c r="L347">
        <v>0.738958</v>
      </c>
      <c r="M347" s="23">
        <v>45784</v>
      </c>
      <c r="N347">
        <v>3</v>
      </c>
      <c r="O347">
        <v>3.15</v>
      </c>
      <c r="P347">
        <v>2.2321149999999998</v>
      </c>
      <c r="Q347" s="23">
        <v>45784</v>
      </c>
      <c r="R347">
        <v>4.5</v>
      </c>
      <c r="S347">
        <v>4.6500000000000004</v>
      </c>
      <c r="T347">
        <v>3.273482</v>
      </c>
      <c r="U347" s="23">
        <v>45784</v>
      </c>
      <c r="V347">
        <v>3.5</v>
      </c>
      <c r="W347">
        <v>3.65</v>
      </c>
      <c r="X347">
        <v>2.36673</v>
      </c>
      <c r="Y347" s="23">
        <v>45784</v>
      </c>
      <c r="Z347">
        <v>9.99</v>
      </c>
      <c r="AA347">
        <v>8.5229801546531654</v>
      </c>
      <c r="AB347">
        <v>10.14</v>
      </c>
    </row>
    <row r="348" spans="1:28">
      <c r="A348" s="23">
        <v>45785</v>
      </c>
      <c r="B348">
        <v>2.5</v>
      </c>
      <c r="C348">
        <v>2.65</v>
      </c>
      <c r="D348">
        <v>1.6290420000000001</v>
      </c>
      <c r="E348" s="23">
        <v>45785</v>
      </c>
      <c r="F348">
        <v>0.5</v>
      </c>
      <c r="G348">
        <v>0.6</v>
      </c>
      <c r="H348">
        <v>0.39003700000000002</v>
      </c>
      <c r="I348" s="23">
        <v>45785</v>
      </c>
      <c r="J348">
        <v>1</v>
      </c>
      <c r="K348">
        <v>1.1499999999999999</v>
      </c>
      <c r="L348">
        <v>0.74134</v>
      </c>
      <c r="M348" s="23">
        <v>45785</v>
      </c>
      <c r="N348">
        <v>3</v>
      </c>
      <c r="O348">
        <v>3.15</v>
      </c>
      <c r="P348">
        <v>2.248148</v>
      </c>
      <c r="Q348" s="23">
        <v>45785</v>
      </c>
      <c r="R348">
        <v>4.5</v>
      </c>
      <c r="S348">
        <v>4.6500000000000004</v>
      </c>
      <c r="T348">
        <v>3.300786</v>
      </c>
      <c r="U348" s="23">
        <v>45785</v>
      </c>
      <c r="V348">
        <v>3.5</v>
      </c>
      <c r="W348">
        <v>3.65</v>
      </c>
      <c r="X348">
        <v>2.3700640000000002</v>
      </c>
      <c r="Y348" s="23">
        <v>45785</v>
      </c>
      <c r="Z348">
        <v>9.99</v>
      </c>
      <c r="AA348">
        <v>8.6318044969298438</v>
      </c>
      <c r="AB348">
        <v>10.14</v>
      </c>
    </row>
    <row r="349" spans="1:28">
      <c r="A349" s="23">
        <v>45786</v>
      </c>
      <c r="B349">
        <v>2.5</v>
      </c>
      <c r="C349">
        <v>2.65</v>
      </c>
      <c r="D349">
        <v>1.642218</v>
      </c>
      <c r="E349" s="23">
        <v>45786</v>
      </c>
      <c r="F349">
        <v>0.5</v>
      </c>
      <c r="G349">
        <v>0.6</v>
      </c>
      <c r="H349">
        <v>0.38892500000000002</v>
      </c>
      <c r="I349" s="23">
        <v>45786</v>
      </c>
      <c r="J349">
        <v>1</v>
      </c>
      <c r="K349">
        <v>1.1499999999999999</v>
      </c>
      <c r="L349">
        <v>0.74451400000000001</v>
      </c>
      <c r="M349" s="23">
        <v>45786</v>
      </c>
      <c r="N349">
        <v>3</v>
      </c>
      <c r="O349">
        <v>3.15</v>
      </c>
      <c r="P349">
        <v>2.2697370000000001</v>
      </c>
      <c r="Q349" s="23">
        <v>45786</v>
      </c>
      <c r="R349">
        <v>4.5</v>
      </c>
      <c r="S349">
        <v>4.6500000000000004</v>
      </c>
      <c r="T349">
        <v>3.3417430000000001</v>
      </c>
      <c r="U349" s="23">
        <v>45786</v>
      </c>
      <c r="V349">
        <v>3.5</v>
      </c>
      <c r="W349">
        <v>3.65</v>
      </c>
      <c r="X349">
        <v>2.3605390000000002</v>
      </c>
      <c r="Y349" s="23">
        <v>45786</v>
      </c>
      <c r="Z349">
        <v>9.99</v>
      </c>
      <c r="AA349">
        <v>8.4183946649003776</v>
      </c>
      <c r="AB349">
        <v>10.14</v>
      </c>
    </row>
    <row r="350" spans="1:28">
      <c r="A350" s="23">
        <v>45789</v>
      </c>
      <c r="B350">
        <v>2.5</v>
      </c>
      <c r="C350">
        <v>2.65</v>
      </c>
      <c r="D350">
        <v>1.6488849999999999</v>
      </c>
      <c r="E350" s="23">
        <v>45789</v>
      </c>
      <c r="F350">
        <v>0.5</v>
      </c>
      <c r="G350">
        <v>0.6</v>
      </c>
      <c r="H350">
        <v>0.385909</v>
      </c>
      <c r="I350" s="23">
        <v>45789</v>
      </c>
      <c r="J350">
        <v>1</v>
      </c>
      <c r="K350">
        <v>1.1499999999999999</v>
      </c>
      <c r="L350">
        <v>0.811029</v>
      </c>
      <c r="M350" s="23">
        <v>45789</v>
      </c>
      <c r="N350">
        <v>3</v>
      </c>
      <c r="O350">
        <v>3.15</v>
      </c>
      <c r="P350">
        <v>2.331013</v>
      </c>
      <c r="Q350" s="23">
        <v>45789</v>
      </c>
      <c r="R350">
        <v>4.5</v>
      </c>
      <c r="S350">
        <v>4.6500000000000004</v>
      </c>
      <c r="T350">
        <v>3.360633</v>
      </c>
      <c r="U350" s="23">
        <v>45789</v>
      </c>
      <c r="V350">
        <v>3.5</v>
      </c>
      <c r="W350">
        <v>3.65</v>
      </c>
      <c r="X350">
        <v>2.3645079999999998</v>
      </c>
      <c r="Y350" s="23">
        <v>45789</v>
      </c>
      <c r="Z350">
        <v>9.99</v>
      </c>
      <c r="AA350">
        <v>8.7314213763732855</v>
      </c>
      <c r="AB350">
        <v>10.14</v>
      </c>
    </row>
    <row r="351" spans="1:28">
      <c r="A351" s="23">
        <v>45790</v>
      </c>
      <c r="B351">
        <v>2.5</v>
      </c>
      <c r="C351">
        <v>2.65</v>
      </c>
      <c r="D351">
        <v>1.6811100000000001</v>
      </c>
      <c r="E351" s="23">
        <v>45790</v>
      </c>
      <c r="F351">
        <v>0.5</v>
      </c>
      <c r="G351">
        <v>0.6</v>
      </c>
      <c r="H351">
        <v>0.38384600000000002</v>
      </c>
      <c r="I351" s="23">
        <v>45790</v>
      </c>
      <c r="J351">
        <v>1</v>
      </c>
      <c r="K351">
        <v>1.1499999999999999</v>
      </c>
      <c r="L351">
        <v>0.84595299999999995</v>
      </c>
      <c r="M351" s="23">
        <v>45790</v>
      </c>
      <c r="N351">
        <v>3</v>
      </c>
      <c r="O351">
        <v>3.15</v>
      </c>
      <c r="P351">
        <v>2.3316479999999999</v>
      </c>
      <c r="Q351" s="23">
        <v>45790</v>
      </c>
      <c r="R351">
        <v>4.5</v>
      </c>
      <c r="S351">
        <v>4.6500000000000004</v>
      </c>
      <c r="T351">
        <v>3.333488</v>
      </c>
      <c r="U351" s="23">
        <v>45790</v>
      </c>
      <c r="V351">
        <v>3.5</v>
      </c>
      <c r="W351">
        <v>3.65</v>
      </c>
      <c r="X351">
        <v>2.4278469999999999</v>
      </c>
      <c r="Y351" s="23">
        <v>45790</v>
      </c>
      <c r="Z351">
        <v>9.99</v>
      </c>
      <c r="AA351">
        <v>8.7804578421962187</v>
      </c>
      <c r="AB351">
        <v>10.14</v>
      </c>
    </row>
    <row r="352" spans="1:28">
      <c r="A352" s="23">
        <v>45791</v>
      </c>
      <c r="B352">
        <v>2.5</v>
      </c>
      <c r="C352">
        <v>2.65</v>
      </c>
      <c r="D352">
        <v>1.682857</v>
      </c>
      <c r="E352" s="23">
        <v>45791</v>
      </c>
      <c r="F352">
        <v>0.5</v>
      </c>
      <c r="G352">
        <v>0.6</v>
      </c>
      <c r="H352">
        <v>0.38098799999999999</v>
      </c>
      <c r="I352" s="23">
        <v>45791</v>
      </c>
      <c r="J352">
        <v>1</v>
      </c>
      <c r="K352">
        <v>1.1499999999999999</v>
      </c>
      <c r="L352">
        <v>0.84595299999999995</v>
      </c>
      <c r="M352" s="23">
        <v>45791</v>
      </c>
      <c r="N352">
        <v>3</v>
      </c>
      <c r="O352">
        <v>3.15</v>
      </c>
      <c r="P352">
        <v>2.3294250000000001</v>
      </c>
      <c r="Q352" s="23">
        <v>45791</v>
      </c>
      <c r="R352">
        <v>4.5</v>
      </c>
      <c r="S352">
        <v>4.6500000000000004</v>
      </c>
      <c r="T352">
        <v>3.333647</v>
      </c>
      <c r="U352" s="23">
        <v>45791</v>
      </c>
      <c r="V352">
        <v>3.5</v>
      </c>
      <c r="W352">
        <v>3.65</v>
      </c>
      <c r="X352">
        <v>2.49579</v>
      </c>
      <c r="Y352" s="23">
        <v>45791</v>
      </c>
      <c r="Z352">
        <v>9.99</v>
      </c>
      <c r="AA352">
        <v>8.9492559781120651</v>
      </c>
      <c r="AB352">
        <v>10.14</v>
      </c>
    </row>
    <row r="353" spans="1:28">
      <c r="A353" s="23">
        <v>45792</v>
      </c>
      <c r="B353">
        <v>2.5</v>
      </c>
      <c r="C353">
        <v>2.65</v>
      </c>
      <c r="D353">
        <v>1.6461859999999999</v>
      </c>
      <c r="E353" s="23">
        <v>45792</v>
      </c>
      <c r="F353">
        <v>0.5</v>
      </c>
      <c r="G353">
        <v>0.6</v>
      </c>
      <c r="H353">
        <v>0.38241700000000001</v>
      </c>
      <c r="I353" s="23">
        <v>45792</v>
      </c>
      <c r="J353">
        <v>1</v>
      </c>
      <c r="K353">
        <v>1.1499999999999999</v>
      </c>
      <c r="L353">
        <v>0.85007999999999995</v>
      </c>
      <c r="M353" s="23">
        <v>45792</v>
      </c>
      <c r="N353">
        <v>3</v>
      </c>
      <c r="O353">
        <v>3.15</v>
      </c>
      <c r="P353">
        <v>2.3105349999999998</v>
      </c>
      <c r="Q353" s="23">
        <v>45792</v>
      </c>
      <c r="R353">
        <v>4.5</v>
      </c>
      <c r="S353">
        <v>4.6500000000000004</v>
      </c>
      <c r="T353">
        <v>3.2868170000000001</v>
      </c>
      <c r="U353" s="23">
        <v>45792</v>
      </c>
      <c r="V353">
        <v>3.5</v>
      </c>
      <c r="W353">
        <v>3.65</v>
      </c>
      <c r="X353">
        <v>2.4513419999999999</v>
      </c>
      <c r="Y353" s="23">
        <v>45792</v>
      </c>
      <c r="Z353">
        <v>9.99</v>
      </c>
      <c r="AA353">
        <v>8.8076535691367912</v>
      </c>
      <c r="AB353">
        <v>10.14</v>
      </c>
    </row>
    <row r="354" spans="1:28">
      <c r="A354" s="23">
        <v>45793</v>
      </c>
      <c r="B354">
        <v>2.5</v>
      </c>
      <c r="C354">
        <v>2.65</v>
      </c>
      <c r="D354">
        <v>1.634439</v>
      </c>
      <c r="E354" s="23">
        <v>45793</v>
      </c>
      <c r="F354">
        <v>0.5</v>
      </c>
      <c r="G354">
        <v>0.6</v>
      </c>
      <c r="H354">
        <v>0.38225799999999999</v>
      </c>
      <c r="I354" s="23">
        <v>45793</v>
      </c>
      <c r="J354">
        <v>1</v>
      </c>
      <c r="K354">
        <v>1.1499999999999999</v>
      </c>
      <c r="L354">
        <v>0.85373100000000002</v>
      </c>
      <c r="M354" s="23">
        <v>45793</v>
      </c>
      <c r="N354">
        <v>3</v>
      </c>
      <c r="O354">
        <v>3.15</v>
      </c>
      <c r="P354">
        <v>2.3010100000000002</v>
      </c>
      <c r="Q354" s="23">
        <v>45793</v>
      </c>
      <c r="R354">
        <v>4.5</v>
      </c>
      <c r="S354">
        <v>4.6500000000000004</v>
      </c>
      <c r="T354">
        <v>3.2531629999999998</v>
      </c>
      <c r="U354" s="23">
        <v>45793</v>
      </c>
      <c r="V354">
        <v>3.5</v>
      </c>
      <c r="W354">
        <v>3.65</v>
      </c>
      <c r="X354">
        <v>2.4357839999999999</v>
      </c>
      <c r="Y354" s="23">
        <v>45793</v>
      </c>
      <c r="Z354">
        <v>9.99</v>
      </c>
      <c r="AA354">
        <v>8.7545187385335339</v>
      </c>
      <c r="AB354">
        <v>10.14</v>
      </c>
    </row>
    <row r="355" spans="1:28">
      <c r="A355" s="23">
        <v>45796</v>
      </c>
      <c r="B355">
        <v>2.5</v>
      </c>
      <c r="C355">
        <v>2.65</v>
      </c>
      <c r="D355">
        <v>1.626978</v>
      </c>
      <c r="E355" s="23">
        <v>45796</v>
      </c>
      <c r="F355">
        <v>0.5</v>
      </c>
      <c r="G355">
        <v>0.6</v>
      </c>
      <c r="H355">
        <v>0.383052</v>
      </c>
      <c r="I355" s="23">
        <v>45796</v>
      </c>
      <c r="J355">
        <v>1</v>
      </c>
      <c r="K355">
        <v>1.1499999999999999</v>
      </c>
      <c r="L355">
        <v>0.85023899999999997</v>
      </c>
      <c r="M355" s="23">
        <v>45796</v>
      </c>
      <c r="N355">
        <v>3</v>
      </c>
      <c r="O355">
        <v>3.15</v>
      </c>
      <c r="P355">
        <v>2.2865639999999998</v>
      </c>
      <c r="Q355" s="23">
        <v>45796</v>
      </c>
      <c r="R355">
        <v>4.5</v>
      </c>
      <c r="S355">
        <v>4.6500000000000004</v>
      </c>
      <c r="T355">
        <v>3.2371300000000001</v>
      </c>
      <c r="U355" s="23">
        <v>45796</v>
      </c>
      <c r="V355">
        <v>3.5</v>
      </c>
      <c r="W355">
        <v>3.65</v>
      </c>
      <c r="X355">
        <v>2.4335619999999998</v>
      </c>
      <c r="Y355" s="23">
        <v>45796</v>
      </c>
      <c r="Z355">
        <v>9.99</v>
      </c>
      <c r="AA355">
        <v>8.7938785631353298</v>
      </c>
      <c r="AB355">
        <v>10.14</v>
      </c>
    </row>
    <row r="356" spans="1:28">
      <c r="A356" s="23">
        <v>45797</v>
      </c>
      <c r="B356">
        <v>2.5</v>
      </c>
      <c r="C356">
        <v>2.65</v>
      </c>
      <c r="D356">
        <v>1.631264</v>
      </c>
      <c r="E356" s="23">
        <v>45797</v>
      </c>
      <c r="F356">
        <v>0.5</v>
      </c>
      <c r="G356">
        <v>0.6</v>
      </c>
      <c r="H356">
        <v>0.38289299999999998</v>
      </c>
      <c r="I356" s="23">
        <v>45797</v>
      </c>
      <c r="J356">
        <v>1</v>
      </c>
      <c r="K356">
        <v>1.1499999999999999</v>
      </c>
      <c r="L356">
        <v>0.82912600000000003</v>
      </c>
      <c r="M356" s="23">
        <v>45797</v>
      </c>
      <c r="N356">
        <v>3</v>
      </c>
      <c r="O356">
        <v>3.15</v>
      </c>
      <c r="P356">
        <v>2.2273520000000002</v>
      </c>
      <c r="Q356" s="23">
        <v>45797</v>
      </c>
      <c r="R356">
        <v>4.5</v>
      </c>
      <c r="S356">
        <v>4.6500000000000004</v>
      </c>
      <c r="T356">
        <v>3.205381</v>
      </c>
      <c r="U356" s="23">
        <v>45797</v>
      </c>
      <c r="V356">
        <v>3.5</v>
      </c>
      <c r="W356">
        <v>3.65</v>
      </c>
      <c r="X356">
        <v>2.4065750000000001</v>
      </c>
      <c r="Y356" s="23">
        <v>45797</v>
      </c>
      <c r="Z356">
        <v>9.99</v>
      </c>
      <c r="AA356">
        <v>8.6872629781733455</v>
      </c>
      <c r="AB356">
        <v>10.14</v>
      </c>
    </row>
    <row r="357" spans="1:28">
      <c r="A357" s="23">
        <v>45798</v>
      </c>
      <c r="B357">
        <v>2.5</v>
      </c>
      <c r="C357">
        <v>2.65</v>
      </c>
      <c r="D357">
        <v>1.6265019999999999</v>
      </c>
      <c r="E357" s="23">
        <v>45798</v>
      </c>
      <c r="F357">
        <v>0.5</v>
      </c>
      <c r="G357">
        <v>0.6</v>
      </c>
      <c r="H357">
        <v>0.38273400000000002</v>
      </c>
      <c r="I357" s="23">
        <v>45798</v>
      </c>
      <c r="J357">
        <v>1</v>
      </c>
      <c r="K357">
        <v>1.1499999999999999</v>
      </c>
      <c r="L357">
        <v>0.82499800000000001</v>
      </c>
      <c r="M357" s="23">
        <v>45798</v>
      </c>
      <c r="N357">
        <v>3</v>
      </c>
      <c r="O357">
        <v>3.15</v>
      </c>
      <c r="P357">
        <v>2.2041750000000002</v>
      </c>
      <c r="Q357" s="23">
        <v>45798</v>
      </c>
      <c r="R357">
        <v>4.5</v>
      </c>
      <c r="S357">
        <v>4.6500000000000004</v>
      </c>
      <c r="T357">
        <v>3.1904590000000002</v>
      </c>
      <c r="U357" s="23">
        <v>45798</v>
      </c>
      <c r="V357">
        <v>3.5</v>
      </c>
      <c r="W357">
        <v>3.65</v>
      </c>
      <c r="X357">
        <v>2.376573</v>
      </c>
      <c r="Y357" s="23">
        <v>45798</v>
      </c>
      <c r="Z357">
        <v>9.99</v>
      </c>
      <c r="AA357">
        <v>8.359763238845078</v>
      </c>
      <c r="AB357">
        <v>10.14</v>
      </c>
    </row>
    <row r="358" spans="1:28">
      <c r="A358" s="23">
        <v>45799</v>
      </c>
      <c r="B358">
        <v>2.5</v>
      </c>
      <c r="C358">
        <v>2.65</v>
      </c>
      <c r="D358">
        <v>1.62809</v>
      </c>
      <c r="E358" s="23">
        <v>45799</v>
      </c>
      <c r="F358">
        <v>0.5</v>
      </c>
      <c r="G358">
        <v>0.6</v>
      </c>
      <c r="H358">
        <v>0.38321100000000002</v>
      </c>
      <c r="I358" s="23">
        <v>45799</v>
      </c>
      <c r="J358">
        <v>1</v>
      </c>
      <c r="K358">
        <v>1.1499999999999999</v>
      </c>
      <c r="L358">
        <v>0.83071300000000003</v>
      </c>
      <c r="M358" s="23">
        <v>45799</v>
      </c>
      <c r="N358">
        <v>3</v>
      </c>
      <c r="O358">
        <v>3.15</v>
      </c>
      <c r="P358">
        <v>2.2000479999999998</v>
      </c>
      <c r="Q358" s="23">
        <v>45799</v>
      </c>
      <c r="R358">
        <v>4.5</v>
      </c>
      <c r="S358">
        <v>4.6500000000000004</v>
      </c>
      <c r="T358">
        <v>3.18649</v>
      </c>
      <c r="U358" s="23">
        <v>45799</v>
      </c>
      <c r="V358">
        <v>3.5</v>
      </c>
      <c r="W358">
        <v>3.65</v>
      </c>
      <c r="X358">
        <v>2.403559</v>
      </c>
      <c r="Y358" s="23">
        <v>45799</v>
      </c>
      <c r="Z358">
        <v>9.99</v>
      </c>
      <c r="AA358">
        <v>8.2956761499423468</v>
      </c>
      <c r="AB358">
        <v>10.14</v>
      </c>
    </row>
    <row r="359" spans="1:28">
      <c r="A359" s="23">
        <v>45800</v>
      </c>
      <c r="B359">
        <v>2.5</v>
      </c>
      <c r="C359">
        <v>2.65</v>
      </c>
      <c r="D359">
        <v>1.6298360000000001</v>
      </c>
      <c r="E359" s="23">
        <v>45800</v>
      </c>
      <c r="F359">
        <v>0.5</v>
      </c>
      <c r="G359">
        <v>0.6</v>
      </c>
      <c r="H359">
        <v>0.38416299999999998</v>
      </c>
      <c r="I359" s="23">
        <v>45800</v>
      </c>
      <c r="J359">
        <v>1</v>
      </c>
      <c r="K359">
        <v>1.1499999999999999</v>
      </c>
      <c r="L359">
        <v>0.82039499999999999</v>
      </c>
      <c r="M359" s="23">
        <v>45800</v>
      </c>
      <c r="N359">
        <v>3</v>
      </c>
      <c r="O359">
        <v>3.15</v>
      </c>
      <c r="P359">
        <v>2.1821100000000002</v>
      </c>
      <c r="Q359" s="23">
        <v>45800</v>
      </c>
      <c r="R359">
        <v>4.5</v>
      </c>
      <c r="S359">
        <v>4.6500000000000004</v>
      </c>
      <c r="T359">
        <v>3.1704569999999999</v>
      </c>
      <c r="U359" s="23">
        <v>45800</v>
      </c>
      <c r="V359">
        <v>3.5</v>
      </c>
      <c r="W359">
        <v>3.65</v>
      </c>
      <c r="X359">
        <v>2.3606980000000002</v>
      </c>
      <c r="Y359" s="23">
        <v>45800</v>
      </c>
      <c r="Z359">
        <v>9.99</v>
      </c>
      <c r="AA359">
        <v>8.306969077571221</v>
      </c>
      <c r="AB359">
        <v>10.14</v>
      </c>
    </row>
    <row r="360" spans="1:28">
      <c r="A360" s="23">
        <v>45803</v>
      </c>
      <c r="B360">
        <v>2.5</v>
      </c>
      <c r="C360">
        <v>2.65</v>
      </c>
      <c r="D360">
        <v>1.607135</v>
      </c>
      <c r="E360" s="23">
        <v>45803</v>
      </c>
      <c r="F360">
        <v>0.5</v>
      </c>
      <c r="G360">
        <v>0.6</v>
      </c>
      <c r="H360">
        <v>0.38289299999999998</v>
      </c>
      <c r="I360" s="23">
        <v>45803</v>
      </c>
      <c r="J360">
        <v>1</v>
      </c>
      <c r="K360">
        <v>1.1499999999999999</v>
      </c>
      <c r="L360">
        <v>0.81610799999999994</v>
      </c>
      <c r="M360" s="23">
        <v>45803</v>
      </c>
      <c r="N360">
        <v>3</v>
      </c>
      <c r="O360">
        <v>3.15</v>
      </c>
      <c r="P360">
        <v>2.1630600000000002</v>
      </c>
      <c r="Q360" s="23">
        <v>45803</v>
      </c>
      <c r="R360">
        <v>4.5</v>
      </c>
      <c r="S360">
        <v>4.6500000000000004</v>
      </c>
      <c r="T360">
        <v>3.1431529999999999</v>
      </c>
      <c r="U360" s="23">
        <v>45803</v>
      </c>
      <c r="V360">
        <v>3.5</v>
      </c>
      <c r="W360">
        <v>3.65</v>
      </c>
      <c r="X360">
        <v>2.3464109999999998</v>
      </c>
      <c r="Y360" s="23">
        <v>45803</v>
      </c>
      <c r="Z360">
        <v>9.99</v>
      </c>
      <c r="AA360">
        <v>8.1601882160589323</v>
      </c>
      <c r="AB360">
        <v>10.14</v>
      </c>
    </row>
    <row r="361" spans="1:28">
      <c r="A361" s="23">
        <v>45804</v>
      </c>
      <c r="B361">
        <v>2.5</v>
      </c>
      <c r="C361">
        <v>2.65</v>
      </c>
      <c r="D361">
        <v>1.5520510000000001</v>
      </c>
      <c r="E361" s="23">
        <v>45804</v>
      </c>
      <c r="F361">
        <v>0.5</v>
      </c>
      <c r="G361">
        <v>0.6</v>
      </c>
      <c r="H361">
        <v>0.38051200000000002</v>
      </c>
      <c r="I361" s="23">
        <v>45804</v>
      </c>
      <c r="J361">
        <v>1</v>
      </c>
      <c r="K361">
        <v>1.1499999999999999</v>
      </c>
      <c r="L361">
        <v>0.75483299999999998</v>
      </c>
      <c r="M361" s="23">
        <v>45804</v>
      </c>
      <c r="N361">
        <v>3</v>
      </c>
      <c r="O361">
        <v>3.15</v>
      </c>
      <c r="P361">
        <v>2.1576629999999999</v>
      </c>
      <c r="Q361" s="23">
        <v>45804</v>
      </c>
      <c r="R361">
        <v>4.5</v>
      </c>
      <c r="S361">
        <v>4.6500000000000004</v>
      </c>
      <c r="T361">
        <v>3.1493440000000001</v>
      </c>
      <c r="U361" s="23">
        <v>45804</v>
      </c>
      <c r="V361">
        <v>3.5</v>
      </c>
      <c r="W361">
        <v>3.65</v>
      </c>
      <c r="X361">
        <v>2.3262499999999999</v>
      </c>
      <c r="Y361" s="23">
        <v>45804</v>
      </c>
      <c r="Z361">
        <v>9.99</v>
      </c>
      <c r="AA361">
        <v>8.354831119801025</v>
      </c>
      <c r="AB361">
        <v>10.14</v>
      </c>
    </row>
    <row r="362" spans="1:28">
      <c r="A362" s="23">
        <v>45805</v>
      </c>
      <c r="B362">
        <v>2.5</v>
      </c>
      <c r="C362">
        <v>2.65</v>
      </c>
      <c r="D362">
        <v>1.554273</v>
      </c>
      <c r="E362" s="23">
        <v>45805</v>
      </c>
      <c r="F362">
        <v>0.5</v>
      </c>
      <c r="G362">
        <v>0.6</v>
      </c>
      <c r="H362">
        <v>0.37876599999999999</v>
      </c>
      <c r="I362" s="23">
        <v>45805</v>
      </c>
      <c r="J362">
        <v>1</v>
      </c>
      <c r="K362">
        <v>1.1499999999999999</v>
      </c>
      <c r="L362">
        <v>0.763405</v>
      </c>
      <c r="M362" s="23">
        <v>45805</v>
      </c>
      <c r="N362">
        <v>3</v>
      </c>
      <c r="O362">
        <v>3.15</v>
      </c>
      <c r="P362">
        <v>2.1327400000000001</v>
      </c>
      <c r="Q362" s="23">
        <v>45805</v>
      </c>
      <c r="R362">
        <v>4.5</v>
      </c>
      <c r="S362">
        <v>4.6500000000000004</v>
      </c>
      <c r="T362">
        <v>3.1225160000000001</v>
      </c>
      <c r="U362" s="23">
        <v>45805</v>
      </c>
      <c r="V362">
        <v>3.5</v>
      </c>
      <c r="W362">
        <v>3.65</v>
      </c>
      <c r="X362">
        <v>2.3292670000000002</v>
      </c>
      <c r="Y362" s="23">
        <v>45805</v>
      </c>
      <c r="Z362">
        <v>9.99</v>
      </c>
      <c r="AA362">
        <v>8.4566635955396077</v>
      </c>
      <c r="AB362">
        <v>10.14</v>
      </c>
    </row>
    <row r="363" spans="1:28">
      <c r="A363" s="23">
        <v>45806</v>
      </c>
      <c r="B363">
        <v>2.5</v>
      </c>
      <c r="C363">
        <v>2.65</v>
      </c>
      <c r="D363">
        <v>1.591102</v>
      </c>
      <c r="E363" s="23">
        <v>45806</v>
      </c>
      <c r="F363">
        <v>0.5</v>
      </c>
      <c r="G363">
        <v>0.6</v>
      </c>
      <c r="H363">
        <v>0.380353</v>
      </c>
      <c r="I363" s="23">
        <v>45806</v>
      </c>
      <c r="J363">
        <v>1</v>
      </c>
      <c r="K363">
        <v>1.1499999999999999</v>
      </c>
      <c r="L363">
        <v>0.80404399999999998</v>
      </c>
      <c r="M363" s="23">
        <v>45806</v>
      </c>
      <c r="N363">
        <v>3</v>
      </c>
      <c r="O363">
        <v>3.15</v>
      </c>
      <c r="P363">
        <v>2.1548060000000002</v>
      </c>
      <c r="Q363" s="23">
        <v>45806</v>
      </c>
      <c r="R363">
        <v>4.5</v>
      </c>
      <c r="S363">
        <v>4.6500000000000004</v>
      </c>
      <c r="T363">
        <v>3.1406130000000001</v>
      </c>
      <c r="U363" s="23">
        <v>45806</v>
      </c>
      <c r="V363">
        <v>3.5</v>
      </c>
      <c r="W363">
        <v>3.65</v>
      </c>
      <c r="X363">
        <v>2.3602219999999998</v>
      </c>
      <c r="Y363" s="23">
        <v>45806</v>
      </c>
      <c r="Z363">
        <v>9.99</v>
      </c>
      <c r="AA363">
        <v>8.1748017958183592</v>
      </c>
      <c r="AB363">
        <v>10.14</v>
      </c>
    </row>
    <row r="364" spans="1:28">
      <c r="A364" s="23">
        <v>45807</v>
      </c>
      <c r="B364">
        <v>2.5</v>
      </c>
      <c r="C364">
        <v>2.65</v>
      </c>
      <c r="D364">
        <v>1.5904670000000001</v>
      </c>
      <c r="E364" s="23">
        <v>45807</v>
      </c>
      <c r="F364">
        <v>0.5</v>
      </c>
      <c r="G364">
        <v>0.6</v>
      </c>
      <c r="H364">
        <v>0.35066799999999998</v>
      </c>
      <c r="I364" s="23">
        <v>45807</v>
      </c>
      <c r="J364">
        <v>1</v>
      </c>
      <c r="K364">
        <v>1.1499999999999999</v>
      </c>
      <c r="L364">
        <v>0.79293199999999997</v>
      </c>
      <c r="M364" s="23">
        <v>45807</v>
      </c>
      <c r="N364">
        <v>3</v>
      </c>
      <c r="O364">
        <v>3.15</v>
      </c>
      <c r="P364">
        <v>2.156552</v>
      </c>
      <c r="Q364" s="23">
        <v>45807</v>
      </c>
      <c r="R364">
        <v>4.5</v>
      </c>
      <c r="S364">
        <v>4.6500000000000004</v>
      </c>
      <c r="T364">
        <v>3.1507719999999999</v>
      </c>
      <c r="U364" s="23">
        <v>45807</v>
      </c>
      <c r="V364">
        <v>3.5</v>
      </c>
      <c r="W364">
        <v>3.65</v>
      </c>
      <c r="X364">
        <v>2.3043439999999999</v>
      </c>
      <c r="Y364" s="23">
        <v>45807</v>
      </c>
      <c r="Z364">
        <v>9.99</v>
      </c>
      <c r="AA364">
        <v>8.0027069671422399</v>
      </c>
      <c r="AB364">
        <v>10.14</v>
      </c>
    </row>
    <row r="365" spans="1:28">
      <c r="A365" s="23">
        <v>45811</v>
      </c>
      <c r="B365">
        <v>2.5</v>
      </c>
      <c r="C365">
        <v>2.65</v>
      </c>
      <c r="D365">
        <v>1.515063</v>
      </c>
      <c r="E365" s="23">
        <v>45811</v>
      </c>
      <c r="F365">
        <v>0.5</v>
      </c>
      <c r="G365">
        <v>0.6</v>
      </c>
      <c r="H365">
        <v>0.34558800000000001</v>
      </c>
      <c r="I365" s="23">
        <v>45811</v>
      </c>
      <c r="J365">
        <v>1</v>
      </c>
      <c r="K365">
        <v>1.1499999999999999</v>
      </c>
      <c r="L365">
        <v>0.72673500000000002</v>
      </c>
      <c r="M365" s="23">
        <v>45811</v>
      </c>
      <c r="N365">
        <v>3</v>
      </c>
      <c r="O365">
        <v>3.15</v>
      </c>
      <c r="P365">
        <v>2.1000390000000002</v>
      </c>
      <c r="Q365" s="23">
        <v>45811</v>
      </c>
      <c r="R365">
        <v>4.5</v>
      </c>
      <c r="S365">
        <v>4.6500000000000004</v>
      </c>
      <c r="T365">
        <v>3.0552079999999999</v>
      </c>
      <c r="U365" s="23">
        <v>45811</v>
      </c>
      <c r="V365">
        <v>3.5</v>
      </c>
      <c r="W365">
        <v>3.65</v>
      </c>
      <c r="X365">
        <v>2.2602120000000001</v>
      </c>
      <c r="Y365" s="23">
        <v>45811</v>
      </c>
      <c r="Z365">
        <v>9.99</v>
      </c>
      <c r="AA365">
        <v>8.1842886986744432</v>
      </c>
      <c r="AB365">
        <v>10.14</v>
      </c>
    </row>
    <row r="366" spans="1:28">
      <c r="A366" s="23">
        <v>45812</v>
      </c>
      <c r="B366">
        <v>2.5</v>
      </c>
      <c r="C366">
        <v>2.65</v>
      </c>
      <c r="D366">
        <v>1.5076020000000001</v>
      </c>
      <c r="E366" s="23">
        <v>45812</v>
      </c>
      <c r="F366">
        <v>0.5</v>
      </c>
      <c r="G366">
        <v>0.6</v>
      </c>
      <c r="H366">
        <v>0.34177800000000003</v>
      </c>
      <c r="I366" s="23">
        <v>45812</v>
      </c>
      <c r="J366">
        <v>1</v>
      </c>
      <c r="K366">
        <v>1.1499999999999999</v>
      </c>
      <c r="L366">
        <v>0.72673500000000002</v>
      </c>
      <c r="M366" s="23">
        <v>45812</v>
      </c>
      <c r="N366">
        <v>3</v>
      </c>
      <c r="O366">
        <v>3.15</v>
      </c>
      <c r="P366">
        <v>2.101626</v>
      </c>
      <c r="Q366" s="23">
        <v>45812</v>
      </c>
      <c r="R366">
        <v>4.5</v>
      </c>
      <c r="S366">
        <v>4.6500000000000004</v>
      </c>
      <c r="T366">
        <v>3.0461589999999998</v>
      </c>
      <c r="U366" s="23">
        <v>45812</v>
      </c>
      <c r="V366">
        <v>3.5</v>
      </c>
      <c r="W366">
        <v>3.65</v>
      </c>
      <c r="X366">
        <v>2.2633869999999998</v>
      </c>
      <c r="Y366" s="23">
        <v>45812</v>
      </c>
      <c r="Z366">
        <v>9.99</v>
      </c>
      <c r="AA366">
        <v>8.1513579777540457</v>
      </c>
      <c r="AB366">
        <v>10.14</v>
      </c>
    </row>
    <row r="367" spans="1:28">
      <c r="A367" s="23">
        <v>45813</v>
      </c>
      <c r="B367">
        <v>2.5</v>
      </c>
      <c r="C367">
        <v>2.65</v>
      </c>
      <c r="D367">
        <v>1.4822029999999999</v>
      </c>
      <c r="E367" s="23">
        <v>45813</v>
      </c>
      <c r="F367">
        <v>0.5</v>
      </c>
      <c r="G367">
        <v>0.6</v>
      </c>
      <c r="H367">
        <v>0.33971400000000002</v>
      </c>
      <c r="I367" s="23">
        <v>45813</v>
      </c>
      <c r="J367">
        <v>1</v>
      </c>
      <c r="K367">
        <v>1.1499999999999999</v>
      </c>
      <c r="L367">
        <v>0.716893</v>
      </c>
      <c r="M367" s="23">
        <v>45813</v>
      </c>
      <c r="N367">
        <v>3</v>
      </c>
      <c r="O367">
        <v>3.15</v>
      </c>
      <c r="P367">
        <v>2.0774970000000001</v>
      </c>
      <c r="Q367" s="23">
        <v>45813</v>
      </c>
      <c r="R367">
        <v>4.5</v>
      </c>
      <c r="S367">
        <v>4.6500000000000004</v>
      </c>
      <c r="T367">
        <v>3.00806</v>
      </c>
      <c r="U367" s="23">
        <v>45813</v>
      </c>
      <c r="V367">
        <v>3.5</v>
      </c>
      <c r="W367">
        <v>3.65</v>
      </c>
      <c r="X367">
        <v>2.2178270000000002</v>
      </c>
      <c r="Y367" s="23">
        <v>45813</v>
      </c>
      <c r="Z367">
        <v>9.99</v>
      </c>
      <c r="AA367">
        <v>8.0687072051325028</v>
      </c>
      <c r="AB367">
        <v>10.14</v>
      </c>
    </row>
    <row r="368" spans="1:28">
      <c r="A368" s="23">
        <v>45814</v>
      </c>
      <c r="B368">
        <v>2.5</v>
      </c>
      <c r="C368">
        <v>2.65</v>
      </c>
      <c r="D368">
        <v>1.48125</v>
      </c>
      <c r="E368" s="23">
        <v>45814</v>
      </c>
      <c r="F368">
        <v>0.5</v>
      </c>
      <c r="G368">
        <v>0.6</v>
      </c>
      <c r="H368">
        <v>0.339397</v>
      </c>
      <c r="I368" s="23">
        <v>45814</v>
      </c>
      <c r="J368">
        <v>1</v>
      </c>
      <c r="K368">
        <v>1.1499999999999999</v>
      </c>
      <c r="L368">
        <v>0.71752800000000005</v>
      </c>
      <c r="M368" s="23">
        <v>45814</v>
      </c>
      <c r="N368">
        <v>3</v>
      </c>
      <c r="O368">
        <v>3.15</v>
      </c>
      <c r="P368">
        <v>2.0832120000000001</v>
      </c>
      <c r="Q368" s="23">
        <v>45814</v>
      </c>
      <c r="R368">
        <v>4.5</v>
      </c>
      <c r="S368">
        <v>4.6500000000000004</v>
      </c>
      <c r="T368">
        <v>3.0110769999999998</v>
      </c>
      <c r="U368" s="23">
        <v>45814</v>
      </c>
      <c r="V368">
        <v>3.5</v>
      </c>
      <c r="W368">
        <v>3.65</v>
      </c>
      <c r="X368">
        <v>2.2286220000000001</v>
      </c>
      <c r="Y368" s="23">
        <v>45814</v>
      </c>
      <c r="Z368">
        <v>9.99</v>
      </c>
      <c r="AA368">
        <v>8.1534395151529395</v>
      </c>
      <c r="AB368">
        <v>10.14</v>
      </c>
    </row>
    <row r="369" spans="1:28">
      <c r="A369" s="23">
        <v>45817</v>
      </c>
      <c r="B369">
        <v>2.5</v>
      </c>
      <c r="C369">
        <v>2.65</v>
      </c>
      <c r="D369">
        <v>1.474424</v>
      </c>
      <c r="E369" s="23">
        <v>45817</v>
      </c>
      <c r="F369">
        <v>0.5</v>
      </c>
      <c r="G369">
        <v>0.6</v>
      </c>
      <c r="H369">
        <v>0.33828599999999998</v>
      </c>
      <c r="I369" s="23">
        <v>45817</v>
      </c>
      <c r="J369">
        <v>1</v>
      </c>
      <c r="K369">
        <v>1.1499999999999999</v>
      </c>
      <c r="L369">
        <v>0.71800399999999998</v>
      </c>
      <c r="M369" s="23">
        <v>45817</v>
      </c>
      <c r="N369">
        <v>3</v>
      </c>
      <c r="O369">
        <v>3.15</v>
      </c>
      <c r="P369">
        <v>2.0874980000000001</v>
      </c>
      <c r="Q369" s="23">
        <v>45817</v>
      </c>
      <c r="R369">
        <v>4.5</v>
      </c>
      <c r="S369">
        <v>4.6500000000000004</v>
      </c>
      <c r="T369">
        <v>3.0099649999999998</v>
      </c>
      <c r="U369" s="23">
        <v>45817</v>
      </c>
      <c r="V369">
        <v>3.5</v>
      </c>
      <c r="W369">
        <v>3.65</v>
      </c>
      <c r="X369">
        <v>2.2224309999999998</v>
      </c>
      <c r="Y369" s="23">
        <v>45817</v>
      </c>
      <c r="Z369">
        <v>9.99</v>
      </c>
      <c r="AA369">
        <v>7.9436137757704692</v>
      </c>
      <c r="AB369">
        <v>10.14</v>
      </c>
    </row>
    <row r="370" spans="1:28">
      <c r="A370" s="23">
        <v>45818</v>
      </c>
      <c r="B370">
        <v>2.5</v>
      </c>
      <c r="C370">
        <v>2.65</v>
      </c>
      <c r="D370">
        <v>1.485695</v>
      </c>
      <c r="E370" s="23">
        <v>45818</v>
      </c>
      <c r="F370">
        <v>0.5</v>
      </c>
      <c r="G370">
        <v>0.6</v>
      </c>
      <c r="H370">
        <v>0.33812700000000001</v>
      </c>
      <c r="I370" s="23">
        <v>45818</v>
      </c>
      <c r="J370">
        <v>1</v>
      </c>
      <c r="K370">
        <v>1.1499999999999999</v>
      </c>
      <c r="L370">
        <v>0.72498899999999999</v>
      </c>
      <c r="M370" s="23">
        <v>45818</v>
      </c>
      <c r="N370">
        <v>3</v>
      </c>
      <c r="O370">
        <v>3.15</v>
      </c>
      <c r="P370">
        <v>2.1148020000000001</v>
      </c>
      <c r="Q370" s="23">
        <v>45818</v>
      </c>
      <c r="R370">
        <v>4.5</v>
      </c>
      <c r="S370">
        <v>4.6500000000000004</v>
      </c>
      <c r="T370">
        <v>3.0377459999999998</v>
      </c>
      <c r="U370" s="23">
        <v>45818</v>
      </c>
      <c r="V370">
        <v>3.5</v>
      </c>
      <c r="W370">
        <v>3.65</v>
      </c>
      <c r="X370">
        <v>2.2584659999999999</v>
      </c>
      <c r="Y370" s="23">
        <v>45818</v>
      </c>
      <c r="Z370">
        <v>9.99</v>
      </c>
      <c r="AA370">
        <v>7.9769769970323887</v>
      </c>
      <c r="AB370">
        <v>10.14</v>
      </c>
    </row>
    <row r="371" spans="1:28">
      <c r="A371" s="23">
        <v>45819</v>
      </c>
      <c r="B371">
        <v>2.5</v>
      </c>
      <c r="C371">
        <v>2.65</v>
      </c>
      <c r="D371">
        <v>1.4888699999999999</v>
      </c>
      <c r="E371" s="23">
        <v>45819</v>
      </c>
      <c r="F371">
        <v>0.5</v>
      </c>
      <c r="G371">
        <v>0.6</v>
      </c>
      <c r="H371">
        <v>0.33749200000000001</v>
      </c>
      <c r="I371" s="23">
        <v>45819</v>
      </c>
      <c r="J371">
        <v>1</v>
      </c>
      <c r="K371">
        <v>1.1499999999999999</v>
      </c>
      <c r="L371">
        <v>0.72292500000000004</v>
      </c>
      <c r="M371" s="23">
        <v>45819</v>
      </c>
      <c r="N371">
        <v>3</v>
      </c>
      <c r="O371">
        <v>3.15</v>
      </c>
      <c r="P371">
        <v>2.1176590000000002</v>
      </c>
      <c r="Q371" s="23">
        <v>45819</v>
      </c>
      <c r="R371">
        <v>4.5</v>
      </c>
      <c r="S371">
        <v>4.6500000000000004</v>
      </c>
      <c r="T371">
        <v>3.0361579999999999</v>
      </c>
      <c r="U371" s="23">
        <v>45819</v>
      </c>
      <c r="V371">
        <v>3.5</v>
      </c>
      <c r="W371">
        <v>3.65</v>
      </c>
      <c r="X371">
        <v>2.2773569999999999</v>
      </c>
      <c r="Y371" s="23">
        <v>45819</v>
      </c>
      <c r="Z371">
        <v>9.99</v>
      </c>
      <c r="AA371">
        <v>7.9613297901649798</v>
      </c>
      <c r="AB371">
        <v>10.14</v>
      </c>
    </row>
    <row r="372" spans="1:28">
      <c r="A372" s="23">
        <v>45820</v>
      </c>
      <c r="B372">
        <v>2.5</v>
      </c>
      <c r="C372">
        <v>2.65</v>
      </c>
      <c r="D372">
        <v>1.472996</v>
      </c>
      <c r="E372" s="23">
        <v>45820</v>
      </c>
      <c r="F372">
        <v>0.5</v>
      </c>
      <c r="G372">
        <v>0.6</v>
      </c>
      <c r="H372">
        <v>0.33654000000000001</v>
      </c>
      <c r="I372" s="23">
        <v>45820</v>
      </c>
      <c r="J372">
        <v>1</v>
      </c>
      <c r="K372">
        <v>1.1499999999999999</v>
      </c>
      <c r="L372">
        <v>0.71562300000000001</v>
      </c>
      <c r="M372" s="23">
        <v>45820</v>
      </c>
      <c r="N372">
        <v>3</v>
      </c>
      <c r="O372">
        <v>3.15</v>
      </c>
      <c r="P372">
        <v>2.1117859999999999</v>
      </c>
      <c r="Q372" s="23">
        <v>45820</v>
      </c>
      <c r="R372">
        <v>4.5</v>
      </c>
      <c r="S372">
        <v>4.6500000000000004</v>
      </c>
      <c r="T372">
        <v>3.0345710000000001</v>
      </c>
      <c r="U372" s="23">
        <v>45820</v>
      </c>
      <c r="V372">
        <v>3.5</v>
      </c>
      <c r="W372">
        <v>3.65</v>
      </c>
      <c r="X372">
        <v>2.2586249999999999</v>
      </c>
      <c r="Y372" s="23">
        <v>45820</v>
      </c>
      <c r="Z372">
        <v>9.99</v>
      </c>
      <c r="AA372">
        <v>7.9616143136355806</v>
      </c>
      <c r="AB372">
        <v>10.14</v>
      </c>
    </row>
    <row r="373" spans="1:28">
      <c r="A373" s="23">
        <v>45821</v>
      </c>
      <c r="B373">
        <v>2.5</v>
      </c>
      <c r="C373">
        <v>2.65</v>
      </c>
      <c r="D373">
        <v>1.5042679999999999</v>
      </c>
      <c r="E373" s="23">
        <v>45821</v>
      </c>
      <c r="F373">
        <v>0.5</v>
      </c>
      <c r="G373">
        <v>0.6</v>
      </c>
      <c r="H373">
        <v>0.340667</v>
      </c>
      <c r="I373" s="23">
        <v>45821</v>
      </c>
      <c r="J373">
        <v>1</v>
      </c>
      <c r="K373">
        <v>1.1499999999999999</v>
      </c>
      <c r="L373">
        <v>0.73181499999999999</v>
      </c>
      <c r="M373" s="23">
        <v>45821</v>
      </c>
      <c r="N373">
        <v>3</v>
      </c>
      <c r="O373">
        <v>3.15</v>
      </c>
      <c r="P373">
        <v>2.1494080000000002</v>
      </c>
      <c r="Q373" s="23">
        <v>45821</v>
      </c>
      <c r="R373">
        <v>4.5</v>
      </c>
      <c r="S373">
        <v>4.6500000000000004</v>
      </c>
      <c r="T373">
        <v>3.0915599999999999</v>
      </c>
      <c r="U373" s="23">
        <v>45821</v>
      </c>
      <c r="V373">
        <v>3.5</v>
      </c>
      <c r="W373">
        <v>3.65</v>
      </c>
      <c r="X373">
        <v>2.2554500000000002</v>
      </c>
      <c r="Y373" s="23">
        <v>45821</v>
      </c>
      <c r="Z373">
        <v>9.99</v>
      </c>
      <c r="AA373">
        <v>8.1155867372121229</v>
      </c>
      <c r="AB373">
        <v>10.14</v>
      </c>
    </row>
    <row r="374" spans="1:28">
      <c r="A374" s="23">
        <v>45824</v>
      </c>
      <c r="B374">
        <v>2.5</v>
      </c>
      <c r="C374">
        <v>2.65</v>
      </c>
      <c r="D374">
        <v>1.490934</v>
      </c>
      <c r="E374" s="23">
        <v>45824</v>
      </c>
      <c r="F374">
        <v>0.5</v>
      </c>
      <c r="G374">
        <v>0.6</v>
      </c>
      <c r="H374">
        <v>0.34209600000000001</v>
      </c>
      <c r="I374" s="23">
        <v>45824</v>
      </c>
      <c r="J374">
        <v>1</v>
      </c>
      <c r="K374">
        <v>1.1499999999999999</v>
      </c>
      <c r="L374">
        <v>0.72863999999999995</v>
      </c>
      <c r="M374" s="23">
        <v>45824</v>
      </c>
      <c r="N374">
        <v>3</v>
      </c>
      <c r="O374">
        <v>3.15</v>
      </c>
      <c r="P374">
        <v>2.14798</v>
      </c>
      <c r="Q374" s="23">
        <v>45824</v>
      </c>
      <c r="R374">
        <v>4.5</v>
      </c>
      <c r="S374">
        <v>4.6500000000000004</v>
      </c>
      <c r="T374">
        <v>3.0833059999999999</v>
      </c>
      <c r="U374" s="23">
        <v>45824</v>
      </c>
      <c r="V374">
        <v>3.5</v>
      </c>
      <c r="W374">
        <v>3.65</v>
      </c>
      <c r="X374">
        <v>2.2446549999999998</v>
      </c>
      <c r="Y374" s="23">
        <v>45824</v>
      </c>
      <c r="Z374">
        <v>9.99</v>
      </c>
      <c r="AA374">
        <v>7.9145599553664017</v>
      </c>
      <c r="AB374">
        <v>10.14</v>
      </c>
    </row>
    <row r="375" spans="1:28">
      <c r="A375" s="23">
        <v>45825</v>
      </c>
      <c r="B375">
        <v>2.5</v>
      </c>
      <c r="C375">
        <v>2.65</v>
      </c>
      <c r="D375">
        <v>1.4826790000000001</v>
      </c>
      <c r="E375" s="23">
        <v>45825</v>
      </c>
      <c r="F375">
        <v>0.5</v>
      </c>
      <c r="G375">
        <v>0.6</v>
      </c>
      <c r="H375">
        <v>0.344001</v>
      </c>
      <c r="I375" s="23">
        <v>45825</v>
      </c>
      <c r="J375">
        <v>1</v>
      </c>
      <c r="K375">
        <v>1.1499999999999999</v>
      </c>
      <c r="L375">
        <v>0.72641699999999998</v>
      </c>
      <c r="M375" s="23">
        <v>45825</v>
      </c>
      <c r="N375">
        <v>3</v>
      </c>
      <c r="O375">
        <v>3.15</v>
      </c>
      <c r="P375">
        <v>2.138455</v>
      </c>
      <c r="Q375" s="23">
        <v>45825</v>
      </c>
      <c r="R375">
        <v>4.5</v>
      </c>
      <c r="S375">
        <v>4.6500000000000004</v>
      </c>
      <c r="T375">
        <v>3.06759</v>
      </c>
      <c r="U375" s="23">
        <v>45825</v>
      </c>
      <c r="V375">
        <v>3.5</v>
      </c>
      <c r="W375">
        <v>3.65</v>
      </c>
      <c r="X375">
        <v>2.2284630000000001</v>
      </c>
      <c r="Y375" s="23">
        <v>45825</v>
      </c>
      <c r="Z375">
        <v>9.99</v>
      </c>
      <c r="AA375">
        <v>8.0153069579735714</v>
      </c>
      <c r="AB375">
        <v>10.14</v>
      </c>
    </row>
    <row r="376" spans="1:28">
      <c r="A376" s="23">
        <v>45826</v>
      </c>
      <c r="B376">
        <v>2.5</v>
      </c>
      <c r="C376">
        <v>2.65</v>
      </c>
      <c r="D376">
        <v>1.48506</v>
      </c>
      <c r="E376" s="23">
        <v>45826</v>
      </c>
      <c r="F376">
        <v>0.5</v>
      </c>
      <c r="G376">
        <v>0.6</v>
      </c>
      <c r="H376">
        <v>0.34558800000000001</v>
      </c>
      <c r="I376" s="23">
        <v>45826</v>
      </c>
      <c r="J376">
        <v>1</v>
      </c>
      <c r="K376">
        <v>1.1499999999999999</v>
      </c>
      <c r="L376">
        <v>0.72879899999999997</v>
      </c>
      <c r="M376" s="23">
        <v>45826</v>
      </c>
      <c r="N376">
        <v>3</v>
      </c>
      <c r="O376">
        <v>3.15</v>
      </c>
      <c r="P376">
        <v>2.1409950000000002</v>
      </c>
      <c r="Q376" s="23">
        <v>45826</v>
      </c>
      <c r="R376">
        <v>4.5</v>
      </c>
      <c r="S376">
        <v>4.6500000000000004</v>
      </c>
      <c r="T376">
        <v>3.0755270000000001</v>
      </c>
      <c r="U376" s="23">
        <v>45826</v>
      </c>
      <c r="V376">
        <v>3.5</v>
      </c>
      <c r="W376">
        <v>3.65</v>
      </c>
      <c r="X376">
        <v>2.2400519999999999</v>
      </c>
      <c r="Y376" s="23">
        <v>45826</v>
      </c>
      <c r="Z376">
        <v>9.99</v>
      </c>
      <c r="AA376">
        <v>8.1342653535021956</v>
      </c>
      <c r="AB376">
        <v>10.14</v>
      </c>
    </row>
    <row r="377" spans="1:28">
      <c r="A377" s="23">
        <v>45827</v>
      </c>
      <c r="B377">
        <v>2.5</v>
      </c>
      <c r="C377">
        <v>2.65</v>
      </c>
      <c r="D377">
        <v>1.5042679999999999</v>
      </c>
      <c r="E377" s="23">
        <v>45827</v>
      </c>
      <c r="F377">
        <v>0.5</v>
      </c>
      <c r="G377">
        <v>0.6</v>
      </c>
      <c r="H377">
        <v>0.34479399999999999</v>
      </c>
      <c r="I377" s="23">
        <v>45827</v>
      </c>
      <c r="J377">
        <v>1</v>
      </c>
      <c r="K377">
        <v>1.1499999999999999</v>
      </c>
      <c r="L377">
        <v>0.75689700000000004</v>
      </c>
      <c r="M377" s="23">
        <v>45827</v>
      </c>
      <c r="N377">
        <v>3</v>
      </c>
      <c r="O377">
        <v>3.15</v>
      </c>
      <c r="P377">
        <v>2.1457570000000001</v>
      </c>
      <c r="Q377" s="23">
        <v>45827</v>
      </c>
      <c r="R377">
        <v>4.5</v>
      </c>
      <c r="S377">
        <v>4.6500000000000004</v>
      </c>
      <c r="T377">
        <v>3.0645739999999999</v>
      </c>
      <c r="U377" s="23">
        <v>45827</v>
      </c>
      <c r="V377">
        <v>3.5</v>
      </c>
      <c r="W377">
        <v>3.65</v>
      </c>
      <c r="X377">
        <v>2.2483070000000001</v>
      </c>
      <c r="Y377" s="23">
        <v>45827</v>
      </c>
      <c r="Z377">
        <v>9.99</v>
      </c>
      <c r="AA377">
        <v>7.9244261192097749</v>
      </c>
      <c r="AB377">
        <v>10.14</v>
      </c>
    </row>
    <row r="378" spans="1:28">
      <c r="A378" s="23">
        <v>45828</v>
      </c>
      <c r="B378">
        <v>2.5</v>
      </c>
      <c r="C378">
        <v>2.65</v>
      </c>
      <c r="D378">
        <v>1.5003</v>
      </c>
      <c r="E378" s="23">
        <v>45828</v>
      </c>
      <c r="F378">
        <v>0.5</v>
      </c>
      <c r="G378">
        <v>0.6</v>
      </c>
      <c r="H378">
        <v>0.34273100000000001</v>
      </c>
      <c r="I378" s="23">
        <v>45828</v>
      </c>
      <c r="J378">
        <v>1</v>
      </c>
      <c r="K378">
        <v>1.1499999999999999</v>
      </c>
      <c r="L378">
        <v>0.75768999999999997</v>
      </c>
      <c r="M378" s="23">
        <v>45828</v>
      </c>
      <c r="N378">
        <v>3</v>
      </c>
      <c r="O378">
        <v>3.15</v>
      </c>
      <c r="P378">
        <v>2.134169</v>
      </c>
      <c r="Q378" s="23">
        <v>45828</v>
      </c>
      <c r="R378">
        <v>4.5</v>
      </c>
      <c r="S378">
        <v>4.6500000000000004</v>
      </c>
      <c r="T378">
        <v>3.0515569999999999</v>
      </c>
      <c r="U378" s="23">
        <v>45828</v>
      </c>
      <c r="V378">
        <v>3.5</v>
      </c>
      <c r="W378">
        <v>3.65</v>
      </c>
      <c r="X378">
        <v>2.23021</v>
      </c>
      <c r="Y378" s="23">
        <v>45828</v>
      </c>
      <c r="Z378">
        <v>9.99</v>
      </c>
      <c r="AA378">
        <v>7.9960313258430151</v>
      </c>
      <c r="AB378">
        <v>10.14</v>
      </c>
    </row>
    <row r="379" spans="1:28">
      <c r="A379" s="23">
        <v>45831</v>
      </c>
      <c r="B379">
        <v>2.5</v>
      </c>
      <c r="C379">
        <v>2.65</v>
      </c>
      <c r="D379">
        <v>1.501887</v>
      </c>
      <c r="E379" s="23">
        <v>45831</v>
      </c>
      <c r="F379">
        <v>0.5</v>
      </c>
      <c r="G379">
        <v>0.6</v>
      </c>
      <c r="H379">
        <v>0.34098400000000001</v>
      </c>
      <c r="I379" s="23">
        <v>45831</v>
      </c>
      <c r="J379">
        <v>1</v>
      </c>
      <c r="K379">
        <v>1.1499999999999999</v>
      </c>
      <c r="L379">
        <v>0.75594399999999995</v>
      </c>
      <c r="M379" s="23">
        <v>45831</v>
      </c>
      <c r="N379">
        <v>3</v>
      </c>
      <c r="O379">
        <v>3.15</v>
      </c>
      <c r="P379">
        <v>2.1275019999999998</v>
      </c>
      <c r="Q379" s="23">
        <v>45831</v>
      </c>
      <c r="R379">
        <v>4.5</v>
      </c>
      <c r="S379">
        <v>4.6500000000000004</v>
      </c>
      <c r="T379">
        <v>3.0406029999999999</v>
      </c>
      <c r="U379" s="23">
        <v>45831</v>
      </c>
      <c r="V379">
        <v>3.5</v>
      </c>
      <c r="W379">
        <v>3.65</v>
      </c>
      <c r="X379">
        <v>2.2357659999999999</v>
      </c>
      <c r="Y379" s="23">
        <v>45831</v>
      </c>
      <c r="Z379">
        <v>9.99</v>
      </c>
      <c r="AA379">
        <v>7.9671575882395347</v>
      </c>
      <c r="AB379">
        <v>10.14</v>
      </c>
    </row>
    <row r="380" spans="1:28">
      <c r="A380" s="23">
        <v>45832</v>
      </c>
      <c r="B380">
        <v>2.5</v>
      </c>
      <c r="C380">
        <v>2.65</v>
      </c>
      <c r="D380">
        <v>1.513952</v>
      </c>
      <c r="E380" s="23">
        <v>45832</v>
      </c>
      <c r="F380">
        <v>0.5</v>
      </c>
      <c r="G380">
        <v>0.6</v>
      </c>
      <c r="H380">
        <v>0.34050799999999998</v>
      </c>
      <c r="I380" s="23">
        <v>45832</v>
      </c>
      <c r="J380">
        <v>1</v>
      </c>
      <c r="K380">
        <v>1.1499999999999999</v>
      </c>
      <c r="L380">
        <v>0.76229400000000003</v>
      </c>
      <c r="M380" s="23">
        <v>45832</v>
      </c>
      <c r="N380">
        <v>3</v>
      </c>
      <c r="O380">
        <v>3.15</v>
      </c>
      <c r="P380">
        <v>2.1636950000000001</v>
      </c>
      <c r="Q380" s="23">
        <v>45832</v>
      </c>
      <c r="R380">
        <v>4.5</v>
      </c>
      <c r="S380">
        <v>4.6500000000000004</v>
      </c>
      <c r="T380">
        <v>3.0660020000000001</v>
      </c>
      <c r="U380" s="23">
        <v>45832</v>
      </c>
      <c r="V380">
        <v>3.5</v>
      </c>
      <c r="W380">
        <v>3.65</v>
      </c>
      <c r="X380">
        <v>2.2141760000000001</v>
      </c>
      <c r="Y380" s="23">
        <v>45832</v>
      </c>
      <c r="Z380">
        <v>9.99</v>
      </c>
      <c r="AA380">
        <v>8.0267599272448038</v>
      </c>
      <c r="AB380">
        <v>10.14</v>
      </c>
    </row>
    <row r="381" spans="1:28">
      <c r="A381" s="23">
        <v>45833</v>
      </c>
      <c r="B381">
        <v>2.5</v>
      </c>
      <c r="C381">
        <v>2.65</v>
      </c>
      <c r="D381">
        <v>1.501252</v>
      </c>
      <c r="E381" s="23">
        <v>45833</v>
      </c>
      <c r="F381">
        <v>0.5</v>
      </c>
      <c r="G381">
        <v>0.6</v>
      </c>
      <c r="H381">
        <v>0.33892099999999997</v>
      </c>
      <c r="I381" s="23">
        <v>45833</v>
      </c>
      <c r="J381">
        <v>1</v>
      </c>
      <c r="K381">
        <v>1.1499999999999999</v>
      </c>
      <c r="L381">
        <v>0.747054</v>
      </c>
      <c r="M381" s="23">
        <v>45833</v>
      </c>
      <c r="N381">
        <v>3</v>
      </c>
      <c r="O381">
        <v>3.15</v>
      </c>
      <c r="P381">
        <v>2.1355979999999999</v>
      </c>
      <c r="Q381" s="23">
        <v>45833</v>
      </c>
      <c r="R381">
        <v>4.5</v>
      </c>
      <c r="S381">
        <v>4.6500000000000004</v>
      </c>
      <c r="T381">
        <v>3.05362</v>
      </c>
      <c r="U381" s="23">
        <v>45833</v>
      </c>
      <c r="V381">
        <v>3.5</v>
      </c>
      <c r="W381">
        <v>3.65</v>
      </c>
      <c r="X381">
        <v>2.2303679999999999</v>
      </c>
      <c r="Y381" s="23">
        <v>45833</v>
      </c>
      <c r="Z381">
        <v>9.99</v>
      </c>
      <c r="AA381">
        <v>7.9521870512407231</v>
      </c>
      <c r="AB381">
        <v>10.14</v>
      </c>
    </row>
    <row r="382" spans="1:28">
      <c r="A382" s="23">
        <v>45834</v>
      </c>
      <c r="B382">
        <v>2.5</v>
      </c>
      <c r="C382">
        <v>2.65</v>
      </c>
      <c r="D382">
        <v>1.529191</v>
      </c>
      <c r="E382" s="23">
        <v>45834</v>
      </c>
      <c r="F382">
        <v>0.5</v>
      </c>
      <c r="G382">
        <v>0.6</v>
      </c>
      <c r="H382">
        <v>0.33749200000000001</v>
      </c>
      <c r="I382" s="23">
        <v>45834</v>
      </c>
      <c r="J382">
        <v>1</v>
      </c>
      <c r="K382">
        <v>1.1499999999999999</v>
      </c>
      <c r="L382">
        <v>0.75324500000000005</v>
      </c>
      <c r="M382" s="23">
        <v>45834</v>
      </c>
      <c r="N382">
        <v>3</v>
      </c>
      <c r="O382">
        <v>3.15</v>
      </c>
      <c r="P382">
        <v>2.055749</v>
      </c>
      <c r="Q382" s="23">
        <v>45834</v>
      </c>
      <c r="R382">
        <v>4.5</v>
      </c>
      <c r="S382">
        <v>4.6500000000000004</v>
      </c>
      <c r="T382">
        <v>3.0298090000000002</v>
      </c>
      <c r="U382" s="23">
        <v>45834</v>
      </c>
      <c r="V382">
        <v>3.5</v>
      </c>
      <c r="W382">
        <v>3.65</v>
      </c>
      <c r="X382">
        <v>2.2294160000000001</v>
      </c>
      <c r="Y382" s="23">
        <v>45834</v>
      </c>
      <c r="Z382">
        <v>9.99</v>
      </c>
      <c r="AA382">
        <v>7.9651719317409082</v>
      </c>
      <c r="AB382">
        <v>10.14</v>
      </c>
    </row>
    <row r="383" spans="1:28">
      <c r="A383" s="23">
        <v>45835</v>
      </c>
      <c r="B383">
        <v>2.5</v>
      </c>
      <c r="C383">
        <v>2.65</v>
      </c>
      <c r="D383">
        <v>1.520302</v>
      </c>
      <c r="E383" s="23">
        <v>45835</v>
      </c>
      <c r="F383">
        <v>0.5</v>
      </c>
      <c r="G383">
        <v>0.6</v>
      </c>
      <c r="H383">
        <v>0.33781</v>
      </c>
      <c r="I383" s="23">
        <v>45835</v>
      </c>
      <c r="J383">
        <v>1</v>
      </c>
      <c r="K383">
        <v>1.1499999999999999</v>
      </c>
      <c r="L383">
        <v>0.75054699999999996</v>
      </c>
      <c r="M383" s="23">
        <v>45835</v>
      </c>
      <c r="N383">
        <v>3</v>
      </c>
      <c r="O383">
        <v>3.15</v>
      </c>
      <c r="P383">
        <v>2.0620989999999999</v>
      </c>
      <c r="Q383" s="23">
        <v>45835</v>
      </c>
      <c r="R383">
        <v>4.5</v>
      </c>
      <c r="S383">
        <v>4.6500000000000004</v>
      </c>
      <c r="T383">
        <v>3.030761</v>
      </c>
      <c r="U383" s="23">
        <v>45835</v>
      </c>
      <c r="V383">
        <v>3.5</v>
      </c>
      <c r="W383">
        <v>3.65</v>
      </c>
      <c r="X383">
        <v>2.2483070000000001</v>
      </c>
      <c r="Y383" s="23">
        <v>45835</v>
      </c>
      <c r="Z383">
        <v>9.99</v>
      </c>
      <c r="AA383">
        <v>7.9669725653856789</v>
      </c>
      <c r="AB383">
        <v>10.14</v>
      </c>
    </row>
    <row r="384" spans="1:28">
      <c r="A384" s="23">
        <v>45838</v>
      </c>
      <c r="B384">
        <v>2.5</v>
      </c>
      <c r="C384">
        <v>2.65</v>
      </c>
      <c r="D384">
        <v>1.5053799999999999</v>
      </c>
      <c r="E384" s="23">
        <v>45838</v>
      </c>
      <c r="F384">
        <v>0.5</v>
      </c>
      <c r="G384">
        <v>0.6</v>
      </c>
      <c r="H384">
        <v>0.320824</v>
      </c>
      <c r="I384" s="23">
        <v>45838</v>
      </c>
      <c r="J384">
        <v>1</v>
      </c>
      <c r="K384">
        <v>1.1499999999999999</v>
      </c>
      <c r="L384">
        <v>0.73165599999999997</v>
      </c>
      <c r="M384" s="23">
        <v>45838</v>
      </c>
      <c r="N384">
        <v>3</v>
      </c>
      <c r="O384">
        <v>3.15</v>
      </c>
      <c r="P384">
        <v>2.0505100000000001</v>
      </c>
      <c r="Q384" s="23">
        <v>45838</v>
      </c>
      <c r="R384">
        <v>4.5</v>
      </c>
      <c r="S384">
        <v>4.6500000000000004</v>
      </c>
      <c r="T384">
        <v>2.9869469999999998</v>
      </c>
      <c r="U384" s="23">
        <v>45838</v>
      </c>
      <c r="V384">
        <v>3.5</v>
      </c>
      <c r="W384">
        <v>3.65</v>
      </c>
      <c r="X384">
        <v>2.2181449999999998</v>
      </c>
      <c r="Y384" s="23">
        <v>45838</v>
      </c>
      <c r="Z384">
        <v>9.99</v>
      </c>
      <c r="AA384">
        <v>8.0391439036008485</v>
      </c>
      <c r="AB384">
        <v>10.14</v>
      </c>
    </row>
    <row r="385" spans="1:28">
      <c r="A385" s="23">
        <v>45839</v>
      </c>
      <c r="B385">
        <v>2.5</v>
      </c>
      <c r="C385">
        <v>2.65</v>
      </c>
      <c r="D385">
        <v>1.499506</v>
      </c>
      <c r="E385" s="23">
        <v>45839</v>
      </c>
      <c r="F385">
        <v>0.5</v>
      </c>
      <c r="G385">
        <v>0.6</v>
      </c>
      <c r="H385">
        <v>0.31780799999999998</v>
      </c>
      <c r="I385" s="23">
        <v>45839</v>
      </c>
      <c r="J385">
        <v>1</v>
      </c>
      <c r="K385">
        <v>1.1499999999999999</v>
      </c>
      <c r="L385">
        <v>0.726576</v>
      </c>
      <c r="M385" s="23">
        <v>45839</v>
      </c>
      <c r="N385">
        <v>3</v>
      </c>
      <c r="O385">
        <v>3.15</v>
      </c>
      <c r="P385">
        <v>2.0506690000000001</v>
      </c>
      <c r="Q385" s="23">
        <v>45839</v>
      </c>
      <c r="R385">
        <v>4.5</v>
      </c>
      <c r="S385">
        <v>4.6500000000000004</v>
      </c>
      <c r="T385">
        <v>2.9799630000000001</v>
      </c>
      <c r="U385" s="23">
        <v>45839</v>
      </c>
      <c r="V385">
        <v>3.5</v>
      </c>
      <c r="W385">
        <v>3.65</v>
      </c>
      <c r="X385">
        <v>2.2159230000000001</v>
      </c>
      <c r="Y385" s="23">
        <v>45839</v>
      </c>
      <c r="Z385">
        <v>9.99</v>
      </c>
      <c r="AA385">
        <v>7.9312203161382842</v>
      </c>
      <c r="AB385">
        <v>10.14</v>
      </c>
    </row>
    <row r="386" spans="1:28">
      <c r="A386" s="23">
        <v>45840</v>
      </c>
      <c r="B386">
        <v>2.5</v>
      </c>
      <c r="C386">
        <v>2.65</v>
      </c>
      <c r="D386">
        <v>1.4922040000000001</v>
      </c>
      <c r="E386" s="23">
        <v>45840</v>
      </c>
      <c r="F386">
        <v>0.5</v>
      </c>
      <c r="G386">
        <v>0.6</v>
      </c>
      <c r="H386">
        <v>0.31717299999999998</v>
      </c>
      <c r="I386" s="23">
        <v>45840</v>
      </c>
      <c r="J386">
        <v>1</v>
      </c>
      <c r="K386">
        <v>1.1499999999999999</v>
      </c>
      <c r="L386">
        <v>0.72308399999999995</v>
      </c>
      <c r="M386" s="23">
        <v>45840</v>
      </c>
      <c r="N386">
        <v>3</v>
      </c>
      <c r="O386">
        <v>3.15</v>
      </c>
      <c r="P386">
        <v>2.05559</v>
      </c>
      <c r="Q386" s="23">
        <v>45840</v>
      </c>
      <c r="R386">
        <v>4.5</v>
      </c>
      <c r="S386">
        <v>4.6500000000000004</v>
      </c>
      <c r="T386">
        <v>2.9885350000000002</v>
      </c>
      <c r="U386" s="23">
        <v>45840</v>
      </c>
      <c r="V386">
        <v>3.5</v>
      </c>
      <c r="W386">
        <v>3.65</v>
      </c>
      <c r="X386">
        <v>2.220685</v>
      </c>
      <c r="Y386" s="23">
        <v>45840</v>
      </c>
      <c r="Z386">
        <v>9.99</v>
      </c>
      <c r="AA386">
        <v>7.8027972502025218</v>
      </c>
      <c r="AB386">
        <v>10.14</v>
      </c>
    </row>
    <row r="387" spans="1:28">
      <c r="A387" s="23">
        <v>45841</v>
      </c>
      <c r="B387">
        <v>2.5</v>
      </c>
      <c r="C387">
        <v>2.65</v>
      </c>
      <c r="D387">
        <v>1.4853780000000001</v>
      </c>
      <c r="E387" s="23">
        <v>45841</v>
      </c>
      <c r="F387">
        <v>0.5</v>
      </c>
      <c r="G387">
        <v>0.6</v>
      </c>
      <c r="H387">
        <v>0.31796600000000003</v>
      </c>
      <c r="I387" s="23">
        <v>45841</v>
      </c>
      <c r="J387">
        <v>1</v>
      </c>
      <c r="K387">
        <v>1.1499999999999999</v>
      </c>
      <c r="L387">
        <v>0.72340099999999996</v>
      </c>
      <c r="M387" s="23">
        <v>45841</v>
      </c>
      <c r="N387">
        <v>3</v>
      </c>
      <c r="O387">
        <v>3.15</v>
      </c>
      <c r="P387">
        <v>2.0486049999999998</v>
      </c>
      <c r="Q387" s="23">
        <v>45841</v>
      </c>
      <c r="R387">
        <v>4.5</v>
      </c>
      <c r="S387">
        <v>4.6500000000000004</v>
      </c>
      <c r="T387">
        <v>2.9785339999999998</v>
      </c>
      <c r="U387" s="23">
        <v>45841</v>
      </c>
      <c r="V387">
        <v>3.5</v>
      </c>
      <c r="W387">
        <v>3.65</v>
      </c>
      <c r="X387">
        <v>2.2200500000000001</v>
      </c>
      <c r="Y387" s="23">
        <v>45841</v>
      </c>
      <c r="Z387">
        <v>9.99</v>
      </c>
      <c r="AA387">
        <v>7.907239641046572</v>
      </c>
      <c r="AB387">
        <v>10.14</v>
      </c>
    </row>
    <row r="388" spans="1:28">
      <c r="A388" s="23">
        <v>45842</v>
      </c>
      <c r="B388">
        <v>2.5</v>
      </c>
      <c r="C388">
        <v>2.65</v>
      </c>
      <c r="D388">
        <v>1.475536</v>
      </c>
      <c r="E388" s="23">
        <v>45842</v>
      </c>
      <c r="F388">
        <v>0.5</v>
      </c>
      <c r="G388">
        <v>0.6</v>
      </c>
      <c r="H388">
        <v>0.31637900000000002</v>
      </c>
      <c r="I388" s="23">
        <v>45842</v>
      </c>
      <c r="J388">
        <v>1</v>
      </c>
      <c r="K388">
        <v>1.1499999999999999</v>
      </c>
      <c r="L388">
        <v>0.72038500000000005</v>
      </c>
      <c r="M388" s="23">
        <v>45842</v>
      </c>
      <c r="N388">
        <v>3</v>
      </c>
      <c r="O388">
        <v>3.15</v>
      </c>
      <c r="P388">
        <v>2.0393979999999998</v>
      </c>
      <c r="Q388" s="23">
        <v>45842</v>
      </c>
      <c r="R388">
        <v>4.5</v>
      </c>
      <c r="S388">
        <v>4.6500000000000004</v>
      </c>
      <c r="T388">
        <v>2.9625010000000001</v>
      </c>
      <c r="U388" s="23">
        <v>45842</v>
      </c>
      <c r="V388">
        <v>3.5</v>
      </c>
      <c r="W388">
        <v>3.65</v>
      </c>
      <c r="X388">
        <v>2.1852849999999999</v>
      </c>
      <c r="Y388" s="23">
        <v>45842</v>
      </c>
      <c r="Z388">
        <v>9.99</v>
      </c>
      <c r="AA388">
        <v>7.7930059811085952</v>
      </c>
      <c r="AB388">
        <v>10.14</v>
      </c>
    </row>
    <row r="389" spans="1:28">
      <c r="A389" s="23">
        <v>45845</v>
      </c>
      <c r="B389">
        <v>2.5</v>
      </c>
      <c r="C389">
        <v>2.65</v>
      </c>
      <c r="D389">
        <v>1.4706140000000001</v>
      </c>
      <c r="E389" s="23">
        <v>45845</v>
      </c>
      <c r="F389">
        <v>0.5</v>
      </c>
      <c r="G389">
        <v>0.6</v>
      </c>
      <c r="H389">
        <v>0.315585</v>
      </c>
      <c r="I389" s="23">
        <v>45845</v>
      </c>
      <c r="J389">
        <v>1</v>
      </c>
      <c r="K389">
        <v>1.1499999999999999</v>
      </c>
      <c r="L389">
        <v>0.71990900000000002</v>
      </c>
      <c r="M389" s="23">
        <v>45845</v>
      </c>
      <c r="N389">
        <v>3</v>
      </c>
      <c r="O389">
        <v>3.15</v>
      </c>
      <c r="P389">
        <v>2.0398740000000002</v>
      </c>
      <c r="Q389" s="23">
        <v>45845</v>
      </c>
      <c r="R389">
        <v>4.5</v>
      </c>
      <c r="S389">
        <v>4.6500000000000004</v>
      </c>
      <c r="T389">
        <v>2.9547219999999998</v>
      </c>
      <c r="U389" s="23">
        <v>45845</v>
      </c>
      <c r="V389">
        <v>3.5</v>
      </c>
      <c r="W389">
        <v>3.65</v>
      </c>
      <c r="X389">
        <v>2.197667</v>
      </c>
      <c r="Y389" s="23">
        <v>45845</v>
      </c>
      <c r="Z389">
        <v>9.99</v>
      </c>
      <c r="AA389">
        <v>7.6552644262343099</v>
      </c>
      <c r="AB389">
        <v>10.14</v>
      </c>
    </row>
    <row r="390" spans="1:28">
      <c r="A390" s="23">
        <v>45846</v>
      </c>
      <c r="B390">
        <v>2.5</v>
      </c>
      <c r="C390">
        <v>2.65</v>
      </c>
      <c r="D390">
        <v>1.4620420000000001</v>
      </c>
      <c r="E390" s="23">
        <v>45846</v>
      </c>
      <c r="F390">
        <v>0.5</v>
      </c>
      <c r="G390">
        <v>0.6</v>
      </c>
      <c r="H390">
        <v>0.31431500000000001</v>
      </c>
      <c r="I390" s="23">
        <v>45846</v>
      </c>
      <c r="J390">
        <v>1</v>
      </c>
      <c r="K390">
        <v>1.1499999999999999</v>
      </c>
      <c r="L390">
        <v>0.71467000000000003</v>
      </c>
      <c r="M390" s="23">
        <v>45846</v>
      </c>
      <c r="N390">
        <v>3</v>
      </c>
      <c r="O390">
        <v>3.15</v>
      </c>
      <c r="P390">
        <v>2.0459070000000001</v>
      </c>
      <c r="Q390" s="23">
        <v>45846</v>
      </c>
      <c r="R390">
        <v>4.5</v>
      </c>
      <c r="S390">
        <v>4.6500000000000004</v>
      </c>
      <c r="T390">
        <v>2.9691679999999998</v>
      </c>
      <c r="U390" s="23">
        <v>45846</v>
      </c>
      <c r="V390">
        <v>3.5</v>
      </c>
      <c r="W390">
        <v>3.65</v>
      </c>
      <c r="X390">
        <v>2.2181449999999998</v>
      </c>
      <c r="Y390" s="23">
        <v>45846</v>
      </c>
      <c r="Z390">
        <v>9.99</v>
      </c>
      <c r="AA390">
        <v>7.650026392372852</v>
      </c>
      <c r="AB390">
        <v>10.14</v>
      </c>
    </row>
    <row r="391" spans="1:28">
      <c r="A391" s="23">
        <v>45847</v>
      </c>
      <c r="B391">
        <v>2.5</v>
      </c>
      <c r="C391">
        <v>2.65</v>
      </c>
      <c r="D391">
        <v>1.46109</v>
      </c>
      <c r="E391" s="23">
        <v>45847</v>
      </c>
      <c r="F391">
        <v>0.5</v>
      </c>
      <c r="G391">
        <v>0.6</v>
      </c>
      <c r="H391">
        <v>0.31304500000000002</v>
      </c>
      <c r="I391" s="23">
        <v>45847</v>
      </c>
      <c r="J391">
        <v>1</v>
      </c>
      <c r="K391">
        <v>1.1499999999999999</v>
      </c>
      <c r="L391">
        <v>0.710225</v>
      </c>
      <c r="M391" s="23">
        <v>45847</v>
      </c>
      <c r="N391">
        <v>3</v>
      </c>
      <c r="O391">
        <v>3.15</v>
      </c>
      <c r="P391">
        <v>2.0473349999999999</v>
      </c>
      <c r="Q391" s="23">
        <v>45847</v>
      </c>
      <c r="R391">
        <v>4.5</v>
      </c>
      <c r="S391">
        <v>4.6500000000000004</v>
      </c>
      <c r="T391">
        <v>2.962342</v>
      </c>
      <c r="U391" s="23">
        <v>45847</v>
      </c>
      <c r="V391">
        <v>3.5</v>
      </c>
      <c r="W391">
        <v>3.65</v>
      </c>
      <c r="X391">
        <v>2.240211</v>
      </c>
      <c r="Y391" s="23">
        <v>45847</v>
      </c>
      <c r="Z391">
        <v>9.99</v>
      </c>
      <c r="AA391">
        <v>7.7524010934831917</v>
      </c>
      <c r="AB391">
        <v>10.14</v>
      </c>
    </row>
    <row r="392" spans="1:28">
      <c r="A392" s="23">
        <v>45848</v>
      </c>
      <c r="B392">
        <v>2.5</v>
      </c>
      <c r="C392">
        <v>2.65</v>
      </c>
      <c r="D392">
        <v>1.453311</v>
      </c>
      <c r="E392" s="23">
        <v>45848</v>
      </c>
      <c r="F392">
        <v>0.5</v>
      </c>
      <c r="G392">
        <v>0.6</v>
      </c>
      <c r="H392">
        <v>0.31129899999999999</v>
      </c>
      <c r="I392" s="23">
        <v>45848</v>
      </c>
      <c r="J392">
        <v>1</v>
      </c>
      <c r="K392">
        <v>1.1499999999999999</v>
      </c>
      <c r="L392">
        <v>0.70689199999999996</v>
      </c>
      <c r="M392" s="23">
        <v>45848</v>
      </c>
      <c r="N392">
        <v>3</v>
      </c>
      <c r="O392">
        <v>3.15</v>
      </c>
      <c r="P392">
        <v>2.0441600000000002</v>
      </c>
      <c r="Q392" s="23">
        <v>45848</v>
      </c>
      <c r="R392">
        <v>4.5</v>
      </c>
      <c r="S392">
        <v>4.6500000000000004</v>
      </c>
      <c r="T392">
        <v>2.9548809999999999</v>
      </c>
      <c r="U392" s="23">
        <v>45848</v>
      </c>
      <c r="V392">
        <v>3.5</v>
      </c>
      <c r="W392">
        <v>3.65</v>
      </c>
      <c r="X392">
        <v>2.2400519999999999</v>
      </c>
      <c r="Y392" s="23">
        <v>45848</v>
      </c>
      <c r="Z392">
        <v>9.99</v>
      </c>
      <c r="AA392">
        <v>7.6994355028319914</v>
      </c>
      <c r="AB392">
        <v>10.14</v>
      </c>
    </row>
    <row r="393" spans="1:28">
      <c r="A393" s="23">
        <v>45849</v>
      </c>
      <c r="B393">
        <v>2.5</v>
      </c>
      <c r="C393">
        <v>2.65</v>
      </c>
      <c r="D393">
        <v>1.486013</v>
      </c>
      <c r="E393" s="23">
        <v>45849</v>
      </c>
      <c r="F393">
        <v>0.5</v>
      </c>
      <c r="G393">
        <v>0.6</v>
      </c>
      <c r="H393">
        <v>0.30986999999999998</v>
      </c>
      <c r="I393" s="23">
        <v>45849</v>
      </c>
      <c r="J393">
        <v>1</v>
      </c>
      <c r="K393">
        <v>1.1499999999999999</v>
      </c>
      <c r="L393">
        <v>0.72006800000000004</v>
      </c>
      <c r="M393" s="23">
        <v>45849</v>
      </c>
      <c r="N393">
        <v>3</v>
      </c>
      <c r="O393">
        <v>3.15</v>
      </c>
      <c r="P393">
        <v>2.0459070000000001</v>
      </c>
      <c r="Q393" s="23">
        <v>45849</v>
      </c>
      <c r="R393">
        <v>4.5</v>
      </c>
      <c r="S393">
        <v>4.6500000000000004</v>
      </c>
      <c r="T393">
        <v>2.9429750000000001</v>
      </c>
      <c r="U393" s="23">
        <v>45849</v>
      </c>
      <c r="V393">
        <v>3.5</v>
      </c>
      <c r="W393">
        <v>3.65</v>
      </c>
      <c r="X393">
        <v>2.2706900000000001</v>
      </c>
      <c r="Y393" s="23">
        <v>45849</v>
      </c>
      <c r="Z393">
        <v>9.99</v>
      </c>
      <c r="AA393">
        <v>7.5205207970425825</v>
      </c>
      <c r="AB393">
        <v>10.14</v>
      </c>
    </row>
    <row r="394" spans="1:28">
      <c r="A394" s="23">
        <v>45852</v>
      </c>
      <c r="B394">
        <v>2.5</v>
      </c>
      <c r="C394">
        <v>2.65</v>
      </c>
      <c r="D394">
        <v>1.493474</v>
      </c>
      <c r="E394" s="23">
        <v>45852</v>
      </c>
      <c r="F394">
        <v>0.5</v>
      </c>
      <c r="G394">
        <v>0.6</v>
      </c>
      <c r="H394">
        <v>0.30828299999999997</v>
      </c>
      <c r="I394" s="23">
        <v>45852</v>
      </c>
      <c r="J394">
        <v>1</v>
      </c>
      <c r="K394">
        <v>1.1499999999999999</v>
      </c>
      <c r="L394">
        <v>0.723719</v>
      </c>
      <c r="M394" s="23">
        <v>45852</v>
      </c>
      <c r="N394">
        <v>3</v>
      </c>
      <c r="O394">
        <v>3.15</v>
      </c>
      <c r="P394">
        <v>2.0732110000000001</v>
      </c>
      <c r="Q394" s="23">
        <v>45852</v>
      </c>
      <c r="R394">
        <v>4.5</v>
      </c>
      <c r="S394">
        <v>4.6500000000000004</v>
      </c>
      <c r="T394">
        <v>2.9763109999999999</v>
      </c>
      <c r="U394" s="23">
        <v>45852</v>
      </c>
      <c r="V394">
        <v>3.5</v>
      </c>
      <c r="W394">
        <v>3.65</v>
      </c>
      <c r="X394">
        <v>2.2722769999999999</v>
      </c>
      <c r="Y394" s="23">
        <v>45852</v>
      </c>
      <c r="Z394">
        <v>9.99</v>
      </c>
      <c r="AA394">
        <v>7.5300301202480657</v>
      </c>
      <c r="AB394">
        <v>10.14</v>
      </c>
    </row>
    <row r="395" spans="1:28">
      <c r="A395" s="23">
        <v>45853</v>
      </c>
      <c r="B395">
        <v>2.5</v>
      </c>
      <c r="C395">
        <v>2.65</v>
      </c>
      <c r="D395">
        <v>1.503633</v>
      </c>
      <c r="E395" s="23">
        <v>45853</v>
      </c>
      <c r="F395">
        <v>0.5</v>
      </c>
      <c r="G395">
        <v>0.6</v>
      </c>
      <c r="H395">
        <v>0.30764799999999998</v>
      </c>
      <c r="I395" s="23">
        <v>45853</v>
      </c>
      <c r="J395">
        <v>1</v>
      </c>
      <c r="K395">
        <v>1.1499999999999999</v>
      </c>
      <c r="L395">
        <v>0.72625899999999999</v>
      </c>
      <c r="M395" s="23">
        <v>45853</v>
      </c>
      <c r="N395">
        <v>3</v>
      </c>
      <c r="O395">
        <v>3.15</v>
      </c>
      <c r="P395">
        <v>2.0813069999999998</v>
      </c>
      <c r="Q395" s="23">
        <v>45853</v>
      </c>
      <c r="R395">
        <v>4.5</v>
      </c>
      <c r="S395">
        <v>4.6500000000000004</v>
      </c>
      <c r="T395">
        <v>2.9932970000000001</v>
      </c>
      <c r="U395" s="23">
        <v>45853</v>
      </c>
      <c r="V395">
        <v>3.5</v>
      </c>
      <c r="W395">
        <v>3.65</v>
      </c>
      <c r="X395">
        <v>2.2913260000000002</v>
      </c>
      <c r="Y395" s="23">
        <v>45853</v>
      </c>
      <c r="Z395">
        <v>9.99</v>
      </c>
      <c r="AA395">
        <v>7.670032588217973</v>
      </c>
      <c r="AB395">
        <v>10.14</v>
      </c>
    </row>
    <row r="396" spans="1:28">
      <c r="A396" s="23">
        <v>45854</v>
      </c>
      <c r="B396">
        <v>2.5</v>
      </c>
      <c r="C396">
        <v>2.65</v>
      </c>
      <c r="D396">
        <v>1.4853780000000001</v>
      </c>
      <c r="E396" s="23">
        <v>45854</v>
      </c>
      <c r="F396">
        <v>0.5</v>
      </c>
      <c r="G396">
        <v>0.6</v>
      </c>
      <c r="H396">
        <v>0.30177399999999999</v>
      </c>
      <c r="I396" s="23">
        <v>45854</v>
      </c>
      <c r="J396">
        <v>1</v>
      </c>
      <c r="K396">
        <v>1.1499999999999999</v>
      </c>
      <c r="L396">
        <v>0.723719</v>
      </c>
      <c r="M396" s="23">
        <v>45854</v>
      </c>
      <c r="N396">
        <v>3</v>
      </c>
      <c r="O396">
        <v>3.15</v>
      </c>
      <c r="P396">
        <v>2.0538439999999998</v>
      </c>
      <c r="Q396" s="23">
        <v>45854</v>
      </c>
      <c r="R396">
        <v>4.5</v>
      </c>
      <c r="S396">
        <v>4.6500000000000004</v>
      </c>
      <c r="T396">
        <v>2.9596429999999998</v>
      </c>
      <c r="U396" s="23">
        <v>45854</v>
      </c>
      <c r="V396">
        <v>3.5</v>
      </c>
      <c r="W396">
        <v>3.65</v>
      </c>
      <c r="X396">
        <v>2.2724359999999999</v>
      </c>
      <c r="Y396" s="23">
        <v>45854</v>
      </c>
      <c r="Z396">
        <v>9.99</v>
      </c>
      <c r="AA396">
        <v>7.3454005487441254</v>
      </c>
      <c r="AB396">
        <v>10.14</v>
      </c>
    </row>
    <row r="397" spans="1:28">
      <c r="A397" s="23">
        <v>45855</v>
      </c>
      <c r="B397">
        <v>2.5</v>
      </c>
      <c r="C397">
        <v>2.65</v>
      </c>
      <c r="D397">
        <v>1.476647</v>
      </c>
      <c r="E397" s="23">
        <v>45855</v>
      </c>
      <c r="F397">
        <v>0.5</v>
      </c>
      <c r="G397">
        <v>0.6</v>
      </c>
      <c r="H397">
        <v>0.295742</v>
      </c>
      <c r="I397" s="23">
        <v>45855</v>
      </c>
      <c r="J397">
        <v>1</v>
      </c>
      <c r="K397">
        <v>1.1499999999999999</v>
      </c>
      <c r="L397">
        <v>0.72054399999999996</v>
      </c>
      <c r="M397" s="23">
        <v>45855</v>
      </c>
      <c r="N397">
        <v>3</v>
      </c>
      <c r="O397">
        <v>3.15</v>
      </c>
      <c r="P397">
        <v>2.0449540000000002</v>
      </c>
      <c r="Q397" s="23">
        <v>45855</v>
      </c>
      <c r="R397">
        <v>4.5</v>
      </c>
      <c r="S397">
        <v>4.6500000000000004</v>
      </c>
      <c r="T397">
        <v>2.9502769999999998</v>
      </c>
      <c r="U397" s="23">
        <v>45855</v>
      </c>
      <c r="V397">
        <v>3.5</v>
      </c>
      <c r="W397">
        <v>3.65</v>
      </c>
      <c r="X397">
        <v>2.261641</v>
      </c>
      <c r="Y397" s="23">
        <v>45855</v>
      </c>
      <c r="Z397">
        <v>9.99</v>
      </c>
      <c r="AA397">
        <v>7.4215460120958037</v>
      </c>
      <c r="AB397">
        <v>10.14</v>
      </c>
    </row>
    <row r="398" spans="1:28">
      <c r="A398" s="23">
        <v>45856</v>
      </c>
      <c r="B398">
        <v>2.5</v>
      </c>
      <c r="C398">
        <v>2.65</v>
      </c>
      <c r="D398">
        <v>1.479663</v>
      </c>
      <c r="E398" s="23">
        <v>45856</v>
      </c>
      <c r="F398">
        <v>0.5</v>
      </c>
      <c r="G398">
        <v>0.6</v>
      </c>
      <c r="H398">
        <v>0.29764699999999999</v>
      </c>
      <c r="I398" s="23">
        <v>45856</v>
      </c>
      <c r="J398">
        <v>1</v>
      </c>
      <c r="K398">
        <v>1.1499999999999999</v>
      </c>
      <c r="L398">
        <v>0.72340099999999996</v>
      </c>
      <c r="M398" s="23">
        <v>45856</v>
      </c>
      <c r="N398">
        <v>3</v>
      </c>
      <c r="O398">
        <v>3.15</v>
      </c>
      <c r="P398">
        <v>2.0395569999999998</v>
      </c>
      <c r="Q398" s="23">
        <v>45856</v>
      </c>
      <c r="R398">
        <v>4.5</v>
      </c>
      <c r="S398">
        <v>4.6500000000000004</v>
      </c>
      <c r="T398">
        <v>2.9404349999999999</v>
      </c>
      <c r="U398" s="23">
        <v>45856</v>
      </c>
      <c r="V398">
        <v>3.5</v>
      </c>
      <c r="W398">
        <v>3.65</v>
      </c>
      <c r="X398">
        <v>2.271801</v>
      </c>
      <c r="Y398" s="23">
        <v>45856</v>
      </c>
      <c r="Z398">
        <v>9.99</v>
      </c>
      <c r="AA398">
        <v>7.5553812202297488</v>
      </c>
      <c r="AB398">
        <v>10.14</v>
      </c>
    </row>
    <row r="399" spans="1:28">
      <c r="A399" s="23">
        <v>45859</v>
      </c>
      <c r="B399">
        <v>2.5</v>
      </c>
      <c r="C399">
        <v>2.65</v>
      </c>
      <c r="D399">
        <v>1.483949</v>
      </c>
      <c r="E399" s="23">
        <v>45859</v>
      </c>
      <c r="F399">
        <v>0.5</v>
      </c>
      <c r="G399">
        <v>0.6</v>
      </c>
      <c r="H399">
        <v>0.30225099999999999</v>
      </c>
      <c r="I399" s="23">
        <v>45859</v>
      </c>
      <c r="J399">
        <v>1</v>
      </c>
      <c r="K399">
        <v>1.1499999999999999</v>
      </c>
      <c r="L399">
        <v>0.72927500000000001</v>
      </c>
      <c r="M399" s="23">
        <v>45859</v>
      </c>
      <c r="N399">
        <v>3</v>
      </c>
      <c r="O399">
        <v>3.15</v>
      </c>
      <c r="P399">
        <v>2.0347940000000002</v>
      </c>
      <c r="Q399" s="23">
        <v>45859</v>
      </c>
      <c r="R399">
        <v>4.5</v>
      </c>
      <c r="S399">
        <v>4.6500000000000004</v>
      </c>
      <c r="T399">
        <v>2.9290050000000001</v>
      </c>
      <c r="U399" s="23">
        <v>45859</v>
      </c>
      <c r="V399">
        <v>3.5</v>
      </c>
      <c r="W399">
        <v>3.65</v>
      </c>
      <c r="X399">
        <v>2.2643399999999998</v>
      </c>
      <c r="Y399" s="23">
        <v>45859</v>
      </c>
      <c r="Z399">
        <v>9.99</v>
      </c>
      <c r="AA399">
        <v>7.5626497642306116</v>
      </c>
      <c r="AB399">
        <v>10.14</v>
      </c>
    </row>
    <row r="400" spans="1:28">
      <c r="A400" s="23">
        <v>45860</v>
      </c>
      <c r="B400">
        <v>2.5</v>
      </c>
      <c r="C400">
        <v>2.65</v>
      </c>
      <c r="D400">
        <v>1.4731540000000001</v>
      </c>
      <c r="E400" s="23">
        <v>45860</v>
      </c>
      <c r="F400">
        <v>0.5</v>
      </c>
      <c r="G400">
        <v>0.6</v>
      </c>
      <c r="H400">
        <v>0.30129800000000001</v>
      </c>
      <c r="I400" s="23">
        <v>45860</v>
      </c>
      <c r="J400">
        <v>1</v>
      </c>
      <c r="K400">
        <v>1.1499999999999999</v>
      </c>
      <c r="L400">
        <v>0.72594099999999995</v>
      </c>
      <c r="M400" s="23">
        <v>45860</v>
      </c>
      <c r="N400">
        <v>3</v>
      </c>
      <c r="O400">
        <v>3.15</v>
      </c>
      <c r="P400">
        <v>2.019396</v>
      </c>
      <c r="Q400" s="23">
        <v>45860</v>
      </c>
      <c r="R400">
        <v>4.5</v>
      </c>
      <c r="S400">
        <v>4.6500000000000004</v>
      </c>
      <c r="T400">
        <v>2.9017010000000001</v>
      </c>
      <c r="U400" s="23">
        <v>45860</v>
      </c>
      <c r="V400">
        <v>3.5</v>
      </c>
      <c r="W400">
        <v>3.65</v>
      </c>
      <c r="X400">
        <v>2.2378290000000001</v>
      </c>
      <c r="Y400" s="23">
        <v>45860</v>
      </c>
      <c r="Z400">
        <v>9.99</v>
      </c>
      <c r="AA400">
        <v>7.3105504438779425</v>
      </c>
      <c r="AB400">
        <v>10.14</v>
      </c>
    </row>
    <row r="401" spans="1:28">
      <c r="A401" s="23">
        <v>45861</v>
      </c>
      <c r="B401">
        <v>2.5</v>
      </c>
      <c r="C401">
        <v>2.65</v>
      </c>
      <c r="D401">
        <v>1.4775990000000001</v>
      </c>
      <c r="E401" s="23">
        <v>45861</v>
      </c>
      <c r="F401">
        <v>0.5</v>
      </c>
      <c r="G401">
        <v>0.6</v>
      </c>
      <c r="H401">
        <v>0.30082199999999998</v>
      </c>
      <c r="I401" s="23">
        <v>45861</v>
      </c>
      <c r="J401">
        <v>1</v>
      </c>
      <c r="K401">
        <v>1.1499999999999999</v>
      </c>
      <c r="L401">
        <v>0.72705200000000003</v>
      </c>
      <c r="M401" s="23">
        <v>45861</v>
      </c>
      <c r="N401">
        <v>3</v>
      </c>
      <c r="O401">
        <v>3.15</v>
      </c>
      <c r="P401">
        <v>2.0447950000000001</v>
      </c>
      <c r="Q401" s="23">
        <v>45861</v>
      </c>
      <c r="R401">
        <v>4.5</v>
      </c>
      <c r="S401">
        <v>4.6500000000000004</v>
      </c>
      <c r="T401">
        <v>2.9221789999999999</v>
      </c>
      <c r="U401" s="23">
        <v>45861</v>
      </c>
      <c r="V401">
        <v>3.5</v>
      </c>
      <c r="W401">
        <v>3.65</v>
      </c>
      <c r="X401">
        <v>2.239576</v>
      </c>
      <c r="Y401" s="23">
        <v>45861</v>
      </c>
      <c r="Z401">
        <v>9.99</v>
      </c>
      <c r="AA401">
        <v>7.3271791812131566</v>
      </c>
      <c r="AB401">
        <v>10.14</v>
      </c>
    </row>
    <row r="402" spans="1:28">
      <c r="A402" s="23">
        <v>45862</v>
      </c>
      <c r="B402">
        <v>2.5</v>
      </c>
      <c r="C402">
        <v>2.65</v>
      </c>
      <c r="D402">
        <v>1.4563269999999999</v>
      </c>
      <c r="E402" s="23">
        <v>45862</v>
      </c>
      <c r="F402">
        <v>0.5</v>
      </c>
      <c r="G402">
        <v>0.6</v>
      </c>
      <c r="H402">
        <v>0.30796499999999999</v>
      </c>
      <c r="I402" s="23">
        <v>45862</v>
      </c>
      <c r="J402">
        <v>1</v>
      </c>
      <c r="K402">
        <v>1.1499999999999999</v>
      </c>
      <c r="L402">
        <v>0.73308499999999999</v>
      </c>
      <c r="M402" s="23">
        <v>45862</v>
      </c>
      <c r="N402">
        <v>3</v>
      </c>
      <c r="O402">
        <v>3.15</v>
      </c>
      <c r="P402">
        <v>2.0543200000000001</v>
      </c>
      <c r="Q402" s="23">
        <v>45862</v>
      </c>
      <c r="R402">
        <v>4.5</v>
      </c>
      <c r="S402">
        <v>4.6500000000000004</v>
      </c>
      <c r="T402">
        <v>2.9156710000000001</v>
      </c>
      <c r="U402" s="23">
        <v>45862</v>
      </c>
      <c r="V402">
        <v>3.5</v>
      </c>
      <c r="W402">
        <v>3.65</v>
      </c>
      <c r="X402">
        <v>2.2460840000000002</v>
      </c>
      <c r="Y402" s="23">
        <v>45862</v>
      </c>
      <c r="Z402">
        <v>9.99</v>
      </c>
      <c r="AA402">
        <v>7.5225208149060867</v>
      </c>
      <c r="AB402">
        <v>10.14</v>
      </c>
    </row>
    <row r="403" spans="1:28">
      <c r="A403" s="23">
        <v>45863</v>
      </c>
      <c r="B403">
        <v>2.5</v>
      </c>
      <c r="C403">
        <v>2.65</v>
      </c>
      <c r="D403">
        <v>1.4571210000000001</v>
      </c>
      <c r="E403" s="23">
        <v>45863</v>
      </c>
      <c r="F403">
        <v>0.5</v>
      </c>
      <c r="G403">
        <v>0.6</v>
      </c>
      <c r="H403">
        <v>0.307172</v>
      </c>
      <c r="I403" s="23">
        <v>45863</v>
      </c>
      <c r="J403">
        <v>1</v>
      </c>
      <c r="K403">
        <v>1.1499999999999999</v>
      </c>
      <c r="L403">
        <v>0.737371</v>
      </c>
      <c r="M403" s="23">
        <v>45863</v>
      </c>
      <c r="N403">
        <v>3</v>
      </c>
      <c r="O403">
        <v>3.15</v>
      </c>
      <c r="P403">
        <v>2.0609869999999999</v>
      </c>
      <c r="Q403" s="23">
        <v>45863</v>
      </c>
      <c r="R403">
        <v>4.5</v>
      </c>
      <c r="S403">
        <v>4.6500000000000004</v>
      </c>
      <c r="T403">
        <v>2.9091619999999998</v>
      </c>
      <c r="U403" s="23">
        <v>45863</v>
      </c>
      <c r="V403">
        <v>3.5</v>
      </c>
      <c r="W403">
        <v>3.65</v>
      </c>
      <c r="X403">
        <v>2.239099</v>
      </c>
      <c r="Y403" s="23">
        <v>45863</v>
      </c>
      <c r="Z403">
        <v>9.99</v>
      </c>
      <c r="AA403">
        <v>7.3462085501719718</v>
      </c>
      <c r="AB403">
        <v>10.14</v>
      </c>
    </row>
    <row r="404" spans="1:28">
      <c r="A404" s="23">
        <v>45866</v>
      </c>
      <c r="B404">
        <v>2.5</v>
      </c>
      <c r="C404">
        <v>2.65</v>
      </c>
      <c r="D404">
        <v>1.472361</v>
      </c>
      <c r="E404" s="23">
        <v>45866</v>
      </c>
      <c r="F404">
        <v>0.5</v>
      </c>
      <c r="G404">
        <v>0.6</v>
      </c>
      <c r="H404">
        <v>0.30907699999999999</v>
      </c>
      <c r="I404" s="23">
        <v>45866</v>
      </c>
      <c r="J404">
        <v>1</v>
      </c>
      <c r="K404">
        <v>1.1499999999999999</v>
      </c>
      <c r="L404">
        <v>0.74276799999999998</v>
      </c>
      <c r="M404" s="23">
        <v>45866</v>
      </c>
      <c r="N404">
        <v>3</v>
      </c>
      <c r="O404">
        <v>3.15</v>
      </c>
      <c r="P404">
        <v>2.0668609999999998</v>
      </c>
      <c r="Q404" s="23">
        <v>45866</v>
      </c>
      <c r="R404">
        <v>4.5</v>
      </c>
      <c r="S404">
        <v>4.6500000000000004</v>
      </c>
      <c r="T404">
        <v>2.9329740000000002</v>
      </c>
      <c r="U404" s="23">
        <v>45866</v>
      </c>
      <c r="V404">
        <v>3.5</v>
      </c>
      <c r="W404">
        <v>3.65</v>
      </c>
      <c r="X404">
        <v>2.2490999999999999</v>
      </c>
      <c r="Y404" s="23">
        <v>45866</v>
      </c>
      <c r="Z404">
        <v>9.99</v>
      </c>
      <c r="AA404">
        <v>7.269404100831971</v>
      </c>
      <c r="AB404">
        <v>10.14</v>
      </c>
    </row>
    <row r="405" spans="1:28">
      <c r="A405" s="23">
        <v>45867</v>
      </c>
      <c r="B405">
        <v>2.5</v>
      </c>
      <c r="C405">
        <v>2.65</v>
      </c>
      <c r="D405">
        <v>1.4639470000000001</v>
      </c>
      <c r="E405" s="23">
        <v>45867</v>
      </c>
      <c r="F405">
        <v>0.5</v>
      </c>
      <c r="G405">
        <v>0.6</v>
      </c>
      <c r="H405">
        <v>0.30796499999999999</v>
      </c>
      <c r="I405" s="23">
        <v>45867</v>
      </c>
      <c r="J405">
        <v>1</v>
      </c>
      <c r="K405">
        <v>1.1499999999999999</v>
      </c>
      <c r="L405">
        <v>0.70593899999999998</v>
      </c>
      <c r="M405" s="23">
        <v>45867</v>
      </c>
      <c r="N405">
        <v>3</v>
      </c>
      <c r="O405">
        <v>3.15</v>
      </c>
      <c r="P405">
        <v>2.046224</v>
      </c>
      <c r="Q405" s="23">
        <v>45867</v>
      </c>
      <c r="R405">
        <v>4.5</v>
      </c>
      <c r="S405">
        <v>4.6500000000000004</v>
      </c>
      <c r="T405">
        <v>2.9386890000000001</v>
      </c>
      <c r="U405" s="23">
        <v>45867</v>
      </c>
      <c r="V405">
        <v>3.5</v>
      </c>
      <c r="W405">
        <v>3.65</v>
      </c>
      <c r="X405">
        <v>2.2722769999999999</v>
      </c>
      <c r="Y405" s="23">
        <v>45867</v>
      </c>
      <c r="Z405">
        <v>9.99</v>
      </c>
      <c r="AA405">
        <v>7.2367155603282427</v>
      </c>
      <c r="AB405">
        <v>10.14</v>
      </c>
    </row>
    <row r="406" spans="1:28">
      <c r="A406" s="23">
        <v>45868</v>
      </c>
      <c r="B406">
        <v>2.5</v>
      </c>
      <c r="C406">
        <v>2.65</v>
      </c>
      <c r="D406">
        <v>1.501887</v>
      </c>
      <c r="E406" s="23">
        <v>45868</v>
      </c>
      <c r="F406">
        <v>0.5</v>
      </c>
      <c r="G406">
        <v>0.6</v>
      </c>
      <c r="H406">
        <v>0.306537</v>
      </c>
      <c r="I406" s="23">
        <v>45868</v>
      </c>
      <c r="J406">
        <v>1</v>
      </c>
      <c r="K406">
        <v>1.1499999999999999</v>
      </c>
      <c r="L406">
        <v>0.79832899999999996</v>
      </c>
      <c r="M406" s="23">
        <v>45868</v>
      </c>
      <c r="N406">
        <v>3</v>
      </c>
      <c r="O406">
        <v>3.15</v>
      </c>
      <c r="P406">
        <v>2.1094050000000002</v>
      </c>
      <c r="Q406" s="23">
        <v>45868</v>
      </c>
      <c r="R406">
        <v>4.5</v>
      </c>
      <c r="S406">
        <v>4.6500000000000004</v>
      </c>
      <c r="T406">
        <v>2.9742479999999998</v>
      </c>
      <c r="U406" s="23">
        <v>45868</v>
      </c>
      <c r="V406">
        <v>3.5</v>
      </c>
      <c r="W406">
        <v>3.65</v>
      </c>
      <c r="X406">
        <v>2.3138679999999998</v>
      </c>
      <c r="Y406" s="23">
        <v>45868</v>
      </c>
      <c r="Z406">
        <v>9.99</v>
      </c>
      <c r="AA406">
        <v>7.4586093829788149</v>
      </c>
      <c r="AB406">
        <v>10.14</v>
      </c>
    </row>
    <row r="407" spans="1:28">
      <c r="A407" s="23">
        <v>45869</v>
      </c>
      <c r="B407">
        <v>2.5</v>
      </c>
      <c r="C407">
        <v>2.65</v>
      </c>
      <c r="D407">
        <v>1.51919</v>
      </c>
      <c r="E407" s="23">
        <v>45869</v>
      </c>
      <c r="F407">
        <v>0.5</v>
      </c>
      <c r="G407">
        <v>0.6</v>
      </c>
      <c r="H407">
        <v>0.27050200000000002</v>
      </c>
      <c r="I407" s="23">
        <v>45869</v>
      </c>
      <c r="J407">
        <v>1</v>
      </c>
      <c r="K407">
        <v>1.1499999999999999</v>
      </c>
      <c r="L407">
        <v>0.77880300000000002</v>
      </c>
      <c r="M407" s="23">
        <v>45869</v>
      </c>
      <c r="N407">
        <v>3</v>
      </c>
      <c r="O407">
        <v>3.15</v>
      </c>
      <c r="P407">
        <v>2.1221040000000002</v>
      </c>
      <c r="Q407" s="23">
        <v>45869</v>
      </c>
      <c r="R407">
        <v>4.5</v>
      </c>
      <c r="S407">
        <v>4.6500000000000004</v>
      </c>
      <c r="T407">
        <v>3.003457</v>
      </c>
      <c r="U407" s="23">
        <v>45869</v>
      </c>
      <c r="V407">
        <v>3.5</v>
      </c>
      <c r="W407">
        <v>3.65</v>
      </c>
      <c r="X407">
        <v>2.3048199999999999</v>
      </c>
      <c r="Y407" s="23">
        <v>45869</v>
      </c>
      <c r="Z407">
        <v>9.99</v>
      </c>
      <c r="AA407">
        <v>7.1322825788014113</v>
      </c>
      <c r="AB407">
        <v>10.14</v>
      </c>
    </row>
    <row r="408" spans="1:28">
      <c r="A408" s="23">
        <v>45870</v>
      </c>
      <c r="B408">
        <v>2.5</v>
      </c>
      <c r="C408">
        <v>2.65</v>
      </c>
      <c r="D408">
        <v>1.5483990000000001</v>
      </c>
      <c r="E408" s="23">
        <v>45870</v>
      </c>
      <c r="F408">
        <v>0.5</v>
      </c>
      <c r="G408">
        <v>0.6</v>
      </c>
      <c r="H408">
        <v>0.26923200000000003</v>
      </c>
      <c r="I408" s="23">
        <v>45870</v>
      </c>
      <c r="J408">
        <v>1</v>
      </c>
      <c r="K408">
        <v>1.1499999999999999</v>
      </c>
      <c r="L408">
        <v>0.78308900000000004</v>
      </c>
      <c r="M408" s="23">
        <v>45870</v>
      </c>
      <c r="N408">
        <v>3</v>
      </c>
      <c r="O408">
        <v>3.15</v>
      </c>
      <c r="P408">
        <v>2.1917930000000001</v>
      </c>
      <c r="Q408" s="23">
        <v>45870</v>
      </c>
      <c r="R408">
        <v>4.5</v>
      </c>
      <c r="S408">
        <v>4.6500000000000004</v>
      </c>
      <c r="T408">
        <v>3.1383899999999998</v>
      </c>
      <c r="U408" s="23">
        <v>45870</v>
      </c>
      <c r="V408">
        <v>3.5</v>
      </c>
      <c r="W408">
        <v>3.65</v>
      </c>
      <c r="X408">
        <v>2.3014860000000001</v>
      </c>
      <c r="Y408" s="23">
        <v>45870</v>
      </c>
      <c r="Z408">
        <v>9.99</v>
      </c>
      <c r="AA408">
        <v>7.6103397678474698</v>
      </c>
      <c r="AB408">
        <v>10.14</v>
      </c>
    </row>
    <row r="409" spans="1:28">
      <c r="A409" s="23">
        <v>45873</v>
      </c>
      <c r="B409">
        <v>2.5</v>
      </c>
      <c r="C409">
        <v>2.65</v>
      </c>
      <c r="D409">
        <v>1.532049</v>
      </c>
      <c r="E409" s="23">
        <v>45873</v>
      </c>
      <c r="F409">
        <v>0.5</v>
      </c>
      <c r="G409">
        <v>0.6</v>
      </c>
      <c r="H409">
        <v>0.26891399999999999</v>
      </c>
      <c r="I409" s="23">
        <v>45873</v>
      </c>
      <c r="J409">
        <v>1</v>
      </c>
      <c r="K409">
        <v>1.1499999999999999</v>
      </c>
      <c r="L409">
        <v>0.78070799999999996</v>
      </c>
      <c r="M409" s="23">
        <v>45873</v>
      </c>
      <c r="N409">
        <v>3</v>
      </c>
      <c r="O409">
        <v>3.15</v>
      </c>
      <c r="P409">
        <v>2.1681400000000002</v>
      </c>
      <c r="Q409" s="23">
        <v>45873</v>
      </c>
      <c r="R409">
        <v>4.5</v>
      </c>
      <c r="S409">
        <v>4.6500000000000004</v>
      </c>
      <c r="T409">
        <v>3.09918</v>
      </c>
      <c r="U409" s="23">
        <v>45873</v>
      </c>
      <c r="V409">
        <v>3.5</v>
      </c>
      <c r="W409">
        <v>3.65</v>
      </c>
      <c r="X409">
        <v>2.3605390000000002</v>
      </c>
      <c r="Y409" s="23">
        <v>45873</v>
      </c>
      <c r="Z409">
        <v>9.99</v>
      </c>
      <c r="AA409">
        <v>7.6467293770326155</v>
      </c>
      <c r="AB409">
        <v>10.14</v>
      </c>
    </row>
    <row r="410" spans="1:28">
      <c r="A410" s="23">
        <v>45874</v>
      </c>
      <c r="B410">
        <v>2.5</v>
      </c>
      <c r="C410">
        <v>2.65</v>
      </c>
      <c r="D410">
        <v>1.520778</v>
      </c>
      <c r="E410" s="23">
        <v>45874</v>
      </c>
      <c r="F410">
        <v>0.5</v>
      </c>
      <c r="G410">
        <v>0.6</v>
      </c>
      <c r="H410">
        <v>0.26780300000000001</v>
      </c>
      <c r="I410" s="23">
        <v>45874</v>
      </c>
      <c r="J410">
        <v>1</v>
      </c>
      <c r="K410">
        <v>1.1499999999999999</v>
      </c>
      <c r="L410">
        <v>0.77626300000000004</v>
      </c>
      <c r="M410" s="23">
        <v>45874</v>
      </c>
      <c r="N410">
        <v>3</v>
      </c>
      <c r="O410">
        <v>3.15</v>
      </c>
      <c r="P410">
        <v>2.1559170000000001</v>
      </c>
      <c r="Q410" s="23">
        <v>45874</v>
      </c>
      <c r="R410">
        <v>4.5</v>
      </c>
      <c r="S410">
        <v>4.6500000000000004</v>
      </c>
      <c r="T410">
        <v>3.0826709999999999</v>
      </c>
      <c r="U410" s="23">
        <v>45874</v>
      </c>
      <c r="V410">
        <v>3.5</v>
      </c>
      <c r="W410">
        <v>3.65</v>
      </c>
      <c r="X410">
        <v>2.339585</v>
      </c>
      <c r="Y410" s="23">
        <v>45874</v>
      </c>
      <c r="Z410">
        <v>9.99</v>
      </c>
      <c r="AA410">
        <v>7.5638134523194065</v>
      </c>
      <c r="AB410">
        <v>10.14</v>
      </c>
    </row>
    <row r="411" spans="1:28">
      <c r="A411" s="23">
        <v>45875</v>
      </c>
      <c r="B411">
        <v>2.5</v>
      </c>
      <c r="C411">
        <v>2.65</v>
      </c>
      <c r="D411">
        <v>1.5425260000000001</v>
      </c>
      <c r="E411" s="23">
        <v>45875</v>
      </c>
      <c r="F411">
        <v>0.5</v>
      </c>
      <c r="G411">
        <v>0.6</v>
      </c>
      <c r="H411">
        <v>0.26684999999999998</v>
      </c>
      <c r="I411" s="23">
        <v>45875</v>
      </c>
      <c r="J411">
        <v>1</v>
      </c>
      <c r="K411">
        <v>1.1499999999999999</v>
      </c>
      <c r="L411">
        <v>0.78118500000000002</v>
      </c>
      <c r="M411" s="23">
        <v>45875</v>
      </c>
      <c r="N411">
        <v>3</v>
      </c>
      <c r="O411">
        <v>3.15</v>
      </c>
      <c r="P411">
        <v>2.194016</v>
      </c>
      <c r="Q411" s="23">
        <v>45875</v>
      </c>
      <c r="R411">
        <v>4.5</v>
      </c>
      <c r="S411">
        <v>4.6500000000000004</v>
      </c>
      <c r="T411">
        <v>3.14601</v>
      </c>
      <c r="U411" s="23">
        <v>45875</v>
      </c>
      <c r="V411">
        <v>3.5</v>
      </c>
      <c r="W411">
        <v>3.65</v>
      </c>
      <c r="X411">
        <v>2.3843510000000001</v>
      </c>
      <c r="Y411" s="23">
        <v>45875</v>
      </c>
      <c r="Z411">
        <v>9.99</v>
      </c>
      <c r="AA411">
        <v>7.4905788068398538</v>
      </c>
      <c r="AB411">
        <v>10.14</v>
      </c>
    </row>
    <row r="412" spans="1:28">
      <c r="A412" s="23">
        <v>45876</v>
      </c>
      <c r="B412">
        <v>2.5</v>
      </c>
      <c r="C412">
        <v>2.65</v>
      </c>
      <c r="D412">
        <v>1.54078</v>
      </c>
      <c r="E412" s="23">
        <v>45876</v>
      </c>
      <c r="F412">
        <v>0.5</v>
      </c>
      <c r="G412">
        <v>0.6</v>
      </c>
      <c r="H412">
        <v>0.265739</v>
      </c>
      <c r="I412" s="23">
        <v>45876</v>
      </c>
      <c r="J412">
        <v>1</v>
      </c>
      <c r="K412">
        <v>1.1499999999999999</v>
      </c>
      <c r="L412">
        <v>0.78134300000000001</v>
      </c>
      <c r="M412" s="23">
        <v>45876</v>
      </c>
      <c r="N412">
        <v>3</v>
      </c>
      <c r="O412">
        <v>3.15</v>
      </c>
      <c r="P412">
        <v>2.1900469999999999</v>
      </c>
      <c r="Q412" s="23">
        <v>45876</v>
      </c>
      <c r="R412">
        <v>4.5</v>
      </c>
      <c r="S412">
        <v>4.6500000000000004</v>
      </c>
      <c r="T412">
        <v>3.1404540000000001</v>
      </c>
      <c r="U412" s="23">
        <v>45876</v>
      </c>
      <c r="V412">
        <v>3.5</v>
      </c>
      <c r="W412">
        <v>3.65</v>
      </c>
      <c r="X412">
        <v>2.3383150000000001</v>
      </c>
      <c r="Y412" s="23">
        <v>45876</v>
      </c>
      <c r="Z412">
        <v>9.99</v>
      </c>
      <c r="AA412">
        <v>7.4923435031292591</v>
      </c>
      <c r="AB412">
        <v>10.14</v>
      </c>
    </row>
    <row r="413" spans="1:28">
      <c r="A413" s="23">
        <v>45877</v>
      </c>
      <c r="B413">
        <v>2.5</v>
      </c>
      <c r="C413">
        <v>2.65</v>
      </c>
      <c r="D413">
        <v>1.5382400000000001</v>
      </c>
      <c r="E413" s="23">
        <v>45877</v>
      </c>
      <c r="F413">
        <v>0.5</v>
      </c>
      <c r="G413">
        <v>0.6</v>
      </c>
      <c r="H413">
        <v>0.26605699999999999</v>
      </c>
      <c r="I413" s="23">
        <v>45877</v>
      </c>
      <c r="J413">
        <v>1</v>
      </c>
      <c r="K413">
        <v>1.1499999999999999</v>
      </c>
      <c r="L413">
        <v>0.78054999999999997</v>
      </c>
      <c r="M413" s="23">
        <v>45877</v>
      </c>
      <c r="N413">
        <v>3</v>
      </c>
      <c r="O413">
        <v>3.15</v>
      </c>
      <c r="P413">
        <v>2.1856019999999998</v>
      </c>
      <c r="Q413" s="23">
        <v>45877</v>
      </c>
      <c r="R413">
        <v>4.5</v>
      </c>
      <c r="S413">
        <v>4.6500000000000004</v>
      </c>
      <c r="T413">
        <v>3.1337869999999999</v>
      </c>
      <c r="U413" s="23">
        <v>45877</v>
      </c>
      <c r="V413">
        <v>3.5</v>
      </c>
      <c r="W413">
        <v>3.65</v>
      </c>
      <c r="X413">
        <v>2.3373629999999999</v>
      </c>
      <c r="Y413" s="23">
        <v>45877</v>
      </c>
      <c r="Z413">
        <v>9.99</v>
      </c>
      <c r="AA413">
        <v>7.5365657033702087</v>
      </c>
      <c r="AB413">
        <v>10.14</v>
      </c>
    </row>
    <row r="414" spans="1:28">
      <c r="A414" s="23">
        <v>45880</v>
      </c>
      <c r="B414">
        <v>2.5</v>
      </c>
      <c r="C414">
        <v>2.65</v>
      </c>
      <c r="D414">
        <v>1.532049</v>
      </c>
      <c r="E414" s="23">
        <v>45880</v>
      </c>
      <c r="F414">
        <v>0.5</v>
      </c>
      <c r="G414">
        <v>0.6</v>
      </c>
      <c r="H414">
        <v>0.26494600000000001</v>
      </c>
      <c r="I414" s="23">
        <v>45880</v>
      </c>
      <c r="J414">
        <v>1</v>
      </c>
      <c r="K414">
        <v>1.1499999999999999</v>
      </c>
      <c r="L414">
        <v>0.779756</v>
      </c>
      <c r="M414" s="23">
        <v>45880</v>
      </c>
      <c r="N414">
        <v>3</v>
      </c>
      <c r="O414">
        <v>3.15</v>
      </c>
      <c r="P414">
        <v>2.1746490000000001</v>
      </c>
      <c r="Q414" s="23">
        <v>45880</v>
      </c>
      <c r="R414">
        <v>4.5</v>
      </c>
      <c r="S414">
        <v>4.6500000000000004</v>
      </c>
      <c r="T414">
        <v>3.122833</v>
      </c>
      <c r="U414" s="23">
        <v>45880</v>
      </c>
      <c r="V414">
        <v>3.5</v>
      </c>
      <c r="W414">
        <v>3.65</v>
      </c>
      <c r="X414">
        <v>2.325615</v>
      </c>
      <c r="Y414" s="23">
        <v>45880</v>
      </c>
      <c r="Z414">
        <v>9.99</v>
      </c>
      <c r="AA414">
        <v>7.5108288124322478</v>
      </c>
      <c r="AB414">
        <v>10.14</v>
      </c>
    </row>
    <row r="415" spans="1:28">
      <c r="A415" s="23">
        <v>45881</v>
      </c>
      <c r="B415">
        <v>2.5</v>
      </c>
      <c r="C415">
        <v>2.65</v>
      </c>
      <c r="D415">
        <v>1.528715</v>
      </c>
      <c r="E415" s="23">
        <v>45881</v>
      </c>
      <c r="F415">
        <v>0.5</v>
      </c>
      <c r="G415">
        <v>0.6</v>
      </c>
      <c r="H415">
        <v>0.263517</v>
      </c>
      <c r="I415" s="23">
        <v>45881</v>
      </c>
      <c r="J415">
        <v>1</v>
      </c>
      <c r="K415">
        <v>1.1499999999999999</v>
      </c>
      <c r="L415">
        <v>0.77864500000000003</v>
      </c>
      <c r="M415" s="23">
        <v>45881</v>
      </c>
      <c r="N415">
        <v>3</v>
      </c>
      <c r="O415">
        <v>3.15</v>
      </c>
      <c r="P415">
        <v>2.1694100000000001</v>
      </c>
      <c r="Q415" s="23">
        <v>45881</v>
      </c>
      <c r="R415">
        <v>4.5</v>
      </c>
      <c r="S415">
        <v>4.6500000000000004</v>
      </c>
      <c r="T415">
        <v>3.1155309999999998</v>
      </c>
      <c r="U415" s="23">
        <v>45881</v>
      </c>
      <c r="V415">
        <v>3.5</v>
      </c>
      <c r="W415">
        <v>3.65</v>
      </c>
      <c r="X415">
        <v>2.3191069999999998</v>
      </c>
      <c r="Y415" s="23">
        <v>45881</v>
      </c>
      <c r="Z415">
        <v>9.99</v>
      </c>
      <c r="AA415">
        <v>7.4515082065053191</v>
      </c>
      <c r="AB415">
        <v>10.14</v>
      </c>
    </row>
    <row r="416" spans="1:28">
      <c r="A416" s="23">
        <v>45882</v>
      </c>
      <c r="B416">
        <v>2.5</v>
      </c>
      <c r="C416">
        <v>2.65</v>
      </c>
      <c r="D416">
        <v>1.540303</v>
      </c>
      <c r="E416" s="23">
        <v>45882</v>
      </c>
      <c r="F416">
        <v>0.5</v>
      </c>
      <c r="G416">
        <v>0.6</v>
      </c>
      <c r="H416">
        <v>0.26589800000000002</v>
      </c>
      <c r="I416" s="23">
        <v>45882</v>
      </c>
      <c r="J416">
        <v>1</v>
      </c>
      <c r="K416">
        <v>1.1499999999999999</v>
      </c>
      <c r="L416">
        <v>0.79324899999999998</v>
      </c>
      <c r="M416" s="23">
        <v>45882</v>
      </c>
      <c r="N416">
        <v>3</v>
      </c>
      <c r="O416">
        <v>3.15</v>
      </c>
      <c r="P416">
        <v>2.1630600000000002</v>
      </c>
      <c r="Q416" s="23">
        <v>45882</v>
      </c>
      <c r="R416">
        <v>4.5</v>
      </c>
      <c r="S416">
        <v>4.6500000000000004</v>
      </c>
      <c r="T416">
        <v>3.0934650000000001</v>
      </c>
      <c r="U416" s="23">
        <v>45882</v>
      </c>
      <c r="V416">
        <v>3.5</v>
      </c>
      <c r="W416">
        <v>3.65</v>
      </c>
      <c r="X416">
        <v>2.3672070000000001</v>
      </c>
      <c r="Y416" s="23">
        <v>45882</v>
      </c>
      <c r="Z416">
        <v>9.99</v>
      </c>
      <c r="AA416">
        <v>7.4019193235780394</v>
      </c>
      <c r="AB416">
        <v>10.14</v>
      </c>
    </row>
    <row r="417" spans="1:28">
      <c r="A417" s="23">
        <v>45883</v>
      </c>
      <c r="B417">
        <v>2.5</v>
      </c>
      <c r="C417">
        <v>2.65</v>
      </c>
      <c r="D417">
        <v>1.539669</v>
      </c>
      <c r="E417" s="23">
        <v>45883</v>
      </c>
      <c r="F417">
        <v>0.5</v>
      </c>
      <c r="G417">
        <v>0.6</v>
      </c>
      <c r="H417">
        <v>0.26558100000000001</v>
      </c>
      <c r="I417" s="23">
        <v>45883</v>
      </c>
      <c r="J417">
        <v>1</v>
      </c>
      <c r="K417">
        <v>1.1499999999999999</v>
      </c>
      <c r="L417">
        <v>0.79245500000000002</v>
      </c>
      <c r="M417" s="23">
        <v>45883</v>
      </c>
      <c r="N417">
        <v>3</v>
      </c>
      <c r="O417">
        <v>3.15</v>
      </c>
      <c r="P417">
        <v>2.1641720000000002</v>
      </c>
      <c r="Q417" s="23">
        <v>45883</v>
      </c>
      <c r="R417">
        <v>4.5</v>
      </c>
      <c r="S417">
        <v>4.6500000000000004</v>
      </c>
      <c r="T417">
        <v>3.091402</v>
      </c>
      <c r="U417" s="23">
        <v>45883</v>
      </c>
      <c r="V417">
        <v>3.5</v>
      </c>
      <c r="W417">
        <v>3.65</v>
      </c>
      <c r="X417">
        <v>2.3743500000000002</v>
      </c>
      <c r="Y417" s="23">
        <v>45883</v>
      </c>
      <c r="Z417">
        <v>9.99</v>
      </c>
      <c r="AA417">
        <v>7.4064625056013025</v>
      </c>
      <c r="AB417">
        <v>10.14</v>
      </c>
    </row>
    <row r="418" spans="1:28">
      <c r="A418" s="23">
        <v>45887</v>
      </c>
      <c r="B418">
        <v>2.5</v>
      </c>
      <c r="C418">
        <v>2.65</v>
      </c>
      <c r="D418">
        <v>1.522365</v>
      </c>
      <c r="E418" s="23">
        <v>45887</v>
      </c>
      <c r="F418">
        <v>0.5</v>
      </c>
      <c r="G418">
        <v>0.6</v>
      </c>
      <c r="H418">
        <v>0.26256400000000002</v>
      </c>
      <c r="I418" s="23">
        <v>45887</v>
      </c>
      <c r="J418">
        <v>1</v>
      </c>
      <c r="K418">
        <v>1.1499999999999999</v>
      </c>
      <c r="L418">
        <v>0.78816900000000001</v>
      </c>
      <c r="M418" s="23">
        <v>45887</v>
      </c>
      <c r="N418">
        <v>3</v>
      </c>
      <c r="O418">
        <v>3.15</v>
      </c>
      <c r="P418">
        <v>2.1417890000000002</v>
      </c>
      <c r="Q418" s="23">
        <v>45887</v>
      </c>
      <c r="R418">
        <v>4.5</v>
      </c>
      <c r="S418">
        <v>4.6500000000000004</v>
      </c>
      <c r="T418">
        <v>3.0426669999999998</v>
      </c>
      <c r="U418" s="23">
        <v>45887</v>
      </c>
      <c r="V418">
        <v>3.5</v>
      </c>
      <c r="W418">
        <v>3.65</v>
      </c>
      <c r="X418">
        <v>2.3522850000000002</v>
      </c>
      <c r="Y418" s="23">
        <v>45887</v>
      </c>
      <c r="Z418">
        <v>9.99</v>
      </c>
      <c r="AA418">
        <v>7.4118936175636163</v>
      </c>
      <c r="AB418">
        <v>10.14</v>
      </c>
    </row>
    <row r="419" spans="1:28">
      <c r="A419" s="23">
        <v>45888</v>
      </c>
      <c r="B419">
        <v>2.5</v>
      </c>
      <c r="C419">
        <v>2.65</v>
      </c>
      <c r="D419">
        <v>1.5326839999999999</v>
      </c>
      <c r="E419" s="23">
        <v>45888</v>
      </c>
      <c r="F419">
        <v>0.5</v>
      </c>
      <c r="G419">
        <v>0.6</v>
      </c>
      <c r="H419">
        <v>0.26145299999999999</v>
      </c>
      <c r="I419" s="23">
        <v>45888</v>
      </c>
      <c r="J419">
        <v>1</v>
      </c>
      <c r="K419">
        <v>1.1499999999999999</v>
      </c>
      <c r="L419">
        <v>0.78753399999999996</v>
      </c>
      <c r="M419" s="23">
        <v>45888</v>
      </c>
      <c r="N419">
        <v>3</v>
      </c>
      <c r="O419">
        <v>3.15</v>
      </c>
      <c r="P419">
        <v>2.156711</v>
      </c>
      <c r="Q419" s="23">
        <v>45888</v>
      </c>
      <c r="R419">
        <v>4.5</v>
      </c>
      <c r="S419">
        <v>4.6500000000000004</v>
      </c>
      <c r="T419">
        <v>3.0618750000000001</v>
      </c>
      <c r="U419" s="23">
        <v>45888</v>
      </c>
      <c r="V419">
        <v>3.5</v>
      </c>
      <c r="W419">
        <v>3.65</v>
      </c>
      <c r="X419">
        <v>2.3408549999999999</v>
      </c>
      <c r="Y419" s="23">
        <v>45888</v>
      </c>
      <c r="Z419">
        <v>9.99</v>
      </c>
      <c r="AA419">
        <v>7.3141084781585501</v>
      </c>
      <c r="AB419">
        <v>10.14</v>
      </c>
    </row>
    <row r="420" spans="1:28">
      <c r="A420" s="23">
        <v>45889</v>
      </c>
      <c r="B420">
        <v>2.5</v>
      </c>
      <c r="C420">
        <v>2.65</v>
      </c>
      <c r="D420">
        <v>1.525223</v>
      </c>
      <c r="E420" s="23">
        <v>45889</v>
      </c>
      <c r="F420">
        <v>0.5</v>
      </c>
      <c r="G420">
        <v>0.6</v>
      </c>
      <c r="H420">
        <v>0.26097700000000001</v>
      </c>
      <c r="I420" s="23">
        <v>45889</v>
      </c>
      <c r="J420">
        <v>1</v>
      </c>
      <c r="K420">
        <v>1.1499999999999999</v>
      </c>
      <c r="L420">
        <v>0.78594699999999995</v>
      </c>
      <c r="M420" s="23">
        <v>45889</v>
      </c>
      <c r="N420">
        <v>3</v>
      </c>
      <c r="O420">
        <v>3.15</v>
      </c>
      <c r="P420">
        <v>2.1444869999999998</v>
      </c>
      <c r="Q420" s="23">
        <v>45889</v>
      </c>
      <c r="R420">
        <v>4.5</v>
      </c>
      <c r="S420">
        <v>4.6500000000000004</v>
      </c>
      <c r="T420">
        <v>3.040127</v>
      </c>
      <c r="U420" s="23">
        <v>45889</v>
      </c>
      <c r="V420">
        <v>3.5</v>
      </c>
      <c r="W420">
        <v>3.65</v>
      </c>
      <c r="X420">
        <v>2.325774</v>
      </c>
      <c r="Y420" s="23">
        <v>45889</v>
      </c>
      <c r="Z420">
        <v>9.99</v>
      </c>
      <c r="AA420">
        <v>7.282321733237505</v>
      </c>
      <c r="AB420">
        <v>10.14</v>
      </c>
    </row>
    <row r="421" spans="1:28">
      <c r="A421" s="23">
        <v>45890</v>
      </c>
      <c r="B421">
        <v>2.5</v>
      </c>
      <c r="C421">
        <v>2.65</v>
      </c>
      <c r="D421">
        <v>1.525064</v>
      </c>
      <c r="E421" s="23">
        <v>45890</v>
      </c>
      <c r="F421">
        <v>0.5</v>
      </c>
      <c r="G421">
        <v>0.6</v>
      </c>
      <c r="H421">
        <v>0.26097700000000001</v>
      </c>
      <c r="I421" s="23">
        <v>45890</v>
      </c>
      <c r="J421">
        <v>1</v>
      </c>
      <c r="K421">
        <v>1.1499999999999999</v>
      </c>
      <c r="L421">
        <v>0.78896299999999997</v>
      </c>
      <c r="M421" s="23">
        <v>45890</v>
      </c>
      <c r="N421">
        <v>3</v>
      </c>
      <c r="O421">
        <v>3.15</v>
      </c>
      <c r="P421">
        <v>2.1497259999999998</v>
      </c>
      <c r="Q421" s="23">
        <v>45890</v>
      </c>
      <c r="R421">
        <v>4.5</v>
      </c>
      <c r="S421">
        <v>4.6500000000000004</v>
      </c>
      <c r="T421">
        <v>3.0374279999999998</v>
      </c>
      <c r="U421" s="23">
        <v>45890</v>
      </c>
      <c r="V421">
        <v>3.5</v>
      </c>
      <c r="W421">
        <v>3.65</v>
      </c>
      <c r="X421">
        <v>2.3291080000000002</v>
      </c>
      <c r="Y421" s="23">
        <v>45890</v>
      </c>
      <c r="Z421">
        <v>9.99</v>
      </c>
      <c r="AA421">
        <v>7.2773168343928258</v>
      </c>
      <c r="AB421">
        <v>10.14</v>
      </c>
    </row>
    <row r="422" spans="1:28">
      <c r="A422" s="23">
        <v>45891</v>
      </c>
      <c r="B422">
        <v>2.5</v>
      </c>
      <c r="C422">
        <v>2.65</v>
      </c>
      <c r="D422">
        <v>1.528715</v>
      </c>
      <c r="E422" s="23">
        <v>45891</v>
      </c>
      <c r="F422">
        <v>0.5</v>
      </c>
      <c r="G422">
        <v>0.6</v>
      </c>
      <c r="H422">
        <v>0.26192900000000002</v>
      </c>
      <c r="I422" s="23">
        <v>45891</v>
      </c>
      <c r="J422">
        <v>1</v>
      </c>
      <c r="K422">
        <v>1.1499999999999999</v>
      </c>
      <c r="L422">
        <v>0.79118500000000003</v>
      </c>
      <c r="M422" s="23">
        <v>45891</v>
      </c>
      <c r="N422">
        <v>3</v>
      </c>
      <c r="O422">
        <v>3.15</v>
      </c>
      <c r="P422">
        <v>2.152425</v>
      </c>
      <c r="Q422" s="23">
        <v>45891</v>
      </c>
      <c r="R422">
        <v>4.5</v>
      </c>
      <c r="S422">
        <v>4.6500000000000004</v>
      </c>
      <c r="T422">
        <v>3.0404439999999999</v>
      </c>
      <c r="U422" s="23">
        <v>45891</v>
      </c>
      <c r="V422">
        <v>3.5</v>
      </c>
      <c r="W422">
        <v>3.65</v>
      </c>
      <c r="X422">
        <v>2.339267</v>
      </c>
      <c r="Y422" s="23">
        <v>45891</v>
      </c>
      <c r="Z422">
        <v>9.99</v>
      </c>
      <c r="AA422">
        <v>7.2688031216623177</v>
      </c>
      <c r="AB422">
        <v>10.14</v>
      </c>
    </row>
    <row r="423" spans="1:28">
      <c r="A423" s="23">
        <v>45894</v>
      </c>
      <c r="B423">
        <v>2.5</v>
      </c>
      <c r="C423">
        <v>2.65</v>
      </c>
      <c r="D423">
        <v>1.525223</v>
      </c>
      <c r="E423" s="23">
        <v>45894</v>
      </c>
      <c r="F423">
        <v>0.5</v>
      </c>
      <c r="G423">
        <v>0.6</v>
      </c>
      <c r="H423">
        <v>0.26256400000000002</v>
      </c>
      <c r="I423" s="23">
        <v>45894</v>
      </c>
      <c r="J423">
        <v>1</v>
      </c>
      <c r="K423">
        <v>1.1499999999999999</v>
      </c>
      <c r="L423">
        <v>0.79197899999999999</v>
      </c>
      <c r="M423" s="23">
        <v>45894</v>
      </c>
      <c r="N423">
        <v>3</v>
      </c>
      <c r="O423">
        <v>3.15</v>
      </c>
      <c r="P423">
        <v>2.14798</v>
      </c>
      <c r="Q423" s="23">
        <v>45894</v>
      </c>
      <c r="R423">
        <v>4.5</v>
      </c>
      <c r="S423">
        <v>4.6500000000000004</v>
      </c>
      <c r="T423">
        <v>3.035682</v>
      </c>
      <c r="U423" s="23">
        <v>45894</v>
      </c>
      <c r="V423">
        <v>3.5</v>
      </c>
      <c r="W423">
        <v>3.65</v>
      </c>
      <c r="X423">
        <v>2.3630789999999999</v>
      </c>
      <c r="Y423" s="23">
        <v>45894</v>
      </c>
      <c r="Z423">
        <v>9.99</v>
      </c>
      <c r="AA423">
        <v>7.2797716851885079</v>
      </c>
      <c r="AB423">
        <v>10.14</v>
      </c>
    </row>
    <row r="424" spans="1:28">
      <c r="A424" s="23">
        <v>45895</v>
      </c>
      <c r="B424">
        <v>2.5</v>
      </c>
      <c r="C424">
        <v>2.65</v>
      </c>
      <c r="D424">
        <v>1.524429</v>
      </c>
      <c r="E424" s="23">
        <v>45895</v>
      </c>
      <c r="F424">
        <v>0.5</v>
      </c>
      <c r="G424">
        <v>0.6</v>
      </c>
      <c r="H424">
        <v>0.26161200000000001</v>
      </c>
      <c r="I424" s="23">
        <v>45895</v>
      </c>
      <c r="J424">
        <v>1</v>
      </c>
      <c r="K424">
        <v>1.1499999999999999</v>
      </c>
      <c r="L424">
        <v>0.79404300000000005</v>
      </c>
      <c r="M424" s="23">
        <v>45895</v>
      </c>
      <c r="N424">
        <v>3</v>
      </c>
      <c r="O424">
        <v>3.15</v>
      </c>
      <c r="P424">
        <v>2.1497259999999998</v>
      </c>
      <c r="Q424" s="23">
        <v>45895</v>
      </c>
      <c r="R424">
        <v>4.5</v>
      </c>
      <c r="S424">
        <v>4.6500000000000004</v>
      </c>
      <c r="T424">
        <v>3.036476</v>
      </c>
      <c r="U424" s="23">
        <v>45895</v>
      </c>
      <c r="V424">
        <v>3.5</v>
      </c>
      <c r="W424">
        <v>3.65</v>
      </c>
      <c r="X424">
        <v>2.3699050000000002</v>
      </c>
      <c r="Y424" s="23">
        <v>45895</v>
      </c>
      <c r="Z424">
        <v>9.99</v>
      </c>
      <c r="AA424">
        <v>7.3901983707021293</v>
      </c>
      <c r="AB424">
        <v>10.14</v>
      </c>
    </row>
    <row r="425" spans="1:28">
      <c r="A425" s="23">
        <v>45896</v>
      </c>
      <c r="B425">
        <v>2.5</v>
      </c>
      <c r="C425">
        <v>2.65</v>
      </c>
      <c r="D425">
        <v>1.52173</v>
      </c>
      <c r="E425" s="23">
        <v>45896</v>
      </c>
      <c r="F425">
        <v>0.5</v>
      </c>
      <c r="G425">
        <v>0.6</v>
      </c>
      <c r="H425">
        <v>0.26081799999999999</v>
      </c>
      <c r="I425" s="23">
        <v>45896</v>
      </c>
      <c r="J425">
        <v>1</v>
      </c>
      <c r="K425">
        <v>1.1499999999999999</v>
      </c>
      <c r="L425">
        <v>0.79181999999999997</v>
      </c>
      <c r="M425" s="23">
        <v>45896</v>
      </c>
      <c r="N425">
        <v>3</v>
      </c>
      <c r="O425">
        <v>3.15</v>
      </c>
      <c r="P425">
        <v>2.1403599999999998</v>
      </c>
      <c r="Q425" s="23">
        <v>45896</v>
      </c>
      <c r="R425">
        <v>4.5</v>
      </c>
      <c r="S425">
        <v>4.6500000000000004</v>
      </c>
      <c r="T425">
        <v>3.0207600000000001</v>
      </c>
      <c r="U425" s="23">
        <v>45896</v>
      </c>
      <c r="V425">
        <v>3.5</v>
      </c>
      <c r="W425">
        <v>3.65</v>
      </c>
      <c r="X425">
        <v>2.3643489999999998</v>
      </c>
      <c r="Y425" s="23">
        <v>45896</v>
      </c>
      <c r="Z425">
        <v>9.99</v>
      </c>
      <c r="AA425">
        <v>7.3684206820753939</v>
      </c>
      <c r="AB425">
        <v>10.14</v>
      </c>
    </row>
    <row r="426" spans="1:28">
      <c r="A426" s="23">
        <v>45897</v>
      </c>
      <c r="B426">
        <v>2.5</v>
      </c>
      <c r="C426">
        <v>2.65</v>
      </c>
      <c r="D426">
        <v>1.530303</v>
      </c>
      <c r="E426" s="23">
        <v>45897</v>
      </c>
      <c r="F426">
        <v>0.5</v>
      </c>
      <c r="G426">
        <v>0.6</v>
      </c>
      <c r="H426">
        <v>0.26081799999999999</v>
      </c>
      <c r="I426" s="23">
        <v>45897</v>
      </c>
      <c r="J426">
        <v>1</v>
      </c>
      <c r="K426">
        <v>1.1499999999999999</v>
      </c>
      <c r="L426">
        <v>0.794678</v>
      </c>
      <c r="M426" s="23">
        <v>45897</v>
      </c>
      <c r="N426">
        <v>3</v>
      </c>
      <c r="O426">
        <v>3.15</v>
      </c>
      <c r="P426">
        <v>2.1506780000000001</v>
      </c>
      <c r="Q426" s="23">
        <v>45897</v>
      </c>
      <c r="R426">
        <v>4.5</v>
      </c>
      <c r="S426">
        <v>4.6500000000000004</v>
      </c>
      <c r="T426">
        <v>3.0420319999999998</v>
      </c>
      <c r="U426" s="23">
        <v>45897</v>
      </c>
      <c r="V426">
        <v>3.5</v>
      </c>
      <c r="W426">
        <v>3.65</v>
      </c>
      <c r="X426">
        <v>2.35419</v>
      </c>
      <c r="Y426" s="23">
        <v>45897</v>
      </c>
      <c r="Z426">
        <v>9.99</v>
      </c>
      <c r="AA426">
        <v>7.3323973646894416</v>
      </c>
      <c r="AB426">
        <v>10.14</v>
      </c>
    </row>
    <row r="427" spans="1:28">
      <c r="A427" s="23">
        <v>45898</v>
      </c>
      <c r="B427">
        <v>2.5</v>
      </c>
      <c r="C427">
        <v>2.65</v>
      </c>
      <c r="D427">
        <v>1.518397</v>
      </c>
      <c r="E427" s="23">
        <v>45898</v>
      </c>
      <c r="F427">
        <v>0.5</v>
      </c>
      <c r="G427">
        <v>0.6</v>
      </c>
      <c r="H427">
        <v>0.244944</v>
      </c>
      <c r="I427" s="23">
        <v>45898</v>
      </c>
      <c r="J427">
        <v>1</v>
      </c>
      <c r="K427">
        <v>1.1499999999999999</v>
      </c>
      <c r="L427">
        <v>0.777057</v>
      </c>
      <c r="M427" s="23">
        <v>45898</v>
      </c>
      <c r="N427">
        <v>3</v>
      </c>
      <c r="O427">
        <v>3.15</v>
      </c>
      <c r="P427">
        <v>2.1403599999999998</v>
      </c>
      <c r="Q427" s="23">
        <v>45898</v>
      </c>
      <c r="R427">
        <v>4.5</v>
      </c>
      <c r="S427">
        <v>4.6500000000000004</v>
      </c>
      <c r="T427">
        <v>3.0301260000000001</v>
      </c>
      <c r="U427" s="23">
        <v>45898</v>
      </c>
      <c r="V427">
        <v>3.5</v>
      </c>
      <c r="W427">
        <v>3.65</v>
      </c>
      <c r="X427">
        <v>2.3211710000000001</v>
      </c>
      <c r="Y427" s="23">
        <v>45898</v>
      </c>
      <c r="Z427">
        <v>9.99</v>
      </c>
      <c r="AA427">
        <v>7.2378885951596006</v>
      </c>
      <c r="AB427">
        <v>10.14</v>
      </c>
    </row>
    <row r="428" spans="1:28">
      <c r="A428" s="23">
        <v>45901</v>
      </c>
      <c r="B428">
        <v>2.5</v>
      </c>
      <c r="C428">
        <v>2.65</v>
      </c>
      <c r="D428">
        <v>1.524905</v>
      </c>
      <c r="E428" s="23">
        <v>45901</v>
      </c>
      <c r="F428">
        <v>0.5</v>
      </c>
      <c r="G428">
        <v>0.6</v>
      </c>
      <c r="H428">
        <v>0.24272099999999999</v>
      </c>
      <c r="I428" s="23">
        <v>45901</v>
      </c>
      <c r="J428">
        <v>1</v>
      </c>
      <c r="K428">
        <v>1.1499999999999999</v>
      </c>
      <c r="L428">
        <v>0.77658099999999997</v>
      </c>
      <c r="M428" s="23">
        <v>45901</v>
      </c>
      <c r="N428">
        <v>3</v>
      </c>
      <c r="O428">
        <v>3.15</v>
      </c>
      <c r="P428">
        <v>2.1502020000000002</v>
      </c>
      <c r="Q428" s="23">
        <v>45901</v>
      </c>
      <c r="R428">
        <v>4.5</v>
      </c>
      <c r="S428">
        <v>4.6500000000000004</v>
      </c>
      <c r="T428">
        <v>3.0393330000000001</v>
      </c>
      <c r="U428" s="23">
        <v>45901</v>
      </c>
      <c r="V428">
        <v>3.5</v>
      </c>
      <c r="W428">
        <v>3.65</v>
      </c>
      <c r="X428">
        <v>2.3470460000000002</v>
      </c>
      <c r="Y428" s="23">
        <v>45901</v>
      </c>
      <c r="Z428">
        <v>9.99</v>
      </c>
      <c r="AA428">
        <v>7.1413841931145008</v>
      </c>
      <c r="AB428">
        <v>10.14</v>
      </c>
    </row>
    <row r="429" spans="1:28">
      <c r="A429" s="23">
        <v>45902</v>
      </c>
      <c r="B429">
        <v>2.5</v>
      </c>
      <c r="C429">
        <v>2.65</v>
      </c>
      <c r="D429">
        <v>1.5553840000000001</v>
      </c>
      <c r="E429" s="23">
        <v>45902</v>
      </c>
      <c r="F429">
        <v>0.5</v>
      </c>
      <c r="G429">
        <v>0.6</v>
      </c>
      <c r="H429">
        <v>0.242562</v>
      </c>
      <c r="I429" s="23">
        <v>45902</v>
      </c>
      <c r="J429">
        <v>1</v>
      </c>
      <c r="K429">
        <v>1.1499999999999999</v>
      </c>
      <c r="L429">
        <v>0.78896299999999997</v>
      </c>
      <c r="M429" s="23">
        <v>45902</v>
      </c>
      <c r="N429">
        <v>3</v>
      </c>
      <c r="O429">
        <v>3.15</v>
      </c>
      <c r="P429">
        <v>2.1873480000000001</v>
      </c>
      <c r="Q429" s="23">
        <v>45902</v>
      </c>
      <c r="R429">
        <v>4.5</v>
      </c>
      <c r="S429">
        <v>4.6500000000000004</v>
      </c>
      <c r="T429">
        <v>3.1058469999999998</v>
      </c>
      <c r="U429" s="23">
        <v>45902</v>
      </c>
      <c r="V429">
        <v>3.5</v>
      </c>
      <c r="W429">
        <v>3.65</v>
      </c>
      <c r="X429">
        <v>2.3527610000000001</v>
      </c>
      <c r="Y429" s="23">
        <v>45902</v>
      </c>
      <c r="Z429">
        <v>9.99</v>
      </c>
      <c r="AA429">
        <v>7.1172317915306991</v>
      </c>
      <c r="AB429">
        <v>10.14</v>
      </c>
    </row>
    <row r="430" spans="1:28">
      <c r="A430" s="23">
        <v>45903</v>
      </c>
      <c r="B430">
        <v>2.5</v>
      </c>
      <c r="C430">
        <v>2.65</v>
      </c>
      <c r="D430">
        <v>1.5647500000000001</v>
      </c>
      <c r="E430" s="23">
        <v>45903</v>
      </c>
      <c r="F430">
        <v>0.5</v>
      </c>
      <c r="G430">
        <v>0.6</v>
      </c>
      <c r="H430">
        <v>0.28875699999999999</v>
      </c>
      <c r="I430" s="23">
        <v>45903</v>
      </c>
      <c r="J430">
        <v>1</v>
      </c>
      <c r="K430">
        <v>1.1499999999999999</v>
      </c>
      <c r="L430">
        <v>0.79086800000000002</v>
      </c>
      <c r="M430" s="23">
        <v>45903</v>
      </c>
      <c r="N430">
        <v>3</v>
      </c>
      <c r="O430">
        <v>3.15</v>
      </c>
      <c r="P430">
        <v>2.18973</v>
      </c>
      <c r="Q430" s="23">
        <v>45903</v>
      </c>
      <c r="R430">
        <v>4.5</v>
      </c>
      <c r="S430">
        <v>4.6500000000000004</v>
      </c>
      <c r="T430">
        <v>3.1217220000000001</v>
      </c>
      <c r="U430" s="23">
        <v>45903</v>
      </c>
      <c r="V430">
        <v>3.5</v>
      </c>
      <c r="W430">
        <v>3.65</v>
      </c>
      <c r="X430">
        <v>2.3751440000000001</v>
      </c>
      <c r="Y430" s="23">
        <v>45903</v>
      </c>
      <c r="Z430">
        <v>9.99</v>
      </c>
      <c r="AA430">
        <v>6.9172891999094581</v>
      </c>
      <c r="AB430">
        <v>10.14</v>
      </c>
    </row>
    <row r="431" spans="1:28">
      <c r="A431" s="23">
        <v>45904</v>
      </c>
      <c r="B431">
        <v>2.5</v>
      </c>
      <c r="C431">
        <v>2.65</v>
      </c>
      <c r="D431">
        <v>1.5760209999999999</v>
      </c>
      <c r="E431" s="23">
        <v>45904</v>
      </c>
      <c r="F431">
        <v>0.5</v>
      </c>
      <c r="G431">
        <v>0.6</v>
      </c>
      <c r="H431">
        <v>0.28812199999999999</v>
      </c>
      <c r="I431" s="23">
        <v>45904</v>
      </c>
      <c r="J431">
        <v>1</v>
      </c>
      <c r="K431">
        <v>1.1499999999999999</v>
      </c>
      <c r="L431">
        <v>0.88976599999999995</v>
      </c>
      <c r="M431" s="23">
        <v>45904</v>
      </c>
      <c r="N431">
        <v>3</v>
      </c>
      <c r="O431">
        <v>3.15</v>
      </c>
      <c r="P431">
        <v>2.2232249999999998</v>
      </c>
      <c r="Q431" s="23">
        <v>45904</v>
      </c>
      <c r="R431">
        <v>4.5</v>
      </c>
      <c r="S431">
        <v>4.6500000000000004</v>
      </c>
      <c r="T431">
        <v>3.1655359999999999</v>
      </c>
      <c r="U431" s="23">
        <v>45904</v>
      </c>
      <c r="V431">
        <v>3.5</v>
      </c>
      <c r="W431">
        <v>3.65</v>
      </c>
      <c r="X431">
        <v>2.39086</v>
      </c>
      <c r="Y431" s="23">
        <v>45904</v>
      </c>
      <c r="Z431">
        <v>9.99</v>
      </c>
      <c r="AA431">
        <v>6.9701460887245936</v>
      </c>
      <c r="AB431">
        <v>10.14</v>
      </c>
    </row>
    <row r="432" spans="1:28">
      <c r="A432" s="23">
        <v>45905</v>
      </c>
      <c r="B432">
        <v>2.5</v>
      </c>
      <c r="C432">
        <v>2.65</v>
      </c>
      <c r="D432">
        <v>1.6065</v>
      </c>
      <c r="E432" s="23">
        <v>45905</v>
      </c>
      <c r="F432">
        <v>0.5</v>
      </c>
      <c r="G432">
        <v>0.6</v>
      </c>
      <c r="H432">
        <v>0.29050300000000001</v>
      </c>
      <c r="I432" s="23">
        <v>45905</v>
      </c>
      <c r="J432">
        <v>1</v>
      </c>
      <c r="K432">
        <v>1.1499999999999999</v>
      </c>
      <c r="L432">
        <v>0.76404000000000005</v>
      </c>
      <c r="M432" s="23">
        <v>45905</v>
      </c>
      <c r="N432">
        <v>3</v>
      </c>
      <c r="O432">
        <v>3.15</v>
      </c>
      <c r="P432">
        <v>2.2640220000000002</v>
      </c>
      <c r="Q432" s="23">
        <v>45905</v>
      </c>
      <c r="R432">
        <v>4.5</v>
      </c>
      <c r="S432">
        <v>4.6500000000000004</v>
      </c>
      <c r="T432">
        <v>3.2252239999999999</v>
      </c>
      <c r="U432" s="23">
        <v>45905</v>
      </c>
      <c r="V432">
        <v>3.5</v>
      </c>
      <c r="W432">
        <v>3.65</v>
      </c>
      <c r="X432">
        <v>2.3964159999999999</v>
      </c>
      <c r="Y432" s="23">
        <v>45905</v>
      </c>
      <c r="Z432">
        <v>9.99</v>
      </c>
      <c r="AA432">
        <v>6.9478095996626044</v>
      </c>
      <c r="AB432">
        <v>10.14</v>
      </c>
    </row>
    <row r="433" spans="1:28">
      <c r="A433" s="23">
        <v>45908</v>
      </c>
      <c r="B433">
        <v>2.5</v>
      </c>
      <c r="C433">
        <v>2.65</v>
      </c>
      <c r="D433">
        <v>1.5768150000000001</v>
      </c>
      <c r="E433" s="23">
        <v>45908</v>
      </c>
      <c r="F433">
        <v>0.5</v>
      </c>
      <c r="G433">
        <v>0.6</v>
      </c>
      <c r="H433">
        <v>0.27859800000000001</v>
      </c>
      <c r="I433" s="23">
        <v>45908</v>
      </c>
      <c r="J433">
        <v>1</v>
      </c>
      <c r="K433">
        <v>1.1499999999999999</v>
      </c>
      <c r="L433">
        <v>0.76594499999999999</v>
      </c>
      <c r="M433" s="23">
        <v>45908</v>
      </c>
      <c r="N433">
        <v>3</v>
      </c>
      <c r="O433">
        <v>3.15</v>
      </c>
      <c r="P433">
        <v>2.2519580000000001</v>
      </c>
      <c r="Q433" s="23">
        <v>45908</v>
      </c>
      <c r="R433">
        <v>4.5</v>
      </c>
      <c r="S433">
        <v>4.6500000000000004</v>
      </c>
      <c r="T433">
        <v>3.209349</v>
      </c>
      <c r="U433" s="23">
        <v>45908</v>
      </c>
      <c r="V433">
        <v>3.5</v>
      </c>
      <c r="W433">
        <v>3.65</v>
      </c>
      <c r="X433">
        <v>2.3516499999999998</v>
      </c>
      <c r="Y433" s="23">
        <v>45908</v>
      </c>
      <c r="Z433">
        <v>9.99</v>
      </c>
      <c r="AA433">
        <v>6.9654371260776351</v>
      </c>
      <c r="AB433">
        <v>10.14</v>
      </c>
    </row>
    <row r="434" spans="1:28">
      <c r="A434" s="23">
        <v>45909</v>
      </c>
      <c r="B434">
        <v>2.5</v>
      </c>
      <c r="C434">
        <v>2.65</v>
      </c>
      <c r="D434">
        <v>1.5761799999999999</v>
      </c>
      <c r="E434" s="23">
        <v>45909</v>
      </c>
      <c r="F434">
        <v>0.5</v>
      </c>
      <c r="G434">
        <v>0.6</v>
      </c>
      <c r="H434">
        <v>0.30415599999999998</v>
      </c>
      <c r="I434" s="23">
        <v>45909</v>
      </c>
      <c r="J434">
        <v>1</v>
      </c>
      <c r="K434">
        <v>1.1499999999999999</v>
      </c>
      <c r="L434">
        <v>0.76816700000000004</v>
      </c>
      <c r="M434" s="23">
        <v>45909</v>
      </c>
      <c r="N434">
        <v>3</v>
      </c>
      <c r="O434">
        <v>3.15</v>
      </c>
      <c r="P434">
        <v>2.2498939999999998</v>
      </c>
      <c r="Q434" s="23">
        <v>45909</v>
      </c>
      <c r="R434">
        <v>4.5</v>
      </c>
      <c r="S434">
        <v>4.6500000000000004</v>
      </c>
      <c r="T434">
        <v>3.2055389999999999</v>
      </c>
      <c r="U434" s="23">
        <v>45909</v>
      </c>
      <c r="V434">
        <v>3.5</v>
      </c>
      <c r="W434">
        <v>3.65</v>
      </c>
      <c r="X434">
        <v>2.3516499999999998</v>
      </c>
      <c r="Y434" s="23">
        <v>45909</v>
      </c>
      <c r="Z434">
        <v>9.99</v>
      </c>
      <c r="AA434">
        <v>6.8452583427801263</v>
      </c>
      <c r="AB434">
        <v>10.14</v>
      </c>
    </row>
    <row r="435" spans="1:28">
      <c r="A435" s="23">
        <v>45910</v>
      </c>
      <c r="B435">
        <v>2.5</v>
      </c>
      <c r="C435">
        <v>2.65</v>
      </c>
      <c r="D435">
        <v>1.5852280000000001</v>
      </c>
      <c r="E435" s="23">
        <v>45910</v>
      </c>
      <c r="F435">
        <v>0.5</v>
      </c>
      <c r="G435">
        <v>0.6</v>
      </c>
      <c r="H435">
        <v>0.30288599999999999</v>
      </c>
      <c r="I435" s="23">
        <v>45910</v>
      </c>
      <c r="J435">
        <v>1</v>
      </c>
      <c r="K435">
        <v>1.1499999999999999</v>
      </c>
      <c r="L435">
        <v>0.77800999999999998</v>
      </c>
      <c r="M435" s="23">
        <v>45910</v>
      </c>
      <c r="N435">
        <v>3</v>
      </c>
      <c r="O435">
        <v>3.15</v>
      </c>
      <c r="P435">
        <v>2.312122</v>
      </c>
      <c r="Q435" s="23">
        <v>45910</v>
      </c>
      <c r="R435">
        <v>4.5</v>
      </c>
      <c r="S435">
        <v>4.6500000000000004</v>
      </c>
      <c r="T435">
        <v>3.2704659999999999</v>
      </c>
      <c r="U435" s="23">
        <v>45910</v>
      </c>
      <c r="V435">
        <v>3.5</v>
      </c>
      <c r="W435">
        <v>3.65</v>
      </c>
      <c r="X435">
        <v>2.6443759999999998</v>
      </c>
      <c r="Y435" s="23">
        <v>45910</v>
      </c>
      <c r="Z435">
        <v>9.99</v>
      </c>
      <c r="AA435">
        <v>7.0387893986636625</v>
      </c>
      <c r="AB435">
        <v>10.14</v>
      </c>
    </row>
    <row r="436" spans="1:28">
      <c r="A436" s="23">
        <v>45911</v>
      </c>
      <c r="B436">
        <v>2.5</v>
      </c>
      <c r="C436">
        <v>2.65</v>
      </c>
      <c r="D436">
        <v>1.5690360000000001</v>
      </c>
      <c r="E436" s="23">
        <v>45911</v>
      </c>
      <c r="F436">
        <v>0.5</v>
      </c>
      <c r="G436">
        <v>0.6</v>
      </c>
      <c r="H436">
        <v>0.30177399999999999</v>
      </c>
      <c r="I436" s="23">
        <v>45911</v>
      </c>
      <c r="J436">
        <v>1</v>
      </c>
      <c r="K436">
        <v>1.1499999999999999</v>
      </c>
      <c r="L436">
        <v>0.77245399999999997</v>
      </c>
      <c r="M436" s="23">
        <v>45911</v>
      </c>
      <c r="N436">
        <v>3</v>
      </c>
      <c r="O436">
        <v>3.15</v>
      </c>
      <c r="P436">
        <v>2.2779919999999998</v>
      </c>
      <c r="Q436" s="23">
        <v>45911</v>
      </c>
      <c r="R436">
        <v>4.5</v>
      </c>
      <c r="S436">
        <v>4.6500000000000004</v>
      </c>
      <c r="T436">
        <v>3.2268110000000001</v>
      </c>
      <c r="U436" s="23">
        <v>45911</v>
      </c>
      <c r="V436">
        <v>3.5</v>
      </c>
      <c r="W436">
        <v>3.65</v>
      </c>
      <c r="X436">
        <v>2.5837349999999999</v>
      </c>
      <c r="Y436" s="23">
        <v>45911</v>
      </c>
      <c r="Z436">
        <v>9.99</v>
      </c>
      <c r="AA436">
        <v>7.0246551739795651</v>
      </c>
      <c r="AB436">
        <v>10.14</v>
      </c>
    </row>
    <row r="437" spans="1:28">
      <c r="A437" s="23">
        <v>45912</v>
      </c>
      <c r="B437">
        <v>2.5</v>
      </c>
      <c r="C437">
        <v>2.65</v>
      </c>
      <c r="D437">
        <v>1.6087229999999999</v>
      </c>
      <c r="E437" s="23">
        <v>45912</v>
      </c>
      <c r="F437">
        <v>0.5</v>
      </c>
      <c r="G437">
        <v>0.6</v>
      </c>
      <c r="H437">
        <v>0.29971100000000001</v>
      </c>
      <c r="I437" s="23">
        <v>45912</v>
      </c>
      <c r="J437">
        <v>1</v>
      </c>
      <c r="K437">
        <v>1.1499999999999999</v>
      </c>
      <c r="L437">
        <v>0.78515299999999999</v>
      </c>
      <c r="M437" s="23">
        <v>45912</v>
      </c>
      <c r="N437">
        <v>3</v>
      </c>
      <c r="O437">
        <v>3.15</v>
      </c>
      <c r="P437">
        <v>2.317361</v>
      </c>
      <c r="Q437" s="23">
        <v>45912</v>
      </c>
      <c r="R437">
        <v>4.5</v>
      </c>
      <c r="S437">
        <v>4.6500000000000004</v>
      </c>
      <c r="T437">
        <v>3.2890389999999998</v>
      </c>
      <c r="U437" s="23">
        <v>45912</v>
      </c>
      <c r="V437">
        <v>3.5</v>
      </c>
      <c r="W437">
        <v>3.65</v>
      </c>
      <c r="X437">
        <v>2.6477089999999999</v>
      </c>
      <c r="Y437" s="23">
        <v>45912</v>
      </c>
      <c r="Z437">
        <v>9.99</v>
      </c>
      <c r="AA437">
        <v>7.2413438800442886</v>
      </c>
      <c r="AB437">
        <v>10.14</v>
      </c>
    </row>
    <row r="438" spans="1:28">
      <c r="A438" s="23">
        <v>45915</v>
      </c>
      <c r="B438">
        <v>2.5</v>
      </c>
      <c r="C438">
        <v>2.65</v>
      </c>
      <c r="D438">
        <v>1.6218980000000001</v>
      </c>
      <c r="E438" s="23">
        <v>45915</v>
      </c>
      <c r="F438">
        <v>0.5</v>
      </c>
      <c r="G438">
        <v>0.6</v>
      </c>
      <c r="H438">
        <v>0.30145699999999997</v>
      </c>
      <c r="I438" s="23">
        <v>45915</v>
      </c>
      <c r="J438">
        <v>1</v>
      </c>
      <c r="K438">
        <v>1.1499999999999999</v>
      </c>
      <c r="L438">
        <v>0.79547199999999996</v>
      </c>
      <c r="M438" s="23">
        <v>45915</v>
      </c>
      <c r="N438">
        <v>3</v>
      </c>
      <c r="O438">
        <v>3.15</v>
      </c>
      <c r="P438">
        <v>2.3319649999999998</v>
      </c>
      <c r="Q438" s="23">
        <v>45915</v>
      </c>
      <c r="R438">
        <v>4.5</v>
      </c>
      <c r="S438">
        <v>4.6500000000000004</v>
      </c>
      <c r="T438">
        <v>3.3217409999999998</v>
      </c>
      <c r="U438" s="23">
        <v>45915</v>
      </c>
      <c r="V438">
        <v>3.5</v>
      </c>
      <c r="W438">
        <v>3.65</v>
      </c>
      <c r="X438">
        <v>2.6664409999999998</v>
      </c>
      <c r="Y438" s="23">
        <v>45915</v>
      </c>
      <c r="Z438">
        <v>9.99</v>
      </c>
      <c r="AA438">
        <v>7.2851964889604837</v>
      </c>
      <c r="AB438">
        <v>10.14</v>
      </c>
    </row>
    <row r="439" spans="1:28">
      <c r="A439" s="23" t="s">
        <v>57</v>
      </c>
      <c r="B439">
        <v>937.5</v>
      </c>
      <c r="C439">
        <v>1002.7499999999934</v>
      </c>
      <c r="D439">
        <v>676.7442430000001</v>
      </c>
      <c r="E439" s="23" t="s">
        <v>57</v>
      </c>
      <c r="F439">
        <v>217.5</v>
      </c>
      <c r="G439">
        <v>260.99999999999847</v>
      </c>
      <c r="H439">
        <v>122.38753999999994</v>
      </c>
      <c r="I439" s="23" t="s">
        <v>57</v>
      </c>
      <c r="J439">
        <v>512.5</v>
      </c>
      <c r="K439">
        <v>577.74999999999488</v>
      </c>
      <c r="L439">
        <v>362.58264899999995</v>
      </c>
      <c r="M439" s="23" t="s">
        <v>57</v>
      </c>
      <c r="N439">
        <v>1305</v>
      </c>
      <c r="O439">
        <v>1370.2500000000048</v>
      </c>
      <c r="P439">
        <v>936.62691899999993</v>
      </c>
      <c r="Q439" s="23" t="s">
        <v>57</v>
      </c>
      <c r="R439">
        <v>1696.5</v>
      </c>
      <c r="S439">
        <v>1761.75000000001</v>
      </c>
      <c r="T439">
        <v>1345.2583459999987</v>
      </c>
      <c r="U439" s="23" t="s">
        <v>57</v>
      </c>
      <c r="V439">
        <v>1271.25</v>
      </c>
      <c r="W439">
        <v>1336.5000000000023</v>
      </c>
      <c r="X439">
        <v>986.29921400000035</v>
      </c>
      <c r="Y439" s="23" t="s">
        <v>57</v>
      </c>
      <c r="Z439">
        <v>3908.1499999999614</v>
      </c>
      <c r="AA439">
        <v>3170.142143713661</v>
      </c>
      <c r="AB439">
        <v>3973.3999999999855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909E-B545-475F-AA36-09A213282DC0}">
  <sheetPr codeName="Foglio5"/>
  <dimension ref="A1"/>
  <sheetViews>
    <sheetView zoomScale="110" zoomScaleNormal="110" workbookViewId="0">
      <selection activeCell="T63" sqref="T63"/>
    </sheetView>
  </sheetViews>
  <sheetFormatPr defaultColWidth="8.86328125" defaultRowHeight="14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714-8CFE-4263-988F-240FC6B87930}">
  <sheetPr codeName="Foglio7"/>
  <dimension ref="A2:J18"/>
  <sheetViews>
    <sheetView tabSelected="1" topLeftCell="A2" workbookViewId="0">
      <selection activeCell="C3" sqref="C3:J10"/>
    </sheetView>
  </sheetViews>
  <sheetFormatPr defaultColWidth="8.86328125" defaultRowHeight="14.75"/>
  <cols>
    <col min="3" max="3" width="52" bestFit="1" customWidth="1"/>
    <col min="4" max="5" width="16.7265625" bestFit="1" customWidth="1"/>
    <col min="6" max="6" width="26.86328125" bestFit="1" customWidth="1"/>
    <col min="7" max="7" width="20.40625" bestFit="1" customWidth="1"/>
    <col min="8" max="8" width="11.26953125" hidden="1" customWidth="1"/>
    <col min="9" max="9" width="18" hidden="1" customWidth="1"/>
    <col min="10" max="10" width="17" bestFit="1" customWidth="1"/>
  </cols>
  <sheetData>
    <row r="2" spans="1:10" ht="15.5" thickBot="1"/>
    <row r="3" spans="1:10" ht="18.75" thickBot="1">
      <c r="C3" s="24">
        <v>45989</v>
      </c>
      <c r="D3" s="25" t="str">
        <f>"TE "&amp;TEXT(C3,"gg/mm/aa")</f>
        <v>TE 28/11/25</v>
      </c>
      <c r="E3" s="25" t="str">
        <f>"TE "&amp;TEXT(WORKDAY.INTL(EOMONTH(C3,-1)+1,-1,1),"gg/mm/aa")</f>
        <v>TE 31/10/25</v>
      </c>
      <c r="F3" s="26" t="s">
        <v>58</v>
      </c>
      <c r="G3" s="26" t="s">
        <v>59</v>
      </c>
      <c r="H3" s="26" t="s">
        <v>60</v>
      </c>
      <c r="I3" s="26" t="s">
        <v>61</v>
      </c>
      <c r="J3" s="27" t="s">
        <v>62</v>
      </c>
    </row>
    <row r="4" spans="1:10" ht="18.75" thickBot="1">
      <c r="C4" s="28" t="s">
        <v>63</v>
      </c>
      <c r="D4" s="25">
        <f>_xlfn.XLOOKUP($C$3,TBL_TEV[Data2],TBL_TEV[Etica Obbligazionario Breve Termine])</f>
        <v>0.21351200000000001</v>
      </c>
      <c r="E4" s="25">
        <f>_xlfn.XLOOKUP(WORKDAY.INTL(EOMONTH(C3,-1)+1,-1,1),TBL_TEV[Data2],TBL_TEV[Etica Obbligazionario Breve Termine])</f>
        <v>0.26986700000000002</v>
      </c>
      <c r="F4" s="25" cm="1">
        <f t="array" ref="F4">AVERAGE(IF((TBL_TEV[Data2] &gt; EOMONTH(C3,-1)) * (TBL_TEV[Data2] &lt;= C3), TBL_TEV[Etica Obbligazionario Breve Termine]))</f>
        <v>0.25220619999999999</v>
      </c>
      <c r="G4" s="25" cm="1">
        <f t="array" ref="G4">AVERAGE(IF((TBL_TEV[Data2] &gt; DATE(YEAR(C3)-1,12,31)) * (TBL_TEV[Data2] &lt;= C3), TBL_TEV[Etica Obbligazionario Breve Termine]))</f>
        <v>0.31327622077922057</v>
      </c>
      <c r="H4" s="25">
        <v>7.6292170999999994E-3</v>
      </c>
      <c r="I4" s="25">
        <v>1.5415267100000001E-2</v>
      </c>
      <c r="J4" s="25">
        <v>0.5</v>
      </c>
    </row>
    <row r="5" spans="1:10" ht="18.75" thickBot="1">
      <c r="C5" s="29" t="s">
        <v>64</v>
      </c>
      <c r="D5" s="25">
        <f>_xlfn.XLOOKUP($C$3,TBL_TEV[Data2],TBL_TEV[Etica Obbligazionario Misto])</f>
        <v>0.86420799999999998</v>
      </c>
      <c r="E5" s="25">
        <f>_xlfn.XLOOKUP(WORKDAY.INTL(EOMONTH(C3,-1)+1,-1,1),TBL_TEV[Data2],TBL_TEV[Etica Obbligazionario Misto])</f>
        <v>0.78705800000000004</v>
      </c>
      <c r="F5" s="25" cm="1">
        <f t="array" ref="F5">AVERAGE(IF((TBL_TEV[Data2] &gt; EOMONTH(C3,-1)) * (TBL_TEV[Data2] &lt;= C3), TBL_TEV[Etica Obbligazionario Misto]))</f>
        <v>0.83014945000000007</v>
      </c>
      <c r="G5" s="25" cm="1">
        <f t="array" ref="G5">AVERAGE(IF((TBL_TEV[Data2] &gt; DATE(YEAR(C3)-1,12,31)) * (TBL_TEV[Data2] &lt;= C3), TBL_TEV[Etica Obbligazionario Misto]))</f>
        <v>0.76655319047619064</v>
      </c>
      <c r="H5" s="25"/>
      <c r="I5" s="25"/>
      <c r="J5" s="25">
        <v>1</v>
      </c>
    </row>
    <row r="6" spans="1:10" ht="18.75" thickBot="1">
      <c r="C6" s="30" t="s">
        <v>65</v>
      </c>
      <c r="D6" s="25">
        <f>_xlfn.XLOOKUP($C$3,TBL_TEV[Data2],TBL_TEV[Etica Rendita Bilanciata])</f>
        <v>1.638884</v>
      </c>
      <c r="E6" s="25">
        <f>_xlfn.XLOOKUP(WORKDAY.INTL(EOMONTH(C3,-1)+1,-1,1),TBL_TEV[Data2],TBL_TEV[Etica Rendita Bilanciata])</f>
        <v>1.6220570000000001</v>
      </c>
      <c r="F6" s="25" cm="1">
        <f t="array" ref="F6">AVERAGE(IF((TBL_TEV[Data2] &gt;EOMONTH(C3,-1)) * (TBL_TEV[Data2] &lt;=C3), TBL_TEV[Etica Rendita Bilanciata]))</f>
        <v>1.6118181</v>
      </c>
      <c r="G6" s="25" cm="1">
        <f t="array" ref="G6">AVERAGE(IF((TBL_TEV[Data2] &gt; DATE(YEAR(C3)-1,12,31)) * (TBL_TEV[Data2] &lt;= C3), TBL_TEV[Etica Rendita Bilanciata]))</f>
        <v>1.5711701212121207</v>
      </c>
      <c r="H6" s="25">
        <v>6.7842347807876673E-3</v>
      </c>
      <c r="I6" s="25">
        <v>1.672928521621269E-2</v>
      </c>
      <c r="J6" s="25">
        <v>2.5</v>
      </c>
    </row>
    <row r="7" spans="1:10" ht="18.75" thickBot="1">
      <c r="C7" s="31" t="s">
        <v>66</v>
      </c>
      <c r="D7" s="25" t="s">
        <v>67</v>
      </c>
      <c r="E7" s="25" t="s">
        <v>67</v>
      </c>
      <c r="F7" s="25" t="s">
        <v>67</v>
      </c>
      <c r="G7" s="25" t="s">
        <v>67</v>
      </c>
      <c r="H7" s="25" t="s">
        <v>67</v>
      </c>
      <c r="I7" s="25" t="s">
        <v>67</v>
      </c>
      <c r="J7" s="25" t="s">
        <v>67</v>
      </c>
    </row>
    <row r="8" spans="1:10" ht="18.75" thickBot="1">
      <c r="C8" s="32" t="s">
        <v>68</v>
      </c>
      <c r="D8" s="25">
        <f>_xlfn.XLOOKUP($C$3,TBL_TEV[Data2],TBL_TEV[Etica Transizione Climatica])</f>
        <v>2.8932880000000001</v>
      </c>
      <c r="E8" s="25">
        <f>_xlfn.XLOOKUP(WORKDAY.INTL(EOMONTH(C3,-1)+1,-1,1),TBL_TEV[Data2],TBL_TEV[Etica Transizione Climatica])</f>
        <v>2.7881990000000001</v>
      </c>
      <c r="F8" s="25" cm="1">
        <f t="array" ref="F8">AVERAGE(IF((TBL_TEV[Data2] &gt;EOMONTH(C3,-1)) * (TBL_TEV[Data2] &lt;= C3), TBL_TEV[Etica Transizione Climatica]))</f>
        <v>2.8031444000000003</v>
      </c>
      <c r="G8" s="25" cm="1">
        <f t="array" ref="G8">AVERAGE(IF((TBL_TEV[Data2] &gt; DATE(YEAR(C3)-1,12,31)) * (TBL_TEV[Data2] &lt;= C3), TBL_TEV[Etica Transizione Climatica]))</f>
        <v>2.4314166103896104</v>
      </c>
      <c r="H8" s="25">
        <v>6.7842347807876673E-3</v>
      </c>
      <c r="I8" s="25">
        <v>1</v>
      </c>
      <c r="J8" s="25">
        <v>3.5</v>
      </c>
    </row>
    <row r="9" spans="1:10" ht="18.75" thickBot="1">
      <c r="C9" s="33" t="s">
        <v>69</v>
      </c>
      <c r="D9" s="25">
        <f>_xlfn.XLOOKUP($C$3,TBL_TEV[Data2],TBL_TEV[Etica Bilanciato])</f>
        <v>2.577385</v>
      </c>
      <c r="E9" s="25">
        <f>_xlfn.XLOOKUP(WORKDAY.INTL(EOMONTH(C3,-1)+1,-1,1),TBL_TEV[Data2],TBL_TEV[Etica Bilanciato])</f>
        <v>2.4391180000000001</v>
      </c>
      <c r="F9" s="25" cm="1">
        <f t="array" ref="F9">AVERAGE(IF((TBL_TEV[Data2] &gt;EOMONTH(C3,-1)) * (TBL_TEV[Data2] &lt;= C3), TBL_TEV[Etica Bilanciato]))</f>
        <v>2.4261883499999999</v>
      </c>
      <c r="G9" s="25" cm="1">
        <f t="array" ref="G9">AVERAGE(IF((TBL_TEV[Data2] &gt; DATE(YEAR(C3)-1,12,31)) * (TBL_TEV[Data2] &lt;= C3), TBL_TEV[Etica Bilanciato]))</f>
        <v>2.279821917748917</v>
      </c>
      <c r="H9" s="25">
        <v>1.0062723211795875E-2</v>
      </c>
      <c r="I9" s="25">
        <v>1.252929960584335E-2</v>
      </c>
      <c r="J9" s="34">
        <v>3</v>
      </c>
    </row>
    <row r="10" spans="1:10" ht="18.75" thickBot="1">
      <c r="C10" s="35" t="s">
        <v>70</v>
      </c>
      <c r="D10" s="25">
        <f>_xlfn.XLOOKUP($C$3,TBL_TEV[Data2],TBL_TEV[Etica Azionario])</f>
        <v>3.7946420000000001</v>
      </c>
      <c r="E10" s="25">
        <f>_xlfn.XLOOKUP(WORKDAY.INTL(EOMONTH(C3,-1)+1,-1,1),TBL_TEV[Data2],TBL_TEV[Etica Azionario])</f>
        <v>3.5727169999999999</v>
      </c>
      <c r="F10" s="25" cm="1">
        <f t="array" ref="F10">AVERAGE(IF((TBL_TEV[Data2] &gt;=EOMONTH(C3,-1)) * (TBL_TEV[Data2] &lt;= C3), TBL_TEV[Etica Azionario]))</f>
        <v>3.5395693809523809</v>
      </c>
      <c r="G10" s="25" cm="1">
        <f t="array" ref="G10">AVERAGE(IF((TBL_TEV[Data2] &gt; DATE(YEAR(C3)-1,12,31)) * (TBL_TEV[Data2] &lt;= C3), TBL_TEV[Etica Azionario]))</f>
        <v>3.2885245800865781</v>
      </c>
      <c r="H10" s="25">
        <v>4.6853082539062507</v>
      </c>
      <c r="I10" s="25">
        <v>4.1999856103693408E-3</v>
      </c>
      <c r="J10" s="34">
        <v>4.5</v>
      </c>
    </row>
    <row r="14" spans="1:10">
      <c r="C14" s="12"/>
    </row>
    <row r="15" spans="1:10" ht="18">
      <c r="A15" s="36"/>
      <c r="B15" s="36"/>
      <c r="C15" s="36"/>
      <c r="D15" s="36"/>
      <c r="E15" s="36"/>
      <c r="F15" s="37"/>
      <c r="G15" s="37"/>
    </row>
    <row r="16" spans="1:10">
      <c r="C16" s="12"/>
    </row>
    <row r="17" spans="3:5">
      <c r="C17" s="12"/>
    </row>
    <row r="18" spans="3:5">
      <c r="E18" s="38"/>
    </row>
  </sheetData>
  <conditionalFormatting sqref="C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{B3EA9E84-1A3E-4970-9A6A-51E1FFFAD61F}</x14:id>
        </ext>
      </extLst>
    </cfRule>
  </conditionalFormatting>
  <conditionalFormatting sqref="C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{0C1F99A3-BCD6-4645-8DF1-837AAB6ED618}</x14:id>
        </ext>
      </extLst>
    </cfRule>
  </conditionalFormatting>
  <conditionalFormatting sqref="C6:C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{CFEA3280-4E81-480F-B94C-2AB2C3F7DE3C}</x14:id>
        </ext>
      </extLst>
    </cfRule>
  </conditionalFormatting>
  <conditionalFormatting sqref="A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{EF502437-CB73-4F58-9253-A8C142D83929}</x14:id>
        </ext>
      </extLst>
    </cfRule>
  </conditionalFormatting>
  <conditionalFormatting sqref="B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{223D5612-3CEE-41E3-B095-EBA62AFB4580}</x14:id>
        </ext>
      </extLst>
    </cfRule>
  </conditionalFormatting>
  <conditionalFormatting sqref="C15:E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{B66759D8-3692-4361-A23D-D2401EA1A2AC}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EA9E84-1A3E-4970-9A6A-51E1FFFAD6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0C1F99A3-BCD6-4645-8DF1-837AAB6ED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CFEA3280-4E81-480F-B94C-2AB2C3F7D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C6:C8</xm:sqref>
        </x14:conditionalFormatting>
        <x14:conditionalFormatting xmlns:xm="http://schemas.microsoft.com/office/excel/2006/main">
          <x14:cfRule type="dataBar" id="{EF502437-CB73-4F58-9253-A8C142D839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A15</xm:sqref>
        </x14:conditionalFormatting>
        <x14:conditionalFormatting xmlns:xm="http://schemas.microsoft.com/office/excel/2006/main">
          <x14:cfRule type="dataBar" id="{223D5612-3CEE-41E3-B095-EBA62AFB45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id="{B66759D8-3692-4361-A23D-D2401EA1A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C15:E15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Output Fondi</vt:lpstr>
      <vt:lpstr>Dati OS</vt:lpstr>
      <vt:lpstr>Mensile</vt:lpstr>
      <vt:lpstr>Giornaliero</vt:lpstr>
      <vt:lpstr>Fasce</vt:lpstr>
      <vt:lpstr>Tabelle Pivot</vt:lpstr>
      <vt:lpstr>Grafici</vt:lpstr>
      <vt:lpstr>Dati Excel CdA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De Marco</dc:creator>
  <cp:keywords/>
  <dc:description/>
  <cp:lastModifiedBy>Luca De Marco</cp:lastModifiedBy>
  <cp:revision/>
  <dcterms:created xsi:type="dcterms:W3CDTF">2015-06-05T18:19:34Z</dcterms:created>
  <dcterms:modified xsi:type="dcterms:W3CDTF">2025-12-16T16:27:30Z</dcterms:modified>
  <cp:category/>
  <cp:contentStatus/>
</cp:coreProperties>
</file>